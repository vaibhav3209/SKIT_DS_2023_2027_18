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erma\OneDrive\Desktop\Sahil Junctions\27.07.2026 Jaipur\"/>
    </mc:Choice>
  </mc:AlternateContent>
  <xr:revisionPtr revIDLastSave="0" documentId="13_ncr:1_{D8EA3F66-DE21-406F-B1FE-D5A3400D58B4}" xr6:coauthVersionLast="47" xr6:coauthVersionMax="47" xr10:uidLastSave="{00000000-0000-0000-0000-000000000000}"/>
  <bookViews>
    <workbookView xWindow="-108" yWindow="-108" windowWidth="23256" windowHeight="12456" tabRatio="855" activeTab="2" xr2:uid="{00000000-000D-0000-FFFF-FFFF00000000}"/>
  </bookViews>
  <sheets>
    <sheet name="V_14" sheetId="89" r:id="rId1"/>
    <sheet name="V_13" sheetId="88" r:id="rId2"/>
    <sheet name="Summary" sheetId="1" r:id="rId3"/>
    <sheet name="V_1" sheetId="57" r:id="rId4"/>
    <sheet name="V_2" sheetId="67" r:id="rId5"/>
    <sheet name="V_3" sheetId="66" r:id="rId6"/>
    <sheet name="V_4" sheetId="65" r:id="rId7"/>
    <sheet name="V_5" sheetId="64" r:id="rId8"/>
    <sheet name="V_6" sheetId="63" r:id="rId9"/>
    <sheet name="V_7" sheetId="62" r:id="rId10"/>
    <sheet name="V_8" sheetId="61" r:id="rId11"/>
    <sheet name="V_9" sheetId="60" r:id="rId12"/>
    <sheet name="V_10" sheetId="59" r:id="rId13"/>
    <sheet name="V_11" sheetId="58" r:id="rId14"/>
    <sheet name="V_12" sheetId="43" r:id="rId15"/>
    <sheet name="Flow Table" sheetId="86" state="hidden" r:id="rId16"/>
    <sheet name="IN_1" sheetId="77" r:id="rId17"/>
    <sheet name="IN_2" sheetId="68" r:id="rId18"/>
    <sheet name="IN_3" sheetId="78" r:id="rId19"/>
    <sheet name="IN_4" sheetId="79" r:id="rId20"/>
    <sheet name="TOTAL_IN" sheetId="80" r:id="rId21"/>
    <sheet name="OUT_1" sheetId="85" r:id="rId22"/>
    <sheet name="OUT_2" sheetId="84" r:id="rId23"/>
    <sheet name="OUT_3" sheetId="83" r:id="rId24"/>
    <sheet name="OUT_4" sheetId="82" r:id="rId25"/>
    <sheet name="TOTAL_OUT" sheetId="81" r:id="rId26"/>
    <sheet name="Table" sheetId="41" r:id="rId27"/>
    <sheet name="Flow Diagram" sheetId="37" r:id="rId28"/>
    <sheet name="Pie Chart" sheetId="56" r:id="rId29"/>
    <sheet name="Flow Diagram Table" sheetId="87" state="hidden" r:id="rId30"/>
  </sheets>
  <definedNames>
    <definedName name="_xlnm._FilterDatabase" localSheetId="3" hidden="1">V_1!$A$8:$O$106</definedName>
    <definedName name="_xlnm._FilterDatabase" localSheetId="13" hidden="1">V_11!$A$8:$G$106</definedName>
    <definedName name="_xlnm._FilterDatabase" localSheetId="14" hidden="1">V_12!$A$8:$G$106</definedName>
    <definedName name="_xlnm._FilterDatabase" localSheetId="1" hidden="1">V_13!$A$8:$O$106</definedName>
    <definedName name="_xlnm._FilterDatabase" localSheetId="0" hidden="1">V_14!$A$8:$O$106</definedName>
    <definedName name="_xlnm._FilterDatabase" localSheetId="5" hidden="1">V_3!$A$8:$G$106</definedName>
    <definedName name="_xlnm._FilterDatabase" localSheetId="6" hidden="1">V_4!$A$8:$G$106</definedName>
    <definedName name="_xlnm._FilterDatabase" localSheetId="7" hidden="1">V_5!$A$8:$G$106</definedName>
    <definedName name="_xlnm._FilterDatabase" localSheetId="9" hidden="1">V_7!$A$8:$G$106</definedName>
    <definedName name="_xlnm._FilterDatabase" localSheetId="11" hidden="1">V_9!$A$8:$G$106</definedName>
    <definedName name="_xlnm.Print_Area" localSheetId="15">'Flow Table'!$A$1:$P$22</definedName>
    <definedName name="_xlnm.Print_Area" localSheetId="16">IN_1!$A$1:$O$206</definedName>
    <definedName name="_xlnm.Print_Area" localSheetId="17">IN_2!$A$1:$O$206</definedName>
    <definedName name="_xlnm.Print_Area" localSheetId="18">IN_3!$A$1:$O$206</definedName>
    <definedName name="_xlnm.Print_Area" localSheetId="19">IN_4!$A$1:$O$206</definedName>
    <definedName name="_xlnm.Print_Area" localSheetId="28">'Pie Chart'!$A$1:$O$113</definedName>
    <definedName name="_xlnm.Print_Area" localSheetId="2">Summary!$A$1:$K$18</definedName>
    <definedName name="_xlnm.Print_Area" localSheetId="26">Table!$A$1:$Q$27</definedName>
    <definedName name="_xlnm.Print_Area" localSheetId="13">V_11!$A$1:$O$206</definedName>
    <definedName name="_xlnm.Print_Area" localSheetId="4">V_2!$A$1:$O$206</definedName>
    <definedName name="_xlnm.Print_Area" localSheetId="5">V_3!$A$1:$O$206</definedName>
    <definedName name="_xlnm.Print_Area" localSheetId="7">V_5!$A$1:$O$206</definedName>
    <definedName name="_xlnm.Print_Area" localSheetId="10">V_8!$A$1:$O$206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3" i="41" l="1"/>
  <c r="P23" i="41"/>
  <c r="O23" i="41"/>
  <c r="N23" i="41"/>
  <c r="M23" i="41"/>
  <c r="L23" i="41"/>
  <c r="K23" i="41"/>
  <c r="J23" i="41"/>
  <c r="I23" i="41"/>
  <c r="H23" i="41"/>
  <c r="G23" i="41"/>
  <c r="F23" i="41"/>
  <c r="E23" i="41"/>
  <c r="D23" i="41"/>
  <c r="Q22" i="41"/>
  <c r="P22" i="41"/>
  <c r="O22" i="41"/>
  <c r="N22" i="41"/>
  <c r="M22" i="41"/>
  <c r="L22" i="41"/>
  <c r="K22" i="41"/>
  <c r="J22" i="41"/>
  <c r="I22" i="41"/>
  <c r="H22" i="41"/>
  <c r="G22" i="41"/>
  <c r="F22" i="41"/>
  <c r="E22" i="41"/>
  <c r="D22" i="41"/>
  <c r="Q21" i="41"/>
  <c r="P21" i="41"/>
  <c r="O21" i="41"/>
  <c r="N21" i="41"/>
  <c r="M21" i="41"/>
  <c r="L21" i="41"/>
  <c r="K21" i="41"/>
  <c r="J21" i="41"/>
  <c r="I21" i="41"/>
  <c r="H21" i="41"/>
  <c r="G21" i="41"/>
  <c r="F21" i="41"/>
  <c r="E21" i="41"/>
  <c r="D21" i="41"/>
  <c r="Q20" i="41"/>
  <c r="P20" i="41"/>
  <c r="O20" i="41"/>
  <c r="N20" i="41"/>
  <c r="M20" i="41"/>
  <c r="L20" i="41"/>
  <c r="K20" i="41"/>
  <c r="J20" i="41"/>
  <c r="I20" i="41"/>
  <c r="H20" i="41"/>
  <c r="G20" i="41"/>
  <c r="F20" i="41"/>
  <c r="E20" i="41"/>
  <c r="D20" i="41"/>
  <c r="M103" i="58" l="1"/>
  <c r="L103" i="58"/>
  <c r="K103" i="58"/>
  <c r="J103" i="58"/>
  <c r="I103" i="58"/>
  <c r="H103" i="58"/>
  <c r="M102" i="58"/>
  <c r="L102" i="58"/>
  <c r="K102" i="58"/>
  <c r="J102" i="58"/>
  <c r="I102" i="58"/>
  <c r="H102" i="58"/>
  <c r="M101" i="58"/>
  <c r="L101" i="58"/>
  <c r="K101" i="58"/>
  <c r="J101" i="58"/>
  <c r="I101" i="58"/>
  <c r="H101" i="58"/>
  <c r="M100" i="58"/>
  <c r="L100" i="58"/>
  <c r="K100" i="58"/>
  <c r="J100" i="58"/>
  <c r="I100" i="58"/>
  <c r="H100" i="58"/>
  <c r="M99" i="58"/>
  <c r="L99" i="58"/>
  <c r="K99" i="58"/>
  <c r="J99" i="58"/>
  <c r="I99" i="58"/>
  <c r="H99" i="58"/>
  <c r="M98" i="58"/>
  <c r="L98" i="58"/>
  <c r="K98" i="58"/>
  <c r="J98" i="58"/>
  <c r="I98" i="58"/>
  <c r="H98" i="58"/>
  <c r="M97" i="58"/>
  <c r="L97" i="58"/>
  <c r="K97" i="58"/>
  <c r="J97" i="58"/>
  <c r="I97" i="58"/>
  <c r="H97" i="58"/>
  <c r="M96" i="58"/>
  <c r="L96" i="58"/>
  <c r="K96" i="58"/>
  <c r="J96" i="58"/>
  <c r="I96" i="58"/>
  <c r="H96" i="58"/>
  <c r="M95" i="58"/>
  <c r="L95" i="58"/>
  <c r="K95" i="58"/>
  <c r="J95" i="58"/>
  <c r="I95" i="58"/>
  <c r="H95" i="58"/>
  <c r="M94" i="58"/>
  <c r="L94" i="58"/>
  <c r="K94" i="58"/>
  <c r="J94" i="58"/>
  <c r="I94" i="58"/>
  <c r="H94" i="58"/>
  <c r="M93" i="58"/>
  <c r="L93" i="58"/>
  <c r="K93" i="58"/>
  <c r="J93" i="58"/>
  <c r="I93" i="58"/>
  <c r="H93" i="58"/>
  <c r="M92" i="58"/>
  <c r="L92" i="58"/>
  <c r="K92" i="58"/>
  <c r="J92" i="58"/>
  <c r="I92" i="58"/>
  <c r="H92" i="58"/>
  <c r="M91" i="58"/>
  <c r="L91" i="58"/>
  <c r="K91" i="58"/>
  <c r="J91" i="58"/>
  <c r="I91" i="58"/>
  <c r="H91" i="58"/>
  <c r="M90" i="58"/>
  <c r="L90" i="58"/>
  <c r="K90" i="58"/>
  <c r="J90" i="58"/>
  <c r="I90" i="58"/>
  <c r="H90" i="58"/>
  <c r="M89" i="58"/>
  <c r="L89" i="58"/>
  <c r="K89" i="58"/>
  <c r="J89" i="58"/>
  <c r="I89" i="58"/>
  <c r="H89" i="58"/>
  <c r="M88" i="58"/>
  <c r="L88" i="58"/>
  <c r="K88" i="58"/>
  <c r="J88" i="58"/>
  <c r="I88" i="58"/>
  <c r="H88" i="58"/>
  <c r="M87" i="58"/>
  <c r="L87" i="58"/>
  <c r="K87" i="58"/>
  <c r="J87" i="58"/>
  <c r="I87" i="58"/>
  <c r="H87" i="58"/>
  <c r="M86" i="58"/>
  <c r="L86" i="58"/>
  <c r="K86" i="58"/>
  <c r="J86" i="58"/>
  <c r="I86" i="58"/>
  <c r="H86" i="58"/>
  <c r="M85" i="58"/>
  <c r="L85" i="58"/>
  <c r="K85" i="58"/>
  <c r="J85" i="58"/>
  <c r="I85" i="58"/>
  <c r="H85" i="58"/>
  <c r="M84" i="58"/>
  <c r="L84" i="58"/>
  <c r="K84" i="58"/>
  <c r="J84" i="58"/>
  <c r="I84" i="58"/>
  <c r="H84" i="58"/>
  <c r="M83" i="58"/>
  <c r="L83" i="58"/>
  <c r="K83" i="58"/>
  <c r="J83" i="58"/>
  <c r="I83" i="58"/>
  <c r="H83" i="58"/>
  <c r="M82" i="58"/>
  <c r="L82" i="58"/>
  <c r="K82" i="58"/>
  <c r="J82" i="58"/>
  <c r="I82" i="58"/>
  <c r="H82" i="58"/>
  <c r="M81" i="58"/>
  <c r="L81" i="58"/>
  <c r="K81" i="58"/>
  <c r="J81" i="58"/>
  <c r="I81" i="58"/>
  <c r="H81" i="58"/>
  <c r="M80" i="58"/>
  <c r="L80" i="58"/>
  <c r="K80" i="58"/>
  <c r="J80" i="58"/>
  <c r="I80" i="58"/>
  <c r="H80" i="58"/>
  <c r="M79" i="58"/>
  <c r="L79" i="58"/>
  <c r="K79" i="58"/>
  <c r="J79" i="58"/>
  <c r="I79" i="58"/>
  <c r="H79" i="58"/>
  <c r="M78" i="58"/>
  <c r="L78" i="58"/>
  <c r="K78" i="58"/>
  <c r="J78" i="58"/>
  <c r="I78" i="58"/>
  <c r="H78" i="58"/>
  <c r="M77" i="58"/>
  <c r="L77" i="58"/>
  <c r="K77" i="58"/>
  <c r="J77" i="58"/>
  <c r="I77" i="58"/>
  <c r="H77" i="58"/>
  <c r="M76" i="58"/>
  <c r="L76" i="58"/>
  <c r="K76" i="58"/>
  <c r="J76" i="58"/>
  <c r="I76" i="58"/>
  <c r="H76" i="58"/>
  <c r="M75" i="58"/>
  <c r="L75" i="58"/>
  <c r="K75" i="58"/>
  <c r="J75" i="58"/>
  <c r="I75" i="58"/>
  <c r="H75" i="58"/>
  <c r="M74" i="58"/>
  <c r="L74" i="58"/>
  <c r="K74" i="58"/>
  <c r="J74" i="58"/>
  <c r="I74" i="58"/>
  <c r="H74" i="58"/>
  <c r="M73" i="58"/>
  <c r="L73" i="58"/>
  <c r="K73" i="58"/>
  <c r="J73" i="58"/>
  <c r="I73" i="58"/>
  <c r="H73" i="58"/>
  <c r="M72" i="58"/>
  <c r="L72" i="58"/>
  <c r="K72" i="58"/>
  <c r="J72" i="58"/>
  <c r="I72" i="58"/>
  <c r="H72" i="58"/>
  <c r="M71" i="58"/>
  <c r="L71" i="58"/>
  <c r="K71" i="58"/>
  <c r="J71" i="58"/>
  <c r="I71" i="58"/>
  <c r="H71" i="58"/>
  <c r="M70" i="58"/>
  <c r="L70" i="58"/>
  <c r="K70" i="58"/>
  <c r="J70" i="58"/>
  <c r="I70" i="58"/>
  <c r="H70" i="58"/>
  <c r="M69" i="58"/>
  <c r="L69" i="58"/>
  <c r="K69" i="58"/>
  <c r="J69" i="58"/>
  <c r="I69" i="58"/>
  <c r="H69" i="58"/>
  <c r="M68" i="58"/>
  <c r="L68" i="58"/>
  <c r="K68" i="58"/>
  <c r="J68" i="58"/>
  <c r="I68" i="58"/>
  <c r="H68" i="58"/>
  <c r="M67" i="58"/>
  <c r="L67" i="58"/>
  <c r="K67" i="58"/>
  <c r="J67" i="58"/>
  <c r="I67" i="58"/>
  <c r="H67" i="58"/>
  <c r="M66" i="58"/>
  <c r="L66" i="58"/>
  <c r="K66" i="58"/>
  <c r="J66" i="58"/>
  <c r="I66" i="58"/>
  <c r="H66" i="58"/>
  <c r="M65" i="58"/>
  <c r="L65" i="58"/>
  <c r="K65" i="58"/>
  <c r="J65" i="58"/>
  <c r="I65" i="58"/>
  <c r="H65" i="58"/>
  <c r="M64" i="58"/>
  <c r="L64" i="58"/>
  <c r="K64" i="58"/>
  <c r="J64" i="58"/>
  <c r="I64" i="58"/>
  <c r="H64" i="58"/>
  <c r="M63" i="58"/>
  <c r="L63" i="58"/>
  <c r="K63" i="58"/>
  <c r="J63" i="58"/>
  <c r="I63" i="58"/>
  <c r="H63" i="58"/>
  <c r="M62" i="58"/>
  <c r="L62" i="58"/>
  <c r="K62" i="58"/>
  <c r="J62" i="58"/>
  <c r="I62" i="58"/>
  <c r="H62" i="58"/>
  <c r="M61" i="58"/>
  <c r="L61" i="58"/>
  <c r="K61" i="58"/>
  <c r="J61" i="58"/>
  <c r="I61" i="58"/>
  <c r="H61" i="58"/>
  <c r="M60" i="58"/>
  <c r="L60" i="58"/>
  <c r="K60" i="58"/>
  <c r="J60" i="58"/>
  <c r="I60" i="58"/>
  <c r="H60" i="58"/>
  <c r="M59" i="58"/>
  <c r="L59" i="58"/>
  <c r="K59" i="58"/>
  <c r="J59" i="58"/>
  <c r="I59" i="58"/>
  <c r="H59" i="58"/>
  <c r="M58" i="58"/>
  <c r="L58" i="58"/>
  <c r="K58" i="58"/>
  <c r="J58" i="58"/>
  <c r="I58" i="58"/>
  <c r="H58" i="58"/>
  <c r="M57" i="58"/>
  <c r="L57" i="58"/>
  <c r="K57" i="58"/>
  <c r="J57" i="58"/>
  <c r="I57" i="58"/>
  <c r="H57" i="58"/>
  <c r="M56" i="58"/>
  <c r="L56" i="58"/>
  <c r="K56" i="58"/>
  <c r="J56" i="58"/>
  <c r="I56" i="58"/>
  <c r="H56" i="58"/>
  <c r="M55" i="58"/>
  <c r="L55" i="58"/>
  <c r="K55" i="58"/>
  <c r="J55" i="58"/>
  <c r="I55" i="58"/>
  <c r="H55" i="58"/>
  <c r="M54" i="58"/>
  <c r="L54" i="58"/>
  <c r="K54" i="58"/>
  <c r="J54" i="58"/>
  <c r="I54" i="58"/>
  <c r="H54" i="58"/>
  <c r="M53" i="58"/>
  <c r="L53" i="58"/>
  <c r="K53" i="58"/>
  <c r="J53" i="58"/>
  <c r="I53" i="58"/>
  <c r="H53" i="58"/>
  <c r="M52" i="58"/>
  <c r="L52" i="58"/>
  <c r="K52" i="58"/>
  <c r="J52" i="58"/>
  <c r="I52" i="58"/>
  <c r="H52" i="58"/>
  <c r="M51" i="58"/>
  <c r="L51" i="58"/>
  <c r="K51" i="58"/>
  <c r="J51" i="58"/>
  <c r="I51" i="58"/>
  <c r="H51" i="58"/>
  <c r="M50" i="58"/>
  <c r="L50" i="58"/>
  <c r="K50" i="58"/>
  <c r="J50" i="58"/>
  <c r="I50" i="58"/>
  <c r="H50" i="58"/>
  <c r="M49" i="58"/>
  <c r="L49" i="58"/>
  <c r="K49" i="58"/>
  <c r="J49" i="58"/>
  <c r="I49" i="58"/>
  <c r="H49" i="58"/>
  <c r="M48" i="58"/>
  <c r="L48" i="58"/>
  <c r="K48" i="58"/>
  <c r="J48" i="58"/>
  <c r="I48" i="58"/>
  <c r="H48" i="58"/>
  <c r="M47" i="58"/>
  <c r="L47" i="58"/>
  <c r="K47" i="58"/>
  <c r="J47" i="58"/>
  <c r="I47" i="58"/>
  <c r="H47" i="58"/>
  <c r="M46" i="58"/>
  <c r="L46" i="58"/>
  <c r="K46" i="58"/>
  <c r="J46" i="58"/>
  <c r="I46" i="58"/>
  <c r="H46" i="58"/>
  <c r="M45" i="58"/>
  <c r="L45" i="58"/>
  <c r="K45" i="58"/>
  <c r="J45" i="58"/>
  <c r="I45" i="58"/>
  <c r="H45" i="58"/>
  <c r="M44" i="58"/>
  <c r="L44" i="58"/>
  <c r="K44" i="58"/>
  <c r="J44" i="58"/>
  <c r="I44" i="58"/>
  <c r="H44" i="58"/>
  <c r="M43" i="58"/>
  <c r="L43" i="58"/>
  <c r="K43" i="58"/>
  <c r="J43" i="58"/>
  <c r="I43" i="58"/>
  <c r="H43" i="58"/>
  <c r="M42" i="58"/>
  <c r="L42" i="58"/>
  <c r="K42" i="58"/>
  <c r="J42" i="58"/>
  <c r="I42" i="58"/>
  <c r="H42" i="58"/>
  <c r="M41" i="58"/>
  <c r="L41" i="58"/>
  <c r="K41" i="58"/>
  <c r="J41" i="58"/>
  <c r="I41" i="58"/>
  <c r="H41" i="58"/>
  <c r="M40" i="58"/>
  <c r="L40" i="58"/>
  <c r="K40" i="58"/>
  <c r="J40" i="58"/>
  <c r="I40" i="58"/>
  <c r="H40" i="58"/>
  <c r="M39" i="58"/>
  <c r="L39" i="58"/>
  <c r="K39" i="58"/>
  <c r="J39" i="58"/>
  <c r="I39" i="58"/>
  <c r="H39" i="58"/>
  <c r="M38" i="58"/>
  <c r="L38" i="58"/>
  <c r="K38" i="58"/>
  <c r="J38" i="58"/>
  <c r="I38" i="58"/>
  <c r="H38" i="58"/>
  <c r="M37" i="58"/>
  <c r="L37" i="58"/>
  <c r="K37" i="58"/>
  <c r="J37" i="58"/>
  <c r="I37" i="58"/>
  <c r="H37" i="58"/>
  <c r="M36" i="58"/>
  <c r="L36" i="58"/>
  <c r="K36" i="58"/>
  <c r="J36" i="58"/>
  <c r="I36" i="58"/>
  <c r="H36" i="58"/>
  <c r="M35" i="58"/>
  <c r="L35" i="58"/>
  <c r="K35" i="58"/>
  <c r="J35" i="58"/>
  <c r="I35" i="58"/>
  <c r="H35" i="58"/>
  <c r="M34" i="58"/>
  <c r="L34" i="58"/>
  <c r="K34" i="58"/>
  <c r="J34" i="58"/>
  <c r="I34" i="58"/>
  <c r="H34" i="58"/>
  <c r="M33" i="58"/>
  <c r="L33" i="58"/>
  <c r="K33" i="58"/>
  <c r="J33" i="58"/>
  <c r="I33" i="58"/>
  <c r="H33" i="58"/>
  <c r="M32" i="58"/>
  <c r="L32" i="58"/>
  <c r="K32" i="58"/>
  <c r="J32" i="58"/>
  <c r="I32" i="58"/>
  <c r="H32" i="58"/>
  <c r="M31" i="58"/>
  <c r="L31" i="58"/>
  <c r="K31" i="58"/>
  <c r="J31" i="58"/>
  <c r="I31" i="58"/>
  <c r="H31" i="58"/>
  <c r="M30" i="58"/>
  <c r="L30" i="58"/>
  <c r="K30" i="58"/>
  <c r="J30" i="58"/>
  <c r="I30" i="58"/>
  <c r="H30" i="58"/>
  <c r="M29" i="58"/>
  <c r="L29" i="58"/>
  <c r="K29" i="58"/>
  <c r="J29" i="58"/>
  <c r="I29" i="58"/>
  <c r="H29" i="58"/>
  <c r="M28" i="58"/>
  <c r="L28" i="58"/>
  <c r="K28" i="58"/>
  <c r="J28" i="58"/>
  <c r="I28" i="58"/>
  <c r="H28" i="58"/>
  <c r="M27" i="58"/>
  <c r="L27" i="58"/>
  <c r="K27" i="58"/>
  <c r="J27" i="58"/>
  <c r="I27" i="58"/>
  <c r="H27" i="58"/>
  <c r="M26" i="58"/>
  <c r="L26" i="58"/>
  <c r="K26" i="58"/>
  <c r="J26" i="58"/>
  <c r="I26" i="58"/>
  <c r="H26" i="58"/>
  <c r="M25" i="58"/>
  <c r="L25" i="58"/>
  <c r="K25" i="58"/>
  <c r="J25" i="58"/>
  <c r="I25" i="58"/>
  <c r="H25" i="58"/>
  <c r="M24" i="58"/>
  <c r="L24" i="58"/>
  <c r="K24" i="58"/>
  <c r="J24" i="58"/>
  <c r="I24" i="58"/>
  <c r="H24" i="58"/>
  <c r="M23" i="58"/>
  <c r="L23" i="58"/>
  <c r="K23" i="58"/>
  <c r="J23" i="58"/>
  <c r="I23" i="58"/>
  <c r="H23" i="58"/>
  <c r="M22" i="58"/>
  <c r="L22" i="58"/>
  <c r="K22" i="58"/>
  <c r="J22" i="58"/>
  <c r="I22" i="58"/>
  <c r="H22" i="58"/>
  <c r="M21" i="58"/>
  <c r="L21" i="58"/>
  <c r="K21" i="58"/>
  <c r="J21" i="58"/>
  <c r="I21" i="58"/>
  <c r="H21" i="58"/>
  <c r="M20" i="58"/>
  <c r="L20" i="58"/>
  <c r="K20" i="58"/>
  <c r="J20" i="58"/>
  <c r="I20" i="58"/>
  <c r="H20" i="58"/>
  <c r="M19" i="58"/>
  <c r="L19" i="58"/>
  <c r="K19" i="58"/>
  <c r="J19" i="58"/>
  <c r="I19" i="58"/>
  <c r="H19" i="58"/>
  <c r="M18" i="58"/>
  <c r="L18" i="58"/>
  <c r="K18" i="58"/>
  <c r="J18" i="58"/>
  <c r="I18" i="58"/>
  <c r="H18" i="58"/>
  <c r="M17" i="58"/>
  <c r="L17" i="58"/>
  <c r="K17" i="58"/>
  <c r="J17" i="58"/>
  <c r="I17" i="58"/>
  <c r="H17" i="58"/>
  <c r="M16" i="58"/>
  <c r="L16" i="58"/>
  <c r="K16" i="58"/>
  <c r="J16" i="58"/>
  <c r="I16" i="58"/>
  <c r="H16" i="58"/>
  <c r="M15" i="58"/>
  <c r="L15" i="58"/>
  <c r="K15" i="58"/>
  <c r="J15" i="58"/>
  <c r="I15" i="58"/>
  <c r="H15" i="58"/>
  <c r="M14" i="58"/>
  <c r="L14" i="58"/>
  <c r="K14" i="58"/>
  <c r="J14" i="58"/>
  <c r="I14" i="58"/>
  <c r="H14" i="58"/>
  <c r="M13" i="58"/>
  <c r="L13" i="58"/>
  <c r="K13" i="58"/>
  <c r="J13" i="58"/>
  <c r="I13" i="58"/>
  <c r="H13" i="58"/>
  <c r="M12" i="58"/>
  <c r="L12" i="58"/>
  <c r="K12" i="58"/>
  <c r="J12" i="58"/>
  <c r="I12" i="58"/>
  <c r="H12" i="58"/>
  <c r="M11" i="58"/>
  <c r="L11" i="58"/>
  <c r="K11" i="58"/>
  <c r="J11" i="58"/>
  <c r="I11" i="58"/>
  <c r="H11" i="58"/>
  <c r="M10" i="58"/>
  <c r="L10" i="58"/>
  <c r="K10" i="58"/>
  <c r="J10" i="58"/>
  <c r="I10" i="58"/>
  <c r="H10" i="58"/>
  <c r="M9" i="58"/>
  <c r="L9" i="58"/>
  <c r="K9" i="58"/>
  <c r="J9" i="58"/>
  <c r="I9" i="58"/>
  <c r="H9" i="58"/>
  <c r="M8" i="58"/>
  <c r="L8" i="58"/>
  <c r="K8" i="58"/>
  <c r="J8" i="58"/>
  <c r="I8" i="58"/>
  <c r="H8" i="58"/>
  <c r="F103" i="58"/>
  <c r="E103" i="58"/>
  <c r="D103" i="58"/>
  <c r="C103" i="58"/>
  <c r="B103" i="58"/>
  <c r="F102" i="58"/>
  <c r="E102" i="58"/>
  <c r="D102" i="58"/>
  <c r="C102" i="58"/>
  <c r="B102" i="58"/>
  <c r="F101" i="58"/>
  <c r="E101" i="58"/>
  <c r="D101" i="58"/>
  <c r="C101" i="58"/>
  <c r="B101" i="58"/>
  <c r="F100" i="58"/>
  <c r="E100" i="58"/>
  <c r="D100" i="58"/>
  <c r="C100" i="58"/>
  <c r="B100" i="58"/>
  <c r="F99" i="58"/>
  <c r="E99" i="58"/>
  <c r="D99" i="58"/>
  <c r="C99" i="58"/>
  <c r="B99" i="58"/>
  <c r="F98" i="58"/>
  <c r="E98" i="58"/>
  <c r="D98" i="58"/>
  <c r="C98" i="58"/>
  <c r="B98" i="58"/>
  <c r="F97" i="58"/>
  <c r="E97" i="58"/>
  <c r="D97" i="58"/>
  <c r="C97" i="58"/>
  <c r="B97" i="58"/>
  <c r="F96" i="58"/>
  <c r="E96" i="58"/>
  <c r="D96" i="58"/>
  <c r="C96" i="58"/>
  <c r="B96" i="58"/>
  <c r="F95" i="58"/>
  <c r="E95" i="58"/>
  <c r="D95" i="58"/>
  <c r="C95" i="58"/>
  <c r="B95" i="58"/>
  <c r="F94" i="58"/>
  <c r="E94" i="58"/>
  <c r="D94" i="58"/>
  <c r="C94" i="58"/>
  <c r="B94" i="58"/>
  <c r="F93" i="58"/>
  <c r="E93" i="58"/>
  <c r="D93" i="58"/>
  <c r="C93" i="58"/>
  <c r="B93" i="58"/>
  <c r="F92" i="58"/>
  <c r="E92" i="58"/>
  <c r="D92" i="58"/>
  <c r="C92" i="58"/>
  <c r="B92" i="58"/>
  <c r="F91" i="58"/>
  <c r="E91" i="58"/>
  <c r="D91" i="58"/>
  <c r="C91" i="58"/>
  <c r="B91" i="58"/>
  <c r="F90" i="58"/>
  <c r="E90" i="58"/>
  <c r="D90" i="58"/>
  <c r="C90" i="58"/>
  <c r="B90" i="58"/>
  <c r="F89" i="58"/>
  <c r="E89" i="58"/>
  <c r="D89" i="58"/>
  <c r="C89" i="58"/>
  <c r="B89" i="58"/>
  <c r="F88" i="58"/>
  <c r="E88" i="58"/>
  <c r="D88" i="58"/>
  <c r="C88" i="58"/>
  <c r="B88" i="58"/>
  <c r="F87" i="58"/>
  <c r="E87" i="58"/>
  <c r="D87" i="58"/>
  <c r="C87" i="58"/>
  <c r="B87" i="58"/>
  <c r="F86" i="58"/>
  <c r="E86" i="58"/>
  <c r="D86" i="58"/>
  <c r="C86" i="58"/>
  <c r="B86" i="58"/>
  <c r="F85" i="58"/>
  <c r="E85" i="58"/>
  <c r="D85" i="58"/>
  <c r="C85" i="58"/>
  <c r="B85" i="58"/>
  <c r="F84" i="58"/>
  <c r="E84" i="58"/>
  <c r="D84" i="58"/>
  <c r="C84" i="58"/>
  <c r="B84" i="58"/>
  <c r="F83" i="58"/>
  <c r="E83" i="58"/>
  <c r="D83" i="58"/>
  <c r="C83" i="58"/>
  <c r="B83" i="58"/>
  <c r="F82" i="58"/>
  <c r="E82" i="58"/>
  <c r="D82" i="58"/>
  <c r="C82" i="58"/>
  <c r="B82" i="58"/>
  <c r="F81" i="58"/>
  <c r="E81" i="58"/>
  <c r="D81" i="58"/>
  <c r="C81" i="58"/>
  <c r="B81" i="58"/>
  <c r="F80" i="58"/>
  <c r="E80" i="58"/>
  <c r="D80" i="58"/>
  <c r="C80" i="58"/>
  <c r="B80" i="58"/>
  <c r="F79" i="58"/>
  <c r="E79" i="58"/>
  <c r="D79" i="58"/>
  <c r="C79" i="58"/>
  <c r="B79" i="58"/>
  <c r="F78" i="58"/>
  <c r="E78" i="58"/>
  <c r="D78" i="58"/>
  <c r="C78" i="58"/>
  <c r="B78" i="58"/>
  <c r="F77" i="58"/>
  <c r="E77" i="58"/>
  <c r="D77" i="58"/>
  <c r="C77" i="58"/>
  <c r="B77" i="58"/>
  <c r="F76" i="58"/>
  <c r="E76" i="58"/>
  <c r="D76" i="58"/>
  <c r="C76" i="58"/>
  <c r="B76" i="58"/>
  <c r="F75" i="58"/>
  <c r="E75" i="58"/>
  <c r="D75" i="58"/>
  <c r="C75" i="58"/>
  <c r="B75" i="58"/>
  <c r="F74" i="58"/>
  <c r="E74" i="58"/>
  <c r="D74" i="58"/>
  <c r="C74" i="58"/>
  <c r="B74" i="58"/>
  <c r="F73" i="58"/>
  <c r="E73" i="58"/>
  <c r="D73" i="58"/>
  <c r="C73" i="58"/>
  <c r="B73" i="58"/>
  <c r="F72" i="58"/>
  <c r="E72" i="58"/>
  <c r="D72" i="58"/>
  <c r="C72" i="58"/>
  <c r="B72" i="58"/>
  <c r="F71" i="58"/>
  <c r="E71" i="58"/>
  <c r="D71" i="58"/>
  <c r="C71" i="58"/>
  <c r="B71" i="58"/>
  <c r="F70" i="58"/>
  <c r="E70" i="58"/>
  <c r="D70" i="58"/>
  <c r="C70" i="58"/>
  <c r="B70" i="58"/>
  <c r="F69" i="58"/>
  <c r="E69" i="58"/>
  <c r="D69" i="58"/>
  <c r="C69" i="58"/>
  <c r="B69" i="58"/>
  <c r="F68" i="58"/>
  <c r="E68" i="58"/>
  <c r="D68" i="58"/>
  <c r="C68" i="58"/>
  <c r="B68" i="58"/>
  <c r="F67" i="58"/>
  <c r="E67" i="58"/>
  <c r="D67" i="58"/>
  <c r="C67" i="58"/>
  <c r="B67" i="58"/>
  <c r="F66" i="58"/>
  <c r="E66" i="58"/>
  <c r="D66" i="58"/>
  <c r="C66" i="58"/>
  <c r="B66" i="58"/>
  <c r="F65" i="58"/>
  <c r="E65" i="58"/>
  <c r="D65" i="58"/>
  <c r="C65" i="58"/>
  <c r="B65" i="58"/>
  <c r="F64" i="58"/>
  <c r="E64" i="58"/>
  <c r="D64" i="58"/>
  <c r="C64" i="58"/>
  <c r="B64" i="58"/>
  <c r="F63" i="58"/>
  <c r="E63" i="58"/>
  <c r="D63" i="58"/>
  <c r="C63" i="58"/>
  <c r="B63" i="58"/>
  <c r="F62" i="58"/>
  <c r="E62" i="58"/>
  <c r="D62" i="58"/>
  <c r="C62" i="58"/>
  <c r="B62" i="58"/>
  <c r="F61" i="58"/>
  <c r="E61" i="58"/>
  <c r="D61" i="58"/>
  <c r="C61" i="58"/>
  <c r="B61" i="58"/>
  <c r="F60" i="58"/>
  <c r="E60" i="58"/>
  <c r="D60" i="58"/>
  <c r="C60" i="58"/>
  <c r="B60" i="58"/>
  <c r="F59" i="58"/>
  <c r="E59" i="58"/>
  <c r="D59" i="58"/>
  <c r="C59" i="58"/>
  <c r="B59" i="58"/>
  <c r="F58" i="58"/>
  <c r="E58" i="58"/>
  <c r="D58" i="58"/>
  <c r="C58" i="58"/>
  <c r="B58" i="58"/>
  <c r="F57" i="58"/>
  <c r="E57" i="58"/>
  <c r="D57" i="58"/>
  <c r="C57" i="58"/>
  <c r="B57" i="58"/>
  <c r="F56" i="58"/>
  <c r="E56" i="58"/>
  <c r="D56" i="58"/>
  <c r="C56" i="58"/>
  <c r="B56" i="58"/>
  <c r="F55" i="58"/>
  <c r="E55" i="58"/>
  <c r="D55" i="58"/>
  <c r="C55" i="58"/>
  <c r="B55" i="58"/>
  <c r="F54" i="58"/>
  <c r="E54" i="58"/>
  <c r="D54" i="58"/>
  <c r="C54" i="58"/>
  <c r="B54" i="58"/>
  <c r="F53" i="58"/>
  <c r="E53" i="58"/>
  <c r="D53" i="58"/>
  <c r="C53" i="58"/>
  <c r="B53" i="58"/>
  <c r="F52" i="58"/>
  <c r="E52" i="58"/>
  <c r="D52" i="58"/>
  <c r="C52" i="58"/>
  <c r="B52" i="58"/>
  <c r="F51" i="58"/>
  <c r="E51" i="58"/>
  <c r="D51" i="58"/>
  <c r="C51" i="58"/>
  <c r="B51" i="58"/>
  <c r="F50" i="58"/>
  <c r="E50" i="58"/>
  <c r="D50" i="58"/>
  <c r="C50" i="58"/>
  <c r="B50" i="58"/>
  <c r="F49" i="58"/>
  <c r="E49" i="58"/>
  <c r="D49" i="58"/>
  <c r="C49" i="58"/>
  <c r="B49" i="58"/>
  <c r="F48" i="58"/>
  <c r="E48" i="58"/>
  <c r="D48" i="58"/>
  <c r="C48" i="58"/>
  <c r="B48" i="58"/>
  <c r="F47" i="58"/>
  <c r="E47" i="58"/>
  <c r="D47" i="58"/>
  <c r="C47" i="58"/>
  <c r="B47" i="58"/>
  <c r="F46" i="58"/>
  <c r="E46" i="58"/>
  <c r="D46" i="58"/>
  <c r="C46" i="58"/>
  <c r="B46" i="58"/>
  <c r="F45" i="58"/>
  <c r="E45" i="58"/>
  <c r="D45" i="58"/>
  <c r="C45" i="58"/>
  <c r="B45" i="58"/>
  <c r="F44" i="58"/>
  <c r="E44" i="58"/>
  <c r="D44" i="58"/>
  <c r="C44" i="58"/>
  <c r="B44" i="58"/>
  <c r="F43" i="58"/>
  <c r="E43" i="58"/>
  <c r="D43" i="58"/>
  <c r="C43" i="58"/>
  <c r="B43" i="58"/>
  <c r="F42" i="58"/>
  <c r="E42" i="58"/>
  <c r="D42" i="58"/>
  <c r="C42" i="58"/>
  <c r="B42" i="58"/>
  <c r="F41" i="58"/>
  <c r="E41" i="58"/>
  <c r="D41" i="58"/>
  <c r="C41" i="58"/>
  <c r="B41" i="58"/>
  <c r="F40" i="58"/>
  <c r="E40" i="58"/>
  <c r="D40" i="58"/>
  <c r="C40" i="58"/>
  <c r="B40" i="58"/>
  <c r="F39" i="58"/>
  <c r="E39" i="58"/>
  <c r="D39" i="58"/>
  <c r="C39" i="58"/>
  <c r="B39" i="58"/>
  <c r="F38" i="58"/>
  <c r="E38" i="58"/>
  <c r="D38" i="58"/>
  <c r="C38" i="58"/>
  <c r="B38" i="58"/>
  <c r="F37" i="58"/>
  <c r="E37" i="58"/>
  <c r="D37" i="58"/>
  <c r="C37" i="58"/>
  <c r="B37" i="58"/>
  <c r="F36" i="58"/>
  <c r="E36" i="58"/>
  <c r="D36" i="58"/>
  <c r="C36" i="58"/>
  <c r="B36" i="58"/>
  <c r="F35" i="58"/>
  <c r="E35" i="58"/>
  <c r="D35" i="58"/>
  <c r="C35" i="58"/>
  <c r="B35" i="58"/>
  <c r="F34" i="58"/>
  <c r="E34" i="58"/>
  <c r="D34" i="58"/>
  <c r="C34" i="58"/>
  <c r="B34" i="58"/>
  <c r="F33" i="58"/>
  <c r="E33" i="58"/>
  <c r="D33" i="58"/>
  <c r="C33" i="58"/>
  <c r="B33" i="58"/>
  <c r="F32" i="58"/>
  <c r="E32" i="58"/>
  <c r="D32" i="58"/>
  <c r="C32" i="58"/>
  <c r="B32" i="58"/>
  <c r="F31" i="58"/>
  <c r="E31" i="58"/>
  <c r="D31" i="58"/>
  <c r="C31" i="58"/>
  <c r="B31" i="58"/>
  <c r="F30" i="58"/>
  <c r="E30" i="58"/>
  <c r="D30" i="58"/>
  <c r="C30" i="58"/>
  <c r="B30" i="58"/>
  <c r="F29" i="58"/>
  <c r="E29" i="58"/>
  <c r="D29" i="58"/>
  <c r="C29" i="58"/>
  <c r="B29" i="58"/>
  <c r="F28" i="58"/>
  <c r="E28" i="58"/>
  <c r="D28" i="58"/>
  <c r="C28" i="58"/>
  <c r="B28" i="58"/>
  <c r="F27" i="58"/>
  <c r="E27" i="58"/>
  <c r="D27" i="58"/>
  <c r="C27" i="58"/>
  <c r="B27" i="58"/>
  <c r="F26" i="58"/>
  <c r="E26" i="58"/>
  <c r="D26" i="58"/>
  <c r="C26" i="58"/>
  <c r="B26" i="58"/>
  <c r="F25" i="58"/>
  <c r="E25" i="58"/>
  <c r="D25" i="58"/>
  <c r="C25" i="58"/>
  <c r="B25" i="58"/>
  <c r="F24" i="58"/>
  <c r="E24" i="58"/>
  <c r="D24" i="58"/>
  <c r="C24" i="58"/>
  <c r="B24" i="58"/>
  <c r="F23" i="58"/>
  <c r="E23" i="58"/>
  <c r="D23" i="58"/>
  <c r="C23" i="58"/>
  <c r="B23" i="58"/>
  <c r="F22" i="58"/>
  <c r="E22" i="58"/>
  <c r="D22" i="58"/>
  <c r="C22" i="58"/>
  <c r="B22" i="58"/>
  <c r="F21" i="58"/>
  <c r="E21" i="58"/>
  <c r="D21" i="58"/>
  <c r="C21" i="58"/>
  <c r="B21" i="58"/>
  <c r="F20" i="58"/>
  <c r="E20" i="58"/>
  <c r="D20" i="58"/>
  <c r="C20" i="58"/>
  <c r="B20" i="58"/>
  <c r="F19" i="58"/>
  <c r="E19" i="58"/>
  <c r="D19" i="58"/>
  <c r="C19" i="58"/>
  <c r="B19" i="58"/>
  <c r="F18" i="58"/>
  <c r="E18" i="58"/>
  <c r="D18" i="58"/>
  <c r="C18" i="58"/>
  <c r="B18" i="58"/>
  <c r="F17" i="58"/>
  <c r="E17" i="58"/>
  <c r="D17" i="58"/>
  <c r="C17" i="58"/>
  <c r="B17" i="58"/>
  <c r="F16" i="58"/>
  <c r="E16" i="58"/>
  <c r="D16" i="58"/>
  <c r="C16" i="58"/>
  <c r="B16" i="58"/>
  <c r="F15" i="58"/>
  <c r="E15" i="58"/>
  <c r="D15" i="58"/>
  <c r="C15" i="58"/>
  <c r="B15" i="58"/>
  <c r="F14" i="58"/>
  <c r="E14" i="58"/>
  <c r="D14" i="58"/>
  <c r="C14" i="58"/>
  <c r="B14" i="58"/>
  <c r="F13" i="58"/>
  <c r="E13" i="58"/>
  <c r="D13" i="58"/>
  <c r="C13" i="58"/>
  <c r="B13" i="58"/>
  <c r="F12" i="58"/>
  <c r="E12" i="58"/>
  <c r="D12" i="58"/>
  <c r="C12" i="58"/>
  <c r="B12" i="58"/>
  <c r="F11" i="58"/>
  <c r="E11" i="58"/>
  <c r="D11" i="58"/>
  <c r="C11" i="58"/>
  <c r="B11" i="58"/>
  <c r="F10" i="58"/>
  <c r="E10" i="58"/>
  <c r="D10" i="58"/>
  <c r="C10" i="58"/>
  <c r="B10" i="58"/>
  <c r="F9" i="58"/>
  <c r="E9" i="58"/>
  <c r="D9" i="58"/>
  <c r="C9" i="58"/>
  <c r="B9" i="58"/>
  <c r="F8" i="58"/>
  <c r="E8" i="58"/>
  <c r="D8" i="58"/>
  <c r="C8" i="58"/>
  <c r="B8" i="58"/>
  <c r="W103" i="58"/>
  <c r="W102" i="58"/>
  <c r="W101" i="58"/>
  <c r="W100" i="58"/>
  <c r="W99" i="58"/>
  <c r="W98" i="58"/>
  <c r="W97" i="58"/>
  <c r="W96" i="58"/>
  <c r="W95" i="58"/>
  <c r="W94" i="58"/>
  <c r="W93" i="58"/>
  <c r="W92" i="58"/>
  <c r="W91" i="58"/>
  <c r="W90" i="58"/>
  <c r="W89" i="58"/>
  <c r="W88" i="58"/>
  <c r="W87" i="58"/>
  <c r="W86" i="58"/>
  <c r="W85" i="58"/>
  <c r="W84" i="58"/>
  <c r="W83" i="58"/>
  <c r="W82" i="58"/>
  <c r="W81" i="58"/>
  <c r="W80" i="58"/>
  <c r="W79" i="58"/>
  <c r="W78" i="58"/>
  <c r="W77" i="58"/>
  <c r="W76" i="58"/>
  <c r="W75" i="58"/>
  <c r="W74" i="58"/>
  <c r="W73" i="58"/>
  <c r="W72" i="58"/>
  <c r="W71" i="58"/>
  <c r="W70" i="58"/>
  <c r="W69" i="58"/>
  <c r="W68" i="58"/>
  <c r="M103" i="64" l="1"/>
  <c r="L103" i="64"/>
  <c r="K103" i="64"/>
  <c r="J103" i="64"/>
  <c r="I103" i="64"/>
  <c r="H103" i="64"/>
  <c r="M102" i="64"/>
  <c r="L102" i="64"/>
  <c r="K102" i="64"/>
  <c r="J102" i="64"/>
  <c r="I102" i="64"/>
  <c r="H102" i="64"/>
  <c r="M101" i="64"/>
  <c r="L101" i="64"/>
  <c r="K101" i="64"/>
  <c r="J101" i="64"/>
  <c r="I101" i="64"/>
  <c r="H101" i="64"/>
  <c r="M100" i="64"/>
  <c r="L100" i="64"/>
  <c r="K100" i="64"/>
  <c r="J100" i="64"/>
  <c r="I100" i="64"/>
  <c r="H100" i="64"/>
  <c r="M99" i="64"/>
  <c r="L99" i="64"/>
  <c r="K99" i="64"/>
  <c r="J99" i="64"/>
  <c r="I99" i="64"/>
  <c r="H99" i="64"/>
  <c r="M98" i="64"/>
  <c r="L98" i="64"/>
  <c r="K98" i="64"/>
  <c r="J98" i="64"/>
  <c r="I98" i="64"/>
  <c r="H98" i="64"/>
  <c r="M97" i="64"/>
  <c r="L97" i="64"/>
  <c r="K97" i="64"/>
  <c r="J97" i="64"/>
  <c r="I97" i="64"/>
  <c r="H97" i="64"/>
  <c r="M96" i="64"/>
  <c r="L96" i="64"/>
  <c r="K96" i="64"/>
  <c r="J96" i="64"/>
  <c r="I96" i="64"/>
  <c r="H96" i="64"/>
  <c r="M95" i="64"/>
  <c r="L95" i="64"/>
  <c r="K95" i="64"/>
  <c r="J95" i="64"/>
  <c r="I95" i="64"/>
  <c r="H95" i="64"/>
  <c r="M94" i="64"/>
  <c r="L94" i="64"/>
  <c r="K94" i="64"/>
  <c r="J94" i="64"/>
  <c r="I94" i="64"/>
  <c r="H94" i="64"/>
  <c r="M93" i="64"/>
  <c r="L93" i="64"/>
  <c r="K93" i="64"/>
  <c r="J93" i="64"/>
  <c r="I93" i="64"/>
  <c r="H93" i="64"/>
  <c r="M92" i="64"/>
  <c r="L92" i="64"/>
  <c r="K92" i="64"/>
  <c r="J92" i="64"/>
  <c r="I92" i="64"/>
  <c r="H92" i="64"/>
  <c r="M91" i="64"/>
  <c r="L91" i="64"/>
  <c r="K91" i="64"/>
  <c r="J91" i="64"/>
  <c r="I91" i="64"/>
  <c r="H91" i="64"/>
  <c r="M90" i="64"/>
  <c r="L90" i="64"/>
  <c r="K90" i="64"/>
  <c r="J90" i="64"/>
  <c r="I90" i="64"/>
  <c r="H90" i="64"/>
  <c r="M89" i="64"/>
  <c r="L89" i="64"/>
  <c r="K89" i="64"/>
  <c r="J89" i="64"/>
  <c r="I89" i="64"/>
  <c r="H89" i="64"/>
  <c r="M88" i="64"/>
  <c r="L88" i="64"/>
  <c r="K88" i="64"/>
  <c r="J88" i="64"/>
  <c r="I88" i="64"/>
  <c r="H88" i="64"/>
  <c r="M87" i="64"/>
  <c r="L87" i="64"/>
  <c r="K87" i="64"/>
  <c r="J87" i="64"/>
  <c r="I87" i="64"/>
  <c r="H87" i="64"/>
  <c r="M86" i="64"/>
  <c r="L86" i="64"/>
  <c r="K86" i="64"/>
  <c r="J86" i="64"/>
  <c r="I86" i="64"/>
  <c r="H86" i="64"/>
  <c r="M85" i="64"/>
  <c r="L85" i="64"/>
  <c r="K85" i="64"/>
  <c r="J85" i="64"/>
  <c r="I85" i="64"/>
  <c r="H85" i="64"/>
  <c r="M84" i="64"/>
  <c r="L84" i="64"/>
  <c r="K84" i="64"/>
  <c r="J84" i="64"/>
  <c r="I84" i="64"/>
  <c r="H84" i="64"/>
  <c r="M83" i="64"/>
  <c r="L83" i="64"/>
  <c r="K83" i="64"/>
  <c r="J83" i="64"/>
  <c r="I83" i="64"/>
  <c r="H83" i="64"/>
  <c r="M82" i="64"/>
  <c r="L82" i="64"/>
  <c r="K82" i="64"/>
  <c r="J82" i="64"/>
  <c r="I82" i="64"/>
  <c r="H82" i="64"/>
  <c r="M81" i="64"/>
  <c r="L81" i="64"/>
  <c r="K81" i="64"/>
  <c r="J81" i="64"/>
  <c r="I81" i="64"/>
  <c r="H81" i="64"/>
  <c r="M80" i="64"/>
  <c r="L80" i="64"/>
  <c r="K80" i="64"/>
  <c r="J80" i="64"/>
  <c r="I80" i="64"/>
  <c r="H80" i="64"/>
  <c r="M79" i="64"/>
  <c r="L79" i="64"/>
  <c r="K79" i="64"/>
  <c r="J79" i="64"/>
  <c r="I79" i="64"/>
  <c r="H79" i="64"/>
  <c r="M78" i="64"/>
  <c r="L78" i="64"/>
  <c r="K78" i="64"/>
  <c r="J78" i="64"/>
  <c r="I78" i="64"/>
  <c r="H78" i="64"/>
  <c r="M77" i="64"/>
  <c r="L77" i="64"/>
  <c r="K77" i="64"/>
  <c r="J77" i="64"/>
  <c r="I77" i="64"/>
  <c r="H77" i="64"/>
  <c r="M76" i="64"/>
  <c r="L76" i="64"/>
  <c r="K76" i="64"/>
  <c r="J76" i="64"/>
  <c r="I76" i="64"/>
  <c r="H76" i="64"/>
  <c r="M75" i="64"/>
  <c r="L75" i="64"/>
  <c r="K75" i="64"/>
  <c r="J75" i="64"/>
  <c r="I75" i="64"/>
  <c r="H75" i="64"/>
  <c r="M74" i="64"/>
  <c r="L74" i="64"/>
  <c r="K74" i="64"/>
  <c r="J74" i="64"/>
  <c r="I74" i="64"/>
  <c r="H74" i="64"/>
  <c r="M73" i="64"/>
  <c r="L73" i="64"/>
  <c r="K73" i="64"/>
  <c r="J73" i="64"/>
  <c r="I73" i="64"/>
  <c r="H73" i="64"/>
  <c r="M72" i="64"/>
  <c r="L72" i="64"/>
  <c r="K72" i="64"/>
  <c r="J72" i="64"/>
  <c r="I72" i="64"/>
  <c r="H72" i="64"/>
  <c r="M71" i="64"/>
  <c r="L71" i="64"/>
  <c r="K71" i="64"/>
  <c r="J71" i="64"/>
  <c r="I71" i="64"/>
  <c r="H71" i="64"/>
  <c r="M70" i="64"/>
  <c r="L70" i="64"/>
  <c r="K70" i="64"/>
  <c r="J70" i="64"/>
  <c r="I70" i="64"/>
  <c r="H70" i="64"/>
  <c r="M69" i="64"/>
  <c r="L69" i="64"/>
  <c r="K69" i="64"/>
  <c r="J69" i="64"/>
  <c r="I69" i="64"/>
  <c r="H69" i="64"/>
  <c r="M68" i="64"/>
  <c r="L68" i="64"/>
  <c r="K68" i="64"/>
  <c r="J68" i="64"/>
  <c r="I68" i="64"/>
  <c r="H68" i="64"/>
  <c r="M67" i="64"/>
  <c r="L67" i="64"/>
  <c r="K67" i="64"/>
  <c r="J67" i="64"/>
  <c r="I67" i="64"/>
  <c r="H67" i="64"/>
  <c r="M66" i="64"/>
  <c r="L66" i="64"/>
  <c r="K66" i="64"/>
  <c r="J66" i="64"/>
  <c r="I66" i="64"/>
  <c r="H66" i="64"/>
  <c r="M65" i="64"/>
  <c r="L65" i="64"/>
  <c r="K65" i="64"/>
  <c r="J65" i="64"/>
  <c r="I65" i="64"/>
  <c r="H65" i="64"/>
  <c r="M64" i="64"/>
  <c r="L64" i="64"/>
  <c r="K64" i="64"/>
  <c r="J64" i="64"/>
  <c r="I64" i="64"/>
  <c r="H64" i="64"/>
  <c r="M63" i="64"/>
  <c r="L63" i="64"/>
  <c r="K63" i="64"/>
  <c r="J63" i="64"/>
  <c r="I63" i="64"/>
  <c r="H63" i="64"/>
  <c r="M62" i="64"/>
  <c r="L62" i="64"/>
  <c r="K62" i="64"/>
  <c r="J62" i="64"/>
  <c r="I62" i="64"/>
  <c r="H62" i="64"/>
  <c r="M61" i="64"/>
  <c r="L61" i="64"/>
  <c r="K61" i="64"/>
  <c r="J61" i="64"/>
  <c r="I61" i="64"/>
  <c r="H61" i="64"/>
  <c r="M60" i="64"/>
  <c r="L60" i="64"/>
  <c r="K60" i="64"/>
  <c r="J60" i="64"/>
  <c r="I60" i="64"/>
  <c r="H60" i="64"/>
  <c r="M59" i="64"/>
  <c r="L59" i="64"/>
  <c r="K59" i="64"/>
  <c r="J59" i="64"/>
  <c r="I59" i="64"/>
  <c r="H59" i="64"/>
  <c r="M58" i="64"/>
  <c r="L58" i="64"/>
  <c r="K58" i="64"/>
  <c r="J58" i="64"/>
  <c r="I58" i="64"/>
  <c r="H58" i="64"/>
  <c r="M57" i="64"/>
  <c r="L57" i="64"/>
  <c r="K57" i="64"/>
  <c r="J57" i="64"/>
  <c r="I57" i="64"/>
  <c r="H57" i="64"/>
  <c r="M56" i="64"/>
  <c r="L56" i="64"/>
  <c r="K56" i="64"/>
  <c r="J56" i="64"/>
  <c r="I56" i="64"/>
  <c r="H56" i="64"/>
  <c r="M55" i="64"/>
  <c r="L55" i="64"/>
  <c r="K55" i="64"/>
  <c r="J55" i="64"/>
  <c r="I55" i="64"/>
  <c r="H55" i="64"/>
  <c r="M54" i="64"/>
  <c r="L54" i="64"/>
  <c r="K54" i="64"/>
  <c r="J54" i="64"/>
  <c r="I54" i="64"/>
  <c r="H54" i="64"/>
  <c r="M53" i="64"/>
  <c r="L53" i="64"/>
  <c r="K53" i="64"/>
  <c r="J53" i="64"/>
  <c r="I53" i="64"/>
  <c r="H53" i="64"/>
  <c r="M52" i="64"/>
  <c r="L52" i="64"/>
  <c r="K52" i="64"/>
  <c r="J52" i="64"/>
  <c r="I52" i="64"/>
  <c r="H52" i="64"/>
  <c r="M51" i="64"/>
  <c r="L51" i="64"/>
  <c r="K51" i="64"/>
  <c r="J51" i="64"/>
  <c r="I51" i="64"/>
  <c r="H51" i="64"/>
  <c r="M50" i="64"/>
  <c r="L50" i="64"/>
  <c r="K50" i="64"/>
  <c r="J50" i="64"/>
  <c r="I50" i="64"/>
  <c r="H50" i="64"/>
  <c r="M49" i="64"/>
  <c r="L49" i="64"/>
  <c r="K49" i="64"/>
  <c r="J49" i="64"/>
  <c r="I49" i="64"/>
  <c r="H49" i="64"/>
  <c r="M48" i="64"/>
  <c r="L48" i="64"/>
  <c r="K48" i="64"/>
  <c r="J48" i="64"/>
  <c r="I48" i="64"/>
  <c r="H48" i="64"/>
  <c r="M47" i="64"/>
  <c r="L47" i="64"/>
  <c r="K47" i="64"/>
  <c r="J47" i="64"/>
  <c r="I47" i="64"/>
  <c r="H47" i="64"/>
  <c r="M46" i="64"/>
  <c r="L46" i="64"/>
  <c r="K46" i="64"/>
  <c r="J46" i="64"/>
  <c r="I46" i="64"/>
  <c r="H46" i="64"/>
  <c r="M45" i="64"/>
  <c r="L45" i="64"/>
  <c r="K45" i="64"/>
  <c r="J45" i="64"/>
  <c r="I45" i="64"/>
  <c r="H45" i="64"/>
  <c r="M44" i="64"/>
  <c r="L44" i="64"/>
  <c r="K44" i="64"/>
  <c r="J44" i="64"/>
  <c r="I44" i="64"/>
  <c r="H44" i="64"/>
  <c r="M43" i="64"/>
  <c r="L43" i="64"/>
  <c r="K43" i="64"/>
  <c r="J43" i="64"/>
  <c r="I43" i="64"/>
  <c r="H43" i="64"/>
  <c r="M42" i="64"/>
  <c r="L42" i="64"/>
  <c r="K42" i="64"/>
  <c r="J42" i="64"/>
  <c r="I42" i="64"/>
  <c r="H42" i="64"/>
  <c r="M41" i="64"/>
  <c r="L41" i="64"/>
  <c r="K41" i="64"/>
  <c r="J41" i="64"/>
  <c r="I41" i="64"/>
  <c r="H41" i="64"/>
  <c r="M40" i="64"/>
  <c r="L40" i="64"/>
  <c r="K40" i="64"/>
  <c r="J40" i="64"/>
  <c r="I40" i="64"/>
  <c r="H40" i="64"/>
  <c r="M39" i="64"/>
  <c r="L39" i="64"/>
  <c r="K39" i="64"/>
  <c r="J39" i="64"/>
  <c r="I39" i="64"/>
  <c r="H39" i="64"/>
  <c r="M38" i="64"/>
  <c r="L38" i="64"/>
  <c r="K38" i="64"/>
  <c r="J38" i="64"/>
  <c r="I38" i="64"/>
  <c r="H38" i="64"/>
  <c r="M37" i="64"/>
  <c r="L37" i="64"/>
  <c r="K37" i="64"/>
  <c r="J37" i="64"/>
  <c r="I37" i="64"/>
  <c r="H37" i="64"/>
  <c r="M36" i="64"/>
  <c r="L36" i="64"/>
  <c r="K36" i="64"/>
  <c r="J36" i="64"/>
  <c r="I36" i="64"/>
  <c r="H36" i="64"/>
  <c r="M35" i="64"/>
  <c r="L35" i="64"/>
  <c r="K35" i="64"/>
  <c r="J35" i="64"/>
  <c r="I35" i="64"/>
  <c r="H35" i="64"/>
  <c r="M34" i="64"/>
  <c r="L34" i="64"/>
  <c r="K34" i="64"/>
  <c r="J34" i="64"/>
  <c r="I34" i="64"/>
  <c r="H34" i="64"/>
  <c r="M33" i="64"/>
  <c r="L33" i="64"/>
  <c r="K33" i="64"/>
  <c r="J33" i="64"/>
  <c r="I33" i="64"/>
  <c r="H33" i="64"/>
  <c r="M32" i="64"/>
  <c r="L32" i="64"/>
  <c r="K32" i="64"/>
  <c r="J32" i="64"/>
  <c r="I32" i="64"/>
  <c r="H32" i="64"/>
  <c r="M31" i="64"/>
  <c r="L31" i="64"/>
  <c r="K31" i="64"/>
  <c r="J31" i="64"/>
  <c r="I31" i="64"/>
  <c r="H31" i="64"/>
  <c r="M30" i="64"/>
  <c r="L30" i="64"/>
  <c r="K30" i="64"/>
  <c r="J30" i="64"/>
  <c r="I30" i="64"/>
  <c r="H30" i="64"/>
  <c r="M29" i="64"/>
  <c r="L29" i="64"/>
  <c r="K29" i="64"/>
  <c r="J29" i="64"/>
  <c r="I29" i="64"/>
  <c r="H29" i="64"/>
  <c r="M28" i="64"/>
  <c r="L28" i="64"/>
  <c r="K28" i="64"/>
  <c r="J28" i="64"/>
  <c r="I28" i="64"/>
  <c r="H28" i="64"/>
  <c r="M27" i="64"/>
  <c r="L27" i="64"/>
  <c r="K27" i="64"/>
  <c r="J27" i="64"/>
  <c r="I27" i="64"/>
  <c r="H27" i="64"/>
  <c r="M26" i="64"/>
  <c r="L26" i="64"/>
  <c r="K26" i="64"/>
  <c r="J26" i="64"/>
  <c r="I26" i="64"/>
  <c r="H26" i="64"/>
  <c r="M25" i="64"/>
  <c r="L25" i="64"/>
  <c r="K25" i="64"/>
  <c r="J25" i="64"/>
  <c r="I25" i="64"/>
  <c r="H25" i="64"/>
  <c r="M24" i="64"/>
  <c r="L24" i="64"/>
  <c r="K24" i="64"/>
  <c r="J24" i="64"/>
  <c r="I24" i="64"/>
  <c r="H24" i="64"/>
  <c r="M23" i="64"/>
  <c r="L23" i="64"/>
  <c r="K23" i="64"/>
  <c r="J23" i="64"/>
  <c r="I23" i="64"/>
  <c r="H23" i="64"/>
  <c r="M22" i="64"/>
  <c r="L22" i="64"/>
  <c r="K22" i="64"/>
  <c r="J22" i="64"/>
  <c r="I22" i="64"/>
  <c r="H22" i="64"/>
  <c r="M21" i="64"/>
  <c r="L21" i="64"/>
  <c r="K21" i="64"/>
  <c r="J21" i="64"/>
  <c r="I21" i="64"/>
  <c r="H21" i="64"/>
  <c r="M20" i="64"/>
  <c r="L20" i="64"/>
  <c r="K20" i="64"/>
  <c r="J20" i="64"/>
  <c r="I20" i="64"/>
  <c r="H20" i="64"/>
  <c r="M19" i="64"/>
  <c r="L19" i="64"/>
  <c r="K19" i="64"/>
  <c r="J19" i="64"/>
  <c r="I19" i="64"/>
  <c r="H19" i="64"/>
  <c r="M18" i="64"/>
  <c r="L18" i="64"/>
  <c r="K18" i="64"/>
  <c r="J18" i="64"/>
  <c r="I18" i="64"/>
  <c r="H18" i="64"/>
  <c r="M17" i="64"/>
  <c r="L17" i="64"/>
  <c r="K17" i="64"/>
  <c r="J17" i="64"/>
  <c r="I17" i="64"/>
  <c r="H17" i="64"/>
  <c r="M16" i="64"/>
  <c r="L16" i="64"/>
  <c r="K16" i="64"/>
  <c r="J16" i="64"/>
  <c r="I16" i="64"/>
  <c r="H16" i="64"/>
  <c r="M15" i="64"/>
  <c r="L15" i="64"/>
  <c r="K15" i="64"/>
  <c r="J15" i="64"/>
  <c r="I15" i="64"/>
  <c r="H15" i="64"/>
  <c r="M14" i="64"/>
  <c r="L14" i="64"/>
  <c r="K14" i="64"/>
  <c r="J14" i="64"/>
  <c r="I14" i="64"/>
  <c r="H14" i="64"/>
  <c r="M13" i="64"/>
  <c r="L13" i="64"/>
  <c r="K13" i="64"/>
  <c r="J13" i="64"/>
  <c r="I13" i="64"/>
  <c r="H13" i="64"/>
  <c r="M12" i="64"/>
  <c r="L12" i="64"/>
  <c r="K12" i="64"/>
  <c r="J12" i="64"/>
  <c r="I12" i="64"/>
  <c r="H12" i="64"/>
  <c r="M11" i="64"/>
  <c r="L11" i="64"/>
  <c r="K11" i="64"/>
  <c r="J11" i="64"/>
  <c r="I11" i="64"/>
  <c r="H11" i="64"/>
  <c r="M10" i="64"/>
  <c r="L10" i="64"/>
  <c r="K10" i="64"/>
  <c r="J10" i="64"/>
  <c r="I10" i="64"/>
  <c r="H10" i="64"/>
  <c r="M9" i="64"/>
  <c r="L9" i="64"/>
  <c r="K9" i="64"/>
  <c r="J9" i="64"/>
  <c r="I9" i="64"/>
  <c r="H9" i="64"/>
  <c r="M8" i="64"/>
  <c r="L8" i="64"/>
  <c r="K8" i="64"/>
  <c r="J8" i="64"/>
  <c r="I8" i="64"/>
  <c r="H8" i="64"/>
  <c r="F103" i="64"/>
  <c r="E103" i="64"/>
  <c r="D103" i="64"/>
  <c r="C103" i="64"/>
  <c r="B103" i="64"/>
  <c r="F102" i="64"/>
  <c r="E102" i="64"/>
  <c r="D102" i="64"/>
  <c r="C102" i="64"/>
  <c r="B102" i="64"/>
  <c r="F101" i="64"/>
  <c r="E101" i="64"/>
  <c r="D101" i="64"/>
  <c r="C101" i="64"/>
  <c r="B101" i="64"/>
  <c r="F100" i="64"/>
  <c r="E100" i="64"/>
  <c r="D100" i="64"/>
  <c r="C100" i="64"/>
  <c r="B100" i="64"/>
  <c r="F99" i="64"/>
  <c r="E99" i="64"/>
  <c r="D99" i="64"/>
  <c r="C99" i="64"/>
  <c r="B99" i="64"/>
  <c r="F98" i="64"/>
  <c r="E98" i="64"/>
  <c r="D98" i="64"/>
  <c r="C98" i="64"/>
  <c r="B98" i="64"/>
  <c r="F97" i="64"/>
  <c r="E97" i="64"/>
  <c r="D97" i="64"/>
  <c r="C97" i="64"/>
  <c r="B97" i="64"/>
  <c r="F96" i="64"/>
  <c r="E96" i="64"/>
  <c r="D96" i="64"/>
  <c r="C96" i="64"/>
  <c r="B96" i="64"/>
  <c r="F95" i="64"/>
  <c r="E95" i="64"/>
  <c r="D95" i="64"/>
  <c r="C95" i="64"/>
  <c r="B95" i="64"/>
  <c r="F94" i="64"/>
  <c r="E94" i="64"/>
  <c r="D94" i="64"/>
  <c r="C94" i="64"/>
  <c r="B94" i="64"/>
  <c r="F93" i="64"/>
  <c r="E93" i="64"/>
  <c r="D93" i="64"/>
  <c r="C93" i="64"/>
  <c r="B93" i="64"/>
  <c r="F92" i="64"/>
  <c r="E92" i="64"/>
  <c r="D92" i="64"/>
  <c r="C92" i="64"/>
  <c r="B92" i="64"/>
  <c r="F91" i="64"/>
  <c r="E91" i="64"/>
  <c r="D91" i="64"/>
  <c r="C91" i="64"/>
  <c r="B91" i="64"/>
  <c r="F90" i="64"/>
  <c r="E90" i="64"/>
  <c r="D90" i="64"/>
  <c r="C90" i="64"/>
  <c r="B90" i="64"/>
  <c r="F89" i="64"/>
  <c r="E89" i="64"/>
  <c r="D89" i="64"/>
  <c r="C89" i="64"/>
  <c r="B89" i="64"/>
  <c r="F88" i="64"/>
  <c r="E88" i="64"/>
  <c r="D88" i="64"/>
  <c r="C88" i="64"/>
  <c r="B88" i="64"/>
  <c r="F87" i="64"/>
  <c r="E87" i="64"/>
  <c r="D87" i="64"/>
  <c r="C87" i="64"/>
  <c r="B87" i="64"/>
  <c r="F86" i="64"/>
  <c r="E86" i="64"/>
  <c r="D86" i="64"/>
  <c r="C86" i="64"/>
  <c r="B86" i="64"/>
  <c r="F85" i="64"/>
  <c r="E85" i="64"/>
  <c r="D85" i="64"/>
  <c r="C85" i="64"/>
  <c r="B85" i="64"/>
  <c r="F84" i="64"/>
  <c r="E84" i="64"/>
  <c r="D84" i="64"/>
  <c r="C84" i="64"/>
  <c r="B84" i="64"/>
  <c r="F83" i="64"/>
  <c r="E83" i="64"/>
  <c r="D83" i="64"/>
  <c r="C83" i="64"/>
  <c r="B83" i="64"/>
  <c r="F82" i="64"/>
  <c r="E82" i="64"/>
  <c r="D82" i="64"/>
  <c r="C82" i="64"/>
  <c r="B82" i="64"/>
  <c r="F81" i="64"/>
  <c r="E81" i="64"/>
  <c r="D81" i="64"/>
  <c r="C81" i="64"/>
  <c r="B81" i="64"/>
  <c r="F80" i="64"/>
  <c r="E80" i="64"/>
  <c r="D80" i="64"/>
  <c r="C80" i="64"/>
  <c r="B80" i="64"/>
  <c r="F79" i="64"/>
  <c r="E79" i="64"/>
  <c r="D79" i="64"/>
  <c r="C79" i="64"/>
  <c r="B79" i="64"/>
  <c r="F78" i="64"/>
  <c r="E78" i="64"/>
  <c r="D78" i="64"/>
  <c r="C78" i="64"/>
  <c r="B78" i="64"/>
  <c r="F77" i="64"/>
  <c r="E77" i="64"/>
  <c r="D77" i="64"/>
  <c r="C77" i="64"/>
  <c r="B77" i="64"/>
  <c r="F76" i="64"/>
  <c r="E76" i="64"/>
  <c r="D76" i="64"/>
  <c r="C76" i="64"/>
  <c r="B76" i="64"/>
  <c r="F75" i="64"/>
  <c r="E75" i="64"/>
  <c r="D75" i="64"/>
  <c r="C75" i="64"/>
  <c r="B75" i="64"/>
  <c r="F74" i="64"/>
  <c r="E74" i="64"/>
  <c r="D74" i="64"/>
  <c r="C74" i="64"/>
  <c r="B74" i="64"/>
  <c r="F73" i="64"/>
  <c r="E73" i="64"/>
  <c r="D73" i="64"/>
  <c r="C73" i="64"/>
  <c r="B73" i="64"/>
  <c r="F72" i="64"/>
  <c r="E72" i="64"/>
  <c r="D72" i="64"/>
  <c r="C72" i="64"/>
  <c r="B72" i="64"/>
  <c r="F71" i="64"/>
  <c r="E71" i="64"/>
  <c r="D71" i="64"/>
  <c r="C71" i="64"/>
  <c r="B71" i="64"/>
  <c r="F70" i="64"/>
  <c r="E70" i="64"/>
  <c r="D70" i="64"/>
  <c r="C70" i="64"/>
  <c r="B70" i="64"/>
  <c r="F69" i="64"/>
  <c r="E69" i="64"/>
  <c r="D69" i="64"/>
  <c r="C69" i="64"/>
  <c r="B69" i="64"/>
  <c r="F68" i="64"/>
  <c r="E68" i="64"/>
  <c r="D68" i="64"/>
  <c r="C68" i="64"/>
  <c r="B68" i="64"/>
  <c r="F67" i="64"/>
  <c r="E67" i="64"/>
  <c r="D67" i="64"/>
  <c r="C67" i="64"/>
  <c r="B67" i="64"/>
  <c r="F66" i="64"/>
  <c r="E66" i="64"/>
  <c r="D66" i="64"/>
  <c r="C66" i="64"/>
  <c r="B66" i="64"/>
  <c r="F65" i="64"/>
  <c r="E65" i="64"/>
  <c r="D65" i="64"/>
  <c r="C65" i="64"/>
  <c r="B65" i="64"/>
  <c r="F64" i="64"/>
  <c r="E64" i="64"/>
  <c r="D64" i="64"/>
  <c r="C64" i="64"/>
  <c r="B64" i="64"/>
  <c r="F63" i="64"/>
  <c r="E63" i="64"/>
  <c r="D63" i="64"/>
  <c r="C63" i="64"/>
  <c r="B63" i="64"/>
  <c r="F62" i="64"/>
  <c r="E62" i="64"/>
  <c r="D62" i="64"/>
  <c r="C62" i="64"/>
  <c r="B62" i="64"/>
  <c r="F61" i="64"/>
  <c r="E61" i="64"/>
  <c r="D61" i="64"/>
  <c r="C61" i="64"/>
  <c r="B61" i="64"/>
  <c r="F60" i="64"/>
  <c r="E60" i="64"/>
  <c r="D60" i="64"/>
  <c r="C60" i="64"/>
  <c r="B60" i="64"/>
  <c r="F59" i="64"/>
  <c r="E59" i="64"/>
  <c r="D59" i="64"/>
  <c r="C59" i="64"/>
  <c r="B59" i="64"/>
  <c r="F58" i="64"/>
  <c r="E58" i="64"/>
  <c r="D58" i="64"/>
  <c r="C58" i="64"/>
  <c r="B58" i="64"/>
  <c r="F57" i="64"/>
  <c r="E57" i="64"/>
  <c r="D57" i="64"/>
  <c r="C57" i="64"/>
  <c r="B57" i="64"/>
  <c r="F56" i="64"/>
  <c r="E56" i="64"/>
  <c r="D56" i="64"/>
  <c r="C56" i="64"/>
  <c r="B56" i="64"/>
  <c r="F55" i="64"/>
  <c r="E55" i="64"/>
  <c r="D55" i="64"/>
  <c r="C55" i="64"/>
  <c r="B55" i="64"/>
  <c r="F54" i="64"/>
  <c r="E54" i="64"/>
  <c r="D54" i="64"/>
  <c r="C54" i="64"/>
  <c r="B54" i="64"/>
  <c r="F53" i="64"/>
  <c r="E53" i="64"/>
  <c r="D53" i="64"/>
  <c r="C53" i="64"/>
  <c r="B53" i="64"/>
  <c r="F52" i="64"/>
  <c r="E52" i="64"/>
  <c r="D52" i="64"/>
  <c r="C52" i="64"/>
  <c r="B52" i="64"/>
  <c r="F51" i="64"/>
  <c r="E51" i="64"/>
  <c r="D51" i="64"/>
  <c r="C51" i="64"/>
  <c r="B51" i="64"/>
  <c r="F50" i="64"/>
  <c r="E50" i="64"/>
  <c r="D50" i="64"/>
  <c r="C50" i="64"/>
  <c r="B50" i="64"/>
  <c r="F49" i="64"/>
  <c r="E49" i="64"/>
  <c r="D49" i="64"/>
  <c r="C49" i="64"/>
  <c r="B49" i="64"/>
  <c r="F48" i="64"/>
  <c r="E48" i="64"/>
  <c r="D48" i="64"/>
  <c r="C48" i="64"/>
  <c r="B48" i="64"/>
  <c r="F47" i="64"/>
  <c r="E47" i="64"/>
  <c r="D47" i="64"/>
  <c r="C47" i="64"/>
  <c r="B47" i="64"/>
  <c r="F46" i="64"/>
  <c r="E46" i="64"/>
  <c r="D46" i="64"/>
  <c r="C46" i="64"/>
  <c r="B46" i="64"/>
  <c r="F45" i="64"/>
  <c r="E45" i="64"/>
  <c r="D45" i="64"/>
  <c r="C45" i="64"/>
  <c r="B45" i="64"/>
  <c r="F44" i="64"/>
  <c r="E44" i="64"/>
  <c r="D44" i="64"/>
  <c r="C44" i="64"/>
  <c r="B44" i="64"/>
  <c r="F43" i="64"/>
  <c r="E43" i="64"/>
  <c r="D43" i="64"/>
  <c r="C43" i="64"/>
  <c r="B43" i="64"/>
  <c r="F42" i="64"/>
  <c r="E42" i="64"/>
  <c r="D42" i="64"/>
  <c r="C42" i="64"/>
  <c r="B42" i="64"/>
  <c r="F41" i="64"/>
  <c r="E41" i="64"/>
  <c r="D41" i="64"/>
  <c r="C41" i="64"/>
  <c r="B41" i="64"/>
  <c r="F40" i="64"/>
  <c r="E40" i="64"/>
  <c r="D40" i="64"/>
  <c r="C40" i="64"/>
  <c r="B40" i="64"/>
  <c r="F39" i="64"/>
  <c r="E39" i="64"/>
  <c r="D39" i="64"/>
  <c r="C39" i="64"/>
  <c r="B39" i="64"/>
  <c r="F38" i="64"/>
  <c r="E38" i="64"/>
  <c r="D38" i="64"/>
  <c r="C38" i="64"/>
  <c r="B38" i="64"/>
  <c r="F37" i="64"/>
  <c r="E37" i="64"/>
  <c r="D37" i="64"/>
  <c r="C37" i="64"/>
  <c r="B37" i="64"/>
  <c r="F36" i="64"/>
  <c r="E36" i="64"/>
  <c r="D36" i="64"/>
  <c r="C36" i="64"/>
  <c r="B36" i="64"/>
  <c r="F35" i="64"/>
  <c r="E35" i="64"/>
  <c r="D35" i="64"/>
  <c r="C35" i="64"/>
  <c r="B35" i="64"/>
  <c r="F34" i="64"/>
  <c r="E34" i="64"/>
  <c r="D34" i="64"/>
  <c r="C34" i="64"/>
  <c r="B34" i="64"/>
  <c r="F33" i="64"/>
  <c r="E33" i="64"/>
  <c r="D33" i="64"/>
  <c r="C33" i="64"/>
  <c r="B33" i="64"/>
  <c r="F32" i="64"/>
  <c r="E32" i="64"/>
  <c r="D32" i="64"/>
  <c r="C32" i="64"/>
  <c r="B32" i="64"/>
  <c r="F31" i="64"/>
  <c r="E31" i="64"/>
  <c r="D31" i="64"/>
  <c r="C31" i="64"/>
  <c r="B31" i="64"/>
  <c r="F30" i="64"/>
  <c r="E30" i="64"/>
  <c r="D30" i="64"/>
  <c r="C30" i="64"/>
  <c r="B30" i="64"/>
  <c r="F29" i="64"/>
  <c r="E29" i="64"/>
  <c r="D29" i="64"/>
  <c r="C29" i="64"/>
  <c r="B29" i="64"/>
  <c r="F28" i="64"/>
  <c r="E28" i="64"/>
  <c r="D28" i="64"/>
  <c r="C28" i="64"/>
  <c r="B28" i="64"/>
  <c r="F27" i="64"/>
  <c r="E27" i="64"/>
  <c r="D27" i="64"/>
  <c r="C27" i="64"/>
  <c r="B27" i="64"/>
  <c r="F26" i="64"/>
  <c r="E26" i="64"/>
  <c r="D26" i="64"/>
  <c r="C26" i="64"/>
  <c r="B26" i="64"/>
  <c r="F25" i="64"/>
  <c r="E25" i="64"/>
  <c r="D25" i="64"/>
  <c r="C25" i="64"/>
  <c r="B25" i="64"/>
  <c r="F24" i="64"/>
  <c r="E24" i="64"/>
  <c r="D24" i="64"/>
  <c r="C24" i="64"/>
  <c r="B24" i="64"/>
  <c r="F23" i="64"/>
  <c r="E23" i="64"/>
  <c r="D23" i="64"/>
  <c r="C23" i="64"/>
  <c r="B23" i="64"/>
  <c r="F22" i="64"/>
  <c r="E22" i="64"/>
  <c r="D22" i="64"/>
  <c r="C22" i="64"/>
  <c r="B22" i="64"/>
  <c r="F21" i="64"/>
  <c r="E21" i="64"/>
  <c r="D21" i="64"/>
  <c r="C21" i="64"/>
  <c r="B21" i="64"/>
  <c r="F20" i="64"/>
  <c r="E20" i="64"/>
  <c r="D20" i="64"/>
  <c r="C20" i="64"/>
  <c r="B20" i="64"/>
  <c r="F19" i="64"/>
  <c r="E19" i="64"/>
  <c r="D19" i="64"/>
  <c r="C19" i="64"/>
  <c r="B19" i="64"/>
  <c r="F18" i="64"/>
  <c r="E18" i="64"/>
  <c r="D18" i="64"/>
  <c r="C18" i="64"/>
  <c r="B18" i="64"/>
  <c r="F17" i="64"/>
  <c r="E17" i="64"/>
  <c r="D17" i="64"/>
  <c r="C17" i="64"/>
  <c r="B17" i="64"/>
  <c r="F16" i="64"/>
  <c r="E16" i="64"/>
  <c r="D16" i="64"/>
  <c r="C16" i="64"/>
  <c r="B16" i="64"/>
  <c r="F15" i="64"/>
  <c r="E15" i="64"/>
  <c r="D15" i="64"/>
  <c r="C15" i="64"/>
  <c r="B15" i="64"/>
  <c r="F14" i="64"/>
  <c r="E14" i="64"/>
  <c r="D14" i="64"/>
  <c r="C14" i="64"/>
  <c r="B14" i="64"/>
  <c r="F13" i="64"/>
  <c r="E13" i="64"/>
  <c r="D13" i="64"/>
  <c r="C13" i="64"/>
  <c r="B13" i="64"/>
  <c r="F12" i="64"/>
  <c r="E12" i="64"/>
  <c r="D12" i="64"/>
  <c r="C12" i="64"/>
  <c r="B12" i="64"/>
  <c r="F11" i="64"/>
  <c r="E11" i="64"/>
  <c r="D11" i="64"/>
  <c r="C11" i="64"/>
  <c r="B11" i="64"/>
  <c r="F10" i="64"/>
  <c r="E10" i="64"/>
  <c r="D10" i="64"/>
  <c r="C10" i="64"/>
  <c r="B10" i="64"/>
  <c r="F9" i="64"/>
  <c r="E9" i="64"/>
  <c r="D9" i="64"/>
  <c r="C9" i="64"/>
  <c r="B9" i="64"/>
  <c r="F8" i="64"/>
  <c r="E8" i="64"/>
  <c r="D8" i="64"/>
  <c r="C8" i="64"/>
  <c r="B8" i="64"/>
  <c r="W103" i="64"/>
  <c r="W102" i="64"/>
  <c r="W101" i="64"/>
  <c r="W100" i="64"/>
  <c r="W99" i="64"/>
  <c r="W98" i="64"/>
  <c r="W97" i="64"/>
  <c r="W96" i="64"/>
  <c r="W95" i="64"/>
  <c r="W94" i="64"/>
  <c r="W93" i="64"/>
  <c r="W92" i="64"/>
  <c r="W91" i="64"/>
  <c r="W90" i="64"/>
  <c r="W89" i="64"/>
  <c r="W88" i="64"/>
  <c r="W87" i="64"/>
  <c r="W86" i="64"/>
  <c r="W85" i="64"/>
  <c r="W84" i="64"/>
  <c r="W83" i="64"/>
  <c r="W82" i="64"/>
  <c r="W81" i="64"/>
  <c r="W80" i="64"/>
  <c r="W79" i="64"/>
  <c r="W78" i="64"/>
  <c r="W77" i="64"/>
  <c r="W76" i="64"/>
  <c r="W75" i="64"/>
  <c r="W74" i="64"/>
  <c r="W73" i="64"/>
  <c r="W72" i="64"/>
  <c r="W71" i="64"/>
  <c r="W70" i="64"/>
  <c r="W69" i="64"/>
  <c r="W68" i="64"/>
  <c r="W67" i="64"/>
  <c r="W66" i="64"/>
  <c r="W65" i="64"/>
  <c r="W64" i="64"/>
  <c r="W63" i="64"/>
  <c r="W62" i="64"/>
  <c r="W61" i="64"/>
  <c r="W60" i="64"/>
  <c r="W59" i="64"/>
  <c r="W58" i="64"/>
  <c r="W57" i="64"/>
  <c r="W56" i="64"/>
  <c r="W9" i="64"/>
  <c r="W10" i="64"/>
  <c r="W11" i="64"/>
  <c r="W12" i="64"/>
  <c r="W13" i="64"/>
  <c r="W14" i="64"/>
  <c r="W15" i="64"/>
  <c r="W16" i="64"/>
  <c r="W17" i="64"/>
  <c r="W18" i="64"/>
  <c r="W19" i="64"/>
  <c r="W20" i="64"/>
  <c r="W21" i="64"/>
  <c r="W22" i="64"/>
  <c r="W23" i="64"/>
  <c r="W24" i="64"/>
  <c r="W25" i="64"/>
  <c r="W26" i="64"/>
  <c r="W27" i="64"/>
  <c r="W28" i="64"/>
  <c r="W29" i="64"/>
  <c r="W30" i="64"/>
  <c r="W31" i="64"/>
  <c r="W32" i="64"/>
  <c r="W33" i="64"/>
  <c r="W34" i="64"/>
  <c r="W35" i="64"/>
  <c r="W36" i="64"/>
  <c r="W37" i="64"/>
  <c r="W38" i="64"/>
  <c r="W39" i="64"/>
  <c r="W40" i="64"/>
  <c r="W41" i="64"/>
  <c r="W42" i="64"/>
  <c r="W43" i="64"/>
  <c r="W44" i="64"/>
  <c r="W45" i="64"/>
  <c r="W46" i="64"/>
  <c r="W47" i="64"/>
  <c r="W48" i="64"/>
  <c r="W49" i="64"/>
  <c r="W50" i="64"/>
  <c r="W51" i="64"/>
  <c r="W52" i="64"/>
  <c r="W53" i="64"/>
  <c r="W54" i="64"/>
  <c r="W55" i="64"/>
  <c r="W8" i="64"/>
  <c r="W67" i="58" l="1"/>
  <c r="W66" i="58"/>
  <c r="W65" i="58"/>
  <c r="W64" i="58"/>
  <c r="W63" i="58"/>
  <c r="W62" i="58"/>
  <c r="W61" i="58"/>
  <c r="W60" i="58"/>
  <c r="W59" i="58"/>
  <c r="W58" i="58"/>
  <c r="W57" i="58"/>
  <c r="W56" i="58"/>
  <c r="W55" i="58"/>
  <c r="W54" i="58"/>
  <c r="W53" i="58"/>
  <c r="W52" i="58"/>
  <c r="W51" i="58"/>
  <c r="W50" i="58"/>
  <c r="W49" i="58"/>
  <c r="W48" i="58"/>
  <c r="W47" i="58"/>
  <c r="W46" i="58"/>
  <c r="W45" i="58"/>
  <c r="W44" i="58"/>
  <c r="W43" i="58"/>
  <c r="W42" i="58"/>
  <c r="W41" i="58"/>
  <c r="W40" i="58"/>
  <c r="W39" i="58"/>
  <c r="W38" i="58"/>
  <c r="W37" i="58"/>
  <c r="W36" i="58"/>
  <c r="W35" i="58"/>
  <c r="W34" i="58"/>
  <c r="W33" i="58"/>
  <c r="W32" i="58"/>
  <c r="W31" i="58"/>
  <c r="W30" i="58"/>
  <c r="W29" i="58"/>
  <c r="W28" i="58"/>
  <c r="W27" i="58"/>
  <c r="W26" i="58"/>
  <c r="W25" i="58"/>
  <c r="W24" i="58"/>
  <c r="W23" i="58"/>
  <c r="W22" i="58"/>
  <c r="W21" i="58"/>
  <c r="W20" i="58"/>
  <c r="W19" i="58"/>
  <c r="W18" i="58"/>
  <c r="W17" i="58"/>
  <c r="W16" i="58"/>
  <c r="W15" i="58"/>
  <c r="W14" i="58"/>
  <c r="W13" i="58"/>
  <c r="W12" i="58"/>
  <c r="W11" i="58"/>
  <c r="W10" i="58"/>
  <c r="W9" i="58"/>
  <c r="W8" i="58"/>
  <c r="E4" i="89"/>
  <c r="B4" i="89"/>
  <c r="M104" i="89"/>
  <c r="L104" i="89"/>
  <c r="K104" i="89"/>
  <c r="J104" i="89"/>
  <c r="J105" i="89" s="1"/>
  <c r="I104" i="89"/>
  <c r="I105" i="89" s="1"/>
  <c r="H104" i="89"/>
  <c r="H105" i="89" s="1"/>
  <c r="F104" i="89"/>
  <c r="E104" i="89"/>
  <c r="D104" i="89"/>
  <c r="D105" i="89" s="1"/>
  <c r="C104" i="89"/>
  <c r="B104" i="89"/>
  <c r="B105" i="89" s="1"/>
  <c r="O103" i="89"/>
  <c r="G103" i="89"/>
  <c r="N103" i="89" s="1"/>
  <c r="O102" i="89"/>
  <c r="G102" i="89"/>
  <c r="N102" i="89" s="1"/>
  <c r="O101" i="89"/>
  <c r="G101" i="89"/>
  <c r="N101" i="89" s="1"/>
  <c r="O100" i="89"/>
  <c r="G100" i="89"/>
  <c r="N100" i="89" s="1"/>
  <c r="O99" i="89"/>
  <c r="G99" i="89"/>
  <c r="N99" i="89" s="1"/>
  <c r="O98" i="89"/>
  <c r="G98" i="89"/>
  <c r="N98" i="89" s="1"/>
  <c r="O97" i="89"/>
  <c r="G97" i="89"/>
  <c r="N97" i="89" s="1"/>
  <c r="O96" i="89"/>
  <c r="G96" i="89"/>
  <c r="N96" i="89" s="1"/>
  <c r="O95" i="89"/>
  <c r="G95" i="89"/>
  <c r="N95" i="89" s="1"/>
  <c r="O94" i="89"/>
  <c r="G94" i="89"/>
  <c r="N94" i="89" s="1"/>
  <c r="O93" i="89"/>
  <c r="G93" i="89"/>
  <c r="N93" i="89" s="1"/>
  <c r="O92" i="89"/>
  <c r="G92" i="89"/>
  <c r="N92" i="89" s="1"/>
  <c r="O91" i="89"/>
  <c r="G91" i="89"/>
  <c r="N91" i="89" s="1"/>
  <c r="O90" i="89"/>
  <c r="G90" i="89"/>
  <c r="N90" i="89" s="1"/>
  <c r="O89" i="89"/>
  <c r="G89" i="89"/>
  <c r="N89" i="89" s="1"/>
  <c r="O88" i="89"/>
  <c r="G88" i="89"/>
  <c r="N88" i="89" s="1"/>
  <c r="O87" i="89"/>
  <c r="G87" i="89"/>
  <c r="N87" i="89" s="1"/>
  <c r="O86" i="89"/>
  <c r="G86" i="89"/>
  <c r="N86" i="89" s="1"/>
  <c r="O85" i="89"/>
  <c r="G85" i="89"/>
  <c r="N85" i="89" s="1"/>
  <c r="O84" i="89"/>
  <c r="G84" i="89"/>
  <c r="N84" i="89" s="1"/>
  <c r="O83" i="89"/>
  <c r="G83" i="89"/>
  <c r="N83" i="89" s="1"/>
  <c r="O82" i="89"/>
  <c r="G82" i="89"/>
  <c r="N82" i="89" s="1"/>
  <c r="O81" i="89"/>
  <c r="G81" i="89"/>
  <c r="N81" i="89" s="1"/>
  <c r="O80" i="89"/>
  <c r="G80" i="89"/>
  <c r="N80" i="89" s="1"/>
  <c r="O79" i="89"/>
  <c r="G79" i="89"/>
  <c r="N79" i="89" s="1"/>
  <c r="O78" i="89"/>
  <c r="G78" i="89"/>
  <c r="N78" i="89" s="1"/>
  <c r="O77" i="89"/>
  <c r="G77" i="89"/>
  <c r="N77" i="89" s="1"/>
  <c r="O76" i="89"/>
  <c r="G76" i="89"/>
  <c r="N76" i="89" s="1"/>
  <c r="O75" i="89"/>
  <c r="G75" i="89"/>
  <c r="N75" i="89" s="1"/>
  <c r="O74" i="89"/>
  <c r="G74" i="89"/>
  <c r="N74" i="89" s="1"/>
  <c r="O73" i="89"/>
  <c r="G73" i="89"/>
  <c r="N73" i="89" s="1"/>
  <c r="O72" i="89"/>
  <c r="G72" i="89"/>
  <c r="N72" i="89" s="1"/>
  <c r="O71" i="89"/>
  <c r="G71" i="89"/>
  <c r="N71" i="89" s="1"/>
  <c r="O70" i="89"/>
  <c r="G70" i="89"/>
  <c r="N70" i="89" s="1"/>
  <c r="O69" i="89"/>
  <c r="G69" i="89"/>
  <c r="N69" i="89" s="1"/>
  <c r="O68" i="89"/>
  <c r="G68" i="89"/>
  <c r="N68" i="89" s="1"/>
  <c r="O67" i="89"/>
  <c r="G67" i="89"/>
  <c r="N67" i="89" s="1"/>
  <c r="O66" i="89"/>
  <c r="G66" i="89"/>
  <c r="N66" i="89" s="1"/>
  <c r="O65" i="89"/>
  <c r="G65" i="89"/>
  <c r="N65" i="89" s="1"/>
  <c r="O64" i="89"/>
  <c r="G64" i="89"/>
  <c r="N64" i="89" s="1"/>
  <c r="O63" i="89"/>
  <c r="G63" i="89"/>
  <c r="N63" i="89" s="1"/>
  <c r="O62" i="89"/>
  <c r="G62" i="89"/>
  <c r="N62" i="89" s="1"/>
  <c r="O61" i="89"/>
  <c r="G61" i="89"/>
  <c r="N61" i="89" s="1"/>
  <c r="O60" i="89"/>
  <c r="G60" i="89"/>
  <c r="N60" i="89" s="1"/>
  <c r="O59" i="89"/>
  <c r="G59" i="89"/>
  <c r="N59" i="89" s="1"/>
  <c r="O58" i="89"/>
  <c r="G58" i="89"/>
  <c r="N58" i="89" s="1"/>
  <c r="O57" i="89"/>
  <c r="G57" i="89"/>
  <c r="N57" i="89" s="1"/>
  <c r="O56" i="89"/>
  <c r="G56" i="89"/>
  <c r="N56" i="89" s="1"/>
  <c r="O55" i="89"/>
  <c r="G55" i="89"/>
  <c r="N55" i="89" s="1"/>
  <c r="O54" i="89"/>
  <c r="G54" i="89"/>
  <c r="N54" i="89" s="1"/>
  <c r="O53" i="89"/>
  <c r="G53" i="89"/>
  <c r="N53" i="89" s="1"/>
  <c r="O52" i="89"/>
  <c r="G52" i="89"/>
  <c r="N52" i="89" s="1"/>
  <c r="O51" i="89"/>
  <c r="G51" i="89"/>
  <c r="N51" i="89" s="1"/>
  <c r="O50" i="89"/>
  <c r="G50" i="89"/>
  <c r="N50" i="89" s="1"/>
  <c r="O49" i="89"/>
  <c r="G49" i="89"/>
  <c r="N49" i="89" s="1"/>
  <c r="O48" i="89"/>
  <c r="G48" i="89"/>
  <c r="N48" i="89" s="1"/>
  <c r="O47" i="89"/>
  <c r="G47" i="89"/>
  <c r="N47" i="89" s="1"/>
  <c r="O46" i="89"/>
  <c r="G46" i="89"/>
  <c r="N46" i="89" s="1"/>
  <c r="O45" i="89"/>
  <c r="G45" i="89"/>
  <c r="N45" i="89" s="1"/>
  <c r="O44" i="89"/>
  <c r="G44" i="89"/>
  <c r="N44" i="89" s="1"/>
  <c r="O43" i="89"/>
  <c r="G43" i="89"/>
  <c r="N43" i="89" s="1"/>
  <c r="O42" i="89"/>
  <c r="G42" i="89"/>
  <c r="N42" i="89" s="1"/>
  <c r="O41" i="89"/>
  <c r="G41" i="89"/>
  <c r="N41" i="89" s="1"/>
  <c r="O40" i="89"/>
  <c r="G40" i="89"/>
  <c r="N40" i="89" s="1"/>
  <c r="O39" i="89"/>
  <c r="G39" i="89"/>
  <c r="N39" i="89" s="1"/>
  <c r="O38" i="89"/>
  <c r="G38" i="89"/>
  <c r="N38" i="89" s="1"/>
  <c r="O37" i="89"/>
  <c r="G37" i="89"/>
  <c r="N37" i="89" s="1"/>
  <c r="O36" i="89"/>
  <c r="G36" i="89"/>
  <c r="N36" i="89" s="1"/>
  <c r="O35" i="89"/>
  <c r="G35" i="89"/>
  <c r="N35" i="89" s="1"/>
  <c r="O34" i="89"/>
  <c r="G34" i="89"/>
  <c r="N34" i="89" s="1"/>
  <c r="O33" i="89"/>
  <c r="G33" i="89"/>
  <c r="N33" i="89" s="1"/>
  <c r="O32" i="89"/>
  <c r="G32" i="89"/>
  <c r="N32" i="89" s="1"/>
  <c r="O31" i="89"/>
  <c r="G31" i="89"/>
  <c r="N31" i="89" s="1"/>
  <c r="O30" i="89"/>
  <c r="G30" i="89"/>
  <c r="N30" i="89" s="1"/>
  <c r="O29" i="89"/>
  <c r="G29" i="89"/>
  <c r="N29" i="89" s="1"/>
  <c r="O28" i="89"/>
  <c r="G28" i="89"/>
  <c r="N28" i="89" s="1"/>
  <c r="O27" i="89"/>
  <c r="G27" i="89"/>
  <c r="N27" i="89" s="1"/>
  <c r="O26" i="89"/>
  <c r="G26" i="89"/>
  <c r="N26" i="89" s="1"/>
  <c r="O25" i="89"/>
  <c r="G25" i="89"/>
  <c r="N25" i="89" s="1"/>
  <c r="O24" i="89"/>
  <c r="G24" i="89"/>
  <c r="N24" i="89" s="1"/>
  <c r="O23" i="89"/>
  <c r="G23" i="89"/>
  <c r="N23" i="89" s="1"/>
  <c r="O22" i="89"/>
  <c r="G22" i="89"/>
  <c r="N22" i="89" s="1"/>
  <c r="O21" i="89"/>
  <c r="G21" i="89"/>
  <c r="N21" i="89" s="1"/>
  <c r="O20" i="89"/>
  <c r="G20" i="89"/>
  <c r="N20" i="89" s="1"/>
  <c r="O19" i="89"/>
  <c r="G19" i="89"/>
  <c r="N19" i="89" s="1"/>
  <c r="O18" i="89"/>
  <c r="G18" i="89"/>
  <c r="N18" i="89" s="1"/>
  <c r="O17" i="89"/>
  <c r="G17" i="89"/>
  <c r="N17" i="89" s="1"/>
  <c r="O16" i="89"/>
  <c r="G16" i="89"/>
  <c r="N16" i="89" s="1"/>
  <c r="O15" i="89"/>
  <c r="G15" i="89"/>
  <c r="N15" i="89" s="1"/>
  <c r="O14" i="89"/>
  <c r="G14" i="89"/>
  <c r="N14" i="89" s="1"/>
  <c r="O13" i="89"/>
  <c r="G13" i="89"/>
  <c r="N13" i="89" s="1"/>
  <c r="O12" i="89"/>
  <c r="G12" i="89"/>
  <c r="N12" i="89" s="1"/>
  <c r="O11" i="89"/>
  <c r="G11" i="89"/>
  <c r="N11" i="89" s="1"/>
  <c r="O10" i="89"/>
  <c r="G10" i="89"/>
  <c r="N10" i="89" s="1"/>
  <c r="O9" i="89"/>
  <c r="G9" i="89"/>
  <c r="N9" i="89" s="1"/>
  <c r="O8" i="89"/>
  <c r="G8" i="89"/>
  <c r="B3" i="89"/>
  <c r="B2" i="89"/>
  <c r="M104" i="88"/>
  <c r="L104" i="88"/>
  <c r="K104" i="88"/>
  <c r="K105" i="88" s="1"/>
  <c r="J104" i="88"/>
  <c r="J105" i="88" s="1"/>
  <c r="I104" i="88"/>
  <c r="I105" i="88" s="1"/>
  <c r="H104" i="88"/>
  <c r="H105" i="88" s="1"/>
  <c r="F104" i="88"/>
  <c r="F105" i="88" s="1"/>
  <c r="E104" i="88"/>
  <c r="E105" i="88" s="1"/>
  <c r="D104" i="88"/>
  <c r="C104" i="88"/>
  <c r="C105" i="88" s="1"/>
  <c r="B104" i="88"/>
  <c r="B105" i="88" s="1"/>
  <c r="O103" i="88"/>
  <c r="G103" i="88"/>
  <c r="N103" i="88" s="1"/>
  <c r="O102" i="88"/>
  <c r="G102" i="88"/>
  <c r="N102" i="88" s="1"/>
  <c r="O101" i="88"/>
  <c r="G101" i="88"/>
  <c r="N101" i="88" s="1"/>
  <c r="O100" i="88"/>
  <c r="G100" i="88"/>
  <c r="N100" i="88" s="1"/>
  <c r="O99" i="88"/>
  <c r="G99" i="88"/>
  <c r="N99" i="88" s="1"/>
  <c r="O98" i="88"/>
  <c r="G98" i="88"/>
  <c r="N98" i="88" s="1"/>
  <c r="O97" i="88"/>
  <c r="G97" i="88"/>
  <c r="N97" i="88" s="1"/>
  <c r="O96" i="88"/>
  <c r="G96" i="88"/>
  <c r="N96" i="88" s="1"/>
  <c r="O95" i="88"/>
  <c r="G95" i="88"/>
  <c r="N95" i="88" s="1"/>
  <c r="O94" i="88"/>
  <c r="G94" i="88"/>
  <c r="N94" i="88" s="1"/>
  <c r="O93" i="88"/>
  <c r="G93" i="88"/>
  <c r="N93" i="88" s="1"/>
  <c r="O92" i="88"/>
  <c r="G92" i="88"/>
  <c r="N92" i="88" s="1"/>
  <c r="O91" i="88"/>
  <c r="G91" i="88"/>
  <c r="N91" i="88" s="1"/>
  <c r="O90" i="88"/>
  <c r="G90" i="88"/>
  <c r="N90" i="88" s="1"/>
  <c r="O89" i="88"/>
  <c r="G89" i="88"/>
  <c r="N89" i="88" s="1"/>
  <c r="O88" i="88"/>
  <c r="G88" i="88"/>
  <c r="N88" i="88" s="1"/>
  <c r="O87" i="88"/>
  <c r="G87" i="88"/>
  <c r="N87" i="88" s="1"/>
  <c r="O86" i="88"/>
  <c r="G86" i="88"/>
  <c r="N86" i="88" s="1"/>
  <c r="O85" i="88"/>
  <c r="G85" i="88"/>
  <c r="N85" i="88" s="1"/>
  <c r="O84" i="88"/>
  <c r="G84" i="88"/>
  <c r="N84" i="88" s="1"/>
  <c r="O83" i="88"/>
  <c r="G83" i="88"/>
  <c r="N83" i="88" s="1"/>
  <c r="O82" i="88"/>
  <c r="G82" i="88"/>
  <c r="N82" i="88" s="1"/>
  <c r="O81" i="88"/>
  <c r="G81" i="88"/>
  <c r="N81" i="88" s="1"/>
  <c r="O80" i="88"/>
  <c r="G80" i="88"/>
  <c r="N80" i="88" s="1"/>
  <c r="O79" i="88"/>
  <c r="G79" i="88"/>
  <c r="N79" i="88" s="1"/>
  <c r="O78" i="88"/>
  <c r="G78" i="88"/>
  <c r="N78" i="88" s="1"/>
  <c r="O77" i="88"/>
  <c r="G77" i="88"/>
  <c r="N77" i="88" s="1"/>
  <c r="O76" i="88"/>
  <c r="G76" i="88"/>
  <c r="N76" i="88" s="1"/>
  <c r="O75" i="88"/>
  <c r="G75" i="88"/>
  <c r="N75" i="88" s="1"/>
  <c r="O74" i="88"/>
  <c r="G74" i="88"/>
  <c r="N74" i="88" s="1"/>
  <c r="O73" i="88"/>
  <c r="G73" i="88"/>
  <c r="N73" i="88" s="1"/>
  <c r="O72" i="88"/>
  <c r="G72" i="88"/>
  <c r="N72" i="88" s="1"/>
  <c r="O71" i="88"/>
  <c r="G71" i="88"/>
  <c r="N71" i="88" s="1"/>
  <c r="O70" i="88"/>
  <c r="G70" i="88"/>
  <c r="N70" i="88" s="1"/>
  <c r="O69" i="88"/>
  <c r="G69" i="88"/>
  <c r="N69" i="88" s="1"/>
  <c r="O68" i="88"/>
  <c r="G68" i="88"/>
  <c r="N68" i="88" s="1"/>
  <c r="O67" i="88"/>
  <c r="G67" i="88"/>
  <c r="N67" i="88" s="1"/>
  <c r="O66" i="88"/>
  <c r="G66" i="88"/>
  <c r="N66" i="88" s="1"/>
  <c r="O65" i="88"/>
  <c r="G65" i="88"/>
  <c r="N65" i="88" s="1"/>
  <c r="O64" i="88"/>
  <c r="G64" i="88"/>
  <c r="N64" i="88" s="1"/>
  <c r="O63" i="88"/>
  <c r="G63" i="88"/>
  <c r="N63" i="88" s="1"/>
  <c r="O62" i="88"/>
  <c r="G62" i="88"/>
  <c r="N62" i="88" s="1"/>
  <c r="O61" i="88"/>
  <c r="G61" i="88"/>
  <c r="N61" i="88" s="1"/>
  <c r="O60" i="88"/>
  <c r="G60" i="88"/>
  <c r="N60" i="88" s="1"/>
  <c r="O59" i="88"/>
  <c r="G59" i="88"/>
  <c r="N59" i="88" s="1"/>
  <c r="O58" i="88"/>
  <c r="G58" i="88"/>
  <c r="N58" i="88" s="1"/>
  <c r="O57" i="88"/>
  <c r="G57" i="88"/>
  <c r="N57" i="88" s="1"/>
  <c r="O56" i="88"/>
  <c r="G56" i="88"/>
  <c r="N56" i="88" s="1"/>
  <c r="O55" i="88"/>
  <c r="G55" i="88"/>
  <c r="N55" i="88" s="1"/>
  <c r="O54" i="88"/>
  <c r="G54" i="88"/>
  <c r="N54" i="88" s="1"/>
  <c r="O53" i="88"/>
  <c r="G53" i="88"/>
  <c r="N53" i="88" s="1"/>
  <c r="O52" i="88"/>
  <c r="G52" i="88"/>
  <c r="N52" i="88" s="1"/>
  <c r="O51" i="88"/>
  <c r="G51" i="88"/>
  <c r="N51" i="88" s="1"/>
  <c r="O50" i="88"/>
  <c r="G50" i="88"/>
  <c r="N50" i="88" s="1"/>
  <c r="O49" i="88"/>
  <c r="G49" i="88"/>
  <c r="N49" i="88" s="1"/>
  <c r="O48" i="88"/>
  <c r="G48" i="88"/>
  <c r="N48" i="88" s="1"/>
  <c r="O47" i="88"/>
  <c r="G47" i="88"/>
  <c r="N47" i="88" s="1"/>
  <c r="O46" i="88"/>
  <c r="G46" i="88"/>
  <c r="N46" i="88" s="1"/>
  <c r="O45" i="88"/>
  <c r="G45" i="88"/>
  <c r="N45" i="88" s="1"/>
  <c r="O44" i="88"/>
  <c r="G44" i="88"/>
  <c r="N44" i="88" s="1"/>
  <c r="O43" i="88"/>
  <c r="G43" i="88"/>
  <c r="N43" i="88" s="1"/>
  <c r="O42" i="88"/>
  <c r="G42" i="88"/>
  <c r="N42" i="88" s="1"/>
  <c r="O41" i="88"/>
  <c r="G41" i="88"/>
  <c r="N41" i="88" s="1"/>
  <c r="O40" i="88"/>
  <c r="G40" i="88"/>
  <c r="N40" i="88" s="1"/>
  <c r="O39" i="88"/>
  <c r="G39" i="88"/>
  <c r="N39" i="88" s="1"/>
  <c r="O38" i="88"/>
  <c r="G38" i="88"/>
  <c r="N38" i="88" s="1"/>
  <c r="O37" i="88"/>
  <c r="G37" i="88"/>
  <c r="N37" i="88" s="1"/>
  <c r="O36" i="88"/>
  <c r="G36" i="88"/>
  <c r="N36" i="88" s="1"/>
  <c r="O35" i="88"/>
  <c r="G35" i="88"/>
  <c r="N35" i="88" s="1"/>
  <c r="O34" i="88"/>
  <c r="G34" i="88"/>
  <c r="N34" i="88" s="1"/>
  <c r="O33" i="88"/>
  <c r="G33" i="88"/>
  <c r="N33" i="88" s="1"/>
  <c r="O32" i="88"/>
  <c r="G32" i="88"/>
  <c r="N32" i="88" s="1"/>
  <c r="O31" i="88"/>
  <c r="G31" i="88"/>
  <c r="N31" i="88" s="1"/>
  <c r="O30" i="88"/>
  <c r="G30" i="88"/>
  <c r="N30" i="88" s="1"/>
  <c r="O29" i="88"/>
  <c r="G29" i="88"/>
  <c r="N29" i="88" s="1"/>
  <c r="O28" i="88"/>
  <c r="G28" i="88"/>
  <c r="N28" i="88" s="1"/>
  <c r="O27" i="88"/>
  <c r="G27" i="88"/>
  <c r="N27" i="88" s="1"/>
  <c r="O26" i="88"/>
  <c r="G26" i="88"/>
  <c r="N26" i="88" s="1"/>
  <c r="O25" i="88"/>
  <c r="G25" i="88"/>
  <c r="N25" i="88" s="1"/>
  <c r="O24" i="88"/>
  <c r="G24" i="88"/>
  <c r="N24" i="88" s="1"/>
  <c r="O23" i="88"/>
  <c r="G23" i="88"/>
  <c r="N23" i="88" s="1"/>
  <c r="O22" i="88"/>
  <c r="G22" i="88"/>
  <c r="N22" i="88" s="1"/>
  <c r="O21" i="88"/>
  <c r="G21" i="88"/>
  <c r="N21" i="88" s="1"/>
  <c r="O20" i="88"/>
  <c r="G20" i="88"/>
  <c r="N20" i="88" s="1"/>
  <c r="O19" i="88"/>
  <c r="G19" i="88"/>
  <c r="N19" i="88" s="1"/>
  <c r="O18" i="88"/>
  <c r="G18" i="88"/>
  <c r="N18" i="88" s="1"/>
  <c r="O17" i="88"/>
  <c r="G17" i="88"/>
  <c r="N17" i="88" s="1"/>
  <c r="O16" i="88"/>
  <c r="G16" i="88"/>
  <c r="N16" i="88" s="1"/>
  <c r="O15" i="88"/>
  <c r="G15" i="88"/>
  <c r="N15" i="88" s="1"/>
  <c r="O14" i="88"/>
  <c r="G14" i="88"/>
  <c r="N14" i="88" s="1"/>
  <c r="O13" i="88"/>
  <c r="G13" i="88"/>
  <c r="N13" i="88" s="1"/>
  <c r="O12" i="88"/>
  <c r="G12" i="88"/>
  <c r="N12" i="88" s="1"/>
  <c r="O11" i="88"/>
  <c r="G11" i="88"/>
  <c r="N11" i="88" s="1"/>
  <c r="O10" i="88"/>
  <c r="G10" i="88"/>
  <c r="N10" i="88" s="1"/>
  <c r="O9" i="88"/>
  <c r="G9" i="88"/>
  <c r="N9" i="88" s="1"/>
  <c r="O8" i="88"/>
  <c r="G8" i="88"/>
  <c r="N8" i="88" s="1"/>
  <c r="B3" i="88"/>
  <c r="B2" i="88"/>
  <c r="G104" i="89" l="1"/>
  <c r="O104" i="89"/>
  <c r="L105" i="89"/>
  <c r="N8" i="89"/>
  <c r="N104" i="89" s="1"/>
  <c r="C105" i="89"/>
  <c r="E105" i="89"/>
  <c r="K105" i="89"/>
  <c r="F105" i="89"/>
  <c r="N104" i="88"/>
  <c r="M106" i="88" s="1"/>
  <c r="D105" i="88"/>
  <c r="G105" i="88" s="1"/>
  <c r="G104" i="88"/>
  <c r="O104" i="88"/>
  <c r="L105" i="88"/>
  <c r="M105" i="88" s="1"/>
  <c r="D9" i="1"/>
  <c r="C9" i="1"/>
  <c r="B9" i="1"/>
  <c r="D8" i="1"/>
  <c r="C8" i="1"/>
  <c r="B8" i="1"/>
  <c r="D7" i="1"/>
  <c r="C7" i="1"/>
  <c r="B7" i="1"/>
  <c r="D6" i="1"/>
  <c r="C6" i="1"/>
  <c r="B6" i="1"/>
  <c r="I2" i="1"/>
  <c r="G105" i="89" l="1"/>
  <c r="M105" i="89"/>
  <c r="O105" i="89" s="1"/>
  <c r="N106" i="89"/>
  <c r="H106" i="89"/>
  <c r="I106" i="89"/>
  <c r="M106" i="89"/>
  <c r="F106" i="89"/>
  <c r="G106" i="89"/>
  <c r="L106" i="89"/>
  <c r="B106" i="89"/>
  <c r="E106" i="89"/>
  <c r="C106" i="89"/>
  <c r="J106" i="89"/>
  <c r="D106" i="89"/>
  <c r="K106" i="89"/>
  <c r="O105" i="88"/>
  <c r="G106" i="88"/>
  <c r="C106" i="88"/>
  <c r="H106" i="88"/>
  <c r="E106" i="88"/>
  <c r="B106" i="88"/>
  <c r="N106" i="88"/>
  <c r="F106" i="88"/>
  <c r="J106" i="88"/>
  <c r="D106" i="88"/>
  <c r="L106" i="88"/>
  <c r="K106" i="88"/>
  <c r="I106" i="88"/>
  <c r="G8" i="57"/>
  <c r="G9" i="57"/>
  <c r="G10" i="57"/>
  <c r="G11" i="57"/>
  <c r="G12" i="57"/>
  <c r="G13" i="57"/>
  <c r="G14" i="57"/>
  <c r="G15" i="57"/>
  <c r="G16" i="57"/>
  <c r="G17" i="57"/>
  <c r="G18" i="57"/>
  <c r="G19" i="57"/>
  <c r="G20" i="57"/>
  <c r="G21" i="57"/>
  <c r="G22" i="57"/>
  <c r="G23" i="57"/>
  <c r="G24" i="57"/>
  <c r="G25" i="57"/>
  <c r="G26" i="57"/>
  <c r="G27" i="57"/>
  <c r="G28" i="57"/>
  <c r="G29" i="57"/>
  <c r="G30" i="57"/>
  <c r="G31" i="57"/>
  <c r="G32" i="57"/>
  <c r="G33" i="57"/>
  <c r="G34" i="57"/>
  <c r="G35" i="57"/>
  <c r="G36" i="57"/>
  <c r="G37" i="57"/>
  <c r="G38" i="57"/>
  <c r="G39" i="57"/>
  <c r="G40" i="57"/>
  <c r="G41" i="57"/>
  <c r="G42" i="57"/>
  <c r="G43" i="57"/>
  <c r="G44" i="57"/>
  <c r="G45" i="57"/>
  <c r="G46" i="57"/>
  <c r="G47" i="57"/>
  <c r="G48" i="57"/>
  <c r="G49" i="57"/>
  <c r="G50" i="57"/>
  <c r="G51" i="57"/>
  <c r="G52" i="57"/>
  <c r="G53" i="57"/>
  <c r="G54" i="57"/>
  <c r="G55" i="57"/>
  <c r="G56" i="57"/>
  <c r="G57" i="57"/>
  <c r="G58" i="57"/>
  <c r="G59" i="57"/>
  <c r="G60" i="57"/>
  <c r="G61" i="57"/>
  <c r="G62" i="57"/>
  <c r="G63" i="57"/>
  <c r="G64" i="57"/>
  <c r="G65" i="57"/>
  <c r="G66" i="57"/>
  <c r="G67" i="57"/>
  <c r="G68" i="57"/>
  <c r="G69" i="57"/>
  <c r="G70" i="57"/>
  <c r="G71" i="57"/>
  <c r="G72" i="57"/>
  <c r="G73" i="57"/>
  <c r="G74" i="57"/>
  <c r="G75" i="57"/>
  <c r="G76" i="57"/>
  <c r="G77" i="57"/>
  <c r="G78" i="57"/>
  <c r="G79" i="57"/>
  <c r="G80" i="57"/>
  <c r="G81" i="57"/>
  <c r="G82" i="57"/>
  <c r="G83" i="57"/>
  <c r="G84" i="57"/>
  <c r="G85" i="57"/>
  <c r="G86" i="57"/>
  <c r="G87" i="57"/>
  <c r="G88" i="57"/>
  <c r="G89" i="57"/>
  <c r="G90" i="57"/>
  <c r="G91" i="57"/>
  <c r="G92" i="57"/>
  <c r="G93" i="57"/>
  <c r="G94" i="57"/>
  <c r="G95" i="57"/>
  <c r="G96" i="57"/>
  <c r="G97" i="57"/>
  <c r="G98" i="57"/>
  <c r="G99" i="57"/>
  <c r="G100" i="57"/>
  <c r="G101" i="57"/>
  <c r="G102" i="57"/>
  <c r="G103" i="57"/>
  <c r="F104" i="67" l="1"/>
  <c r="G9" i="86" s="1"/>
  <c r="E104" i="67"/>
  <c r="F9" i="86" s="1"/>
  <c r="D104" i="67"/>
  <c r="E9" i="86" s="1"/>
  <c r="C104" i="67"/>
  <c r="D9" i="86" s="1"/>
  <c r="B104" i="67"/>
  <c r="F104" i="66"/>
  <c r="G12" i="86" s="1"/>
  <c r="E104" i="66"/>
  <c r="F12" i="86" s="1"/>
  <c r="D104" i="66"/>
  <c r="E12" i="86" s="1"/>
  <c r="C104" i="66"/>
  <c r="D12" i="86" s="1"/>
  <c r="B104" i="66"/>
  <c r="F104" i="65"/>
  <c r="G15" i="86" s="1"/>
  <c r="E104" i="65"/>
  <c r="F15" i="86" s="1"/>
  <c r="D104" i="65"/>
  <c r="E15" i="86" s="1"/>
  <c r="C104" i="65"/>
  <c r="D15" i="86" s="1"/>
  <c r="B104" i="65"/>
  <c r="F104" i="64"/>
  <c r="G18" i="86" s="1"/>
  <c r="E104" i="64"/>
  <c r="F18" i="86" s="1"/>
  <c r="D104" i="64"/>
  <c r="E18" i="86" s="1"/>
  <c r="C104" i="64"/>
  <c r="D18" i="86" s="1"/>
  <c r="B104" i="64"/>
  <c r="F104" i="63"/>
  <c r="G7" i="86" s="1"/>
  <c r="E104" i="63"/>
  <c r="F7" i="86" s="1"/>
  <c r="D104" i="63"/>
  <c r="E7" i="86" s="1"/>
  <c r="C104" i="63"/>
  <c r="D7" i="86" s="1"/>
  <c r="B104" i="63"/>
  <c r="F104" i="62"/>
  <c r="G21" i="86" s="1"/>
  <c r="E104" i="62"/>
  <c r="F21" i="86" s="1"/>
  <c r="D104" i="62"/>
  <c r="E21" i="86" s="1"/>
  <c r="C104" i="62"/>
  <c r="D21" i="86" s="1"/>
  <c r="B104" i="62"/>
  <c r="F104" i="61"/>
  <c r="G10" i="86" s="1"/>
  <c r="E104" i="61"/>
  <c r="F10" i="86" s="1"/>
  <c r="D104" i="61"/>
  <c r="E10" i="86" s="1"/>
  <c r="C104" i="61"/>
  <c r="D10" i="86" s="1"/>
  <c r="B104" i="61"/>
  <c r="F104" i="60"/>
  <c r="G16" i="86" s="1"/>
  <c r="E104" i="60"/>
  <c r="F16" i="86" s="1"/>
  <c r="D104" i="60"/>
  <c r="E16" i="86" s="1"/>
  <c r="C104" i="60"/>
  <c r="D16" i="86" s="1"/>
  <c r="B104" i="60"/>
  <c r="F104" i="59"/>
  <c r="G13" i="86" s="1"/>
  <c r="E104" i="59"/>
  <c r="F13" i="86" s="1"/>
  <c r="D104" i="59"/>
  <c r="E13" i="86" s="1"/>
  <c r="C104" i="59"/>
  <c r="D13" i="86" s="1"/>
  <c r="B104" i="59"/>
  <c r="F104" i="58"/>
  <c r="E104" i="58"/>
  <c r="D104" i="58"/>
  <c r="C104" i="58"/>
  <c r="B104" i="58"/>
  <c r="F104" i="43"/>
  <c r="E104" i="43"/>
  <c r="D104" i="43"/>
  <c r="C104" i="43"/>
  <c r="B104" i="43"/>
  <c r="F104" i="57"/>
  <c r="G6" i="86" s="1"/>
  <c r="E104" i="57"/>
  <c r="F6" i="86" s="1"/>
  <c r="D104" i="57"/>
  <c r="E6" i="86" s="1"/>
  <c r="C104" i="57"/>
  <c r="D6" i="86" s="1"/>
  <c r="B104" i="57"/>
  <c r="E19" i="86" l="1"/>
  <c r="E22" i="86"/>
  <c r="G19" i="86"/>
  <c r="F19" i="86"/>
  <c r="F22" i="86"/>
  <c r="G22" i="86"/>
  <c r="D22" i="86"/>
  <c r="D19" i="86"/>
  <c r="L103" i="68"/>
  <c r="K103" i="68"/>
  <c r="J103" i="68"/>
  <c r="I103" i="68"/>
  <c r="H103" i="68"/>
  <c r="L102" i="68"/>
  <c r="K102" i="68"/>
  <c r="J102" i="68"/>
  <c r="I102" i="68"/>
  <c r="H102" i="68"/>
  <c r="L101" i="68"/>
  <c r="K101" i="68"/>
  <c r="J101" i="68"/>
  <c r="I101" i="68"/>
  <c r="H101" i="68"/>
  <c r="L100" i="68"/>
  <c r="K100" i="68"/>
  <c r="J100" i="68"/>
  <c r="I100" i="68"/>
  <c r="H100" i="68"/>
  <c r="L99" i="68"/>
  <c r="K99" i="68"/>
  <c r="J99" i="68"/>
  <c r="I99" i="68"/>
  <c r="H99" i="68"/>
  <c r="L98" i="68"/>
  <c r="K98" i="68"/>
  <c r="J98" i="68"/>
  <c r="I98" i="68"/>
  <c r="H98" i="68"/>
  <c r="L97" i="68"/>
  <c r="K97" i="68"/>
  <c r="J97" i="68"/>
  <c r="I97" i="68"/>
  <c r="H97" i="68"/>
  <c r="L96" i="68"/>
  <c r="K96" i="68"/>
  <c r="J96" i="68"/>
  <c r="I96" i="68"/>
  <c r="H96" i="68"/>
  <c r="L95" i="68"/>
  <c r="K95" i="68"/>
  <c r="J95" i="68"/>
  <c r="I95" i="68"/>
  <c r="H95" i="68"/>
  <c r="L94" i="68"/>
  <c r="K94" i="68"/>
  <c r="J94" i="68"/>
  <c r="I94" i="68"/>
  <c r="H94" i="68"/>
  <c r="L93" i="68"/>
  <c r="K93" i="68"/>
  <c r="J93" i="68"/>
  <c r="I93" i="68"/>
  <c r="H93" i="68"/>
  <c r="L92" i="68"/>
  <c r="K92" i="68"/>
  <c r="J92" i="68"/>
  <c r="I92" i="68"/>
  <c r="H92" i="68"/>
  <c r="L91" i="68"/>
  <c r="K91" i="68"/>
  <c r="J91" i="68"/>
  <c r="I91" i="68"/>
  <c r="H91" i="68"/>
  <c r="L90" i="68"/>
  <c r="K90" i="68"/>
  <c r="J90" i="68"/>
  <c r="I90" i="68"/>
  <c r="H90" i="68"/>
  <c r="L89" i="68"/>
  <c r="K89" i="68"/>
  <c r="J89" i="68"/>
  <c r="I89" i="68"/>
  <c r="H89" i="68"/>
  <c r="L88" i="68"/>
  <c r="K88" i="68"/>
  <c r="J88" i="68"/>
  <c r="I88" i="68"/>
  <c r="H88" i="68"/>
  <c r="L87" i="68"/>
  <c r="K87" i="68"/>
  <c r="J87" i="68"/>
  <c r="I87" i="68"/>
  <c r="H87" i="68"/>
  <c r="L86" i="68"/>
  <c r="K86" i="68"/>
  <c r="J86" i="68"/>
  <c r="I86" i="68"/>
  <c r="H86" i="68"/>
  <c r="L85" i="68"/>
  <c r="K85" i="68"/>
  <c r="J85" i="68"/>
  <c r="I85" i="68"/>
  <c r="H85" i="68"/>
  <c r="L84" i="68"/>
  <c r="K84" i="68"/>
  <c r="J84" i="68"/>
  <c r="I84" i="68"/>
  <c r="H84" i="68"/>
  <c r="L83" i="68"/>
  <c r="K83" i="68"/>
  <c r="J83" i="68"/>
  <c r="I83" i="68"/>
  <c r="H83" i="68"/>
  <c r="L82" i="68"/>
  <c r="K82" i="68"/>
  <c r="J82" i="68"/>
  <c r="I82" i="68"/>
  <c r="H82" i="68"/>
  <c r="L81" i="68"/>
  <c r="K81" i="68"/>
  <c r="J81" i="68"/>
  <c r="I81" i="68"/>
  <c r="H81" i="68"/>
  <c r="L80" i="68"/>
  <c r="K80" i="68"/>
  <c r="J80" i="68"/>
  <c r="I80" i="68"/>
  <c r="H80" i="68"/>
  <c r="L79" i="68"/>
  <c r="K79" i="68"/>
  <c r="J79" i="68"/>
  <c r="I79" i="68"/>
  <c r="H79" i="68"/>
  <c r="L78" i="68"/>
  <c r="K78" i="68"/>
  <c r="J78" i="68"/>
  <c r="I78" i="68"/>
  <c r="H78" i="68"/>
  <c r="L77" i="68"/>
  <c r="K77" i="68"/>
  <c r="J77" i="68"/>
  <c r="I77" i="68"/>
  <c r="H77" i="68"/>
  <c r="L76" i="68"/>
  <c r="K76" i="68"/>
  <c r="J76" i="68"/>
  <c r="I76" i="68"/>
  <c r="H76" i="68"/>
  <c r="L75" i="68"/>
  <c r="K75" i="68"/>
  <c r="J75" i="68"/>
  <c r="I75" i="68"/>
  <c r="H75" i="68"/>
  <c r="L74" i="68"/>
  <c r="K74" i="68"/>
  <c r="J74" i="68"/>
  <c r="I74" i="68"/>
  <c r="H74" i="68"/>
  <c r="L73" i="68"/>
  <c r="K73" i="68"/>
  <c r="J73" i="68"/>
  <c r="I73" i="68"/>
  <c r="H73" i="68"/>
  <c r="L72" i="68"/>
  <c r="K72" i="68"/>
  <c r="J72" i="68"/>
  <c r="I72" i="68"/>
  <c r="H72" i="68"/>
  <c r="L71" i="68"/>
  <c r="K71" i="68"/>
  <c r="J71" i="68"/>
  <c r="I71" i="68"/>
  <c r="H71" i="68"/>
  <c r="L70" i="68"/>
  <c r="K70" i="68"/>
  <c r="J70" i="68"/>
  <c r="I70" i="68"/>
  <c r="H70" i="68"/>
  <c r="L69" i="68"/>
  <c r="K69" i="68"/>
  <c r="J69" i="68"/>
  <c r="I69" i="68"/>
  <c r="H69" i="68"/>
  <c r="L68" i="68"/>
  <c r="K68" i="68"/>
  <c r="J68" i="68"/>
  <c r="I68" i="68"/>
  <c r="H68" i="68"/>
  <c r="L67" i="68"/>
  <c r="K67" i="68"/>
  <c r="J67" i="68"/>
  <c r="I67" i="68"/>
  <c r="H67" i="68"/>
  <c r="L66" i="68"/>
  <c r="K66" i="68"/>
  <c r="J66" i="68"/>
  <c r="I66" i="68"/>
  <c r="H66" i="68"/>
  <c r="L65" i="68"/>
  <c r="K65" i="68"/>
  <c r="J65" i="68"/>
  <c r="I65" i="68"/>
  <c r="H65" i="68"/>
  <c r="L64" i="68"/>
  <c r="K64" i="68"/>
  <c r="J64" i="68"/>
  <c r="I64" i="68"/>
  <c r="H64" i="68"/>
  <c r="L63" i="68"/>
  <c r="K63" i="68"/>
  <c r="J63" i="68"/>
  <c r="I63" i="68"/>
  <c r="H63" i="68"/>
  <c r="L62" i="68"/>
  <c r="K62" i="68"/>
  <c r="J62" i="68"/>
  <c r="I62" i="68"/>
  <c r="H62" i="68"/>
  <c r="L61" i="68"/>
  <c r="K61" i="68"/>
  <c r="J61" i="68"/>
  <c r="I61" i="68"/>
  <c r="H61" i="68"/>
  <c r="L60" i="68"/>
  <c r="K60" i="68"/>
  <c r="J60" i="68"/>
  <c r="I60" i="68"/>
  <c r="H60" i="68"/>
  <c r="L59" i="68"/>
  <c r="K59" i="68"/>
  <c r="J59" i="68"/>
  <c r="I59" i="68"/>
  <c r="H59" i="68"/>
  <c r="L58" i="68"/>
  <c r="K58" i="68"/>
  <c r="J58" i="68"/>
  <c r="I58" i="68"/>
  <c r="H58" i="68"/>
  <c r="L57" i="68"/>
  <c r="K57" i="68"/>
  <c r="J57" i="68"/>
  <c r="I57" i="68"/>
  <c r="H57" i="68"/>
  <c r="L56" i="68"/>
  <c r="K56" i="68"/>
  <c r="J56" i="68"/>
  <c r="I56" i="68"/>
  <c r="H56" i="68"/>
  <c r="L55" i="68"/>
  <c r="K55" i="68"/>
  <c r="J55" i="68"/>
  <c r="I55" i="68"/>
  <c r="H55" i="68"/>
  <c r="L54" i="68"/>
  <c r="K54" i="68"/>
  <c r="J54" i="68"/>
  <c r="I54" i="68"/>
  <c r="H54" i="68"/>
  <c r="L53" i="68"/>
  <c r="K53" i="68"/>
  <c r="J53" i="68"/>
  <c r="I53" i="68"/>
  <c r="H53" i="68"/>
  <c r="L52" i="68"/>
  <c r="K52" i="68"/>
  <c r="J52" i="68"/>
  <c r="I52" i="68"/>
  <c r="H52" i="68"/>
  <c r="L51" i="68"/>
  <c r="K51" i="68"/>
  <c r="J51" i="68"/>
  <c r="I51" i="68"/>
  <c r="H51" i="68"/>
  <c r="L50" i="68"/>
  <c r="K50" i="68"/>
  <c r="J50" i="68"/>
  <c r="I50" i="68"/>
  <c r="H50" i="68"/>
  <c r="L49" i="68"/>
  <c r="K49" i="68"/>
  <c r="J49" i="68"/>
  <c r="I49" i="68"/>
  <c r="H49" i="68"/>
  <c r="L48" i="68"/>
  <c r="K48" i="68"/>
  <c r="J48" i="68"/>
  <c r="I48" i="68"/>
  <c r="H48" i="68"/>
  <c r="L47" i="68"/>
  <c r="K47" i="68"/>
  <c r="J47" i="68"/>
  <c r="I47" i="68"/>
  <c r="H47" i="68"/>
  <c r="L46" i="68"/>
  <c r="K46" i="68"/>
  <c r="J46" i="68"/>
  <c r="I46" i="68"/>
  <c r="H46" i="68"/>
  <c r="L45" i="68"/>
  <c r="K45" i="68"/>
  <c r="J45" i="68"/>
  <c r="I45" i="68"/>
  <c r="H45" i="68"/>
  <c r="L44" i="68"/>
  <c r="K44" i="68"/>
  <c r="J44" i="68"/>
  <c r="I44" i="68"/>
  <c r="H44" i="68"/>
  <c r="L43" i="68"/>
  <c r="K43" i="68"/>
  <c r="J43" i="68"/>
  <c r="I43" i="68"/>
  <c r="H43" i="68"/>
  <c r="L42" i="68"/>
  <c r="K42" i="68"/>
  <c r="J42" i="68"/>
  <c r="I42" i="68"/>
  <c r="H42" i="68"/>
  <c r="L41" i="68"/>
  <c r="K41" i="68"/>
  <c r="J41" i="68"/>
  <c r="I41" i="68"/>
  <c r="H41" i="68"/>
  <c r="L40" i="68"/>
  <c r="K40" i="68"/>
  <c r="J40" i="68"/>
  <c r="I40" i="68"/>
  <c r="H40" i="68"/>
  <c r="L39" i="68"/>
  <c r="K39" i="68"/>
  <c r="J39" i="68"/>
  <c r="I39" i="68"/>
  <c r="H39" i="68"/>
  <c r="L38" i="68"/>
  <c r="K38" i="68"/>
  <c r="J38" i="68"/>
  <c r="I38" i="68"/>
  <c r="H38" i="68"/>
  <c r="L37" i="68"/>
  <c r="K37" i="68"/>
  <c r="J37" i="68"/>
  <c r="I37" i="68"/>
  <c r="H37" i="68"/>
  <c r="L36" i="68"/>
  <c r="K36" i="68"/>
  <c r="J36" i="68"/>
  <c r="I36" i="68"/>
  <c r="H36" i="68"/>
  <c r="L35" i="68"/>
  <c r="K35" i="68"/>
  <c r="J35" i="68"/>
  <c r="I35" i="68"/>
  <c r="H35" i="68"/>
  <c r="L34" i="68"/>
  <c r="K34" i="68"/>
  <c r="J34" i="68"/>
  <c r="I34" i="68"/>
  <c r="H34" i="68"/>
  <c r="L33" i="68"/>
  <c r="K33" i="68"/>
  <c r="J33" i="68"/>
  <c r="I33" i="68"/>
  <c r="H33" i="68"/>
  <c r="L32" i="68"/>
  <c r="K32" i="68"/>
  <c r="J32" i="68"/>
  <c r="I32" i="68"/>
  <c r="H32" i="68"/>
  <c r="L31" i="68"/>
  <c r="K31" i="68"/>
  <c r="J31" i="68"/>
  <c r="I31" i="68"/>
  <c r="H31" i="68"/>
  <c r="L30" i="68"/>
  <c r="K30" i="68"/>
  <c r="J30" i="68"/>
  <c r="I30" i="68"/>
  <c r="H30" i="68"/>
  <c r="L29" i="68"/>
  <c r="K29" i="68"/>
  <c r="J29" i="68"/>
  <c r="I29" i="68"/>
  <c r="H29" i="68"/>
  <c r="L28" i="68"/>
  <c r="K28" i="68"/>
  <c r="J28" i="68"/>
  <c r="I28" i="68"/>
  <c r="H28" i="68"/>
  <c r="L27" i="68"/>
  <c r="K27" i="68"/>
  <c r="J27" i="68"/>
  <c r="I27" i="68"/>
  <c r="H27" i="68"/>
  <c r="L26" i="68"/>
  <c r="K26" i="68"/>
  <c r="J26" i="68"/>
  <c r="I26" i="68"/>
  <c r="H26" i="68"/>
  <c r="L25" i="68"/>
  <c r="K25" i="68"/>
  <c r="J25" i="68"/>
  <c r="I25" i="68"/>
  <c r="H25" i="68"/>
  <c r="L24" i="68"/>
  <c r="K24" i="68"/>
  <c r="J24" i="68"/>
  <c r="I24" i="68"/>
  <c r="H24" i="68"/>
  <c r="L23" i="68"/>
  <c r="K23" i="68"/>
  <c r="J23" i="68"/>
  <c r="I23" i="68"/>
  <c r="H23" i="68"/>
  <c r="L22" i="68"/>
  <c r="K22" i="68"/>
  <c r="J22" i="68"/>
  <c r="I22" i="68"/>
  <c r="H22" i="68"/>
  <c r="L21" i="68"/>
  <c r="K21" i="68"/>
  <c r="J21" i="68"/>
  <c r="I21" i="68"/>
  <c r="H21" i="68"/>
  <c r="L20" i="68"/>
  <c r="K20" i="68"/>
  <c r="J20" i="68"/>
  <c r="I20" i="68"/>
  <c r="H20" i="68"/>
  <c r="L19" i="68"/>
  <c r="K19" i="68"/>
  <c r="J19" i="68"/>
  <c r="I19" i="68"/>
  <c r="H19" i="68"/>
  <c r="L18" i="68"/>
  <c r="K18" i="68"/>
  <c r="J18" i="68"/>
  <c r="I18" i="68"/>
  <c r="H18" i="68"/>
  <c r="L17" i="68"/>
  <c r="K17" i="68"/>
  <c r="J17" i="68"/>
  <c r="I17" i="68"/>
  <c r="H17" i="68"/>
  <c r="L16" i="68"/>
  <c r="K16" i="68"/>
  <c r="J16" i="68"/>
  <c r="I16" i="68"/>
  <c r="H16" i="68"/>
  <c r="L15" i="68"/>
  <c r="K15" i="68"/>
  <c r="J15" i="68"/>
  <c r="I15" i="68"/>
  <c r="H15" i="68"/>
  <c r="L14" i="68"/>
  <c r="K14" i="68"/>
  <c r="J14" i="68"/>
  <c r="I14" i="68"/>
  <c r="H14" i="68"/>
  <c r="L13" i="68"/>
  <c r="K13" i="68"/>
  <c r="J13" i="68"/>
  <c r="I13" i="68"/>
  <c r="H13" i="68"/>
  <c r="L12" i="68"/>
  <c r="K12" i="68"/>
  <c r="J12" i="68"/>
  <c r="I12" i="68"/>
  <c r="H12" i="68"/>
  <c r="L11" i="68"/>
  <c r="K11" i="68"/>
  <c r="J11" i="68"/>
  <c r="I11" i="68"/>
  <c r="H11" i="68"/>
  <c r="L10" i="68"/>
  <c r="K10" i="68"/>
  <c r="J10" i="68"/>
  <c r="I10" i="68"/>
  <c r="H10" i="68"/>
  <c r="L9" i="68"/>
  <c r="K9" i="68"/>
  <c r="J9" i="68"/>
  <c r="I9" i="68"/>
  <c r="H9" i="68"/>
  <c r="L8" i="68"/>
  <c r="K8" i="68"/>
  <c r="J8" i="68"/>
  <c r="I8" i="68"/>
  <c r="L103" i="78"/>
  <c r="K103" i="78"/>
  <c r="J103" i="78"/>
  <c r="I103" i="78"/>
  <c r="H103" i="78"/>
  <c r="L102" i="78"/>
  <c r="K102" i="78"/>
  <c r="J102" i="78"/>
  <c r="I102" i="78"/>
  <c r="H102" i="78"/>
  <c r="L101" i="78"/>
  <c r="K101" i="78"/>
  <c r="J101" i="78"/>
  <c r="I101" i="78"/>
  <c r="H101" i="78"/>
  <c r="L100" i="78"/>
  <c r="K100" i="78"/>
  <c r="J100" i="78"/>
  <c r="I100" i="78"/>
  <c r="H100" i="78"/>
  <c r="L99" i="78"/>
  <c r="K99" i="78"/>
  <c r="J99" i="78"/>
  <c r="I99" i="78"/>
  <c r="H99" i="78"/>
  <c r="L98" i="78"/>
  <c r="K98" i="78"/>
  <c r="J98" i="78"/>
  <c r="I98" i="78"/>
  <c r="H98" i="78"/>
  <c r="L97" i="78"/>
  <c r="K97" i="78"/>
  <c r="J97" i="78"/>
  <c r="I97" i="78"/>
  <c r="H97" i="78"/>
  <c r="L96" i="78"/>
  <c r="K96" i="78"/>
  <c r="J96" i="78"/>
  <c r="I96" i="78"/>
  <c r="H96" i="78"/>
  <c r="L95" i="78"/>
  <c r="K95" i="78"/>
  <c r="J95" i="78"/>
  <c r="I95" i="78"/>
  <c r="H95" i="78"/>
  <c r="L94" i="78"/>
  <c r="K94" i="78"/>
  <c r="J94" i="78"/>
  <c r="I94" i="78"/>
  <c r="H94" i="78"/>
  <c r="L93" i="78"/>
  <c r="K93" i="78"/>
  <c r="J93" i="78"/>
  <c r="I93" i="78"/>
  <c r="H93" i="78"/>
  <c r="L92" i="78"/>
  <c r="K92" i="78"/>
  <c r="J92" i="78"/>
  <c r="I92" i="78"/>
  <c r="H92" i="78"/>
  <c r="L91" i="78"/>
  <c r="K91" i="78"/>
  <c r="J91" i="78"/>
  <c r="I91" i="78"/>
  <c r="H91" i="78"/>
  <c r="L90" i="78"/>
  <c r="K90" i="78"/>
  <c r="J90" i="78"/>
  <c r="I90" i="78"/>
  <c r="H90" i="78"/>
  <c r="L89" i="78"/>
  <c r="K89" i="78"/>
  <c r="J89" i="78"/>
  <c r="I89" i="78"/>
  <c r="H89" i="78"/>
  <c r="L88" i="78"/>
  <c r="K88" i="78"/>
  <c r="J88" i="78"/>
  <c r="I88" i="78"/>
  <c r="H88" i="78"/>
  <c r="L87" i="78"/>
  <c r="K87" i="78"/>
  <c r="J87" i="78"/>
  <c r="I87" i="78"/>
  <c r="H87" i="78"/>
  <c r="L86" i="78"/>
  <c r="K86" i="78"/>
  <c r="J86" i="78"/>
  <c r="I86" i="78"/>
  <c r="H86" i="78"/>
  <c r="L85" i="78"/>
  <c r="K85" i="78"/>
  <c r="J85" i="78"/>
  <c r="I85" i="78"/>
  <c r="H85" i="78"/>
  <c r="L84" i="78"/>
  <c r="K84" i="78"/>
  <c r="J84" i="78"/>
  <c r="I84" i="78"/>
  <c r="H84" i="78"/>
  <c r="L83" i="78"/>
  <c r="K83" i="78"/>
  <c r="J83" i="78"/>
  <c r="I83" i="78"/>
  <c r="H83" i="78"/>
  <c r="L82" i="78"/>
  <c r="K82" i="78"/>
  <c r="J82" i="78"/>
  <c r="I82" i="78"/>
  <c r="H82" i="78"/>
  <c r="L81" i="78"/>
  <c r="K81" i="78"/>
  <c r="J81" i="78"/>
  <c r="I81" i="78"/>
  <c r="H81" i="78"/>
  <c r="L80" i="78"/>
  <c r="K80" i="78"/>
  <c r="J80" i="78"/>
  <c r="I80" i="78"/>
  <c r="H80" i="78"/>
  <c r="L79" i="78"/>
  <c r="K79" i="78"/>
  <c r="J79" i="78"/>
  <c r="I79" i="78"/>
  <c r="H79" i="78"/>
  <c r="L78" i="78"/>
  <c r="K78" i="78"/>
  <c r="J78" i="78"/>
  <c r="I78" i="78"/>
  <c r="H78" i="78"/>
  <c r="L77" i="78"/>
  <c r="K77" i="78"/>
  <c r="J77" i="78"/>
  <c r="I77" i="78"/>
  <c r="H77" i="78"/>
  <c r="L76" i="78"/>
  <c r="K76" i="78"/>
  <c r="J76" i="78"/>
  <c r="I76" i="78"/>
  <c r="H76" i="78"/>
  <c r="L75" i="78"/>
  <c r="K75" i="78"/>
  <c r="J75" i="78"/>
  <c r="I75" i="78"/>
  <c r="H75" i="78"/>
  <c r="L74" i="78"/>
  <c r="K74" i="78"/>
  <c r="J74" i="78"/>
  <c r="I74" i="78"/>
  <c r="H74" i="78"/>
  <c r="L73" i="78"/>
  <c r="K73" i="78"/>
  <c r="J73" i="78"/>
  <c r="I73" i="78"/>
  <c r="H73" i="78"/>
  <c r="L72" i="78"/>
  <c r="K72" i="78"/>
  <c r="J72" i="78"/>
  <c r="I72" i="78"/>
  <c r="H72" i="78"/>
  <c r="L71" i="78"/>
  <c r="K71" i="78"/>
  <c r="J71" i="78"/>
  <c r="I71" i="78"/>
  <c r="H71" i="78"/>
  <c r="L70" i="78"/>
  <c r="K70" i="78"/>
  <c r="J70" i="78"/>
  <c r="I70" i="78"/>
  <c r="H70" i="78"/>
  <c r="L69" i="78"/>
  <c r="K69" i="78"/>
  <c r="J69" i="78"/>
  <c r="I69" i="78"/>
  <c r="H69" i="78"/>
  <c r="L68" i="78"/>
  <c r="K68" i="78"/>
  <c r="J68" i="78"/>
  <c r="I68" i="78"/>
  <c r="H68" i="78"/>
  <c r="L67" i="78"/>
  <c r="K67" i="78"/>
  <c r="J67" i="78"/>
  <c r="I67" i="78"/>
  <c r="H67" i="78"/>
  <c r="L66" i="78"/>
  <c r="K66" i="78"/>
  <c r="J66" i="78"/>
  <c r="I66" i="78"/>
  <c r="H66" i="78"/>
  <c r="L65" i="78"/>
  <c r="K65" i="78"/>
  <c r="J65" i="78"/>
  <c r="I65" i="78"/>
  <c r="H65" i="78"/>
  <c r="L64" i="78"/>
  <c r="K64" i="78"/>
  <c r="J64" i="78"/>
  <c r="I64" i="78"/>
  <c r="H64" i="78"/>
  <c r="L63" i="78"/>
  <c r="K63" i="78"/>
  <c r="J63" i="78"/>
  <c r="I63" i="78"/>
  <c r="H63" i="78"/>
  <c r="L62" i="78"/>
  <c r="K62" i="78"/>
  <c r="J62" i="78"/>
  <c r="I62" i="78"/>
  <c r="H62" i="78"/>
  <c r="L61" i="78"/>
  <c r="K61" i="78"/>
  <c r="J61" i="78"/>
  <c r="I61" i="78"/>
  <c r="H61" i="78"/>
  <c r="L60" i="78"/>
  <c r="K60" i="78"/>
  <c r="J60" i="78"/>
  <c r="I60" i="78"/>
  <c r="H60" i="78"/>
  <c r="L59" i="78"/>
  <c r="K59" i="78"/>
  <c r="J59" i="78"/>
  <c r="I59" i="78"/>
  <c r="H59" i="78"/>
  <c r="L58" i="78"/>
  <c r="K58" i="78"/>
  <c r="J58" i="78"/>
  <c r="I58" i="78"/>
  <c r="H58" i="78"/>
  <c r="L57" i="78"/>
  <c r="K57" i="78"/>
  <c r="J57" i="78"/>
  <c r="I57" i="78"/>
  <c r="H57" i="78"/>
  <c r="L56" i="78"/>
  <c r="K56" i="78"/>
  <c r="J56" i="78"/>
  <c r="I56" i="78"/>
  <c r="H56" i="78"/>
  <c r="L55" i="78"/>
  <c r="K55" i="78"/>
  <c r="J55" i="78"/>
  <c r="I55" i="78"/>
  <c r="H55" i="78"/>
  <c r="L54" i="78"/>
  <c r="K54" i="78"/>
  <c r="J54" i="78"/>
  <c r="I54" i="78"/>
  <c r="H54" i="78"/>
  <c r="L53" i="78"/>
  <c r="K53" i="78"/>
  <c r="J53" i="78"/>
  <c r="I53" i="78"/>
  <c r="H53" i="78"/>
  <c r="L52" i="78"/>
  <c r="K52" i="78"/>
  <c r="J52" i="78"/>
  <c r="I52" i="78"/>
  <c r="H52" i="78"/>
  <c r="L51" i="78"/>
  <c r="K51" i="78"/>
  <c r="J51" i="78"/>
  <c r="I51" i="78"/>
  <c r="H51" i="78"/>
  <c r="L50" i="78"/>
  <c r="K50" i="78"/>
  <c r="J50" i="78"/>
  <c r="I50" i="78"/>
  <c r="H50" i="78"/>
  <c r="L49" i="78"/>
  <c r="K49" i="78"/>
  <c r="J49" i="78"/>
  <c r="I49" i="78"/>
  <c r="H49" i="78"/>
  <c r="L48" i="78"/>
  <c r="K48" i="78"/>
  <c r="J48" i="78"/>
  <c r="I48" i="78"/>
  <c r="H48" i="78"/>
  <c r="L47" i="78"/>
  <c r="K47" i="78"/>
  <c r="J47" i="78"/>
  <c r="I47" i="78"/>
  <c r="H47" i="78"/>
  <c r="L46" i="78"/>
  <c r="K46" i="78"/>
  <c r="J46" i="78"/>
  <c r="I46" i="78"/>
  <c r="H46" i="78"/>
  <c r="L45" i="78"/>
  <c r="K45" i="78"/>
  <c r="J45" i="78"/>
  <c r="I45" i="78"/>
  <c r="H45" i="78"/>
  <c r="L44" i="78"/>
  <c r="K44" i="78"/>
  <c r="J44" i="78"/>
  <c r="I44" i="78"/>
  <c r="H44" i="78"/>
  <c r="L43" i="78"/>
  <c r="K43" i="78"/>
  <c r="J43" i="78"/>
  <c r="I43" i="78"/>
  <c r="H43" i="78"/>
  <c r="L42" i="78"/>
  <c r="K42" i="78"/>
  <c r="J42" i="78"/>
  <c r="I42" i="78"/>
  <c r="H42" i="78"/>
  <c r="L41" i="78"/>
  <c r="K41" i="78"/>
  <c r="J41" i="78"/>
  <c r="I41" i="78"/>
  <c r="H41" i="78"/>
  <c r="L40" i="78"/>
  <c r="K40" i="78"/>
  <c r="J40" i="78"/>
  <c r="I40" i="78"/>
  <c r="H40" i="78"/>
  <c r="L39" i="78"/>
  <c r="K39" i="78"/>
  <c r="J39" i="78"/>
  <c r="I39" i="78"/>
  <c r="H39" i="78"/>
  <c r="L38" i="78"/>
  <c r="K38" i="78"/>
  <c r="J38" i="78"/>
  <c r="I38" i="78"/>
  <c r="H38" i="78"/>
  <c r="L37" i="78"/>
  <c r="K37" i="78"/>
  <c r="J37" i="78"/>
  <c r="I37" i="78"/>
  <c r="H37" i="78"/>
  <c r="L36" i="78"/>
  <c r="K36" i="78"/>
  <c r="J36" i="78"/>
  <c r="I36" i="78"/>
  <c r="H36" i="78"/>
  <c r="L35" i="78"/>
  <c r="K35" i="78"/>
  <c r="J35" i="78"/>
  <c r="I35" i="78"/>
  <c r="H35" i="78"/>
  <c r="L34" i="78"/>
  <c r="K34" i="78"/>
  <c r="J34" i="78"/>
  <c r="I34" i="78"/>
  <c r="H34" i="78"/>
  <c r="L33" i="78"/>
  <c r="K33" i="78"/>
  <c r="J33" i="78"/>
  <c r="I33" i="78"/>
  <c r="H33" i="78"/>
  <c r="L32" i="78"/>
  <c r="K32" i="78"/>
  <c r="J32" i="78"/>
  <c r="I32" i="78"/>
  <c r="H32" i="78"/>
  <c r="L31" i="78"/>
  <c r="K31" i="78"/>
  <c r="J31" i="78"/>
  <c r="I31" i="78"/>
  <c r="H31" i="78"/>
  <c r="L30" i="78"/>
  <c r="K30" i="78"/>
  <c r="J30" i="78"/>
  <c r="I30" i="78"/>
  <c r="H30" i="78"/>
  <c r="L29" i="78"/>
  <c r="K29" i="78"/>
  <c r="J29" i="78"/>
  <c r="I29" i="78"/>
  <c r="H29" i="78"/>
  <c r="L28" i="78"/>
  <c r="K28" i="78"/>
  <c r="J28" i="78"/>
  <c r="I28" i="78"/>
  <c r="H28" i="78"/>
  <c r="L27" i="78"/>
  <c r="K27" i="78"/>
  <c r="J27" i="78"/>
  <c r="I27" i="78"/>
  <c r="H27" i="78"/>
  <c r="L26" i="78"/>
  <c r="K26" i="78"/>
  <c r="J26" i="78"/>
  <c r="I26" i="78"/>
  <c r="H26" i="78"/>
  <c r="L25" i="78"/>
  <c r="K25" i="78"/>
  <c r="J25" i="78"/>
  <c r="I25" i="78"/>
  <c r="H25" i="78"/>
  <c r="L24" i="78"/>
  <c r="K24" i="78"/>
  <c r="J24" i="78"/>
  <c r="I24" i="78"/>
  <c r="H24" i="78"/>
  <c r="L23" i="78"/>
  <c r="K23" i="78"/>
  <c r="J23" i="78"/>
  <c r="I23" i="78"/>
  <c r="H23" i="78"/>
  <c r="L22" i="78"/>
  <c r="K22" i="78"/>
  <c r="J22" i="78"/>
  <c r="I22" i="78"/>
  <c r="H22" i="78"/>
  <c r="L21" i="78"/>
  <c r="K21" i="78"/>
  <c r="J21" i="78"/>
  <c r="I21" i="78"/>
  <c r="H21" i="78"/>
  <c r="L20" i="78"/>
  <c r="K20" i="78"/>
  <c r="J20" i="78"/>
  <c r="I20" i="78"/>
  <c r="H20" i="78"/>
  <c r="L19" i="78"/>
  <c r="K19" i="78"/>
  <c r="J19" i="78"/>
  <c r="I19" i="78"/>
  <c r="H19" i="78"/>
  <c r="L18" i="78"/>
  <c r="K18" i="78"/>
  <c r="J18" i="78"/>
  <c r="I18" i="78"/>
  <c r="H18" i="78"/>
  <c r="L17" i="78"/>
  <c r="K17" i="78"/>
  <c r="J17" i="78"/>
  <c r="I17" i="78"/>
  <c r="H17" i="78"/>
  <c r="L16" i="78"/>
  <c r="K16" i="78"/>
  <c r="J16" i="78"/>
  <c r="I16" i="78"/>
  <c r="H16" i="78"/>
  <c r="L15" i="78"/>
  <c r="K15" i="78"/>
  <c r="J15" i="78"/>
  <c r="I15" i="78"/>
  <c r="H15" i="78"/>
  <c r="L14" i="78"/>
  <c r="K14" i="78"/>
  <c r="J14" i="78"/>
  <c r="I14" i="78"/>
  <c r="H14" i="78"/>
  <c r="L13" i="78"/>
  <c r="K13" i="78"/>
  <c r="J13" i="78"/>
  <c r="I13" i="78"/>
  <c r="H13" i="78"/>
  <c r="L12" i="78"/>
  <c r="K12" i="78"/>
  <c r="J12" i="78"/>
  <c r="I12" i="78"/>
  <c r="H12" i="78"/>
  <c r="L11" i="78"/>
  <c r="K11" i="78"/>
  <c r="J11" i="78"/>
  <c r="I11" i="78"/>
  <c r="H11" i="78"/>
  <c r="L10" i="78"/>
  <c r="K10" i="78"/>
  <c r="J10" i="78"/>
  <c r="I10" i="78"/>
  <c r="H10" i="78"/>
  <c r="L9" i="78"/>
  <c r="K9" i="78"/>
  <c r="J9" i="78"/>
  <c r="I9" i="78"/>
  <c r="H9" i="78"/>
  <c r="L8" i="78"/>
  <c r="K8" i="78"/>
  <c r="J8" i="78"/>
  <c r="I8" i="78"/>
  <c r="L103" i="79"/>
  <c r="K103" i="79"/>
  <c r="J103" i="79"/>
  <c r="I103" i="79"/>
  <c r="H103" i="79"/>
  <c r="L102" i="79"/>
  <c r="K102" i="79"/>
  <c r="J102" i="79"/>
  <c r="I102" i="79"/>
  <c r="H102" i="79"/>
  <c r="L101" i="79"/>
  <c r="K101" i="79"/>
  <c r="J101" i="79"/>
  <c r="I101" i="79"/>
  <c r="H101" i="79"/>
  <c r="L100" i="79"/>
  <c r="K100" i="79"/>
  <c r="J100" i="79"/>
  <c r="I100" i="79"/>
  <c r="H100" i="79"/>
  <c r="L99" i="79"/>
  <c r="K99" i="79"/>
  <c r="J99" i="79"/>
  <c r="I99" i="79"/>
  <c r="H99" i="79"/>
  <c r="L98" i="79"/>
  <c r="K98" i="79"/>
  <c r="J98" i="79"/>
  <c r="I98" i="79"/>
  <c r="H98" i="79"/>
  <c r="L97" i="79"/>
  <c r="K97" i="79"/>
  <c r="J97" i="79"/>
  <c r="I97" i="79"/>
  <c r="H97" i="79"/>
  <c r="L96" i="79"/>
  <c r="K96" i="79"/>
  <c r="J96" i="79"/>
  <c r="I96" i="79"/>
  <c r="H96" i="79"/>
  <c r="L95" i="79"/>
  <c r="K95" i="79"/>
  <c r="J95" i="79"/>
  <c r="I95" i="79"/>
  <c r="H95" i="79"/>
  <c r="L94" i="79"/>
  <c r="K94" i="79"/>
  <c r="J94" i="79"/>
  <c r="I94" i="79"/>
  <c r="H94" i="79"/>
  <c r="L93" i="79"/>
  <c r="K93" i="79"/>
  <c r="J93" i="79"/>
  <c r="I93" i="79"/>
  <c r="H93" i="79"/>
  <c r="L92" i="79"/>
  <c r="K92" i="79"/>
  <c r="J92" i="79"/>
  <c r="I92" i="79"/>
  <c r="H92" i="79"/>
  <c r="L91" i="79"/>
  <c r="K91" i="79"/>
  <c r="J91" i="79"/>
  <c r="I91" i="79"/>
  <c r="H91" i="79"/>
  <c r="L90" i="79"/>
  <c r="K90" i="79"/>
  <c r="J90" i="79"/>
  <c r="I90" i="79"/>
  <c r="H90" i="79"/>
  <c r="L89" i="79"/>
  <c r="K89" i="79"/>
  <c r="J89" i="79"/>
  <c r="I89" i="79"/>
  <c r="H89" i="79"/>
  <c r="L88" i="79"/>
  <c r="K88" i="79"/>
  <c r="J88" i="79"/>
  <c r="I88" i="79"/>
  <c r="H88" i="79"/>
  <c r="L87" i="79"/>
  <c r="K87" i="79"/>
  <c r="J87" i="79"/>
  <c r="I87" i="79"/>
  <c r="H87" i="79"/>
  <c r="L86" i="79"/>
  <c r="K86" i="79"/>
  <c r="J86" i="79"/>
  <c r="I86" i="79"/>
  <c r="H86" i="79"/>
  <c r="L85" i="79"/>
  <c r="K85" i="79"/>
  <c r="J85" i="79"/>
  <c r="I85" i="79"/>
  <c r="H85" i="79"/>
  <c r="L84" i="79"/>
  <c r="K84" i="79"/>
  <c r="J84" i="79"/>
  <c r="I84" i="79"/>
  <c r="H84" i="79"/>
  <c r="L83" i="79"/>
  <c r="K83" i="79"/>
  <c r="J83" i="79"/>
  <c r="I83" i="79"/>
  <c r="H83" i="79"/>
  <c r="L82" i="79"/>
  <c r="K82" i="79"/>
  <c r="J82" i="79"/>
  <c r="I82" i="79"/>
  <c r="H82" i="79"/>
  <c r="L81" i="79"/>
  <c r="K81" i="79"/>
  <c r="J81" i="79"/>
  <c r="I81" i="79"/>
  <c r="H81" i="79"/>
  <c r="L80" i="79"/>
  <c r="K80" i="79"/>
  <c r="J80" i="79"/>
  <c r="I80" i="79"/>
  <c r="H80" i="79"/>
  <c r="L79" i="79"/>
  <c r="K79" i="79"/>
  <c r="J79" i="79"/>
  <c r="I79" i="79"/>
  <c r="H79" i="79"/>
  <c r="L78" i="79"/>
  <c r="K78" i="79"/>
  <c r="J78" i="79"/>
  <c r="I78" i="79"/>
  <c r="H78" i="79"/>
  <c r="L77" i="79"/>
  <c r="K77" i="79"/>
  <c r="J77" i="79"/>
  <c r="I77" i="79"/>
  <c r="H77" i="79"/>
  <c r="L76" i="79"/>
  <c r="K76" i="79"/>
  <c r="J76" i="79"/>
  <c r="I76" i="79"/>
  <c r="H76" i="79"/>
  <c r="L75" i="79"/>
  <c r="K75" i="79"/>
  <c r="J75" i="79"/>
  <c r="I75" i="79"/>
  <c r="H75" i="79"/>
  <c r="L74" i="79"/>
  <c r="K74" i="79"/>
  <c r="J74" i="79"/>
  <c r="I74" i="79"/>
  <c r="H74" i="79"/>
  <c r="L73" i="79"/>
  <c r="K73" i="79"/>
  <c r="J73" i="79"/>
  <c r="I73" i="79"/>
  <c r="H73" i="79"/>
  <c r="L72" i="79"/>
  <c r="K72" i="79"/>
  <c r="J72" i="79"/>
  <c r="I72" i="79"/>
  <c r="H72" i="79"/>
  <c r="L71" i="79"/>
  <c r="K71" i="79"/>
  <c r="J71" i="79"/>
  <c r="I71" i="79"/>
  <c r="H71" i="79"/>
  <c r="L70" i="79"/>
  <c r="K70" i="79"/>
  <c r="J70" i="79"/>
  <c r="I70" i="79"/>
  <c r="H70" i="79"/>
  <c r="L69" i="79"/>
  <c r="K69" i="79"/>
  <c r="J69" i="79"/>
  <c r="I69" i="79"/>
  <c r="H69" i="79"/>
  <c r="L68" i="79"/>
  <c r="K68" i="79"/>
  <c r="J68" i="79"/>
  <c r="I68" i="79"/>
  <c r="H68" i="79"/>
  <c r="L67" i="79"/>
  <c r="K67" i="79"/>
  <c r="J67" i="79"/>
  <c r="I67" i="79"/>
  <c r="H67" i="79"/>
  <c r="L66" i="79"/>
  <c r="K66" i="79"/>
  <c r="J66" i="79"/>
  <c r="I66" i="79"/>
  <c r="H66" i="79"/>
  <c r="L65" i="79"/>
  <c r="K65" i="79"/>
  <c r="J65" i="79"/>
  <c r="I65" i="79"/>
  <c r="H65" i="79"/>
  <c r="L64" i="79"/>
  <c r="K64" i="79"/>
  <c r="J64" i="79"/>
  <c r="I64" i="79"/>
  <c r="H64" i="79"/>
  <c r="L63" i="79"/>
  <c r="K63" i="79"/>
  <c r="J63" i="79"/>
  <c r="I63" i="79"/>
  <c r="H63" i="79"/>
  <c r="L62" i="79"/>
  <c r="K62" i="79"/>
  <c r="J62" i="79"/>
  <c r="I62" i="79"/>
  <c r="H62" i="79"/>
  <c r="L61" i="79"/>
  <c r="K61" i="79"/>
  <c r="J61" i="79"/>
  <c r="I61" i="79"/>
  <c r="H61" i="79"/>
  <c r="L60" i="79"/>
  <c r="K60" i="79"/>
  <c r="J60" i="79"/>
  <c r="I60" i="79"/>
  <c r="H60" i="79"/>
  <c r="L59" i="79"/>
  <c r="K59" i="79"/>
  <c r="J59" i="79"/>
  <c r="I59" i="79"/>
  <c r="H59" i="79"/>
  <c r="L58" i="79"/>
  <c r="K58" i="79"/>
  <c r="J58" i="79"/>
  <c r="I58" i="79"/>
  <c r="H58" i="79"/>
  <c r="L57" i="79"/>
  <c r="K57" i="79"/>
  <c r="J57" i="79"/>
  <c r="I57" i="79"/>
  <c r="H57" i="79"/>
  <c r="L56" i="79"/>
  <c r="K56" i="79"/>
  <c r="J56" i="79"/>
  <c r="I56" i="79"/>
  <c r="H56" i="79"/>
  <c r="L55" i="79"/>
  <c r="K55" i="79"/>
  <c r="J55" i="79"/>
  <c r="I55" i="79"/>
  <c r="H55" i="79"/>
  <c r="L54" i="79"/>
  <c r="K54" i="79"/>
  <c r="J54" i="79"/>
  <c r="I54" i="79"/>
  <c r="H54" i="79"/>
  <c r="L53" i="79"/>
  <c r="K53" i="79"/>
  <c r="J53" i="79"/>
  <c r="I53" i="79"/>
  <c r="H53" i="79"/>
  <c r="L52" i="79"/>
  <c r="K52" i="79"/>
  <c r="J52" i="79"/>
  <c r="I52" i="79"/>
  <c r="H52" i="79"/>
  <c r="L51" i="79"/>
  <c r="K51" i="79"/>
  <c r="J51" i="79"/>
  <c r="I51" i="79"/>
  <c r="H51" i="79"/>
  <c r="L50" i="79"/>
  <c r="K50" i="79"/>
  <c r="J50" i="79"/>
  <c r="I50" i="79"/>
  <c r="H50" i="79"/>
  <c r="L49" i="79"/>
  <c r="K49" i="79"/>
  <c r="J49" i="79"/>
  <c r="I49" i="79"/>
  <c r="H49" i="79"/>
  <c r="L48" i="79"/>
  <c r="K48" i="79"/>
  <c r="J48" i="79"/>
  <c r="I48" i="79"/>
  <c r="H48" i="79"/>
  <c r="L47" i="79"/>
  <c r="K47" i="79"/>
  <c r="J47" i="79"/>
  <c r="I47" i="79"/>
  <c r="H47" i="79"/>
  <c r="L46" i="79"/>
  <c r="K46" i="79"/>
  <c r="J46" i="79"/>
  <c r="I46" i="79"/>
  <c r="H46" i="79"/>
  <c r="L45" i="79"/>
  <c r="K45" i="79"/>
  <c r="J45" i="79"/>
  <c r="I45" i="79"/>
  <c r="H45" i="79"/>
  <c r="L44" i="79"/>
  <c r="K44" i="79"/>
  <c r="J44" i="79"/>
  <c r="I44" i="79"/>
  <c r="H44" i="79"/>
  <c r="L43" i="79"/>
  <c r="K43" i="79"/>
  <c r="J43" i="79"/>
  <c r="I43" i="79"/>
  <c r="H43" i="79"/>
  <c r="L42" i="79"/>
  <c r="K42" i="79"/>
  <c r="J42" i="79"/>
  <c r="I42" i="79"/>
  <c r="H42" i="79"/>
  <c r="L41" i="79"/>
  <c r="K41" i="79"/>
  <c r="J41" i="79"/>
  <c r="I41" i="79"/>
  <c r="H41" i="79"/>
  <c r="L40" i="79"/>
  <c r="K40" i="79"/>
  <c r="J40" i="79"/>
  <c r="I40" i="79"/>
  <c r="H40" i="79"/>
  <c r="L39" i="79"/>
  <c r="K39" i="79"/>
  <c r="J39" i="79"/>
  <c r="I39" i="79"/>
  <c r="H39" i="79"/>
  <c r="L38" i="79"/>
  <c r="K38" i="79"/>
  <c r="J38" i="79"/>
  <c r="I38" i="79"/>
  <c r="H38" i="79"/>
  <c r="L37" i="79"/>
  <c r="K37" i="79"/>
  <c r="J37" i="79"/>
  <c r="I37" i="79"/>
  <c r="H37" i="79"/>
  <c r="L36" i="79"/>
  <c r="K36" i="79"/>
  <c r="J36" i="79"/>
  <c r="I36" i="79"/>
  <c r="H36" i="79"/>
  <c r="L35" i="79"/>
  <c r="K35" i="79"/>
  <c r="J35" i="79"/>
  <c r="I35" i="79"/>
  <c r="H35" i="79"/>
  <c r="L34" i="79"/>
  <c r="K34" i="79"/>
  <c r="J34" i="79"/>
  <c r="I34" i="79"/>
  <c r="H34" i="79"/>
  <c r="L33" i="79"/>
  <c r="K33" i="79"/>
  <c r="J33" i="79"/>
  <c r="I33" i="79"/>
  <c r="H33" i="79"/>
  <c r="L32" i="79"/>
  <c r="K32" i="79"/>
  <c r="J32" i="79"/>
  <c r="I32" i="79"/>
  <c r="H32" i="79"/>
  <c r="L31" i="79"/>
  <c r="K31" i="79"/>
  <c r="J31" i="79"/>
  <c r="I31" i="79"/>
  <c r="H31" i="79"/>
  <c r="L30" i="79"/>
  <c r="K30" i="79"/>
  <c r="J30" i="79"/>
  <c r="I30" i="79"/>
  <c r="H30" i="79"/>
  <c r="L29" i="79"/>
  <c r="K29" i="79"/>
  <c r="J29" i="79"/>
  <c r="I29" i="79"/>
  <c r="H29" i="79"/>
  <c r="L28" i="79"/>
  <c r="K28" i="79"/>
  <c r="J28" i="79"/>
  <c r="I28" i="79"/>
  <c r="H28" i="79"/>
  <c r="L27" i="79"/>
  <c r="K27" i="79"/>
  <c r="J27" i="79"/>
  <c r="I27" i="79"/>
  <c r="H27" i="79"/>
  <c r="L26" i="79"/>
  <c r="K26" i="79"/>
  <c r="J26" i="79"/>
  <c r="I26" i="79"/>
  <c r="H26" i="79"/>
  <c r="L25" i="79"/>
  <c r="K25" i="79"/>
  <c r="J25" i="79"/>
  <c r="I25" i="79"/>
  <c r="H25" i="79"/>
  <c r="L24" i="79"/>
  <c r="K24" i="79"/>
  <c r="J24" i="79"/>
  <c r="I24" i="79"/>
  <c r="H24" i="79"/>
  <c r="L23" i="79"/>
  <c r="K23" i="79"/>
  <c r="J23" i="79"/>
  <c r="I23" i="79"/>
  <c r="H23" i="79"/>
  <c r="L22" i="79"/>
  <c r="K22" i="79"/>
  <c r="J22" i="79"/>
  <c r="I22" i="79"/>
  <c r="H22" i="79"/>
  <c r="L21" i="79"/>
  <c r="K21" i="79"/>
  <c r="J21" i="79"/>
  <c r="I21" i="79"/>
  <c r="H21" i="79"/>
  <c r="L20" i="79"/>
  <c r="K20" i="79"/>
  <c r="J20" i="79"/>
  <c r="I20" i="79"/>
  <c r="H20" i="79"/>
  <c r="L19" i="79"/>
  <c r="K19" i="79"/>
  <c r="J19" i="79"/>
  <c r="I19" i="79"/>
  <c r="H19" i="79"/>
  <c r="L18" i="79"/>
  <c r="K18" i="79"/>
  <c r="J18" i="79"/>
  <c r="I18" i="79"/>
  <c r="H18" i="79"/>
  <c r="L17" i="79"/>
  <c r="K17" i="79"/>
  <c r="J17" i="79"/>
  <c r="I17" i="79"/>
  <c r="H17" i="79"/>
  <c r="L16" i="79"/>
  <c r="K16" i="79"/>
  <c r="J16" i="79"/>
  <c r="I16" i="79"/>
  <c r="H16" i="79"/>
  <c r="L15" i="79"/>
  <c r="K15" i="79"/>
  <c r="J15" i="79"/>
  <c r="I15" i="79"/>
  <c r="H15" i="79"/>
  <c r="L14" i="79"/>
  <c r="K14" i="79"/>
  <c r="J14" i="79"/>
  <c r="I14" i="79"/>
  <c r="H14" i="79"/>
  <c r="L13" i="79"/>
  <c r="K13" i="79"/>
  <c r="J13" i="79"/>
  <c r="I13" i="79"/>
  <c r="H13" i="79"/>
  <c r="L12" i="79"/>
  <c r="K12" i="79"/>
  <c r="J12" i="79"/>
  <c r="I12" i="79"/>
  <c r="H12" i="79"/>
  <c r="L11" i="79"/>
  <c r="K11" i="79"/>
  <c r="J11" i="79"/>
  <c r="I11" i="79"/>
  <c r="H11" i="79"/>
  <c r="L10" i="79"/>
  <c r="K10" i="79"/>
  <c r="J10" i="79"/>
  <c r="I10" i="79"/>
  <c r="H10" i="79"/>
  <c r="L9" i="79"/>
  <c r="K9" i="79"/>
  <c r="J9" i="79"/>
  <c r="I9" i="79"/>
  <c r="H9" i="79"/>
  <c r="L8" i="79"/>
  <c r="K8" i="79"/>
  <c r="J8" i="79"/>
  <c r="I8" i="79"/>
  <c r="L103" i="85"/>
  <c r="K103" i="85"/>
  <c r="J103" i="85"/>
  <c r="I103" i="85"/>
  <c r="H103" i="85"/>
  <c r="L102" i="85"/>
  <c r="K102" i="85"/>
  <c r="J102" i="85"/>
  <c r="I102" i="85"/>
  <c r="H102" i="85"/>
  <c r="L101" i="85"/>
  <c r="K101" i="85"/>
  <c r="J101" i="85"/>
  <c r="I101" i="85"/>
  <c r="H101" i="85"/>
  <c r="L100" i="85"/>
  <c r="K100" i="85"/>
  <c r="J100" i="85"/>
  <c r="I100" i="85"/>
  <c r="H100" i="85"/>
  <c r="L99" i="85"/>
  <c r="K99" i="85"/>
  <c r="J99" i="85"/>
  <c r="I99" i="85"/>
  <c r="H99" i="85"/>
  <c r="L98" i="85"/>
  <c r="K98" i="85"/>
  <c r="J98" i="85"/>
  <c r="I98" i="85"/>
  <c r="H98" i="85"/>
  <c r="L97" i="85"/>
  <c r="K97" i="85"/>
  <c r="J97" i="85"/>
  <c r="I97" i="85"/>
  <c r="H97" i="85"/>
  <c r="L96" i="85"/>
  <c r="K96" i="85"/>
  <c r="J96" i="85"/>
  <c r="I96" i="85"/>
  <c r="H96" i="85"/>
  <c r="L95" i="85"/>
  <c r="K95" i="85"/>
  <c r="J95" i="85"/>
  <c r="I95" i="85"/>
  <c r="H95" i="85"/>
  <c r="L94" i="85"/>
  <c r="K94" i="85"/>
  <c r="J94" i="85"/>
  <c r="I94" i="85"/>
  <c r="H94" i="85"/>
  <c r="L93" i="85"/>
  <c r="K93" i="85"/>
  <c r="J93" i="85"/>
  <c r="I93" i="85"/>
  <c r="H93" i="85"/>
  <c r="L92" i="85"/>
  <c r="K92" i="85"/>
  <c r="J92" i="85"/>
  <c r="I92" i="85"/>
  <c r="H92" i="85"/>
  <c r="L91" i="85"/>
  <c r="K91" i="85"/>
  <c r="J91" i="85"/>
  <c r="I91" i="85"/>
  <c r="H91" i="85"/>
  <c r="L90" i="85"/>
  <c r="K90" i="85"/>
  <c r="J90" i="85"/>
  <c r="I90" i="85"/>
  <c r="H90" i="85"/>
  <c r="L89" i="85"/>
  <c r="K89" i="85"/>
  <c r="J89" i="85"/>
  <c r="I89" i="85"/>
  <c r="H89" i="85"/>
  <c r="L88" i="85"/>
  <c r="K88" i="85"/>
  <c r="J88" i="85"/>
  <c r="I88" i="85"/>
  <c r="H88" i="85"/>
  <c r="L87" i="85"/>
  <c r="K87" i="85"/>
  <c r="J87" i="85"/>
  <c r="I87" i="85"/>
  <c r="H87" i="85"/>
  <c r="L86" i="85"/>
  <c r="K86" i="85"/>
  <c r="J86" i="85"/>
  <c r="I86" i="85"/>
  <c r="H86" i="85"/>
  <c r="L85" i="85"/>
  <c r="K85" i="85"/>
  <c r="J85" i="85"/>
  <c r="I85" i="85"/>
  <c r="H85" i="85"/>
  <c r="L84" i="85"/>
  <c r="K84" i="85"/>
  <c r="J84" i="85"/>
  <c r="I84" i="85"/>
  <c r="H84" i="85"/>
  <c r="L83" i="85"/>
  <c r="K83" i="85"/>
  <c r="J83" i="85"/>
  <c r="I83" i="85"/>
  <c r="H83" i="85"/>
  <c r="L82" i="85"/>
  <c r="K82" i="85"/>
  <c r="J82" i="85"/>
  <c r="I82" i="85"/>
  <c r="H82" i="85"/>
  <c r="L81" i="85"/>
  <c r="K81" i="85"/>
  <c r="J81" i="85"/>
  <c r="I81" i="85"/>
  <c r="H81" i="85"/>
  <c r="L80" i="85"/>
  <c r="K80" i="85"/>
  <c r="J80" i="85"/>
  <c r="I80" i="85"/>
  <c r="H80" i="85"/>
  <c r="L79" i="85"/>
  <c r="K79" i="85"/>
  <c r="J79" i="85"/>
  <c r="I79" i="85"/>
  <c r="H79" i="85"/>
  <c r="L78" i="85"/>
  <c r="K78" i="85"/>
  <c r="J78" i="85"/>
  <c r="I78" i="85"/>
  <c r="H78" i="85"/>
  <c r="L77" i="85"/>
  <c r="K77" i="85"/>
  <c r="J77" i="85"/>
  <c r="I77" i="85"/>
  <c r="H77" i="85"/>
  <c r="L76" i="85"/>
  <c r="K76" i="85"/>
  <c r="J76" i="85"/>
  <c r="I76" i="85"/>
  <c r="H76" i="85"/>
  <c r="L75" i="85"/>
  <c r="K75" i="85"/>
  <c r="J75" i="85"/>
  <c r="I75" i="85"/>
  <c r="H75" i="85"/>
  <c r="L74" i="85"/>
  <c r="K74" i="85"/>
  <c r="J74" i="85"/>
  <c r="I74" i="85"/>
  <c r="H74" i="85"/>
  <c r="L73" i="85"/>
  <c r="K73" i="85"/>
  <c r="J73" i="85"/>
  <c r="I73" i="85"/>
  <c r="H73" i="85"/>
  <c r="L72" i="85"/>
  <c r="K72" i="85"/>
  <c r="J72" i="85"/>
  <c r="I72" i="85"/>
  <c r="H72" i="85"/>
  <c r="L71" i="85"/>
  <c r="K71" i="85"/>
  <c r="J71" i="85"/>
  <c r="I71" i="85"/>
  <c r="H71" i="85"/>
  <c r="L70" i="85"/>
  <c r="K70" i="85"/>
  <c r="J70" i="85"/>
  <c r="I70" i="85"/>
  <c r="H70" i="85"/>
  <c r="L69" i="85"/>
  <c r="K69" i="85"/>
  <c r="J69" i="85"/>
  <c r="I69" i="85"/>
  <c r="H69" i="85"/>
  <c r="L68" i="85"/>
  <c r="K68" i="85"/>
  <c r="J68" i="85"/>
  <c r="I68" i="85"/>
  <c r="H68" i="85"/>
  <c r="L67" i="85"/>
  <c r="K67" i="85"/>
  <c r="J67" i="85"/>
  <c r="I67" i="85"/>
  <c r="H67" i="85"/>
  <c r="L66" i="85"/>
  <c r="K66" i="85"/>
  <c r="J66" i="85"/>
  <c r="I66" i="85"/>
  <c r="H66" i="85"/>
  <c r="L65" i="85"/>
  <c r="K65" i="85"/>
  <c r="J65" i="85"/>
  <c r="I65" i="85"/>
  <c r="H65" i="85"/>
  <c r="L64" i="85"/>
  <c r="K64" i="85"/>
  <c r="J64" i="85"/>
  <c r="I64" i="85"/>
  <c r="H64" i="85"/>
  <c r="L63" i="85"/>
  <c r="K63" i="85"/>
  <c r="J63" i="85"/>
  <c r="I63" i="85"/>
  <c r="H63" i="85"/>
  <c r="L62" i="85"/>
  <c r="K62" i="85"/>
  <c r="J62" i="85"/>
  <c r="I62" i="85"/>
  <c r="H62" i="85"/>
  <c r="L61" i="85"/>
  <c r="K61" i="85"/>
  <c r="J61" i="85"/>
  <c r="I61" i="85"/>
  <c r="H61" i="85"/>
  <c r="L60" i="85"/>
  <c r="K60" i="85"/>
  <c r="J60" i="85"/>
  <c r="I60" i="85"/>
  <c r="H60" i="85"/>
  <c r="L59" i="85"/>
  <c r="K59" i="85"/>
  <c r="J59" i="85"/>
  <c r="I59" i="85"/>
  <c r="H59" i="85"/>
  <c r="L58" i="85"/>
  <c r="K58" i="85"/>
  <c r="J58" i="85"/>
  <c r="I58" i="85"/>
  <c r="H58" i="85"/>
  <c r="L57" i="85"/>
  <c r="K57" i="85"/>
  <c r="J57" i="85"/>
  <c r="I57" i="85"/>
  <c r="H57" i="85"/>
  <c r="L56" i="85"/>
  <c r="K56" i="85"/>
  <c r="J56" i="85"/>
  <c r="I56" i="85"/>
  <c r="H56" i="85"/>
  <c r="L55" i="85"/>
  <c r="K55" i="85"/>
  <c r="J55" i="85"/>
  <c r="I55" i="85"/>
  <c r="H55" i="85"/>
  <c r="L54" i="85"/>
  <c r="K54" i="85"/>
  <c r="J54" i="85"/>
  <c r="I54" i="85"/>
  <c r="H54" i="85"/>
  <c r="L53" i="85"/>
  <c r="K53" i="85"/>
  <c r="J53" i="85"/>
  <c r="I53" i="85"/>
  <c r="H53" i="85"/>
  <c r="L52" i="85"/>
  <c r="K52" i="85"/>
  <c r="J52" i="85"/>
  <c r="I52" i="85"/>
  <c r="H52" i="85"/>
  <c r="L51" i="85"/>
  <c r="K51" i="85"/>
  <c r="J51" i="85"/>
  <c r="I51" i="85"/>
  <c r="H51" i="85"/>
  <c r="L50" i="85"/>
  <c r="K50" i="85"/>
  <c r="J50" i="85"/>
  <c r="I50" i="85"/>
  <c r="H50" i="85"/>
  <c r="L49" i="85"/>
  <c r="K49" i="85"/>
  <c r="J49" i="85"/>
  <c r="I49" i="85"/>
  <c r="H49" i="85"/>
  <c r="L48" i="85"/>
  <c r="K48" i="85"/>
  <c r="J48" i="85"/>
  <c r="I48" i="85"/>
  <c r="H48" i="85"/>
  <c r="L47" i="85"/>
  <c r="K47" i="85"/>
  <c r="J47" i="85"/>
  <c r="I47" i="85"/>
  <c r="H47" i="85"/>
  <c r="L46" i="85"/>
  <c r="K46" i="85"/>
  <c r="J46" i="85"/>
  <c r="I46" i="85"/>
  <c r="H46" i="85"/>
  <c r="L45" i="85"/>
  <c r="K45" i="85"/>
  <c r="J45" i="85"/>
  <c r="I45" i="85"/>
  <c r="H45" i="85"/>
  <c r="L44" i="85"/>
  <c r="K44" i="85"/>
  <c r="J44" i="85"/>
  <c r="I44" i="85"/>
  <c r="H44" i="85"/>
  <c r="L43" i="85"/>
  <c r="K43" i="85"/>
  <c r="J43" i="85"/>
  <c r="I43" i="85"/>
  <c r="H43" i="85"/>
  <c r="L42" i="85"/>
  <c r="K42" i="85"/>
  <c r="J42" i="85"/>
  <c r="I42" i="85"/>
  <c r="H42" i="85"/>
  <c r="L41" i="85"/>
  <c r="K41" i="85"/>
  <c r="J41" i="85"/>
  <c r="I41" i="85"/>
  <c r="H41" i="85"/>
  <c r="L40" i="85"/>
  <c r="K40" i="85"/>
  <c r="J40" i="85"/>
  <c r="I40" i="85"/>
  <c r="H40" i="85"/>
  <c r="L39" i="85"/>
  <c r="K39" i="85"/>
  <c r="J39" i="85"/>
  <c r="I39" i="85"/>
  <c r="H39" i="85"/>
  <c r="L38" i="85"/>
  <c r="K38" i="85"/>
  <c r="J38" i="85"/>
  <c r="I38" i="85"/>
  <c r="H38" i="85"/>
  <c r="L37" i="85"/>
  <c r="K37" i="85"/>
  <c r="J37" i="85"/>
  <c r="I37" i="85"/>
  <c r="H37" i="85"/>
  <c r="L36" i="85"/>
  <c r="K36" i="85"/>
  <c r="J36" i="85"/>
  <c r="I36" i="85"/>
  <c r="H36" i="85"/>
  <c r="L35" i="85"/>
  <c r="K35" i="85"/>
  <c r="J35" i="85"/>
  <c r="I35" i="85"/>
  <c r="H35" i="85"/>
  <c r="L34" i="85"/>
  <c r="K34" i="85"/>
  <c r="J34" i="85"/>
  <c r="I34" i="85"/>
  <c r="H34" i="85"/>
  <c r="L33" i="85"/>
  <c r="K33" i="85"/>
  <c r="J33" i="85"/>
  <c r="I33" i="85"/>
  <c r="H33" i="85"/>
  <c r="L32" i="85"/>
  <c r="K32" i="85"/>
  <c r="J32" i="85"/>
  <c r="I32" i="85"/>
  <c r="H32" i="85"/>
  <c r="L31" i="85"/>
  <c r="K31" i="85"/>
  <c r="J31" i="85"/>
  <c r="I31" i="85"/>
  <c r="H31" i="85"/>
  <c r="L30" i="85"/>
  <c r="K30" i="85"/>
  <c r="J30" i="85"/>
  <c r="I30" i="85"/>
  <c r="H30" i="85"/>
  <c r="L29" i="85"/>
  <c r="K29" i="85"/>
  <c r="J29" i="85"/>
  <c r="I29" i="85"/>
  <c r="H29" i="85"/>
  <c r="L28" i="85"/>
  <c r="K28" i="85"/>
  <c r="J28" i="85"/>
  <c r="I28" i="85"/>
  <c r="H28" i="85"/>
  <c r="L27" i="85"/>
  <c r="K27" i="85"/>
  <c r="J27" i="85"/>
  <c r="I27" i="85"/>
  <c r="H27" i="85"/>
  <c r="L26" i="85"/>
  <c r="K26" i="85"/>
  <c r="J26" i="85"/>
  <c r="I26" i="85"/>
  <c r="H26" i="85"/>
  <c r="L25" i="85"/>
  <c r="K25" i="85"/>
  <c r="J25" i="85"/>
  <c r="I25" i="85"/>
  <c r="H25" i="85"/>
  <c r="L24" i="85"/>
  <c r="K24" i="85"/>
  <c r="J24" i="85"/>
  <c r="I24" i="85"/>
  <c r="H24" i="85"/>
  <c r="L23" i="85"/>
  <c r="K23" i="85"/>
  <c r="J23" i="85"/>
  <c r="I23" i="85"/>
  <c r="H23" i="85"/>
  <c r="L22" i="85"/>
  <c r="K22" i="85"/>
  <c r="J22" i="85"/>
  <c r="I22" i="85"/>
  <c r="H22" i="85"/>
  <c r="L21" i="85"/>
  <c r="K21" i="85"/>
  <c r="J21" i="85"/>
  <c r="I21" i="85"/>
  <c r="H21" i="85"/>
  <c r="L20" i="85"/>
  <c r="K20" i="85"/>
  <c r="J20" i="85"/>
  <c r="I20" i="85"/>
  <c r="H20" i="85"/>
  <c r="L19" i="85"/>
  <c r="K19" i="85"/>
  <c r="J19" i="85"/>
  <c r="I19" i="85"/>
  <c r="H19" i="85"/>
  <c r="L18" i="85"/>
  <c r="K18" i="85"/>
  <c r="J18" i="85"/>
  <c r="I18" i="85"/>
  <c r="H18" i="85"/>
  <c r="L17" i="85"/>
  <c r="K17" i="85"/>
  <c r="J17" i="85"/>
  <c r="I17" i="85"/>
  <c r="H17" i="85"/>
  <c r="L16" i="85"/>
  <c r="K16" i="85"/>
  <c r="J16" i="85"/>
  <c r="I16" i="85"/>
  <c r="H16" i="85"/>
  <c r="L15" i="85"/>
  <c r="K15" i="85"/>
  <c r="J15" i="85"/>
  <c r="I15" i="85"/>
  <c r="H15" i="85"/>
  <c r="L14" i="85"/>
  <c r="K14" i="85"/>
  <c r="J14" i="85"/>
  <c r="I14" i="85"/>
  <c r="H14" i="85"/>
  <c r="L13" i="85"/>
  <c r="K13" i="85"/>
  <c r="J13" i="85"/>
  <c r="I13" i="85"/>
  <c r="H13" i="85"/>
  <c r="L12" i="85"/>
  <c r="K12" i="85"/>
  <c r="J12" i="85"/>
  <c r="I12" i="85"/>
  <c r="H12" i="85"/>
  <c r="L11" i="85"/>
  <c r="K11" i="85"/>
  <c r="J11" i="85"/>
  <c r="I11" i="85"/>
  <c r="H11" i="85"/>
  <c r="L10" i="85"/>
  <c r="K10" i="85"/>
  <c r="J10" i="85"/>
  <c r="I10" i="85"/>
  <c r="H10" i="85"/>
  <c r="L9" i="85"/>
  <c r="K9" i="85"/>
  <c r="J9" i="85"/>
  <c r="I9" i="85"/>
  <c r="H9" i="85"/>
  <c r="L8" i="85"/>
  <c r="K8" i="85"/>
  <c r="J8" i="85"/>
  <c r="I8" i="85"/>
  <c r="L103" i="84"/>
  <c r="K103" i="84"/>
  <c r="J103" i="84"/>
  <c r="I103" i="84"/>
  <c r="H103" i="84"/>
  <c r="L102" i="84"/>
  <c r="K102" i="84"/>
  <c r="J102" i="84"/>
  <c r="I102" i="84"/>
  <c r="H102" i="84"/>
  <c r="L101" i="84"/>
  <c r="K101" i="84"/>
  <c r="J101" i="84"/>
  <c r="I101" i="84"/>
  <c r="H101" i="84"/>
  <c r="L100" i="84"/>
  <c r="K100" i="84"/>
  <c r="J100" i="84"/>
  <c r="I100" i="84"/>
  <c r="H100" i="84"/>
  <c r="L99" i="84"/>
  <c r="K99" i="84"/>
  <c r="J99" i="84"/>
  <c r="I99" i="84"/>
  <c r="H99" i="84"/>
  <c r="L98" i="84"/>
  <c r="K98" i="84"/>
  <c r="J98" i="84"/>
  <c r="I98" i="84"/>
  <c r="H98" i="84"/>
  <c r="L97" i="84"/>
  <c r="K97" i="84"/>
  <c r="J97" i="84"/>
  <c r="I97" i="84"/>
  <c r="H97" i="84"/>
  <c r="L96" i="84"/>
  <c r="K96" i="84"/>
  <c r="J96" i="84"/>
  <c r="I96" i="84"/>
  <c r="H96" i="84"/>
  <c r="L95" i="84"/>
  <c r="K95" i="84"/>
  <c r="J95" i="84"/>
  <c r="I95" i="84"/>
  <c r="H95" i="84"/>
  <c r="L94" i="84"/>
  <c r="K94" i="84"/>
  <c r="J94" i="84"/>
  <c r="I94" i="84"/>
  <c r="H94" i="84"/>
  <c r="L93" i="84"/>
  <c r="K93" i="84"/>
  <c r="J93" i="84"/>
  <c r="I93" i="84"/>
  <c r="H93" i="84"/>
  <c r="L92" i="84"/>
  <c r="K92" i="84"/>
  <c r="J92" i="84"/>
  <c r="I92" i="84"/>
  <c r="H92" i="84"/>
  <c r="L91" i="84"/>
  <c r="K91" i="84"/>
  <c r="J91" i="84"/>
  <c r="I91" i="84"/>
  <c r="H91" i="84"/>
  <c r="L90" i="84"/>
  <c r="K90" i="84"/>
  <c r="J90" i="84"/>
  <c r="I90" i="84"/>
  <c r="H90" i="84"/>
  <c r="L89" i="84"/>
  <c r="K89" i="84"/>
  <c r="J89" i="84"/>
  <c r="I89" i="84"/>
  <c r="H89" i="84"/>
  <c r="L88" i="84"/>
  <c r="K88" i="84"/>
  <c r="J88" i="84"/>
  <c r="I88" i="84"/>
  <c r="H88" i="84"/>
  <c r="L87" i="84"/>
  <c r="K87" i="84"/>
  <c r="J87" i="84"/>
  <c r="I87" i="84"/>
  <c r="H87" i="84"/>
  <c r="L86" i="84"/>
  <c r="K86" i="84"/>
  <c r="J86" i="84"/>
  <c r="I86" i="84"/>
  <c r="H86" i="84"/>
  <c r="L85" i="84"/>
  <c r="K85" i="84"/>
  <c r="J85" i="84"/>
  <c r="I85" i="84"/>
  <c r="H85" i="84"/>
  <c r="L84" i="84"/>
  <c r="K84" i="84"/>
  <c r="J84" i="84"/>
  <c r="I84" i="84"/>
  <c r="H84" i="84"/>
  <c r="L83" i="84"/>
  <c r="K83" i="84"/>
  <c r="J83" i="84"/>
  <c r="I83" i="84"/>
  <c r="H83" i="84"/>
  <c r="L82" i="84"/>
  <c r="K82" i="84"/>
  <c r="J82" i="84"/>
  <c r="I82" i="84"/>
  <c r="H82" i="84"/>
  <c r="L81" i="84"/>
  <c r="K81" i="84"/>
  <c r="J81" i="84"/>
  <c r="I81" i="84"/>
  <c r="H81" i="84"/>
  <c r="L80" i="84"/>
  <c r="K80" i="84"/>
  <c r="J80" i="84"/>
  <c r="I80" i="84"/>
  <c r="H80" i="84"/>
  <c r="L79" i="84"/>
  <c r="K79" i="84"/>
  <c r="J79" i="84"/>
  <c r="I79" i="84"/>
  <c r="H79" i="84"/>
  <c r="L78" i="84"/>
  <c r="K78" i="84"/>
  <c r="J78" i="84"/>
  <c r="I78" i="84"/>
  <c r="H78" i="84"/>
  <c r="L77" i="84"/>
  <c r="K77" i="84"/>
  <c r="J77" i="84"/>
  <c r="I77" i="84"/>
  <c r="H77" i="84"/>
  <c r="L76" i="84"/>
  <c r="K76" i="84"/>
  <c r="J76" i="84"/>
  <c r="I76" i="84"/>
  <c r="H76" i="84"/>
  <c r="L75" i="84"/>
  <c r="K75" i="84"/>
  <c r="J75" i="84"/>
  <c r="I75" i="84"/>
  <c r="H75" i="84"/>
  <c r="L74" i="84"/>
  <c r="K74" i="84"/>
  <c r="J74" i="84"/>
  <c r="I74" i="84"/>
  <c r="H74" i="84"/>
  <c r="L73" i="84"/>
  <c r="K73" i="84"/>
  <c r="J73" i="84"/>
  <c r="I73" i="84"/>
  <c r="H73" i="84"/>
  <c r="L72" i="84"/>
  <c r="K72" i="84"/>
  <c r="J72" i="84"/>
  <c r="I72" i="84"/>
  <c r="H72" i="84"/>
  <c r="L71" i="84"/>
  <c r="K71" i="84"/>
  <c r="J71" i="84"/>
  <c r="I71" i="84"/>
  <c r="H71" i="84"/>
  <c r="L70" i="84"/>
  <c r="K70" i="84"/>
  <c r="J70" i="84"/>
  <c r="I70" i="84"/>
  <c r="H70" i="84"/>
  <c r="L69" i="84"/>
  <c r="K69" i="84"/>
  <c r="J69" i="84"/>
  <c r="I69" i="84"/>
  <c r="H69" i="84"/>
  <c r="L68" i="84"/>
  <c r="K68" i="84"/>
  <c r="J68" i="84"/>
  <c r="I68" i="84"/>
  <c r="H68" i="84"/>
  <c r="L67" i="84"/>
  <c r="K67" i="84"/>
  <c r="J67" i="84"/>
  <c r="I67" i="84"/>
  <c r="H67" i="84"/>
  <c r="L66" i="84"/>
  <c r="K66" i="84"/>
  <c r="J66" i="84"/>
  <c r="I66" i="84"/>
  <c r="H66" i="84"/>
  <c r="L65" i="84"/>
  <c r="K65" i="84"/>
  <c r="J65" i="84"/>
  <c r="I65" i="84"/>
  <c r="H65" i="84"/>
  <c r="L64" i="84"/>
  <c r="K64" i="84"/>
  <c r="J64" i="84"/>
  <c r="I64" i="84"/>
  <c r="H64" i="84"/>
  <c r="L63" i="84"/>
  <c r="K63" i="84"/>
  <c r="J63" i="84"/>
  <c r="I63" i="84"/>
  <c r="H63" i="84"/>
  <c r="L62" i="84"/>
  <c r="K62" i="84"/>
  <c r="J62" i="84"/>
  <c r="I62" i="84"/>
  <c r="H62" i="84"/>
  <c r="L61" i="84"/>
  <c r="K61" i="84"/>
  <c r="J61" i="84"/>
  <c r="I61" i="84"/>
  <c r="H61" i="84"/>
  <c r="L60" i="84"/>
  <c r="K60" i="84"/>
  <c r="J60" i="84"/>
  <c r="I60" i="84"/>
  <c r="H60" i="84"/>
  <c r="L59" i="84"/>
  <c r="K59" i="84"/>
  <c r="J59" i="84"/>
  <c r="I59" i="84"/>
  <c r="H59" i="84"/>
  <c r="L58" i="84"/>
  <c r="K58" i="84"/>
  <c r="J58" i="84"/>
  <c r="I58" i="84"/>
  <c r="H58" i="84"/>
  <c r="L57" i="84"/>
  <c r="K57" i="84"/>
  <c r="J57" i="84"/>
  <c r="I57" i="84"/>
  <c r="H57" i="84"/>
  <c r="L56" i="84"/>
  <c r="K56" i="84"/>
  <c r="J56" i="84"/>
  <c r="I56" i="84"/>
  <c r="H56" i="84"/>
  <c r="L55" i="84"/>
  <c r="K55" i="84"/>
  <c r="J55" i="84"/>
  <c r="I55" i="84"/>
  <c r="H55" i="84"/>
  <c r="L54" i="84"/>
  <c r="K54" i="84"/>
  <c r="J54" i="84"/>
  <c r="I54" i="84"/>
  <c r="H54" i="84"/>
  <c r="L53" i="84"/>
  <c r="K53" i="84"/>
  <c r="J53" i="84"/>
  <c r="I53" i="84"/>
  <c r="H53" i="84"/>
  <c r="L52" i="84"/>
  <c r="K52" i="84"/>
  <c r="J52" i="84"/>
  <c r="I52" i="84"/>
  <c r="H52" i="84"/>
  <c r="L51" i="84"/>
  <c r="K51" i="84"/>
  <c r="J51" i="84"/>
  <c r="I51" i="84"/>
  <c r="H51" i="84"/>
  <c r="L50" i="84"/>
  <c r="K50" i="84"/>
  <c r="J50" i="84"/>
  <c r="I50" i="84"/>
  <c r="H50" i="84"/>
  <c r="L49" i="84"/>
  <c r="K49" i="84"/>
  <c r="J49" i="84"/>
  <c r="I49" i="84"/>
  <c r="H49" i="84"/>
  <c r="L48" i="84"/>
  <c r="K48" i="84"/>
  <c r="J48" i="84"/>
  <c r="I48" i="84"/>
  <c r="H48" i="84"/>
  <c r="L47" i="84"/>
  <c r="K47" i="84"/>
  <c r="J47" i="84"/>
  <c r="I47" i="84"/>
  <c r="H47" i="84"/>
  <c r="L46" i="84"/>
  <c r="K46" i="84"/>
  <c r="J46" i="84"/>
  <c r="I46" i="84"/>
  <c r="H46" i="84"/>
  <c r="L45" i="84"/>
  <c r="K45" i="84"/>
  <c r="J45" i="84"/>
  <c r="I45" i="84"/>
  <c r="H45" i="84"/>
  <c r="L44" i="84"/>
  <c r="K44" i="84"/>
  <c r="J44" i="84"/>
  <c r="I44" i="84"/>
  <c r="H44" i="84"/>
  <c r="L43" i="84"/>
  <c r="K43" i="84"/>
  <c r="J43" i="84"/>
  <c r="I43" i="84"/>
  <c r="H43" i="84"/>
  <c r="L42" i="84"/>
  <c r="K42" i="84"/>
  <c r="J42" i="84"/>
  <c r="I42" i="84"/>
  <c r="H42" i="84"/>
  <c r="L41" i="84"/>
  <c r="K41" i="84"/>
  <c r="J41" i="84"/>
  <c r="I41" i="84"/>
  <c r="H41" i="84"/>
  <c r="L40" i="84"/>
  <c r="K40" i="84"/>
  <c r="J40" i="84"/>
  <c r="I40" i="84"/>
  <c r="H40" i="84"/>
  <c r="L39" i="84"/>
  <c r="K39" i="84"/>
  <c r="J39" i="84"/>
  <c r="I39" i="84"/>
  <c r="H39" i="84"/>
  <c r="L38" i="84"/>
  <c r="K38" i="84"/>
  <c r="J38" i="84"/>
  <c r="I38" i="84"/>
  <c r="H38" i="84"/>
  <c r="L37" i="84"/>
  <c r="K37" i="84"/>
  <c r="J37" i="84"/>
  <c r="I37" i="84"/>
  <c r="H37" i="84"/>
  <c r="L36" i="84"/>
  <c r="K36" i="84"/>
  <c r="J36" i="84"/>
  <c r="I36" i="84"/>
  <c r="H36" i="84"/>
  <c r="L35" i="84"/>
  <c r="K35" i="84"/>
  <c r="J35" i="84"/>
  <c r="I35" i="84"/>
  <c r="H35" i="84"/>
  <c r="L34" i="84"/>
  <c r="K34" i="84"/>
  <c r="J34" i="84"/>
  <c r="I34" i="84"/>
  <c r="H34" i="84"/>
  <c r="L33" i="84"/>
  <c r="K33" i="84"/>
  <c r="J33" i="84"/>
  <c r="I33" i="84"/>
  <c r="H33" i="84"/>
  <c r="L32" i="84"/>
  <c r="K32" i="84"/>
  <c r="J32" i="84"/>
  <c r="I32" i="84"/>
  <c r="H32" i="84"/>
  <c r="L31" i="84"/>
  <c r="K31" i="84"/>
  <c r="J31" i="84"/>
  <c r="I31" i="84"/>
  <c r="H31" i="84"/>
  <c r="L30" i="84"/>
  <c r="K30" i="84"/>
  <c r="J30" i="84"/>
  <c r="I30" i="84"/>
  <c r="H30" i="84"/>
  <c r="L29" i="84"/>
  <c r="K29" i="84"/>
  <c r="J29" i="84"/>
  <c r="I29" i="84"/>
  <c r="H29" i="84"/>
  <c r="L28" i="84"/>
  <c r="K28" i="84"/>
  <c r="J28" i="84"/>
  <c r="I28" i="84"/>
  <c r="H28" i="84"/>
  <c r="L27" i="84"/>
  <c r="K27" i="84"/>
  <c r="J27" i="84"/>
  <c r="I27" i="84"/>
  <c r="H27" i="84"/>
  <c r="L26" i="84"/>
  <c r="K26" i="84"/>
  <c r="J26" i="84"/>
  <c r="I26" i="84"/>
  <c r="H26" i="84"/>
  <c r="L25" i="84"/>
  <c r="K25" i="84"/>
  <c r="J25" i="84"/>
  <c r="I25" i="84"/>
  <c r="H25" i="84"/>
  <c r="L24" i="84"/>
  <c r="K24" i="84"/>
  <c r="J24" i="84"/>
  <c r="I24" i="84"/>
  <c r="H24" i="84"/>
  <c r="L23" i="84"/>
  <c r="K23" i="84"/>
  <c r="J23" i="84"/>
  <c r="I23" i="84"/>
  <c r="H23" i="84"/>
  <c r="L22" i="84"/>
  <c r="K22" i="84"/>
  <c r="J22" i="84"/>
  <c r="I22" i="84"/>
  <c r="H22" i="84"/>
  <c r="L21" i="84"/>
  <c r="K21" i="84"/>
  <c r="J21" i="84"/>
  <c r="I21" i="84"/>
  <c r="H21" i="84"/>
  <c r="L20" i="84"/>
  <c r="K20" i="84"/>
  <c r="J20" i="84"/>
  <c r="I20" i="84"/>
  <c r="H20" i="84"/>
  <c r="L19" i="84"/>
  <c r="K19" i="84"/>
  <c r="J19" i="84"/>
  <c r="I19" i="84"/>
  <c r="H19" i="84"/>
  <c r="L18" i="84"/>
  <c r="K18" i="84"/>
  <c r="J18" i="84"/>
  <c r="I18" i="84"/>
  <c r="H18" i="84"/>
  <c r="L17" i="84"/>
  <c r="K17" i="84"/>
  <c r="J17" i="84"/>
  <c r="I17" i="84"/>
  <c r="H17" i="84"/>
  <c r="L16" i="84"/>
  <c r="K16" i="84"/>
  <c r="J16" i="84"/>
  <c r="I16" i="84"/>
  <c r="H16" i="84"/>
  <c r="L15" i="84"/>
  <c r="K15" i="84"/>
  <c r="J15" i="84"/>
  <c r="I15" i="84"/>
  <c r="H15" i="84"/>
  <c r="L14" i="84"/>
  <c r="K14" i="84"/>
  <c r="J14" i="84"/>
  <c r="I14" i="84"/>
  <c r="H14" i="84"/>
  <c r="L13" i="84"/>
  <c r="K13" i="84"/>
  <c r="J13" i="84"/>
  <c r="I13" i="84"/>
  <c r="H13" i="84"/>
  <c r="L12" i="84"/>
  <c r="K12" i="84"/>
  <c r="J12" i="84"/>
  <c r="I12" i="84"/>
  <c r="H12" i="84"/>
  <c r="L11" i="84"/>
  <c r="K11" i="84"/>
  <c r="J11" i="84"/>
  <c r="I11" i="84"/>
  <c r="H11" i="84"/>
  <c r="L10" i="84"/>
  <c r="K10" i="84"/>
  <c r="J10" i="84"/>
  <c r="I10" i="84"/>
  <c r="H10" i="84"/>
  <c r="L9" i="84"/>
  <c r="K9" i="84"/>
  <c r="J9" i="84"/>
  <c r="I9" i="84"/>
  <c r="H9" i="84"/>
  <c r="L8" i="84"/>
  <c r="K8" i="84"/>
  <c r="J8" i="84"/>
  <c r="I8" i="84"/>
  <c r="L103" i="83"/>
  <c r="K103" i="83"/>
  <c r="J103" i="83"/>
  <c r="I103" i="83"/>
  <c r="H103" i="83"/>
  <c r="L102" i="83"/>
  <c r="K102" i="83"/>
  <c r="J102" i="83"/>
  <c r="I102" i="83"/>
  <c r="H102" i="83"/>
  <c r="L101" i="83"/>
  <c r="K101" i="83"/>
  <c r="J101" i="83"/>
  <c r="I101" i="83"/>
  <c r="H101" i="83"/>
  <c r="L100" i="83"/>
  <c r="K100" i="83"/>
  <c r="J100" i="83"/>
  <c r="I100" i="83"/>
  <c r="H100" i="83"/>
  <c r="L99" i="83"/>
  <c r="K99" i="83"/>
  <c r="J99" i="83"/>
  <c r="I99" i="83"/>
  <c r="H99" i="83"/>
  <c r="L98" i="83"/>
  <c r="K98" i="83"/>
  <c r="J98" i="83"/>
  <c r="I98" i="83"/>
  <c r="H98" i="83"/>
  <c r="L97" i="83"/>
  <c r="K97" i="83"/>
  <c r="J97" i="83"/>
  <c r="I97" i="83"/>
  <c r="H97" i="83"/>
  <c r="L96" i="83"/>
  <c r="K96" i="83"/>
  <c r="J96" i="83"/>
  <c r="I96" i="83"/>
  <c r="H96" i="83"/>
  <c r="L95" i="83"/>
  <c r="K95" i="83"/>
  <c r="J95" i="83"/>
  <c r="I95" i="83"/>
  <c r="H95" i="83"/>
  <c r="L94" i="83"/>
  <c r="K94" i="83"/>
  <c r="J94" i="83"/>
  <c r="I94" i="83"/>
  <c r="H94" i="83"/>
  <c r="L93" i="83"/>
  <c r="K93" i="83"/>
  <c r="J93" i="83"/>
  <c r="I93" i="83"/>
  <c r="H93" i="83"/>
  <c r="L92" i="83"/>
  <c r="K92" i="83"/>
  <c r="J92" i="83"/>
  <c r="I92" i="83"/>
  <c r="H92" i="83"/>
  <c r="L91" i="83"/>
  <c r="K91" i="83"/>
  <c r="J91" i="83"/>
  <c r="I91" i="83"/>
  <c r="H91" i="83"/>
  <c r="L90" i="83"/>
  <c r="K90" i="83"/>
  <c r="J90" i="83"/>
  <c r="I90" i="83"/>
  <c r="H90" i="83"/>
  <c r="L89" i="83"/>
  <c r="K89" i="83"/>
  <c r="J89" i="83"/>
  <c r="I89" i="83"/>
  <c r="H89" i="83"/>
  <c r="L88" i="83"/>
  <c r="K88" i="83"/>
  <c r="J88" i="83"/>
  <c r="I88" i="83"/>
  <c r="H88" i="83"/>
  <c r="L87" i="83"/>
  <c r="K87" i="83"/>
  <c r="J87" i="83"/>
  <c r="I87" i="83"/>
  <c r="H87" i="83"/>
  <c r="L86" i="83"/>
  <c r="K86" i="83"/>
  <c r="J86" i="83"/>
  <c r="I86" i="83"/>
  <c r="H86" i="83"/>
  <c r="L85" i="83"/>
  <c r="K85" i="83"/>
  <c r="J85" i="83"/>
  <c r="I85" i="83"/>
  <c r="H85" i="83"/>
  <c r="L84" i="83"/>
  <c r="K84" i="83"/>
  <c r="J84" i="83"/>
  <c r="I84" i="83"/>
  <c r="H84" i="83"/>
  <c r="L83" i="83"/>
  <c r="K83" i="83"/>
  <c r="J83" i="83"/>
  <c r="I83" i="83"/>
  <c r="H83" i="83"/>
  <c r="L82" i="83"/>
  <c r="K82" i="83"/>
  <c r="J82" i="83"/>
  <c r="I82" i="83"/>
  <c r="H82" i="83"/>
  <c r="L81" i="83"/>
  <c r="K81" i="83"/>
  <c r="J81" i="83"/>
  <c r="I81" i="83"/>
  <c r="H81" i="83"/>
  <c r="L80" i="83"/>
  <c r="K80" i="83"/>
  <c r="J80" i="83"/>
  <c r="I80" i="83"/>
  <c r="H80" i="83"/>
  <c r="L79" i="83"/>
  <c r="K79" i="83"/>
  <c r="J79" i="83"/>
  <c r="I79" i="83"/>
  <c r="H79" i="83"/>
  <c r="L78" i="83"/>
  <c r="K78" i="83"/>
  <c r="J78" i="83"/>
  <c r="I78" i="83"/>
  <c r="H78" i="83"/>
  <c r="L77" i="83"/>
  <c r="K77" i="83"/>
  <c r="J77" i="83"/>
  <c r="I77" i="83"/>
  <c r="H77" i="83"/>
  <c r="L76" i="83"/>
  <c r="K76" i="83"/>
  <c r="J76" i="83"/>
  <c r="I76" i="83"/>
  <c r="H76" i="83"/>
  <c r="L75" i="83"/>
  <c r="K75" i="83"/>
  <c r="J75" i="83"/>
  <c r="I75" i="83"/>
  <c r="H75" i="83"/>
  <c r="L74" i="83"/>
  <c r="K74" i="83"/>
  <c r="J74" i="83"/>
  <c r="I74" i="83"/>
  <c r="H74" i="83"/>
  <c r="L73" i="83"/>
  <c r="K73" i="83"/>
  <c r="J73" i="83"/>
  <c r="I73" i="83"/>
  <c r="H73" i="83"/>
  <c r="L72" i="83"/>
  <c r="K72" i="83"/>
  <c r="J72" i="83"/>
  <c r="I72" i="83"/>
  <c r="H72" i="83"/>
  <c r="L71" i="83"/>
  <c r="K71" i="83"/>
  <c r="J71" i="83"/>
  <c r="I71" i="83"/>
  <c r="H71" i="83"/>
  <c r="L70" i="83"/>
  <c r="K70" i="83"/>
  <c r="J70" i="83"/>
  <c r="I70" i="83"/>
  <c r="H70" i="83"/>
  <c r="L69" i="83"/>
  <c r="K69" i="83"/>
  <c r="J69" i="83"/>
  <c r="I69" i="83"/>
  <c r="H69" i="83"/>
  <c r="L68" i="83"/>
  <c r="K68" i="83"/>
  <c r="J68" i="83"/>
  <c r="I68" i="83"/>
  <c r="H68" i="83"/>
  <c r="L67" i="83"/>
  <c r="K67" i="83"/>
  <c r="J67" i="83"/>
  <c r="I67" i="83"/>
  <c r="H67" i="83"/>
  <c r="L66" i="83"/>
  <c r="K66" i="83"/>
  <c r="J66" i="83"/>
  <c r="I66" i="83"/>
  <c r="H66" i="83"/>
  <c r="L65" i="83"/>
  <c r="K65" i="83"/>
  <c r="J65" i="83"/>
  <c r="I65" i="83"/>
  <c r="H65" i="83"/>
  <c r="L64" i="83"/>
  <c r="K64" i="83"/>
  <c r="J64" i="83"/>
  <c r="I64" i="83"/>
  <c r="H64" i="83"/>
  <c r="L63" i="83"/>
  <c r="K63" i="83"/>
  <c r="J63" i="83"/>
  <c r="I63" i="83"/>
  <c r="H63" i="83"/>
  <c r="L62" i="83"/>
  <c r="K62" i="83"/>
  <c r="J62" i="83"/>
  <c r="I62" i="83"/>
  <c r="H62" i="83"/>
  <c r="L61" i="83"/>
  <c r="K61" i="83"/>
  <c r="J61" i="83"/>
  <c r="I61" i="83"/>
  <c r="H61" i="83"/>
  <c r="L60" i="83"/>
  <c r="K60" i="83"/>
  <c r="J60" i="83"/>
  <c r="I60" i="83"/>
  <c r="H60" i="83"/>
  <c r="L59" i="83"/>
  <c r="K59" i="83"/>
  <c r="J59" i="83"/>
  <c r="I59" i="83"/>
  <c r="H59" i="83"/>
  <c r="L58" i="83"/>
  <c r="K58" i="83"/>
  <c r="J58" i="83"/>
  <c r="I58" i="83"/>
  <c r="H58" i="83"/>
  <c r="L57" i="83"/>
  <c r="K57" i="83"/>
  <c r="J57" i="83"/>
  <c r="I57" i="83"/>
  <c r="H57" i="83"/>
  <c r="L56" i="83"/>
  <c r="K56" i="83"/>
  <c r="J56" i="83"/>
  <c r="I56" i="83"/>
  <c r="H56" i="83"/>
  <c r="L55" i="83"/>
  <c r="K55" i="83"/>
  <c r="J55" i="83"/>
  <c r="I55" i="83"/>
  <c r="H55" i="83"/>
  <c r="L54" i="83"/>
  <c r="K54" i="83"/>
  <c r="J54" i="83"/>
  <c r="I54" i="83"/>
  <c r="H54" i="83"/>
  <c r="L53" i="83"/>
  <c r="K53" i="83"/>
  <c r="J53" i="83"/>
  <c r="I53" i="83"/>
  <c r="H53" i="83"/>
  <c r="L52" i="83"/>
  <c r="K52" i="83"/>
  <c r="J52" i="83"/>
  <c r="I52" i="83"/>
  <c r="H52" i="83"/>
  <c r="L51" i="83"/>
  <c r="K51" i="83"/>
  <c r="J51" i="83"/>
  <c r="I51" i="83"/>
  <c r="H51" i="83"/>
  <c r="L50" i="83"/>
  <c r="K50" i="83"/>
  <c r="J50" i="83"/>
  <c r="I50" i="83"/>
  <c r="H50" i="83"/>
  <c r="L49" i="83"/>
  <c r="K49" i="83"/>
  <c r="J49" i="83"/>
  <c r="I49" i="83"/>
  <c r="H49" i="83"/>
  <c r="L48" i="83"/>
  <c r="K48" i="83"/>
  <c r="J48" i="83"/>
  <c r="I48" i="83"/>
  <c r="H48" i="83"/>
  <c r="L47" i="83"/>
  <c r="K47" i="83"/>
  <c r="J47" i="83"/>
  <c r="I47" i="83"/>
  <c r="H47" i="83"/>
  <c r="L46" i="83"/>
  <c r="K46" i="83"/>
  <c r="J46" i="83"/>
  <c r="I46" i="83"/>
  <c r="H46" i="83"/>
  <c r="L45" i="83"/>
  <c r="K45" i="83"/>
  <c r="J45" i="83"/>
  <c r="I45" i="83"/>
  <c r="H45" i="83"/>
  <c r="L44" i="83"/>
  <c r="K44" i="83"/>
  <c r="J44" i="83"/>
  <c r="I44" i="83"/>
  <c r="H44" i="83"/>
  <c r="L43" i="83"/>
  <c r="K43" i="83"/>
  <c r="J43" i="83"/>
  <c r="I43" i="83"/>
  <c r="H43" i="83"/>
  <c r="L42" i="83"/>
  <c r="K42" i="83"/>
  <c r="J42" i="83"/>
  <c r="I42" i="83"/>
  <c r="H42" i="83"/>
  <c r="L41" i="83"/>
  <c r="K41" i="83"/>
  <c r="J41" i="83"/>
  <c r="I41" i="83"/>
  <c r="H41" i="83"/>
  <c r="L40" i="83"/>
  <c r="K40" i="83"/>
  <c r="J40" i="83"/>
  <c r="I40" i="83"/>
  <c r="H40" i="83"/>
  <c r="L39" i="83"/>
  <c r="K39" i="83"/>
  <c r="J39" i="83"/>
  <c r="I39" i="83"/>
  <c r="H39" i="83"/>
  <c r="L38" i="83"/>
  <c r="K38" i="83"/>
  <c r="J38" i="83"/>
  <c r="I38" i="83"/>
  <c r="H38" i="83"/>
  <c r="L37" i="83"/>
  <c r="K37" i="83"/>
  <c r="J37" i="83"/>
  <c r="I37" i="83"/>
  <c r="H37" i="83"/>
  <c r="L36" i="83"/>
  <c r="K36" i="83"/>
  <c r="J36" i="83"/>
  <c r="I36" i="83"/>
  <c r="H36" i="83"/>
  <c r="L35" i="83"/>
  <c r="K35" i="83"/>
  <c r="J35" i="83"/>
  <c r="I35" i="83"/>
  <c r="H35" i="83"/>
  <c r="L34" i="83"/>
  <c r="K34" i="83"/>
  <c r="J34" i="83"/>
  <c r="I34" i="83"/>
  <c r="H34" i="83"/>
  <c r="L33" i="83"/>
  <c r="K33" i="83"/>
  <c r="J33" i="83"/>
  <c r="I33" i="83"/>
  <c r="H33" i="83"/>
  <c r="L32" i="83"/>
  <c r="K32" i="83"/>
  <c r="J32" i="83"/>
  <c r="I32" i="83"/>
  <c r="H32" i="83"/>
  <c r="L31" i="83"/>
  <c r="K31" i="83"/>
  <c r="J31" i="83"/>
  <c r="I31" i="83"/>
  <c r="H31" i="83"/>
  <c r="L30" i="83"/>
  <c r="K30" i="83"/>
  <c r="J30" i="83"/>
  <c r="I30" i="83"/>
  <c r="H30" i="83"/>
  <c r="L29" i="83"/>
  <c r="K29" i="83"/>
  <c r="J29" i="83"/>
  <c r="I29" i="83"/>
  <c r="H29" i="83"/>
  <c r="L28" i="83"/>
  <c r="K28" i="83"/>
  <c r="J28" i="83"/>
  <c r="I28" i="83"/>
  <c r="H28" i="83"/>
  <c r="L27" i="83"/>
  <c r="K27" i="83"/>
  <c r="J27" i="83"/>
  <c r="I27" i="83"/>
  <c r="H27" i="83"/>
  <c r="L26" i="83"/>
  <c r="K26" i="83"/>
  <c r="J26" i="83"/>
  <c r="I26" i="83"/>
  <c r="H26" i="83"/>
  <c r="L25" i="83"/>
  <c r="K25" i="83"/>
  <c r="J25" i="83"/>
  <c r="I25" i="83"/>
  <c r="H25" i="83"/>
  <c r="L24" i="83"/>
  <c r="K24" i="83"/>
  <c r="J24" i="83"/>
  <c r="I24" i="83"/>
  <c r="H24" i="83"/>
  <c r="L23" i="83"/>
  <c r="K23" i="83"/>
  <c r="J23" i="83"/>
  <c r="I23" i="83"/>
  <c r="H23" i="83"/>
  <c r="L22" i="83"/>
  <c r="K22" i="83"/>
  <c r="J22" i="83"/>
  <c r="I22" i="83"/>
  <c r="H22" i="83"/>
  <c r="L21" i="83"/>
  <c r="K21" i="83"/>
  <c r="J21" i="83"/>
  <c r="I21" i="83"/>
  <c r="H21" i="83"/>
  <c r="L20" i="83"/>
  <c r="K20" i="83"/>
  <c r="J20" i="83"/>
  <c r="I20" i="83"/>
  <c r="H20" i="83"/>
  <c r="L19" i="83"/>
  <c r="K19" i="83"/>
  <c r="J19" i="83"/>
  <c r="I19" i="83"/>
  <c r="H19" i="83"/>
  <c r="L18" i="83"/>
  <c r="K18" i="83"/>
  <c r="J18" i="83"/>
  <c r="I18" i="83"/>
  <c r="H18" i="83"/>
  <c r="L17" i="83"/>
  <c r="K17" i="83"/>
  <c r="J17" i="83"/>
  <c r="I17" i="83"/>
  <c r="H17" i="83"/>
  <c r="L16" i="83"/>
  <c r="K16" i="83"/>
  <c r="J16" i="83"/>
  <c r="I16" i="83"/>
  <c r="H16" i="83"/>
  <c r="L15" i="83"/>
  <c r="K15" i="83"/>
  <c r="J15" i="83"/>
  <c r="I15" i="83"/>
  <c r="H15" i="83"/>
  <c r="L14" i="83"/>
  <c r="K14" i="83"/>
  <c r="J14" i="83"/>
  <c r="I14" i="83"/>
  <c r="H14" i="83"/>
  <c r="L13" i="83"/>
  <c r="K13" i="83"/>
  <c r="J13" i="83"/>
  <c r="I13" i="83"/>
  <c r="H13" i="83"/>
  <c r="L12" i="83"/>
  <c r="K12" i="83"/>
  <c r="J12" i="83"/>
  <c r="I12" i="83"/>
  <c r="H12" i="83"/>
  <c r="L11" i="83"/>
  <c r="K11" i="83"/>
  <c r="J11" i="83"/>
  <c r="I11" i="83"/>
  <c r="H11" i="83"/>
  <c r="L10" i="83"/>
  <c r="K10" i="83"/>
  <c r="J10" i="83"/>
  <c r="I10" i="83"/>
  <c r="H10" i="83"/>
  <c r="L9" i="83"/>
  <c r="K9" i="83"/>
  <c r="J9" i="83"/>
  <c r="I9" i="83"/>
  <c r="H9" i="83"/>
  <c r="L8" i="83"/>
  <c r="K8" i="83"/>
  <c r="J8" i="83"/>
  <c r="I8" i="83"/>
  <c r="L103" i="82"/>
  <c r="K103" i="82"/>
  <c r="J103" i="82"/>
  <c r="I103" i="82"/>
  <c r="H103" i="82"/>
  <c r="L102" i="82"/>
  <c r="K102" i="82"/>
  <c r="J102" i="82"/>
  <c r="I102" i="82"/>
  <c r="H102" i="82"/>
  <c r="L101" i="82"/>
  <c r="K101" i="82"/>
  <c r="J101" i="82"/>
  <c r="I101" i="82"/>
  <c r="H101" i="82"/>
  <c r="L100" i="82"/>
  <c r="K100" i="82"/>
  <c r="J100" i="82"/>
  <c r="I100" i="82"/>
  <c r="H100" i="82"/>
  <c r="L99" i="82"/>
  <c r="K99" i="82"/>
  <c r="J99" i="82"/>
  <c r="I99" i="82"/>
  <c r="H99" i="82"/>
  <c r="L98" i="82"/>
  <c r="K98" i="82"/>
  <c r="J98" i="82"/>
  <c r="I98" i="82"/>
  <c r="H98" i="82"/>
  <c r="L97" i="82"/>
  <c r="K97" i="82"/>
  <c r="J97" i="82"/>
  <c r="I97" i="82"/>
  <c r="H97" i="82"/>
  <c r="L96" i="82"/>
  <c r="K96" i="82"/>
  <c r="J96" i="82"/>
  <c r="I96" i="82"/>
  <c r="H96" i="82"/>
  <c r="L95" i="82"/>
  <c r="K95" i="82"/>
  <c r="J95" i="82"/>
  <c r="I95" i="82"/>
  <c r="H95" i="82"/>
  <c r="L94" i="82"/>
  <c r="K94" i="82"/>
  <c r="J94" i="82"/>
  <c r="I94" i="82"/>
  <c r="H94" i="82"/>
  <c r="L93" i="82"/>
  <c r="K93" i="82"/>
  <c r="J93" i="82"/>
  <c r="I93" i="82"/>
  <c r="H93" i="82"/>
  <c r="L92" i="82"/>
  <c r="K92" i="82"/>
  <c r="J92" i="82"/>
  <c r="I92" i="82"/>
  <c r="H92" i="82"/>
  <c r="L91" i="82"/>
  <c r="K91" i="82"/>
  <c r="J91" i="82"/>
  <c r="I91" i="82"/>
  <c r="H91" i="82"/>
  <c r="L90" i="82"/>
  <c r="K90" i="82"/>
  <c r="J90" i="82"/>
  <c r="I90" i="82"/>
  <c r="H90" i="82"/>
  <c r="L89" i="82"/>
  <c r="K89" i="82"/>
  <c r="J89" i="82"/>
  <c r="I89" i="82"/>
  <c r="H89" i="82"/>
  <c r="L88" i="82"/>
  <c r="K88" i="82"/>
  <c r="J88" i="82"/>
  <c r="I88" i="82"/>
  <c r="H88" i="82"/>
  <c r="L87" i="82"/>
  <c r="K87" i="82"/>
  <c r="J87" i="82"/>
  <c r="I87" i="82"/>
  <c r="H87" i="82"/>
  <c r="L86" i="82"/>
  <c r="K86" i="82"/>
  <c r="J86" i="82"/>
  <c r="I86" i="82"/>
  <c r="H86" i="82"/>
  <c r="L85" i="82"/>
  <c r="K85" i="82"/>
  <c r="J85" i="82"/>
  <c r="I85" i="82"/>
  <c r="H85" i="82"/>
  <c r="L84" i="82"/>
  <c r="K84" i="82"/>
  <c r="J84" i="82"/>
  <c r="I84" i="82"/>
  <c r="H84" i="82"/>
  <c r="L83" i="82"/>
  <c r="K83" i="82"/>
  <c r="J83" i="82"/>
  <c r="I83" i="82"/>
  <c r="H83" i="82"/>
  <c r="L82" i="82"/>
  <c r="K82" i="82"/>
  <c r="J82" i="82"/>
  <c r="I82" i="82"/>
  <c r="H82" i="82"/>
  <c r="L81" i="82"/>
  <c r="K81" i="82"/>
  <c r="J81" i="82"/>
  <c r="I81" i="82"/>
  <c r="H81" i="82"/>
  <c r="L80" i="82"/>
  <c r="K80" i="82"/>
  <c r="J80" i="82"/>
  <c r="I80" i="82"/>
  <c r="H80" i="82"/>
  <c r="L79" i="82"/>
  <c r="K79" i="82"/>
  <c r="J79" i="82"/>
  <c r="I79" i="82"/>
  <c r="H79" i="82"/>
  <c r="L78" i="82"/>
  <c r="K78" i="82"/>
  <c r="J78" i="82"/>
  <c r="I78" i="82"/>
  <c r="H78" i="82"/>
  <c r="L77" i="82"/>
  <c r="K77" i="82"/>
  <c r="J77" i="82"/>
  <c r="I77" i="82"/>
  <c r="H77" i="82"/>
  <c r="L76" i="82"/>
  <c r="K76" i="82"/>
  <c r="J76" i="82"/>
  <c r="I76" i="82"/>
  <c r="H76" i="82"/>
  <c r="L75" i="82"/>
  <c r="K75" i="82"/>
  <c r="J75" i="82"/>
  <c r="I75" i="82"/>
  <c r="H75" i="82"/>
  <c r="L74" i="82"/>
  <c r="K74" i="82"/>
  <c r="J74" i="82"/>
  <c r="I74" i="82"/>
  <c r="H74" i="82"/>
  <c r="L73" i="82"/>
  <c r="K73" i="82"/>
  <c r="J73" i="82"/>
  <c r="I73" i="82"/>
  <c r="H73" i="82"/>
  <c r="L72" i="82"/>
  <c r="K72" i="82"/>
  <c r="J72" i="82"/>
  <c r="I72" i="82"/>
  <c r="H72" i="82"/>
  <c r="L71" i="82"/>
  <c r="K71" i="82"/>
  <c r="J71" i="82"/>
  <c r="I71" i="82"/>
  <c r="H71" i="82"/>
  <c r="L70" i="82"/>
  <c r="K70" i="82"/>
  <c r="J70" i="82"/>
  <c r="I70" i="82"/>
  <c r="H70" i="82"/>
  <c r="L69" i="82"/>
  <c r="K69" i="82"/>
  <c r="J69" i="82"/>
  <c r="I69" i="82"/>
  <c r="H69" i="82"/>
  <c r="L68" i="82"/>
  <c r="K68" i="82"/>
  <c r="J68" i="82"/>
  <c r="I68" i="82"/>
  <c r="H68" i="82"/>
  <c r="L67" i="82"/>
  <c r="K67" i="82"/>
  <c r="J67" i="82"/>
  <c r="I67" i="82"/>
  <c r="H67" i="82"/>
  <c r="L66" i="82"/>
  <c r="K66" i="82"/>
  <c r="J66" i="82"/>
  <c r="I66" i="82"/>
  <c r="H66" i="82"/>
  <c r="L65" i="82"/>
  <c r="K65" i="82"/>
  <c r="J65" i="82"/>
  <c r="I65" i="82"/>
  <c r="H65" i="82"/>
  <c r="L64" i="82"/>
  <c r="K64" i="82"/>
  <c r="J64" i="82"/>
  <c r="I64" i="82"/>
  <c r="H64" i="82"/>
  <c r="L63" i="82"/>
  <c r="K63" i="82"/>
  <c r="J63" i="82"/>
  <c r="I63" i="82"/>
  <c r="H63" i="82"/>
  <c r="L62" i="82"/>
  <c r="K62" i="82"/>
  <c r="J62" i="82"/>
  <c r="I62" i="82"/>
  <c r="H62" i="82"/>
  <c r="L61" i="82"/>
  <c r="K61" i="82"/>
  <c r="J61" i="82"/>
  <c r="I61" i="82"/>
  <c r="H61" i="82"/>
  <c r="L60" i="82"/>
  <c r="K60" i="82"/>
  <c r="J60" i="82"/>
  <c r="I60" i="82"/>
  <c r="H60" i="82"/>
  <c r="L59" i="82"/>
  <c r="K59" i="82"/>
  <c r="J59" i="82"/>
  <c r="I59" i="82"/>
  <c r="H59" i="82"/>
  <c r="L58" i="82"/>
  <c r="K58" i="82"/>
  <c r="J58" i="82"/>
  <c r="I58" i="82"/>
  <c r="H58" i="82"/>
  <c r="L57" i="82"/>
  <c r="K57" i="82"/>
  <c r="J57" i="82"/>
  <c r="I57" i="82"/>
  <c r="H57" i="82"/>
  <c r="L56" i="82"/>
  <c r="K56" i="82"/>
  <c r="J56" i="82"/>
  <c r="I56" i="82"/>
  <c r="H56" i="82"/>
  <c r="L55" i="82"/>
  <c r="K55" i="82"/>
  <c r="J55" i="82"/>
  <c r="I55" i="82"/>
  <c r="H55" i="82"/>
  <c r="L54" i="82"/>
  <c r="K54" i="82"/>
  <c r="J54" i="82"/>
  <c r="I54" i="82"/>
  <c r="H54" i="82"/>
  <c r="L53" i="82"/>
  <c r="K53" i="82"/>
  <c r="J53" i="82"/>
  <c r="I53" i="82"/>
  <c r="H53" i="82"/>
  <c r="L52" i="82"/>
  <c r="K52" i="82"/>
  <c r="J52" i="82"/>
  <c r="I52" i="82"/>
  <c r="H52" i="82"/>
  <c r="L51" i="82"/>
  <c r="K51" i="82"/>
  <c r="J51" i="82"/>
  <c r="I51" i="82"/>
  <c r="H51" i="82"/>
  <c r="L50" i="82"/>
  <c r="K50" i="82"/>
  <c r="J50" i="82"/>
  <c r="I50" i="82"/>
  <c r="H50" i="82"/>
  <c r="L49" i="82"/>
  <c r="K49" i="82"/>
  <c r="J49" i="82"/>
  <c r="I49" i="82"/>
  <c r="H49" i="82"/>
  <c r="L48" i="82"/>
  <c r="K48" i="82"/>
  <c r="J48" i="82"/>
  <c r="I48" i="82"/>
  <c r="H48" i="82"/>
  <c r="L47" i="82"/>
  <c r="K47" i="82"/>
  <c r="J47" i="82"/>
  <c r="I47" i="82"/>
  <c r="H47" i="82"/>
  <c r="L46" i="82"/>
  <c r="K46" i="82"/>
  <c r="J46" i="82"/>
  <c r="I46" i="82"/>
  <c r="H46" i="82"/>
  <c r="L45" i="82"/>
  <c r="K45" i="82"/>
  <c r="J45" i="82"/>
  <c r="I45" i="82"/>
  <c r="H45" i="82"/>
  <c r="L44" i="82"/>
  <c r="K44" i="82"/>
  <c r="J44" i="82"/>
  <c r="I44" i="82"/>
  <c r="H44" i="82"/>
  <c r="L43" i="82"/>
  <c r="K43" i="82"/>
  <c r="J43" i="82"/>
  <c r="I43" i="82"/>
  <c r="H43" i="82"/>
  <c r="L42" i="82"/>
  <c r="K42" i="82"/>
  <c r="J42" i="82"/>
  <c r="I42" i="82"/>
  <c r="H42" i="82"/>
  <c r="L41" i="82"/>
  <c r="K41" i="82"/>
  <c r="J41" i="82"/>
  <c r="I41" i="82"/>
  <c r="H41" i="82"/>
  <c r="L40" i="82"/>
  <c r="K40" i="82"/>
  <c r="J40" i="82"/>
  <c r="I40" i="82"/>
  <c r="H40" i="82"/>
  <c r="L39" i="82"/>
  <c r="K39" i="82"/>
  <c r="J39" i="82"/>
  <c r="I39" i="82"/>
  <c r="H39" i="82"/>
  <c r="L38" i="82"/>
  <c r="K38" i="82"/>
  <c r="J38" i="82"/>
  <c r="I38" i="82"/>
  <c r="H38" i="82"/>
  <c r="L37" i="82"/>
  <c r="K37" i="82"/>
  <c r="J37" i="82"/>
  <c r="I37" i="82"/>
  <c r="H37" i="82"/>
  <c r="L36" i="82"/>
  <c r="K36" i="82"/>
  <c r="J36" i="82"/>
  <c r="I36" i="82"/>
  <c r="H36" i="82"/>
  <c r="L35" i="82"/>
  <c r="K35" i="82"/>
  <c r="J35" i="82"/>
  <c r="I35" i="82"/>
  <c r="H35" i="82"/>
  <c r="L34" i="82"/>
  <c r="K34" i="82"/>
  <c r="J34" i="82"/>
  <c r="I34" i="82"/>
  <c r="H34" i="82"/>
  <c r="L33" i="82"/>
  <c r="K33" i="82"/>
  <c r="J33" i="82"/>
  <c r="I33" i="82"/>
  <c r="H33" i="82"/>
  <c r="L32" i="82"/>
  <c r="K32" i="82"/>
  <c r="J32" i="82"/>
  <c r="I32" i="82"/>
  <c r="H32" i="82"/>
  <c r="L31" i="82"/>
  <c r="K31" i="82"/>
  <c r="J31" i="82"/>
  <c r="I31" i="82"/>
  <c r="H31" i="82"/>
  <c r="L30" i="82"/>
  <c r="K30" i="82"/>
  <c r="J30" i="82"/>
  <c r="I30" i="82"/>
  <c r="H30" i="82"/>
  <c r="L29" i="82"/>
  <c r="K29" i="82"/>
  <c r="J29" i="82"/>
  <c r="I29" i="82"/>
  <c r="H29" i="82"/>
  <c r="L28" i="82"/>
  <c r="K28" i="82"/>
  <c r="J28" i="82"/>
  <c r="I28" i="82"/>
  <c r="H28" i="82"/>
  <c r="L27" i="82"/>
  <c r="K27" i="82"/>
  <c r="J27" i="82"/>
  <c r="I27" i="82"/>
  <c r="H27" i="82"/>
  <c r="L26" i="82"/>
  <c r="K26" i="82"/>
  <c r="J26" i="82"/>
  <c r="I26" i="82"/>
  <c r="H26" i="82"/>
  <c r="L25" i="82"/>
  <c r="K25" i="82"/>
  <c r="J25" i="82"/>
  <c r="I25" i="82"/>
  <c r="H25" i="82"/>
  <c r="L24" i="82"/>
  <c r="K24" i="82"/>
  <c r="J24" i="82"/>
  <c r="I24" i="82"/>
  <c r="H24" i="82"/>
  <c r="L23" i="82"/>
  <c r="K23" i="82"/>
  <c r="J23" i="82"/>
  <c r="I23" i="82"/>
  <c r="H23" i="82"/>
  <c r="L22" i="82"/>
  <c r="K22" i="82"/>
  <c r="J22" i="82"/>
  <c r="I22" i="82"/>
  <c r="H22" i="82"/>
  <c r="L21" i="82"/>
  <c r="K21" i="82"/>
  <c r="J21" i="82"/>
  <c r="I21" i="82"/>
  <c r="H21" i="82"/>
  <c r="L20" i="82"/>
  <c r="K20" i="82"/>
  <c r="J20" i="82"/>
  <c r="I20" i="82"/>
  <c r="H20" i="82"/>
  <c r="L19" i="82"/>
  <c r="K19" i="82"/>
  <c r="J19" i="82"/>
  <c r="I19" i="82"/>
  <c r="H19" i="82"/>
  <c r="L18" i="82"/>
  <c r="K18" i="82"/>
  <c r="J18" i="82"/>
  <c r="I18" i="82"/>
  <c r="H18" i="82"/>
  <c r="L17" i="82"/>
  <c r="K17" i="82"/>
  <c r="J17" i="82"/>
  <c r="I17" i="82"/>
  <c r="H17" i="82"/>
  <c r="L16" i="82"/>
  <c r="K16" i="82"/>
  <c r="J16" i="82"/>
  <c r="I16" i="82"/>
  <c r="H16" i="82"/>
  <c r="L15" i="82"/>
  <c r="K15" i="82"/>
  <c r="J15" i="82"/>
  <c r="I15" i="82"/>
  <c r="H15" i="82"/>
  <c r="L14" i="82"/>
  <c r="K14" i="82"/>
  <c r="J14" i="82"/>
  <c r="I14" i="82"/>
  <c r="H14" i="82"/>
  <c r="L13" i="82"/>
  <c r="K13" i="82"/>
  <c r="J13" i="82"/>
  <c r="I13" i="82"/>
  <c r="H13" i="82"/>
  <c r="L12" i="82"/>
  <c r="K12" i="82"/>
  <c r="J12" i="82"/>
  <c r="I12" i="82"/>
  <c r="H12" i="82"/>
  <c r="L11" i="82"/>
  <c r="K11" i="82"/>
  <c r="J11" i="82"/>
  <c r="I11" i="82"/>
  <c r="H11" i="82"/>
  <c r="L10" i="82"/>
  <c r="K10" i="82"/>
  <c r="J10" i="82"/>
  <c r="I10" i="82"/>
  <c r="H10" i="82"/>
  <c r="L9" i="82"/>
  <c r="K9" i="82"/>
  <c r="J9" i="82"/>
  <c r="I9" i="82"/>
  <c r="H9" i="82"/>
  <c r="L8" i="82"/>
  <c r="K8" i="82"/>
  <c r="J8" i="82"/>
  <c r="I8" i="82"/>
  <c r="L103" i="77"/>
  <c r="K103" i="77"/>
  <c r="J103" i="77"/>
  <c r="I103" i="77"/>
  <c r="H103" i="77"/>
  <c r="L102" i="77"/>
  <c r="K102" i="77"/>
  <c r="J102" i="77"/>
  <c r="I102" i="77"/>
  <c r="H102" i="77"/>
  <c r="L101" i="77"/>
  <c r="K101" i="77"/>
  <c r="J101" i="77"/>
  <c r="I101" i="77"/>
  <c r="H101" i="77"/>
  <c r="L100" i="77"/>
  <c r="K100" i="77"/>
  <c r="J100" i="77"/>
  <c r="I100" i="77"/>
  <c r="H100" i="77"/>
  <c r="L99" i="77"/>
  <c r="K99" i="77"/>
  <c r="J99" i="77"/>
  <c r="I99" i="77"/>
  <c r="H99" i="77"/>
  <c r="L98" i="77"/>
  <c r="K98" i="77"/>
  <c r="J98" i="77"/>
  <c r="I98" i="77"/>
  <c r="H98" i="77"/>
  <c r="L97" i="77"/>
  <c r="K97" i="77"/>
  <c r="J97" i="77"/>
  <c r="I97" i="77"/>
  <c r="H97" i="77"/>
  <c r="L96" i="77"/>
  <c r="K96" i="77"/>
  <c r="J96" i="77"/>
  <c r="I96" i="77"/>
  <c r="H96" i="77"/>
  <c r="L95" i="77"/>
  <c r="K95" i="77"/>
  <c r="J95" i="77"/>
  <c r="I95" i="77"/>
  <c r="H95" i="77"/>
  <c r="L94" i="77"/>
  <c r="K94" i="77"/>
  <c r="J94" i="77"/>
  <c r="I94" i="77"/>
  <c r="H94" i="77"/>
  <c r="L93" i="77"/>
  <c r="K93" i="77"/>
  <c r="J93" i="77"/>
  <c r="I93" i="77"/>
  <c r="H93" i="77"/>
  <c r="L92" i="77"/>
  <c r="K92" i="77"/>
  <c r="J92" i="77"/>
  <c r="I92" i="77"/>
  <c r="H92" i="77"/>
  <c r="L91" i="77"/>
  <c r="K91" i="77"/>
  <c r="J91" i="77"/>
  <c r="I91" i="77"/>
  <c r="H91" i="77"/>
  <c r="L90" i="77"/>
  <c r="K90" i="77"/>
  <c r="J90" i="77"/>
  <c r="I90" i="77"/>
  <c r="H90" i="77"/>
  <c r="L89" i="77"/>
  <c r="K89" i="77"/>
  <c r="J89" i="77"/>
  <c r="I89" i="77"/>
  <c r="H89" i="77"/>
  <c r="L88" i="77"/>
  <c r="K88" i="77"/>
  <c r="J88" i="77"/>
  <c r="I88" i="77"/>
  <c r="H88" i="77"/>
  <c r="L87" i="77"/>
  <c r="K87" i="77"/>
  <c r="J87" i="77"/>
  <c r="I87" i="77"/>
  <c r="H87" i="77"/>
  <c r="L86" i="77"/>
  <c r="K86" i="77"/>
  <c r="J86" i="77"/>
  <c r="I86" i="77"/>
  <c r="H86" i="77"/>
  <c r="L85" i="77"/>
  <c r="K85" i="77"/>
  <c r="J85" i="77"/>
  <c r="I85" i="77"/>
  <c r="H85" i="77"/>
  <c r="L84" i="77"/>
  <c r="K84" i="77"/>
  <c r="J84" i="77"/>
  <c r="I84" i="77"/>
  <c r="H84" i="77"/>
  <c r="L83" i="77"/>
  <c r="K83" i="77"/>
  <c r="J83" i="77"/>
  <c r="I83" i="77"/>
  <c r="H83" i="77"/>
  <c r="L82" i="77"/>
  <c r="K82" i="77"/>
  <c r="J82" i="77"/>
  <c r="I82" i="77"/>
  <c r="H82" i="77"/>
  <c r="L81" i="77"/>
  <c r="K81" i="77"/>
  <c r="J81" i="77"/>
  <c r="I81" i="77"/>
  <c r="H81" i="77"/>
  <c r="L80" i="77"/>
  <c r="K80" i="77"/>
  <c r="J80" i="77"/>
  <c r="I80" i="77"/>
  <c r="H80" i="77"/>
  <c r="L79" i="77"/>
  <c r="K79" i="77"/>
  <c r="J79" i="77"/>
  <c r="I79" i="77"/>
  <c r="H79" i="77"/>
  <c r="L78" i="77"/>
  <c r="K78" i="77"/>
  <c r="J78" i="77"/>
  <c r="I78" i="77"/>
  <c r="H78" i="77"/>
  <c r="L77" i="77"/>
  <c r="K77" i="77"/>
  <c r="J77" i="77"/>
  <c r="I77" i="77"/>
  <c r="H77" i="77"/>
  <c r="L76" i="77"/>
  <c r="K76" i="77"/>
  <c r="J76" i="77"/>
  <c r="I76" i="77"/>
  <c r="H76" i="77"/>
  <c r="L75" i="77"/>
  <c r="K75" i="77"/>
  <c r="J75" i="77"/>
  <c r="I75" i="77"/>
  <c r="H75" i="77"/>
  <c r="L74" i="77"/>
  <c r="K74" i="77"/>
  <c r="J74" i="77"/>
  <c r="I74" i="77"/>
  <c r="H74" i="77"/>
  <c r="L73" i="77"/>
  <c r="K73" i="77"/>
  <c r="J73" i="77"/>
  <c r="I73" i="77"/>
  <c r="H73" i="77"/>
  <c r="L72" i="77"/>
  <c r="K72" i="77"/>
  <c r="J72" i="77"/>
  <c r="I72" i="77"/>
  <c r="H72" i="77"/>
  <c r="L71" i="77"/>
  <c r="K71" i="77"/>
  <c r="J71" i="77"/>
  <c r="I71" i="77"/>
  <c r="H71" i="77"/>
  <c r="L70" i="77"/>
  <c r="K70" i="77"/>
  <c r="J70" i="77"/>
  <c r="I70" i="77"/>
  <c r="H70" i="77"/>
  <c r="L69" i="77"/>
  <c r="K69" i="77"/>
  <c r="J69" i="77"/>
  <c r="I69" i="77"/>
  <c r="H69" i="77"/>
  <c r="L68" i="77"/>
  <c r="K68" i="77"/>
  <c r="J68" i="77"/>
  <c r="I68" i="77"/>
  <c r="H68" i="77"/>
  <c r="L67" i="77"/>
  <c r="K67" i="77"/>
  <c r="J67" i="77"/>
  <c r="I67" i="77"/>
  <c r="H67" i="77"/>
  <c r="L66" i="77"/>
  <c r="K66" i="77"/>
  <c r="J66" i="77"/>
  <c r="I66" i="77"/>
  <c r="H66" i="77"/>
  <c r="L65" i="77"/>
  <c r="K65" i="77"/>
  <c r="J65" i="77"/>
  <c r="I65" i="77"/>
  <c r="H65" i="77"/>
  <c r="L64" i="77"/>
  <c r="K64" i="77"/>
  <c r="J64" i="77"/>
  <c r="I64" i="77"/>
  <c r="H64" i="77"/>
  <c r="L63" i="77"/>
  <c r="K63" i="77"/>
  <c r="J63" i="77"/>
  <c r="I63" i="77"/>
  <c r="H63" i="77"/>
  <c r="L62" i="77"/>
  <c r="K62" i="77"/>
  <c r="J62" i="77"/>
  <c r="I62" i="77"/>
  <c r="H62" i="77"/>
  <c r="L61" i="77"/>
  <c r="K61" i="77"/>
  <c r="J61" i="77"/>
  <c r="I61" i="77"/>
  <c r="H61" i="77"/>
  <c r="L60" i="77"/>
  <c r="K60" i="77"/>
  <c r="J60" i="77"/>
  <c r="I60" i="77"/>
  <c r="H60" i="77"/>
  <c r="L59" i="77"/>
  <c r="K59" i="77"/>
  <c r="J59" i="77"/>
  <c r="I59" i="77"/>
  <c r="H59" i="77"/>
  <c r="L58" i="77"/>
  <c r="K58" i="77"/>
  <c r="J58" i="77"/>
  <c r="I58" i="77"/>
  <c r="H58" i="77"/>
  <c r="L57" i="77"/>
  <c r="K57" i="77"/>
  <c r="J57" i="77"/>
  <c r="I57" i="77"/>
  <c r="H57" i="77"/>
  <c r="L56" i="77"/>
  <c r="K56" i="77"/>
  <c r="J56" i="77"/>
  <c r="I56" i="77"/>
  <c r="H56" i="77"/>
  <c r="L55" i="77"/>
  <c r="K55" i="77"/>
  <c r="J55" i="77"/>
  <c r="I55" i="77"/>
  <c r="H55" i="77"/>
  <c r="L54" i="77"/>
  <c r="K54" i="77"/>
  <c r="J54" i="77"/>
  <c r="I54" i="77"/>
  <c r="H54" i="77"/>
  <c r="L53" i="77"/>
  <c r="K53" i="77"/>
  <c r="J53" i="77"/>
  <c r="I53" i="77"/>
  <c r="H53" i="77"/>
  <c r="L52" i="77"/>
  <c r="K52" i="77"/>
  <c r="J52" i="77"/>
  <c r="I52" i="77"/>
  <c r="H52" i="77"/>
  <c r="L51" i="77"/>
  <c r="K51" i="77"/>
  <c r="J51" i="77"/>
  <c r="I51" i="77"/>
  <c r="H51" i="77"/>
  <c r="L50" i="77"/>
  <c r="K50" i="77"/>
  <c r="J50" i="77"/>
  <c r="I50" i="77"/>
  <c r="H50" i="77"/>
  <c r="L49" i="77"/>
  <c r="K49" i="77"/>
  <c r="J49" i="77"/>
  <c r="I49" i="77"/>
  <c r="H49" i="77"/>
  <c r="L48" i="77"/>
  <c r="K48" i="77"/>
  <c r="J48" i="77"/>
  <c r="I48" i="77"/>
  <c r="H48" i="77"/>
  <c r="L47" i="77"/>
  <c r="K47" i="77"/>
  <c r="J47" i="77"/>
  <c r="I47" i="77"/>
  <c r="H47" i="77"/>
  <c r="L46" i="77"/>
  <c r="K46" i="77"/>
  <c r="J46" i="77"/>
  <c r="I46" i="77"/>
  <c r="H46" i="77"/>
  <c r="L45" i="77"/>
  <c r="K45" i="77"/>
  <c r="J45" i="77"/>
  <c r="I45" i="77"/>
  <c r="H45" i="77"/>
  <c r="L44" i="77"/>
  <c r="K44" i="77"/>
  <c r="J44" i="77"/>
  <c r="I44" i="77"/>
  <c r="H44" i="77"/>
  <c r="L43" i="77"/>
  <c r="K43" i="77"/>
  <c r="J43" i="77"/>
  <c r="I43" i="77"/>
  <c r="H43" i="77"/>
  <c r="L42" i="77"/>
  <c r="K42" i="77"/>
  <c r="J42" i="77"/>
  <c r="I42" i="77"/>
  <c r="H42" i="77"/>
  <c r="L41" i="77"/>
  <c r="K41" i="77"/>
  <c r="J41" i="77"/>
  <c r="I41" i="77"/>
  <c r="H41" i="77"/>
  <c r="L40" i="77"/>
  <c r="K40" i="77"/>
  <c r="J40" i="77"/>
  <c r="I40" i="77"/>
  <c r="H40" i="77"/>
  <c r="L39" i="77"/>
  <c r="K39" i="77"/>
  <c r="J39" i="77"/>
  <c r="I39" i="77"/>
  <c r="H39" i="77"/>
  <c r="L38" i="77"/>
  <c r="K38" i="77"/>
  <c r="J38" i="77"/>
  <c r="I38" i="77"/>
  <c r="H38" i="77"/>
  <c r="L37" i="77"/>
  <c r="K37" i="77"/>
  <c r="J37" i="77"/>
  <c r="I37" i="77"/>
  <c r="H37" i="77"/>
  <c r="L36" i="77"/>
  <c r="K36" i="77"/>
  <c r="J36" i="77"/>
  <c r="I36" i="77"/>
  <c r="H36" i="77"/>
  <c r="L35" i="77"/>
  <c r="K35" i="77"/>
  <c r="J35" i="77"/>
  <c r="I35" i="77"/>
  <c r="H35" i="77"/>
  <c r="L34" i="77"/>
  <c r="K34" i="77"/>
  <c r="J34" i="77"/>
  <c r="I34" i="77"/>
  <c r="H34" i="77"/>
  <c r="L33" i="77"/>
  <c r="K33" i="77"/>
  <c r="J33" i="77"/>
  <c r="I33" i="77"/>
  <c r="H33" i="77"/>
  <c r="L32" i="77"/>
  <c r="K32" i="77"/>
  <c r="J32" i="77"/>
  <c r="I32" i="77"/>
  <c r="H32" i="77"/>
  <c r="L31" i="77"/>
  <c r="K31" i="77"/>
  <c r="J31" i="77"/>
  <c r="I31" i="77"/>
  <c r="H31" i="77"/>
  <c r="L30" i="77"/>
  <c r="K30" i="77"/>
  <c r="J30" i="77"/>
  <c r="I30" i="77"/>
  <c r="H30" i="77"/>
  <c r="L29" i="77"/>
  <c r="K29" i="77"/>
  <c r="J29" i="77"/>
  <c r="I29" i="77"/>
  <c r="H29" i="77"/>
  <c r="L28" i="77"/>
  <c r="K28" i="77"/>
  <c r="J28" i="77"/>
  <c r="I28" i="77"/>
  <c r="H28" i="77"/>
  <c r="L27" i="77"/>
  <c r="K27" i="77"/>
  <c r="J27" i="77"/>
  <c r="I27" i="77"/>
  <c r="H27" i="77"/>
  <c r="L26" i="77"/>
  <c r="K26" i="77"/>
  <c r="J26" i="77"/>
  <c r="I26" i="77"/>
  <c r="H26" i="77"/>
  <c r="L25" i="77"/>
  <c r="K25" i="77"/>
  <c r="J25" i="77"/>
  <c r="I25" i="77"/>
  <c r="H25" i="77"/>
  <c r="L24" i="77"/>
  <c r="K24" i="77"/>
  <c r="J24" i="77"/>
  <c r="I24" i="77"/>
  <c r="H24" i="77"/>
  <c r="L23" i="77"/>
  <c r="K23" i="77"/>
  <c r="J23" i="77"/>
  <c r="I23" i="77"/>
  <c r="H23" i="77"/>
  <c r="L22" i="77"/>
  <c r="K22" i="77"/>
  <c r="J22" i="77"/>
  <c r="I22" i="77"/>
  <c r="H22" i="77"/>
  <c r="L21" i="77"/>
  <c r="K21" i="77"/>
  <c r="J21" i="77"/>
  <c r="I21" i="77"/>
  <c r="H21" i="77"/>
  <c r="L20" i="77"/>
  <c r="K20" i="77"/>
  <c r="J20" i="77"/>
  <c r="I20" i="77"/>
  <c r="H20" i="77"/>
  <c r="L19" i="77"/>
  <c r="K19" i="77"/>
  <c r="J19" i="77"/>
  <c r="I19" i="77"/>
  <c r="H19" i="77"/>
  <c r="L18" i="77"/>
  <c r="K18" i="77"/>
  <c r="J18" i="77"/>
  <c r="I18" i="77"/>
  <c r="H18" i="77"/>
  <c r="L17" i="77"/>
  <c r="K17" i="77"/>
  <c r="J17" i="77"/>
  <c r="I17" i="77"/>
  <c r="H17" i="77"/>
  <c r="L16" i="77"/>
  <c r="K16" i="77"/>
  <c r="J16" i="77"/>
  <c r="I16" i="77"/>
  <c r="H16" i="77"/>
  <c r="L15" i="77"/>
  <c r="K15" i="77"/>
  <c r="J15" i="77"/>
  <c r="I15" i="77"/>
  <c r="H15" i="77"/>
  <c r="L14" i="77"/>
  <c r="K14" i="77"/>
  <c r="J14" i="77"/>
  <c r="I14" i="77"/>
  <c r="H14" i="77"/>
  <c r="L13" i="77"/>
  <c r="K13" i="77"/>
  <c r="J13" i="77"/>
  <c r="I13" i="77"/>
  <c r="H13" i="77"/>
  <c r="L12" i="77"/>
  <c r="K12" i="77"/>
  <c r="J12" i="77"/>
  <c r="I12" i="77"/>
  <c r="H12" i="77"/>
  <c r="L11" i="77"/>
  <c r="K11" i="77"/>
  <c r="J11" i="77"/>
  <c r="I11" i="77"/>
  <c r="H11" i="77"/>
  <c r="L10" i="77"/>
  <c r="K10" i="77"/>
  <c r="J10" i="77"/>
  <c r="I10" i="77"/>
  <c r="H10" i="77"/>
  <c r="L9" i="77"/>
  <c r="K9" i="77"/>
  <c r="J9" i="77"/>
  <c r="I9" i="77"/>
  <c r="H9" i="77"/>
  <c r="L8" i="77"/>
  <c r="K8" i="77"/>
  <c r="J8" i="77"/>
  <c r="I8" i="77"/>
  <c r="L206" i="67"/>
  <c r="K206" i="67"/>
  <c r="J206" i="67"/>
  <c r="I206" i="67"/>
  <c r="H206" i="67"/>
  <c r="L205" i="67"/>
  <c r="K205" i="67"/>
  <c r="J205" i="67"/>
  <c r="I205" i="67"/>
  <c r="H205" i="67"/>
  <c r="L204" i="67"/>
  <c r="K204" i="67"/>
  <c r="J204" i="67"/>
  <c r="I204" i="67"/>
  <c r="H204" i="67"/>
  <c r="L203" i="67"/>
  <c r="K203" i="67"/>
  <c r="J203" i="67"/>
  <c r="I203" i="67"/>
  <c r="H203" i="67"/>
  <c r="L202" i="67"/>
  <c r="K202" i="67"/>
  <c r="J202" i="67"/>
  <c r="I202" i="67"/>
  <c r="H202" i="67"/>
  <c r="L201" i="67"/>
  <c r="K201" i="67"/>
  <c r="J201" i="67"/>
  <c r="I201" i="67"/>
  <c r="H201" i="67"/>
  <c r="L200" i="67"/>
  <c r="K200" i="67"/>
  <c r="J200" i="67"/>
  <c r="I200" i="67"/>
  <c r="H200" i="67"/>
  <c r="L199" i="67"/>
  <c r="K199" i="67"/>
  <c r="J199" i="67"/>
  <c r="I199" i="67"/>
  <c r="H199" i="67"/>
  <c r="L198" i="67"/>
  <c r="K198" i="67"/>
  <c r="J198" i="67"/>
  <c r="I198" i="67"/>
  <c r="H198" i="67"/>
  <c r="L197" i="67"/>
  <c r="K197" i="67"/>
  <c r="J197" i="67"/>
  <c r="I197" i="67"/>
  <c r="H197" i="67"/>
  <c r="L196" i="67"/>
  <c r="K196" i="67"/>
  <c r="J196" i="67"/>
  <c r="I196" i="67"/>
  <c r="H196" i="67"/>
  <c r="L195" i="67"/>
  <c r="K195" i="67"/>
  <c r="J195" i="67"/>
  <c r="I195" i="67"/>
  <c r="H195" i="67"/>
  <c r="L194" i="67"/>
  <c r="K194" i="67"/>
  <c r="J194" i="67"/>
  <c r="I194" i="67"/>
  <c r="H194" i="67"/>
  <c r="L193" i="67"/>
  <c r="K193" i="67"/>
  <c r="J193" i="67"/>
  <c r="I193" i="67"/>
  <c r="H193" i="67"/>
  <c r="L192" i="67"/>
  <c r="K192" i="67"/>
  <c r="J192" i="67"/>
  <c r="I192" i="67"/>
  <c r="H192" i="67"/>
  <c r="L191" i="67"/>
  <c r="K191" i="67"/>
  <c r="J191" i="67"/>
  <c r="I191" i="67"/>
  <c r="H191" i="67"/>
  <c r="L190" i="67"/>
  <c r="K190" i="67"/>
  <c r="J190" i="67"/>
  <c r="I190" i="67"/>
  <c r="H190" i="67"/>
  <c r="L189" i="67"/>
  <c r="K189" i="67"/>
  <c r="J189" i="67"/>
  <c r="I189" i="67"/>
  <c r="H189" i="67"/>
  <c r="L188" i="67"/>
  <c r="K188" i="67"/>
  <c r="J188" i="67"/>
  <c r="I188" i="67"/>
  <c r="H188" i="67"/>
  <c r="L187" i="67"/>
  <c r="K187" i="67"/>
  <c r="J187" i="67"/>
  <c r="I187" i="67"/>
  <c r="H187" i="67"/>
  <c r="L186" i="67"/>
  <c r="K186" i="67"/>
  <c r="J186" i="67"/>
  <c r="I186" i="67"/>
  <c r="H186" i="67"/>
  <c r="L185" i="67"/>
  <c r="K185" i="67"/>
  <c r="J185" i="67"/>
  <c r="I185" i="67"/>
  <c r="H185" i="67"/>
  <c r="L184" i="67"/>
  <c r="K184" i="67"/>
  <c r="J184" i="67"/>
  <c r="I184" i="67"/>
  <c r="H184" i="67"/>
  <c r="L183" i="67"/>
  <c r="K183" i="67"/>
  <c r="J183" i="67"/>
  <c r="I183" i="67"/>
  <c r="H183" i="67"/>
  <c r="L182" i="67"/>
  <c r="K182" i="67"/>
  <c r="J182" i="67"/>
  <c r="I182" i="67"/>
  <c r="H182" i="67"/>
  <c r="L181" i="67"/>
  <c r="K181" i="67"/>
  <c r="J181" i="67"/>
  <c r="I181" i="67"/>
  <c r="H181" i="67"/>
  <c r="L180" i="67"/>
  <c r="K180" i="67"/>
  <c r="J180" i="67"/>
  <c r="I180" i="67"/>
  <c r="H180" i="67"/>
  <c r="L179" i="67"/>
  <c r="K179" i="67"/>
  <c r="J179" i="67"/>
  <c r="I179" i="67"/>
  <c r="H179" i="67"/>
  <c r="L178" i="67"/>
  <c r="K178" i="67"/>
  <c r="J178" i="67"/>
  <c r="I178" i="67"/>
  <c r="H178" i="67"/>
  <c r="L177" i="67"/>
  <c r="K177" i="67"/>
  <c r="J177" i="67"/>
  <c r="I177" i="67"/>
  <c r="H177" i="67"/>
  <c r="L176" i="67"/>
  <c r="K176" i="67"/>
  <c r="J176" i="67"/>
  <c r="I176" i="67"/>
  <c r="H176" i="67"/>
  <c r="L175" i="67"/>
  <c r="K175" i="67"/>
  <c r="J175" i="67"/>
  <c r="I175" i="67"/>
  <c r="H175" i="67"/>
  <c r="L174" i="67"/>
  <c r="K174" i="67"/>
  <c r="J174" i="67"/>
  <c r="I174" i="67"/>
  <c r="H174" i="67"/>
  <c r="L173" i="67"/>
  <c r="K173" i="67"/>
  <c r="J173" i="67"/>
  <c r="I173" i="67"/>
  <c r="H173" i="67"/>
  <c r="L172" i="67"/>
  <c r="K172" i="67"/>
  <c r="J172" i="67"/>
  <c r="I172" i="67"/>
  <c r="H172" i="67"/>
  <c r="L171" i="67"/>
  <c r="K171" i="67"/>
  <c r="J171" i="67"/>
  <c r="I171" i="67"/>
  <c r="H171" i="67"/>
  <c r="L170" i="67"/>
  <c r="K170" i="67"/>
  <c r="J170" i="67"/>
  <c r="I170" i="67"/>
  <c r="H170" i="67"/>
  <c r="L169" i="67"/>
  <c r="K169" i="67"/>
  <c r="J169" i="67"/>
  <c r="I169" i="67"/>
  <c r="H169" i="67"/>
  <c r="L168" i="67"/>
  <c r="K168" i="67"/>
  <c r="J168" i="67"/>
  <c r="I168" i="67"/>
  <c r="H168" i="67"/>
  <c r="L167" i="67"/>
  <c r="K167" i="67"/>
  <c r="J167" i="67"/>
  <c r="I167" i="67"/>
  <c r="H167" i="67"/>
  <c r="L166" i="67"/>
  <c r="K166" i="67"/>
  <c r="J166" i="67"/>
  <c r="I166" i="67"/>
  <c r="H166" i="67"/>
  <c r="L165" i="67"/>
  <c r="K165" i="67"/>
  <c r="J165" i="67"/>
  <c r="I165" i="67"/>
  <c r="H165" i="67"/>
  <c r="L164" i="67"/>
  <c r="K164" i="67"/>
  <c r="J164" i="67"/>
  <c r="I164" i="67"/>
  <c r="H164" i="67"/>
  <c r="L163" i="67"/>
  <c r="K163" i="67"/>
  <c r="J163" i="67"/>
  <c r="I163" i="67"/>
  <c r="H163" i="67"/>
  <c r="L162" i="67"/>
  <c r="K162" i="67"/>
  <c r="J162" i="67"/>
  <c r="I162" i="67"/>
  <c r="H162" i="67"/>
  <c r="L161" i="67"/>
  <c r="K161" i="67"/>
  <c r="J161" i="67"/>
  <c r="I161" i="67"/>
  <c r="H161" i="67"/>
  <c r="L160" i="67"/>
  <c r="K160" i="67"/>
  <c r="J160" i="67"/>
  <c r="I160" i="67"/>
  <c r="H160" i="67"/>
  <c r="L159" i="67"/>
  <c r="K159" i="67"/>
  <c r="J159" i="67"/>
  <c r="I159" i="67"/>
  <c r="H159" i="67"/>
  <c r="L158" i="67"/>
  <c r="K158" i="67"/>
  <c r="J158" i="67"/>
  <c r="I158" i="67"/>
  <c r="H158" i="67"/>
  <c r="L157" i="67"/>
  <c r="K157" i="67"/>
  <c r="J157" i="67"/>
  <c r="I157" i="67"/>
  <c r="H157" i="67"/>
  <c r="L156" i="67"/>
  <c r="K156" i="67"/>
  <c r="J156" i="67"/>
  <c r="I156" i="67"/>
  <c r="H156" i="67"/>
  <c r="L155" i="67"/>
  <c r="K155" i="67"/>
  <c r="J155" i="67"/>
  <c r="I155" i="67"/>
  <c r="H155" i="67"/>
  <c r="L154" i="67"/>
  <c r="K154" i="67"/>
  <c r="J154" i="67"/>
  <c r="I154" i="67"/>
  <c r="H154" i="67"/>
  <c r="L153" i="67"/>
  <c r="K153" i="67"/>
  <c r="J153" i="67"/>
  <c r="I153" i="67"/>
  <c r="H153" i="67"/>
  <c r="L152" i="67"/>
  <c r="K152" i="67"/>
  <c r="J152" i="67"/>
  <c r="I152" i="67"/>
  <c r="H152" i="67"/>
  <c r="L151" i="67"/>
  <c r="K151" i="67"/>
  <c r="J151" i="67"/>
  <c r="I151" i="67"/>
  <c r="H151" i="67"/>
  <c r="L150" i="67"/>
  <c r="K150" i="67"/>
  <c r="J150" i="67"/>
  <c r="I150" i="67"/>
  <c r="H150" i="67"/>
  <c r="L149" i="67"/>
  <c r="K149" i="67"/>
  <c r="J149" i="67"/>
  <c r="I149" i="67"/>
  <c r="H149" i="67"/>
  <c r="L148" i="67"/>
  <c r="K148" i="67"/>
  <c r="J148" i="67"/>
  <c r="I148" i="67"/>
  <c r="H148" i="67"/>
  <c r="L147" i="67"/>
  <c r="K147" i="67"/>
  <c r="J147" i="67"/>
  <c r="I147" i="67"/>
  <c r="H147" i="67"/>
  <c r="L146" i="67"/>
  <c r="K146" i="67"/>
  <c r="J146" i="67"/>
  <c r="I146" i="67"/>
  <c r="H146" i="67"/>
  <c r="L145" i="67"/>
  <c r="K145" i="67"/>
  <c r="J145" i="67"/>
  <c r="I145" i="67"/>
  <c r="H145" i="67"/>
  <c r="L144" i="67"/>
  <c r="K144" i="67"/>
  <c r="J144" i="67"/>
  <c r="I144" i="67"/>
  <c r="H144" i="67"/>
  <c r="L143" i="67"/>
  <c r="K143" i="67"/>
  <c r="J143" i="67"/>
  <c r="I143" i="67"/>
  <c r="H143" i="67"/>
  <c r="L142" i="67"/>
  <c r="K142" i="67"/>
  <c r="J142" i="67"/>
  <c r="I142" i="67"/>
  <c r="H142" i="67"/>
  <c r="L141" i="67"/>
  <c r="K141" i="67"/>
  <c r="J141" i="67"/>
  <c r="I141" i="67"/>
  <c r="H141" i="67"/>
  <c r="L140" i="67"/>
  <c r="K140" i="67"/>
  <c r="J140" i="67"/>
  <c r="I140" i="67"/>
  <c r="H140" i="67"/>
  <c r="L139" i="67"/>
  <c r="K139" i="67"/>
  <c r="J139" i="67"/>
  <c r="I139" i="67"/>
  <c r="H139" i="67"/>
  <c r="L138" i="67"/>
  <c r="K138" i="67"/>
  <c r="J138" i="67"/>
  <c r="I138" i="67"/>
  <c r="H138" i="67"/>
  <c r="L137" i="67"/>
  <c r="K137" i="67"/>
  <c r="J137" i="67"/>
  <c r="I137" i="67"/>
  <c r="H137" i="67"/>
  <c r="L136" i="67"/>
  <c r="K136" i="67"/>
  <c r="J136" i="67"/>
  <c r="I136" i="67"/>
  <c r="H136" i="67"/>
  <c r="L135" i="67"/>
  <c r="K135" i="67"/>
  <c r="J135" i="67"/>
  <c r="I135" i="67"/>
  <c r="H135" i="67"/>
  <c r="L134" i="67"/>
  <c r="K134" i="67"/>
  <c r="J134" i="67"/>
  <c r="I134" i="67"/>
  <c r="H134" i="67"/>
  <c r="L133" i="67"/>
  <c r="K133" i="67"/>
  <c r="J133" i="67"/>
  <c r="I133" i="67"/>
  <c r="H133" i="67"/>
  <c r="L132" i="67"/>
  <c r="K132" i="67"/>
  <c r="J132" i="67"/>
  <c r="I132" i="67"/>
  <c r="H132" i="67"/>
  <c r="L131" i="67"/>
  <c r="K131" i="67"/>
  <c r="J131" i="67"/>
  <c r="I131" i="67"/>
  <c r="H131" i="67"/>
  <c r="L130" i="67"/>
  <c r="K130" i="67"/>
  <c r="J130" i="67"/>
  <c r="I130" i="67"/>
  <c r="H130" i="67"/>
  <c r="L129" i="67"/>
  <c r="K129" i="67"/>
  <c r="J129" i="67"/>
  <c r="I129" i="67"/>
  <c r="H129" i="67"/>
  <c r="L128" i="67"/>
  <c r="K128" i="67"/>
  <c r="J128" i="67"/>
  <c r="I128" i="67"/>
  <c r="H128" i="67"/>
  <c r="L127" i="67"/>
  <c r="K127" i="67"/>
  <c r="J127" i="67"/>
  <c r="I127" i="67"/>
  <c r="H127" i="67"/>
  <c r="L126" i="67"/>
  <c r="K126" i="67"/>
  <c r="J126" i="67"/>
  <c r="I126" i="67"/>
  <c r="H126" i="67"/>
  <c r="L125" i="67"/>
  <c r="K125" i="67"/>
  <c r="J125" i="67"/>
  <c r="I125" i="67"/>
  <c r="H125" i="67"/>
  <c r="L124" i="67"/>
  <c r="K124" i="67"/>
  <c r="J124" i="67"/>
  <c r="I124" i="67"/>
  <c r="H124" i="67"/>
  <c r="L123" i="67"/>
  <c r="K123" i="67"/>
  <c r="J123" i="67"/>
  <c r="I123" i="67"/>
  <c r="H123" i="67"/>
  <c r="L122" i="67"/>
  <c r="K122" i="67"/>
  <c r="J122" i="67"/>
  <c r="I122" i="67"/>
  <c r="H122" i="67"/>
  <c r="L121" i="67"/>
  <c r="K121" i="67"/>
  <c r="J121" i="67"/>
  <c r="I121" i="67"/>
  <c r="H121" i="67"/>
  <c r="L120" i="67"/>
  <c r="K120" i="67"/>
  <c r="J120" i="67"/>
  <c r="I120" i="67"/>
  <c r="H120" i="67"/>
  <c r="L119" i="67"/>
  <c r="K119" i="67"/>
  <c r="J119" i="67"/>
  <c r="I119" i="67"/>
  <c r="H119" i="67"/>
  <c r="L118" i="67"/>
  <c r="K118" i="67"/>
  <c r="J118" i="67"/>
  <c r="I118" i="67"/>
  <c r="H118" i="67"/>
  <c r="L117" i="67"/>
  <c r="K117" i="67"/>
  <c r="J117" i="67"/>
  <c r="I117" i="67"/>
  <c r="H117" i="67"/>
  <c r="L116" i="67"/>
  <c r="K116" i="67"/>
  <c r="J116" i="67"/>
  <c r="I116" i="67"/>
  <c r="H116" i="67"/>
  <c r="L115" i="67"/>
  <c r="K115" i="67"/>
  <c r="J115" i="67"/>
  <c r="I115" i="67"/>
  <c r="H115" i="67"/>
  <c r="L114" i="67"/>
  <c r="K114" i="67"/>
  <c r="J114" i="67"/>
  <c r="I114" i="67"/>
  <c r="L206" i="66"/>
  <c r="K206" i="66"/>
  <c r="J206" i="66"/>
  <c r="I206" i="66"/>
  <c r="H206" i="66"/>
  <c r="L205" i="66"/>
  <c r="K205" i="66"/>
  <c r="J205" i="66"/>
  <c r="I205" i="66"/>
  <c r="H205" i="66"/>
  <c r="L204" i="66"/>
  <c r="K204" i="66"/>
  <c r="J204" i="66"/>
  <c r="I204" i="66"/>
  <c r="H204" i="66"/>
  <c r="L203" i="66"/>
  <c r="K203" i="66"/>
  <c r="J203" i="66"/>
  <c r="I203" i="66"/>
  <c r="H203" i="66"/>
  <c r="L202" i="66"/>
  <c r="K202" i="66"/>
  <c r="J202" i="66"/>
  <c r="I202" i="66"/>
  <c r="H202" i="66"/>
  <c r="L201" i="66"/>
  <c r="K201" i="66"/>
  <c r="J201" i="66"/>
  <c r="I201" i="66"/>
  <c r="H201" i="66"/>
  <c r="L200" i="66"/>
  <c r="K200" i="66"/>
  <c r="J200" i="66"/>
  <c r="I200" i="66"/>
  <c r="H200" i="66"/>
  <c r="L199" i="66"/>
  <c r="K199" i="66"/>
  <c r="J199" i="66"/>
  <c r="I199" i="66"/>
  <c r="H199" i="66"/>
  <c r="L198" i="66"/>
  <c r="K198" i="66"/>
  <c r="J198" i="66"/>
  <c r="I198" i="66"/>
  <c r="H198" i="66"/>
  <c r="L197" i="66"/>
  <c r="K197" i="66"/>
  <c r="J197" i="66"/>
  <c r="I197" i="66"/>
  <c r="H197" i="66"/>
  <c r="L196" i="66"/>
  <c r="K196" i="66"/>
  <c r="J196" i="66"/>
  <c r="I196" i="66"/>
  <c r="H196" i="66"/>
  <c r="L195" i="66"/>
  <c r="K195" i="66"/>
  <c r="J195" i="66"/>
  <c r="I195" i="66"/>
  <c r="H195" i="66"/>
  <c r="L194" i="66"/>
  <c r="K194" i="66"/>
  <c r="J194" i="66"/>
  <c r="I194" i="66"/>
  <c r="H194" i="66"/>
  <c r="L193" i="66"/>
  <c r="K193" i="66"/>
  <c r="J193" i="66"/>
  <c r="I193" i="66"/>
  <c r="H193" i="66"/>
  <c r="L192" i="66"/>
  <c r="K192" i="66"/>
  <c r="J192" i="66"/>
  <c r="I192" i="66"/>
  <c r="H192" i="66"/>
  <c r="L191" i="66"/>
  <c r="K191" i="66"/>
  <c r="J191" i="66"/>
  <c r="I191" i="66"/>
  <c r="H191" i="66"/>
  <c r="L190" i="66"/>
  <c r="K190" i="66"/>
  <c r="J190" i="66"/>
  <c r="I190" i="66"/>
  <c r="H190" i="66"/>
  <c r="L189" i="66"/>
  <c r="K189" i="66"/>
  <c r="J189" i="66"/>
  <c r="I189" i="66"/>
  <c r="H189" i="66"/>
  <c r="L188" i="66"/>
  <c r="K188" i="66"/>
  <c r="J188" i="66"/>
  <c r="I188" i="66"/>
  <c r="H188" i="66"/>
  <c r="L187" i="66"/>
  <c r="K187" i="66"/>
  <c r="J187" i="66"/>
  <c r="I187" i="66"/>
  <c r="H187" i="66"/>
  <c r="L186" i="66"/>
  <c r="K186" i="66"/>
  <c r="J186" i="66"/>
  <c r="I186" i="66"/>
  <c r="H186" i="66"/>
  <c r="L185" i="66"/>
  <c r="K185" i="66"/>
  <c r="J185" i="66"/>
  <c r="I185" i="66"/>
  <c r="H185" i="66"/>
  <c r="L184" i="66"/>
  <c r="K184" i="66"/>
  <c r="J184" i="66"/>
  <c r="I184" i="66"/>
  <c r="H184" i="66"/>
  <c r="L183" i="66"/>
  <c r="K183" i="66"/>
  <c r="J183" i="66"/>
  <c r="I183" i="66"/>
  <c r="H183" i="66"/>
  <c r="L182" i="66"/>
  <c r="K182" i="66"/>
  <c r="J182" i="66"/>
  <c r="I182" i="66"/>
  <c r="H182" i="66"/>
  <c r="L181" i="66"/>
  <c r="K181" i="66"/>
  <c r="J181" i="66"/>
  <c r="I181" i="66"/>
  <c r="H181" i="66"/>
  <c r="L180" i="66"/>
  <c r="K180" i="66"/>
  <c r="J180" i="66"/>
  <c r="I180" i="66"/>
  <c r="H180" i="66"/>
  <c r="L179" i="66"/>
  <c r="K179" i="66"/>
  <c r="J179" i="66"/>
  <c r="I179" i="66"/>
  <c r="H179" i="66"/>
  <c r="L178" i="66"/>
  <c r="K178" i="66"/>
  <c r="J178" i="66"/>
  <c r="I178" i="66"/>
  <c r="H178" i="66"/>
  <c r="L177" i="66"/>
  <c r="K177" i="66"/>
  <c r="J177" i="66"/>
  <c r="I177" i="66"/>
  <c r="H177" i="66"/>
  <c r="L176" i="66"/>
  <c r="K176" i="66"/>
  <c r="J176" i="66"/>
  <c r="I176" i="66"/>
  <c r="H176" i="66"/>
  <c r="L175" i="66"/>
  <c r="K175" i="66"/>
  <c r="J175" i="66"/>
  <c r="I175" i="66"/>
  <c r="H175" i="66"/>
  <c r="L174" i="66"/>
  <c r="K174" i="66"/>
  <c r="J174" i="66"/>
  <c r="I174" i="66"/>
  <c r="H174" i="66"/>
  <c r="L173" i="66"/>
  <c r="K173" i="66"/>
  <c r="J173" i="66"/>
  <c r="I173" i="66"/>
  <c r="H173" i="66"/>
  <c r="L172" i="66"/>
  <c r="K172" i="66"/>
  <c r="J172" i="66"/>
  <c r="I172" i="66"/>
  <c r="H172" i="66"/>
  <c r="L171" i="66"/>
  <c r="K171" i="66"/>
  <c r="J171" i="66"/>
  <c r="I171" i="66"/>
  <c r="H171" i="66"/>
  <c r="L170" i="66"/>
  <c r="K170" i="66"/>
  <c r="J170" i="66"/>
  <c r="I170" i="66"/>
  <c r="H170" i="66"/>
  <c r="L169" i="66"/>
  <c r="K169" i="66"/>
  <c r="J169" i="66"/>
  <c r="I169" i="66"/>
  <c r="H169" i="66"/>
  <c r="L168" i="66"/>
  <c r="K168" i="66"/>
  <c r="J168" i="66"/>
  <c r="I168" i="66"/>
  <c r="H168" i="66"/>
  <c r="L167" i="66"/>
  <c r="K167" i="66"/>
  <c r="J167" i="66"/>
  <c r="I167" i="66"/>
  <c r="H167" i="66"/>
  <c r="L166" i="66"/>
  <c r="K166" i="66"/>
  <c r="J166" i="66"/>
  <c r="I166" i="66"/>
  <c r="H166" i="66"/>
  <c r="L165" i="66"/>
  <c r="K165" i="66"/>
  <c r="J165" i="66"/>
  <c r="I165" i="66"/>
  <c r="H165" i="66"/>
  <c r="L164" i="66"/>
  <c r="K164" i="66"/>
  <c r="J164" i="66"/>
  <c r="I164" i="66"/>
  <c r="H164" i="66"/>
  <c r="L163" i="66"/>
  <c r="K163" i="66"/>
  <c r="J163" i="66"/>
  <c r="I163" i="66"/>
  <c r="H163" i="66"/>
  <c r="L162" i="66"/>
  <c r="K162" i="66"/>
  <c r="J162" i="66"/>
  <c r="I162" i="66"/>
  <c r="H162" i="66"/>
  <c r="L161" i="66"/>
  <c r="K161" i="66"/>
  <c r="J161" i="66"/>
  <c r="I161" i="66"/>
  <c r="H161" i="66"/>
  <c r="L160" i="66"/>
  <c r="K160" i="66"/>
  <c r="J160" i="66"/>
  <c r="I160" i="66"/>
  <c r="H160" i="66"/>
  <c r="L159" i="66"/>
  <c r="K159" i="66"/>
  <c r="J159" i="66"/>
  <c r="I159" i="66"/>
  <c r="H159" i="66"/>
  <c r="L158" i="66"/>
  <c r="K158" i="66"/>
  <c r="J158" i="66"/>
  <c r="I158" i="66"/>
  <c r="H158" i="66"/>
  <c r="L157" i="66"/>
  <c r="K157" i="66"/>
  <c r="J157" i="66"/>
  <c r="I157" i="66"/>
  <c r="H157" i="66"/>
  <c r="L156" i="66"/>
  <c r="K156" i="66"/>
  <c r="J156" i="66"/>
  <c r="I156" i="66"/>
  <c r="H156" i="66"/>
  <c r="L155" i="66"/>
  <c r="K155" i="66"/>
  <c r="J155" i="66"/>
  <c r="I155" i="66"/>
  <c r="H155" i="66"/>
  <c r="L154" i="66"/>
  <c r="K154" i="66"/>
  <c r="J154" i="66"/>
  <c r="I154" i="66"/>
  <c r="H154" i="66"/>
  <c r="L153" i="66"/>
  <c r="K153" i="66"/>
  <c r="J153" i="66"/>
  <c r="I153" i="66"/>
  <c r="H153" i="66"/>
  <c r="L152" i="66"/>
  <c r="K152" i="66"/>
  <c r="J152" i="66"/>
  <c r="I152" i="66"/>
  <c r="H152" i="66"/>
  <c r="L151" i="66"/>
  <c r="K151" i="66"/>
  <c r="J151" i="66"/>
  <c r="I151" i="66"/>
  <c r="H151" i="66"/>
  <c r="L150" i="66"/>
  <c r="K150" i="66"/>
  <c r="J150" i="66"/>
  <c r="I150" i="66"/>
  <c r="H150" i="66"/>
  <c r="L149" i="66"/>
  <c r="K149" i="66"/>
  <c r="J149" i="66"/>
  <c r="I149" i="66"/>
  <c r="H149" i="66"/>
  <c r="L148" i="66"/>
  <c r="K148" i="66"/>
  <c r="J148" i="66"/>
  <c r="I148" i="66"/>
  <c r="H148" i="66"/>
  <c r="L147" i="66"/>
  <c r="K147" i="66"/>
  <c r="J147" i="66"/>
  <c r="I147" i="66"/>
  <c r="H147" i="66"/>
  <c r="L146" i="66"/>
  <c r="K146" i="66"/>
  <c r="J146" i="66"/>
  <c r="I146" i="66"/>
  <c r="H146" i="66"/>
  <c r="L145" i="66"/>
  <c r="K145" i="66"/>
  <c r="J145" i="66"/>
  <c r="I145" i="66"/>
  <c r="H145" i="66"/>
  <c r="L144" i="66"/>
  <c r="K144" i="66"/>
  <c r="J144" i="66"/>
  <c r="I144" i="66"/>
  <c r="H144" i="66"/>
  <c r="L143" i="66"/>
  <c r="K143" i="66"/>
  <c r="J143" i="66"/>
  <c r="I143" i="66"/>
  <c r="H143" i="66"/>
  <c r="L142" i="66"/>
  <c r="K142" i="66"/>
  <c r="J142" i="66"/>
  <c r="I142" i="66"/>
  <c r="H142" i="66"/>
  <c r="L141" i="66"/>
  <c r="K141" i="66"/>
  <c r="J141" i="66"/>
  <c r="I141" i="66"/>
  <c r="H141" i="66"/>
  <c r="L140" i="66"/>
  <c r="K140" i="66"/>
  <c r="J140" i="66"/>
  <c r="I140" i="66"/>
  <c r="H140" i="66"/>
  <c r="L139" i="66"/>
  <c r="K139" i="66"/>
  <c r="J139" i="66"/>
  <c r="I139" i="66"/>
  <c r="H139" i="66"/>
  <c r="L138" i="66"/>
  <c r="K138" i="66"/>
  <c r="J138" i="66"/>
  <c r="I138" i="66"/>
  <c r="H138" i="66"/>
  <c r="L137" i="66"/>
  <c r="K137" i="66"/>
  <c r="J137" i="66"/>
  <c r="I137" i="66"/>
  <c r="H137" i="66"/>
  <c r="L136" i="66"/>
  <c r="K136" i="66"/>
  <c r="J136" i="66"/>
  <c r="I136" i="66"/>
  <c r="H136" i="66"/>
  <c r="L135" i="66"/>
  <c r="K135" i="66"/>
  <c r="J135" i="66"/>
  <c r="I135" i="66"/>
  <c r="H135" i="66"/>
  <c r="L134" i="66"/>
  <c r="K134" i="66"/>
  <c r="J134" i="66"/>
  <c r="I134" i="66"/>
  <c r="H134" i="66"/>
  <c r="L133" i="66"/>
  <c r="K133" i="66"/>
  <c r="J133" i="66"/>
  <c r="I133" i="66"/>
  <c r="H133" i="66"/>
  <c r="L132" i="66"/>
  <c r="K132" i="66"/>
  <c r="J132" i="66"/>
  <c r="I132" i="66"/>
  <c r="H132" i="66"/>
  <c r="L131" i="66"/>
  <c r="K131" i="66"/>
  <c r="J131" i="66"/>
  <c r="I131" i="66"/>
  <c r="H131" i="66"/>
  <c r="L130" i="66"/>
  <c r="K130" i="66"/>
  <c r="J130" i="66"/>
  <c r="I130" i="66"/>
  <c r="H130" i="66"/>
  <c r="L129" i="66"/>
  <c r="K129" i="66"/>
  <c r="J129" i="66"/>
  <c r="I129" i="66"/>
  <c r="H129" i="66"/>
  <c r="L128" i="66"/>
  <c r="K128" i="66"/>
  <c r="J128" i="66"/>
  <c r="I128" i="66"/>
  <c r="H128" i="66"/>
  <c r="L127" i="66"/>
  <c r="K127" i="66"/>
  <c r="J127" i="66"/>
  <c r="I127" i="66"/>
  <c r="H127" i="66"/>
  <c r="L126" i="66"/>
  <c r="K126" i="66"/>
  <c r="J126" i="66"/>
  <c r="I126" i="66"/>
  <c r="H126" i="66"/>
  <c r="L125" i="66"/>
  <c r="K125" i="66"/>
  <c r="J125" i="66"/>
  <c r="I125" i="66"/>
  <c r="H125" i="66"/>
  <c r="L124" i="66"/>
  <c r="K124" i="66"/>
  <c r="J124" i="66"/>
  <c r="I124" i="66"/>
  <c r="H124" i="66"/>
  <c r="L123" i="66"/>
  <c r="K123" i="66"/>
  <c r="J123" i="66"/>
  <c r="I123" i="66"/>
  <c r="H123" i="66"/>
  <c r="L122" i="66"/>
  <c r="K122" i="66"/>
  <c r="J122" i="66"/>
  <c r="I122" i="66"/>
  <c r="H122" i="66"/>
  <c r="L121" i="66"/>
  <c r="K121" i="66"/>
  <c r="J121" i="66"/>
  <c r="I121" i="66"/>
  <c r="H121" i="66"/>
  <c r="L120" i="66"/>
  <c r="K120" i="66"/>
  <c r="J120" i="66"/>
  <c r="I120" i="66"/>
  <c r="H120" i="66"/>
  <c r="L119" i="66"/>
  <c r="K119" i="66"/>
  <c r="J119" i="66"/>
  <c r="I119" i="66"/>
  <c r="H119" i="66"/>
  <c r="L118" i="66"/>
  <c r="K118" i="66"/>
  <c r="J118" i="66"/>
  <c r="I118" i="66"/>
  <c r="H118" i="66"/>
  <c r="L117" i="66"/>
  <c r="K117" i="66"/>
  <c r="J117" i="66"/>
  <c r="I117" i="66"/>
  <c r="H117" i="66"/>
  <c r="L116" i="66"/>
  <c r="K116" i="66"/>
  <c r="J116" i="66"/>
  <c r="I116" i="66"/>
  <c r="H116" i="66"/>
  <c r="L115" i="66"/>
  <c r="K115" i="66"/>
  <c r="J115" i="66"/>
  <c r="I115" i="66"/>
  <c r="H115" i="66"/>
  <c r="L114" i="66"/>
  <c r="K114" i="66"/>
  <c r="J114" i="66"/>
  <c r="I114" i="66"/>
  <c r="L206" i="65"/>
  <c r="K206" i="65"/>
  <c r="J206" i="65"/>
  <c r="I206" i="65"/>
  <c r="H206" i="65"/>
  <c r="L205" i="65"/>
  <c r="K205" i="65"/>
  <c r="J205" i="65"/>
  <c r="I205" i="65"/>
  <c r="H205" i="65"/>
  <c r="L204" i="65"/>
  <c r="K204" i="65"/>
  <c r="J204" i="65"/>
  <c r="I204" i="65"/>
  <c r="H204" i="65"/>
  <c r="L203" i="65"/>
  <c r="K203" i="65"/>
  <c r="J203" i="65"/>
  <c r="I203" i="65"/>
  <c r="H203" i="65"/>
  <c r="L202" i="65"/>
  <c r="K202" i="65"/>
  <c r="J202" i="65"/>
  <c r="I202" i="65"/>
  <c r="H202" i="65"/>
  <c r="L201" i="65"/>
  <c r="K201" i="65"/>
  <c r="J201" i="65"/>
  <c r="I201" i="65"/>
  <c r="H201" i="65"/>
  <c r="L200" i="65"/>
  <c r="K200" i="65"/>
  <c r="J200" i="65"/>
  <c r="I200" i="65"/>
  <c r="H200" i="65"/>
  <c r="L199" i="65"/>
  <c r="K199" i="65"/>
  <c r="J199" i="65"/>
  <c r="I199" i="65"/>
  <c r="H199" i="65"/>
  <c r="L198" i="65"/>
  <c r="K198" i="65"/>
  <c r="J198" i="65"/>
  <c r="I198" i="65"/>
  <c r="H198" i="65"/>
  <c r="L197" i="65"/>
  <c r="K197" i="65"/>
  <c r="J197" i="65"/>
  <c r="I197" i="65"/>
  <c r="H197" i="65"/>
  <c r="L196" i="65"/>
  <c r="K196" i="65"/>
  <c r="J196" i="65"/>
  <c r="I196" i="65"/>
  <c r="H196" i="65"/>
  <c r="L195" i="65"/>
  <c r="K195" i="65"/>
  <c r="J195" i="65"/>
  <c r="I195" i="65"/>
  <c r="H195" i="65"/>
  <c r="L194" i="65"/>
  <c r="K194" i="65"/>
  <c r="J194" i="65"/>
  <c r="I194" i="65"/>
  <c r="H194" i="65"/>
  <c r="L193" i="65"/>
  <c r="K193" i="65"/>
  <c r="J193" i="65"/>
  <c r="I193" i="65"/>
  <c r="H193" i="65"/>
  <c r="L192" i="65"/>
  <c r="K192" i="65"/>
  <c r="J192" i="65"/>
  <c r="I192" i="65"/>
  <c r="H192" i="65"/>
  <c r="L191" i="65"/>
  <c r="K191" i="65"/>
  <c r="J191" i="65"/>
  <c r="I191" i="65"/>
  <c r="H191" i="65"/>
  <c r="L190" i="65"/>
  <c r="K190" i="65"/>
  <c r="J190" i="65"/>
  <c r="I190" i="65"/>
  <c r="H190" i="65"/>
  <c r="L189" i="65"/>
  <c r="K189" i="65"/>
  <c r="J189" i="65"/>
  <c r="I189" i="65"/>
  <c r="H189" i="65"/>
  <c r="L188" i="65"/>
  <c r="K188" i="65"/>
  <c r="J188" i="65"/>
  <c r="I188" i="65"/>
  <c r="H188" i="65"/>
  <c r="L187" i="65"/>
  <c r="K187" i="65"/>
  <c r="J187" i="65"/>
  <c r="I187" i="65"/>
  <c r="H187" i="65"/>
  <c r="L186" i="65"/>
  <c r="K186" i="65"/>
  <c r="J186" i="65"/>
  <c r="I186" i="65"/>
  <c r="H186" i="65"/>
  <c r="L185" i="65"/>
  <c r="K185" i="65"/>
  <c r="J185" i="65"/>
  <c r="I185" i="65"/>
  <c r="H185" i="65"/>
  <c r="L184" i="65"/>
  <c r="K184" i="65"/>
  <c r="J184" i="65"/>
  <c r="I184" i="65"/>
  <c r="H184" i="65"/>
  <c r="L183" i="65"/>
  <c r="K183" i="65"/>
  <c r="J183" i="65"/>
  <c r="I183" i="65"/>
  <c r="H183" i="65"/>
  <c r="L182" i="65"/>
  <c r="K182" i="65"/>
  <c r="J182" i="65"/>
  <c r="I182" i="65"/>
  <c r="H182" i="65"/>
  <c r="L181" i="65"/>
  <c r="K181" i="65"/>
  <c r="J181" i="65"/>
  <c r="I181" i="65"/>
  <c r="H181" i="65"/>
  <c r="L180" i="65"/>
  <c r="K180" i="65"/>
  <c r="J180" i="65"/>
  <c r="I180" i="65"/>
  <c r="H180" i="65"/>
  <c r="L179" i="65"/>
  <c r="K179" i="65"/>
  <c r="J179" i="65"/>
  <c r="I179" i="65"/>
  <c r="H179" i="65"/>
  <c r="L178" i="65"/>
  <c r="K178" i="65"/>
  <c r="J178" i="65"/>
  <c r="I178" i="65"/>
  <c r="H178" i="65"/>
  <c r="L177" i="65"/>
  <c r="K177" i="65"/>
  <c r="J177" i="65"/>
  <c r="I177" i="65"/>
  <c r="H177" i="65"/>
  <c r="L176" i="65"/>
  <c r="K176" i="65"/>
  <c r="J176" i="65"/>
  <c r="I176" i="65"/>
  <c r="H176" i="65"/>
  <c r="L175" i="65"/>
  <c r="K175" i="65"/>
  <c r="J175" i="65"/>
  <c r="I175" i="65"/>
  <c r="H175" i="65"/>
  <c r="L174" i="65"/>
  <c r="K174" i="65"/>
  <c r="J174" i="65"/>
  <c r="I174" i="65"/>
  <c r="H174" i="65"/>
  <c r="L173" i="65"/>
  <c r="K173" i="65"/>
  <c r="J173" i="65"/>
  <c r="I173" i="65"/>
  <c r="H173" i="65"/>
  <c r="L172" i="65"/>
  <c r="K172" i="65"/>
  <c r="J172" i="65"/>
  <c r="I172" i="65"/>
  <c r="H172" i="65"/>
  <c r="L171" i="65"/>
  <c r="K171" i="65"/>
  <c r="J171" i="65"/>
  <c r="I171" i="65"/>
  <c r="H171" i="65"/>
  <c r="L170" i="65"/>
  <c r="K170" i="65"/>
  <c r="J170" i="65"/>
  <c r="I170" i="65"/>
  <c r="H170" i="65"/>
  <c r="L169" i="65"/>
  <c r="K169" i="65"/>
  <c r="J169" i="65"/>
  <c r="I169" i="65"/>
  <c r="H169" i="65"/>
  <c r="L168" i="65"/>
  <c r="K168" i="65"/>
  <c r="J168" i="65"/>
  <c r="I168" i="65"/>
  <c r="H168" i="65"/>
  <c r="L167" i="65"/>
  <c r="K167" i="65"/>
  <c r="J167" i="65"/>
  <c r="I167" i="65"/>
  <c r="H167" i="65"/>
  <c r="L166" i="65"/>
  <c r="K166" i="65"/>
  <c r="J166" i="65"/>
  <c r="I166" i="65"/>
  <c r="H166" i="65"/>
  <c r="L165" i="65"/>
  <c r="K165" i="65"/>
  <c r="J165" i="65"/>
  <c r="I165" i="65"/>
  <c r="H165" i="65"/>
  <c r="L164" i="65"/>
  <c r="K164" i="65"/>
  <c r="J164" i="65"/>
  <c r="I164" i="65"/>
  <c r="H164" i="65"/>
  <c r="L163" i="65"/>
  <c r="K163" i="65"/>
  <c r="J163" i="65"/>
  <c r="I163" i="65"/>
  <c r="H163" i="65"/>
  <c r="L162" i="65"/>
  <c r="K162" i="65"/>
  <c r="J162" i="65"/>
  <c r="I162" i="65"/>
  <c r="H162" i="65"/>
  <c r="L161" i="65"/>
  <c r="K161" i="65"/>
  <c r="J161" i="65"/>
  <c r="I161" i="65"/>
  <c r="H161" i="65"/>
  <c r="L160" i="65"/>
  <c r="K160" i="65"/>
  <c r="J160" i="65"/>
  <c r="I160" i="65"/>
  <c r="H160" i="65"/>
  <c r="L159" i="65"/>
  <c r="K159" i="65"/>
  <c r="J159" i="65"/>
  <c r="I159" i="65"/>
  <c r="H159" i="65"/>
  <c r="L158" i="65"/>
  <c r="K158" i="65"/>
  <c r="J158" i="65"/>
  <c r="I158" i="65"/>
  <c r="H158" i="65"/>
  <c r="L157" i="65"/>
  <c r="K157" i="65"/>
  <c r="J157" i="65"/>
  <c r="I157" i="65"/>
  <c r="H157" i="65"/>
  <c r="L156" i="65"/>
  <c r="K156" i="65"/>
  <c r="J156" i="65"/>
  <c r="I156" i="65"/>
  <c r="H156" i="65"/>
  <c r="L155" i="65"/>
  <c r="K155" i="65"/>
  <c r="J155" i="65"/>
  <c r="I155" i="65"/>
  <c r="H155" i="65"/>
  <c r="L154" i="65"/>
  <c r="K154" i="65"/>
  <c r="J154" i="65"/>
  <c r="I154" i="65"/>
  <c r="H154" i="65"/>
  <c r="L153" i="65"/>
  <c r="K153" i="65"/>
  <c r="J153" i="65"/>
  <c r="I153" i="65"/>
  <c r="H153" i="65"/>
  <c r="L152" i="65"/>
  <c r="K152" i="65"/>
  <c r="J152" i="65"/>
  <c r="I152" i="65"/>
  <c r="H152" i="65"/>
  <c r="L151" i="65"/>
  <c r="K151" i="65"/>
  <c r="J151" i="65"/>
  <c r="I151" i="65"/>
  <c r="H151" i="65"/>
  <c r="L150" i="65"/>
  <c r="K150" i="65"/>
  <c r="J150" i="65"/>
  <c r="I150" i="65"/>
  <c r="H150" i="65"/>
  <c r="L149" i="65"/>
  <c r="K149" i="65"/>
  <c r="J149" i="65"/>
  <c r="I149" i="65"/>
  <c r="H149" i="65"/>
  <c r="L148" i="65"/>
  <c r="K148" i="65"/>
  <c r="J148" i="65"/>
  <c r="I148" i="65"/>
  <c r="H148" i="65"/>
  <c r="L147" i="65"/>
  <c r="K147" i="65"/>
  <c r="J147" i="65"/>
  <c r="I147" i="65"/>
  <c r="H147" i="65"/>
  <c r="L146" i="65"/>
  <c r="K146" i="65"/>
  <c r="J146" i="65"/>
  <c r="I146" i="65"/>
  <c r="H146" i="65"/>
  <c r="L145" i="65"/>
  <c r="K145" i="65"/>
  <c r="J145" i="65"/>
  <c r="I145" i="65"/>
  <c r="H145" i="65"/>
  <c r="L144" i="65"/>
  <c r="K144" i="65"/>
  <c r="J144" i="65"/>
  <c r="I144" i="65"/>
  <c r="H144" i="65"/>
  <c r="L143" i="65"/>
  <c r="K143" i="65"/>
  <c r="J143" i="65"/>
  <c r="I143" i="65"/>
  <c r="H143" i="65"/>
  <c r="L142" i="65"/>
  <c r="K142" i="65"/>
  <c r="J142" i="65"/>
  <c r="I142" i="65"/>
  <c r="H142" i="65"/>
  <c r="L141" i="65"/>
  <c r="K141" i="65"/>
  <c r="J141" i="65"/>
  <c r="I141" i="65"/>
  <c r="H141" i="65"/>
  <c r="L140" i="65"/>
  <c r="K140" i="65"/>
  <c r="J140" i="65"/>
  <c r="I140" i="65"/>
  <c r="H140" i="65"/>
  <c r="L139" i="65"/>
  <c r="K139" i="65"/>
  <c r="J139" i="65"/>
  <c r="I139" i="65"/>
  <c r="H139" i="65"/>
  <c r="L138" i="65"/>
  <c r="K138" i="65"/>
  <c r="J138" i="65"/>
  <c r="I138" i="65"/>
  <c r="H138" i="65"/>
  <c r="L137" i="65"/>
  <c r="K137" i="65"/>
  <c r="J137" i="65"/>
  <c r="I137" i="65"/>
  <c r="H137" i="65"/>
  <c r="L136" i="65"/>
  <c r="K136" i="65"/>
  <c r="J136" i="65"/>
  <c r="I136" i="65"/>
  <c r="H136" i="65"/>
  <c r="L135" i="65"/>
  <c r="K135" i="65"/>
  <c r="J135" i="65"/>
  <c r="I135" i="65"/>
  <c r="H135" i="65"/>
  <c r="L134" i="65"/>
  <c r="K134" i="65"/>
  <c r="J134" i="65"/>
  <c r="I134" i="65"/>
  <c r="H134" i="65"/>
  <c r="L133" i="65"/>
  <c r="K133" i="65"/>
  <c r="J133" i="65"/>
  <c r="I133" i="65"/>
  <c r="H133" i="65"/>
  <c r="L132" i="65"/>
  <c r="K132" i="65"/>
  <c r="J132" i="65"/>
  <c r="I132" i="65"/>
  <c r="H132" i="65"/>
  <c r="L131" i="65"/>
  <c r="K131" i="65"/>
  <c r="J131" i="65"/>
  <c r="I131" i="65"/>
  <c r="H131" i="65"/>
  <c r="L130" i="65"/>
  <c r="K130" i="65"/>
  <c r="J130" i="65"/>
  <c r="I130" i="65"/>
  <c r="H130" i="65"/>
  <c r="L129" i="65"/>
  <c r="K129" i="65"/>
  <c r="J129" i="65"/>
  <c r="I129" i="65"/>
  <c r="H129" i="65"/>
  <c r="L128" i="65"/>
  <c r="K128" i="65"/>
  <c r="J128" i="65"/>
  <c r="I128" i="65"/>
  <c r="H128" i="65"/>
  <c r="L127" i="65"/>
  <c r="K127" i="65"/>
  <c r="J127" i="65"/>
  <c r="I127" i="65"/>
  <c r="H127" i="65"/>
  <c r="L126" i="65"/>
  <c r="K126" i="65"/>
  <c r="J126" i="65"/>
  <c r="I126" i="65"/>
  <c r="H126" i="65"/>
  <c r="L125" i="65"/>
  <c r="K125" i="65"/>
  <c r="J125" i="65"/>
  <c r="I125" i="65"/>
  <c r="H125" i="65"/>
  <c r="L124" i="65"/>
  <c r="K124" i="65"/>
  <c r="J124" i="65"/>
  <c r="I124" i="65"/>
  <c r="H124" i="65"/>
  <c r="L123" i="65"/>
  <c r="K123" i="65"/>
  <c r="J123" i="65"/>
  <c r="I123" i="65"/>
  <c r="H123" i="65"/>
  <c r="L122" i="65"/>
  <c r="K122" i="65"/>
  <c r="J122" i="65"/>
  <c r="I122" i="65"/>
  <c r="H122" i="65"/>
  <c r="L121" i="65"/>
  <c r="K121" i="65"/>
  <c r="J121" i="65"/>
  <c r="I121" i="65"/>
  <c r="H121" i="65"/>
  <c r="L120" i="65"/>
  <c r="K120" i="65"/>
  <c r="J120" i="65"/>
  <c r="I120" i="65"/>
  <c r="H120" i="65"/>
  <c r="L119" i="65"/>
  <c r="K119" i="65"/>
  <c r="J119" i="65"/>
  <c r="I119" i="65"/>
  <c r="H119" i="65"/>
  <c r="L118" i="65"/>
  <c r="K118" i="65"/>
  <c r="J118" i="65"/>
  <c r="I118" i="65"/>
  <c r="H118" i="65"/>
  <c r="L117" i="65"/>
  <c r="K117" i="65"/>
  <c r="J117" i="65"/>
  <c r="I117" i="65"/>
  <c r="H117" i="65"/>
  <c r="L116" i="65"/>
  <c r="K116" i="65"/>
  <c r="J116" i="65"/>
  <c r="I116" i="65"/>
  <c r="H116" i="65"/>
  <c r="L115" i="65"/>
  <c r="K115" i="65"/>
  <c r="J115" i="65"/>
  <c r="I115" i="65"/>
  <c r="H115" i="65"/>
  <c r="L114" i="65"/>
  <c r="K114" i="65"/>
  <c r="J114" i="65"/>
  <c r="I114" i="65"/>
  <c r="L206" i="64"/>
  <c r="K206" i="64"/>
  <c r="J206" i="64"/>
  <c r="I206" i="64"/>
  <c r="H206" i="64"/>
  <c r="L205" i="64"/>
  <c r="K205" i="64"/>
  <c r="J205" i="64"/>
  <c r="I205" i="64"/>
  <c r="H205" i="64"/>
  <c r="L204" i="64"/>
  <c r="K204" i="64"/>
  <c r="J204" i="64"/>
  <c r="I204" i="64"/>
  <c r="H204" i="64"/>
  <c r="L203" i="64"/>
  <c r="K203" i="64"/>
  <c r="J203" i="64"/>
  <c r="I203" i="64"/>
  <c r="H203" i="64"/>
  <c r="L202" i="64"/>
  <c r="K202" i="64"/>
  <c r="J202" i="64"/>
  <c r="I202" i="64"/>
  <c r="H202" i="64"/>
  <c r="L201" i="64"/>
  <c r="K201" i="64"/>
  <c r="J201" i="64"/>
  <c r="I201" i="64"/>
  <c r="H201" i="64"/>
  <c r="L200" i="64"/>
  <c r="K200" i="64"/>
  <c r="J200" i="64"/>
  <c r="I200" i="64"/>
  <c r="H200" i="64"/>
  <c r="L199" i="64"/>
  <c r="K199" i="64"/>
  <c r="J199" i="64"/>
  <c r="I199" i="64"/>
  <c r="H199" i="64"/>
  <c r="L198" i="64"/>
  <c r="K198" i="64"/>
  <c r="J198" i="64"/>
  <c r="I198" i="64"/>
  <c r="H198" i="64"/>
  <c r="L197" i="64"/>
  <c r="K197" i="64"/>
  <c r="J197" i="64"/>
  <c r="I197" i="64"/>
  <c r="H197" i="64"/>
  <c r="L196" i="64"/>
  <c r="K196" i="64"/>
  <c r="J196" i="64"/>
  <c r="I196" i="64"/>
  <c r="H196" i="64"/>
  <c r="L195" i="64"/>
  <c r="K195" i="64"/>
  <c r="J195" i="64"/>
  <c r="I195" i="64"/>
  <c r="H195" i="64"/>
  <c r="L194" i="64"/>
  <c r="K194" i="64"/>
  <c r="J194" i="64"/>
  <c r="I194" i="64"/>
  <c r="H194" i="64"/>
  <c r="L193" i="64"/>
  <c r="K193" i="64"/>
  <c r="J193" i="64"/>
  <c r="I193" i="64"/>
  <c r="H193" i="64"/>
  <c r="L192" i="64"/>
  <c r="K192" i="64"/>
  <c r="J192" i="64"/>
  <c r="I192" i="64"/>
  <c r="H192" i="64"/>
  <c r="L191" i="64"/>
  <c r="K191" i="64"/>
  <c r="J191" i="64"/>
  <c r="I191" i="64"/>
  <c r="H191" i="64"/>
  <c r="L190" i="64"/>
  <c r="K190" i="64"/>
  <c r="J190" i="64"/>
  <c r="I190" i="64"/>
  <c r="H190" i="64"/>
  <c r="L189" i="64"/>
  <c r="K189" i="64"/>
  <c r="J189" i="64"/>
  <c r="I189" i="64"/>
  <c r="H189" i="64"/>
  <c r="L188" i="64"/>
  <c r="K188" i="64"/>
  <c r="J188" i="64"/>
  <c r="I188" i="64"/>
  <c r="H188" i="64"/>
  <c r="L187" i="64"/>
  <c r="K187" i="64"/>
  <c r="J187" i="64"/>
  <c r="I187" i="64"/>
  <c r="H187" i="64"/>
  <c r="L186" i="64"/>
  <c r="K186" i="64"/>
  <c r="J186" i="64"/>
  <c r="I186" i="64"/>
  <c r="H186" i="64"/>
  <c r="L185" i="64"/>
  <c r="K185" i="64"/>
  <c r="J185" i="64"/>
  <c r="I185" i="64"/>
  <c r="H185" i="64"/>
  <c r="L184" i="64"/>
  <c r="K184" i="64"/>
  <c r="J184" i="64"/>
  <c r="I184" i="64"/>
  <c r="H184" i="64"/>
  <c r="L183" i="64"/>
  <c r="K183" i="64"/>
  <c r="J183" i="64"/>
  <c r="I183" i="64"/>
  <c r="H183" i="64"/>
  <c r="L182" i="64"/>
  <c r="K182" i="64"/>
  <c r="J182" i="64"/>
  <c r="I182" i="64"/>
  <c r="H182" i="64"/>
  <c r="L181" i="64"/>
  <c r="K181" i="64"/>
  <c r="J181" i="64"/>
  <c r="I181" i="64"/>
  <c r="H181" i="64"/>
  <c r="L180" i="64"/>
  <c r="K180" i="64"/>
  <c r="J180" i="64"/>
  <c r="I180" i="64"/>
  <c r="H180" i="64"/>
  <c r="L179" i="64"/>
  <c r="K179" i="64"/>
  <c r="J179" i="64"/>
  <c r="I179" i="64"/>
  <c r="H179" i="64"/>
  <c r="L178" i="64"/>
  <c r="K178" i="64"/>
  <c r="J178" i="64"/>
  <c r="I178" i="64"/>
  <c r="H178" i="64"/>
  <c r="L177" i="64"/>
  <c r="K177" i="64"/>
  <c r="J177" i="64"/>
  <c r="I177" i="64"/>
  <c r="H177" i="64"/>
  <c r="L176" i="64"/>
  <c r="K176" i="64"/>
  <c r="J176" i="64"/>
  <c r="I176" i="64"/>
  <c r="H176" i="64"/>
  <c r="L175" i="64"/>
  <c r="K175" i="64"/>
  <c r="J175" i="64"/>
  <c r="I175" i="64"/>
  <c r="H175" i="64"/>
  <c r="L174" i="64"/>
  <c r="K174" i="64"/>
  <c r="J174" i="64"/>
  <c r="I174" i="64"/>
  <c r="H174" i="64"/>
  <c r="L173" i="64"/>
  <c r="K173" i="64"/>
  <c r="J173" i="64"/>
  <c r="I173" i="64"/>
  <c r="H173" i="64"/>
  <c r="L172" i="64"/>
  <c r="K172" i="64"/>
  <c r="J172" i="64"/>
  <c r="I172" i="64"/>
  <c r="H172" i="64"/>
  <c r="L171" i="64"/>
  <c r="K171" i="64"/>
  <c r="J171" i="64"/>
  <c r="I171" i="64"/>
  <c r="H171" i="64"/>
  <c r="L170" i="64"/>
  <c r="K170" i="64"/>
  <c r="J170" i="64"/>
  <c r="I170" i="64"/>
  <c r="H170" i="64"/>
  <c r="L169" i="64"/>
  <c r="K169" i="64"/>
  <c r="J169" i="64"/>
  <c r="I169" i="64"/>
  <c r="H169" i="64"/>
  <c r="L168" i="64"/>
  <c r="K168" i="64"/>
  <c r="J168" i="64"/>
  <c r="I168" i="64"/>
  <c r="H168" i="64"/>
  <c r="L167" i="64"/>
  <c r="K167" i="64"/>
  <c r="J167" i="64"/>
  <c r="I167" i="64"/>
  <c r="H167" i="64"/>
  <c r="L166" i="64"/>
  <c r="K166" i="64"/>
  <c r="J166" i="64"/>
  <c r="I166" i="64"/>
  <c r="H166" i="64"/>
  <c r="L165" i="64"/>
  <c r="K165" i="64"/>
  <c r="J165" i="64"/>
  <c r="I165" i="64"/>
  <c r="H165" i="64"/>
  <c r="L164" i="64"/>
  <c r="K164" i="64"/>
  <c r="J164" i="64"/>
  <c r="I164" i="64"/>
  <c r="H164" i="64"/>
  <c r="L163" i="64"/>
  <c r="K163" i="64"/>
  <c r="J163" i="64"/>
  <c r="I163" i="64"/>
  <c r="H163" i="64"/>
  <c r="L162" i="64"/>
  <c r="K162" i="64"/>
  <c r="J162" i="64"/>
  <c r="I162" i="64"/>
  <c r="H162" i="64"/>
  <c r="L161" i="64"/>
  <c r="K161" i="64"/>
  <c r="J161" i="64"/>
  <c r="I161" i="64"/>
  <c r="H161" i="64"/>
  <c r="L160" i="64"/>
  <c r="K160" i="64"/>
  <c r="J160" i="64"/>
  <c r="I160" i="64"/>
  <c r="H160" i="64"/>
  <c r="L159" i="64"/>
  <c r="K159" i="64"/>
  <c r="J159" i="64"/>
  <c r="I159" i="64"/>
  <c r="H159" i="64"/>
  <c r="L158" i="64"/>
  <c r="K158" i="64"/>
  <c r="J158" i="64"/>
  <c r="I158" i="64"/>
  <c r="H158" i="64"/>
  <c r="L157" i="64"/>
  <c r="K157" i="64"/>
  <c r="J157" i="64"/>
  <c r="I157" i="64"/>
  <c r="H157" i="64"/>
  <c r="L156" i="64"/>
  <c r="K156" i="64"/>
  <c r="J156" i="64"/>
  <c r="I156" i="64"/>
  <c r="H156" i="64"/>
  <c r="L155" i="64"/>
  <c r="K155" i="64"/>
  <c r="J155" i="64"/>
  <c r="I155" i="64"/>
  <c r="H155" i="64"/>
  <c r="L154" i="64"/>
  <c r="K154" i="64"/>
  <c r="J154" i="64"/>
  <c r="I154" i="64"/>
  <c r="H154" i="64"/>
  <c r="L153" i="64"/>
  <c r="K153" i="64"/>
  <c r="J153" i="64"/>
  <c r="I153" i="64"/>
  <c r="H153" i="64"/>
  <c r="L152" i="64"/>
  <c r="K152" i="64"/>
  <c r="J152" i="64"/>
  <c r="I152" i="64"/>
  <c r="H152" i="64"/>
  <c r="L151" i="64"/>
  <c r="K151" i="64"/>
  <c r="J151" i="64"/>
  <c r="I151" i="64"/>
  <c r="H151" i="64"/>
  <c r="L150" i="64"/>
  <c r="K150" i="64"/>
  <c r="J150" i="64"/>
  <c r="I150" i="64"/>
  <c r="H150" i="64"/>
  <c r="L149" i="64"/>
  <c r="K149" i="64"/>
  <c r="J149" i="64"/>
  <c r="I149" i="64"/>
  <c r="H149" i="64"/>
  <c r="L148" i="64"/>
  <c r="K148" i="64"/>
  <c r="J148" i="64"/>
  <c r="I148" i="64"/>
  <c r="H148" i="64"/>
  <c r="L147" i="64"/>
  <c r="K147" i="64"/>
  <c r="J147" i="64"/>
  <c r="I147" i="64"/>
  <c r="H147" i="64"/>
  <c r="L146" i="64"/>
  <c r="K146" i="64"/>
  <c r="J146" i="64"/>
  <c r="I146" i="64"/>
  <c r="H146" i="64"/>
  <c r="L145" i="64"/>
  <c r="K145" i="64"/>
  <c r="J145" i="64"/>
  <c r="I145" i="64"/>
  <c r="H145" i="64"/>
  <c r="L144" i="64"/>
  <c r="K144" i="64"/>
  <c r="J144" i="64"/>
  <c r="I144" i="64"/>
  <c r="H144" i="64"/>
  <c r="L143" i="64"/>
  <c r="K143" i="64"/>
  <c r="J143" i="64"/>
  <c r="I143" i="64"/>
  <c r="H143" i="64"/>
  <c r="L142" i="64"/>
  <c r="K142" i="64"/>
  <c r="J142" i="64"/>
  <c r="I142" i="64"/>
  <c r="H142" i="64"/>
  <c r="L141" i="64"/>
  <c r="K141" i="64"/>
  <c r="J141" i="64"/>
  <c r="I141" i="64"/>
  <c r="H141" i="64"/>
  <c r="L140" i="64"/>
  <c r="K140" i="64"/>
  <c r="J140" i="64"/>
  <c r="I140" i="64"/>
  <c r="H140" i="64"/>
  <c r="L139" i="64"/>
  <c r="K139" i="64"/>
  <c r="J139" i="64"/>
  <c r="I139" i="64"/>
  <c r="H139" i="64"/>
  <c r="L138" i="64"/>
  <c r="K138" i="64"/>
  <c r="J138" i="64"/>
  <c r="I138" i="64"/>
  <c r="H138" i="64"/>
  <c r="L137" i="64"/>
  <c r="K137" i="64"/>
  <c r="J137" i="64"/>
  <c r="I137" i="64"/>
  <c r="H137" i="64"/>
  <c r="L136" i="64"/>
  <c r="K136" i="64"/>
  <c r="J136" i="64"/>
  <c r="I136" i="64"/>
  <c r="H136" i="64"/>
  <c r="L135" i="64"/>
  <c r="K135" i="64"/>
  <c r="J135" i="64"/>
  <c r="I135" i="64"/>
  <c r="H135" i="64"/>
  <c r="L134" i="64"/>
  <c r="K134" i="64"/>
  <c r="J134" i="64"/>
  <c r="I134" i="64"/>
  <c r="H134" i="64"/>
  <c r="L133" i="64"/>
  <c r="K133" i="64"/>
  <c r="J133" i="64"/>
  <c r="I133" i="64"/>
  <c r="H133" i="64"/>
  <c r="L132" i="64"/>
  <c r="K132" i="64"/>
  <c r="J132" i="64"/>
  <c r="I132" i="64"/>
  <c r="H132" i="64"/>
  <c r="L131" i="64"/>
  <c r="K131" i="64"/>
  <c r="J131" i="64"/>
  <c r="I131" i="64"/>
  <c r="H131" i="64"/>
  <c r="L130" i="64"/>
  <c r="K130" i="64"/>
  <c r="J130" i="64"/>
  <c r="I130" i="64"/>
  <c r="H130" i="64"/>
  <c r="L129" i="64"/>
  <c r="K129" i="64"/>
  <c r="J129" i="64"/>
  <c r="I129" i="64"/>
  <c r="H129" i="64"/>
  <c r="L128" i="64"/>
  <c r="K128" i="64"/>
  <c r="J128" i="64"/>
  <c r="I128" i="64"/>
  <c r="H128" i="64"/>
  <c r="L127" i="64"/>
  <c r="K127" i="64"/>
  <c r="J127" i="64"/>
  <c r="I127" i="64"/>
  <c r="H127" i="64"/>
  <c r="L126" i="64"/>
  <c r="K126" i="64"/>
  <c r="J126" i="64"/>
  <c r="I126" i="64"/>
  <c r="H126" i="64"/>
  <c r="L125" i="64"/>
  <c r="K125" i="64"/>
  <c r="J125" i="64"/>
  <c r="I125" i="64"/>
  <c r="H125" i="64"/>
  <c r="L124" i="64"/>
  <c r="K124" i="64"/>
  <c r="J124" i="64"/>
  <c r="I124" i="64"/>
  <c r="H124" i="64"/>
  <c r="L123" i="64"/>
  <c r="K123" i="64"/>
  <c r="J123" i="64"/>
  <c r="I123" i="64"/>
  <c r="H123" i="64"/>
  <c r="L122" i="64"/>
  <c r="K122" i="64"/>
  <c r="J122" i="64"/>
  <c r="I122" i="64"/>
  <c r="H122" i="64"/>
  <c r="L121" i="64"/>
  <c r="K121" i="64"/>
  <c r="J121" i="64"/>
  <c r="I121" i="64"/>
  <c r="H121" i="64"/>
  <c r="L120" i="64"/>
  <c r="K120" i="64"/>
  <c r="J120" i="64"/>
  <c r="I120" i="64"/>
  <c r="H120" i="64"/>
  <c r="L119" i="64"/>
  <c r="K119" i="64"/>
  <c r="J119" i="64"/>
  <c r="I119" i="64"/>
  <c r="H119" i="64"/>
  <c r="L118" i="64"/>
  <c r="K118" i="64"/>
  <c r="J118" i="64"/>
  <c r="I118" i="64"/>
  <c r="H118" i="64"/>
  <c r="L117" i="64"/>
  <c r="K117" i="64"/>
  <c r="J117" i="64"/>
  <c r="I117" i="64"/>
  <c r="H117" i="64"/>
  <c r="L116" i="64"/>
  <c r="K116" i="64"/>
  <c r="J116" i="64"/>
  <c r="I116" i="64"/>
  <c r="H116" i="64"/>
  <c r="L115" i="64"/>
  <c r="K115" i="64"/>
  <c r="J115" i="64"/>
  <c r="I115" i="64"/>
  <c r="H115" i="64"/>
  <c r="L114" i="64"/>
  <c r="K114" i="64"/>
  <c r="J114" i="64"/>
  <c r="I114" i="64"/>
  <c r="L206" i="63"/>
  <c r="K206" i="63"/>
  <c r="J206" i="63"/>
  <c r="I206" i="63"/>
  <c r="H206" i="63"/>
  <c r="L205" i="63"/>
  <c r="K205" i="63"/>
  <c r="J205" i="63"/>
  <c r="I205" i="63"/>
  <c r="H205" i="63"/>
  <c r="L204" i="63"/>
  <c r="K204" i="63"/>
  <c r="J204" i="63"/>
  <c r="I204" i="63"/>
  <c r="H204" i="63"/>
  <c r="L203" i="63"/>
  <c r="K203" i="63"/>
  <c r="J203" i="63"/>
  <c r="I203" i="63"/>
  <c r="H203" i="63"/>
  <c r="L202" i="63"/>
  <c r="K202" i="63"/>
  <c r="J202" i="63"/>
  <c r="I202" i="63"/>
  <c r="H202" i="63"/>
  <c r="L201" i="63"/>
  <c r="K201" i="63"/>
  <c r="J201" i="63"/>
  <c r="I201" i="63"/>
  <c r="H201" i="63"/>
  <c r="L200" i="63"/>
  <c r="K200" i="63"/>
  <c r="J200" i="63"/>
  <c r="I200" i="63"/>
  <c r="H200" i="63"/>
  <c r="L199" i="63"/>
  <c r="K199" i="63"/>
  <c r="J199" i="63"/>
  <c r="I199" i="63"/>
  <c r="H199" i="63"/>
  <c r="L198" i="63"/>
  <c r="K198" i="63"/>
  <c r="J198" i="63"/>
  <c r="I198" i="63"/>
  <c r="H198" i="63"/>
  <c r="L197" i="63"/>
  <c r="K197" i="63"/>
  <c r="J197" i="63"/>
  <c r="I197" i="63"/>
  <c r="H197" i="63"/>
  <c r="L196" i="63"/>
  <c r="K196" i="63"/>
  <c r="J196" i="63"/>
  <c r="I196" i="63"/>
  <c r="H196" i="63"/>
  <c r="L195" i="63"/>
  <c r="K195" i="63"/>
  <c r="J195" i="63"/>
  <c r="I195" i="63"/>
  <c r="H195" i="63"/>
  <c r="L194" i="63"/>
  <c r="K194" i="63"/>
  <c r="J194" i="63"/>
  <c r="I194" i="63"/>
  <c r="H194" i="63"/>
  <c r="L193" i="63"/>
  <c r="K193" i="63"/>
  <c r="J193" i="63"/>
  <c r="I193" i="63"/>
  <c r="H193" i="63"/>
  <c r="L192" i="63"/>
  <c r="K192" i="63"/>
  <c r="J192" i="63"/>
  <c r="I192" i="63"/>
  <c r="H192" i="63"/>
  <c r="L191" i="63"/>
  <c r="K191" i="63"/>
  <c r="J191" i="63"/>
  <c r="I191" i="63"/>
  <c r="H191" i="63"/>
  <c r="L190" i="63"/>
  <c r="K190" i="63"/>
  <c r="J190" i="63"/>
  <c r="I190" i="63"/>
  <c r="H190" i="63"/>
  <c r="L189" i="63"/>
  <c r="K189" i="63"/>
  <c r="J189" i="63"/>
  <c r="I189" i="63"/>
  <c r="H189" i="63"/>
  <c r="L188" i="63"/>
  <c r="K188" i="63"/>
  <c r="J188" i="63"/>
  <c r="I188" i="63"/>
  <c r="H188" i="63"/>
  <c r="L187" i="63"/>
  <c r="K187" i="63"/>
  <c r="J187" i="63"/>
  <c r="I187" i="63"/>
  <c r="H187" i="63"/>
  <c r="L186" i="63"/>
  <c r="K186" i="63"/>
  <c r="J186" i="63"/>
  <c r="I186" i="63"/>
  <c r="H186" i="63"/>
  <c r="L185" i="63"/>
  <c r="K185" i="63"/>
  <c r="J185" i="63"/>
  <c r="I185" i="63"/>
  <c r="H185" i="63"/>
  <c r="L184" i="63"/>
  <c r="K184" i="63"/>
  <c r="J184" i="63"/>
  <c r="I184" i="63"/>
  <c r="H184" i="63"/>
  <c r="L183" i="63"/>
  <c r="K183" i="63"/>
  <c r="J183" i="63"/>
  <c r="I183" i="63"/>
  <c r="H183" i="63"/>
  <c r="L182" i="63"/>
  <c r="K182" i="63"/>
  <c r="J182" i="63"/>
  <c r="I182" i="63"/>
  <c r="H182" i="63"/>
  <c r="L181" i="63"/>
  <c r="K181" i="63"/>
  <c r="J181" i="63"/>
  <c r="I181" i="63"/>
  <c r="H181" i="63"/>
  <c r="L180" i="63"/>
  <c r="K180" i="63"/>
  <c r="J180" i="63"/>
  <c r="I180" i="63"/>
  <c r="H180" i="63"/>
  <c r="L179" i="63"/>
  <c r="K179" i="63"/>
  <c r="J179" i="63"/>
  <c r="I179" i="63"/>
  <c r="H179" i="63"/>
  <c r="L178" i="63"/>
  <c r="K178" i="63"/>
  <c r="J178" i="63"/>
  <c r="I178" i="63"/>
  <c r="H178" i="63"/>
  <c r="L177" i="63"/>
  <c r="K177" i="63"/>
  <c r="J177" i="63"/>
  <c r="I177" i="63"/>
  <c r="H177" i="63"/>
  <c r="L176" i="63"/>
  <c r="K176" i="63"/>
  <c r="J176" i="63"/>
  <c r="I176" i="63"/>
  <c r="H176" i="63"/>
  <c r="L175" i="63"/>
  <c r="K175" i="63"/>
  <c r="J175" i="63"/>
  <c r="I175" i="63"/>
  <c r="H175" i="63"/>
  <c r="L174" i="63"/>
  <c r="K174" i="63"/>
  <c r="J174" i="63"/>
  <c r="I174" i="63"/>
  <c r="H174" i="63"/>
  <c r="L173" i="63"/>
  <c r="K173" i="63"/>
  <c r="J173" i="63"/>
  <c r="I173" i="63"/>
  <c r="H173" i="63"/>
  <c r="L172" i="63"/>
  <c r="K172" i="63"/>
  <c r="J172" i="63"/>
  <c r="I172" i="63"/>
  <c r="H172" i="63"/>
  <c r="L171" i="63"/>
  <c r="K171" i="63"/>
  <c r="J171" i="63"/>
  <c r="I171" i="63"/>
  <c r="H171" i="63"/>
  <c r="L170" i="63"/>
  <c r="K170" i="63"/>
  <c r="J170" i="63"/>
  <c r="I170" i="63"/>
  <c r="H170" i="63"/>
  <c r="L169" i="63"/>
  <c r="K169" i="63"/>
  <c r="J169" i="63"/>
  <c r="I169" i="63"/>
  <c r="H169" i="63"/>
  <c r="L168" i="63"/>
  <c r="K168" i="63"/>
  <c r="J168" i="63"/>
  <c r="I168" i="63"/>
  <c r="H168" i="63"/>
  <c r="L167" i="63"/>
  <c r="K167" i="63"/>
  <c r="J167" i="63"/>
  <c r="I167" i="63"/>
  <c r="H167" i="63"/>
  <c r="L166" i="63"/>
  <c r="K166" i="63"/>
  <c r="J166" i="63"/>
  <c r="I166" i="63"/>
  <c r="H166" i="63"/>
  <c r="L165" i="63"/>
  <c r="K165" i="63"/>
  <c r="J165" i="63"/>
  <c r="I165" i="63"/>
  <c r="H165" i="63"/>
  <c r="L164" i="63"/>
  <c r="K164" i="63"/>
  <c r="J164" i="63"/>
  <c r="I164" i="63"/>
  <c r="H164" i="63"/>
  <c r="L163" i="63"/>
  <c r="K163" i="63"/>
  <c r="J163" i="63"/>
  <c r="I163" i="63"/>
  <c r="H163" i="63"/>
  <c r="L162" i="63"/>
  <c r="K162" i="63"/>
  <c r="J162" i="63"/>
  <c r="I162" i="63"/>
  <c r="H162" i="63"/>
  <c r="L161" i="63"/>
  <c r="K161" i="63"/>
  <c r="J161" i="63"/>
  <c r="I161" i="63"/>
  <c r="H161" i="63"/>
  <c r="L160" i="63"/>
  <c r="K160" i="63"/>
  <c r="J160" i="63"/>
  <c r="I160" i="63"/>
  <c r="H160" i="63"/>
  <c r="L159" i="63"/>
  <c r="K159" i="63"/>
  <c r="J159" i="63"/>
  <c r="I159" i="63"/>
  <c r="H159" i="63"/>
  <c r="L158" i="63"/>
  <c r="K158" i="63"/>
  <c r="J158" i="63"/>
  <c r="I158" i="63"/>
  <c r="H158" i="63"/>
  <c r="L157" i="63"/>
  <c r="K157" i="63"/>
  <c r="J157" i="63"/>
  <c r="I157" i="63"/>
  <c r="H157" i="63"/>
  <c r="L156" i="63"/>
  <c r="K156" i="63"/>
  <c r="J156" i="63"/>
  <c r="I156" i="63"/>
  <c r="H156" i="63"/>
  <c r="L155" i="63"/>
  <c r="K155" i="63"/>
  <c r="J155" i="63"/>
  <c r="I155" i="63"/>
  <c r="H155" i="63"/>
  <c r="L154" i="63"/>
  <c r="K154" i="63"/>
  <c r="J154" i="63"/>
  <c r="I154" i="63"/>
  <c r="H154" i="63"/>
  <c r="L153" i="63"/>
  <c r="K153" i="63"/>
  <c r="J153" i="63"/>
  <c r="I153" i="63"/>
  <c r="H153" i="63"/>
  <c r="L152" i="63"/>
  <c r="K152" i="63"/>
  <c r="J152" i="63"/>
  <c r="I152" i="63"/>
  <c r="H152" i="63"/>
  <c r="L151" i="63"/>
  <c r="K151" i="63"/>
  <c r="J151" i="63"/>
  <c r="I151" i="63"/>
  <c r="H151" i="63"/>
  <c r="L150" i="63"/>
  <c r="K150" i="63"/>
  <c r="J150" i="63"/>
  <c r="I150" i="63"/>
  <c r="H150" i="63"/>
  <c r="L149" i="63"/>
  <c r="K149" i="63"/>
  <c r="J149" i="63"/>
  <c r="I149" i="63"/>
  <c r="H149" i="63"/>
  <c r="L148" i="63"/>
  <c r="K148" i="63"/>
  <c r="J148" i="63"/>
  <c r="I148" i="63"/>
  <c r="H148" i="63"/>
  <c r="L147" i="63"/>
  <c r="K147" i="63"/>
  <c r="J147" i="63"/>
  <c r="I147" i="63"/>
  <c r="H147" i="63"/>
  <c r="L146" i="63"/>
  <c r="K146" i="63"/>
  <c r="J146" i="63"/>
  <c r="I146" i="63"/>
  <c r="H146" i="63"/>
  <c r="L145" i="63"/>
  <c r="K145" i="63"/>
  <c r="J145" i="63"/>
  <c r="I145" i="63"/>
  <c r="H145" i="63"/>
  <c r="L144" i="63"/>
  <c r="K144" i="63"/>
  <c r="J144" i="63"/>
  <c r="I144" i="63"/>
  <c r="H144" i="63"/>
  <c r="L143" i="63"/>
  <c r="K143" i="63"/>
  <c r="J143" i="63"/>
  <c r="I143" i="63"/>
  <c r="H143" i="63"/>
  <c r="L142" i="63"/>
  <c r="K142" i="63"/>
  <c r="J142" i="63"/>
  <c r="I142" i="63"/>
  <c r="H142" i="63"/>
  <c r="L141" i="63"/>
  <c r="K141" i="63"/>
  <c r="J141" i="63"/>
  <c r="I141" i="63"/>
  <c r="H141" i="63"/>
  <c r="L140" i="63"/>
  <c r="K140" i="63"/>
  <c r="J140" i="63"/>
  <c r="I140" i="63"/>
  <c r="H140" i="63"/>
  <c r="L139" i="63"/>
  <c r="K139" i="63"/>
  <c r="J139" i="63"/>
  <c r="I139" i="63"/>
  <c r="H139" i="63"/>
  <c r="L138" i="63"/>
  <c r="K138" i="63"/>
  <c r="J138" i="63"/>
  <c r="I138" i="63"/>
  <c r="H138" i="63"/>
  <c r="L137" i="63"/>
  <c r="K137" i="63"/>
  <c r="J137" i="63"/>
  <c r="I137" i="63"/>
  <c r="H137" i="63"/>
  <c r="L136" i="63"/>
  <c r="K136" i="63"/>
  <c r="J136" i="63"/>
  <c r="I136" i="63"/>
  <c r="H136" i="63"/>
  <c r="L135" i="63"/>
  <c r="K135" i="63"/>
  <c r="J135" i="63"/>
  <c r="I135" i="63"/>
  <c r="H135" i="63"/>
  <c r="L134" i="63"/>
  <c r="K134" i="63"/>
  <c r="J134" i="63"/>
  <c r="I134" i="63"/>
  <c r="H134" i="63"/>
  <c r="L133" i="63"/>
  <c r="K133" i="63"/>
  <c r="J133" i="63"/>
  <c r="I133" i="63"/>
  <c r="H133" i="63"/>
  <c r="L132" i="63"/>
  <c r="K132" i="63"/>
  <c r="J132" i="63"/>
  <c r="I132" i="63"/>
  <c r="H132" i="63"/>
  <c r="L131" i="63"/>
  <c r="K131" i="63"/>
  <c r="J131" i="63"/>
  <c r="I131" i="63"/>
  <c r="H131" i="63"/>
  <c r="L130" i="63"/>
  <c r="K130" i="63"/>
  <c r="J130" i="63"/>
  <c r="I130" i="63"/>
  <c r="H130" i="63"/>
  <c r="L129" i="63"/>
  <c r="K129" i="63"/>
  <c r="J129" i="63"/>
  <c r="I129" i="63"/>
  <c r="H129" i="63"/>
  <c r="L128" i="63"/>
  <c r="K128" i="63"/>
  <c r="J128" i="63"/>
  <c r="I128" i="63"/>
  <c r="H128" i="63"/>
  <c r="L127" i="63"/>
  <c r="K127" i="63"/>
  <c r="J127" i="63"/>
  <c r="I127" i="63"/>
  <c r="H127" i="63"/>
  <c r="L126" i="63"/>
  <c r="K126" i="63"/>
  <c r="J126" i="63"/>
  <c r="I126" i="63"/>
  <c r="H126" i="63"/>
  <c r="L125" i="63"/>
  <c r="K125" i="63"/>
  <c r="J125" i="63"/>
  <c r="I125" i="63"/>
  <c r="H125" i="63"/>
  <c r="L124" i="63"/>
  <c r="K124" i="63"/>
  <c r="J124" i="63"/>
  <c r="I124" i="63"/>
  <c r="H124" i="63"/>
  <c r="L123" i="63"/>
  <c r="K123" i="63"/>
  <c r="J123" i="63"/>
  <c r="I123" i="63"/>
  <c r="H123" i="63"/>
  <c r="L122" i="63"/>
  <c r="K122" i="63"/>
  <c r="J122" i="63"/>
  <c r="I122" i="63"/>
  <c r="H122" i="63"/>
  <c r="L121" i="63"/>
  <c r="K121" i="63"/>
  <c r="J121" i="63"/>
  <c r="I121" i="63"/>
  <c r="H121" i="63"/>
  <c r="L120" i="63"/>
  <c r="K120" i="63"/>
  <c r="J120" i="63"/>
  <c r="I120" i="63"/>
  <c r="H120" i="63"/>
  <c r="L119" i="63"/>
  <c r="K119" i="63"/>
  <c r="J119" i="63"/>
  <c r="I119" i="63"/>
  <c r="H119" i="63"/>
  <c r="L118" i="63"/>
  <c r="K118" i="63"/>
  <c r="J118" i="63"/>
  <c r="I118" i="63"/>
  <c r="H118" i="63"/>
  <c r="L117" i="63"/>
  <c r="K117" i="63"/>
  <c r="J117" i="63"/>
  <c r="I117" i="63"/>
  <c r="H117" i="63"/>
  <c r="L116" i="63"/>
  <c r="K116" i="63"/>
  <c r="J116" i="63"/>
  <c r="I116" i="63"/>
  <c r="H116" i="63"/>
  <c r="L115" i="63"/>
  <c r="K115" i="63"/>
  <c r="J115" i="63"/>
  <c r="I115" i="63"/>
  <c r="H115" i="63"/>
  <c r="L114" i="63"/>
  <c r="K114" i="63"/>
  <c r="J114" i="63"/>
  <c r="I114" i="63"/>
  <c r="L206" i="62"/>
  <c r="K206" i="62"/>
  <c r="J206" i="62"/>
  <c r="I206" i="62"/>
  <c r="H206" i="62"/>
  <c r="L205" i="62"/>
  <c r="K205" i="62"/>
  <c r="J205" i="62"/>
  <c r="I205" i="62"/>
  <c r="H205" i="62"/>
  <c r="L204" i="62"/>
  <c r="K204" i="62"/>
  <c r="J204" i="62"/>
  <c r="I204" i="62"/>
  <c r="H204" i="62"/>
  <c r="L203" i="62"/>
  <c r="K203" i="62"/>
  <c r="J203" i="62"/>
  <c r="I203" i="62"/>
  <c r="H203" i="62"/>
  <c r="L202" i="62"/>
  <c r="K202" i="62"/>
  <c r="J202" i="62"/>
  <c r="I202" i="62"/>
  <c r="H202" i="62"/>
  <c r="L201" i="62"/>
  <c r="K201" i="62"/>
  <c r="J201" i="62"/>
  <c r="I201" i="62"/>
  <c r="H201" i="62"/>
  <c r="L200" i="62"/>
  <c r="K200" i="62"/>
  <c r="J200" i="62"/>
  <c r="I200" i="62"/>
  <c r="H200" i="62"/>
  <c r="L199" i="62"/>
  <c r="K199" i="62"/>
  <c r="J199" i="62"/>
  <c r="I199" i="62"/>
  <c r="H199" i="62"/>
  <c r="L198" i="62"/>
  <c r="K198" i="62"/>
  <c r="J198" i="62"/>
  <c r="I198" i="62"/>
  <c r="H198" i="62"/>
  <c r="L197" i="62"/>
  <c r="K197" i="62"/>
  <c r="J197" i="62"/>
  <c r="I197" i="62"/>
  <c r="H197" i="62"/>
  <c r="L196" i="62"/>
  <c r="K196" i="62"/>
  <c r="J196" i="62"/>
  <c r="I196" i="62"/>
  <c r="H196" i="62"/>
  <c r="L195" i="62"/>
  <c r="K195" i="62"/>
  <c r="J195" i="62"/>
  <c r="I195" i="62"/>
  <c r="H195" i="62"/>
  <c r="L194" i="62"/>
  <c r="K194" i="62"/>
  <c r="J194" i="62"/>
  <c r="I194" i="62"/>
  <c r="H194" i="62"/>
  <c r="L193" i="62"/>
  <c r="K193" i="62"/>
  <c r="J193" i="62"/>
  <c r="I193" i="62"/>
  <c r="H193" i="62"/>
  <c r="L192" i="62"/>
  <c r="K192" i="62"/>
  <c r="J192" i="62"/>
  <c r="I192" i="62"/>
  <c r="H192" i="62"/>
  <c r="L191" i="62"/>
  <c r="K191" i="62"/>
  <c r="J191" i="62"/>
  <c r="I191" i="62"/>
  <c r="H191" i="62"/>
  <c r="L190" i="62"/>
  <c r="K190" i="62"/>
  <c r="J190" i="62"/>
  <c r="I190" i="62"/>
  <c r="H190" i="62"/>
  <c r="L189" i="62"/>
  <c r="K189" i="62"/>
  <c r="J189" i="62"/>
  <c r="I189" i="62"/>
  <c r="H189" i="62"/>
  <c r="L188" i="62"/>
  <c r="K188" i="62"/>
  <c r="J188" i="62"/>
  <c r="I188" i="62"/>
  <c r="H188" i="62"/>
  <c r="L187" i="62"/>
  <c r="K187" i="62"/>
  <c r="J187" i="62"/>
  <c r="I187" i="62"/>
  <c r="H187" i="62"/>
  <c r="L186" i="62"/>
  <c r="K186" i="62"/>
  <c r="J186" i="62"/>
  <c r="I186" i="62"/>
  <c r="H186" i="62"/>
  <c r="L185" i="62"/>
  <c r="K185" i="62"/>
  <c r="J185" i="62"/>
  <c r="I185" i="62"/>
  <c r="H185" i="62"/>
  <c r="L184" i="62"/>
  <c r="K184" i="62"/>
  <c r="J184" i="62"/>
  <c r="I184" i="62"/>
  <c r="H184" i="62"/>
  <c r="L183" i="62"/>
  <c r="K183" i="62"/>
  <c r="J183" i="62"/>
  <c r="I183" i="62"/>
  <c r="H183" i="62"/>
  <c r="L182" i="62"/>
  <c r="K182" i="62"/>
  <c r="J182" i="62"/>
  <c r="I182" i="62"/>
  <c r="H182" i="62"/>
  <c r="L181" i="62"/>
  <c r="K181" i="62"/>
  <c r="J181" i="62"/>
  <c r="I181" i="62"/>
  <c r="H181" i="62"/>
  <c r="L180" i="62"/>
  <c r="K180" i="62"/>
  <c r="J180" i="62"/>
  <c r="I180" i="62"/>
  <c r="H180" i="62"/>
  <c r="L179" i="62"/>
  <c r="K179" i="62"/>
  <c r="J179" i="62"/>
  <c r="I179" i="62"/>
  <c r="H179" i="62"/>
  <c r="L178" i="62"/>
  <c r="K178" i="62"/>
  <c r="J178" i="62"/>
  <c r="I178" i="62"/>
  <c r="H178" i="62"/>
  <c r="L177" i="62"/>
  <c r="K177" i="62"/>
  <c r="J177" i="62"/>
  <c r="I177" i="62"/>
  <c r="H177" i="62"/>
  <c r="L176" i="62"/>
  <c r="K176" i="62"/>
  <c r="J176" i="62"/>
  <c r="I176" i="62"/>
  <c r="H176" i="62"/>
  <c r="L175" i="62"/>
  <c r="K175" i="62"/>
  <c r="J175" i="62"/>
  <c r="I175" i="62"/>
  <c r="H175" i="62"/>
  <c r="L174" i="62"/>
  <c r="K174" i="62"/>
  <c r="J174" i="62"/>
  <c r="I174" i="62"/>
  <c r="H174" i="62"/>
  <c r="L173" i="62"/>
  <c r="K173" i="62"/>
  <c r="J173" i="62"/>
  <c r="I173" i="62"/>
  <c r="H173" i="62"/>
  <c r="L172" i="62"/>
  <c r="K172" i="62"/>
  <c r="J172" i="62"/>
  <c r="I172" i="62"/>
  <c r="H172" i="62"/>
  <c r="L171" i="62"/>
  <c r="K171" i="62"/>
  <c r="J171" i="62"/>
  <c r="I171" i="62"/>
  <c r="H171" i="62"/>
  <c r="L170" i="62"/>
  <c r="K170" i="62"/>
  <c r="J170" i="62"/>
  <c r="I170" i="62"/>
  <c r="H170" i="62"/>
  <c r="L169" i="62"/>
  <c r="K169" i="62"/>
  <c r="J169" i="62"/>
  <c r="I169" i="62"/>
  <c r="H169" i="62"/>
  <c r="L168" i="62"/>
  <c r="K168" i="62"/>
  <c r="J168" i="62"/>
  <c r="I168" i="62"/>
  <c r="H168" i="62"/>
  <c r="L167" i="62"/>
  <c r="K167" i="62"/>
  <c r="J167" i="62"/>
  <c r="I167" i="62"/>
  <c r="H167" i="62"/>
  <c r="L166" i="62"/>
  <c r="K166" i="62"/>
  <c r="J166" i="62"/>
  <c r="I166" i="62"/>
  <c r="H166" i="62"/>
  <c r="L165" i="62"/>
  <c r="K165" i="62"/>
  <c r="J165" i="62"/>
  <c r="I165" i="62"/>
  <c r="H165" i="62"/>
  <c r="L164" i="62"/>
  <c r="K164" i="62"/>
  <c r="J164" i="62"/>
  <c r="I164" i="62"/>
  <c r="H164" i="62"/>
  <c r="L163" i="62"/>
  <c r="K163" i="62"/>
  <c r="J163" i="62"/>
  <c r="I163" i="62"/>
  <c r="H163" i="62"/>
  <c r="L162" i="62"/>
  <c r="K162" i="62"/>
  <c r="J162" i="62"/>
  <c r="I162" i="62"/>
  <c r="H162" i="62"/>
  <c r="L161" i="62"/>
  <c r="K161" i="62"/>
  <c r="J161" i="62"/>
  <c r="I161" i="62"/>
  <c r="H161" i="62"/>
  <c r="L160" i="62"/>
  <c r="K160" i="62"/>
  <c r="J160" i="62"/>
  <c r="I160" i="62"/>
  <c r="H160" i="62"/>
  <c r="L159" i="62"/>
  <c r="K159" i="62"/>
  <c r="J159" i="62"/>
  <c r="I159" i="62"/>
  <c r="H159" i="62"/>
  <c r="L158" i="62"/>
  <c r="K158" i="62"/>
  <c r="J158" i="62"/>
  <c r="I158" i="62"/>
  <c r="H158" i="62"/>
  <c r="L157" i="62"/>
  <c r="K157" i="62"/>
  <c r="J157" i="62"/>
  <c r="I157" i="62"/>
  <c r="H157" i="62"/>
  <c r="L156" i="62"/>
  <c r="K156" i="62"/>
  <c r="J156" i="62"/>
  <c r="I156" i="62"/>
  <c r="H156" i="62"/>
  <c r="L155" i="62"/>
  <c r="K155" i="62"/>
  <c r="J155" i="62"/>
  <c r="I155" i="62"/>
  <c r="H155" i="62"/>
  <c r="L154" i="62"/>
  <c r="K154" i="62"/>
  <c r="J154" i="62"/>
  <c r="I154" i="62"/>
  <c r="H154" i="62"/>
  <c r="L153" i="62"/>
  <c r="K153" i="62"/>
  <c r="J153" i="62"/>
  <c r="I153" i="62"/>
  <c r="H153" i="62"/>
  <c r="L152" i="62"/>
  <c r="K152" i="62"/>
  <c r="J152" i="62"/>
  <c r="I152" i="62"/>
  <c r="H152" i="62"/>
  <c r="L151" i="62"/>
  <c r="K151" i="62"/>
  <c r="J151" i="62"/>
  <c r="I151" i="62"/>
  <c r="H151" i="62"/>
  <c r="L150" i="62"/>
  <c r="K150" i="62"/>
  <c r="J150" i="62"/>
  <c r="I150" i="62"/>
  <c r="H150" i="62"/>
  <c r="L149" i="62"/>
  <c r="K149" i="62"/>
  <c r="J149" i="62"/>
  <c r="I149" i="62"/>
  <c r="H149" i="62"/>
  <c r="L148" i="62"/>
  <c r="K148" i="62"/>
  <c r="J148" i="62"/>
  <c r="I148" i="62"/>
  <c r="H148" i="62"/>
  <c r="L147" i="62"/>
  <c r="K147" i="62"/>
  <c r="J147" i="62"/>
  <c r="I147" i="62"/>
  <c r="H147" i="62"/>
  <c r="L146" i="62"/>
  <c r="K146" i="62"/>
  <c r="J146" i="62"/>
  <c r="I146" i="62"/>
  <c r="H146" i="62"/>
  <c r="L145" i="62"/>
  <c r="K145" i="62"/>
  <c r="J145" i="62"/>
  <c r="I145" i="62"/>
  <c r="H145" i="62"/>
  <c r="L144" i="62"/>
  <c r="K144" i="62"/>
  <c r="J144" i="62"/>
  <c r="I144" i="62"/>
  <c r="H144" i="62"/>
  <c r="L143" i="62"/>
  <c r="K143" i="62"/>
  <c r="J143" i="62"/>
  <c r="I143" i="62"/>
  <c r="H143" i="62"/>
  <c r="L142" i="62"/>
  <c r="K142" i="62"/>
  <c r="J142" i="62"/>
  <c r="I142" i="62"/>
  <c r="H142" i="62"/>
  <c r="L141" i="62"/>
  <c r="K141" i="62"/>
  <c r="J141" i="62"/>
  <c r="I141" i="62"/>
  <c r="H141" i="62"/>
  <c r="L140" i="62"/>
  <c r="K140" i="62"/>
  <c r="J140" i="62"/>
  <c r="I140" i="62"/>
  <c r="H140" i="62"/>
  <c r="L139" i="62"/>
  <c r="K139" i="62"/>
  <c r="J139" i="62"/>
  <c r="I139" i="62"/>
  <c r="H139" i="62"/>
  <c r="L138" i="62"/>
  <c r="K138" i="62"/>
  <c r="J138" i="62"/>
  <c r="I138" i="62"/>
  <c r="H138" i="62"/>
  <c r="L137" i="62"/>
  <c r="K137" i="62"/>
  <c r="J137" i="62"/>
  <c r="I137" i="62"/>
  <c r="H137" i="62"/>
  <c r="L136" i="62"/>
  <c r="K136" i="62"/>
  <c r="J136" i="62"/>
  <c r="I136" i="62"/>
  <c r="H136" i="62"/>
  <c r="L135" i="62"/>
  <c r="K135" i="62"/>
  <c r="J135" i="62"/>
  <c r="I135" i="62"/>
  <c r="H135" i="62"/>
  <c r="L134" i="62"/>
  <c r="K134" i="62"/>
  <c r="J134" i="62"/>
  <c r="I134" i="62"/>
  <c r="H134" i="62"/>
  <c r="L133" i="62"/>
  <c r="K133" i="62"/>
  <c r="J133" i="62"/>
  <c r="I133" i="62"/>
  <c r="H133" i="62"/>
  <c r="L132" i="62"/>
  <c r="K132" i="62"/>
  <c r="J132" i="62"/>
  <c r="I132" i="62"/>
  <c r="H132" i="62"/>
  <c r="L131" i="62"/>
  <c r="K131" i="62"/>
  <c r="J131" i="62"/>
  <c r="I131" i="62"/>
  <c r="H131" i="62"/>
  <c r="L130" i="62"/>
  <c r="K130" i="62"/>
  <c r="J130" i="62"/>
  <c r="I130" i="62"/>
  <c r="H130" i="62"/>
  <c r="L129" i="62"/>
  <c r="K129" i="62"/>
  <c r="J129" i="62"/>
  <c r="I129" i="62"/>
  <c r="H129" i="62"/>
  <c r="L128" i="62"/>
  <c r="K128" i="62"/>
  <c r="J128" i="62"/>
  <c r="I128" i="62"/>
  <c r="H128" i="62"/>
  <c r="L127" i="62"/>
  <c r="K127" i="62"/>
  <c r="J127" i="62"/>
  <c r="I127" i="62"/>
  <c r="H127" i="62"/>
  <c r="L126" i="62"/>
  <c r="K126" i="62"/>
  <c r="J126" i="62"/>
  <c r="I126" i="62"/>
  <c r="H126" i="62"/>
  <c r="L125" i="62"/>
  <c r="K125" i="62"/>
  <c r="J125" i="62"/>
  <c r="I125" i="62"/>
  <c r="H125" i="62"/>
  <c r="L124" i="62"/>
  <c r="K124" i="62"/>
  <c r="J124" i="62"/>
  <c r="I124" i="62"/>
  <c r="H124" i="62"/>
  <c r="L123" i="62"/>
  <c r="K123" i="62"/>
  <c r="J123" i="62"/>
  <c r="I123" i="62"/>
  <c r="H123" i="62"/>
  <c r="L122" i="62"/>
  <c r="K122" i="62"/>
  <c r="J122" i="62"/>
  <c r="I122" i="62"/>
  <c r="H122" i="62"/>
  <c r="L121" i="62"/>
  <c r="K121" i="62"/>
  <c r="J121" i="62"/>
  <c r="I121" i="62"/>
  <c r="H121" i="62"/>
  <c r="L120" i="62"/>
  <c r="K120" i="62"/>
  <c r="J120" i="62"/>
  <c r="I120" i="62"/>
  <c r="H120" i="62"/>
  <c r="L119" i="62"/>
  <c r="K119" i="62"/>
  <c r="J119" i="62"/>
  <c r="I119" i="62"/>
  <c r="H119" i="62"/>
  <c r="L118" i="62"/>
  <c r="K118" i="62"/>
  <c r="J118" i="62"/>
  <c r="I118" i="62"/>
  <c r="H118" i="62"/>
  <c r="L117" i="62"/>
  <c r="K117" i="62"/>
  <c r="J117" i="62"/>
  <c r="I117" i="62"/>
  <c r="H117" i="62"/>
  <c r="L116" i="62"/>
  <c r="K116" i="62"/>
  <c r="J116" i="62"/>
  <c r="I116" i="62"/>
  <c r="H116" i="62"/>
  <c r="L115" i="62"/>
  <c r="K115" i="62"/>
  <c r="J115" i="62"/>
  <c r="I115" i="62"/>
  <c r="H115" i="62"/>
  <c r="L114" i="62"/>
  <c r="K114" i="62"/>
  <c r="J114" i="62"/>
  <c r="I114" i="62"/>
  <c r="L206" i="61"/>
  <c r="K206" i="61"/>
  <c r="J206" i="61"/>
  <c r="I206" i="61"/>
  <c r="H206" i="61"/>
  <c r="L205" i="61"/>
  <c r="K205" i="61"/>
  <c r="J205" i="61"/>
  <c r="I205" i="61"/>
  <c r="H205" i="61"/>
  <c r="L204" i="61"/>
  <c r="K204" i="61"/>
  <c r="J204" i="61"/>
  <c r="I204" i="61"/>
  <c r="H204" i="61"/>
  <c r="L203" i="61"/>
  <c r="K203" i="61"/>
  <c r="J203" i="61"/>
  <c r="I203" i="61"/>
  <c r="H203" i="61"/>
  <c r="L202" i="61"/>
  <c r="K202" i="61"/>
  <c r="J202" i="61"/>
  <c r="I202" i="61"/>
  <c r="H202" i="61"/>
  <c r="L201" i="61"/>
  <c r="K201" i="61"/>
  <c r="J201" i="61"/>
  <c r="I201" i="61"/>
  <c r="H201" i="61"/>
  <c r="L200" i="61"/>
  <c r="K200" i="61"/>
  <c r="J200" i="61"/>
  <c r="I200" i="61"/>
  <c r="H200" i="61"/>
  <c r="L199" i="61"/>
  <c r="K199" i="61"/>
  <c r="J199" i="61"/>
  <c r="I199" i="61"/>
  <c r="H199" i="61"/>
  <c r="L198" i="61"/>
  <c r="K198" i="61"/>
  <c r="J198" i="61"/>
  <c r="I198" i="61"/>
  <c r="H198" i="61"/>
  <c r="L197" i="61"/>
  <c r="K197" i="61"/>
  <c r="J197" i="61"/>
  <c r="I197" i="61"/>
  <c r="H197" i="61"/>
  <c r="L196" i="61"/>
  <c r="K196" i="61"/>
  <c r="J196" i="61"/>
  <c r="I196" i="61"/>
  <c r="H196" i="61"/>
  <c r="L195" i="61"/>
  <c r="K195" i="61"/>
  <c r="J195" i="61"/>
  <c r="I195" i="61"/>
  <c r="H195" i="61"/>
  <c r="L194" i="61"/>
  <c r="K194" i="61"/>
  <c r="J194" i="61"/>
  <c r="I194" i="61"/>
  <c r="H194" i="61"/>
  <c r="L193" i="61"/>
  <c r="K193" i="61"/>
  <c r="J193" i="61"/>
  <c r="I193" i="61"/>
  <c r="H193" i="61"/>
  <c r="L192" i="61"/>
  <c r="K192" i="61"/>
  <c r="J192" i="61"/>
  <c r="I192" i="61"/>
  <c r="H192" i="61"/>
  <c r="L191" i="61"/>
  <c r="K191" i="61"/>
  <c r="J191" i="61"/>
  <c r="I191" i="61"/>
  <c r="H191" i="61"/>
  <c r="L190" i="61"/>
  <c r="K190" i="61"/>
  <c r="J190" i="61"/>
  <c r="I190" i="61"/>
  <c r="H190" i="61"/>
  <c r="L189" i="61"/>
  <c r="K189" i="61"/>
  <c r="J189" i="61"/>
  <c r="I189" i="61"/>
  <c r="H189" i="61"/>
  <c r="L188" i="61"/>
  <c r="K188" i="61"/>
  <c r="J188" i="61"/>
  <c r="I188" i="61"/>
  <c r="H188" i="61"/>
  <c r="L187" i="61"/>
  <c r="K187" i="61"/>
  <c r="J187" i="61"/>
  <c r="I187" i="61"/>
  <c r="H187" i="61"/>
  <c r="L186" i="61"/>
  <c r="K186" i="61"/>
  <c r="J186" i="61"/>
  <c r="I186" i="61"/>
  <c r="H186" i="61"/>
  <c r="L185" i="61"/>
  <c r="K185" i="61"/>
  <c r="J185" i="61"/>
  <c r="I185" i="61"/>
  <c r="H185" i="61"/>
  <c r="L184" i="61"/>
  <c r="K184" i="61"/>
  <c r="J184" i="61"/>
  <c r="I184" i="61"/>
  <c r="H184" i="61"/>
  <c r="L183" i="61"/>
  <c r="K183" i="61"/>
  <c r="J183" i="61"/>
  <c r="I183" i="61"/>
  <c r="H183" i="61"/>
  <c r="L182" i="61"/>
  <c r="K182" i="61"/>
  <c r="J182" i="61"/>
  <c r="I182" i="61"/>
  <c r="H182" i="61"/>
  <c r="L181" i="61"/>
  <c r="K181" i="61"/>
  <c r="J181" i="61"/>
  <c r="I181" i="61"/>
  <c r="H181" i="61"/>
  <c r="L180" i="61"/>
  <c r="K180" i="61"/>
  <c r="J180" i="61"/>
  <c r="I180" i="61"/>
  <c r="H180" i="61"/>
  <c r="L179" i="61"/>
  <c r="K179" i="61"/>
  <c r="J179" i="61"/>
  <c r="I179" i="61"/>
  <c r="H179" i="61"/>
  <c r="L178" i="61"/>
  <c r="K178" i="61"/>
  <c r="J178" i="61"/>
  <c r="I178" i="61"/>
  <c r="H178" i="61"/>
  <c r="L177" i="61"/>
  <c r="K177" i="61"/>
  <c r="J177" i="61"/>
  <c r="I177" i="61"/>
  <c r="H177" i="61"/>
  <c r="L176" i="61"/>
  <c r="K176" i="61"/>
  <c r="J176" i="61"/>
  <c r="I176" i="61"/>
  <c r="H176" i="61"/>
  <c r="L175" i="61"/>
  <c r="K175" i="61"/>
  <c r="J175" i="61"/>
  <c r="I175" i="61"/>
  <c r="H175" i="61"/>
  <c r="L174" i="61"/>
  <c r="K174" i="61"/>
  <c r="J174" i="61"/>
  <c r="I174" i="61"/>
  <c r="H174" i="61"/>
  <c r="L173" i="61"/>
  <c r="K173" i="61"/>
  <c r="J173" i="61"/>
  <c r="I173" i="61"/>
  <c r="H173" i="61"/>
  <c r="L172" i="61"/>
  <c r="K172" i="61"/>
  <c r="J172" i="61"/>
  <c r="I172" i="61"/>
  <c r="H172" i="61"/>
  <c r="L171" i="61"/>
  <c r="K171" i="61"/>
  <c r="J171" i="61"/>
  <c r="I171" i="61"/>
  <c r="H171" i="61"/>
  <c r="L170" i="61"/>
  <c r="K170" i="61"/>
  <c r="J170" i="61"/>
  <c r="I170" i="61"/>
  <c r="H170" i="61"/>
  <c r="L169" i="61"/>
  <c r="K169" i="61"/>
  <c r="J169" i="61"/>
  <c r="I169" i="61"/>
  <c r="H169" i="61"/>
  <c r="L168" i="61"/>
  <c r="K168" i="61"/>
  <c r="J168" i="61"/>
  <c r="I168" i="61"/>
  <c r="H168" i="61"/>
  <c r="L167" i="61"/>
  <c r="K167" i="61"/>
  <c r="J167" i="61"/>
  <c r="I167" i="61"/>
  <c r="H167" i="61"/>
  <c r="L166" i="61"/>
  <c r="K166" i="61"/>
  <c r="J166" i="61"/>
  <c r="I166" i="61"/>
  <c r="H166" i="61"/>
  <c r="L165" i="61"/>
  <c r="K165" i="61"/>
  <c r="J165" i="61"/>
  <c r="I165" i="61"/>
  <c r="H165" i="61"/>
  <c r="L164" i="61"/>
  <c r="K164" i="61"/>
  <c r="J164" i="61"/>
  <c r="I164" i="61"/>
  <c r="H164" i="61"/>
  <c r="L163" i="61"/>
  <c r="K163" i="61"/>
  <c r="J163" i="61"/>
  <c r="I163" i="61"/>
  <c r="H163" i="61"/>
  <c r="L162" i="61"/>
  <c r="K162" i="61"/>
  <c r="J162" i="61"/>
  <c r="I162" i="61"/>
  <c r="H162" i="61"/>
  <c r="L161" i="61"/>
  <c r="K161" i="61"/>
  <c r="J161" i="61"/>
  <c r="I161" i="61"/>
  <c r="H161" i="61"/>
  <c r="L160" i="61"/>
  <c r="K160" i="61"/>
  <c r="J160" i="61"/>
  <c r="I160" i="61"/>
  <c r="H160" i="61"/>
  <c r="L159" i="61"/>
  <c r="K159" i="61"/>
  <c r="J159" i="61"/>
  <c r="I159" i="61"/>
  <c r="H159" i="61"/>
  <c r="L158" i="61"/>
  <c r="K158" i="61"/>
  <c r="J158" i="61"/>
  <c r="I158" i="61"/>
  <c r="H158" i="61"/>
  <c r="L157" i="61"/>
  <c r="K157" i="61"/>
  <c r="J157" i="61"/>
  <c r="I157" i="61"/>
  <c r="H157" i="61"/>
  <c r="L156" i="61"/>
  <c r="K156" i="61"/>
  <c r="J156" i="61"/>
  <c r="I156" i="61"/>
  <c r="H156" i="61"/>
  <c r="L155" i="61"/>
  <c r="K155" i="61"/>
  <c r="J155" i="61"/>
  <c r="I155" i="61"/>
  <c r="H155" i="61"/>
  <c r="L154" i="61"/>
  <c r="K154" i="61"/>
  <c r="J154" i="61"/>
  <c r="I154" i="61"/>
  <c r="H154" i="61"/>
  <c r="L153" i="61"/>
  <c r="K153" i="61"/>
  <c r="J153" i="61"/>
  <c r="I153" i="61"/>
  <c r="H153" i="61"/>
  <c r="L152" i="61"/>
  <c r="K152" i="61"/>
  <c r="J152" i="61"/>
  <c r="I152" i="61"/>
  <c r="H152" i="61"/>
  <c r="L151" i="61"/>
  <c r="K151" i="61"/>
  <c r="J151" i="61"/>
  <c r="I151" i="61"/>
  <c r="H151" i="61"/>
  <c r="L150" i="61"/>
  <c r="K150" i="61"/>
  <c r="J150" i="61"/>
  <c r="I150" i="61"/>
  <c r="H150" i="61"/>
  <c r="L149" i="61"/>
  <c r="K149" i="61"/>
  <c r="J149" i="61"/>
  <c r="I149" i="61"/>
  <c r="H149" i="61"/>
  <c r="L148" i="61"/>
  <c r="K148" i="61"/>
  <c r="J148" i="61"/>
  <c r="I148" i="61"/>
  <c r="H148" i="61"/>
  <c r="L147" i="61"/>
  <c r="K147" i="61"/>
  <c r="J147" i="61"/>
  <c r="I147" i="61"/>
  <c r="H147" i="61"/>
  <c r="L146" i="61"/>
  <c r="K146" i="61"/>
  <c r="J146" i="61"/>
  <c r="I146" i="61"/>
  <c r="H146" i="61"/>
  <c r="L145" i="61"/>
  <c r="K145" i="61"/>
  <c r="J145" i="61"/>
  <c r="I145" i="61"/>
  <c r="H145" i="61"/>
  <c r="L144" i="61"/>
  <c r="K144" i="61"/>
  <c r="J144" i="61"/>
  <c r="I144" i="61"/>
  <c r="H144" i="61"/>
  <c r="L143" i="61"/>
  <c r="K143" i="61"/>
  <c r="J143" i="61"/>
  <c r="I143" i="61"/>
  <c r="H143" i="61"/>
  <c r="L142" i="61"/>
  <c r="K142" i="61"/>
  <c r="J142" i="61"/>
  <c r="I142" i="61"/>
  <c r="H142" i="61"/>
  <c r="L141" i="61"/>
  <c r="K141" i="61"/>
  <c r="J141" i="61"/>
  <c r="I141" i="61"/>
  <c r="H141" i="61"/>
  <c r="L140" i="61"/>
  <c r="K140" i="61"/>
  <c r="J140" i="61"/>
  <c r="I140" i="61"/>
  <c r="H140" i="61"/>
  <c r="L139" i="61"/>
  <c r="K139" i="61"/>
  <c r="J139" i="61"/>
  <c r="I139" i="61"/>
  <c r="H139" i="61"/>
  <c r="L138" i="61"/>
  <c r="K138" i="61"/>
  <c r="J138" i="61"/>
  <c r="I138" i="61"/>
  <c r="H138" i="61"/>
  <c r="L137" i="61"/>
  <c r="K137" i="61"/>
  <c r="J137" i="61"/>
  <c r="I137" i="61"/>
  <c r="H137" i="61"/>
  <c r="L136" i="61"/>
  <c r="K136" i="61"/>
  <c r="J136" i="61"/>
  <c r="I136" i="61"/>
  <c r="H136" i="61"/>
  <c r="L135" i="61"/>
  <c r="K135" i="61"/>
  <c r="J135" i="61"/>
  <c r="I135" i="61"/>
  <c r="H135" i="61"/>
  <c r="L134" i="61"/>
  <c r="K134" i="61"/>
  <c r="J134" i="61"/>
  <c r="I134" i="61"/>
  <c r="H134" i="61"/>
  <c r="L133" i="61"/>
  <c r="K133" i="61"/>
  <c r="J133" i="61"/>
  <c r="I133" i="61"/>
  <c r="H133" i="61"/>
  <c r="L132" i="61"/>
  <c r="K132" i="61"/>
  <c r="J132" i="61"/>
  <c r="I132" i="61"/>
  <c r="H132" i="61"/>
  <c r="L131" i="61"/>
  <c r="K131" i="61"/>
  <c r="J131" i="61"/>
  <c r="I131" i="61"/>
  <c r="H131" i="61"/>
  <c r="L130" i="61"/>
  <c r="K130" i="61"/>
  <c r="J130" i="61"/>
  <c r="I130" i="61"/>
  <c r="H130" i="61"/>
  <c r="L129" i="61"/>
  <c r="K129" i="61"/>
  <c r="J129" i="61"/>
  <c r="I129" i="61"/>
  <c r="H129" i="61"/>
  <c r="L128" i="61"/>
  <c r="K128" i="61"/>
  <c r="J128" i="61"/>
  <c r="I128" i="61"/>
  <c r="H128" i="61"/>
  <c r="L127" i="61"/>
  <c r="K127" i="61"/>
  <c r="J127" i="61"/>
  <c r="I127" i="61"/>
  <c r="H127" i="61"/>
  <c r="L126" i="61"/>
  <c r="K126" i="61"/>
  <c r="J126" i="61"/>
  <c r="I126" i="61"/>
  <c r="H126" i="61"/>
  <c r="L125" i="61"/>
  <c r="K125" i="61"/>
  <c r="J125" i="61"/>
  <c r="I125" i="61"/>
  <c r="H125" i="61"/>
  <c r="L124" i="61"/>
  <c r="K124" i="61"/>
  <c r="J124" i="61"/>
  <c r="I124" i="61"/>
  <c r="H124" i="61"/>
  <c r="L123" i="61"/>
  <c r="K123" i="61"/>
  <c r="J123" i="61"/>
  <c r="I123" i="61"/>
  <c r="H123" i="61"/>
  <c r="L122" i="61"/>
  <c r="K122" i="61"/>
  <c r="J122" i="61"/>
  <c r="I122" i="61"/>
  <c r="H122" i="61"/>
  <c r="L121" i="61"/>
  <c r="K121" i="61"/>
  <c r="J121" i="61"/>
  <c r="I121" i="61"/>
  <c r="H121" i="61"/>
  <c r="L120" i="61"/>
  <c r="K120" i="61"/>
  <c r="J120" i="61"/>
  <c r="I120" i="61"/>
  <c r="H120" i="61"/>
  <c r="L119" i="61"/>
  <c r="K119" i="61"/>
  <c r="J119" i="61"/>
  <c r="I119" i="61"/>
  <c r="H119" i="61"/>
  <c r="L118" i="61"/>
  <c r="K118" i="61"/>
  <c r="J118" i="61"/>
  <c r="I118" i="61"/>
  <c r="H118" i="61"/>
  <c r="L117" i="61"/>
  <c r="K117" i="61"/>
  <c r="J117" i="61"/>
  <c r="I117" i="61"/>
  <c r="H117" i="61"/>
  <c r="L116" i="61"/>
  <c r="K116" i="61"/>
  <c r="J116" i="61"/>
  <c r="I116" i="61"/>
  <c r="H116" i="61"/>
  <c r="L115" i="61"/>
  <c r="K115" i="61"/>
  <c r="J115" i="61"/>
  <c r="I115" i="61"/>
  <c r="H115" i="61"/>
  <c r="L114" i="61"/>
  <c r="K114" i="61"/>
  <c r="J114" i="61"/>
  <c r="I114" i="61"/>
  <c r="L206" i="60"/>
  <c r="K206" i="60"/>
  <c r="J206" i="60"/>
  <c r="I206" i="60"/>
  <c r="H206" i="60"/>
  <c r="L205" i="60"/>
  <c r="K205" i="60"/>
  <c r="J205" i="60"/>
  <c r="I205" i="60"/>
  <c r="H205" i="60"/>
  <c r="L204" i="60"/>
  <c r="K204" i="60"/>
  <c r="J204" i="60"/>
  <c r="I204" i="60"/>
  <c r="H204" i="60"/>
  <c r="L203" i="60"/>
  <c r="K203" i="60"/>
  <c r="J203" i="60"/>
  <c r="I203" i="60"/>
  <c r="H203" i="60"/>
  <c r="L202" i="60"/>
  <c r="K202" i="60"/>
  <c r="J202" i="60"/>
  <c r="I202" i="60"/>
  <c r="H202" i="60"/>
  <c r="L201" i="60"/>
  <c r="K201" i="60"/>
  <c r="J201" i="60"/>
  <c r="I201" i="60"/>
  <c r="H201" i="60"/>
  <c r="L200" i="60"/>
  <c r="K200" i="60"/>
  <c r="J200" i="60"/>
  <c r="I200" i="60"/>
  <c r="H200" i="60"/>
  <c r="L199" i="60"/>
  <c r="K199" i="60"/>
  <c r="J199" i="60"/>
  <c r="I199" i="60"/>
  <c r="H199" i="60"/>
  <c r="L198" i="60"/>
  <c r="K198" i="60"/>
  <c r="J198" i="60"/>
  <c r="I198" i="60"/>
  <c r="H198" i="60"/>
  <c r="L197" i="60"/>
  <c r="K197" i="60"/>
  <c r="J197" i="60"/>
  <c r="I197" i="60"/>
  <c r="H197" i="60"/>
  <c r="L196" i="60"/>
  <c r="K196" i="60"/>
  <c r="J196" i="60"/>
  <c r="I196" i="60"/>
  <c r="H196" i="60"/>
  <c r="L195" i="60"/>
  <c r="K195" i="60"/>
  <c r="J195" i="60"/>
  <c r="I195" i="60"/>
  <c r="H195" i="60"/>
  <c r="L194" i="60"/>
  <c r="K194" i="60"/>
  <c r="J194" i="60"/>
  <c r="I194" i="60"/>
  <c r="H194" i="60"/>
  <c r="L193" i="60"/>
  <c r="K193" i="60"/>
  <c r="J193" i="60"/>
  <c r="I193" i="60"/>
  <c r="H193" i="60"/>
  <c r="L192" i="60"/>
  <c r="K192" i="60"/>
  <c r="J192" i="60"/>
  <c r="I192" i="60"/>
  <c r="H192" i="60"/>
  <c r="L191" i="60"/>
  <c r="K191" i="60"/>
  <c r="J191" i="60"/>
  <c r="I191" i="60"/>
  <c r="H191" i="60"/>
  <c r="L190" i="60"/>
  <c r="K190" i="60"/>
  <c r="J190" i="60"/>
  <c r="I190" i="60"/>
  <c r="H190" i="60"/>
  <c r="L189" i="60"/>
  <c r="K189" i="60"/>
  <c r="J189" i="60"/>
  <c r="I189" i="60"/>
  <c r="H189" i="60"/>
  <c r="L188" i="60"/>
  <c r="K188" i="60"/>
  <c r="J188" i="60"/>
  <c r="I188" i="60"/>
  <c r="H188" i="60"/>
  <c r="L187" i="60"/>
  <c r="K187" i="60"/>
  <c r="J187" i="60"/>
  <c r="I187" i="60"/>
  <c r="H187" i="60"/>
  <c r="L186" i="60"/>
  <c r="K186" i="60"/>
  <c r="J186" i="60"/>
  <c r="I186" i="60"/>
  <c r="H186" i="60"/>
  <c r="L185" i="60"/>
  <c r="K185" i="60"/>
  <c r="J185" i="60"/>
  <c r="I185" i="60"/>
  <c r="H185" i="60"/>
  <c r="L184" i="60"/>
  <c r="K184" i="60"/>
  <c r="J184" i="60"/>
  <c r="I184" i="60"/>
  <c r="H184" i="60"/>
  <c r="L183" i="60"/>
  <c r="K183" i="60"/>
  <c r="J183" i="60"/>
  <c r="I183" i="60"/>
  <c r="H183" i="60"/>
  <c r="L182" i="60"/>
  <c r="K182" i="60"/>
  <c r="J182" i="60"/>
  <c r="I182" i="60"/>
  <c r="H182" i="60"/>
  <c r="L181" i="60"/>
  <c r="K181" i="60"/>
  <c r="J181" i="60"/>
  <c r="I181" i="60"/>
  <c r="H181" i="60"/>
  <c r="L180" i="60"/>
  <c r="K180" i="60"/>
  <c r="J180" i="60"/>
  <c r="I180" i="60"/>
  <c r="H180" i="60"/>
  <c r="L179" i="60"/>
  <c r="K179" i="60"/>
  <c r="J179" i="60"/>
  <c r="I179" i="60"/>
  <c r="H179" i="60"/>
  <c r="L178" i="60"/>
  <c r="K178" i="60"/>
  <c r="J178" i="60"/>
  <c r="I178" i="60"/>
  <c r="H178" i="60"/>
  <c r="L177" i="60"/>
  <c r="K177" i="60"/>
  <c r="J177" i="60"/>
  <c r="I177" i="60"/>
  <c r="H177" i="60"/>
  <c r="L176" i="60"/>
  <c r="K176" i="60"/>
  <c r="J176" i="60"/>
  <c r="I176" i="60"/>
  <c r="H176" i="60"/>
  <c r="L175" i="60"/>
  <c r="K175" i="60"/>
  <c r="J175" i="60"/>
  <c r="I175" i="60"/>
  <c r="H175" i="60"/>
  <c r="L174" i="60"/>
  <c r="K174" i="60"/>
  <c r="J174" i="60"/>
  <c r="I174" i="60"/>
  <c r="H174" i="60"/>
  <c r="L173" i="60"/>
  <c r="K173" i="60"/>
  <c r="J173" i="60"/>
  <c r="I173" i="60"/>
  <c r="H173" i="60"/>
  <c r="L172" i="60"/>
  <c r="K172" i="60"/>
  <c r="J172" i="60"/>
  <c r="I172" i="60"/>
  <c r="H172" i="60"/>
  <c r="L171" i="60"/>
  <c r="K171" i="60"/>
  <c r="J171" i="60"/>
  <c r="I171" i="60"/>
  <c r="H171" i="60"/>
  <c r="L170" i="60"/>
  <c r="K170" i="60"/>
  <c r="J170" i="60"/>
  <c r="I170" i="60"/>
  <c r="H170" i="60"/>
  <c r="L169" i="60"/>
  <c r="K169" i="60"/>
  <c r="J169" i="60"/>
  <c r="I169" i="60"/>
  <c r="H169" i="60"/>
  <c r="L168" i="60"/>
  <c r="K168" i="60"/>
  <c r="J168" i="60"/>
  <c r="I168" i="60"/>
  <c r="H168" i="60"/>
  <c r="L167" i="60"/>
  <c r="K167" i="60"/>
  <c r="J167" i="60"/>
  <c r="I167" i="60"/>
  <c r="H167" i="60"/>
  <c r="L166" i="60"/>
  <c r="K166" i="60"/>
  <c r="J166" i="60"/>
  <c r="I166" i="60"/>
  <c r="H166" i="60"/>
  <c r="L165" i="60"/>
  <c r="K165" i="60"/>
  <c r="J165" i="60"/>
  <c r="I165" i="60"/>
  <c r="H165" i="60"/>
  <c r="L164" i="60"/>
  <c r="K164" i="60"/>
  <c r="J164" i="60"/>
  <c r="I164" i="60"/>
  <c r="H164" i="60"/>
  <c r="L163" i="60"/>
  <c r="K163" i="60"/>
  <c r="J163" i="60"/>
  <c r="I163" i="60"/>
  <c r="H163" i="60"/>
  <c r="L162" i="60"/>
  <c r="K162" i="60"/>
  <c r="J162" i="60"/>
  <c r="I162" i="60"/>
  <c r="H162" i="60"/>
  <c r="L161" i="60"/>
  <c r="K161" i="60"/>
  <c r="J161" i="60"/>
  <c r="I161" i="60"/>
  <c r="H161" i="60"/>
  <c r="L160" i="60"/>
  <c r="K160" i="60"/>
  <c r="J160" i="60"/>
  <c r="I160" i="60"/>
  <c r="H160" i="60"/>
  <c r="L159" i="60"/>
  <c r="K159" i="60"/>
  <c r="J159" i="60"/>
  <c r="I159" i="60"/>
  <c r="H159" i="60"/>
  <c r="L158" i="60"/>
  <c r="K158" i="60"/>
  <c r="J158" i="60"/>
  <c r="I158" i="60"/>
  <c r="H158" i="60"/>
  <c r="L157" i="60"/>
  <c r="K157" i="60"/>
  <c r="J157" i="60"/>
  <c r="I157" i="60"/>
  <c r="H157" i="60"/>
  <c r="L156" i="60"/>
  <c r="K156" i="60"/>
  <c r="J156" i="60"/>
  <c r="I156" i="60"/>
  <c r="H156" i="60"/>
  <c r="L155" i="60"/>
  <c r="K155" i="60"/>
  <c r="J155" i="60"/>
  <c r="I155" i="60"/>
  <c r="H155" i="60"/>
  <c r="L154" i="60"/>
  <c r="K154" i="60"/>
  <c r="J154" i="60"/>
  <c r="I154" i="60"/>
  <c r="H154" i="60"/>
  <c r="L153" i="60"/>
  <c r="K153" i="60"/>
  <c r="J153" i="60"/>
  <c r="I153" i="60"/>
  <c r="H153" i="60"/>
  <c r="L152" i="60"/>
  <c r="K152" i="60"/>
  <c r="J152" i="60"/>
  <c r="I152" i="60"/>
  <c r="H152" i="60"/>
  <c r="L151" i="60"/>
  <c r="K151" i="60"/>
  <c r="J151" i="60"/>
  <c r="I151" i="60"/>
  <c r="H151" i="60"/>
  <c r="L150" i="60"/>
  <c r="K150" i="60"/>
  <c r="J150" i="60"/>
  <c r="I150" i="60"/>
  <c r="H150" i="60"/>
  <c r="L149" i="60"/>
  <c r="K149" i="60"/>
  <c r="J149" i="60"/>
  <c r="I149" i="60"/>
  <c r="H149" i="60"/>
  <c r="L148" i="60"/>
  <c r="K148" i="60"/>
  <c r="J148" i="60"/>
  <c r="I148" i="60"/>
  <c r="H148" i="60"/>
  <c r="L147" i="60"/>
  <c r="K147" i="60"/>
  <c r="J147" i="60"/>
  <c r="I147" i="60"/>
  <c r="H147" i="60"/>
  <c r="L146" i="60"/>
  <c r="K146" i="60"/>
  <c r="J146" i="60"/>
  <c r="I146" i="60"/>
  <c r="H146" i="60"/>
  <c r="L145" i="60"/>
  <c r="K145" i="60"/>
  <c r="J145" i="60"/>
  <c r="I145" i="60"/>
  <c r="H145" i="60"/>
  <c r="L144" i="60"/>
  <c r="K144" i="60"/>
  <c r="J144" i="60"/>
  <c r="I144" i="60"/>
  <c r="H144" i="60"/>
  <c r="L143" i="60"/>
  <c r="K143" i="60"/>
  <c r="J143" i="60"/>
  <c r="I143" i="60"/>
  <c r="H143" i="60"/>
  <c r="L142" i="60"/>
  <c r="K142" i="60"/>
  <c r="J142" i="60"/>
  <c r="I142" i="60"/>
  <c r="H142" i="60"/>
  <c r="L141" i="60"/>
  <c r="K141" i="60"/>
  <c r="J141" i="60"/>
  <c r="I141" i="60"/>
  <c r="H141" i="60"/>
  <c r="L140" i="60"/>
  <c r="K140" i="60"/>
  <c r="J140" i="60"/>
  <c r="I140" i="60"/>
  <c r="H140" i="60"/>
  <c r="L139" i="60"/>
  <c r="K139" i="60"/>
  <c r="J139" i="60"/>
  <c r="I139" i="60"/>
  <c r="H139" i="60"/>
  <c r="L138" i="60"/>
  <c r="K138" i="60"/>
  <c r="J138" i="60"/>
  <c r="I138" i="60"/>
  <c r="H138" i="60"/>
  <c r="L137" i="60"/>
  <c r="K137" i="60"/>
  <c r="J137" i="60"/>
  <c r="I137" i="60"/>
  <c r="H137" i="60"/>
  <c r="L136" i="60"/>
  <c r="K136" i="60"/>
  <c r="J136" i="60"/>
  <c r="I136" i="60"/>
  <c r="H136" i="60"/>
  <c r="L135" i="60"/>
  <c r="K135" i="60"/>
  <c r="J135" i="60"/>
  <c r="I135" i="60"/>
  <c r="H135" i="60"/>
  <c r="L134" i="60"/>
  <c r="K134" i="60"/>
  <c r="J134" i="60"/>
  <c r="I134" i="60"/>
  <c r="H134" i="60"/>
  <c r="L133" i="60"/>
  <c r="K133" i="60"/>
  <c r="J133" i="60"/>
  <c r="I133" i="60"/>
  <c r="H133" i="60"/>
  <c r="L132" i="60"/>
  <c r="K132" i="60"/>
  <c r="J132" i="60"/>
  <c r="I132" i="60"/>
  <c r="H132" i="60"/>
  <c r="L131" i="60"/>
  <c r="K131" i="60"/>
  <c r="J131" i="60"/>
  <c r="I131" i="60"/>
  <c r="H131" i="60"/>
  <c r="L130" i="60"/>
  <c r="K130" i="60"/>
  <c r="J130" i="60"/>
  <c r="I130" i="60"/>
  <c r="H130" i="60"/>
  <c r="L129" i="60"/>
  <c r="K129" i="60"/>
  <c r="J129" i="60"/>
  <c r="I129" i="60"/>
  <c r="H129" i="60"/>
  <c r="L128" i="60"/>
  <c r="K128" i="60"/>
  <c r="J128" i="60"/>
  <c r="I128" i="60"/>
  <c r="H128" i="60"/>
  <c r="L127" i="60"/>
  <c r="K127" i="60"/>
  <c r="J127" i="60"/>
  <c r="I127" i="60"/>
  <c r="H127" i="60"/>
  <c r="L126" i="60"/>
  <c r="K126" i="60"/>
  <c r="J126" i="60"/>
  <c r="I126" i="60"/>
  <c r="H126" i="60"/>
  <c r="L125" i="60"/>
  <c r="K125" i="60"/>
  <c r="J125" i="60"/>
  <c r="I125" i="60"/>
  <c r="H125" i="60"/>
  <c r="L124" i="60"/>
  <c r="K124" i="60"/>
  <c r="J124" i="60"/>
  <c r="I124" i="60"/>
  <c r="H124" i="60"/>
  <c r="L123" i="60"/>
  <c r="K123" i="60"/>
  <c r="J123" i="60"/>
  <c r="I123" i="60"/>
  <c r="H123" i="60"/>
  <c r="L122" i="60"/>
  <c r="K122" i="60"/>
  <c r="J122" i="60"/>
  <c r="I122" i="60"/>
  <c r="H122" i="60"/>
  <c r="L121" i="60"/>
  <c r="K121" i="60"/>
  <c r="J121" i="60"/>
  <c r="I121" i="60"/>
  <c r="H121" i="60"/>
  <c r="L120" i="60"/>
  <c r="K120" i="60"/>
  <c r="J120" i="60"/>
  <c r="I120" i="60"/>
  <c r="H120" i="60"/>
  <c r="L119" i="60"/>
  <c r="K119" i="60"/>
  <c r="J119" i="60"/>
  <c r="I119" i="60"/>
  <c r="H119" i="60"/>
  <c r="L118" i="60"/>
  <c r="K118" i="60"/>
  <c r="J118" i="60"/>
  <c r="I118" i="60"/>
  <c r="H118" i="60"/>
  <c r="L117" i="60"/>
  <c r="K117" i="60"/>
  <c r="J117" i="60"/>
  <c r="I117" i="60"/>
  <c r="H117" i="60"/>
  <c r="L116" i="60"/>
  <c r="K116" i="60"/>
  <c r="J116" i="60"/>
  <c r="I116" i="60"/>
  <c r="H116" i="60"/>
  <c r="L115" i="60"/>
  <c r="K115" i="60"/>
  <c r="J115" i="60"/>
  <c r="I115" i="60"/>
  <c r="H115" i="60"/>
  <c r="L114" i="60"/>
  <c r="K114" i="60"/>
  <c r="J114" i="60"/>
  <c r="I114" i="60"/>
  <c r="L206" i="59"/>
  <c r="K206" i="59"/>
  <c r="J206" i="59"/>
  <c r="I206" i="59"/>
  <c r="H206" i="59"/>
  <c r="L205" i="59"/>
  <c r="K205" i="59"/>
  <c r="J205" i="59"/>
  <c r="I205" i="59"/>
  <c r="H205" i="59"/>
  <c r="L204" i="59"/>
  <c r="K204" i="59"/>
  <c r="J204" i="59"/>
  <c r="I204" i="59"/>
  <c r="H204" i="59"/>
  <c r="L203" i="59"/>
  <c r="K203" i="59"/>
  <c r="J203" i="59"/>
  <c r="I203" i="59"/>
  <c r="H203" i="59"/>
  <c r="L202" i="59"/>
  <c r="K202" i="59"/>
  <c r="J202" i="59"/>
  <c r="I202" i="59"/>
  <c r="H202" i="59"/>
  <c r="L201" i="59"/>
  <c r="K201" i="59"/>
  <c r="J201" i="59"/>
  <c r="I201" i="59"/>
  <c r="H201" i="59"/>
  <c r="L200" i="59"/>
  <c r="K200" i="59"/>
  <c r="J200" i="59"/>
  <c r="I200" i="59"/>
  <c r="H200" i="59"/>
  <c r="L199" i="59"/>
  <c r="K199" i="59"/>
  <c r="J199" i="59"/>
  <c r="I199" i="59"/>
  <c r="H199" i="59"/>
  <c r="L198" i="59"/>
  <c r="K198" i="59"/>
  <c r="J198" i="59"/>
  <c r="I198" i="59"/>
  <c r="H198" i="59"/>
  <c r="L197" i="59"/>
  <c r="K197" i="59"/>
  <c r="J197" i="59"/>
  <c r="I197" i="59"/>
  <c r="H197" i="59"/>
  <c r="L196" i="59"/>
  <c r="K196" i="59"/>
  <c r="J196" i="59"/>
  <c r="I196" i="59"/>
  <c r="H196" i="59"/>
  <c r="L195" i="59"/>
  <c r="K195" i="59"/>
  <c r="J195" i="59"/>
  <c r="I195" i="59"/>
  <c r="H195" i="59"/>
  <c r="L194" i="59"/>
  <c r="K194" i="59"/>
  <c r="J194" i="59"/>
  <c r="I194" i="59"/>
  <c r="H194" i="59"/>
  <c r="L193" i="59"/>
  <c r="K193" i="59"/>
  <c r="J193" i="59"/>
  <c r="I193" i="59"/>
  <c r="H193" i="59"/>
  <c r="L192" i="59"/>
  <c r="K192" i="59"/>
  <c r="J192" i="59"/>
  <c r="I192" i="59"/>
  <c r="H192" i="59"/>
  <c r="L191" i="59"/>
  <c r="K191" i="59"/>
  <c r="J191" i="59"/>
  <c r="I191" i="59"/>
  <c r="H191" i="59"/>
  <c r="L190" i="59"/>
  <c r="K190" i="59"/>
  <c r="J190" i="59"/>
  <c r="I190" i="59"/>
  <c r="H190" i="59"/>
  <c r="L189" i="59"/>
  <c r="K189" i="59"/>
  <c r="J189" i="59"/>
  <c r="I189" i="59"/>
  <c r="H189" i="59"/>
  <c r="L188" i="59"/>
  <c r="K188" i="59"/>
  <c r="J188" i="59"/>
  <c r="I188" i="59"/>
  <c r="H188" i="59"/>
  <c r="L187" i="59"/>
  <c r="K187" i="59"/>
  <c r="J187" i="59"/>
  <c r="I187" i="59"/>
  <c r="H187" i="59"/>
  <c r="L186" i="59"/>
  <c r="K186" i="59"/>
  <c r="J186" i="59"/>
  <c r="I186" i="59"/>
  <c r="H186" i="59"/>
  <c r="L185" i="59"/>
  <c r="K185" i="59"/>
  <c r="J185" i="59"/>
  <c r="I185" i="59"/>
  <c r="H185" i="59"/>
  <c r="L184" i="59"/>
  <c r="K184" i="59"/>
  <c r="J184" i="59"/>
  <c r="I184" i="59"/>
  <c r="H184" i="59"/>
  <c r="L183" i="59"/>
  <c r="K183" i="59"/>
  <c r="J183" i="59"/>
  <c r="I183" i="59"/>
  <c r="H183" i="59"/>
  <c r="L182" i="59"/>
  <c r="K182" i="59"/>
  <c r="J182" i="59"/>
  <c r="I182" i="59"/>
  <c r="H182" i="59"/>
  <c r="L181" i="59"/>
  <c r="K181" i="59"/>
  <c r="J181" i="59"/>
  <c r="I181" i="59"/>
  <c r="H181" i="59"/>
  <c r="L180" i="59"/>
  <c r="K180" i="59"/>
  <c r="J180" i="59"/>
  <c r="I180" i="59"/>
  <c r="H180" i="59"/>
  <c r="L179" i="59"/>
  <c r="K179" i="59"/>
  <c r="J179" i="59"/>
  <c r="I179" i="59"/>
  <c r="H179" i="59"/>
  <c r="L178" i="59"/>
  <c r="K178" i="59"/>
  <c r="J178" i="59"/>
  <c r="I178" i="59"/>
  <c r="H178" i="59"/>
  <c r="L177" i="59"/>
  <c r="K177" i="59"/>
  <c r="J177" i="59"/>
  <c r="I177" i="59"/>
  <c r="H177" i="59"/>
  <c r="L176" i="59"/>
  <c r="K176" i="59"/>
  <c r="J176" i="59"/>
  <c r="I176" i="59"/>
  <c r="H176" i="59"/>
  <c r="L175" i="59"/>
  <c r="K175" i="59"/>
  <c r="J175" i="59"/>
  <c r="I175" i="59"/>
  <c r="H175" i="59"/>
  <c r="L174" i="59"/>
  <c r="K174" i="59"/>
  <c r="J174" i="59"/>
  <c r="I174" i="59"/>
  <c r="H174" i="59"/>
  <c r="L173" i="59"/>
  <c r="K173" i="59"/>
  <c r="J173" i="59"/>
  <c r="I173" i="59"/>
  <c r="H173" i="59"/>
  <c r="L172" i="59"/>
  <c r="K172" i="59"/>
  <c r="J172" i="59"/>
  <c r="I172" i="59"/>
  <c r="H172" i="59"/>
  <c r="L171" i="59"/>
  <c r="K171" i="59"/>
  <c r="J171" i="59"/>
  <c r="I171" i="59"/>
  <c r="H171" i="59"/>
  <c r="L170" i="59"/>
  <c r="K170" i="59"/>
  <c r="J170" i="59"/>
  <c r="I170" i="59"/>
  <c r="H170" i="59"/>
  <c r="L169" i="59"/>
  <c r="K169" i="59"/>
  <c r="J169" i="59"/>
  <c r="I169" i="59"/>
  <c r="H169" i="59"/>
  <c r="L168" i="59"/>
  <c r="K168" i="59"/>
  <c r="J168" i="59"/>
  <c r="I168" i="59"/>
  <c r="H168" i="59"/>
  <c r="L167" i="59"/>
  <c r="K167" i="59"/>
  <c r="J167" i="59"/>
  <c r="I167" i="59"/>
  <c r="H167" i="59"/>
  <c r="L166" i="59"/>
  <c r="K166" i="59"/>
  <c r="J166" i="59"/>
  <c r="I166" i="59"/>
  <c r="H166" i="59"/>
  <c r="L165" i="59"/>
  <c r="K165" i="59"/>
  <c r="J165" i="59"/>
  <c r="I165" i="59"/>
  <c r="H165" i="59"/>
  <c r="L164" i="59"/>
  <c r="K164" i="59"/>
  <c r="J164" i="59"/>
  <c r="I164" i="59"/>
  <c r="H164" i="59"/>
  <c r="L163" i="59"/>
  <c r="K163" i="59"/>
  <c r="J163" i="59"/>
  <c r="I163" i="59"/>
  <c r="H163" i="59"/>
  <c r="L162" i="59"/>
  <c r="K162" i="59"/>
  <c r="J162" i="59"/>
  <c r="I162" i="59"/>
  <c r="H162" i="59"/>
  <c r="L161" i="59"/>
  <c r="K161" i="59"/>
  <c r="J161" i="59"/>
  <c r="I161" i="59"/>
  <c r="H161" i="59"/>
  <c r="L160" i="59"/>
  <c r="K160" i="59"/>
  <c r="J160" i="59"/>
  <c r="I160" i="59"/>
  <c r="H160" i="59"/>
  <c r="L159" i="59"/>
  <c r="K159" i="59"/>
  <c r="J159" i="59"/>
  <c r="I159" i="59"/>
  <c r="H159" i="59"/>
  <c r="L158" i="59"/>
  <c r="K158" i="59"/>
  <c r="J158" i="59"/>
  <c r="I158" i="59"/>
  <c r="H158" i="59"/>
  <c r="L157" i="59"/>
  <c r="K157" i="59"/>
  <c r="J157" i="59"/>
  <c r="I157" i="59"/>
  <c r="H157" i="59"/>
  <c r="L156" i="59"/>
  <c r="K156" i="59"/>
  <c r="J156" i="59"/>
  <c r="I156" i="59"/>
  <c r="H156" i="59"/>
  <c r="L155" i="59"/>
  <c r="K155" i="59"/>
  <c r="J155" i="59"/>
  <c r="I155" i="59"/>
  <c r="H155" i="59"/>
  <c r="L154" i="59"/>
  <c r="K154" i="59"/>
  <c r="J154" i="59"/>
  <c r="I154" i="59"/>
  <c r="H154" i="59"/>
  <c r="L153" i="59"/>
  <c r="K153" i="59"/>
  <c r="J153" i="59"/>
  <c r="I153" i="59"/>
  <c r="H153" i="59"/>
  <c r="L152" i="59"/>
  <c r="K152" i="59"/>
  <c r="J152" i="59"/>
  <c r="I152" i="59"/>
  <c r="H152" i="59"/>
  <c r="L151" i="59"/>
  <c r="K151" i="59"/>
  <c r="J151" i="59"/>
  <c r="I151" i="59"/>
  <c r="H151" i="59"/>
  <c r="L150" i="59"/>
  <c r="K150" i="59"/>
  <c r="J150" i="59"/>
  <c r="I150" i="59"/>
  <c r="H150" i="59"/>
  <c r="L149" i="59"/>
  <c r="K149" i="59"/>
  <c r="J149" i="59"/>
  <c r="I149" i="59"/>
  <c r="H149" i="59"/>
  <c r="L148" i="59"/>
  <c r="K148" i="59"/>
  <c r="J148" i="59"/>
  <c r="I148" i="59"/>
  <c r="H148" i="59"/>
  <c r="L147" i="59"/>
  <c r="K147" i="59"/>
  <c r="J147" i="59"/>
  <c r="I147" i="59"/>
  <c r="H147" i="59"/>
  <c r="L146" i="59"/>
  <c r="K146" i="59"/>
  <c r="J146" i="59"/>
  <c r="I146" i="59"/>
  <c r="H146" i="59"/>
  <c r="L145" i="59"/>
  <c r="K145" i="59"/>
  <c r="J145" i="59"/>
  <c r="I145" i="59"/>
  <c r="H145" i="59"/>
  <c r="L144" i="59"/>
  <c r="K144" i="59"/>
  <c r="J144" i="59"/>
  <c r="I144" i="59"/>
  <c r="H144" i="59"/>
  <c r="L143" i="59"/>
  <c r="K143" i="59"/>
  <c r="J143" i="59"/>
  <c r="I143" i="59"/>
  <c r="H143" i="59"/>
  <c r="L142" i="59"/>
  <c r="K142" i="59"/>
  <c r="J142" i="59"/>
  <c r="I142" i="59"/>
  <c r="H142" i="59"/>
  <c r="L141" i="59"/>
  <c r="K141" i="59"/>
  <c r="J141" i="59"/>
  <c r="I141" i="59"/>
  <c r="H141" i="59"/>
  <c r="L140" i="59"/>
  <c r="K140" i="59"/>
  <c r="J140" i="59"/>
  <c r="I140" i="59"/>
  <c r="H140" i="59"/>
  <c r="L139" i="59"/>
  <c r="K139" i="59"/>
  <c r="J139" i="59"/>
  <c r="I139" i="59"/>
  <c r="H139" i="59"/>
  <c r="L138" i="59"/>
  <c r="K138" i="59"/>
  <c r="J138" i="59"/>
  <c r="I138" i="59"/>
  <c r="H138" i="59"/>
  <c r="L137" i="59"/>
  <c r="K137" i="59"/>
  <c r="J137" i="59"/>
  <c r="I137" i="59"/>
  <c r="H137" i="59"/>
  <c r="L136" i="59"/>
  <c r="K136" i="59"/>
  <c r="J136" i="59"/>
  <c r="I136" i="59"/>
  <c r="H136" i="59"/>
  <c r="L135" i="59"/>
  <c r="K135" i="59"/>
  <c r="J135" i="59"/>
  <c r="I135" i="59"/>
  <c r="H135" i="59"/>
  <c r="L134" i="59"/>
  <c r="K134" i="59"/>
  <c r="J134" i="59"/>
  <c r="I134" i="59"/>
  <c r="H134" i="59"/>
  <c r="L133" i="59"/>
  <c r="K133" i="59"/>
  <c r="J133" i="59"/>
  <c r="I133" i="59"/>
  <c r="H133" i="59"/>
  <c r="L132" i="59"/>
  <c r="K132" i="59"/>
  <c r="J132" i="59"/>
  <c r="I132" i="59"/>
  <c r="H132" i="59"/>
  <c r="L131" i="59"/>
  <c r="K131" i="59"/>
  <c r="J131" i="59"/>
  <c r="I131" i="59"/>
  <c r="H131" i="59"/>
  <c r="L130" i="59"/>
  <c r="K130" i="59"/>
  <c r="J130" i="59"/>
  <c r="I130" i="59"/>
  <c r="H130" i="59"/>
  <c r="L129" i="59"/>
  <c r="K129" i="59"/>
  <c r="J129" i="59"/>
  <c r="I129" i="59"/>
  <c r="H129" i="59"/>
  <c r="L128" i="59"/>
  <c r="K128" i="59"/>
  <c r="J128" i="59"/>
  <c r="I128" i="59"/>
  <c r="H128" i="59"/>
  <c r="L127" i="59"/>
  <c r="K127" i="59"/>
  <c r="J127" i="59"/>
  <c r="I127" i="59"/>
  <c r="H127" i="59"/>
  <c r="L126" i="59"/>
  <c r="K126" i="59"/>
  <c r="J126" i="59"/>
  <c r="I126" i="59"/>
  <c r="H126" i="59"/>
  <c r="L125" i="59"/>
  <c r="K125" i="59"/>
  <c r="J125" i="59"/>
  <c r="I125" i="59"/>
  <c r="H125" i="59"/>
  <c r="L124" i="59"/>
  <c r="K124" i="59"/>
  <c r="J124" i="59"/>
  <c r="I124" i="59"/>
  <c r="H124" i="59"/>
  <c r="L123" i="59"/>
  <c r="K123" i="59"/>
  <c r="J123" i="59"/>
  <c r="I123" i="59"/>
  <c r="H123" i="59"/>
  <c r="L122" i="59"/>
  <c r="K122" i="59"/>
  <c r="J122" i="59"/>
  <c r="I122" i="59"/>
  <c r="H122" i="59"/>
  <c r="L121" i="59"/>
  <c r="K121" i="59"/>
  <c r="J121" i="59"/>
  <c r="I121" i="59"/>
  <c r="H121" i="59"/>
  <c r="L120" i="59"/>
  <c r="K120" i="59"/>
  <c r="J120" i="59"/>
  <c r="I120" i="59"/>
  <c r="H120" i="59"/>
  <c r="L119" i="59"/>
  <c r="K119" i="59"/>
  <c r="J119" i="59"/>
  <c r="I119" i="59"/>
  <c r="H119" i="59"/>
  <c r="L118" i="59"/>
  <c r="K118" i="59"/>
  <c r="J118" i="59"/>
  <c r="I118" i="59"/>
  <c r="H118" i="59"/>
  <c r="L117" i="59"/>
  <c r="K117" i="59"/>
  <c r="J117" i="59"/>
  <c r="I117" i="59"/>
  <c r="H117" i="59"/>
  <c r="L116" i="59"/>
  <c r="K116" i="59"/>
  <c r="J116" i="59"/>
  <c r="I116" i="59"/>
  <c r="H116" i="59"/>
  <c r="L115" i="59"/>
  <c r="K115" i="59"/>
  <c r="J115" i="59"/>
  <c r="I115" i="59"/>
  <c r="H115" i="59"/>
  <c r="L114" i="59"/>
  <c r="K114" i="59"/>
  <c r="J114" i="59"/>
  <c r="I114" i="59"/>
  <c r="L206" i="58"/>
  <c r="K206" i="58"/>
  <c r="J206" i="58"/>
  <c r="I206" i="58"/>
  <c r="H206" i="58"/>
  <c r="L205" i="58"/>
  <c r="K205" i="58"/>
  <c r="J205" i="58"/>
  <c r="I205" i="58"/>
  <c r="H205" i="58"/>
  <c r="L204" i="58"/>
  <c r="K204" i="58"/>
  <c r="J204" i="58"/>
  <c r="I204" i="58"/>
  <c r="H204" i="58"/>
  <c r="L203" i="58"/>
  <c r="K203" i="58"/>
  <c r="J203" i="58"/>
  <c r="I203" i="58"/>
  <c r="H203" i="58"/>
  <c r="L202" i="58"/>
  <c r="K202" i="58"/>
  <c r="J202" i="58"/>
  <c r="I202" i="58"/>
  <c r="H202" i="58"/>
  <c r="L201" i="58"/>
  <c r="K201" i="58"/>
  <c r="J201" i="58"/>
  <c r="I201" i="58"/>
  <c r="H201" i="58"/>
  <c r="L200" i="58"/>
  <c r="K200" i="58"/>
  <c r="J200" i="58"/>
  <c r="I200" i="58"/>
  <c r="H200" i="58"/>
  <c r="L199" i="58"/>
  <c r="K199" i="58"/>
  <c r="J199" i="58"/>
  <c r="I199" i="58"/>
  <c r="H199" i="58"/>
  <c r="L198" i="58"/>
  <c r="K198" i="58"/>
  <c r="J198" i="58"/>
  <c r="I198" i="58"/>
  <c r="H198" i="58"/>
  <c r="L197" i="58"/>
  <c r="K197" i="58"/>
  <c r="J197" i="58"/>
  <c r="I197" i="58"/>
  <c r="H197" i="58"/>
  <c r="L196" i="58"/>
  <c r="K196" i="58"/>
  <c r="J196" i="58"/>
  <c r="I196" i="58"/>
  <c r="H196" i="58"/>
  <c r="L195" i="58"/>
  <c r="K195" i="58"/>
  <c r="J195" i="58"/>
  <c r="I195" i="58"/>
  <c r="H195" i="58"/>
  <c r="L194" i="58"/>
  <c r="K194" i="58"/>
  <c r="J194" i="58"/>
  <c r="I194" i="58"/>
  <c r="H194" i="58"/>
  <c r="L193" i="58"/>
  <c r="K193" i="58"/>
  <c r="J193" i="58"/>
  <c r="I193" i="58"/>
  <c r="H193" i="58"/>
  <c r="L192" i="58"/>
  <c r="K192" i="58"/>
  <c r="J192" i="58"/>
  <c r="I192" i="58"/>
  <c r="H192" i="58"/>
  <c r="L191" i="58"/>
  <c r="K191" i="58"/>
  <c r="J191" i="58"/>
  <c r="I191" i="58"/>
  <c r="H191" i="58"/>
  <c r="L190" i="58"/>
  <c r="K190" i="58"/>
  <c r="J190" i="58"/>
  <c r="I190" i="58"/>
  <c r="H190" i="58"/>
  <c r="L189" i="58"/>
  <c r="K189" i="58"/>
  <c r="J189" i="58"/>
  <c r="I189" i="58"/>
  <c r="H189" i="58"/>
  <c r="L188" i="58"/>
  <c r="K188" i="58"/>
  <c r="J188" i="58"/>
  <c r="I188" i="58"/>
  <c r="H188" i="58"/>
  <c r="L187" i="58"/>
  <c r="K187" i="58"/>
  <c r="J187" i="58"/>
  <c r="I187" i="58"/>
  <c r="H187" i="58"/>
  <c r="L186" i="58"/>
  <c r="K186" i="58"/>
  <c r="J186" i="58"/>
  <c r="I186" i="58"/>
  <c r="H186" i="58"/>
  <c r="L185" i="58"/>
  <c r="K185" i="58"/>
  <c r="J185" i="58"/>
  <c r="I185" i="58"/>
  <c r="H185" i="58"/>
  <c r="L184" i="58"/>
  <c r="K184" i="58"/>
  <c r="J184" i="58"/>
  <c r="I184" i="58"/>
  <c r="H184" i="58"/>
  <c r="L183" i="58"/>
  <c r="K183" i="58"/>
  <c r="J183" i="58"/>
  <c r="I183" i="58"/>
  <c r="H183" i="58"/>
  <c r="L182" i="58"/>
  <c r="K182" i="58"/>
  <c r="J182" i="58"/>
  <c r="I182" i="58"/>
  <c r="H182" i="58"/>
  <c r="L181" i="58"/>
  <c r="K181" i="58"/>
  <c r="J181" i="58"/>
  <c r="I181" i="58"/>
  <c r="H181" i="58"/>
  <c r="L180" i="58"/>
  <c r="K180" i="58"/>
  <c r="J180" i="58"/>
  <c r="I180" i="58"/>
  <c r="H180" i="58"/>
  <c r="L179" i="58"/>
  <c r="K179" i="58"/>
  <c r="J179" i="58"/>
  <c r="I179" i="58"/>
  <c r="H179" i="58"/>
  <c r="L178" i="58"/>
  <c r="K178" i="58"/>
  <c r="J178" i="58"/>
  <c r="I178" i="58"/>
  <c r="H178" i="58"/>
  <c r="L177" i="58"/>
  <c r="K177" i="58"/>
  <c r="J177" i="58"/>
  <c r="I177" i="58"/>
  <c r="H177" i="58"/>
  <c r="L176" i="58"/>
  <c r="K176" i="58"/>
  <c r="J176" i="58"/>
  <c r="I176" i="58"/>
  <c r="H176" i="58"/>
  <c r="L175" i="58"/>
  <c r="K175" i="58"/>
  <c r="J175" i="58"/>
  <c r="I175" i="58"/>
  <c r="H175" i="58"/>
  <c r="L174" i="58"/>
  <c r="K174" i="58"/>
  <c r="J174" i="58"/>
  <c r="I174" i="58"/>
  <c r="H174" i="58"/>
  <c r="L173" i="58"/>
  <c r="K173" i="58"/>
  <c r="J173" i="58"/>
  <c r="I173" i="58"/>
  <c r="H173" i="58"/>
  <c r="L172" i="58"/>
  <c r="K172" i="58"/>
  <c r="J172" i="58"/>
  <c r="I172" i="58"/>
  <c r="H172" i="58"/>
  <c r="L171" i="58"/>
  <c r="K171" i="58"/>
  <c r="J171" i="58"/>
  <c r="I171" i="58"/>
  <c r="H171" i="58"/>
  <c r="L170" i="58"/>
  <c r="K170" i="58"/>
  <c r="J170" i="58"/>
  <c r="I170" i="58"/>
  <c r="H170" i="58"/>
  <c r="L169" i="58"/>
  <c r="K169" i="58"/>
  <c r="J169" i="58"/>
  <c r="I169" i="58"/>
  <c r="H169" i="58"/>
  <c r="L168" i="58"/>
  <c r="K168" i="58"/>
  <c r="J168" i="58"/>
  <c r="I168" i="58"/>
  <c r="H168" i="58"/>
  <c r="L167" i="58"/>
  <c r="K167" i="58"/>
  <c r="J167" i="58"/>
  <c r="I167" i="58"/>
  <c r="H167" i="58"/>
  <c r="L166" i="58"/>
  <c r="K166" i="58"/>
  <c r="J166" i="58"/>
  <c r="I166" i="58"/>
  <c r="H166" i="58"/>
  <c r="L165" i="58"/>
  <c r="K165" i="58"/>
  <c r="J165" i="58"/>
  <c r="I165" i="58"/>
  <c r="H165" i="58"/>
  <c r="L164" i="58"/>
  <c r="K164" i="58"/>
  <c r="J164" i="58"/>
  <c r="I164" i="58"/>
  <c r="H164" i="58"/>
  <c r="L163" i="58"/>
  <c r="K163" i="58"/>
  <c r="J163" i="58"/>
  <c r="I163" i="58"/>
  <c r="H163" i="58"/>
  <c r="L162" i="58"/>
  <c r="K162" i="58"/>
  <c r="J162" i="58"/>
  <c r="I162" i="58"/>
  <c r="H162" i="58"/>
  <c r="L161" i="58"/>
  <c r="K161" i="58"/>
  <c r="J161" i="58"/>
  <c r="I161" i="58"/>
  <c r="H161" i="58"/>
  <c r="L160" i="58"/>
  <c r="K160" i="58"/>
  <c r="J160" i="58"/>
  <c r="I160" i="58"/>
  <c r="H160" i="58"/>
  <c r="L159" i="58"/>
  <c r="K159" i="58"/>
  <c r="J159" i="58"/>
  <c r="I159" i="58"/>
  <c r="H159" i="58"/>
  <c r="L158" i="58"/>
  <c r="K158" i="58"/>
  <c r="J158" i="58"/>
  <c r="I158" i="58"/>
  <c r="H158" i="58"/>
  <c r="L157" i="58"/>
  <c r="K157" i="58"/>
  <c r="J157" i="58"/>
  <c r="I157" i="58"/>
  <c r="H157" i="58"/>
  <c r="L156" i="58"/>
  <c r="K156" i="58"/>
  <c r="J156" i="58"/>
  <c r="I156" i="58"/>
  <c r="H156" i="58"/>
  <c r="L155" i="58"/>
  <c r="K155" i="58"/>
  <c r="J155" i="58"/>
  <c r="I155" i="58"/>
  <c r="H155" i="58"/>
  <c r="L154" i="58"/>
  <c r="K154" i="58"/>
  <c r="J154" i="58"/>
  <c r="I154" i="58"/>
  <c r="H154" i="58"/>
  <c r="L153" i="58"/>
  <c r="K153" i="58"/>
  <c r="J153" i="58"/>
  <c r="I153" i="58"/>
  <c r="H153" i="58"/>
  <c r="L152" i="58"/>
  <c r="K152" i="58"/>
  <c r="J152" i="58"/>
  <c r="I152" i="58"/>
  <c r="H152" i="58"/>
  <c r="L151" i="58"/>
  <c r="K151" i="58"/>
  <c r="J151" i="58"/>
  <c r="I151" i="58"/>
  <c r="H151" i="58"/>
  <c r="L150" i="58"/>
  <c r="K150" i="58"/>
  <c r="J150" i="58"/>
  <c r="I150" i="58"/>
  <c r="H150" i="58"/>
  <c r="L149" i="58"/>
  <c r="K149" i="58"/>
  <c r="J149" i="58"/>
  <c r="I149" i="58"/>
  <c r="H149" i="58"/>
  <c r="L148" i="58"/>
  <c r="K148" i="58"/>
  <c r="J148" i="58"/>
  <c r="I148" i="58"/>
  <c r="H148" i="58"/>
  <c r="L147" i="58"/>
  <c r="K147" i="58"/>
  <c r="J147" i="58"/>
  <c r="I147" i="58"/>
  <c r="H147" i="58"/>
  <c r="L146" i="58"/>
  <c r="K146" i="58"/>
  <c r="J146" i="58"/>
  <c r="I146" i="58"/>
  <c r="H146" i="58"/>
  <c r="L145" i="58"/>
  <c r="K145" i="58"/>
  <c r="J145" i="58"/>
  <c r="I145" i="58"/>
  <c r="H145" i="58"/>
  <c r="L144" i="58"/>
  <c r="K144" i="58"/>
  <c r="J144" i="58"/>
  <c r="I144" i="58"/>
  <c r="H144" i="58"/>
  <c r="L143" i="58"/>
  <c r="K143" i="58"/>
  <c r="J143" i="58"/>
  <c r="I143" i="58"/>
  <c r="H143" i="58"/>
  <c r="L142" i="58"/>
  <c r="K142" i="58"/>
  <c r="J142" i="58"/>
  <c r="I142" i="58"/>
  <c r="H142" i="58"/>
  <c r="L141" i="58"/>
  <c r="K141" i="58"/>
  <c r="J141" i="58"/>
  <c r="I141" i="58"/>
  <c r="H141" i="58"/>
  <c r="L140" i="58"/>
  <c r="K140" i="58"/>
  <c r="J140" i="58"/>
  <c r="I140" i="58"/>
  <c r="H140" i="58"/>
  <c r="L139" i="58"/>
  <c r="K139" i="58"/>
  <c r="J139" i="58"/>
  <c r="I139" i="58"/>
  <c r="H139" i="58"/>
  <c r="L138" i="58"/>
  <c r="K138" i="58"/>
  <c r="J138" i="58"/>
  <c r="I138" i="58"/>
  <c r="H138" i="58"/>
  <c r="L137" i="58"/>
  <c r="K137" i="58"/>
  <c r="J137" i="58"/>
  <c r="I137" i="58"/>
  <c r="H137" i="58"/>
  <c r="L136" i="58"/>
  <c r="K136" i="58"/>
  <c r="J136" i="58"/>
  <c r="I136" i="58"/>
  <c r="H136" i="58"/>
  <c r="L135" i="58"/>
  <c r="K135" i="58"/>
  <c r="J135" i="58"/>
  <c r="I135" i="58"/>
  <c r="H135" i="58"/>
  <c r="L134" i="58"/>
  <c r="K134" i="58"/>
  <c r="J134" i="58"/>
  <c r="I134" i="58"/>
  <c r="H134" i="58"/>
  <c r="L133" i="58"/>
  <c r="K133" i="58"/>
  <c r="J133" i="58"/>
  <c r="I133" i="58"/>
  <c r="H133" i="58"/>
  <c r="L132" i="58"/>
  <c r="K132" i="58"/>
  <c r="J132" i="58"/>
  <c r="I132" i="58"/>
  <c r="H132" i="58"/>
  <c r="L131" i="58"/>
  <c r="K131" i="58"/>
  <c r="J131" i="58"/>
  <c r="I131" i="58"/>
  <c r="H131" i="58"/>
  <c r="L130" i="58"/>
  <c r="K130" i="58"/>
  <c r="J130" i="58"/>
  <c r="I130" i="58"/>
  <c r="H130" i="58"/>
  <c r="L129" i="58"/>
  <c r="K129" i="58"/>
  <c r="J129" i="58"/>
  <c r="I129" i="58"/>
  <c r="H129" i="58"/>
  <c r="L128" i="58"/>
  <c r="K128" i="58"/>
  <c r="J128" i="58"/>
  <c r="I128" i="58"/>
  <c r="H128" i="58"/>
  <c r="L127" i="58"/>
  <c r="K127" i="58"/>
  <c r="J127" i="58"/>
  <c r="I127" i="58"/>
  <c r="H127" i="58"/>
  <c r="L126" i="58"/>
  <c r="K126" i="58"/>
  <c r="J126" i="58"/>
  <c r="I126" i="58"/>
  <c r="H126" i="58"/>
  <c r="L125" i="58"/>
  <c r="K125" i="58"/>
  <c r="J125" i="58"/>
  <c r="I125" i="58"/>
  <c r="H125" i="58"/>
  <c r="L124" i="58"/>
  <c r="K124" i="58"/>
  <c r="J124" i="58"/>
  <c r="I124" i="58"/>
  <c r="H124" i="58"/>
  <c r="L123" i="58"/>
  <c r="K123" i="58"/>
  <c r="J123" i="58"/>
  <c r="I123" i="58"/>
  <c r="H123" i="58"/>
  <c r="L122" i="58"/>
  <c r="K122" i="58"/>
  <c r="J122" i="58"/>
  <c r="I122" i="58"/>
  <c r="H122" i="58"/>
  <c r="L121" i="58"/>
  <c r="K121" i="58"/>
  <c r="J121" i="58"/>
  <c r="I121" i="58"/>
  <c r="H121" i="58"/>
  <c r="L120" i="58"/>
  <c r="K120" i="58"/>
  <c r="J120" i="58"/>
  <c r="I120" i="58"/>
  <c r="H120" i="58"/>
  <c r="L119" i="58"/>
  <c r="K119" i="58"/>
  <c r="J119" i="58"/>
  <c r="I119" i="58"/>
  <c r="H119" i="58"/>
  <c r="L118" i="58"/>
  <c r="K118" i="58"/>
  <c r="J118" i="58"/>
  <c r="I118" i="58"/>
  <c r="H118" i="58"/>
  <c r="L117" i="58"/>
  <c r="K117" i="58"/>
  <c r="J117" i="58"/>
  <c r="I117" i="58"/>
  <c r="H117" i="58"/>
  <c r="L116" i="58"/>
  <c r="K116" i="58"/>
  <c r="J116" i="58"/>
  <c r="I116" i="58"/>
  <c r="H116" i="58"/>
  <c r="L115" i="58"/>
  <c r="K115" i="58"/>
  <c r="J115" i="58"/>
  <c r="I115" i="58"/>
  <c r="H115" i="58"/>
  <c r="L114" i="58"/>
  <c r="K114" i="58"/>
  <c r="J114" i="58"/>
  <c r="I114" i="58"/>
  <c r="L206" i="43"/>
  <c r="K206" i="43"/>
  <c r="J206" i="43"/>
  <c r="I206" i="43"/>
  <c r="H206" i="43"/>
  <c r="L205" i="43"/>
  <c r="K205" i="43"/>
  <c r="J205" i="43"/>
  <c r="I205" i="43"/>
  <c r="H205" i="43"/>
  <c r="L204" i="43"/>
  <c r="K204" i="43"/>
  <c r="J204" i="43"/>
  <c r="I204" i="43"/>
  <c r="H204" i="43"/>
  <c r="L203" i="43"/>
  <c r="K203" i="43"/>
  <c r="J203" i="43"/>
  <c r="I203" i="43"/>
  <c r="H203" i="43"/>
  <c r="L202" i="43"/>
  <c r="K202" i="43"/>
  <c r="J202" i="43"/>
  <c r="I202" i="43"/>
  <c r="H202" i="43"/>
  <c r="L201" i="43"/>
  <c r="K201" i="43"/>
  <c r="J201" i="43"/>
  <c r="I201" i="43"/>
  <c r="H201" i="43"/>
  <c r="L200" i="43"/>
  <c r="K200" i="43"/>
  <c r="J200" i="43"/>
  <c r="I200" i="43"/>
  <c r="H200" i="43"/>
  <c r="L199" i="43"/>
  <c r="K199" i="43"/>
  <c r="J199" i="43"/>
  <c r="I199" i="43"/>
  <c r="H199" i="43"/>
  <c r="L198" i="43"/>
  <c r="K198" i="43"/>
  <c r="J198" i="43"/>
  <c r="I198" i="43"/>
  <c r="H198" i="43"/>
  <c r="L197" i="43"/>
  <c r="K197" i="43"/>
  <c r="J197" i="43"/>
  <c r="I197" i="43"/>
  <c r="H197" i="43"/>
  <c r="L196" i="43"/>
  <c r="K196" i="43"/>
  <c r="J196" i="43"/>
  <c r="I196" i="43"/>
  <c r="H196" i="43"/>
  <c r="L195" i="43"/>
  <c r="K195" i="43"/>
  <c r="J195" i="43"/>
  <c r="I195" i="43"/>
  <c r="H195" i="43"/>
  <c r="L194" i="43"/>
  <c r="K194" i="43"/>
  <c r="J194" i="43"/>
  <c r="I194" i="43"/>
  <c r="H194" i="43"/>
  <c r="L193" i="43"/>
  <c r="K193" i="43"/>
  <c r="J193" i="43"/>
  <c r="I193" i="43"/>
  <c r="H193" i="43"/>
  <c r="L192" i="43"/>
  <c r="K192" i="43"/>
  <c r="J192" i="43"/>
  <c r="I192" i="43"/>
  <c r="H192" i="43"/>
  <c r="L191" i="43"/>
  <c r="K191" i="43"/>
  <c r="J191" i="43"/>
  <c r="I191" i="43"/>
  <c r="H191" i="43"/>
  <c r="L190" i="43"/>
  <c r="K190" i="43"/>
  <c r="J190" i="43"/>
  <c r="I190" i="43"/>
  <c r="H190" i="43"/>
  <c r="L189" i="43"/>
  <c r="K189" i="43"/>
  <c r="J189" i="43"/>
  <c r="I189" i="43"/>
  <c r="H189" i="43"/>
  <c r="L188" i="43"/>
  <c r="K188" i="43"/>
  <c r="J188" i="43"/>
  <c r="I188" i="43"/>
  <c r="H188" i="43"/>
  <c r="L187" i="43"/>
  <c r="K187" i="43"/>
  <c r="J187" i="43"/>
  <c r="I187" i="43"/>
  <c r="H187" i="43"/>
  <c r="L186" i="43"/>
  <c r="K186" i="43"/>
  <c r="J186" i="43"/>
  <c r="I186" i="43"/>
  <c r="H186" i="43"/>
  <c r="L185" i="43"/>
  <c r="K185" i="43"/>
  <c r="J185" i="43"/>
  <c r="I185" i="43"/>
  <c r="H185" i="43"/>
  <c r="L184" i="43"/>
  <c r="K184" i="43"/>
  <c r="J184" i="43"/>
  <c r="I184" i="43"/>
  <c r="H184" i="43"/>
  <c r="L183" i="43"/>
  <c r="K183" i="43"/>
  <c r="J183" i="43"/>
  <c r="I183" i="43"/>
  <c r="H183" i="43"/>
  <c r="L182" i="43"/>
  <c r="K182" i="43"/>
  <c r="J182" i="43"/>
  <c r="I182" i="43"/>
  <c r="H182" i="43"/>
  <c r="L181" i="43"/>
  <c r="K181" i="43"/>
  <c r="J181" i="43"/>
  <c r="I181" i="43"/>
  <c r="H181" i="43"/>
  <c r="L180" i="43"/>
  <c r="K180" i="43"/>
  <c r="J180" i="43"/>
  <c r="I180" i="43"/>
  <c r="H180" i="43"/>
  <c r="L179" i="43"/>
  <c r="K179" i="43"/>
  <c r="J179" i="43"/>
  <c r="I179" i="43"/>
  <c r="H179" i="43"/>
  <c r="L178" i="43"/>
  <c r="K178" i="43"/>
  <c r="J178" i="43"/>
  <c r="I178" i="43"/>
  <c r="H178" i="43"/>
  <c r="L177" i="43"/>
  <c r="K177" i="43"/>
  <c r="J177" i="43"/>
  <c r="I177" i="43"/>
  <c r="H177" i="43"/>
  <c r="L176" i="43"/>
  <c r="K176" i="43"/>
  <c r="J176" i="43"/>
  <c r="I176" i="43"/>
  <c r="H176" i="43"/>
  <c r="L175" i="43"/>
  <c r="K175" i="43"/>
  <c r="J175" i="43"/>
  <c r="I175" i="43"/>
  <c r="H175" i="43"/>
  <c r="L174" i="43"/>
  <c r="K174" i="43"/>
  <c r="J174" i="43"/>
  <c r="I174" i="43"/>
  <c r="H174" i="43"/>
  <c r="L173" i="43"/>
  <c r="K173" i="43"/>
  <c r="J173" i="43"/>
  <c r="I173" i="43"/>
  <c r="H173" i="43"/>
  <c r="L172" i="43"/>
  <c r="K172" i="43"/>
  <c r="J172" i="43"/>
  <c r="I172" i="43"/>
  <c r="H172" i="43"/>
  <c r="L171" i="43"/>
  <c r="K171" i="43"/>
  <c r="J171" i="43"/>
  <c r="I171" i="43"/>
  <c r="H171" i="43"/>
  <c r="L170" i="43"/>
  <c r="K170" i="43"/>
  <c r="J170" i="43"/>
  <c r="I170" i="43"/>
  <c r="H170" i="43"/>
  <c r="L169" i="43"/>
  <c r="K169" i="43"/>
  <c r="J169" i="43"/>
  <c r="I169" i="43"/>
  <c r="H169" i="43"/>
  <c r="L168" i="43"/>
  <c r="K168" i="43"/>
  <c r="J168" i="43"/>
  <c r="I168" i="43"/>
  <c r="H168" i="43"/>
  <c r="L167" i="43"/>
  <c r="K167" i="43"/>
  <c r="J167" i="43"/>
  <c r="I167" i="43"/>
  <c r="H167" i="43"/>
  <c r="L166" i="43"/>
  <c r="K166" i="43"/>
  <c r="J166" i="43"/>
  <c r="I166" i="43"/>
  <c r="H166" i="43"/>
  <c r="L165" i="43"/>
  <c r="K165" i="43"/>
  <c r="J165" i="43"/>
  <c r="I165" i="43"/>
  <c r="H165" i="43"/>
  <c r="L164" i="43"/>
  <c r="K164" i="43"/>
  <c r="J164" i="43"/>
  <c r="I164" i="43"/>
  <c r="H164" i="43"/>
  <c r="L163" i="43"/>
  <c r="K163" i="43"/>
  <c r="J163" i="43"/>
  <c r="I163" i="43"/>
  <c r="H163" i="43"/>
  <c r="L162" i="43"/>
  <c r="K162" i="43"/>
  <c r="J162" i="43"/>
  <c r="I162" i="43"/>
  <c r="H162" i="43"/>
  <c r="L161" i="43"/>
  <c r="K161" i="43"/>
  <c r="J161" i="43"/>
  <c r="I161" i="43"/>
  <c r="H161" i="43"/>
  <c r="L160" i="43"/>
  <c r="K160" i="43"/>
  <c r="J160" i="43"/>
  <c r="I160" i="43"/>
  <c r="H160" i="43"/>
  <c r="L159" i="43"/>
  <c r="K159" i="43"/>
  <c r="J159" i="43"/>
  <c r="I159" i="43"/>
  <c r="H159" i="43"/>
  <c r="L158" i="43"/>
  <c r="K158" i="43"/>
  <c r="J158" i="43"/>
  <c r="I158" i="43"/>
  <c r="H158" i="43"/>
  <c r="L157" i="43"/>
  <c r="K157" i="43"/>
  <c r="J157" i="43"/>
  <c r="I157" i="43"/>
  <c r="H157" i="43"/>
  <c r="L156" i="43"/>
  <c r="K156" i="43"/>
  <c r="J156" i="43"/>
  <c r="I156" i="43"/>
  <c r="H156" i="43"/>
  <c r="L155" i="43"/>
  <c r="K155" i="43"/>
  <c r="J155" i="43"/>
  <c r="I155" i="43"/>
  <c r="H155" i="43"/>
  <c r="L154" i="43"/>
  <c r="K154" i="43"/>
  <c r="J154" i="43"/>
  <c r="I154" i="43"/>
  <c r="H154" i="43"/>
  <c r="L153" i="43"/>
  <c r="K153" i="43"/>
  <c r="J153" i="43"/>
  <c r="I153" i="43"/>
  <c r="H153" i="43"/>
  <c r="L152" i="43"/>
  <c r="K152" i="43"/>
  <c r="J152" i="43"/>
  <c r="I152" i="43"/>
  <c r="H152" i="43"/>
  <c r="L151" i="43"/>
  <c r="K151" i="43"/>
  <c r="J151" i="43"/>
  <c r="I151" i="43"/>
  <c r="H151" i="43"/>
  <c r="L150" i="43"/>
  <c r="K150" i="43"/>
  <c r="J150" i="43"/>
  <c r="I150" i="43"/>
  <c r="H150" i="43"/>
  <c r="L149" i="43"/>
  <c r="K149" i="43"/>
  <c r="J149" i="43"/>
  <c r="I149" i="43"/>
  <c r="H149" i="43"/>
  <c r="L148" i="43"/>
  <c r="K148" i="43"/>
  <c r="J148" i="43"/>
  <c r="I148" i="43"/>
  <c r="H148" i="43"/>
  <c r="L147" i="43"/>
  <c r="K147" i="43"/>
  <c r="J147" i="43"/>
  <c r="I147" i="43"/>
  <c r="H147" i="43"/>
  <c r="L146" i="43"/>
  <c r="K146" i="43"/>
  <c r="J146" i="43"/>
  <c r="I146" i="43"/>
  <c r="H146" i="43"/>
  <c r="L145" i="43"/>
  <c r="K145" i="43"/>
  <c r="J145" i="43"/>
  <c r="I145" i="43"/>
  <c r="H145" i="43"/>
  <c r="L144" i="43"/>
  <c r="K144" i="43"/>
  <c r="J144" i="43"/>
  <c r="I144" i="43"/>
  <c r="H144" i="43"/>
  <c r="L143" i="43"/>
  <c r="K143" i="43"/>
  <c r="J143" i="43"/>
  <c r="I143" i="43"/>
  <c r="H143" i="43"/>
  <c r="L142" i="43"/>
  <c r="K142" i="43"/>
  <c r="J142" i="43"/>
  <c r="I142" i="43"/>
  <c r="H142" i="43"/>
  <c r="L141" i="43"/>
  <c r="K141" i="43"/>
  <c r="J141" i="43"/>
  <c r="I141" i="43"/>
  <c r="H141" i="43"/>
  <c r="L140" i="43"/>
  <c r="K140" i="43"/>
  <c r="J140" i="43"/>
  <c r="I140" i="43"/>
  <c r="H140" i="43"/>
  <c r="L139" i="43"/>
  <c r="K139" i="43"/>
  <c r="J139" i="43"/>
  <c r="I139" i="43"/>
  <c r="H139" i="43"/>
  <c r="L138" i="43"/>
  <c r="K138" i="43"/>
  <c r="J138" i="43"/>
  <c r="I138" i="43"/>
  <c r="H138" i="43"/>
  <c r="L137" i="43"/>
  <c r="K137" i="43"/>
  <c r="J137" i="43"/>
  <c r="I137" i="43"/>
  <c r="H137" i="43"/>
  <c r="L136" i="43"/>
  <c r="K136" i="43"/>
  <c r="J136" i="43"/>
  <c r="I136" i="43"/>
  <c r="H136" i="43"/>
  <c r="L135" i="43"/>
  <c r="K135" i="43"/>
  <c r="J135" i="43"/>
  <c r="I135" i="43"/>
  <c r="H135" i="43"/>
  <c r="L134" i="43"/>
  <c r="K134" i="43"/>
  <c r="J134" i="43"/>
  <c r="I134" i="43"/>
  <c r="H134" i="43"/>
  <c r="L133" i="43"/>
  <c r="K133" i="43"/>
  <c r="J133" i="43"/>
  <c r="I133" i="43"/>
  <c r="H133" i="43"/>
  <c r="L132" i="43"/>
  <c r="K132" i="43"/>
  <c r="J132" i="43"/>
  <c r="I132" i="43"/>
  <c r="H132" i="43"/>
  <c r="L131" i="43"/>
  <c r="K131" i="43"/>
  <c r="J131" i="43"/>
  <c r="I131" i="43"/>
  <c r="H131" i="43"/>
  <c r="L130" i="43"/>
  <c r="K130" i="43"/>
  <c r="J130" i="43"/>
  <c r="I130" i="43"/>
  <c r="H130" i="43"/>
  <c r="L129" i="43"/>
  <c r="K129" i="43"/>
  <c r="J129" i="43"/>
  <c r="I129" i="43"/>
  <c r="H129" i="43"/>
  <c r="L128" i="43"/>
  <c r="K128" i="43"/>
  <c r="J128" i="43"/>
  <c r="I128" i="43"/>
  <c r="H128" i="43"/>
  <c r="L127" i="43"/>
  <c r="K127" i="43"/>
  <c r="J127" i="43"/>
  <c r="I127" i="43"/>
  <c r="H127" i="43"/>
  <c r="L126" i="43"/>
  <c r="K126" i="43"/>
  <c r="J126" i="43"/>
  <c r="I126" i="43"/>
  <c r="H126" i="43"/>
  <c r="L125" i="43"/>
  <c r="K125" i="43"/>
  <c r="J125" i="43"/>
  <c r="I125" i="43"/>
  <c r="H125" i="43"/>
  <c r="L124" i="43"/>
  <c r="K124" i="43"/>
  <c r="J124" i="43"/>
  <c r="I124" i="43"/>
  <c r="H124" i="43"/>
  <c r="L123" i="43"/>
  <c r="K123" i="43"/>
  <c r="J123" i="43"/>
  <c r="I123" i="43"/>
  <c r="H123" i="43"/>
  <c r="L122" i="43"/>
  <c r="K122" i="43"/>
  <c r="J122" i="43"/>
  <c r="I122" i="43"/>
  <c r="H122" i="43"/>
  <c r="L121" i="43"/>
  <c r="K121" i="43"/>
  <c r="J121" i="43"/>
  <c r="I121" i="43"/>
  <c r="H121" i="43"/>
  <c r="L120" i="43"/>
  <c r="K120" i="43"/>
  <c r="J120" i="43"/>
  <c r="I120" i="43"/>
  <c r="H120" i="43"/>
  <c r="L119" i="43"/>
  <c r="K119" i="43"/>
  <c r="J119" i="43"/>
  <c r="I119" i="43"/>
  <c r="H119" i="43"/>
  <c r="L118" i="43"/>
  <c r="K118" i="43"/>
  <c r="J118" i="43"/>
  <c r="I118" i="43"/>
  <c r="H118" i="43"/>
  <c r="L117" i="43"/>
  <c r="K117" i="43"/>
  <c r="J117" i="43"/>
  <c r="I117" i="43"/>
  <c r="H117" i="43"/>
  <c r="L116" i="43"/>
  <c r="K116" i="43"/>
  <c r="J116" i="43"/>
  <c r="I116" i="43"/>
  <c r="H116" i="43"/>
  <c r="L115" i="43"/>
  <c r="K115" i="43"/>
  <c r="J115" i="43"/>
  <c r="I115" i="43"/>
  <c r="H115" i="43"/>
  <c r="L114" i="43"/>
  <c r="K114" i="43"/>
  <c r="J114" i="43"/>
  <c r="I114" i="43"/>
  <c r="L206" i="57"/>
  <c r="K206" i="57"/>
  <c r="J206" i="57"/>
  <c r="I206" i="57"/>
  <c r="H206" i="57"/>
  <c r="L205" i="57"/>
  <c r="K205" i="57"/>
  <c r="J205" i="57"/>
  <c r="I205" i="57"/>
  <c r="H205" i="57"/>
  <c r="L204" i="57"/>
  <c r="K204" i="57"/>
  <c r="J204" i="57"/>
  <c r="I204" i="57"/>
  <c r="H204" i="57"/>
  <c r="L203" i="57"/>
  <c r="K203" i="57"/>
  <c r="J203" i="57"/>
  <c r="I203" i="57"/>
  <c r="H203" i="57"/>
  <c r="L202" i="57"/>
  <c r="K202" i="57"/>
  <c r="J202" i="57"/>
  <c r="I202" i="57"/>
  <c r="H202" i="57"/>
  <c r="L201" i="57"/>
  <c r="K201" i="57"/>
  <c r="J201" i="57"/>
  <c r="I201" i="57"/>
  <c r="H201" i="57"/>
  <c r="L200" i="57"/>
  <c r="K200" i="57"/>
  <c r="J200" i="57"/>
  <c r="I200" i="57"/>
  <c r="H200" i="57"/>
  <c r="L199" i="57"/>
  <c r="K199" i="57"/>
  <c r="J199" i="57"/>
  <c r="I199" i="57"/>
  <c r="H199" i="57"/>
  <c r="L198" i="57"/>
  <c r="K198" i="57"/>
  <c r="J198" i="57"/>
  <c r="I198" i="57"/>
  <c r="H198" i="57"/>
  <c r="L197" i="57"/>
  <c r="K197" i="57"/>
  <c r="J197" i="57"/>
  <c r="I197" i="57"/>
  <c r="H197" i="57"/>
  <c r="L196" i="57"/>
  <c r="K196" i="57"/>
  <c r="J196" i="57"/>
  <c r="I196" i="57"/>
  <c r="H196" i="57"/>
  <c r="L195" i="57"/>
  <c r="K195" i="57"/>
  <c r="J195" i="57"/>
  <c r="I195" i="57"/>
  <c r="H195" i="57"/>
  <c r="L194" i="57"/>
  <c r="K194" i="57"/>
  <c r="J194" i="57"/>
  <c r="I194" i="57"/>
  <c r="H194" i="57"/>
  <c r="L193" i="57"/>
  <c r="K193" i="57"/>
  <c r="J193" i="57"/>
  <c r="I193" i="57"/>
  <c r="H193" i="57"/>
  <c r="L192" i="57"/>
  <c r="K192" i="57"/>
  <c r="J192" i="57"/>
  <c r="I192" i="57"/>
  <c r="H192" i="57"/>
  <c r="L191" i="57"/>
  <c r="K191" i="57"/>
  <c r="J191" i="57"/>
  <c r="I191" i="57"/>
  <c r="H191" i="57"/>
  <c r="L190" i="57"/>
  <c r="K190" i="57"/>
  <c r="J190" i="57"/>
  <c r="I190" i="57"/>
  <c r="H190" i="57"/>
  <c r="L189" i="57"/>
  <c r="K189" i="57"/>
  <c r="J189" i="57"/>
  <c r="I189" i="57"/>
  <c r="H189" i="57"/>
  <c r="L188" i="57"/>
  <c r="K188" i="57"/>
  <c r="J188" i="57"/>
  <c r="I188" i="57"/>
  <c r="H188" i="57"/>
  <c r="L187" i="57"/>
  <c r="K187" i="57"/>
  <c r="J187" i="57"/>
  <c r="I187" i="57"/>
  <c r="H187" i="57"/>
  <c r="L186" i="57"/>
  <c r="K186" i="57"/>
  <c r="J186" i="57"/>
  <c r="I186" i="57"/>
  <c r="H186" i="57"/>
  <c r="L185" i="57"/>
  <c r="K185" i="57"/>
  <c r="J185" i="57"/>
  <c r="I185" i="57"/>
  <c r="H185" i="57"/>
  <c r="L184" i="57"/>
  <c r="K184" i="57"/>
  <c r="J184" i="57"/>
  <c r="I184" i="57"/>
  <c r="H184" i="57"/>
  <c r="L183" i="57"/>
  <c r="K183" i="57"/>
  <c r="J183" i="57"/>
  <c r="I183" i="57"/>
  <c r="H183" i="57"/>
  <c r="L182" i="57"/>
  <c r="K182" i="57"/>
  <c r="J182" i="57"/>
  <c r="I182" i="57"/>
  <c r="H182" i="57"/>
  <c r="L181" i="57"/>
  <c r="K181" i="57"/>
  <c r="J181" i="57"/>
  <c r="I181" i="57"/>
  <c r="H181" i="57"/>
  <c r="L180" i="57"/>
  <c r="K180" i="57"/>
  <c r="J180" i="57"/>
  <c r="I180" i="57"/>
  <c r="H180" i="57"/>
  <c r="L179" i="57"/>
  <c r="K179" i="57"/>
  <c r="J179" i="57"/>
  <c r="I179" i="57"/>
  <c r="H179" i="57"/>
  <c r="L178" i="57"/>
  <c r="K178" i="57"/>
  <c r="J178" i="57"/>
  <c r="I178" i="57"/>
  <c r="H178" i="57"/>
  <c r="L177" i="57"/>
  <c r="K177" i="57"/>
  <c r="J177" i="57"/>
  <c r="I177" i="57"/>
  <c r="H177" i="57"/>
  <c r="L176" i="57"/>
  <c r="K176" i="57"/>
  <c r="J176" i="57"/>
  <c r="I176" i="57"/>
  <c r="H176" i="57"/>
  <c r="L175" i="57"/>
  <c r="K175" i="57"/>
  <c r="J175" i="57"/>
  <c r="I175" i="57"/>
  <c r="H175" i="57"/>
  <c r="L174" i="57"/>
  <c r="K174" i="57"/>
  <c r="J174" i="57"/>
  <c r="I174" i="57"/>
  <c r="H174" i="57"/>
  <c r="L173" i="57"/>
  <c r="K173" i="57"/>
  <c r="J173" i="57"/>
  <c r="I173" i="57"/>
  <c r="H173" i="57"/>
  <c r="L172" i="57"/>
  <c r="K172" i="57"/>
  <c r="J172" i="57"/>
  <c r="I172" i="57"/>
  <c r="H172" i="57"/>
  <c r="L171" i="57"/>
  <c r="K171" i="57"/>
  <c r="J171" i="57"/>
  <c r="I171" i="57"/>
  <c r="H171" i="57"/>
  <c r="L170" i="57"/>
  <c r="K170" i="57"/>
  <c r="J170" i="57"/>
  <c r="I170" i="57"/>
  <c r="H170" i="57"/>
  <c r="L169" i="57"/>
  <c r="K169" i="57"/>
  <c r="J169" i="57"/>
  <c r="I169" i="57"/>
  <c r="H169" i="57"/>
  <c r="L168" i="57"/>
  <c r="K168" i="57"/>
  <c r="J168" i="57"/>
  <c r="I168" i="57"/>
  <c r="H168" i="57"/>
  <c r="L167" i="57"/>
  <c r="K167" i="57"/>
  <c r="J167" i="57"/>
  <c r="I167" i="57"/>
  <c r="H167" i="57"/>
  <c r="L166" i="57"/>
  <c r="K166" i="57"/>
  <c r="J166" i="57"/>
  <c r="I166" i="57"/>
  <c r="H166" i="57"/>
  <c r="L165" i="57"/>
  <c r="K165" i="57"/>
  <c r="J165" i="57"/>
  <c r="I165" i="57"/>
  <c r="H165" i="57"/>
  <c r="L164" i="57"/>
  <c r="K164" i="57"/>
  <c r="J164" i="57"/>
  <c r="I164" i="57"/>
  <c r="H164" i="57"/>
  <c r="L163" i="57"/>
  <c r="K163" i="57"/>
  <c r="J163" i="57"/>
  <c r="I163" i="57"/>
  <c r="H163" i="57"/>
  <c r="L162" i="57"/>
  <c r="K162" i="57"/>
  <c r="J162" i="57"/>
  <c r="I162" i="57"/>
  <c r="H162" i="57"/>
  <c r="L161" i="57"/>
  <c r="K161" i="57"/>
  <c r="J161" i="57"/>
  <c r="I161" i="57"/>
  <c r="H161" i="57"/>
  <c r="L160" i="57"/>
  <c r="K160" i="57"/>
  <c r="J160" i="57"/>
  <c r="I160" i="57"/>
  <c r="H160" i="57"/>
  <c r="L159" i="57"/>
  <c r="K159" i="57"/>
  <c r="J159" i="57"/>
  <c r="I159" i="57"/>
  <c r="H159" i="57"/>
  <c r="L158" i="57"/>
  <c r="K158" i="57"/>
  <c r="J158" i="57"/>
  <c r="I158" i="57"/>
  <c r="H158" i="57"/>
  <c r="L157" i="57"/>
  <c r="K157" i="57"/>
  <c r="J157" i="57"/>
  <c r="I157" i="57"/>
  <c r="H157" i="57"/>
  <c r="L156" i="57"/>
  <c r="K156" i="57"/>
  <c r="J156" i="57"/>
  <c r="I156" i="57"/>
  <c r="H156" i="57"/>
  <c r="L155" i="57"/>
  <c r="K155" i="57"/>
  <c r="J155" i="57"/>
  <c r="I155" i="57"/>
  <c r="H155" i="57"/>
  <c r="L154" i="57"/>
  <c r="K154" i="57"/>
  <c r="J154" i="57"/>
  <c r="I154" i="57"/>
  <c r="H154" i="57"/>
  <c r="L153" i="57"/>
  <c r="K153" i="57"/>
  <c r="J153" i="57"/>
  <c r="I153" i="57"/>
  <c r="H153" i="57"/>
  <c r="L152" i="57"/>
  <c r="K152" i="57"/>
  <c r="J152" i="57"/>
  <c r="I152" i="57"/>
  <c r="H152" i="57"/>
  <c r="L151" i="57"/>
  <c r="K151" i="57"/>
  <c r="J151" i="57"/>
  <c r="I151" i="57"/>
  <c r="H151" i="57"/>
  <c r="L150" i="57"/>
  <c r="K150" i="57"/>
  <c r="J150" i="57"/>
  <c r="I150" i="57"/>
  <c r="H150" i="57"/>
  <c r="L149" i="57"/>
  <c r="K149" i="57"/>
  <c r="J149" i="57"/>
  <c r="I149" i="57"/>
  <c r="H149" i="57"/>
  <c r="L148" i="57"/>
  <c r="K148" i="57"/>
  <c r="J148" i="57"/>
  <c r="I148" i="57"/>
  <c r="H148" i="57"/>
  <c r="L147" i="57"/>
  <c r="K147" i="57"/>
  <c r="J147" i="57"/>
  <c r="I147" i="57"/>
  <c r="H147" i="57"/>
  <c r="L146" i="57"/>
  <c r="K146" i="57"/>
  <c r="J146" i="57"/>
  <c r="I146" i="57"/>
  <c r="H146" i="57"/>
  <c r="L145" i="57"/>
  <c r="K145" i="57"/>
  <c r="J145" i="57"/>
  <c r="I145" i="57"/>
  <c r="H145" i="57"/>
  <c r="L144" i="57"/>
  <c r="K144" i="57"/>
  <c r="J144" i="57"/>
  <c r="I144" i="57"/>
  <c r="H144" i="57"/>
  <c r="L143" i="57"/>
  <c r="K143" i="57"/>
  <c r="J143" i="57"/>
  <c r="I143" i="57"/>
  <c r="H143" i="57"/>
  <c r="L142" i="57"/>
  <c r="K142" i="57"/>
  <c r="J142" i="57"/>
  <c r="I142" i="57"/>
  <c r="H142" i="57"/>
  <c r="L141" i="57"/>
  <c r="K141" i="57"/>
  <c r="J141" i="57"/>
  <c r="I141" i="57"/>
  <c r="H141" i="57"/>
  <c r="L140" i="57"/>
  <c r="K140" i="57"/>
  <c r="J140" i="57"/>
  <c r="I140" i="57"/>
  <c r="H140" i="57"/>
  <c r="L139" i="57"/>
  <c r="K139" i="57"/>
  <c r="J139" i="57"/>
  <c r="I139" i="57"/>
  <c r="H139" i="57"/>
  <c r="L138" i="57"/>
  <c r="K138" i="57"/>
  <c r="J138" i="57"/>
  <c r="I138" i="57"/>
  <c r="H138" i="57"/>
  <c r="L137" i="57"/>
  <c r="K137" i="57"/>
  <c r="J137" i="57"/>
  <c r="I137" i="57"/>
  <c r="H137" i="57"/>
  <c r="L136" i="57"/>
  <c r="K136" i="57"/>
  <c r="J136" i="57"/>
  <c r="I136" i="57"/>
  <c r="H136" i="57"/>
  <c r="L135" i="57"/>
  <c r="K135" i="57"/>
  <c r="J135" i="57"/>
  <c r="I135" i="57"/>
  <c r="H135" i="57"/>
  <c r="L134" i="57"/>
  <c r="K134" i="57"/>
  <c r="J134" i="57"/>
  <c r="I134" i="57"/>
  <c r="H134" i="57"/>
  <c r="L133" i="57"/>
  <c r="K133" i="57"/>
  <c r="J133" i="57"/>
  <c r="I133" i="57"/>
  <c r="H133" i="57"/>
  <c r="L132" i="57"/>
  <c r="K132" i="57"/>
  <c r="J132" i="57"/>
  <c r="I132" i="57"/>
  <c r="H132" i="57"/>
  <c r="L131" i="57"/>
  <c r="K131" i="57"/>
  <c r="J131" i="57"/>
  <c r="I131" i="57"/>
  <c r="H131" i="57"/>
  <c r="L130" i="57"/>
  <c r="K130" i="57"/>
  <c r="J130" i="57"/>
  <c r="I130" i="57"/>
  <c r="H130" i="57"/>
  <c r="L129" i="57"/>
  <c r="K129" i="57"/>
  <c r="J129" i="57"/>
  <c r="I129" i="57"/>
  <c r="H129" i="57"/>
  <c r="L128" i="57"/>
  <c r="K128" i="57"/>
  <c r="J128" i="57"/>
  <c r="I128" i="57"/>
  <c r="H128" i="57"/>
  <c r="L127" i="57"/>
  <c r="K127" i="57"/>
  <c r="J127" i="57"/>
  <c r="I127" i="57"/>
  <c r="H127" i="57"/>
  <c r="L126" i="57"/>
  <c r="K126" i="57"/>
  <c r="J126" i="57"/>
  <c r="I126" i="57"/>
  <c r="H126" i="57"/>
  <c r="L125" i="57"/>
  <c r="K125" i="57"/>
  <c r="J125" i="57"/>
  <c r="I125" i="57"/>
  <c r="H125" i="57"/>
  <c r="L124" i="57"/>
  <c r="K124" i="57"/>
  <c r="J124" i="57"/>
  <c r="I124" i="57"/>
  <c r="H124" i="57"/>
  <c r="L123" i="57"/>
  <c r="K123" i="57"/>
  <c r="J123" i="57"/>
  <c r="I123" i="57"/>
  <c r="H123" i="57"/>
  <c r="L122" i="57"/>
  <c r="K122" i="57"/>
  <c r="J122" i="57"/>
  <c r="I122" i="57"/>
  <c r="H122" i="57"/>
  <c r="L121" i="57"/>
  <c r="K121" i="57"/>
  <c r="J121" i="57"/>
  <c r="I121" i="57"/>
  <c r="H121" i="57"/>
  <c r="L120" i="57"/>
  <c r="K120" i="57"/>
  <c r="J120" i="57"/>
  <c r="I120" i="57"/>
  <c r="H120" i="57"/>
  <c r="L119" i="57"/>
  <c r="K119" i="57"/>
  <c r="J119" i="57"/>
  <c r="I119" i="57"/>
  <c r="H119" i="57"/>
  <c r="L118" i="57"/>
  <c r="K118" i="57"/>
  <c r="J118" i="57"/>
  <c r="I118" i="57"/>
  <c r="H118" i="57"/>
  <c r="L117" i="57"/>
  <c r="K117" i="57"/>
  <c r="J117" i="57"/>
  <c r="I117" i="57"/>
  <c r="H117" i="57"/>
  <c r="L116" i="57"/>
  <c r="K116" i="57"/>
  <c r="J116" i="57"/>
  <c r="I116" i="57"/>
  <c r="H116" i="57"/>
  <c r="L115" i="57"/>
  <c r="K115" i="57"/>
  <c r="J115" i="57"/>
  <c r="I115" i="57"/>
  <c r="H115" i="57"/>
  <c r="L114" i="57"/>
  <c r="K114" i="57"/>
  <c r="J114" i="57"/>
  <c r="I114" i="57"/>
  <c r="L104" i="67"/>
  <c r="L104" i="66"/>
  <c r="L104" i="65"/>
  <c r="L104" i="64"/>
  <c r="L104" i="63"/>
  <c r="L104" i="62"/>
  <c r="L104" i="61"/>
  <c r="L104" i="60"/>
  <c r="L104" i="59"/>
  <c r="L104" i="58"/>
  <c r="L104" i="43"/>
  <c r="L104" i="57"/>
  <c r="O103" i="67"/>
  <c r="O102" i="67"/>
  <c r="O101" i="67"/>
  <c r="O100" i="67"/>
  <c r="O99" i="67"/>
  <c r="O98" i="67"/>
  <c r="O97" i="67"/>
  <c r="O96" i="67"/>
  <c r="O95" i="67"/>
  <c r="O94" i="67"/>
  <c r="O93" i="67"/>
  <c r="O92" i="67"/>
  <c r="O91" i="67"/>
  <c r="O90" i="67"/>
  <c r="O89" i="67"/>
  <c r="O88" i="67"/>
  <c r="O87" i="67"/>
  <c r="O86" i="67"/>
  <c r="O85" i="67"/>
  <c r="O84" i="67"/>
  <c r="O83" i="67"/>
  <c r="O82" i="67"/>
  <c r="O81" i="67"/>
  <c r="O80" i="67"/>
  <c r="O79" i="67"/>
  <c r="O78" i="67"/>
  <c r="O77" i="67"/>
  <c r="O76" i="67"/>
  <c r="O75" i="67"/>
  <c r="O74" i="67"/>
  <c r="O73" i="67"/>
  <c r="O72" i="67"/>
  <c r="O71" i="67"/>
  <c r="O70" i="67"/>
  <c r="O69" i="67"/>
  <c r="O68" i="67"/>
  <c r="O67" i="67"/>
  <c r="O66" i="67"/>
  <c r="O65" i="67"/>
  <c r="O64" i="67"/>
  <c r="O63" i="67"/>
  <c r="O62" i="67"/>
  <c r="O61" i="67"/>
  <c r="O60" i="67"/>
  <c r="O59" i="67"/>
  <c r="O58" i="67"/>
  <c r="O57" i="67"/>
  <c r="O56" i="67"/>
  <c r="O55" i="67"/>
  <c r="O54" i="67"/>
  <c r="O53" i="67"/>
  <c r="O52" i="67"/>
  <c r="O51" i="67"/>
  <c r="O50" i="67"/>
  <c r="O49" i="67"/>
  <c r="O48" i="67"/>
  <c r="O47" i="67"/>
  <c r="O46" i="67"/>
  <c r="O45" i="67"/>
  <c r="O44" i="67"/>
  <c r="O43" i="67"/>
  <c r="O42" i="67"/>
  <c r="O41" i="67"/>
  <c r="O40" i="67"/>
  <c r="O39" i="67"/>
  <c r="O38" i="67"/>
  <c r="O37" i="67"/>
  <c r="O36" i="67"/>
  <c r="O35" i="67"/>
  <c r="O34" i="67"/>
  <c r="O33" i="67"/>
  <c r="O32" i="67"/>
  <c r="O31" i="67"/>
  <c r="O30" i="67"/>
  <c r="O29" i="67"/>
  <c r="O28" i="67"/>
  <c r="O27" i="67"/>
  <c r="O26" i="67"/>
  <c r="O25" i="67"/>
  <c r="O24" i="67"/>
  <c r="O23" i="67"/>
  <c r="O22" i="67"/>
  <c r="O21" i="67"/>
  <c r="O20" i="67"/>
  <c r="O19" i="67"/>
  <c r="O18" i="67"/>
  <c r="O17" i="67"/>
  <c r="O16" i="67"/>
  <c r="O15" i="67"/>
  <c r="O14" i="67"/>
  <c r="O13" i="67"/>
  <c r="O12" i="67"/>
  <c r="O11" i="67"/>
  <c r="O10" i="67"/>
  <c r="O9" i="67"/>
  <c r="O8" i="67"/>
  <c r="O103" i="66"/>
  <c r="O102" i="66"/>
  <c r="O101" i="66"/>
  <c r="O100" i="66"/>
  <c r="O99" i="66"/>
  <c r="O98" i="66"/>
  <c r="O97" i="66"/>
  <c r="O96" i="66"/>
  <c r="O95" i="66"/>
  <c r="O94" i="66"/>
  <c r="O93" i="66"/>
  <c r="O92" i="66"/>
  <c r="O91" i="66"/>
  <c r="O90" i="66"/>
  <c r="O89" i="66"/>
  <c r="O88" i="66"/>
  <c r="O87" i="66"/>
  <c r="O86" i="66"/>
  <c r="O85" i="66"/>
  <c r="O84" i="66"/>
  <c r="O83" i="66"/>
  <c r="O82" i="66"/>
  <c r="O81" i="66"/>
  <c r="O80" i="66"/>
  <c r="O79" i="66"/>
  <c r="O78" i="66"/>
  <c r="O77" i="66"/>
  <c r="O76" i="66"/>
  <c r="O75" i="66"/>
  <c r="O74" i="66"/>
  <c r="O73" i="66"/>
  <c r="O72" i="66"/>
  <c r="O71" i="66"/>
  <c r="O70" i="66"/>
  <c r="O69" i="66"/>
  <c r="O68" i="66"/>
  <c r="O67" i="66"/>
  <c r="O66" i="66"/>
  <c r="O65" i="66"/>
  <c r="O64" i="66"/>
  <c r="O63" i="66"/>
  <c r="O62" i="66"/>
  <c r="O61" i="66"/>
  <c r="O60" i="66"/>
  <c r="O59" i="66"/>
  <c r="O58" i="66"/>
  <c r="O57" i="66"/>
  <c r="O56" i="66"/>
  <c r="O55" i="66"/>
  <c r="O54" i="66"/>
  <c r="O53" i="66"/>
  <c r="O52" i="66"/>
  <c r="O51" i="66"/>
  <c r="O50" i="66"/>
  <c r="O49" i="66"/>
  <c r="O48" i="66"/>
  <c r="O47" i="66"/>
  <c r="O46" i="66"/>
  <c r="O45" i="66"/>
  <c r="O44" i="66"/>
  <c r="O43" i="66"/>
  <c r="O42" i="66"/>
  <c r="O41" i="66"/>
  <c r="O40" i="66"/>
  <c r="O39" i="66"/>
  <c r="O38" i="66"/>
  <c r="O37" i="66"/>
  <c r="O36" i="66"/>
  <c r="O35" i="66"/>
  <c r="O34" i="66"/>
  <c r="O33" i="66"/>
  <c r="O32" i="66"/>
  <c r="O31" i="66"/>
  <c r="O30" i="66"/>
  <c r="O29" i="66"/>
  <c r="O28" i="66"/>
  <c r="O27" i="66"/>
  <c r="O26" i="66"/>
  <c r="O25" i="66"/>
  <c r="O24" i="66"/>
  <c r="O23" i="66"/>
  <c r="O22" i="66"/>
  <c r="O21" i="66"/>
  <c r="O20" i="66"/>
  <c r="O19" i="66"/>
  <c r="O18" i="66"/>
  <c r="O17" i="66"/>
  <c r="O16" i="66"/>
  <c r="O15" i="66"/>
  <c r="O14" i="66"/>
  <c r="O13" i="66"/>
  <c r="O12" i="66"/>
  <c r="O11" i="66"/>
  <c r="O10" i="66"/>
  <c r="O9" i="66"/>
  <c r="O8" i="66"/>
  <c r="O103" i="65"/>
  <c r="O102" i="65"/>
  <c r="O101" i="65"/>
  <c r="O100" i="65"/>
  <c r="O99" i="65"/>
  <c r="O98" i="65"/>
  <c r="O97" i="65"/>
  <c r="O96" i="65"/>
  <c r="O95" i="65"/>
  <c r="O94" i="65"/>
  <c r="O93" i="65"/>
  <c r="O92" i="65"/>
  <c r="O91" i="65"/>
  <c r="O90" i="65"/>
  <c r="O89" i="65"/>
  <c r="O88" i="65"/>
  <c r="O87" i="65"/>
  <c r="O86" i="65"/>
  <c r="O85" i="65"/>
  <c r="O84" i="65"/>
  <c r="O83" i="65"/>
  <c r="O82" i="65"/>
  <c r="O81" i="65"/>
  <c r="O80" i="65"/>
  <c r="O79" i="65"/>
  <c r="O78" i="65"/>
  <c r="O77" i="65"/>
  <c r="O76" i="65"/>
  <c r="O75" i="65"/>
  <c r="O74" i="65"/>
  <c r="O73" i="65"/>
  <c r="O72" i="65"/>
  <c r="O71" i="65"/>
  <c r="O70" i="65"/>
  <c r="O69" i="65"/>
  <c r="O68" i="65"/>
  <c r="O67" i="65"/>
  <c r="O66" i="65"/>
  <c r="O65" i="65"/>
  <c r="O64" i="65"/>
  <c r="O63" i="65"/>
  <c r="O62" i="65"/>
  <c r="O61" i="65"/>
  <c r="O60" i="65"/>
  <c r="O59" i="65"/>
  <c r="O58" i="65"/>
  <c r="O57" i="65"/>
  <c r="O56" i="65"/>
  <c r="O55" i="65"/>
  <c r="O54" i="65"/>
  <c r="O53" i="65"/>
  <c r="O52" i="65"/>
  <c r="O51" i="65"/>
  <c r="O50" i="65"/>
  <c r="O49" i="65"/>
  <c r="O48" i="65"/>
  <c r="O47" i="65"/>
  <c r="O46" i="65"/>
  <c r="O45" i="65"/>
  <c r="O44" i="65"/>
  <c r="O43" i="65"/>
  <c r="O42" i="65"/>
  <c r="O41" i="65"/>
  <c r="O40" i="65"/>
  <c r="O39" i="65"/>
  <c r="O38" i="65"/>
  <c r="O37" i="65"/>
  <c r="O36" i="65"/>
  <c r="O35" i="65"/>
  <c r="O34" i="65"/>
  <c r="O33" i="65"/>
  <c r="O32" i="65"/>
  <c r="O31" i="65"/>
  <c r="O30" i="65"/>
  <c r="O29" i="65"/>
  <c r="O28" i="65"/>
  <c r="O27" i="65"/>
  <c r="O26" i="65"/>
  <c r="O25" i="65"/>
  <c r="O24" i="65"/>
  <c r="O23" i="65"/>
  <c r="O22" i="65"/>
  <c r="O21" i="65"/>
  <c r="O20" i="65"/>
  <c r="O19" i="65"/>
  <c r="O18" i="65"/>
  <c r="O17" i="65"/>
  <c r="O16" i="65"/>
  <c r="O15" i="65"/>
  <c r="O14" i="65"/>
  <c r="O13" i="65"/>
  <c r="O12" i="65"/>
  <c r="O11" i="65"/>
  <c r="O10" i="65"/>
  <c r="O9" i="65"/>
  <c r="O8" i="65"/>
  <c r="O103" i="64"/>
  <c r="O102" i="64"/>
  <c r="O101" i="64"/>
  <c r="O100" i="64"/>
  <c r="O99" i="64"/>
  <c r="O98" i="64"/>
  <c r="O97" i="64"/>
  <c r="O96" i="64"/>
  <c r="O95" i="64"/>
  <c r="O94" i="64"/>
  <c r="O93" i="64"/>
  <c r="O92" i="64"/>
  <c r="O91" i="64"/>
  <c r="O90" i="64"/>
  <c r="O89" i="64"/>
  <c r="O88" i="64"/>
  <c r="O87" i="64"/>
  <c r="O86" i="64"/>
  <c r="O85" i="64"/>
  <c r="O84" i="64"/>
  <c r="O83" i="64"/>
  <c r="O82" i="64"/>
  <c r="O81" i="64"/>
  <c r="O80" i="64"/>
  <c r="O79" i="64"/>
  <c r="O78" i="64"/>
  <c r="O77" i="64"/>
  <c r="O76" i="64"/>
  <c r="O75" i="64"/>
  <c r="O74" i="64"/>
  <c r="O73" i="64"/>
  <c r="O72" i="64"/>
  <c r="O71" i="64"/>
  <c r="O70" i="64"/>
  <c r="O69" i="64"/>
  <c r="O68" i="64"/>
  <c r="O67" i="64"/>
  <c r="O66" i="64"/>
  <c r="O65" i="64"/>
  <c r="O64" i="64"/>
  <c r="O63" i="64"/>
  <c r="O62" i="64"/>
  <c r="O61" i="64"/>
  <c r="O60" i="64"/>
  <c r="O59" i="64"/>
  <c r="O58" i="64"/>
  <c r="O57" i="64"/>
  <c r="O56" i="64"/>
  <c r="O55" i="64"/>
  <c r="O54" i="64"/>
  <c r="O53" i="64"/>
  <c r="O52" i="64"/>
  <c r="O51" i="64"/>
  <c r="O50" i="64"/>
  <c r="O49" i="64"/>
  <c r="O48" i="64"/>
  <c r="O47" i="64"/>
  <c r="O46" i="64"/>
  <c r="O45" i="64"/>
  <c r="O44" i="64"/>
  <c r="O43" i="64"/>
  <c r="O42" i="64"/>
  <c r="O41" i="64"/>
  <c r="O40" i="64"/>
  <c r="O39" i="64"/>
  <c r="O38" i="64"/>
  <c r="O37" i="64"/>
  <c r="O36" i="64"/>
  <c r="O35" i="64"/>
  <c r="O34" i="64"/>
  <c r="O33" i="64"/>
  <c r="O32" i="64"/>
  <c r="O31" i="64"/>
  <c r="O30" i="64"/>
  <c r="O29" i="64"/>
  <c r="O28" i="64"/>
  <c r="O27" i="64"/>
  <c r="O26" i="64"/>
  <c r="O25" i="64"/>
  <c r="O24" i="64"/>
  <c r="O23" i="64"/>
  <c r="O22" i="64"/>
  <c r="O21" i="64"/>
  <c r="O20" i="64"/>
  <c r="O19" i="64"/>
  <c r="O18" i="64"/>
  <c r="O17" i="64"/>
  <c r="O16" i="64"/>
  <c r="O15" i="64"/>
  <c r="O14" i="64"/>
  <c r="O13" i="64"/>
  <c r="O12" i="64"/>
  <c r="O11" i="64"/>
  <c r="O10" i="64"/>
  <c r="O9" i="64"/>
  <c r="O8" i="64"/>
  <c r="O103" i="63"/>
  <c r="O102" i="63"/>
  <c r="O101" i="63"/>
  <c r="O100" i="63"/>
  <c r="O99" i="63"/>
  <c r="O98" i="63"/>
  <c r="O97" i="63"/>
  <c r="O96" i="63"/>
  <c r="O95" i="63"/>
  <c r="O94" i="63"/>
  <c r="O93" i="63"/>
  <c r="O92" i="63"/>
  <c r="O91" i="63"/>
  <c r="O90" i="63"/>
  <c r="O89" i="63"/>
  <c r="O88" i="63"/>
  <c r="O87" i="63"/>
  <c r="O86" i="63"/>
  <c r="O85" i="63"/>
  <c r="O84" i="63"/>
  <c r="O83" i="63"/>
  <c r="O82" i="63"/>
  <c r="O81" i="63"/>
  <c r="O80" i="63"/>
  <c r="O79" i="63"/>
  <c r="O78" i="63"/>
  <c r="O77" i="63"/>
  <c r="O76" i="63"/>
  <c r="O75" i="63"/>
  <c r="O74" i="63"/>
  <c r="O73" i="63"/>
  <c r="O72" i="63"/>
  <c r="O71" i="63"/>
  <c r="O70" i="63"/>
  <c r="O69" i="63"/>
  <c r="O68" i="63"/>
  <c r="O67" i="63"/>
  <c r="O66" i="63"/>
  <c r="O65" i="63"/>
  <c r="O64" i="63"/>
  <c r="O63" i="63"/>
  <c r="O62" i="63"/>
  <c r="O61" i="63"/>
  <c r="O60" i="63"/>
  <c r="O59" i="63"/>
  <c r="O58" i="63"/>
  <c r="O57" i="63"/>
  <c r="O56" i="63"/>
  <c r="O55" i="63"/>
  <c r="O54" i="63"/>
  <c r="O53" i="63"/>
  <c r="O52" i="63"/>
  <c r="O51" i="63"/>
  <c r="O50" i="63"/>
  <c r="O49" i="63"/>
  <c r="O48" i="63"/>
  <c r="O47" i="63"/>
  <c r="O46" i="63"/>
  <c r="O45" i="63"/>
  <c r="O44" i="63"/>
  <c r="O43" i="63"/>
  <c r="O42" i="63"/>
  <c r="O41" i="63"/>
  <c r="O40" i="63"/>
  <c r="O39" i="63"/>
  <c r="O38" i="63"/>
  <c r="O37" i="63"/>
  <c r="O36" i="63"/>
  <c r="O35" i="63"/>
  <c r="O34" i="63"/>
  <c r="O33" i="63"/>
  <c r="O32" i="63"/>
  <c r="O31" i="63"/>
  <c r="O30" i="63"/>
  <c r="O29" i="63"/>
  <c r="O28" i="63"/>
  <c r="O27" i="63"/>
  <c r="O26" i="63"/>
  <c r="O25" i="63"/>
  <c r="O24" i="63"/>
  <c r="O23" i="63"/>
  <c r="O22" i="63"/>
  <c r="O21" i="63"/>
  <c r="O20" i="63"/>
  <c r="O19" i="63"/>
  <c r="O18" i="63"/>
  <c r="O17" i="63"/>
  <c r="O16" i="63"/>
  <c r="O15" i="63"/>
  <c r="O14" i="63"/>
  <c r="O13" i="63"/>
  <c r="O12" i="63"/>
  <c r="O11" i="63"/>
  <c r="O10" i="63"/>
  <c r="O9" i="63"/>
  <c r="O8" i="63"/>
  <c r="O103" i="62"/>
  <c r="O102" i="62"/>
  <c r="O101" i="62"/>
  <c r="O100" i="62"/>
  <c r="O99" i="62"/>
  <c r="O98" i="62"/>
  <c r="O97" i="62"/>
  <c r="O96" i="62"/>
  <c r="O95" i="62"/>
  <c r="O94" i="62"/>
  <c r="O93" i="62"/>
  <c r="O92" i="62"/>
  <c r="O91" i="62"/>
  <c r="O90" i="62"/>
  <c r="O89" i="62"/>
  <c r="O88" i="62"/>
  <c r="O87" i="62"/>
  <c r="O86" i="62"/>
  <c r="O85" i="62"/>
  <c r="O84" i="62"/>
  <c r="O83" i="62"/>
  <c r="O82" i="62"/>
  <c r="O81" i="62"/>
  <c r="O80" i="62"/>
  <c r="O79" i="62"/>
  <c r="O78" i="62"/>
  <c r="O77" i="62"/>
  <c r="O76" i="62"/>
  <c r="O75" i="62"/>
  <c r="O74" i="62"/>
  <c r="O73" i="62"/>
  <c r="O72" i="62"/>
  <c r="O71" i="62"/>
  <c r="O70" i="62"/>
  <c r="O69" i="62"/>
  <c r="O68" i="62"/>
  <c r="O67" i="62"/>
  <c r="O66" i="62"/>
  <c r="O65" i="62"/>
  <c r="O64" i="62"/>
  <c r="O63" i="62"/>
  <c r="O62" i="62"/>
  <c r="O61" i="62"/>
  <c r="O60" i="62"/>
  <c r="O59" i="62"/>
  <c r="O58" i="62"/>
  <c r="O57" i="62"/>
  <c r="O56" i="62"/>
  <c r="O55" i="62"/>
  <c r="O54" i="62"/>
  <c r="O53" i="62"/>
  <c r="O52" i="62"/>
  <c r="O51" i="62"/>
  <c r="O50" i="62"/>
  <c r="O49" i="62"/>
  <c r="O48" i="62"/>
  <c r="O47" i="62"/>
  <c r="O46" i="62"/>
  <c r="O45" i="62"/>
  <c r="O44" i="62"/>
  <c r="O43" i="62"/>
  <c r="O42" i="62"/>
  <c r="O41" i="62"/>
  <c r="O40" i="62"/>
  <c r="O39" i="62"/>
  <c r="O38" i="62"/>
  <c r="O37" i="62"/>
  <c r="O36" i="62"/>
  <c r="O35" i="62"/>
  <c r="O34" i="62"/>
  <c r="O33" i="62"/>
  <c r="O32" i="62"/>
  <c r="O31" i="62"/>
  <c r="O30" i="62"/>
  <c r="O29" i="62"/>
  <c r="O28" i="62"/>
  <c r="O27" i="62"/>
  <c r="O26" i="62"/>
  <c r="O25" i="62"/>
  <c r="O24" i="62"/>
  <c r="O23" i="62"/>
  <c r="O22" i="62"/>
  <c r="O21" i="62"/>
  <c r="O20" i="62"/>
  <c r="O19" i="62"/>
  <c r="O18" i="62"/>
  <c r="O17" i="62"/>
  <c r="O16" i="62"/>
  <c r="O15" i="62"/>
  <c r="O14" i="62"/>
  <c r="O13" i="62"/>
  <c r="O12" i="62"/>
  <c r="O11" i="62"/>
  <c r="O10" i="62"/>
  <c r="O9" i="62"/>
  <c r="O8" i="62"/>
  <c r="O103" i="61"/>
  <c r="O102" i="61"/>
  <c r="O101" i="61"/>
  <c r="O100" i="61"/>
  <c r="O99" i="61"/>
  <c r="O98" i="61"/>
  <c r="O97" i="61"/>
  <c r="O96" i="61"/>
  <c r="O95" i="61"/>
  <c r="O94" i="61"/>
  <c r="O93" i="61"/>
  <c r="O92" i="61"/>
  <c r="O91" i="61"/>
  <c r="O90" i="61"/>
  <c r="O89" i="61"/>
  <c r="O88" i="61"/>
  <c r="O87" i="61"/>
  <c r="O86" i="61"/>
  <c r="O85" i="61"/>
  <c r="O84" i="61"/>
  <c r="O83" i="61"/>
  <c r="O82" i="61"/>
  <c r="O81" i="61"/>
  <c r="O80" i="61"/>
  <c r="O79" i="61"/>
  <c r="O78" i="61"/>
  <c r="O77" i="61"/>
  <c r="O76" i="61"/>
  <c r="O75" i="61"/>
  <c r="O74" i="61"/>
  <c r="O73" i="61"/>
  <c r="O72" i="61"/>
  <c r="O71" i="61"/>
  <c r="O70" i="61"/>
  <c r="O69" i="61"/>
  <c r="O68" i="61"/>
  <c r="O67" i="61"/>
  <c r="O66" i="61"/>
  <c r="O65" i="61"/>
  <c r="O64" i="61"/>
  <c r="O63" i="61"/>
  <c r="O62" i="61"/>
  <c r="O61" i="61"/>
  <c r="O60" i="61"/>
  <c r="O59" i="61"/>
  <c r="O58" i="61"/>
  <c r="O57" i="61"/>
  <c r="O56" i="61"/>
  <c r="O55" i="61"/>
  <c r="O54" i="61"/>
  <c r="O53" i="61"/>
  <c r="O52" i="61"/>
  <c r="O51" i="61"/>
  <c r="O50" i="61"/>
  <c r="O49" i="61"/>
  <c r="O48" i="61"/>
  <c r="O47" i="61"/>
  <c r="O46" i="61"/>
  <c r="O45" i="61"/>
  <c r="O44" i="61"/>
  <c r="O43" i="61"/>
  <c r="O42" i="61"/>
  <c r="O41" i="61"/>
  <c r="O40" i="61"/>
  <c r="O39" i="61"/>
  <c r="O38" i="61"/>
  <c r="O37" i="61"/>
  <c r="O36" i="61"/>
  <c r="O35" i="61"/>
  <c r="O34" i="61"/>
  <c r="O33" i="61"/>
  <c r="O32" i="61"/>
  <c r="O31" i="61"/>
  <c r="O30" i="61"/>
  <c r="O29" i="61"/>
  <c r="O28" i="61"/>
  <c r="O27" i="61"/>
  <c r="O26" i="61"/>
  <c r="O25" i="61"/>
  <c r="O24" i="61"/>
  <c r="O23" i="61"/>
  <c r="O22" i="61"/>
  <c r="O21" i="61"/>
  <c r="O20" i="61"/>
  <c r="O19" i="61"/>
  <c r="O18" i="61"/>
  <c r="O17" i="61"/>
  <c r="O16" i="61"/>
  <c r="O15" i="61"/>
  <c r="O14" i="61"/>
  <c r="O13" i="61"/>
  <c r="O12" i="61"/>
  <c r="O11" i="61"/>
  <c r="O10" i="61"/>
  <c r="O9" i="61"/>
  <c r="O8" i="61"/>
  <c r="O103" i="60"/>
  <c r="O102" i="60"/>
  <c r="O101" i="60"/>
  <c r="O100" i="60"/>
  <c r="O99" i="60"/>
  <c r="O98" i="60"/>
  <c r="O97" i="60"/>
  <c r="O96" i="60"/>
  <c r="O95" i="60"/>
  <c r="O94" i="60"/>
  <c r="O93" i="60"/>
  <c r="O92" i="60"/>
  <c r="O91" i="60"/>
  <c r="O90" i="60"/>
  <c r="O89" i="60"/>
  <c r="O88" i="60"/>
  <c r="O87" i="60"/>
  <c r="O86" i="60"/>
  <c r="O85" i="60"/>
  <c r="O84" i="60"/>
  <c r="O83" i="60"/>
  <c r="O82" i="60"/>
  <c r="O81" i="60"/>
  <c r="O80" i="60"/>
  <c r="O79" i="60"/>
  <c r="O78" i="60"/>
  <c r="O77" i="60"/>
  <c r="O76" i="60"/>
  <c r="O75" i="60"/>
  <c r="O74" i="60"/>
  <c r="O73" i="60"/>
  <c r="O72" i="60"/>
  <c r="O71" i="60"/>
  <c r="O70" i="60"/>
  <c r="O69" i="60"/>
  <c r="O68" i="60"/>
  <c r="O67" i="60"/>
  <c r="O66" i="60"/>
  <c r="O65" i="60"/>
  <c r="O64" i="60"/>
  <c r="O63" i="60"/>
  <c r="O62" i="60"/>
  <c r="O61" i="60"/>
  <c r="O60" i="60"/>
  <c r="O59" i="60"/>
  <c r="O58" i="60"/>
  <c r="O57" i="60"/>
  <c r="O56" i="60"/>
  <c r="O55" i="60"/>
  <c r="O54" i="60"/>
  <c r="O53" i="60"/>
  <c r="O52" i="60"/>
  <c r="O51" i="60"/>
  <c r="O50" i="60"/>
  <c r="O49" i="60"/>
  <c r="O48" i="60"/>
  <c r="O47" i="60"/>
  <c r="O46" i="60"/>
  <c r="O45" i="60"/>
  <c r="O44" i="60"/>
  <c r="O43" i="60"/>
  <c r="O42" i="60"/>
  <c r="O41" i="60"/>
  <c r="O40" i="60"/>
  <c r="O39" i="60"/>
  <c r="O38" i="60"/>
  <c r="O37" i="60"/>
  <c r="O36" i="60"/>
  <c r="O35" i="60"/>
  <c r="O34" i="60"/>
  <c r="O33" i="60"/>
  <c r="O32" i="60"/>
  <c r="O31" i="60"/>
  <c r="O30" i="60"/>
  <c r="O29" i="60"/>
  <c r="O28" i="60"/>
  <c r="O27" i="60"/>
  <c r="O26" i="60"/>
  <c r="O25" i="60"/>
  <c r="O24" i="60"/>
  <c r="O23" i="60"/>
  <c r="O22" i="60"/>
  <c r="O21" i="60"/>
  <c r="O20" i="60"/>
  <c r="O19" i="60"/>
  <c r="O18" i="60"/>
  <c r="O17" i="60"/>
  <c r="O16" i="60"/>
  <c r="O15" i="60"/>
  <c r="O14" i="60"/>
  <c r="O13" i="60"/>
  <c r="O12" i="60"/>
  <c r="O11" i="60"/>
  <c r="O10" i="60"/>
  <c r="O9" i="60"/>
  <c r="O8" i="60"/>
  <c r="O103" i="59"/>
  <c r="O102" i="59"/>
  <c r="O101" i="59"/>
  <c r="O100" i="59"/>
  <c r="O99" i="59"/>
  <c r="O98" i="59"/>
  <c r="O97" i="59"/>
  <c r="O96" i="59"/>
  <c r="O95" i="59"/>
  <c r="O94" i="59"/>
  <c r="O93" i="59"/>
  <c r="O92" i="59"/>
  <c r="O91" i="59"/>
  <c r="O90" i="59"/>
  <c r="O89" i="59"/>
  <c r="O88" i="59"/>
  <c r="O87" i="59"/>
  <c r="O86" i="59"/>
  <c r="O85" i="59"/>
  <c r="O84" i="59"/>
  <c r="O83" i="59"/>
  <c r="O82" i="59"/>
  <c r="O81" i="59"/>
  <c r="O80" i="59"/>
  <c r="O79" i="59"/>
  <c r="O78" i="59"/>
  <c r="O77" i="59"/>
  <c r="O76" i="59"/>
  <c r="O75" i="59"/>
  <c r="O74" i="59"/>
  <c r="O73" i="59"/>
  <c r="O72" i="59"/>
  <c r="O71" i="59"/>
  <c r="O70" i="59"/>
  <c r="O69" i="59"/>
  <c r="O68" i="59"/>
  <c r="O67" i="59"/>
  <c r="O66" i="59"/>
  <c r="O65" i="59"/>
  <c r="O64" i="59"/>
  <c r="O63" i="59"/>
  <c r="O62" i="59"/>
  <c r="O61" i="59"/>
  <c r="O60" i="59"/>
  <c r="O59" i="59"/>
  <c r="O58" i="59"/>
  <c r="O57" i="59"/>
  <c r="O56" i="59"/>
  <c r="O55" i="59"/>
  <c r="O54" i="59"/>
  <c r="O53" i="59"/>
  <c r="O52" i="59"/>
  <c r="O51" i="59"/>
  <c r="O50" i="59"/>
  <c r="O49" i="59"/>
  <c r="O48" i="59"/>
  <c r="O47" i="59"/>
  <c r="O46" i="59"/>
  <c r="O45" i="59"/>
  <c r="O44" i="59"/>
  <c r="O43" i="59"/>
  <c r="O42" i="59"/>
  <c r="O41" i="59"/>
  <c r="O40" i="59"/>
  <c r="O39" i="59"/>
  <c r="O38" i="59"/>
  <c r="O37" i="59"/>
  <c r="O36" i="59"/>
  <c r="O35" i="59"/>
  <c r="O34" i="59"/>
  <c r="O33" i="59"/>
  <c r="O32" i="59"/>
  <c r="O31" i="59"/>
  <c r="O30" i="59"/>
  <c r="O29" i="59"/>
  <c r="O28" i="59"/>
  <c r="O27" i="59"/>
  <c r="O26" i="59"/>
  <c r="O25" i="59"/>
  <c r="O24" i="59"/>
  <c r="O23" i="59"/>
  <c r="O22" i="59"/>
  <c r="O21" i="59"/>
  <c r="O20" i="59"/>
  <c r="O19" i="59"/>
  <c r="O18" i="59"/>
  <c r="O17" i="59"/>
  <c r="O16" i="59"/>
  <c r="O15" i="59"/>
  <c r="O14" i="59"/>
  <c r="O13" i="59"/>
  <c r="O12" i="59"/>
  <c r="O11" i="59"/>
  <c r="O10" i="59"/>
  <c r="O9" i="59"/>
  <c r="O8" i="59"/>
  <c r="O103" i="58"/>
  <c r="O102" i="58"/>
  <c r="O101" i="58"/>
  <c r="O100" i="58"/>
  <c r="O99" i="58"/>
  <c r="O98" i="58"/>
  <c r="O97" i="58"/>
  <c r="O96" i="58"/>
  <c r="O95" i="58"/>
  <c r="O94" i="58"/>
  <c r="O93" i="58"/>
  <c r="O92" i="58"/>
  <c r="O91" i="58"/>
  <c r="O90" i="58"/>
  <c r="O89" i="58"/>
  <c r="O88" i="58"/>
  <c r="O87" i="58"/>
  <c r="O86" i="58"/>
  <c r="O85" i="58"/>
  <c r="O84" i="58"/>
  <c r="O83" i="58"/>
  <c r="O82" i="58"/>
  <c r="O81" i="58"/>
  <c r="O80" i="58"/>
  <c r="O79" i="58"/>
  <c r="O78" i="58"/>
  <c r="O77" i="58"/>
  <c r="O76" i="58"/>
  <c r="O75" i="58"/>
  <c r="O74" i="58"/>
  <c r="O73" i="58"/>
  <c r="O72" i="58"/>
  <c r="O71" i="58"/>
  <c r="O70" i="58"/>
  <c r="O69" i="58"/>
  <c r="O68" i="58"/>
  <c r="O67" i="58"/>
  <c r="O66" i="58"/>
  <c r="O65" i="58"/>
  <c r="O64" i="58"/>
  <c r="O63" i="58"/>
  <c r="O62" i="58"/>
  <c r="O61" i="58"/>
  <c r="O60" i="58"/>
  <c r="O59" i="58"/>
  <c r="O58" i="58"/>
  <c r="O57" i="58"/>
  <c r="O56" i="58"/>
  <c r="O55" i="58"/>
  <c r="O54" i="58"/>
  <c r="O53" i="58"/>
  <c r="O52" i="58"/>
  <c r="O51" i="58"/>
  <c r="O50" i="58"/>
  <c r="O49" i="58"/>
  <c r="O48" i="58"/>
  <c r="O47" i="58"/>
  <c r="O46" i="58"/>
  <c r="O45" i="58"/>
  <c r="O44" i="58"/>
  <c r="O43" i="58"/>
  <c r="O42" i="58"/>
  <c r="O41" i="58"/>
  <c r="O40" i="58"/>
  <c r="O39" i="58"/>
  <c r="O38" i="58"/>
  <c r="O37" i="58"/>
  <c r="O36" i="58"/>
  <c r="O35" i="58"/>
  <c r="O34" i="58"/>
  <c r="O33" i="58"/>
  <c r="O32" i="58"/>
  <c r="O31" i="58"/>
  <c r="O30" i="58"/>
  <c r="O29" i="58"/>
  <c r="O28" i="58"/>
  <c r="O27" i="58"/>
  <c r="O26" i="58"/>
  <c r="O25" i="58"/>
  <c r="O24" i="58"/>
  <c r="O23" i="58"/>
  <c r="O22" i="58"/>
  <c r="O21" i="58"/>
  <c r="O20" i="58"/>
  <c r="O19" i="58"/>
  <c r="O18" i="58"/>
  <c r="O17" i="58"/>
  <c r="O16" i="58"/>
  <c r="O15" i="58"/>
  <c r="O14" i="58"/>
  <c r="O13" i="58"/>
  <c r="O12" i="58"/>
  <c r="O11" i="58"/>
  <c r="O10" i="58"/>
  <c r="O9" i="58"/>
  <c r="O8" i="58"/>
  <c r="O103" i="43"/>
  <c r="O102" i="43"/>
  <c r="O101" i="43"/>
  <c r="O100" i="43"/>
  <c r="O99" i="43"/>
  <c r="O98" i="43"/>
  <c r="O97" i="43"/>
  <c r="O96" i="43"/>
  <c r="O95" i="43"/>
  <c r="O94" i="43"/>
  <c r="O93" i="43"/>
  <c r="O92" i="43"/>
  <c r="O91" i="43"/>
  <c r="O90" i="43"/>
  <c r="O89" i="43"/>
  <c r="O88" i="43"/>
  <c r="O87" i="43"/>
  <c r="O86" i="43"/>
  <c r="O85" i="43"/>
  <c r="O84" i="43"/>
  <c r="O83" i="43"/>
  <c r="O82" i="43"/>
  <c r="O81" i="43"/>
  <c r="O80" i="43"/>
  <c r="O79" i="43"/>
  <c r="O78" i="43"/>
  <c r="O77" i="43"/>
  <c r="O76" i="43"/>
  <c r="O75" i="43"/>
  <c r="O74" i="43"/>
  <c r="O73" i="43"/>
  <c r="O72" i="43"/>
  <c r="O71" i="43"/>
  <c r="O70" i="43"/>
  <c r="O69" i="43"/>
  <c r="O68" i="43"/>
  <c r="O67" i="43"/>
  <c r="O66" i="43"/>
  <c r="O65" i="43"/>
  <c r="O64" i="43"/>
  <c r="O63" i="43"/>
  <c r="O62" i="43"/>
  <c r="O61" i="43"/>
  <c r="O60" i="43"/>
  <c r="O59" i="43"/>
  <c r="O58" i="43"/>
  <c r="O57" i="43"/>
  <c r="O56" i="43"/>
  <c r="O55" i="43"/>
  <c r="O54" i="43"/>
  <c r="O53" i="43"/>
  <c r="O52" i="43"/>
  <c r="O51" i="43"/>
  <c r="O50" i="43"/>
  <c r="O49" i="43"/>
  <c r="O48" i="43"/>
  <c r="O47" i="43"/>
  <c r="O46" i="43"/>
  <c r="O45" i="43"/>
  <c r="O44" i="43"/>
  <c r="O43" i="43"/>
  <c r="O42" i="43"/>
  <c r="O41" i="43"/>
  <c r="O40" i="43"/>
  <c r="O39" i="43"/>
  <c r="O38" i="43"/>
  <c r="O37" i="43"/>
  <c r="O36" i="43"/>
  <c r="O35" i="43"/>
  <c r="O34" i="43"/>
  <c r="O33" i="43"/>
  <c r="O32" i="43"/>
  <c r="O31" i="43"/>
  <c r="O30" i="43"/>
  <c r="O29" i="43"/>
  <c r="O28" i="43"/>
  <c r="O27" i="43"/>
  <c r="O26" i="43"/>
  <c r="O25" i="43"/>
  <c r="O24" i="43"/>
  <c r="O23" i="43"/>
  <c r="O22" i="43"/>
  <c r="O21" i="43"/>
  <c r="O20" i="43"/>
  <c r="O19" i="43"/>
  <c r="O18" i="43"/>
  <c r="O17" i="43"/>
  <c r="O16" i="43"/>
  <c r="O15" i="43"/>
  <c r="O14" i="43"/>
  <c r="O13" i="43"/>
  <c r="O12" i="43"/>
  <c r="O11" i="43"/>
  <c r="O10" i="43"/>
  <c r="O9" i="43"/>
  <c r="O8" i="43"/>
  <c r="O103" i="57"/>
  <c r="O102" i="57"/>
  <c r="O101" i="57"/>
  <c r="O100" i="57"/>
  <c r="O99" i="57"/>
  <c r="O98" i="57"/>
  <c r="O97" i="57"/>
  <c r="O96" i="57"/>
  <c r="O95" i="57"/>
  <c r="O94" i="57"/>
  <c r="O93" i="57"/>
  <c r="O92" i="57"/>
  <c r="O91" i="57"/>
  <c r="O90" i="57"/>
  <c r="O89" i="57"/>
  <c r="O88" i="57"/>
  <c r="O87" i="57"/>
  <c r="O86" i="57"/>
  <c r="O85" i="57"/>
  <c r="O84" i="57"/>
  <c r="O83" i="57"/>
  <c r="O82" i="57"/>
  <c r="O81" i="57"/>
  <c r="O80" i="57"/>
  <c r="O79" i="57"/>
  <c r="O78" i="57"/>
  <c r="O77" i="57"/>
  <c r="O76" i="57"/>
  <c r="O75" i="57"/>
  <c r="O74" i="57"/>
  <c r="O73" i="57"/>
  <c r="O72" i="57"/>
  <c r="O71" i="57"/>
  <c r="O70" i="57"/>
  <c r="O69" i="57"/>
  <c r="O68" i="57"/>
  <c r="O67" i="57"/>
  <c r="O66" i="57"/>
  <c r="O65" i="57"/>
  <c r="O64" i="57"/>
  <c r="O63" i="57"/>
  <c r="O62" i="57"/>
  <c r="O61" i="57"/>
  <c r="O60" i="57"/>
  <c r="O59" i="57"/>
  <c r="O58" i="57"/>
  <c r="O57" i="57"/>
  <c r="O56" i="57"/>
  <c r="O55" i="57"/>
  <c r="O54" i="57"/>
  <c r="O53" i="57"/>
  <c r="O52" i="57"/>
  <c r="O51" i="57"/>
  <c r="O50" i="57"/>
  <c r="O49" i="57"/>
  <c r="O48" i="57"/>
  <c r="O47" i="57"/>
  <c r="O46" i="57"/>
  <c r="O45" i="57"/>
  <c r="O44" i="57"/>
  <c r="O43" i="57"/>
  <c r="O42" i="57"/>
  <c r="O41" i="57"/>
  <c r="O40" i="57"/>
  <c r="O39" i="57"/>
  <c r="O38" i="57"/>
  <c r="O37" i="57"/>
  <c r="O36" i="57"/>
  <c r="O35" i="57"/>
  <c r="O34" i="57"/>
  <c r="O33" i="57"/>
  <c r="O32" i="57"/>
  <c r="O31" i="57"/>
  <c r="O30" i="57"/>
  <c r="O29" i="57"/>
  <c r="O28" i="57"/>
  <c r="O27" i="57"/>
  <c r="O26" i="57"/>
  <c r="O25" i="57"/>
  <c r="O24" i="57"/>
  <c r="O23" i="57"/>
  <c r="O22" i="57"/>
  <c r="O21" i="57"/>
  <c r="O20" i="57"/>
  <c r="O19" i="57"/>
  <c r="O18" i="57"/>
  <c r="O17" i="57"/>
  <c r="O16" i="57"/>
  <c r="O15" i="57"/>
  <c r="O14" i="57"/>
  <c r="O13" i="57"/>
  <c r="O12" i="57"/>
  <c r="O11" i="57"/>
  <c r="O10" i="57"/>
  <c r="O9" i="57"/>
  <c r="O8" i="57"/>
  <c r="H9" i="80" l="1"/>
  <c r="J11" i="80"/>
  <c r="K102" i="80"/>
  <c r="L9" i="80"/>
  <c r="I12" i="80"/>
  <c r="H101" i="80"/>
  <c r="J103" i="80"/>
  <c r="L101" i="80"/>
  <c r="K35" i="81"/>
  <c r="I45" i="81"/>
  <c r="H50" i="81"/>
  <c r="J32" i="81"/>
  <c r="H42" i="81"/>
  <c r="K51" i="81"/>
  <c r="L38" i="81"/>
  <c r="I8" i="80"/>
  <c r="K10" i="80"/>
  <c r="J48" i="81"/>
  <c r="I53" i="81"/>
  <c r="L104" i="84"/>
  <c r="L105" i="84" s="1"/>
  <c r="J36" i="81"/>
  <c r="K39" i="81"/>
  <c r="J44" i="81"/>
  <c r="K47" i="81"/>
  <c r="I49" i="81"/>
  <c r="L50" i="81"/>
  <c r="J52" i="81"/>
  <c r="H54" i="81"/>
  <c r="H70" i="81"/>
  <c r="I73" i="81"/>
  <c r="J76" i="81"/>
  <c r="K79" i="81"/>
  <c r="L82" i="81"/>
  <c r="H86" i="81"/>
  <c r="I89" i="81"/>
  <c r="J92" i="81"/>
  <c r="K95" i="81"/>
  <c r="L98" i="81"/>
  <c r="H102" i="81"/>
  <c r="L104" i="82"/>
  <c r="L105" i="82" s="1"/>
  <c r="H96" i="81"/>
  <c r="J8" i="81"/>
  <c r="I13" i="81"/>
  <c r="L14" i="81"/>
  <c r="K19" i="81"/>
  <c r="J24" i="81"/>
  <c r="H26" i="81"/>
  <c r="L30" i="81"/>
  <c r="L104" i="78"/>
  <c r="L105" i="78" s="1"/>
  <c r="L67" i="81"/>
  <c r="L104" i="85"/>
  <c r="L105" i="85" s="1"/>
  <c r="M104" i="61"/>
  <c r="N10" i="86" s="1"/>
  <c r="H173" i="78"/>
  <c r="L173" i="78"/>
  <c r="K174" i="78"/>
  <c r="J73" i="81"/>
  <c r="I78" i="81"/>
  <c r="I82" i="81"/>
  <c r="J93" i="81"/>
  <c r="H99" i="81"/>
  <c r="I102" i="81"/>
  <c r="L104" i="83"/>
  <c r="L105" i="83" s="1"/>
  <c r="J70" i="81"/>
  <c r="L104" i="79"/>
  <c r="L105" i="79" s="1"/>
  <c r="M104" i="43"/>
  <c r="J175" i="78"/>
  <c r="I176" i="78"/>
  <c r="H177" i="78"/>
  <c r="L177" i="78"/>
  <c r="K178" i="78"/>
  <c r="J179" i="78"/>
  <c r="I180" i="78"/>
  <c r="H181" i="78"/>
  <c r="L181" i="78"/>
  <c r="K182" i="78"/>
  <c r="J183" i="78"/>
  <c r="I184" i="78"/>
  <c r="H185" i="78"/>
  <c r="L185" i="78"/>
  <c r="K186" i="78"/>
  <c r="J187" i="78"/>
  <c r="I188" i="78"/>
  <c r="H189" i="78"/>
  <c r="L189" i="78"/>
  <c r="K190" i="78"/>
  <c r="J191" i="78"/>
  <c r="I192" i="78"/>
  <c r="H193" i="78"/>
  <c r="L193" i="78"/>
  <c r="K194" i="78"/>
  <c r="J195" i="78"/>
  <c r="I196" i="78"/>
  <c r="H197" i="78"/>
  <c r="L197" i="78"/>
  <c r="K198" i="78"/>
  <c r="J199" i="78"/>
  <c r="I200" i="78"/>
  <c r="H201" i="78"/>
  <c r="L201" i="78"/>
  <c r="K202" i="78"/>
  <c r="J203" i="78"/>
  <c r="J69" i="81"/>
  <c r="H71" i="81"/>
  <c r="K72" i="81"/>
  <c r="H75" i="81"/>
  <c r="K80" i="81"/>
  <c r="L83" i="81"/>
  <c r="J85" i="81"/>
  <c r="I86" i="81"/>
  <c r="L87" i="81"/>
  <c r="H91" i="81"/>
  <c r="H95" i="81"/>
  <c r="K96" i="81"/>
  <c r="I98" i="81"/>
  <c r="K100" i="81"/>
  <c r="L103" i="81"/>
  <c r="H68" i="81"/>
  <c r="K77" i="81"/>
  <c r="L80" i="81"/>
  <c r="H88" i="81"/>
  <c r="J90" i="81"/>
  <c r="K93" i="81"/>
  <c r="L100" i="81"/>
  <c r="I103" i="81"/>
  <c r="I204" i="78"/>
  <c r="H205" i="78"/>
  <c r="L205" i="78"/>
  <c r="K206" i="78"/>
  <c r="L105" i="67"/>
  <c r="M9" i="86"/>
  <c r="M104" i="62"/>
  <c r="N21" i="86" s="1"/>
  <c r="M104" i="66"/>
  <c r="N12" i="86" s="1"/>
  <c r="L105" i="60"/>
  <c r="M16" i="86"/>
  <c r="L105" i="64"/>
  <c r="M18" i="86"/>
  <c r="K76" i="81"/>
  <c r="J89" i="81"/>
  <c r="J101" i="81"/>
  <c r="H103" i="81"/>
  <c r="L105" i="59"/>
  <c r="M13" i="86"/>
  <c r="M104" i="67"/>
  <c r="N9" i="86" s="1"/>
  <c r="L105" i="43"/>
  <c r="M22" i="86"/>
  <c r="L105" i="61"/>
  <c r="M10" i="86"/>
  <c r="L105" i="65"/>
  <c r="M15" i="86"/>
  <c r="J8" i="80"/>
  <c r="I9" i="80"/>
  <c r="H10" i="80"/>
  <c r="L10" i="80"/>
  <c r="K11" i="80"/>
  <c r="J12" i="80"/>
  <c r="I101" i="80"/>
  <c r="H102" i="80"/>
  <c r="L102" i="80"/>
  <c r="K103" i="80"/>
  <c r="J42" i="81"/>
  <c r="L48" i="81"/>
  <c r="H56" i="81"/>
  <c r="J62" i="81"/>
  <c r="I75" i="81"/>
  <c r="I83" i="81"/>
  <c r="J102" i="81"/>
  <c r="L105" i="63"/>
  <c r="M7" i="86"/>
  <c r="M104" i="64"/>
  <c r="L105" i="57"/>
  <c r="M6" i="86"/>
  <c r="L105" i="58"/>
  <c r="M19" i="86"/>
  <c r="L105" i="62"/>
  <c r="M21" i="86"/>
  <c r="L105" i="66"/>
  <c r="M12" i="86"/>
  <c r="K8" i="80"/>
  <c r="J9" i="80"/>
  <c r="I10" i="80"/>
  <c r="H11" i="80"/>
  <c r="L11" i="80"/>
  <c r="K12" i="80"/>
  <c r="J13" i="80"/>
  <c r="I14" i="80"/>
  <c r="H15" i="80"/>
  <c r="L15" i="80"/>
  <c r="K16" i="80"/>
  <c r="J17" i="80"/>
  <c r="I18" i="80"/>
  <c r="H19" i="80"/>
  <c r="L19" i="80"/>
  <c r="K20" i="80"/>
  <c r="J21" i="80"/>
  <c r="I22" i="80"/>
  <c r="H23" i="80"/>
  <c r="L23" i="80"/>
  <c r="J101" i="80"/>
  <c r="I102" i="80"/>
  <c r="H103" i="80"/>
  <c r="L103" i="80"/>
  <c r="H10" i="81"/>
  <c r="K11" i="81"/>
  <c r="J16" i="81"/>
  <c r="H18" i="81"/>
  <c r="I21" i="81"/>
  <c r="L22" i="81"/>
  <c r="K27" i="81"/>
  <c r="I29" i="81"/>
  <c r="H34" i="81"/>
  <c r="I37" i="81"/>
  <c r="H38" i="81"/>
  <c r="J40" i="81"/>
  <c r="I41" i="81"/>
  <c r="L42" i="81"/>
  <c r="K43" i="81"/>
  <c r="H46" i="81"/>
  <c r="L46" i="81"/>
  <c r="I101" i="81"/>
  <c r="L102" i="81"/>
  <c r="K103" i="81"/>
  <c r="L173" i="84"/>
  <c r="L177" i="84"/>
  <c r="L181" i="84"/>
  <c r="L185" i="84"/>
  <c r="L189" i="84"/>
  <c r="L193" i="84"/>
  <c r="L197" i="84"/>
  <c r="L201" i="84"/>
  <c r="L205" i="84"/>
  <c r="L114" i="85"/>
  <c r="K115" i="85"/>
  <c r="J116" i="85"/>
  <c r="I117" i="85"/>
  <c r="H118" i="85"/>
  <c r="L118" i="85"/>
  <c r="K119" i="85"/>
  <c r="J120" i="85"/>
  <c r="I121" i="85"/>
  <c r="H122" i="85"/>
  <c r="L122" i="85"/>
  <c r="K123" i="85"/>
  <c r="J124" i="85"/>
  <c r="I125" i="85"/>
  <c r="H126" i="85"/>
  <c r="L126" i="85"/>
  <c r="K127" i="85"/>
  <c r="J128" i="85"/>
  <c r="I129" i="85"/>
  <c r="H130" i="85"/>
  <c r="L130" i="85"/>
  <c r="K131" i="85"/>
  <c r="J132" i="85"/>
  <c r="I114" i="79"/>
  <c r="H115" i="79"/>
  <c r="L115" i="79"/>
  <c r="K116" i="79"/>
  <c r="J117" i="79"/>
  <c r="I118" i="79"/>
  <c r="H119" i="79"/>
  <c r="L119" i="79"/>
  <c r="K120" i="79"/>
  <c r="M16" i="41" s="1"/>
  <c r="J121" i="79"/>
  <c r="I122" i="79"/>
  <c r="H123" i="79"/>
  <c r="L123" i="79"/>
  <c r="K124" i="79"/>
  <c r="J125" i="79"/>
  <c r="I126" i="79"/>
  <c r="H127" i="79"/>
  <c r="L127" i="79"/>
  <c r="K128" i="79"/>
  <c r="J129" i="79"/>
  <c r="I130" i="79"/>
  <c r="H131" i="79"/>
  <c r="L131" i="79"/>
  <c r="K132" i="79"/>
  <c r="J133" i="79"/>
  <c r="I134" i="79"/>
  <c r="H135" i="79"/>
  <c r="L135" i="79"/>
  <c r="K136" i="79"/>
  <c r="J137" i="79"/>
  <c r="I138" i="79"/>
  <c r="H139" i="79"/>
  <c r="L139" i="79"/>
  <c r="K140" i="79"/>
  <c r="J141" i="79"/>
  <c r="I142" i="79"/>
  <c r="H143" i="79"/>
  <c r="L143" i="79"/>
  <c r="K144" i="79"/>
  <c r="J145" i="79"/>
  <c r="I146" i="79"/>
  <c r="H147" i="79"/>
  <c r="L147" i="79"/>
  <c r="K148" i="79"/>
  <c r="J149" i="79"/>
  <c r="I150" i="79"/>
  <c r="H151" i="79"/>
  <c r="L151" i="79"/>
  <c r="K152" i="79"/>
  <c r="J153" i="79"/>
  <c r="I154" i="79"/>
  <c r="H155" i="79"/>
  <c r="L155" i="79"/>
  <c r="K156" i="79"/>
  <c r="J157" i="79"/>
  <c r="I158" i="79"/>
  <c r="H159" i="79"/>
  <c r="H20" i="81"/>
  <c r="I120" i="78"/>
  <c r="K15" i="41" s="1"/>
  <c r="H121" i="78"/>
  <c r="L121" i="78"/>
  <c r="K122" i="78"/>
  <c r="J123" i="78"/>
  <c r="I124" i="78"/>
  <c r="H125" i="78"/>
  <c r="L125" i="78"/>
  <c r="K126" i="78"/>
  <c r="J127" i="78"/>
  <c r="I128" i="78"/>
  <c r="H129" i="78"/>
  <c r="L129" i="78"/>
  <c r="K130" i="78"/>
  <c r="J131" i="78"/>
  <c r="I149" i="68"/>
  <c r="H150" i="68"/>
  <c r="L150" i="68"/>
  <c r="K151" i="68"/>
  <c r="J152" i="68"/>
  <c r="I153" i="68"/>
  <c r="H154" i="68"/>
  <c r="L154" i="68"/>
  <c r="K155" i="68"/>
  <c r="J156" i="68"/>
  <c r="I157" i="68"/>
  <c r="H158" i="68"/>
  <c r="L158" i="68"/>
  <c r="K159" i="68"/>
  <c r="J160" i="68"/>
  <c r="I161" i="68"/>
  <c r="H162" i="68"/>
  <c r="L162" i="68"/>
  <c r="K163" i="68"/>
  <c r="J164" i="68"/>
  <c r="I165" i="68"/>
  <c r="H166" i="68"/>
  <c r="L166" i="68"/>
  <c r="K167" i="68"/>
  <c r="J168" i="68"/>
  <c r="I169" i="68"/>
  <c r="H170" i="68"/>
  <c r="L170" i="68"/>
  <c r="M104" i="65"/>
  <c r="N15" i="86" s="1"/>
  <c r="K171" i="68"/>
  <c r="J172" i="68"/>
  <c r="I173" i="68"/>
  <c r="H174" i="68"/>
  <c r="L174" i="68"/>
  <c r="K175" i="68"/>
  <c r="J176" i="68"/>
  <c r="I177" i="68"/>
  <c r="H178" i="68"/>
  <c r="L178" i="68"/>
  <c r="K179" i="68"/>
  <c r="J180" i="68"/>
  <c r="I181" i="68"/>
  <c r="H182" i="68"/>
  <c r="L182" i="68"/>
  <c r="K183" i="68"/>
  <c r="J184" i="68"/>
  <c r="I185" i="68"/>
  <c r="H186" i="68"/>
  <c r="L186" i="68"/>
  <c r="K187" i="68"/>
  <c r="J188" i="68"/>
  <c r="I189" i="68"/>
  <c r="H190" i="68"/>
  <c r="L190" i="68"/>
  <c r="K191" i="68"/>
  <c r="J192" i="68"/>
  <c r="I193" i="68"/>
  <c r="H194" i="68"/>
  <c r="L194" i="68"/>
  <c r="K195" i="68"/>
  <c r="J196" i="68"/>
  <c r="I197" i="68"/>
  <c r="H198" i="68"/>
  <c r="L198" i="68"/>
  <c r="K199" i="68"/>
  <c r="J200" i="68"/>
  <c r="I201" i="68"/>
  <c r="H202" i="68"/>
  <c r="L202" i="68"/>
  <c r="K203" i="68"/>
  <c r="J204" i="68"/>
  <c r="I205" i="68"/>
  <c r="H206" i="68"/>
  <c r="L206" i="68"/>
  <c r="M104" i="60"/>
  <c r="N16" i="86" s="1"/>
  <c r="L114" i="82"/>
  <c r="K115" i="82"/>
  <c r="J116" i="82"/>
  <c r="I117" i="82"/>
  <c r="H118" i="82"/>
  <c r="L118" i="82"/>
  <c r="K119" i="82"/>
  <c r="J120" i="82"/>
  <c r="I121" i="82"/>
  <c r="H122" i="82"/>
  <c r="L122" i="82"/>
  <c r="K123" i="82"/>
  <c r="J124" i="82"/>
  <c r="I125" i="82"/>
  <c r="H126" i="82"/>
  <c r="L126" i="82"/>
  <c r="K127" i="82"/>
  <c r="J128" i="82"/>
  <c r="I129" i="82"/>
  <c r="H130" i="82"/>
  <c r="L130" i="82"/>
  <c r="K131" i="82"/>
  <c r="J132" i="82"/>
  <c r="I133" i="82"/>
  <c r="H134" i="82"/>
  <c r="L134" i="82"/>
  <c r="K135" i="82"/>
  <c r="J136" i="82"/>
  <c r="I137" i="82"/>
  <c r="H138" i="82"/>
  <c r="L138" i="82"/>
  <c r="L32" i="81"/>
  <c r="K139" i="82"/>
  <c r="J140" i="82"/>
  <c r="I141" i="82"/>
  <c r="H142" i="82"/>
  <c r="L142" i="82"/>
  <c r="K143" i="82"/>
  <c r="J144" i="82"/>
  <c r="I145" i="82"/>
  <c r="H146" i="82"/>
  <c r="L146" i="82"/>
  <c r="K147" i="82"/>
  <c r="J148" i="82"/>
  <c r="I149" i="82"/>
  <c r="M104" i="58"/>
  <c r="K140" i="84"/>
  <c r="J141" i="84"/>
  <c r="I142" i="84"/>
  <c r="H143" i="84"/>
  <c r="L143" i="84"/>
  <c r="K144" i="84"/>
  <c r="J145" i="84"/>
  <c r="I146" i="84"/>
  <c r="I204" i="79"/>
  <c r="H205" i="79"/>
  <c r="L205" i="79"/>
  <c r="K206" i="79"/>
  <c r="L114" i="78"/>
  <c r="H150" i="82"/>
  <c r="L150" i="82"/>
  <c r="K151" i="82"/>
  <c r="J152" i="82"/>
  <c r="I153" i="82"/>
  <c r="H154" i="82"/>
  <c r="L154" i="82"/>
  <c r="K155" i="82"/>
  <c r="J156" i="82"/>
  <c r="I157" i="82"/>
  <c r="H158" i="82"/>
  <c r="L158" i="82"/>
  <c r="K159" i="82"/>
  <c r="J160" i="82"/>
  <c r="I161" i="82"/>
  <c r="H162" i="82"/>
  <c r="L162" i="82"/>
  <c r="K163" i="82"/>
  <c r="J164" i="82"/>
  <c r="I165" i="82"/>
  <c r="H166" i="82"/>
  <c r="L166" i="82"/>
  <c r="K167" i="82"/>
  <c r="J168" i="82"/>
  <c r="I169" i="82"/>
  <c r="H170" i="82"/>
  <c r="L170" i="82"/>
  <c r="K171" i="82"/>
  <c r="J172" i="82"/>
  <c r="I173" i="82"/>
  <c r="H174" i="82"/>
  <c r="L174" i="82"/>
  <c r="K175" i="82"/>
  <c r="J176" i="82"/>
  <c r="H178" i="82"/>
  <c r="K179" i="82"/>
  <c r="J180" i="82"/>
  <c r="I181" i="82"/>
  <c r="H182" i="82"/>
  <c r="K183" i="82"/>
  <c r="I185" i="82"/>
  <c r="H186" i="82"/>
  <c r="L186" i="82"/>
  <c r="K187" i="82"/>
  <c r="J188" i="82"/>
  <c r="I189" i="82"/>
  <c r="L190" i="82"/>
  <c r="J192" i="82"/>
  <c r="I193" i="82"/>
  <c r="H194" i="82"/>
  <c r="L194" i="82"/>
  <c r="J196" i="82"/>
  <c r="H198" i="82"/>
  <c r="L198" i="82"/>
  <c r="K199" i="82"/>
  <c r="J200" i="82"/>
  <c r="I201" i="82"/>
  <c r="H202" i="82"/>
  <c r="K203" i="82"/>
  <c r="I205" i="82"/>
  <c r="H206" i="82"/>
  <c r="L206" i="82"/>
  <c r="I114" i="83"/>
  <c r="H115" i="83"/>
  <c r="L115" i="83"/>
  <c r="K116" i="83"/>
  <c r="J117" i="83"/>
  <c r="I118" i="83"/>
  <c r="H119" i="83"/>
  <c r="L119" i="83"/>
  <c r="K120" i="83"/>
  <c r="J121" i="83"/>
  <c r="I122" i="83"/>
  <c r="H123" i="83"/>
  <c r="L123" i="83"/>
  <c r="K124" i="83"/>
  <c r="J125" i="83"/>
  <c r="I126" i="83"/>
  <c r="H127" i="83"/>
  <c r="L120" i="84"/>
  <c r="L124" i="84"/>
  <c r="L128" i="84"/>
  <c r="L132" i="84"/>
  <c r="L136" i="84"/>
  <c r="L140" i="84"/>
  <c r="L159" i="79"/>
  <c r="K160" i="79"/>
  <c r="J161" i="79"/>
  <c r="I162" i="79"/>
  <c r="H163" i="79"/>
  <c r="L163" i="79"/>
  <c r="K164" i="79"/>
  <c r="J165" i="79"/>
  <c r="I166" i="79"/>
  <c r="H167" i="79"/>
  <c r="L167" i="79"/>
  <c r="K168" i="79"/>
  <c r="J169" i="79"/>
  <c r="I170" i="79"/>
  <c r="H171" i="79"/>
  <c r="L171" i="79"/>
  <c r="K172" i="79"/>
  <c r="J173" i="79"/>
  <c r="I174" i="79"/>
  <c r="H175" i="79"/>
  <c r="L175" i="79"/>
  <c r="K176" i="79"/>
  <c r="J177" i="79"/>
  <c r="I178" i="79"/>
  <c r="H179" i="79"/>
  <c r="L179" i="79"/>
  <c r="K180" i="79"/>
  <c r="J181" i="79"/>
  <c r="I182" i="79"/>
  <c r="H183" i="79"/>
  <c r="L183" i="79"/>
  <c r="K184" i="79"/>
  <c r="J185" i="79"/>
  <c r="I186" i="79"/>
  <c r="H187" i="79"/>
  <c r="L187" i="79"/>
  <c r="K188" i="79"/>
  <c r="J189" i="79"/>
  <c r="I190" i="79"/>
  <c r="H191" i="79"/>
  <c r="L191" i="79"/>
  <c r="K192" i="79"/>
  <c r="J193" i="79"/>
  <c r="I194" i="79"/>
  <c r="H195" i="79"/>
  <c r="L195" i="79"/>
  <c r="K196" i="79"/>
  <c r="J197" i="79"/>
  <c r="I198" i="79"/>
  <c r="H199" i="79"/>
  <c r="L199" i="79"/>
  <c r="K200" i="79"/>
  <c r="J201" i="79"/>
  <c r="I202" i="79"/>
  <c r="H203" i="79"/>
  <c r="L203" i="79"/>
  <c r="K204" i="79"/>
  <c r="J205" i="79"/>
  <c r="I206" i="79"/>
  <c r="K115" i="78"/>
  <c r="J116" i="78"/>
  <c r="I117" i="78"/>
  <c r="H118" i="78"/>
  <c r="L118" i="78"/>
  <c r="K119" i="78"/>
  <c r="J173" i="83"/>
  <c r="I174" i="83"/>
  <c r="H175" i="83"/>
  <c r="L175" i="83"/>
  <c r="K176" i="83"/>
  <c r="J177" i="83"/>
  <c r="I178" i="83"/>
  <c r="H179" i="83"/>
  <c r="L179" i="83"/>
  <c r="K180" i="83"/>
  <c r="J181" i="83"/>
  <c r="I182" i="83"/>
  <c r="H183" i="83"/>
  <c r="L183" i="83"/>
  <c r="K184" i="83"/>
  <c r="J185" i="83"/>
  <c r="I186" i="83"/>
  <c r="H187" i="83"/>
  <c r="L187" i="83"/>
  <c r="K188" i="83"/>
  <c r="J189" i="83"/>
  <c r="I190" i="83"/>
  <c r="H191" i="83"/>
  <c r="L191" i="83"/>
  <c r="K192" i="83"/>
  <c r="J193" i="83"/>
  <c r="I194" i="83"/>
  <c r="H195" i="83"/>
  <c r="L195" i="83"/>
  <c r="K196" i="83"/>
  <c r="J197" i="83"/>
  <c r="I198" i="83"/>
  <c r="H199" i="83"/>
  <c r="L199" i="83"/>
  <c r="K200" i="83"/>
  <c r="J201" i="83"/>
  <c r="I202" i="83"/>
  <c r="I133" i="85"/>
  <c r="H134" i="85"/>
  <c r="L134" i="85"/>
  <c r="K135" i="85"/>
  <c r="J136" i="85"/>
  <c r="I137" i="85"/>
  <c r="H138" i="85"/>
  <c r="L138" i="85"/>
  <c r="K139" i="85"/>
  <c r="J140" i="85"/>
  <c r="I141" i="85"/>
  <c r="H142" i="85"/>
  <c r="L142" i="85"/>
  <c r="K143" i="85"/>
  <c r="J144" i="85"/>
  <c r="I145" i="85"/>
  <c r="H146" i="85"/>
  <c r="L146" i="85"/>
  <c r="K147" i="85"/>
  <c r="J148" i="85"/>
  <c r="I149" i="85"/>
  <c r="H150" i="85"/>
  <c r="L150" i="85"/>
  <c r="K151" i="85"/>
  <c r="J152" i="85"/>
  <c r="I153" i="85"/>
  <c r="H154" i="85"/>
  <c r="L154" i="85"/>
  <c r="K155" i="85"/>
  <c r="J156" i="85"/>
  <c r="I157" i="85"/>
  <c r="H158" i="85"/>
  <c r="L158" i="85"/>
  <c r="K159" i="85"/>
  <c r="J160" i="85"/>
  <c r="I161" i="85"/>
  <c r="H162" i="85"/>
  <c r="L162" i="85"/>
  <c r="K163" i="85"/>
  <c r="J164" i="85"/>
  <c r="I165" i="85"/>
  <c r="H166" i="85"/>
  <c r="L166" i="85"/>
  <c r="K167" i="85"/>
  <c r="J168" i="85"/>
  <c r="I169" i="85"/>
  <c r="H170" i="85"/>
  <c r="L170" i="85"/>
  <c r="K171" i="85"/>
  <c r="J172" i="85"/>
  <c r="K147" i="68"/>
  <c r="J148" i="68"/>
  <c r="M104" i="63"/>
  <c r="N7" i="86" s="1"/>
  <c r="J10" i="81"/>
  <c r="I23" i="81"/>
  <c r="H36" i="81"/>
  <c r="L16" i="81"/>
  <c r="K29" i="81"/>
  <c r="L114" i="68"/>
  <c r="K115" i="68"/>
  <c r="J116" i="68"/>
  <c r="I117" i="68"/>
  <c r="H118" i="68"/>
  <c r="L118" i="68"/>
  <c r="K119" i="68"/>
  <c r="J120" i="68"/>
  <c r="L14" i="41" s="1"/>
  <c r="I121" i="68"/>
  <c r="H122" i="68"/>
  <c r="L122" i="68"/>
  <c r="K123" i="68"/>
  <c r="J124" i="68"/>
  <c r="I125" i="68"/>
  <c r="H126" i="68"/>
  <c r="L126" i="68"/>
  <c r="K127" i="68"/>
  <c r="J128" i="68"/>
  <c r="I129" i="68"/>
  <c r="H130" i="68"/>
  <c r="L130" i="68"/>
  <c r="K131" i="68"/>
  <c r="J132" i="68"/>
  <c r="I133" i="68"/>
  <c r="H134" i="68"/>
  <c r="L134" i="68"/>
  <c r="K135" i="68"/>
  <c r="J136" i="68"/>
  <c r="I137" i="68"/>
  <c r="H138" i="68"/>
  <c r="L138" i="68"/>
  <c r="K139" i="68"/>
  <c r="J140" i="68"/>
  <c r="I141" i="68"/>
  <c r="H142" i="68"/>
  <c r="L142" i="68"/>
  <c r="K143" i="68"/>
  <c r="J144" i="68"/>
  <c r="I145" i="68"/>
  <c r="H146" i="68"/>
  <c r="L146" i="68"/>
  <c r="K13" i="81"/>
  <c r="J26" i="81"/>
  <c r="K174" i="84"/>
  <c r="J175" i="84"/>
  <c r="I176" i="84"/>
  <c r="H177" i="84"/>
  <c r="K178" i="84"/>
  <c r="J179" i="84"/>
  <c r="I180" i="84"/>
  <c r="H181" i="84"/>
  <c r="K182" i="84"/>
  <c r="J183" i="84"/>
  <c r="I184" i="84"/>
  <c r="H185" i="84"/>
  <c r="K186" i="84"/>
  <c r="J187" i="84"/>
  <c r="I188" i="84"/>
  <c r="H189" i="84"/>
  <c r="K190" i="84"/>
  <c r="J191" i="84"/>
  <c r="I192" i="84"/>
  <c r="H193" i="84"/>
  <c r="K194" i="84"/>
  <c r="J195" i="84"/>
  <c r="I196" i="84"/>
  <c r="H197" i="84"/>
  <c r="K198" i="84"/>
  <c r="J199" i="84"/>
  <c r="I200" i="84"/>
  <c r="H201" i="84"/>
  <c r="K202" i="84"/>
  <c r="J203" i="84"/>
  <c r="I204" i="84"/>
  <c r="H205" i="84"/>
  <c r="K206" i="84"/>
  <c r="J114" i="84"/>
  <c r="H116" i="84"/>
  <c r="K117" i="84"/>
  <c r="I119" i="84"/>
  <c r="J122" i="84"/>
  <c r="I123" i="84"/>
  <c r="H124" i="84"/>
  <c r="K125" i="84"/>
  <c r="J126" i="84"/>
  <c r="I127" i="84"/>
  <c r="H128" i="84"/>
  <c r="K129" i="84"/>
  <c r="J130" i="84"/>
  <c r="I131" i="84"/>
  <c r="H132" i="84"/>
  <c r="K133" i="84"/>
  <c r="J134" i="84"/>
  <c r="I135" i="84"/>
  <c r="H136" i="84"/>
  <c r="K137" i="84"/>
  <c r="J138" i="84"/>
  <c r="I139" i="84"/>
  <c r="H140" i="84"/>
  <c r="I118" i="78"/>
  <c r="H119" i="78"/>
  <c r="L119" i="78"/>
  <c r="I132" i="78"/>
  <c r="H133" i="78"/>
  <c r="L133" i="78"/>
  <c r="K134" i="78"/>
  <c r="J135" i="78"/>
  <c r="I136" i="78"/>
  <c r="H137" i="78"/>
  <c r="L137" i="78"/>
  <c r="K138" i="78"/>
  <c r="J139" i="78"/>
  <c r="I140" i="78"/>
  <c r="H141" i="78"/>
  <c r="L141" i="78"/>
  <c r="K142" i="78"/>
  <c r="J143" i="78"/>
  <c r="I144" i="78"/>
  <c r="H145" i="78"/>
  <c r="L145" i="78"/>
  <c r="K146" i="78"/>
  <c r="J147" i="78"/>
  <c r="I148" i="78"/>
  <c r="H149" i="78"/>
  <c r="L149" i="78"/>
  <c r="K150" i="78"/>
  <c r="J151" i="78"/>
  <c r="I152" i="78"/>
  <c r="H153" i="78"/>
  <c r="L153" i="78"/>
  <c r="K154" i="78"/>
  <c r="J155" i="78"/>
  <c r="I156" i="78"/>
  <c r="H157" i="78"/>
  <c r="L157" i="78"/>
  <c r="K158" i="78"/>
  <c r="J159" i="78"/>
  <c r="I160" i="78"/>
  <c r="H161" i="78"/>
  <c r="L161" i="78"/>
  <c r="K162" i="78"/>
  <c r="J163" i="78"/>
  <c r="I164" i="78"/>
  <c r="H165" i="78"/>
  <c r="L165" i="78"/>
  <c r="K166" i="78"/>
  <c r="J167" i="78"/>
  <c r="I168" i="78"/>
  <c r="H169" i="78"/>
  <c r="L169" i="78"/>
  <c r="K170" i="78"/>
  <c r="J171" i="78"/>
  <c r="I172" i="78"/>
  <c r="J120" i="78"/>
  <c r="L15" i="41" s="1"/>
  <c r="I173" i="85"/>
  <c r="H174" i="85"/>
  <c r="L174" i="85"/>
  <c r="K175" i="85"/>
  <c r="J176" i="85"/>
  <c r="I177" i="85"/>
  <c r="H178" i="85"/>
  <c r="L178" i="85"/>
  <c r="K179" i="85"/>
  <c r="J180" i="85"/>
  <c r="I181" i="85"/>
  <c r="H182" i="85"/>
  <c r="L182" i="85"/>
  <c r="K183" i="85"/>
  <c r="J184" i="85"/>
  <c r="I185" i="85"/>
  <c r="H186" i="85"/>
  <c r="L186" i="85"/>
  <c r="K187" i="85"/>
  <c r="J188" i="85"/>
  <c r="I189" i="85"/>
  <c r="H190" i="85"/>
  <c r="L190" i="85"/>
  <c r="K191" i="85"/>
  <c r="J192" i="85"/>
  <c r="I193" i="85"/>
  <c r="H194" i="85"/>
  <c r="L194" i="85"/>
  <c r="K195" i="85"/>
  <c r="J196" i="85"/>
  <c r="I197" i="85"/>
  <c r="H198" i="85"/>
  <c r="L198" i="85"/>
  <c r="K199" i="85"/>
  <c r="J200" i="85"/>
  <c r="I201" i="85"/>
  <c r="H202" i="85"/>
  <c r="L202" i="85"/>
  <c r="K203" i="85"/>
  <c r="J204" i="85"/>
  <c r="I205" i="85"/>
  <c r="H206" i="85"/>
  <c r="L206" i="85"/>
  <c r="L127" i="83"/>
  <c r="K128" i="83"/>
  <c r="J129" i="83"/>
  <c r="I130" i="83"/>
  <c r="H131" i="83"/>
  <c r="L131" i="83"/>
  <c r="K132" i="83"/>
  <c r="J133" i="83"/>
  <c r="I134" i="83"/>
  <c r="H135" i="83"/>
  <c r="L135" i="83"/>
  <c r="K136" i="83"/>
  <c r="J137" i="83"/>
  <c r="I138" i="83"/>
  <c r="H139" i="83"/>
  <c r="L139" i="83"/>
  <c r="K140" i="83"/>
  <c r="J141" i="83"/>
  <c r="I142" i="83"/>
  <c r="H143" i="83"/>
  <c r="L143" i="83"/>
  <c r="K144" i="83"/>
  <c r="J145" i="83"/>
  <c r="I146" i="83"/>
  <c r="H147" i="83"/>
  <c r="L147" i="83"/>
  <c r="K148" i="83"/>
  <c r="J149" i="83"/>
  <c r="I150" i="83"/>
  <c r="H151" i="83"/>
  <c r="L151" i="83"/>
  <c r="K152" i="83"/>
  <c r="J153" i="83"/>
  <c r="I154" i="83"/>
  <c r="H155" i="83"/>
  <c r="L155" i="83"/>
  <c r="K156" i="83"/>
  <c r="J157" i="83"/>
  <c r="I158" i="83"/>
  <c r="H159" i="83"/>
  <c r="L159" i="83"/>
  <c r="K160" i="83"/>
  <c r="J161" i="83"/>
  <c r="I162" i="83"/>
  <c r="H163" i="83"/>
  <c r="L163" i="83"/>
  <c r="K164" i="83"/>
  <c r="J165" i="83"/>
  <c r="I166" i="83"/>
  <c r="H167" i="83"/>
  <c r="L167" i="83"/>
  <c r="K168" i="83"/>
  <c r="J169" i="83"/>
  <c r="I170" i="83"/>
  <c r="H171" i="83"/>
  <c r="L171" i="83"/>
  <c r="K172" i="83"/>
  <c r="H203" i="83"/>
  <c r="L203" i="83"/>
  <c r="K204" i="83"/>
  <c r="J205" i="83"/>
  <c r="I206" i="83"/>
  <c r="O104" i="60"/>
  <c r="P16" i="86" s="1"/>
  <c r="O104" i="61"/>
  <c r="P10" i="86" s="1"/>
  <c r="O104" i="62"/>
  <c r="P21" i="86" s="1"/>
  <c r="O104" i="63"/>
  <c r="P7" i="86" s="1"/>
  <c r="O104" i="64"/>
  <c r="O104" i="65"/>
  <c r="P15" i="86" s="1"/>
  <c r="O104" i="66"/>
  <c r="P12" i="86" s="1"/>
  <c r="O104" i="67"/>
  <c r="P9" i="86" s="1"/>
  <c r="I177" i="82"/>
  <c r="I71" i="81"/>
  <c r="L178" i="82"/>
  <c r="L72" i="81"/>
  <c r="L182" i="82"/>
  <c r="L76" i="81"/>
  <c r="J184" i="82"/>
  <c r="J78" i="81"/>
  <c r="H190" i="82"/>
  <c r="H84" i="81"/>
  <c r="K191" i="82"/>
  <c r="K85" i="81"/>
  <c r="K195" i="82"/>
  <c r="K89" i="81"/>
  <c r="I197" i="82"/>
  <c r="I91" i="81"/>
  <c r="L202" i="82"/>
  <c r="L96" i="81"/>
  <c r="J204" i="82"/>
  <c r="J98" i="81"/>
  <c r="I115" i="84"/>
  <c r="I9" i="81"/>
  <c r="L116" i="84"/>
  <c r="L10" i="81"/>
  <c r="J118" i="84"/>
  <c r="J12" i="81"/>
  <c r="H120" i="84"/>
  <c r="H14" i="81"/>
  <c r="K121" i="84"/>
  <c r="K15" i="81"/>
  <c r="L40" i="81"/>
  <c r="I47" i="81"/>
  <c r="K53" i="81"/>
  <c r="J58" i="81"/>
  <c r="L64" i="81"/>
  <c r="I79" i="81"/>
  <c r="H92" i="81"/>
  <c r="L8" i="81"/>
  <c r="H12" i="81"/>
  <c r="I15" i="81"/>
  <c r="J18" i="81"/>
  <c r="K21" i="81"/>
  <c r="L24" i="81"/>
  <c r="H28" i="81"/>
  <c r="I31" i="81"/>
  <c r="J34" i="81"/>
  <c r="I39" i="81"/>
  <c r="K45" i="81"/>
  <c r="H52" i="81"/>
  <c r="I59" i="81"/>
  <c r="K65" i="81"/>
  <c r="K69" i="81"/>
  <c r="H72" i="81"/>
  <c r="K73" i="81"/>
  <c r="J82" i="81"/>
  <c r="L84" i="81"/>
  <c r="J86" i="81"/>
  <c r="I95" i="81"/>
  <c r="K97" i="81"/>
  <c r="I99" i="81"/>
  <c r="M104" i="59"/>
  <c r="N13" i="86" s="1"/>
  <c r="K37" i="81"/>
  <c r="H44" i="81"/>
  <c r="J50" i="81"/>
  <c r="I55" i="81"/>
  <c r="K61" i="81"/>
  <c r="K114" i="82"/>
  <c r="J115" i="82"/>
  <c r="I116" i="82"/>
  <c r="H117" i="82"/>
  <c r="L117" i="82"/>
  <c r="K118" i="82"/>
  <c r="J119" i="82"/>
  <c r="I120" i="82"/>
  <c r="H121" i="82"/>
  <c r="L121" i="82"/>
  <c r="K122" i="82"/>
  <c r="J123" i="82"/>
  <c r="I124" i="82"/>
  <c r="H125" i="82"/>
  <c r="L125" i="82"/>
  <c r="K126" i="82"/>
  <c r="J127" i="82"/>
  <c r="I128" i="82"/>
  <c r="H129" i="82"/>
  <c r="L129" i="82"/>
  <c r="K130" i="82"/>
  <c r="J131" i="82"/>
  <c r="I132" i="82"/>
  <c r="H133" i="82"/>
  <c r="L133" i="82"/>
  <c r="K134" i="82"/>
  <c r="J135" i="82"/>
  <c r="I136" i="82"/>
  <c r="H137" i="82"/>
  <c r="L137" i="82"/>
  <c r="K138" i="82"/>
  <c r="J139" i="82"/>
  <c r="I140" i="82"/>
  <c r="H141" i="82"/>
  <c r="L141" i="82"/>
  <c r="K142" i="82"/>
  <c r="J143" i="82"/>
  <c r="I144" i="82"/>
  <c r="H145" i="82"/>
  <c r="L145" i="82"/>
  <c r="K146" i="82"/>
  <c r="J147" i="82"/>
  <c r="I148" i="82"/>
  <c r="H149" i="82"/>
  <c r="L149" i="82"/>
  <c r="K150" i="82"/>
  <c r="J151" i="82"/>
  <c r="I152" i="82"/>
  <c r="H153" i="82"/>
  <c r="L153" i="82"/>
  <c r="K154" i="82"/>
  <c r="J155" i="82"/>
  <c r="I156" i="82"/>
  <c r="H157" i="82"/>
  <c r="L157" i="82"/>
  <c r="K158" i="82"/>
  <c r="J159" i="82"/>
  <c r="I160" i="82"/>
  <c r="H161" i="82"/>
  <c r="L161" i="82"/>
  <c r="K162" i="82"/>
  <c r="J163" i="82"/>
  <c r="I164" i="82"/>
  <c r="H165" i="82"/>
  <c r="L165" i="82"/>
  <c r="K166" i="82"/>
  <c r="J167" i="82"/>
  <c r="I168" i="82"/>
  <c r="H169" i="82"/>
  <c r="L169" i="82"/>
  <c r="K170" i="82"/>
  <c r="J171" i="82"/>
  <c r="I172" i="82"/>
  <c r="H173" i="82"/>
  <c r="L173" i="82"/>
  <c r="K174" i="82"/>
  <c r="K68" i="81"/>
  <c r="J175" i="82"/>
  <c r="I176" i="82"/>
  <c r="I70" i="81"/>
  <c r="H177" i="82"/>
  <c r="L177" i="82"/>
  <c r="L71" i="81"/>
  <c r="K178" i="82"/>
  <c r="J179" i="82"/>
  <c r="I180" i="82"/>
  <c r="I74" i="81"/>
  <c r="H181" i="82"/>
  <c r="L181" i="82"/>
  <c r="L75" i="81"/>
  <c r="K182" i="82"/>
  <c r="J183" i="82"/>
  <c r="J77" i="81"/>
  <c r="I184" i="82"/>
  <c r="H185" i="82"/>
  <c r="H79" i="81"/>
  <c r="L185" i="82"/>
  <c r="L79" i="81"/>
  <c r="K186" i="82"/>
  <c r="J187" i="82"/>
  <c r="J81" i="81"/>
  <c r="I188" i="82"/>
  <c r="H189" i="82"/>
  <c r="H83" i="81"/>
  <c r="L189" i="82"/>
  <c r="K190" i="82"/>
  <c r="K84" i="81"/>
  <c r="J191" i="82"/>
  <c r="I192" i="82"/>
  <c r="H193" i="82"/>
  <c r="H87" i="81"/>
  <c r="L193" i="82"/>
  <c r="K194" i="82"/>
  <c r="K88" i="81"/>
  <c r="J195" i="82"/>
  <c r="I196" i="82"/>
  <c r="I90" i="81"/>
  <c r="H197" i="82"/>
  <c r="L197" i="82"/>
  <c r="L91" i="81"/>
  <c r="K198" i="82"/>
  <c r="K92" i="81"/>
  <c r="J199" i="82"/>
  <c r="I200" i="82"/>
  <c r="I94" i="81"/>
  <c r="H201" i="82"/>
  <c r="L201" i="82"/>
  <c r="L95" i="81"/>
  <c r="K202" i="82"/>
  <c r="J203" i="82"/>
  <c r="J97" i="81"/>
  <c r="I204" i="82"/>
  <c r="H205" i="82"/>
  <c r="L205" i="82"/>
  <c r="L99" i="81"/>
  <c r="K9" i="81"/>
  <c r="I11" i="81"/>
  <c r="L12" i="81"/>
  <c r="J14" i="81"/>
  <c r="H16" i="81"/>
  <c r="K17" i="81"/>
  <c r="I19" i="81"/>
  <c r="L20" i="81"/>
  <c r="J22" i="81"/>
  <c r="H24" i="81"/>
  <c r="K25" i="81"/>
  <c r="I27" i="81"/>
  <c r="L28" i="81"/>
  <c r="J30" i="81"/>
  <c r="H32" i="81"/>
  <c r="K33" i="81"/>
  <c r="I35" i="81"/>
  <c r="L36" i="81"/>
  <c r="J38" i="81"/>
  <c r="H40" i="81"/>
  <c r="K41" i="81"/>
  <c r="I43" i="81"/>
  <c r="L44" i="81"/>
  <c r="J46" i="81"/>
  <c r="H48" i="81"/>
  <c r="K49" i="81"/>
  <c r="I51" i="81"/>
  <c r="L52" i="81"/>
  <c r="J54" i="81"/>
  <c r="L56" i="81"/>
  <c r="K57" i="81"/>
  <c r="H60" i="81"/>
  <c r="L60" i="81"/>
  <c r="I63" i="81"/>
  <c r="H64" i="81"/>
  <c r="J66" i="81"/>
  <c r="I67" i="81"/>
  <c r="L68" i="81"/>
  <c r="J74" i="81"/>
  <c r="H76" i="81"/>
  <c r="H80" i="81"/>
  <c r="K81" i="81"/>
  <c r="I87" i="81"/>
  <c r="L88" i="81"/>
  <c r="L92" i="81"/>
  <c r="J94" i="81"/>
  <c r="H100" i="81"/>
  <c r="K101" i="81"/>
  <c r="I17" i="81"/>
  <c r="L18" i="81"/>
  <c r="J20" i="81"/>
  <c r="H22" i="81"/>
  <c r="K23" i="81"/>
  <c r="I25" i="81"/>
  <c r="L26" i="81"/>
  <c r="J28" i="81"/>
  <c r="H30" i="81"/>
  <c r="K31" i="81"/>
  <c r="I33" i="81"/>
  <c r="L34" i="81"/>
  <c r="I8" i="81"/>
  <c r="I114" i="82"/>
  <c r="H9" i="81"/>
  <c r="H115" i="82"/>
  <c r="L9" i="81"/>
  <c r="L115" i="82"/>
  <c r="K10" i="81"/>
  <c r="K116" i="82"/>
  <c r="J11" i="81"/>
  <c r="J117" i="82"/>
  <c r="I12" i="81"/>
  <c r="I118" i="82"/>
  <c r="H13" i="81"/>
  <c r="H119" i="82"/>
  <c r="L13" i="81"/>
  <c r="L119" i="82"/>
  <c r="K14" i="81"/>
  <c r="K120" i="82"/>
  <c r="J15" i="81"/>
  <c r="J121" i="82"/>
  <c r="I16" i="81"/>
  <c r="I122" i="82"/>
  <c r="H17" i="81"/>
  <c r="H123" i="82"/>
  <c r="L17" i="81"/>
  <c r="L123" i="82"/>
  <c r="K18" i="81"/>
  <c r="K124" i="82"/>
  <c r="J19" i="81"/>
  <c r="J125" i="82"/>
  <c r="I20" i="81"/>
  <c r="I126" i="82"/>
  <c r="H21" i="81"/>
  <c r="H127" i="82"/>
  <c r="L21" i="81"/>
  <c r="L127" i="82"/>
  <c r="K22" i="81"/>
  <c r="K128" i="82"/>
  <c r="J23" i="81"/>
  <c r="J129" i="82"/>
  <c r="I24" i="81"/>
  <c r="I130" i="82"/>
  <c r="H25" i="81"/>
  <c r="H131" i="82"/>
  <c r="L25" i="81"/>
  <c r="L131" i="82"/>
  <c r="K26" i="81"/>
  <c r="K132" i="82"/>
  <c r="J27" i="81"/>
  <c r="J133" i="82"/>
  <c r="I28" i="81"/>
  <c r="I134" i="82"/>
  <c r="H29" i="81"/>
  <c r="H135" i="82"/>
  <c r="L29" i="81"/>
  <c r="L135" i="82"/>
  <c r="K30" i="81"/>
  <c r="K136" i="82"/>
  <c r="J31" i="81"/>
  <c r="J137" i="82"/>
  <c r="I32" i="81"/>
  <c r="I138" i="82"/>
  <c r="H33" i="81"/>
  <c r="H139" i="82"/>
  <c r="L33" i="81"/>
  <c r="L139" i="82"/>
  <c r="K34" i="81"/>
  <c r="K140" i="82"/>
  <c r="J35" i="81"/>
  <c r="J141" i="82"/>
  <c r="I36" i="81"/>
  <c r="I142" i="82"/>
  <c r="H37" i="81"/>
  <c r="H143" i="82"/>
  <c r="L37" i="81"/>
  <c r="L143" i="82"/>
  <c r="K38" i="81"/>
  <c r="K144" i="82"/>
  <c r="J39" i="81"/>
  <c r="J145" i="82"/>
  <c r="I40" i="81"/>
  <c r="I146" i="82"/>
  <c r="H41" i="81"/>
  <c r="H147" i="82"/>
  <c r="L41" i="81"/>
  <c r="L147" i="82"/>
  <c r="K42" i="81"/>
  <c r="K148" i="82"/>
  <c r="J43" i="81"/>
  <c r="J149" i="82"/>
  <c r="I44" i="81"/>
  <c r="I150" i="82"/>
  <c r="H45" i="81"/>
  <c r="H151" i="82"/>
  <c r="L45" i="81"/>
  <c r="L151" i="82"/>
  <c r="K46" i="81"/>
  <c r="K152" i="82"/>
  <c r="J47" i="81"/>
  <c r="J153" i="82"/>
  <c r="I48" i="81"/>
  <c r="I154" i="82"/>
  <c r="H49" i="81"/>
  <c r="H155" i="82"/>
  <c r="L49" i="81"/>
  <c r="L155" i="82"/>
  <c r="K50" i="81"/>
  <c r="K156" i="82"/>
  <c r="J51" i="81"/>
  <c r="J157" i="82"/>
  <c r="I52" i="81"/>
  <c r="I158" i="82"/>
  <c r="H53" i="81"/>
  <c r="H159" i="82"/>
  <c r="L53" i="81"/>
  <c r="L159" i="82"/>
  <c r="K54" i="81"/>
  <c r="K160" i="82"/>
  <c r="J55" i="81"/>
  <c r="J161" i="82"/>
  <c r="I56" i="81"/>
  <c r="I162" i="82"/>
  <c r="H57" i="81"/>
  <c r="H163" i="82"/>
  <c r="L57" i="81"/>
  <c r="L163" i="82"/>
  <c r="K58" i="81"/>
  <c r="K164" i="82"/>
  <c r="J59" i="81"/>
  <c r="J165" i="82"/>
  <c r="I60" i="81"/>
  <c r="I166" i="82"/>
  <c r="H61" i="81"/>
  <c r="H167" i="82"/>
  <c r="L61" i="81"/>
  <c r="L167" i="82"/>
  <c r="K62" i="81"/>
  <c r="K168" i="82"/>
  <c r="J63" i="81"/>
  <c r="J169" i="82"/>
  <c r="I64" i="81"/>
  <c r="I170" i="82"/>
  <c r="H65" i="81"/>
  <c r="H171" i="82"/>
  <c r="L65" i="81"/>
  <c r="L171" i="82"/>
  <c r="K66" i="81"/>
  <c r="K172" i="82"/>
  <c r="J67" i="81"/>
  <c r="J173" i="82"/>
  <c r="I68" i="81"/>
  <c r="I174" i="82"/>
  <c r="H69" i="81"/>
  <c r="H175" i="82"/>
  <c r="L69" i="81"/>
  <c r="L175" i="82"/>
  <c r="K70" i="81"/>
  <c r="K176" i="82"/>
  <c r="J71" i="81"/>
  <c r="J177" i="82"/>
  <c r="I72" i="81"/>
  <c r="I178" i="82"/>
  <c r="H73" i="81"/>
  <c r="H179" i="82"/>
  <c r="L73" i="81"/>
  <c r="L179" i="82"/>
  <c r="K74" i="81"/>
  <c r="K180" i="82"/>
  <c r="J75" i="81"/>
  <c r="J181" i="82"/>
  <c r="I76" i="81"/>
  <c r="I182" i="82"/>
  <c r="H77" i="81"/>
  <c r="H183" i="82"/>
  <c r="L77" i="81"/>
  <c r="L183" i="82"/>
  <c r="K78" i="81"/>
  <c r="K184" i="82"/>
  <c r="J79" i="81"/>
  <c r="J185" i="82"/>
  <c r="I80" i="81"/>
  <c r="I186" i="82"/>
  <c r="H81" i="81"/>
  <c r="H187" i="82"/>
  <c r="L81" i="81"/>
  <c r="L187" i="82"/>
  <c r="K82" i="81"/>
  <c r="K188" i="82"/>
  <c r="J83" i="81"/>
  <c r="J189" i="82"/>
  <c r="I84" i="81"/>
  <c r="I190" i="82"/>
  <c r="H85" i="81"/>
  <c r="H191" i="82"/>
  <c r="L85" i="81"/>
  <c r="L191" i="82"/>
  <c r="K86" i="81"/>
  <c r="K192" i="82"/>
  <c r="J87" i="81"/>
  <c r="J193" i="82"/>
  <c r="I88" i="81"/>
  <c r="I194" i="82"/>
  <c r="H89" i="81"/>
  <c r="H195" i="82"/>
  <c r="L89" i="81"/>
  <c r="L195" i="82"/>
  <c r="K90" i="81"/>
  <c r="K196" i="82"/>
  <c r="J91" i="81"/>
  <c r="J197" i="82"/>
  <c r="I92" i="81"/>
  <c r="I198" i="82"/>
  <c r="H93" i="81"/>
  <c r="H199" i="82"/>
  <c r="L93" i="81"/>
  <c r="L199" i="82"/>
  <c r="K94" i="81"/>
  <c r="K200" i="82"/>
  <c r="J95" i="81"/>
  <c r="J201" i="82"/>
  <c r="I96" i="81"/>
  <c r="I202" i="82"/>
  <c r="H97" i="81"/>
  <c r="H203" i="82"/>
  <c r="L97" i="81"/>
  <c r="L203" i="82"/>
  <c r="K98" i="81"/>
  <c r="K204" i="82"/>
  <c r="J99" i="81"/>
  <c r="J205" i="82"/>
  <c r="I100" i="81"/>
  <c r="I206" i="82"/>
  <c r="H101" i="81"/>
  <c r="L101" i="81"/>
  <c r="K102" i="81"/>
  <c r="J103" i="81"/>
  <c r="J114" i="83"/>
  <c r="I115" i="83"/>
  <c r="H116" i="83"/>
  <c r="L116" i="83"/>
  <c r="K117" i="83"/>
  <c r="J118" i="83"/>
  <c r="I119" i="83"/>
  <c r="H120" i="83"/>
  <c r="L120" i="83"/>
  <c r="K121" i="83"/>
  <c r="J122" i="83"/>
  <c r="I123" i="83"/>
  <c r="H124" i="83"/>
  <c r="L124" i="83"/>
  <c r="K125" i="83"/>
  <c r="J126" i="83"/>
  <c r="I127" i="83"/>
  <c r="H128" i="83"/>
  <c r="L128" i="83"/>
  <c r="K129" i="83"/>
  <c r="J130" i="83"/>
  <c r="I131" i="83"/>
  <c r="H132" i="83"/>
  <c r="L132" i="83"/>
  <c r="K133" i="83"/>
  <c r="J134" i="83"/>
  <c r="I135" i="83"/>
  <c r="H136" i="83"/>
  <c r="L136" i="83"/>
  <c r="K137" i="83"/>
  <c r="J138" i="83"/>
  <c r="I139" i="83"/>
  <c r="H140" i="83"/>
  <c r="L140" i="83"/>
  <c r="K141" i="83"/>
  <c r="J142" i="83"/>
  <c r="I143" i="83"/>
  <c r="H144" i="83"/>
  <c r="L144" i="83"/>
  <c r="K145" i="83"/>
  <c r="J146" i="83"/>
  <c r="I147" i="83"/>
  <c r="H148" i="83"/>
  <c r="L148" i="83"/>
  <c r="K149" i="83"/>
  <c r="J150" i="83"/>
  <c r="I151" i="83"/>
  <c r="H152" i="83"/>
  <c r="L152" i="83"/>
  <c r="K153" i="83"/>
  <c r="J154" i="83"/>
  <c r="I155" i="83"/>
  <c r="H156" i="83"/>
  <c r="L156" i="83"/>
  <c r="K157" i="83"/>
  <c r="J158" i="83"/>
  <c r="I159" i="83"/>
  <c r="H160" i="83"/>
  <c r="L54" i="81"/>
  <c r="L160" i="83"/>
  <c r="K55" i="81"/>
  <c r="K161" i="83"/>
  <c r="J56" i="81"/>
  <c r="J162" i="83"/>
  <c r="I57" i="81"/>
  <c r="I163" i="83"/>
  <c r="H58" i="81"/>
  <c r="H164" i="83"/>
  <c r="L58" i="81"/>
  <c r="L164" i="83"/>
  <c r="K59" i="81"/>
  <c r="K165" i="83"/>
  <c r="J60" i="81"/>
  <c r="J166" i="83"/>
  <c r="I61" i="81"/>
  <c r="I167" i="83"/>
  <c r="H62" i="81"/>
  <c r="H168" i="83"/>
  <c r="L62" i="81"/>
  <c r="L168" i="83"/>
  <c r="K63" i="81"/>
  <c r="K169" i="83"/>
  <c r="J64" i="81"/>
  <c r="J170" i="83"/>
  <c r="I65" i="81"/>
  <c r="I171" i="83"/>
  <c r="H66" i="81"/>
  <c r="H172" i="83"/>
  <c r="L66" i="81"/>
  <c r="L172" i="83"/>
  <c r="K67" i="81"/>
  <c r="K173" i="83"/>
  <c r="J68" i="81"/>
  <c r="J174" i="83"/>
  <c r="I69" i="81"/>
  <c r="I175" i="83"/>
  <c r="H176" i="83"/>
  <c r="L70" i="81"/>
  <c r="L176" i="83"/>
  <c r="K71" i="81"/>
  <c r="K177" i="83"/>
  <c r="J72" i="81"/>
  <c r="J178" i="83"/>
  <c r="I179" i="83"/>
  <c r="H74" i="81"/>
  <c r="H180" i="83"/>
  <c r="L74" i="81"/>
  <c r="L180" i="83"/>
  <c r="K75" i="81"/>
  <c r="K181" i="83"/>
  <c r="J182" i="83"/>
  <c r="I77" i="81"/>
  <c r="I183" i="83"/>
  <c r="H78" i="81"/>
  <c r="H184" i="83"/>
  <c r="L78" i="81"/>
  <c r="L184" i="83"/>
  <c r="K185" i="83"/>
  <c r="J80" i="81"/>
  <c r="J186" i="83"/>
  <c r="I81" i="81"/>
  <c r="I187" i="83"/>
  <c r="H82" i="81"/>
  <c r="H188" i="83"/>
  <c r="L188" i="83"/>
  <c r="K83" i="81"/>
  <c r="K189" i="83"/>
  <c r="J84" i="81"/>
  <c r="J190" i="83"/>
  <c r="I85" i="81"/>
  <c r="I191" i="83"/>
  <c r="H192" i="83"/>
  <c r="L86" i="81"/>
  <c r="L192" i="83"/>
  <c r="K87" i="81"/>
  <c r="K193" i="83"/>
  <c r="J88" i="81"/>
  <c r="J194" i="83"/>
  <c r="I195" i="83"/>
  <c r="H90" i="81"/>
  <c r="H196" i="83"/>
  <c r="L90" i="81"/>
  <c r="L196" i="83"/>
  <c r="K91" i="81"/>
  <c r="K197" i="83"/>
  <c r="J198" i="83"/>
  <c r="I93" i="81"/>
  <c r="I199" i="83"/>
  <c r="H94" i="81"/>
  <c r="H200" i="83"/>
  <c r="L94" i="81"/>
  <c r="L200" i="83"/>
  <c r="K201" i="83"/>
  <c r="J96" i="81"/>
  <c r="J202" i="83"/>
  <c r="I97" i="81"/>
  <c r="I203" i="83"/>
  <c r="H98" i="81"/>
  <c r="H204" i="83"/>
  <c r="L204" i="83"/>
  <c r="K99" i="81"/>
  <c r="K205" i="83"/>
  <c r="J100" i="81"/>
  <c r="J206" i="83"/>
  <c r="K8" i="81"/>
  <c r="K114" i="84"/>
  <c r="J9" i="81"/>
  <c r="J115" i="84"/>
  <c r="I10" i="81"/>
  <c r="I116" i="84"/>
  <c r="H11" i="81"/>
  <c r="H117" i="84"/>
  <c r="L11" i="81"/>
  <c r="L117" i="84"/>
  <c r="K12" i="81"/>
  <c r="K118" i="84"/>
  <c r="J13" i="81"/>
  <c r="J119" i="84"/>
  <c r="I14" i="81"/>
  <c r="I120" i="84"/>
  <c r="H15" i="81"/>
  <c r="H121" i="84"/>
  <c r="L15" i="81"/>
  <c r="L121" i="84"/>
  <c r="K16" i="81"/>
  <c r="K122" i="84"/>
  <c r="J17" i="81"/>
  <c r="J123" i="84"/>
  <c r="I18" i="81"/>
  <c r="I124" i="84"/>
  <c r="H19" i="81"/>
  <c r="H125" i="84"/>
  <c r="L19" i="81"/>
  <c r="L125" i="84"/>
  <c r="K20" i="81"/>
  <c r="K126" i="84"/>
  <c r="J21" i="81"/>
  <c r="J127" i="84"/>
  <c r="I22" i="81"/>
  <c r="I128" i="84"/>
  <c r="H23" i="81"/>
  <c r="H129" i="84"/>
  <c r="L23" i="81"/>
  <c r="L129" i="84"/>
  <c r="K24" i="81"/>
  <c r="K130" i="84"/>
  <c r="J25" i="81"/>
  <c r="J131" i="84"/>
  <c r="I26" i="81"/>
  <c r="I132" i="84"/>
  <c r="H27" i="81"/>
  <c r="H133" i="84"/>
  <c r="L27" i="81"/>
  <c r="L133" i="84"/>
  <c r="K28" i="81"/>
  <c r="K134" i="84"/>
  <c r="J29" i="81"/>
  <c r="J135" i="84"/>
  <c r="I30" i="81"/>
  <c r="I136" i="84"/>
  <c r="H31" i="81"/>
  <c r="H137" i="84"/>
  <c r="L31" i="81"/>
  <c r="L137" i="84"/>
  <c r="K32" i="81"/>
  <c r="K138" i="84"/>
  <c r="J33" i="81"/>
  <c r="J139" i="84"/>
  <c r="I34" i="81"/>
  <c r="I140" i="84"/>
  <c r="H35" i="81"/>
  <c r="H141" i="84"/>
  <c r="L35" i="81"/>
  <c r="L141" i="84"/>
  <c r="K36" i="81"/>
  <c r="K142" i="84"/>
  <c r="J37" i="81"/>
  <c r="J143" i="84"/>
  <c r="I38" i="81"/>
  <c r="I144" i="84"/>
  <c r="H39" i="81"/>
  <c r="H145" i="84"/>
  <c r="L39" i="81"/>
  <c r="L145" i="84"/>
  <c r="K40" i="81"/>
  <c r="K146" i="84"/>
  <c r="J41" i="81"/>
  <c r="J147" i="84"/>
  <c r="I42" i="81"/>
  <c r="I148" i="84"/>
  <c r="H43" i="81"/>
  <c r="H149" i="84"/>
  <c r="L43" i="81"/>
  <c r="L149" i="84"/>
  <c r="K44" i="81"/>
  <c r="K150" i="84"/>
  <c r="J45" i="81"/>
  <c r="J151" i="84"/>
  <c r="I46" i="81"/>
  <c r="I152" i="84"/>
  <c r="H47" i="81"/>
  <c r="H153" i="84"/>
  <c r="L47" i="81"/>
  <c r="L153" i="84"/>
  <c r="K48" i="81"/>
  <c r="K154" i="84"/>
  <c r="J49" i="81"/>
  <c r="J155" i="84"/>
  <c r="I50" i="81"/>
  <c r="I156" i="84"/>
  <c r="H51" i="81"/>
  <c r="H157" i="84"/>
  <c r="L51" i="81"/>
  <c r="L157" i="84"/>
  <c r="K52" i="81"/>
  <c r="K158" i="84"/>
  <c r="J53" i="81"/>
  <c r="J159" i="84"/>
  <c r="I54" i="81"/>
  <c r="I160" i="84"/>
  <c r="H55" i="81"/>
  <c r="H161" i="84"/>
  <c r="L55" i="81"/>
  <c r="L161" i="84"/>
  <c r="K56" i="81"/>
  <c r="K162" i="84"/>
  <c r="J57" i="81"/>
  <c r="J163" i="84"/>
  <c r="I58" i="81"/>
  <c r="I164" i="84"/>
  <c r="H59" i="81"/>
  <c r="H165" i="84"/>
  <c r="L59" i="81"/>
  <c r="L165" i="84"/>
  <c r="K60" i="81"/>
  <c r="K166" i="84"/>
  <c r="J61" i="81"/>
  <c r="J167" i="84"/>
  <c r="I62" i="81"/>
  <c r="I168" i="84"/>
  <c r="H63" i="81"/>
  <c r="H169" i="84"/>
  <c r="L63" i="81"/>
  <c r="L169" i="84"/>
  <c r="K64" i="81"/>
  <c r="K170" i="84"/>
  <c r="J65" i="81"/>
  <c r="J171" i="84"/>
  <c r="I66" i="81"/>
  <c r="I172" i="84"/>
  <c r="H67" i="81"/>
  <c r="H173" i="84"/>
  <c r="J114" i="82"/>
  <c r="I115" i="82"/>
  <c r="H116" i="82"/>
  <c r="L116" i="82"/>
  <c r="K117" i="82"/>
  <c r="J118" i="82"/>
  <c r="I119" i="82"/>
  <c r="H120" i="82"/>
  <c r="L120" i="82"/>
  <c r="K121" i="82"/>
  <c r="J122" i="82"/>
  <c r="I123" i="82"/>
  <c r="H124" i="82"/>
  <c r="L124" i="82"/>
  <c r="K125" i="82"/>
  <c r="J126" i="82"/>
  <c r="I127" i="82"/>
  <c r="H128" i="82"/>
  <c r="L128" i="82"/>
  <c r="K129" i="82"/>
  <c r="J130" i="82"/>
  <c r="I131" i="82"/>
  <c r="H132" i="82"/>
  <c r="L132" i="82"/>
  <c r="K133" i="82"/>
  <c r="J134" i="82"/>
  <c r="I135" i="82"/>
  <c r="H136" i="82"/>
  <c r="L136" i="82"/>
  <c r="K137" i="82"/>
  <c r="J138" i="82"/>
  <c r="I139" i="82"/>
  <c r="H140" i="82"/>
  <c r="L140" i="82"/>
  <c r="K141" i="82"/>
  <c r="J142" i="82"/>
  <c r="I143" i="82"/>
  <c r="H144" i="82"/>
  <c r="L144" i="82"/>
  <c r="K145" i="82"/>
  <c r="J146" i="82"/>
  <c r="I147" i="82"/>
  <c r="H148" i="82"/>
  <c r="L148" i="82"/>
  <c r="K149" i="82"/>
  <c r="J150" i="82"/>
  <c r="I151" i="82"/>
  <c r="H152" i="82"/>
  <c r="L152" i="82"/>
  <c r="K153" i="82"/>
  <c r="J154" i="82"/>
  <c r="I155" i="82"/>
  <c r="H156" i="82"/>
  <c r="L156" i="82"/>
  <c r="K157" i="82"/>
  <c r="J158" i="82"/>
  <c r="I159" i="82"/>
  <c r="H160" i="82"/>
  <c r="L160" i="82"/>
  <c r="K161" i="82"/>
  <c r="J162" i="82"/>
  <c r="I163" i="82"/>
  <c r="H164" i="82"/>
  <c r="L164" i="82"/>
  <c r="K165" i="82"/>
  <c r="J166" i="82"/>
  <c r="I167" i="82"/>
  <c r="H168" i="82"/>
  <c r="L168" i="82"/>
  <c r="K169" i="82"/>
  <c r="J170" i="82"/>
  <c r="I171" i="82"/>
  <c r="H172" i="82"/>
  <c r="L172" i="82"/>
  <c r="K173" i="82"/>
  <c r="J174" i="82"/>
  <c r="I175" i="82"/>
  <c r="H176" i="82"/>
  <c r="L176" i="82"/>
  <c r="K177" i="82"/>
  <c r="J178" i="82"/>
  <c r="I179" i="82"/>
  <c r="H180" i="82"/>
  <c r="L180" i="82"/>
  <c r="K181" i="82"/>
  <c r="J182" i="82"/>
  <c r="I183" i="82"/>
  <c r="H184" i="82"/>
  <c r="L184" i="82"/>
  <c r="K185" i="82"/>
  <c r="J186" i="82"/>
  <c r="I187" i="82"/>
  <c r="H188" i="82"/>
  <c r="L188" i="82"/>
  <c r="K189" i="82"/>
  <c r="J190" i="82"/>
  <c r="I191" i="82"/>
  <c r="H192" i="82"/>
  <c r="L192" i="82"/>
  <c r="K193" i="82"/>
  <c r="J194" i="82"/>
  <c r="I195" i="82"/>
  <c r="H196" i="82"/>
  <c r="L196" i="82"/>
  <c r="K197" i="82"/>
  <c r="J198" i="82"/>
  <c r="I199" i="82"/>
  <c r="H200" i="82"/>
  <c r="L200" i="82"/>
  <c r="K201" i="82"/>
  <c r="J202" i="82"/>
  <c r="I203" i="82"/>
  <c r="H204" i="82"/>
  <c r="L204" i="82"/>
  <c r="K205" i="82"/>
  <c r="J206" i="82"/>
  <c r="K114" i="83"/>
  <c r="J115" i="83"/>
  <c r="I116" i="83"/>
  <c r="H117" i="83"/>
  <c r="L117" i="83"/>
  <c r="K118" i="83"/>
  <c r="J119" i="83"/>
  <c r="I120" i="83"/>
  <c r="H121" i="83"/>
  <c r="L121" i="83"/>
  <c r="K122" i="83"/>
  <c r="J123" i="83"/>
  <c r="I124" i="83"/>
  <c r="H125" i="83"/>
  <c r="L125" i="83"/>
  <c r="K126" i="83"/>
  <c r="J127" i="83"/>
  <c r="I128" i="83"/>
  <c r="H129" i="83"/>
  <c r="L129" i="83"/>
  <c r="K130" i="83"/>
  <c r="J131" i="83"/>
  <c r="I132" i="83"/>
  <c r="H133" i="83"/>
  <c r="L133" i="83"/>
  <c r="K134" i="83"/>
  <c r="J135" i="83"/>
  <c r="I136" i="83"/>
  <c r="H137" i="83"/>
  <c r="L137" i="83"/>
  <c r="K138" i="83"/>
  <c r="J139" i="83"/>
  <c r="I140" i="83"/>
  <c r="H141" i="83"/>
  <c r="L141" i="83"/>
  <c r="K142" i="83"/>
  <c r="J143" i="83"/>
  <c r="I144" i="83"/>
  <c r="H145" i="83"/>
  <c r="L145" i="83"/>
  <c r="K146" i="83"/>
  <c r="J147" i="83"/>
  <c r="I148" i="83"/>
  <c r="H149" i="83"/>
  <c r="L149" i="83"/>
  <c r="K150" i="83"/>
  <c r="J151" i="83"/>
  <c r="I152" i="83"/>
  <c r="H153" i="83"/>
  <c r="L153" i="83"/>
  <c r="K154" i="83"/>
  <c r="J155" i="83"/>
  <c r="I156" i="83"/>
  <c r="H157" i="83"/>
  <c r="L157" i="83"/>
  <c r="K158" i="83"/>
  <c r="J159" i="83"/>
  <c r="I160" i="83"/>
  <c r="H161" i="83"/>
  <c r="L161" i="83"/>
  <c r="K162" i="83"/>
  <c r="J163" i="83"/>
  <c r="I164" i="83"/>
  <c r="H165" i="83"/>
  <c r="L165" i="83"/>
  <c r="K166" i="83"/>
  <c r="J167" i="83"/>
  <c r="I168" i="83"/>
  <c r="H169" i="83"/>
  <c r="L169" i="83"/>
  <c r="K170" i="83"/>
  <c r="J171" i="83"/>
  <c r="I172" i="83"/>
  <c r="H173" i="83"/>
  <c r="L173" i="83"/>
  <c r="K174" i="83"/>
  <c r="J175" i="83"/>
  <c r="I176" i="83"/>
  <c r="H177" i="83"/>
  <c r="L177" i="83"/>
  <c r="K178" i="83"/>
  <c r="J179" i="83"/>
  <c r="I180" i="83"/>
  <c r="H181" i="83"/>
  <c r="L181" i="83"/>
  <c r="K182" i="83"/>
  <c r="J183" i="83"/>
  <c r="I184" i="83"/>
  <c r="H185" i="83"/>
  <c r="L185" i="83"/>
  <c r="K186" i="83"/>
  <c r="J187" i="83"/>
  <c r="I188" i="83"/>
  <c r="H189" i="83"/>
  <c r="L189" i="83"/>
  <c r="K190" i="83"/>
  <c r="J191" i="83"/>
  <c r="I192" i="83"/>
  <c r="H193" i="83"/>
  <c r="L193" i="83"/>
  <c r="K194" i="83"/>
  <c r="J195" i="83"/>
  <c r="I196" i="83"/>
  <c r="H197" i="83"/>
  <c r="L197" i="83"/>
  <c r="K198" i="83"/>
  <c r="J199" i="83"/>
  <c r="I200" i="83"/>
  <c r="H201" i="83"/>
  <c r="L201" i="83"/>
  <c r="K202" i="83"/>
  <c r="J203" i="83"/>
  <c r="I204" i="83"/>
  <c r="H205" i="83"/>
  <c r="L205" i="83"/>
  <c r="K206" i="83"/>
  <c r="L114" i="84"/>
  <c r="K115" i="84"/>
  <c r="J116" i="84"/>
  <c r="I117" i="84"/>
  <c r="H118" i="84"/>
  <c r="L118" i="84"/>
  <c r="K119" i="84"/>
  <c r="J120" i="84"/>
  <c r="I121" i="84"/>
  <c r="H122" i="84"/>
  <c r="L122" i="84"/>
  <c r="K123" i="84"/>
  <c r="J124" i="84"/>
  <c r="I125" i="84"/>
  <c r="H126" i="84"/>
  <c r="L126" i="84"/>
  <c r="K127" i="84"/>
  <c r="J128" i="84"/>
  <c r="I129" i="84"/>
  <c r="H130" i="84"/>
  <c r="L130" i="84"/>
  <c r="K131" i="84"/>
  <c r="J132" i="84"/>
  <c r="I133" i="84"/>
  <c r="H134" i="84"/>
  <c r="L134" i="84"/>
  <c r="K135" i="84"/>
  <c r="J136" i="84"/>
  <c r="I137" i="84"/>
  <c r="H138" i="84"/>
  <c r="L138" i="84"/>
  <c r="K139" i="84"/>
  <c r="J140" i="84"/>
  <c r="K206" i="82"/>
  <c r="L114" i="83"/>
  <c r="K115" i="83"/>
  <c r="J116" i="83"/>
  <c r="I117" i="83"/>
  <c r="H118" i="83"/>
  <c r="L118" i="83"/>
  <c r="K119" i="83"/>
  <c r="J120" i="83"/>
  <c r="I121" i="83"/>
  <c r="H122" i="83"/>
  <c r="L122" i="83"/>
  <c r="K123" i="83"/>
  <c r="J124" i="83"/>
  <c r="I125" i="83"/>
  <c r="H126" i="83"/>
  <c r="L126" i="83"/>
  <c r="K127" i="83"/>
  <c r="J128" i="83"/>
  <c r="I129" i="83"/>
  <c r="H130" i="83"/>
  <c r="L130" i="83"/>
  <c r="K131" i="83"/>
  <c r="J132" i="83"/>
  <c r="I133" i="83"/>
  <c r="H134" i="83"/>
  <c r="L134" i="83"/>
  <c r="K135" i="83"/>
  <c r="J136" i="83"/>
  <c r="I137" i="83"/>
  <c r="H138" i="83"/>
  <c r="L138" i="83"/>
  <c r="K139" i="83"/>
  <c r="J140" i="83"/>
  <c r="I141" i="83"/>
  <c r="H142" i="83"/>
  <c r="L142" i="83"/>
  <c r="K143" i="83"/>
  <c r="J144" i="83"/>
  <c r="I145" i="83"/>
  <c r="H146" i="83"/>
  <c r="L146" i="83"/>
  <c r="K147" i="83"/>
  <c r="J148" i="83"/>
  <c r="I149" i="83"/>
  <c r="H150" i="83"/>
  <c r="L150" i="83"/>
  <c r="K151" i="83"/>
  <c r="J152" i="83"/>
  <c r="I153" i="83"/>
  <c r="H154" i="83"/>
  <c r="L154" i="83"/>
  <c r="K155" i="83"/>
  <c r="J156" i="83"/>
  <c r="I157" i="83"/>
  <c r="H158" i="83"/>
  <c r="L158" i="83"/>
  <c r="K159" i="83"/>
  <c r="J160" i="83"/>
  <c r="I161" i="83"/>
  <c r="H162" i="83"/>
  <c r="L162" i="83"/>
  <c r="K163" i="83"/>
  <c r="J164" i="83"/>
  <c r="I165" i="83"/>
  <c r="H166" i="83"/>
  <c r="L166" i="83"/>
  <c r="K167" i="83"/>
  <c r="J168" i="83"/>
  <c r="I169" i="83"/>
  <c r="H170" i="83"/>
  <c r="L170" i="83"/>
  <c r="K171" i="83"/>
  <c r="J172" i="83"/>
  <c r="I173" i="83"/>
  <c r="H174" i="83"/>
  <c r="L174" i="83"/>
  <c r="K175" i="83"/>
  <c r="J176" i="83"/>
  <c r="I177" i="83"/>
  <c r="H178" i="83"/>
  <c r="L178" i="83"/>
  <c r="K179" i="83"/>
  <c r="J180" i="83"/>
  <c r="I181" i="83"/>
  <c r="H182" i="83"/>
  <c r="L182" i="83"/>
  <c r="K183" i="83"/>
  <c r="J184" i="83"/>
  <c r="I185" i="83"/>
  <c r="H186" i="83"/>
  <c r="L186" i="83"/>
  <c r="K187" i="83"/>
  <c r="J188" i="83"/>
  <c r="I189" i="83"/>
  <c r="H190" i="83"/>
  <c r="L190" i="83"/>
  <c r="K191" i="83"/>
  <c r="J192" i="83"/>
  <c r="I193" i="83"/>
  <c r="H194" i="83"/>
  <c r="L194" i="83"/>
  <c r="K195" i="83"/>
  <c r="J196" i="83"/>
  <c r="I197" i="83"/>
  <c r="H198" i="83"/>
  <c r="L198" i="83"/>
  <c r="K199" i="83"/>
  <c r="J200" i="83"/>
  <c r="I201" i="83"/>
  <c r="H202" i="83"/>
  <c r="L202" i="83"/>
  <c r="K203" i="83"/>
  <c r="J204" i="83"/>
  <c r="I205" i="83"/>
  <c r="H206" i="83"/>
  <c r="L206" i="83"/>
  <c r="I114" i="84"/>
  <c r="H115" i="84"/>
  <c r="L115" i="84"/>
  <c r="K116" i="84"/>
  <c r="J117" i="84"/>
  <c r="I118" i="84"/>
  <c r="H119" i="84"/>
  <c r="L119" i="84"/>
  <c r="K120" i="84"/>
  <c r="J121" i="84"/>
  <c r="I122" i="84"/>
  <c r="H123" i="84"/>
  <c r="L123" i="84"/>
  <c r="K124" i="84"/>
  <c r="J125" i="84"/>
  <c r="I126" i="84"/>
  <c r="H127" i="84"/>
  <c r="L127" i="84"/>
  <c r="K128" i="84"/>
  <c r="J129" i="84"/>
  <c r="I130" i="84"/>
  <c r="H131" i="84"/>
  <c r="L131" i="84"/>
  <c r="K132" i="84"/>
  <c r="J133" i="84"/>
  <c r="I134" i="84"/>
  <c r="H135" i="84"/>
  <c r="L135" i="84"/>
  <c r="K136" i="84"/>
  <c r="J137" i="84"/>
  <c r="I138" i="84"/>
  <c r="H139" i="84"/>
  <c r="L139" i="84"/>
  <c r="H147" i="84"/>
  <c r="L147" i="84"/>
  <c r="K148" i="84"/>
  <c r="J149" i="84"/>
  <c r="I150" i="84"/>
  <c r="H151" i="84"/>
  <c r="L151" i="84"/>
  <c r="K152" i="84"/>
  <c r="J153" i="84"/>
  <c r="I154" i="84"/>
  <c r="H155" i="84"/>
  <c r="L155" i="84"/>
  <c r="K156" i="84"/>
  <c r="J157" i="84"/>
  <c r="I158" i="84"/>
  <c r="H159" i="84"/>
  <c r="L159" i="84"/>
  <c r="K160" i="84"/>
  <c r="J161" i="84"/>
  <c r="I162" i="84"/>
  <c r="H163" i="84"/>
  <c r="L163" i="84"/>
  <c r="K164" i="84"/>
  <c r="J165" i="84"/>
  <c r="I166" i="84"/>
  <c r="H167" i="84"/>
  <c r="L167" i="84"/>
  <c r="K168" i="84"/>
  <c r="J169" i="84"/>
  <c r="I170" i="84"/>
  <c r="H171" i="84"/>
  <c r="L171" i="84"/>
  <c r="K172" i="84"/>
  <c r="J173" i="84"/>
  <c r="I174" i="84"/>
  <c r="H175" i="84"/>
  <c r="L175" i="84"/>
  <c r="K176" i="84"/>
  <c r="J177" i="84"/>
  <c r="I178" i="84"/>
  <c r="H179" i="84"/>
  <c r="L179" i="84"/>
  <c r="K180" i="84"/>
  <c r="J181" i="84"/>
  <c r="I182" i="84"/>
  <c r="H183" i="84"/>
  <c r="L183" i="84"/>
  <c r="K184" i="84"/>
  <c r="J185" i="84"/>
  <c r="I186" i="84"/>
  <c r="H187" i="84"/>
  <c r="L187" i="84"/>
  <c r="K188" i="84"/>
  <c r="J189" i="84"/>
  <c r="I190" i="84"/>
  <c r="H191" i="84"/>
  <c r="L191" i="84"/>
  <c r="K192" i="84"/>
  <c r="J193" i="84"/>
  <c r="I194" i="84"/>
  <c r="H195" i="84"/>
  <c r="L195" i="84"/>
  <c r="K196" i="84"/>
  <c r="J197" i="84"/>
  <c r="I198" i="84"/>
  <c r="H199" i="84"/>
  <c r="L199" i="84"/>
  <c r="K200" i="84"/>
  <c r="J201" i="84"/>
  <c r="I202" i="84"/>
  <c r="H203" i="84"/>
  <c r="L203" i="84"/>
  <c r="K204" i="84"/>
  <c r="J205" i="84"/>
  <c r="I206" i="84"/>
  <c r="J114" i="85"/>
  <c r="I115" i="85"/>
  <c r="H116" i="85"/>
  <c r="L116" i="85"/>
  <c r="K117" i="85"/>
  <c r="J118" i="85"/>
  <c r="I119" i="85"/>
  <c r="H120" i="85"/>
  <c r="L120" i="85"/>
  <c r="K121" i="85"/>
  <c r="J122" i="85"/>
  <c r="I123" i="85"/>
  <c r="H124" i="85"/>
  <c r="L124" i="85"/>
  <c r="K125" i="85"/>
  <c r="J126" i="85"/>
  <c r="I127" i="85"/>
  <c r="H128" i="85"/>
  <c r="L128" i="85"/>
  <c r="K129" i="85"/>
  <c r="J130" i="85"/>
  <c r="I131" i="85"/>
  <c r="H132" i="85"/>
  <c r="L132" i="85"/>
  <c r="K133" i="85"/>
  <c r="J134" i="85"/>
  <c r="I135" i="85"/>
  <c r="H136" i="85"/>
  <c r="L136" i="85"/>
  <c r="K137" i="85"/>
  <c r="J138" i="85"/>
  <c r="I139" i="85"/>
  <c r="H140" i="85"/>
  <c r="L140" i="85"/>
  <c r="K141" i="85"/>
  <c r="J142" i="85"/>
  <c r="I143" i="85"/>
  <c r="H144" i="85"/>
  <c r="L144" i="85"/>
  <c r="K145" i="85"/>
  <c r="J146" i="85"/>
  <c r="I147" i="85"/>
  <c r="H148" i="85"/>
  <c r="L148" i="85"/>
  <c r="K149" i="85"/>
  <c r="J150" i="85"/>
  <c r="I151" i="85"/>
  <c r="H152" i="85"/>
  <c r="L152" i="85"/>
  <c r="K153" i="85"/>
  <c r="J154" i="85"/>
  <c r="I155" i="85"/>
  <c r="H156" i="85"/>
  <c r="L156" i="85"/>
  <c r="K157" i="85"/>
  <c r="J158" i="85"/>
  <c r="I159" i="85"/>
  <c r="H160" i="85"/>
  <c r="L160" i="85"/>
  <c r="K161" i="85"/>
  <c r="J162" i="85"/>
  <c r="I163" i="85"/>
  <c r="H164" i="85"/>
  <c r="L164" i="85"/>
  <c r="K165" i="85"/>
  <c r="J166" i="85"/>
  <c r="I167" i="85"/>
  <c r="H168" i="85"/>
  <c r="L168" i="85"/>
  <c r="K169" i="85"/>
  <c r="J170" i="85"/>
  <c r="I171" i="85"/>
  <c r="H172" i="85"/>
  <c r="L172" i="85"/>
  <c r="K173" i="85"/>
  <c r="J174" i="85"/>
  <c r="I175" i="85"/>
  <c r="H176" i="85"/>
  <c r="L176" i="85"/>
  <c r="K177" i="85"/>
  <c r="J178" i="85"/>
  <c r="I179" i="85"/>
  <c r="H180" i="85"/>
  <c r="L180" i="85"/>
  <c r="K181" i="85"/>
  <c r="J182" i="85"/>
  <c r="I183" i="85"/>
  <c r="H184" i="85"/>
  <c r="L184" i="85"/>
  <c r="K185" i="85"/>
  <c r="J186" i="85"/>
  <c r="I187" i="85"/>
  <c r="H188" i="85"/>
  <c r="L188" i="85"/>
  <c r="K189" i="85"/>
  <c r="J190" i="85"/>
  <c r="I191" i="85"/>
  <c r="H192" i="85"/>
  <c r="L192" i="85"/>
  <c r="K193" i="85"/>
  <c r="J194" i="85"/>
  <c r="I195" i="85"/>
  <c r="H196" i="85"/>
  <c r="L196" i="85"/>
  <c r="K197" i="85"/>
  <c r="J198" i="85"/>
  <c r="I199" i="85"/>
  <c r="H200" i="85"/>
  <c r="L200" i="85"/>
  <c r="K201" i="85"/>
  <c r="J202" i="85"/>
  <c r="I203" i="85"/>
  <c r="H204" i="85"/>
  <c r="L204" i="85"/>
  <c r="K205" i="85"/>
  <c r="J206" i="85"/>
  <c r="K141" i="84"/>
  <c r="J142" i="84"/>
  <c r="I143" i="84"/>
  <c r="H144" i="84"/>
  <c r="L144" i="84"/>
  <c r="K145" i="84"/>
  <c r="J146" i="84"/>
  <c r="I147" i="84"/>
  <c r="H148" i="84"/>
  <c r="L148" i="84"/>
  <c r="K149" i="84"/>
  <c r="J150" i="84"/>
  <c r="I151" i="84"/>
  <c r="H152" i="84"/>
  <c r="L152" i="84"/>
  <c r="K153" i="84"/>
  <c r="J154" i="84"/>
  <c r="I155" i="84"/>
  <c r="H156" i="84"/>
  <c r="L156" i="84"/>
  <c r="K157" i="84"/>
  <c r="J158" i="84"/>
  <c r="I159" i="84"/>
  <c r="H160" i="84"/>
  <c r="L160" i="84"/>
  <c r="K161" i="84"/>
  <c r="J162" i="84"/>
  <c r="I163" i="84"/>
  <c r="H164" i="84"/>
  <c r="L164" i="84"/>
  <c r="K165" i="84"/>
  <c r="J166" i="84"/>
  <c r="I167" i="84"/>
  <c r="H168" i="84"/>
  <c r="L168" i="84"/>
  <c r="K169" i="84"/>
  <c r="J170" i="84"/>
  <c r="I171" i="84"/>
  <c r="H172" i="84"/>
  <c r="L172" i="84"/>
  <c r="K173" i="84"/>
  <c r="J174" i="84"/>
  <c r="I175" i="84"/>
  <c r="H176" i="84"/>
  <c r="L176" i="84"/>
  <c r="K177" i="84"/>
  <c r="J178" i="84"/>
  <c r="I179" i="84"/>
  <c r="H180" i="84"/>
  <c r="L180" i="84"/>
  <c r="K181" i="84"/>
  <c r="J182" i="84"/>
  <c r="I183" i="84"/>
  <c r="H184" i="84"/>
  <c r="L184" i="84"/>
  <c r="K185" i="84"/>
  <c r="J186" i="84"/>
  <c r="I187" i="84"/>
  <c r="H188" i="84"/>
  <c r="L188" i="84"/>
  <c r="K189" i="84"/>
  <c r="J190" i="84"/>
  <c r="I191" i="84"/>
  <c r="H192" i="84"/>
  <c r="L192" i="84"/>
  <c r="K193" i="84"/>
  <c r="J194" i="84"/>
  <c r="I195" i="84"/>
  <c r="H196" i="84"/>
  <c r="L196" i="84"/>
  <c r="K197" i="84"/>
  <c r="J198" i="84"/>
  <c r="I199" i="84"/>
  <c r="H200" i="84"/>
  <c r="L200" i="84"/>
  <c r="K201" i="84"/>
  <c r="J202" i="84"/>
  <c r="I203" i="84"/>
  <c r="H204" i="84"/>
  <c r="L204" i="84"/>
  <c r="K205" i="84"/>
  <c r="J206" i="84"/>
  <c r="K114" i="85"/>
  <c r="J115" i="85"/>
  <c r="I116" i="85"/>
  <c r="H117" i="85"/>
  <c r="L117" i="85"/>
  <c r="K118" i="85"/>
  <c r="J119" i="85"/>
  <c r="I120" i="85"/>
  <c r="H121" i="85"/>
  <c r="L121" i="85"/>
  <c r="K122" i="85"/>
  <c r="J123" i="85"/>
  <c r="I124" i="85"/>
  <c r="H125" i="85"/>
  <c r="L125" i="85"/>
  <c r="K126" i="85"/>
  <c r="J127" i="85"/>
  <c r="I128" i="85"/>
  <c r="H129" i="85"/>
  <c r="L129" i="85"/>
  <c r="K130" i="85"/>
  <c r="J131" i="85"/>
  <c r="I132" i="85"/>
  <c r="H133" i="85"/>
  <c r="L133" i="85"/>
  <c r="K134" i="85"/>
  <c r="J135" i="85"/>
  <c r="I136" i="85"/>
  <c r="H137" i="85"/>
  <c r="L137" i="85"/>
  <c r="K138" i="85"/>
  <c r="J139" i="85"/>
  <c r="I140" i="85"/>
  <c r="H141" i="85"/>
  <c r="L141" i="85"/>
  <c r="K142" i="85"/>
  <c r="J143" i="85"/>
  <c r="I144" i="85"/>
  <c r="H145" i="85"/>
  <c r="L145" i="85"/>
  <c r="K146" i="85"/>
  <c r="J147" i="85"/>
  <c r="I148" i="85"/>
  <c r="H149" i="85"/>
  <c r="L149" i="85"/>
  <c r="K150" i="85"/>
  <c r="J151" i="85"/>
  <c r="I152" i="85"/>
  <c r="H153" i="85"/>
  <c r="L153" i="85"/>
  <c r="K154" i="85"/>
  <c r="J155" i="85"/>
  <c r="I156" i="85"/>
  <c r="H157" i="85"/>
  <c r="L157" i="85"/>
  <c r="K158" i="85"/>
  <c r="J159" i="85"/>
  <c r="I160" i="85"/>
  <c r="H161" i="85"/>
  <c r="L161" i="85"/>
  <c r="K162" i="85"/>
  <c r="J163" i="85"/>
  <c r="I164" i="85"/>
  <c r="H165" i="85"/>
  <c r="L165" i="85"/>
  <c r="K166" i="85"/>
  <c r="J167" i="85"/>
  <c r="I168" i="85"/>
  <c r="H169" i="85"/>
  <c r="L169" i="85"/>
  <c r="K170" i="85"/>
  <c r="J171" i="85"/>
  <c r="I172" i="85"/>
  <c r="H173" i="85"/>
  <c r="L173" i="85"/>
  <c r="K174" i="85"/>
  <c r="J175" i="85"/>
  <c r="I176" i="85"/>
  <c r="H177" i="85"/>
  <c r="L177" i="85"/>
  <c r="K178" i="85"/>
  <c r="J179" i="85"/>
  <c r="I180" i="85"/>
  <c r="H181" i="85"/>
  <c r="L181" i="85"/>
  <c r="K182" i="85"/>
  <c r="J183" i="85"/>
  <c r="I184" i="85"/>
  <c r="H185" i="85"/>
  <c r="L185" i="85"/>
  <c r="K186" i="85"/>
  <c r="J187" i="85"/>
  <c r="I188" i="85"/>
  <c r="H189" i="85"/>
  <c r="L189" i="85"/>
  <c r="K190" i="85"/>
  <c r="J191" i="85"/>
  <c r="I192" i="85"/>
  <c r="H193" i="85"/>
  <c r="L193" i="85"/>
  <c r="K194" i="85"/>
  <c r="J195" i="85"/>
  <c r="I196" i="85"/>
  <c r="H197" i="85"/>
  <c r="L197" i="85"/>
  <c r="K198" i="85"/>
  <c r="J199" i="85"/>
  <c r="I200" i="85"/>
  <c r="H201" i="85"/>
  <c r="L201" i="85"/>
  <c r="K202" i="85"/>
  <c r="J203" i="85"/>
  <c r="I204" i="85"/>
  <c r="H205" i="85"/>
  <c r="L205" i="85"/>
  <c r="K206" i="85"/>
  <c r="L114" i="79"/>
  <c r="K115" i="79"/>
  <c r="J116" i="79"/>
  <c r="I117" i="79"/>
  <c r="H118" i="79"/>
  <c r="L118" i="79"/>
  <c r="K119" i="79"/>
  <c r="J120" i="79"/>
  <c r="L16" i="41" s="1"/>
  <c r="I121" i="79"/>
  <c r="H122" i="79"/>
  <c r="L122" i="79"/>
  <c r="K123" i="79"/>
  <c r="J124" i="79"/>
  <c r="I125" i="79"/>
  <c r="H126" i="79"/>
  <c r="L126" i="79"/>
  <c r="K127" i="79"/>
  <c r="J128" i="79"/>
  <c r="I129" i="79"/>
  <c r="H130" i="79"/>
  <c r="L130" i="79"/>
  <c r="K131" i="79"/>
  <c r="J132" i="79"/>
  <c r="I133" i="79"/>
  <c r="H134" i="79"/>
  <c r="L134" i="79"/>
  <c r="K135" i="79"/>
  <c r="J136" i="79"/>
  <c r="I137" i="79"/>
  <c r="H138" i="79"/>
  <c r="L138" i="79"/>
  <c r="K139" i="79"/>
  <c r="J140" i="79"/>
  <c r="I141" i="79"/>
  <c r="H142" i="79"/>
  <c r="L142" i="79"/>
  <c r="K143" i="79"/>
  <c r="J144" i="79"/>
  <c r="I145" i="79"/>
  <c r="H146" i="79"/>
  <c r="L146" i="79"/>
  <c r="K147" i="79"/>
  <c r="J148" i="79"/>
  <c r="I149" i="79"/>
  <c r="H150" i="79"/>
  <c r="L150" i="79"/>
  <c r="K151" i="79"/>
  <c r="J152" i="79"/>
  <c r="I153" i="79"/>
  <c r="H154" i="79"/>
  <c r="L154" i="79"/>
  <c r="K155" i="79"/>
  <c r="J156" i="79"/>
  <c r="I157" i="79"/>
  <c r="H158" i="79"/>
  <c r="L158" i="79"/>
  <c r="K159" i="79"/>
  <c r="J160" i="79"/>
  <c r="I161" i="79"/>
  <c r="H162" i="79"/>
  <c r="L162" i="79"/>
  <c r="K163" i="79"/>
  <c r="J164" i="79"/>
  <c r="I165" i="79"/>
  <c r="H166" i="79"/>
  <c r="L166" i="79"/>
  <c r="K167" i="79"/>
  <c r="J168" i="79"/>
  <c r="I169" i="79"/>
  <c r="H170" i="79"/>
  <c r="L170" i="79"/>
  <c r="K171" i="79"/>
  <c r="J172" i="79"/>
  <c r="I173" i="79"/>
  <c r="H174" i="79"/>
  <c r="L174" i="79"/>
  <c r="K175" i="79"/>
  <c r="J176" i="79"/>
  <c r="I177" i="79"/>
  <c r="H178" i="79"/>
  <c r="L178" i="79"/>
  <c r="K179" i="79"/>
  <c r="J180" i="79"/>
  <c r="I181" i="79"/>
  <c r="H182" i="79"/>
  <c r="L182" i="79"/>
  <c r="K183" i="79"/>
  <c r="J184" i="79"/>
  <c r="I185" i="79"/>
  <c r="H186" i="79"/>
  <c r="L186" i="79"/>
  <c r="K187" i="79"/>
  <c r="J188" i="79"/>
  <c r="I189" i="79"/>
  <c r="H190" i="79"/>
  <c r="L190" i="79"/>
  <c r="K191" i="79"/>
  <c r="J192" i="79"/>
  <c r="I193" i="79"/>
  <c r="H194" i="79"/>
  <c r="L194" i="79"/>
  <c r="K195" i="79"/>
  <c r="J196" i="79"/>
  <c r="I197" i="79"/>
  <c r="H198" i="79"/>
  <c r="L198" i="79"/>
  <c r="K199" i="79"/>
  <c r="J200" i="79"/>
  <c r="I201" i="79"/>
  <c r="H202" i="79"/>
  <c r="L202" i="79"/>
  <c r="K203" i="79"/>
  <c r="J204" i="79"/>
  <c r="I205" i="79"/>
  <c r="H206" i="79"/>
  <c r="L206" i="79"/>
  <c r="I114" i="78"/>
  <c r="H115" i="78"/>
  <c r="L115" i="78"/>
  <c r="K116" i="78"/>
  <c r="J117" i="78"/>
  <c r="K120" i="78"/>
  <c r="M15" i="41" s="1"/>
  <c r="J121" i="78"/>
  <c r="I122" i="78"/>
  <c r="H123" i="78"/>
  <c r="L123" i="78"/>
  <c r="K124" i="78"/>
  <c r="J125" i="78"/>
  <c r="I126" i="78"/>
  <c r="H127" i="78"/>
  <c r="L127" i="78"/>
  <c r="K128" i="78"/>
  <c r="J129" i="78"/>
  <c r="I130" i="78"/>
  <c r="H131" i="78"/>
  <c r="L131" i="78"/>
  <c r="K132" i="78"/>
  <c r="J133" i="78"/>
  <c r="I134" i="78"/>
  <c r="H135" i="78"/>
  <c r="L135" i="78"/>
  <c r="K136" i="78"/>
  <c r="J137" i="78"/>
  <c r="J114" i="78"/>
  <c r="I115" i="78"/>
  <c r="H116" i="78"/>
  <c r="L116" i="78"/>
  <c r="K117" i="78"/>
  <c r="J118" i="78"/>
  <c r="I119" i="78"/>
  <c r="H120" i="78"/>
  <c r="J15" i="41" s="1"/>
  <c r="L120" i="78"/>
  <c r="N15" i="41" s="1"/>
  <c r="I141" i="84"/>
  <c r="H142" i="84"/>
  <c r="L142" i="84"/>
  <c r="K143" i="84"/>
  <c r="J144" i="84"/>
  <c r="I145" i="84"/>
  <c r="H146" i="84"/>
  <c r="L146" i="84"/>
  <c r="K147" i="84"/>
  <c r="J148" i="84"/>
  <c r="I149" i="84"/>
  <c r="H150" i="84"/>
  <c r="L150" i="84"/>
  <c r="K151" i="84"/>
  <c r="J152" i="84"/>
  <c r="I153" i="84"/>
  <c r="H154" i="84"/>
  <c r="L154" i="84"/>
  <c r="K155" i="84"/>
  <c r="J156" i="84"/>
  <c r="I157" i="84"/>
  <c r="H158" i="84"/>
  <c r="L158" i="84"/>
  <c r="K159" i="84"/>
  <c r="J160" i="84"/>
  <c r="I161" i="84"/>
  <c r="H162" i="84"/>
  <c r="L162" i="84"/>
  <c r="K163" i="84"/>
  <c r="J164" i="84"/>
  <c r="I165" i="84"/>
  <c r="H166" i="84"/>
  <c r="L166" i="84"/>
  <c r="K167" i="84"/>
  <c r="J168" i="84"/>
  <c r="I169" i="84"/>
  <c r="H170" i="84"/>
  <c r="L170" i="84"/>
  <c r="K171" i="84"/>
  <c r="J172" i="84"/>
  <c r="I173" i="84"/>
  <c r="H174" i="84"/>
  <c r="L174" i="84"/>
  <c r="K175" i="84"/>
  <c r="J176" i="84"/>
  <c r="I177" i="84"/>
  <c r="H178" i="84"/>
  <c r="L178" i="84"/>
  <c r="K179" i="84"/>
  <c r="J180" i="84"/>
  <c r="I181" i="84"/>
  <c r="H182" i="84"/>
  <c r="L182" i="84"/>
  <c r="K183" i="84"/>
  <c r="J184" i="84"/>
  <c r="I185" i="84"/>
  <c r="H186" i="84"/>
  <c r="L186" i="84"/>
  <c r="K187" i="84"/>
  <c r="J188" i="84"/>
  <c r="I189" i="84"/>
  <c r="H190" i="84"/>
  <c r="L190" i="84"/>
  <c r="K191" i="84"/>
  <c r="J192" i="84"/>
  <c r="I193" i="84"/>
  <c r="H194" i="84"/>
  <c r="L194" i="84"/>
  <c r="K195" i="84"/>
  <c r="J196" i="84"/>
  <c r="I197" i="84"/>
  <c r="H198" i="84"/>
  <c r="L198" i="84"/>
  <c r="K199" i="84"/>
  <c r="J200" i="84"/>
  <c r="I201" i="84"/>
  <c r="H202" i="84"/>
  <c r="L202" i="84"/>
  <c r="K203" i="84"/>
  <c r="J204" i="84"/>
  <c r="I205" i="84"/>
  <c r="H206" i="84"/>
  <c r="L206" i="84"/>
  <c r="I114" i="85"/>
  <c r="H115" i="85"/>
  <c r="L115" i="85"/>
  <c r="K116" i="85"/>
  <c r="J117" i="85"/>
  <c r="I118" i="85"/>
  <c r="H119" i="85"/>
  <c r="L119" i="85"/>
  <c r="K120" i="85"/>
  <c r="J121" i="85"/>
  <c r="I122" i="85"/>
  <c r="H123" i="85"/>
  <c r="L123" i="85"/>
  <c r="K124" i="85"/>
  <c r="J125" i="85"/>
  <c r="I126" i="85"/>
  <c r="H127" i="85"/>
  <c r="L127" i="85"/>
  <c r="K128" i="85"/>
  <c r="J129" i="85"/>
  <c r="I130" i="85"/>
  <c r="H131" i="85"/>
  <c r="L131" i="85"/>
  <c r="K132" i="85"/>
  <c r="J133" i="85"/>
  <c r="I134" i="85"/>
  <c r="H135" i="85"/>
  <c r="L135" i="85"/>
  <c r="K136" i="85"/>
  <c r="J137" i="85"/>
  <c r="I138" i="85"/>
  <c r="H139" i="85"/>
  <c r="L139" i="85"/>
  <c r="K140" i="85"/>
  <c r="J141" i="85"/>
  <c r="I142" i="85"/>
  <c r="H143" i="85"/>
  <c r="L143" i="85"/>
  <c r="K144" i="85"/>
  <c r="J145" i="85"/>
  <c r="I146" i="85"/>
  <c r="H147" i="85"/>
  <c r="L147" i="85"/>
  <c r="K148" i="85"/>
  <c r="J149" i="85"/>
  <c r="I150" i="85"/>
  <c r="H151" i="85"/>
  <c r="L151" i="85"/>
  <c r="K152" i="85"/>
  <c r="J153" i="85"/>
  <c r="I154" i="85"/>
  <c r="H155" i="85"/>
  <c r="L155" i="85"/>
  <c r="K156" i="85"/>
  <c r="J157" i="85"/>
  <c r="I158" i="85"/>
  <c r="H159" i="85"/>
  <c r="L159" i="85"/>
  <c r="K160" i="85"/>
  <c r="J161" i="85"/>
  <c r="I162" i="85"/>
  <c r="H163" i="85"/>
  <c r="L163" i="85"/>
  <c r="K164" i="85"/>
  <c r="J165" i="85"/>
  <c r="I166" i="85"/>
  <c r="H167" i="85"/>
  <c r="L167" i="85"/>
  <c r="K168" i="85"/>
  <c r="J169" i="85"/>
  <c r="I170" i="85"/>
  <c r="H171" i="85"/>
  <c r="L171" i="85"/>
  <c r="K172" i="85"/>
  <c r="J173" i="85"/>
  <c r="I174" i="85"/>
  <c r="H175" i="85"/>
  <c r="L175" i="85"/>
  <c r="K176" i="85"/>
  <c r="J177" i="85"/>
  <c r="I178" i="85"/>
  <c r="H179" i="85"/>
  <c r="L179" i="85"/>
  <c r="K180" i="85"/>
  <c r="J181" i="85"/>
  <c r="I182" i="85"/>
  <c r="H183" i="85"/>
  <c r="L183" i="85"/>
  <c r="K184" i="85"/>
  <c r="J185" i="85"/>
  <c r="I186" i="85"/>
  <c r="H187" i="85"/>
  <c r="L187" i="85"/>
  <c r="K188" i="85"/>
  <c r="J189" i="85"/>
  <c r="I190" i="85"/>
  <c r="H191" i="85"/>
  <c r="L191" i="85"/>
  <c r="K192" i="85"/>
  <c r="J193" i="85"/>
  <c r="I194" i="85"/>
  <c r="H195" i="85"/>
  <c r="L195" i="85"/>
  <c r="K196" i="85"/>
  <c r="J197" i="85"/>
  <c r="I198" i="85"/>
  <c r="H199" i="85"/>
  <c r="L199" i="85"/>
  <c r="K200" i="85"/>
  <c r="J201" i="85"/>
  <c r="I202" i="85"/>
  <c r="H203" i="85"/>
  <c r="L203" i="85"/>
  <c r="K204" i="85"/>
  <c r="J205" i="85"/>
  <c r="I206" i="85"/>
  <c r="J114" i="79"/>
  <c r="I115" i="79"/>
  <c r="H116" i="79"/>
  <c r="L116" i="79"/>
  <c r="K117" i="79"/>
  <c r="J118" i="79"/>
  <c r="I119" i="79"/>
  <c r="H120" i="79"/>
  <c r="J16" i="41" s="1"/>
  <c r="L120" i="79"/>
  <c r="N16" i="41" s="1"/>
  <c r="K121" i="79"/>
  <c r="J122" i="79"/>
  <c r="I123" i="79"/>
  <c r="H124" i="79"/>
  <c r="L124" i="79"/>
  <c r="K125" i="79"/>
  <c r="J126" i="79"/>
  <c r="I127" i="79"/>
  <c r="H128" i="79"/>
  <c r="L128" i="79"/>
  <c r="K129" i="79"/>
  <c r="J130" i="79"/>
  <c r="I131" i="79"/>
  <c r="H132" i="79"/>
  <c r="L132" i="79"/>
  <c r="K133" i="79"/>
  <c r="J134" i="79"/>
  <c r="I135" i="79"/>
  <c r="H136" i="79"/>
  <c r="L136" i="79"/>
  <c r="K137" i="79"/>
  <c r="J138" i="79"/>
  <c r="I139" i="79"/>
  <c r="H140" i="79"/>
  <c r="L140" i="79"/>
  <c r="K141" i="79"/>
  <c r="J142" i="79"/>
  <c r="I143" i="79"/>
  <c r="H144" i="79"/>
  <c r="L144" i="79"/>
  <c r="K145" i="79"/>
  <c r="J146" i="79"/>
  <c r="I147" i="79"/>
  <c r="H148" i="79"/>
  <c r="L148" i="79"/>
  <c r="K149" i="79"/>
  <c r="J150" i="79"/>
  <c r="I151" i="79"/>
  <c r="H152" i="79"/>
  <c r="L152" i="79"/>
  <c r="K153" i="79"/>
  <c r="J154" i="79"/>
  <c r="I155" i="79"/>
  <c r="H156" i="79"/>
  <c r="L156" i="79"/>
  <c r="K157" i="79"/>
  <c r="J158" i="79"/>
  <c r="I159" i="79"/>
  <c r="H160" i="79"/>
  <c r="L160" i="79"/>
  <c r="K161" i="79"/>
  <c r="J162" i="79"/>
  <c r="I163" i="79"/>
  <c r="H164" i="79"/>
  <c r="L164" i="79"/>
  <c r="K165" i="79"/>
  <c r="J166" i="79"/>
  <c r="I167" i="79"/>
  <c r="H168" i="79"/>
  <c r="L168" i="79"/>
  <c r="K169" i="79"/>
  <c r="J170" i="79"/>
  <c r="I171" i="79"/>
  <c r="H172" i="79"/>
  <c r="L172" i="79"/>
  <c r="K173" i="79"/>
  <c r="J174" i="79"/>
  <c r="I175" i="79"/>
  <c r="H176" i="79"/>
  <c r="L176" i="79"/>
  <c r="K177" i="79"/>
  <c r="J178" i="79"/>
  <c r="I179" i="79"/>
  <c r="H180" i="79"/>
  <c r="L180" i="79"/>
  <c r="K181" i="79"/>
  <c r="J182" i="79"/>
  <c r="I183" i="79"/>
  <c r="H184" i="79"/>
  <c r="L184" i="79"/>
  <c r="K185" i="79"/>
  <c r="J186" i="79"/>
  <c r="I187" i="79"/>
  <c r="H188" i="79"/>
  <c r="L188" i="79"/>
  <c r="K189" i="79"/>
  <c r="J190" i="79"/>
  <c r="I191" i="79"/>
  <c r="H192" i="79"/>
  <c r="L192" i="79"/>
  <c r="K193" i="79"/>
  <c r="J194" i="79"/>
  <c r="I195" i="79"/>
  <c r="H196" i="79"/>
  <c r="L196" i="79"/>
  <c r="K197" i="79"/>
  <c r="J198" i="79"/>
  <c r="I199" i="79"/>
  <c r="H200" i="79"/>
  <c r="L200" i="79"/>
  <c r="K201" i="79"/>
  <c r="J202" i="79"/>
  <c r="I203" i="79"/>
  <c r="H204" i="79"/>
  <c r="L204" i="79"/>
  <c r="K205" i="79"/>
  <c r="J206" i="79"/>
  <c r="K114" i="78"/>
  <c r="J115" i="78"/>
  <c r="I116" i="78"/>
  <c r="H117" i="78"/>
  <c r="L117" i="78"/>
  <c r="K118" i="78"/>
  <c r="J119" i="78"/>
  <c r="K114" i="79"/>
  <c r="J115" i="79"/>
  <c r="I116" i="79"/>
  <c r="H117" i="79"/>
  <c r="L117" i="79"/>
  <c r="K118" i="79"/>
  <c r="J119" i="79"/>
  <c r="I120" i="79"/>
  <c r="K16" i="41" s="1"/>
  <c r="H121" i="79"/>
  <c r="L121" i="79"/>
  <c r="K122" i="79"/>
  <c r="J123" i="79"/>
  <c r="I124" i="79"/>
  <c r="H125" i="79"/>
  <c r="L125" i="79"/>
  <c r="K126" i="79"/>
  <c r="J127" i="79"/>
  <c r="I128" i="79"/>
  <c r="H129" i="79"/>
  <c r="L129" i="79"/>
  <c r="K130" i="79"/>
  <c r="J131" i="79"/>
  <c r="I132" i="79"/>
  <c r="H133" i="79"/>
  <c r="L133" i="79"/>
  <c r="K134" i="79"/>
  <c r="J135" i="79"/>
  <c r="I136" i="79"/>
  <c r="H137" i="79"/>
  <c r="L137" i="79"/>
  <c r="K138" i="79"/>
  <c r="J139" i="79"/>
  <c r="I140" i="79"/>
  <c r="H141" i="79"/>
  <c r="L141" i="79"/>
  <c r="K142" i="79"/>
  <c r="J143" i="79"/>
  <c r="I144" i="79"/>
  <c r="H145" i="79"/>
  <c r="L145" i="79"/>
  <c r="K146" i="79"/>
  <c r="J147" i="79"/>
  <c r="I148" i="79"/>
  <c r="H149" i="79"/>
  <c r="L149" i="79"/>
  <c r="K150" i="79"/>
  <c r="J151" i="79"/>
  <c r="I152" i="79"/>
  <c r="H153" i="79"/>
  <c r="L153" i="79"/>
  <c r="K154" i="79"/>
  <c r="J155" i="79"/>
  <c r="I156" i="79"/>
  <c r="H157" i="79"/>
  <c r="L157" i="79"/>
  <c r="K158" i="79"/>
  <c r="J159" i="79"/>
  <c r="I160" i="79"/>
  <c r="H161" i="79"/>
  <c r="L161" i="79"/>
  <c r="K162" i="79"/>
  <c r="J163" i="79"/>
  <c r="I164" i="79"/>
  <c r="H165" i="79"/>
  <c r="L165" i="79"/>
  <c r="K166" i="79"/>
  <c r="J167" i="79"/>
  <c r="I168" i="79"/>
  <c r="H169" i="79"/>
  <c r="L169" i="79"/>
  <c r="K170" i="79"/>
  <c r="J171" i="79"/>
  <c r="I172" i="79"/>
  <c r="H173" i="79"/>
  <c r="L173" i="79"/>
  <c r="K174" i="79"/>
  <c r="J175" i="79"/>
  <c r="I176" i="79"/>
  <c r="H177" i="79"/>
  <c r="L177" i="79"/>
  <c r="K178" i="79"/>
  <c r="J179" i="79"/>
  <c r="I180" i="79"/>
  <c r="H181" i="79"/>
  <c r="L181" i="79"/>
  <c r="K182" i="79"/>
  <c r="J183" i="79"/>
  <c r="I184" i="79"/>
  <c r="H185" i="79"/>
  <c r="L185" i="79"/>
  <c r="K186" i="79"/>
  <c r="J187" i="79"/>
  <c r="I188" i="79"/>
  <c r="H189" i="79"/>
  <c r="L189" i="79"/>
  <c r="K190" i="79"/>
  <c r="J191" i="79"/>
  <c r="I192" i="79"/>
  <c r="H193" i="79"/>
  <c r="L193" i="79"/>
  <c r="K194" i="79"/>
  <c r="J195" i="79"/>
  <c r="I196" i="79"/>
  <c r="H197" i="79"/>
  <c r="L197" i="79"/>
  <c r="K198" i="79"/>
  <c r="J199" i="79"/>
  <c r="I200" i="79"/>
  <c r="H201" i="79"/>
  <c r="L201" i="79"/>
  <c r="K202" i="79"/>
  <c r="J203" i="79"/>
  <c r="I138" i="78"/>
  <c r="H139" i="78"/>
  <c r="L139" i="78"/>
  <c r="K140" i="78"/>
  <c r="J141" i="78"/>
  <c r="I142" i="78"/>
  <c r="H143" i="78"/>
  <c r="L143" i="78"/>
  <c r="K144" i="78"/>
  <c r="J145" i="78"/>
  <c r="I146" i="78"/>
  <c r="H147" i="78"/>
  <c r="L147" i="78"/>
  <c r="K148" i="78"/>
  <c r="J149" i="78"/>
  <c r="I150" i="78"/>
  <c r="H151" i="78"/>
  <c r="L151" i="78"/>
  <c r="K152" i="78"/>
  <c r="J153" i="78"/>
  <c r="I154" i="78"/>
  <c r="H155" i="78"/>
  <c r="L155" i="78"/>
  <c r="K156" i="78"/>
  <c r="J157" i="78"/>
  <c r="I158" i="78"/>
  <c r="H159" i="78"/>
  <c r="L159" i="78"/>
  <c r="K160" i="78"/>
  <c r="J161" i="78"/>
  <c r="I162" i="78"/>
  <c r="H163" i="78"/>
  <c r="L163" i="78"/>
  <c r="K164" i="78"/>
  <c r="J165" i="78"/>
  <c r="I166" i="78"/>
  <c r="H167" i="78"/>
  <c r="L167" i="78"/>
  <c r="K168" i="78"/>
  <c r="J169" i="78"/>
  <c r="I170" i="78"/>
  <c r="H171" i="78"/>
  <c r="L171" i="78"/>
  <c r="K172" i="78"/>
  <c r="J173" i="78"/>
  <c r="I174" i="78"/>
  <c r="H175" i="78"/>
  <c r="L175" i="78"/>
  <c r="K176" i="78"/>
  <c r="J177" i="78"/>
  <c r="I178" i="78"/>
  <c r="H179" i="78"/>
  <c r="L179" i="78"/>
  <c r="K180" i="78"/>
  <c r="J181" i="78"/>
  <c r="I182" i="78"/>
  <c r="H183" i="78"/>
  <c r="L183" i="78"/>
  <c r="K184" i="78"/>
  <c r="J185" i="78"/>
  <c r="I186" i="78"/>
  <c r="H187" i="78"/>
  <c r="L187" i="78"/>
  <c r="K188" i="78"/>
  <c r="J189" i="78"/>
  <c r="I190" i="78"/>
  <c r="H191" i="78"/>
  <c r="L191" i="78"/>
  <c r="K192" i="78"/>
  <c r="J193" i="78"/>
  <c r="I194" i="78"/>
  <c r="H195" i="78"/>
  <c r="L195" i="78"/>
  <c r="K196" i="78"/>
  <c r="J197" i="78"/>
  <c r="I198" i="78"/>
  <c r="H199" i="78"/>
  <c r="L199" i="78"/>
  <c r="K200" i="78"/>
  <c r="J201" i="78"/>
  <c r="I202" i="78"/>
  <c r="H203" i="78"/>
  <c r="L203" i="78"/>
  <c r="K204" i="78"/>
  <c r="J205" i="78"/>
  <c r="I206" i="78"/>
  <c r="J114" i="68"/>
  <c r="I115" i="68"/>
  <c r="H116" i="68"/>
  <c r="L116" i="68"/>
  <c r="K117" i="68"/>
  <c r="J118" i="68"/>
  <c r="I119" i="68"/>
  <c r="H120" i="68"/>
  <c r="J14" i="41" s="1"/>
  <c r="L120" i="68"/>
  <c r="N14" i="41" s="1"/>
  <c r="K121" i="68"/>
  <c r="J122" i="68"/>
  <c r="I123" i="68"/>
  <c r="H124" i="68"/>
  <c r="L124" i="68"/>
  <c r="K125" i="68"/>
  <c r="J126" i="68"/>
  <c r="I127" i="68"/>
  <c r="H128" i="68"/>
  <c r="L128" i="68"/>
  <c r="K129" i="68"/>
  <c r="J130" i="68"/>
  <c r="I131" i="68"/>
  <c r="H132" i="68"/>
  <c r="L132" i="68"/>
  <c r="K133" i="68"/>
  <c r="J134" i="68"/>
  <c r="I135" i="68"/>
  <c r="H136" i="68"/>
  <c r="L136" i="68"/>
  <c r="K137" i="68"/>
  <c r="J138" i="68"/>
  <c r="I139" i="68"/>
  <c r="H140" i="68"/>
  <c r="L140" i="68"/>
  <c r="K141" i="68"/>
  <c r="J142" i="68"/>
  <c r="I143" i="68"/>
  <c r="H144" i="68"/>
  <c r="L144" i="68"/>
  <c r="K145" i="68"/>
  <c r="J146" i="68"/>
  <c r="K121" i="78"/>
  <c r="J122" i="78"/>
  <c r="I123" i="78"/>
  <c r="H124" i="78"/>
  <c r="L124" i="78"/>
  <c r="K125" i="78"/>
  <c r="J126" i="78"/>
  <c r="I127" i="78"/>
  <c r="H128" i="78"/>
  <c r="L128" i="78"/>
  <c r="K129" i="78"/>
  <c r="J130" i="78"/>
  <c r="I131" i="78"/>
  <c r="H132" i="78"/>
  <c r="L132" i="78"/>
  <c r="K133" i="78"/>
  <c r="J134" i="78"/>
  <c r="I135" i="78"/>
  <c r="H136" i="78"/>
  <c r="L136" i="78"/>
  <c r="K137" i="78"/>
  <c r="J138" i="78"/>
  <c r="I139" i="78"/>
  <c r="H140" i="78"/>
  <c r="L140" i="78"/>
  <c r="K141" i="78"/>
  <c r="J142" i="78"/>
  <c r="I143" i="78"/>
  <c r="H144" i="78"/>
  <c r="L144" i="78"/>
  <c r="K145" i="78"/>
  <c r="J146" i="78"/>
  <c r="I147" i="78"/>
  <c r="H148" i="78"/>
  <c r="L148" i="78"/>
  <c r="K149" i="78"/>
  <c r="J150" i="78"/>
  <c r="I151" i="78"/>
  <c r="H152" i="78"/>
  <c r="L152" i="78"/>
  <c r="K153" i="78"/>
  <c r="J154" i="78"/>
  <c r="I155" i="78"/>
  <c r="H156" i="78"/>
  <c r="L156" i="78"/>
  <c r="K157" i="78"/>
  <c r="J158" i="78"/>
  <c r="I159" i="78"/>
  <c r="H160" i="78"/>
  <c r="L160" i="78"/>
  <c r="K161" i="78"/>
  <c r="J162" i="78"/>
  <c r="I163" i="78"/>
  <c r="H164" i="78"/>
  <c r="L164" i="78"/>
  <c r="K165" i="78"/>
  <c r="J166" i="78"/>
  <c r="I167" i="78"/>
  <c r="H168" i="78"/>
  <c r="L168" i="78"/>
  <c r="K169" i="78"/>
  <c r="J170" i="78"/>
  <c r="I171" i="78"/>
  <c r="H172" i="78"/>
  <c r="L172" i="78"/>
  <c r="K173" i="78"/>
  <c r="J174" i="78"/>
  <c r="I175" i="78"/>
  <c r="H176" i="78"/>
  <c r="L176" i="78"/>
  <c r="K177" i="78"/>
  <c r="J178" i="78"/>
  <c r="I179" i="78"/>
  <c r="H180" i="78"/>
  <c r="L180" i="78"/>
  <c r="K181" i="78"/>
  <c r="J182" i="78"/>
  <c r="I183" i="78"/>
  <c r="H184" i="78"/>
  <c r="L184" i="78"/>
  <c r="K185" i="78"/>
  <c r="J186" i="78"/>
  <c r="I187" i="78"/>
  <c r="H188" i="78"/>
  <c r="L188" i="78"/>
  <c r="K189" i="78"/>
  <c r="J190" i="78"/>
  <c r="I191" i="78"/>
  <c r="H192" i="78"/>
  <c r="L192" i="78"/>
  <c r="K193" i="78"/>
  <c r="J194" i="78"/>
  <c r="I195" i="78"/>
  <c r="H196" i="78"/>
  <c r="L196" i="78"/>
  <c r="K197" i="78"/>
  <c r="J198" i="78"/>
  <c r="I199" i="78"/>
  <c r="H200" i="78"/>
  <c r="L200" i="78"/>
  <c r="K201" i="78"/>
  <c r="J202" i="78"/>
  <c r="I203" i="78"/>
  <c r="H204" i="78"/>
  <c r="L204" i="78"/>
  <c r="K205" i="78"/>
  <c r="J206" i="78"/>
  <c r="K114" i="68"/>
  <c r="J115" i="68"/>
  <c r="I116" i="68"/>
  <c r="H117" i="68"/>
  <c r="L117" i="68"/>
  <c r="K118" i="68"/>
  <c r="J119" i="68"/>
  <c r="I120" i="68"/>
  <c r="K14" i="41" s="1"/>
  <c r="H121" i="68"/>
  <c r="L121" i="68"/>
  <c r="K122" i="68"/>
  <c r="J123" i="68"/>
  <c r="I124" i="68"/>
  <c r="H125" i="68"/>
  <c r="L125" i="68"/>
  <c r="K126" i="68"/>
  <c r="J127" i="68"/>
  <c r="I128" i="68"/>
  <c r="H129" i="68"/>
  <c r="L129" i="68"/>
  <c r="K130" i="68"/>
  <c r="J131" i="68"/>
  <c r="I132" i="68"/>
  <c r="H133" i="68"/>
  <c r="L133" i="68"/>
  <c r="K134" i="68"/>
  <c r="J135" i="68"/>
  <c r="I136" i="68"/>
  <c r="H137" i="68"/>
  <c r="L137" i="68"/>
  <c r="K138" i="68"/>
  <c r="J139" i="68"/>
  <c r="I140" i="68"/>
  <c r="H141" i="68"/>
  <c r="L141" i="68"/>
  <c r="K142" i="68"/>
  <c r="J143" i="68"/>
  <c r="I144" i="68"/>
  <c r="H145" i="68"/>
  <c r="L145" i="68"/>
  <c r="K146" i="68"/>
  <c r="J147" i="68"/>
  <c r="H149" i="68"/>
  <c r="L149" i="68"/>
  <c r="K150" i="68"/>
  <c r="I152" i="68"/>
  <c r="I121" i="78"/>
  <c r="H122" i="78"/>
  <c r="L122" i="78"/>
  <c r="K123" i="78"/>
  <c r="J124" i="78"/>
  <c r="I125" i="78"/>
  <c r="H126" i="78"/>
  <c r="L126" i="78"/>
  <c r="K127" i="78"/>
  <c r="J128" i="78"/>
  <c r="I129" i="78"/>
  <c r="H130" i="78"/>
  <c r="L130" i="78"/>
  <c r="K131" i="78"/>
  <c r="J132" i="78"/>
  <c r="I133" i="78"/>
  <c r="H134" i="78"/>
  <c r="L134" i="78"/>
  <c r="K135" i="78"/>
  <c r="J136" i="78"/>
  <c r="I137" i="78"/>
  <c r="H138" i="78"/>
  <c r="L138" i="78"/>
  <c r="K139" i="78"/>
  <c r="J140" i="78"/>
  <c r="I141" i="78"/>
  <c r="H142" i="78"/>
  <c r="L142" i="78"/>
  <c r="K143" i="78"/>
  <c r="J144" i="78"/>
  <c r="I145" i="78"/>
  <c r="H146" i="78"/>
  <c r="L146" i="78"/>
  <c r="K147" i="78"/>
  <c r="J148" i="78"/>
  <c r="I149" i="78"/>
  <c r="H150" i="78"/>
  <c r="L150" i="78"/>
  <c r="K151" i="78"/>
  <c r="J152" i="78"/>
  <c r="I153" i="78"/>
  <c r="H154" i="78"/>
  <c r="L154" i="78"/>
  <c r="K155" i="78"/>
  <c r="J156" i="78"/>
  <c r="I157" i="78"/>
  <c r="H158" i="78"/>
  <c r="L158" i="78"/>
  <c r="K159" i="78"/>
  <c r="J160" i="78"/>
  <c r="I161" i="78"/>
  <c r="H162" i="78"/>
  <c r="L162" i="78"/>
  <c r="K163" i="78"/>
  <c r="J164" i="78"/>
  <c r="I165" i="78"/>
  <c r="H166" i="78"/>
  <c r="L166" i="78"/>
  <c r="K167" i="78"/>
  <c r="J168" i="78"/>
  <c r="I169" i="78"/>
  <c r="H170" i="78"/>
  <c r="L170" i="78"/>
  <c r="K171" i="78"/>
  <c r="J172" i="78"/>
  <c r="I173" i="78"/>
  <c r="H174" i="78"/>
  <c r="L174" i="78"/>
  <c r="K175" i="78"/>
  <c r="J176" i="78"/>
  <c r="I177" i="78"/>
  <c r="H178" i="78"/>
  <c r="L178" i="78"/>
  <c r="K179" i="78"/>
  <c r="J180" i="78"/>
  <c r="I181" i="78"/>
  <c r="H182" i="78"/>
  <c r="L182" i="78"/>
  <c r="K183" i="78"/>
  <c r="J184" i="78"/>
  <c r="I185" i="78"/>
  <c r="H186" i="78"/>
  <c r="L186" i="78"/>
  <c r="K187" i="78"/>
  <c r="J188" i="78"/>
  <c r="I189" i="78"/>
  <c r="H190" i="78"/>
  <c r="L190" i="78"/>
  <c r="K191" i="78"/>
  <c r="J192" i="78"/>
  <c r="I193" i="78"/>
  <c r="H194" i="78"/>
  <c r="L194" i="78"/>
  <c r="K195" i="78"/>
  <c r="J196" i="78"/>
  <c r="I197" i="78"/>
  <c r="H198" i="78"/>
  <c r="L198" i="78"/>
  <c r="K199" i="78"/>
  <c r="J200" i="78"/>
  <c r="I201" i="78"/>
  <c r="H202" i="78"/>
  <c r="L202" i="78"/>
  <c r="K203" i="78"/>
  <c r="J204" i="78"/>
  <c r="I205" i="78"/>
  <c r="H206" i="78"/>
  <c r="L206" i="78"/>
  <c r="L8" i="80"/>
  <c r="K9" i="80"/>
  <c r="J10" i="80"/>
  <c r="I11" i="80"/>
  <c r="H12" i="80"/>
  <c r="L12" i="80"/>
  <c r="K13" i="80"/>
  <c r="J14" i="80"/>
  <c r="I15" i="80"/>
  <c r="K101" i="80"/>
  <c r="J102" i="80"/>
  <c r="I103" i="80"/>
  <c r="H147" i="68"/>
  <c r="L147" i="68"/>
  <c r="K148" i="68"/>
  <c r="J149" i="68"/>
  <c r="I150" i="68"/>
  <c r="H151" i="68"/>
  <c r="L151" i="68"/>
  <c r="K152" i="68"/>
  <c r="J153" i="68"/>
  <c r="I154" i="68"/>
  <c r="H155" i="68"/>
  <c r="L155" i="68"/>
  <c r="K156" i="68"/>
  <c r="J157" i="68"/>
  <c r="I158" i="68"/>
  <c r="H159" i="68"/>
  <c r="L159" i="68"/>
  <c r="K160" i="68"/>
  <c r="J161" i="68"/>
  <c r="I162" i="68"/>
  <c r="H163" i="68"/>
  <c r="L163" i="68"/>
  <c r="K164" i="68"/>
  <c r="J165" i="68"/>
  <c r="I166" i="68"/>
  <c r="H167" i="68"/>
  <c r="L167" i="68"/>
  <c r="K168" i="68"/>
  <c r="J169" i="68"/>
  <c r="I170" i="68"/>
  <c r="H171" i="68"/>
  <c r="L171" i="68"/>
  <c r="K172" i="68"/>
  <c r="J173" i="68"/>
  <c r="I174" i="68"/>
  <c r="H175" i="68"/>
  <c r="L175" i="68"/>
  <c r="K176" i="68"/>
  <c r="J177" i="68"/>
  <c r="I178" i="68"/>
  <c r="H179" i="68"/>
  <c r="L179" i="68"/>
  <c r="K180" i="68"/>
  <c r="J181" i="68"/>
  <c r="I182" i="68"/>
  <c r="H183" i="68"/>
  <c r="L183" i="68"/>
  <c r="K184" i="68"/>
  <c r="J185" i="68"/>
  <c r="I186" i="68"/>
  <c r="H187" i="68"/>
  <c r="L187" i="68"/>
  <c r="K188" i="68"/>
  <c r="J189" i="68"/>
  <c r="I190" i="68"/>
  <c r="H191" i="68"/>
  <c r="L191" i="68"/>
  <c r="K192" i="68"/>
  <c r="J193" i="68"/>
  <c r="I194" i="68"/>
  <c r="H195" i="68"/>
  <c r="L195" i="68"/>
  <c r="K196" i="68"/>
  <c r="J197" i="68"/>
  <c r="I198" i="68"/>
  <c r="H199" i="68"/>
  <c r="L199" i="68"/>
  <c r="K200" i="68"/>
  <c r="J201" i="68"/>
  <c r="I202" i="68"/>
  <c r="H203" i="68"/>
  <c r="L203" i="68"/>
  <c r="K204" i="68"/>
  <c r="J205" i="68"/>
  <c r="I206" i="68"/>
  <c r="H115" i="68"/>
  <c r="K116" i="68"/>
  <c r="I118" i="68"/>
  <c r="L119" i="68"/>
  <c r="J121" i="68"/>
  <c r="H123" i="68"/>
  <c r="K124" i="68"/>
  <c r="I126" i="68"/>
  <c r="K128" i="68"/>
  <c r="I130" i="68"/>
  <c r="L131" i="68"/>
  <c r="J133" i="68"/>
  <c r="H135" i="68"/>
  <c r="L135" i="68"/>
  <c r="J137" i="68"/>
  <c r="H139" i="68"/>
  <c r="L139" i="68"/>
  <c r="I142" i="68"/>
  <c r="L143" i="68"/>
  <c r="J145" i="68"/>
  <c r="I146" i="68"/>
  <c r="I148" i="68"/>
  <c r="L104" i="68"/>
  <c r="I147" i="68"/>
  <c r="H148" i="68"/>
  <c r="L148" i="68"/>
  <c r="K149" i="68"/>
  <c r="J150" i="68"/>
  <c r="I151" i="68"/>
  <c r="H152" i="68"/>
  <c r="L152" i="68"/>
  <c r="K153" i="68"/>
  <c r="J154" i="68"/>
  <c r="I155" i="68"/>
  <c r="H156" i="68"/>
  <c r="L156" i="68"/>
  <c r="K157" i="68"/>
  <c r="J158" i="68"/>
  <c r="I159" i="68"/>
  <c r="H160" i="68"/>
  <c r="L160" i="68"/>
  <c r="K161" i="68"/>
  <c r="J162" i="68"/>
  <c r="I163" i="68"/>
  <c r="H164" i="68"/>
  <c r="L164" i="68"/>
  <c r="K165" i="68"/>
  <c r="J166" i="68"/>
  <c r="I167" i="68"/>
  <c r="H168" i="68"/>
  <c r="L168" i="68"/>
  <c r="K169" i="68"/>
  <c r="J170" i="68"/>
  <c r="I171" i="68"/>
  <c r="H172" i="68"/>
  <c r="L172" i="68"/>
  <c r="K173" i="68"/>
  <c r="J174" i="68"/>
  <c r="I175" i="68"/>
  <c r="H176" i="68"/>
  <c r="L176" i="68"/>
  <c r="K177" i="68"/>
  <c r="J178" i="68"/>
  <c r="I179" i="68"/>
  <c r="H180" i="68"/>
  <c r="L180" i="68"/>
  <c r="K181" i="68"/>
  <c r="J182" i="68"/>
  <c r="I183" i="68"/>
  <c r="H184" i="68"/>
  <c r="L184" i="68"/>
  <c r="K185" i="68"/>
  <c r="J186" i="68"/>
  <c r="I187" i="68"/>
  <c r="H188" i="68"/>
  <c r="L188" i="68"/>
  <c r="K189" i="68"/>
  <c r="J190" i="68"/>
  <c r="I191" i="68"/>
  <c r="H192" i="68"/>
  <c r="L192" i="68"/>
  <c r="K193" i="68"/>
  <c r="J194" i="68"/>
  <c r="I195" i="68"/>
  <c r="H196" i="68"/>
  <c r="L196" i="68"/>
  <c r="K197" i="68"/>
  <c r="J198" i="68"/>
  <c r="I199" i="68"/>
  <c r="H200" i="68"/>
  <c r="L200" i="68"/>
  <c r="K201" i="68"/>
  <c r="J202" i="68"/>
  <c r="I203" i="68"/>
  <c r="H204" i="68"/>
  <c r="L204" i="68"/>
  <c r="K205" i="68"/>
  <c r="J206" i="68"/>
  <c r="I114" i="68"/>
  <c r="L115" i="68"/>
  <c r="J117" i="68"/>
  <c r="H119" i="68"/>
  <c r="K120" i="68"/>
  <c r="M14" i="41" s="1"/>
  <c r="I122" i="68"/>
  <c r="L123" i="68"/>
  <c r="J125" i="68"/>
  <c r="H127" i="68"/>
  <c r="L127" i="68"/>
  <c r="J129" i="68"/>
  <c r="H131" i="68"/>
  <c r="K132" i="68"/>
  <c r="I134" i="68"/>
  <c r="K136" i="68"/>
  <c r="I138" i="68"/>
  <c r="K140" i="68"/>
  <c r="J141" i="68"/>
  <c r="H143" i="68"/>
  <c r="K144" i="68"/>
  <c r="J151" i="68"/>
  <c r="H153" i="68"/>
  <c r="L153" i="68"/>
  <c r="K154" i="68"/>
  <c r="J155" i="68"/>
  <c r="I156" i="68"/>
  <c r="H157" i="68"/>
  <c r="L157" i="68"/>
  <c r="K158" i="68"/>
  <c r="J159" i="68"/>
  <c r="I160" i="68"/>
  <c r="H161" i="68"/>
  <c r="L161" i="68"/>
  <c r="K162" i="68"/>
  <c r="J163" i="68"/>
  <c r="I164" i="68"/>
  <c r="H165" i="68"/>
  <c r="L165" i="68"/>
  <c r="K166" i="68"/>
  <c r="J167" i="68"/>
  <c r="I168" i="68"/>
  <c r="H169" i="68"/>
  <c r="L169" i="68"/>
  <c r="K170" i="68"/>
  <c r="J171" i="68"/>
  <c r="I172" i="68"/>
  <c r="H173" i="68"/>
  <c r="L173" i="68"/>
  <c r="K174" i="68"/>
  <c r="J175" i="68"/>
  <c r="I176" i="68"/>
  <c r="H177" i="68"/>
  <c r="L177" i="68"/>
  <c r="K178" i="68"/>
  <c r="J179" i="68"/>
  <c r="I180" i="68"/>
  <c r="H181" i="68"/>
  <c r="L181" i="68"/>
  <c r="K182" i="68"/>
  <c r="J183" i="68"/>
  <c r="I184" i="68"/>
  <c r="H185" i="68"/>
  <c r="L185" i="68"/>
  <c r="K186" i="68"/>
  <c r="J187" i="68"/>
  <c r="I188" i="68"/>
  <c r="H189" i="68"/>
  <c r="L189" i="68"/>
  <c r="K190" i="68"/>
  <c r="J191" i="68"/>
  <c r="I192" i="68"/>
  <c r="H193" i="68"/>
  <c r="L193" i="68"/>
  <c r="K194" i="68"/>
  <c r="J195" i="68"/>
  <c r="I196" i="68"/>
  <c r="H197" i="68"/>
  <c r="L197" i="68"/>
  <c r="K198" i="68"/>
  <c r="J199" i="68"/>
  <c r="I200" i="68"/>
  <c r="H201" i="68"/>
  <c r="L201" i="68"/>
  <c r="K202" i="68"/>
  <c r="J203" i="68"/>
  <c r="I204" i="68"/>
  <c r="H205" i="68"/>
  <c r="L205" i="68"/>
  <c r="K206" i="68"/>
  <c r="H13" i="80"/>
  <c r="H119" i="77"/>
  <c r="L13" i="80"/>
  <c r="L119" i="77"/>
  <c r="K14" i="80"/>
  <c r="K120" i="77"/>
  <c r="M13" i="41" s="1"/>
  <c r="J15" i="80"/>
  <c r="J121" i="77"/>
  <c r="I16" i="80"/>
  <c r="I122" i="77"/>
  <c r="H17" i="80"/>
  <c r="H123" i="77"/>
  <c r="L17" i="80"/>
  <c r="L123" i="77"/>
  <c r="K18" i="80"/>
  <c r="K124" i="77"/>
  <c r="J19" i="80"/>
  <c r="J125" i="77"/>
  <c r="I20" i="80"/>
  <c r="I126" i="77"/>
  <c r="H21" i="80"/>
  <c r="H127" i="77"/>
  <c r="L21" i="80"/>
  <c r="L127" i="77"/>
  <c r="K22" i="80"/>
  <c r="K128" i="77"/>
  <c r="J23" i="80"/>
  <c r="J129" i="77"/>
  <c r="I24" i="80"/>
  <c r="I130" i="77"/>
  <c r="H25" i="80"/>
  <c r="H131" i="77"/>
  <c r="L25" i="80"/>
  <c r="L131" i="77"/>
  <c r="K26" i="80"/>
  <c r="K132" i="77"/>
  <c r="J27" i="80"/>
  <c r="J133" i="77"/>
  <c r="I28" i="80"/>
  <c r="I134" i="77"/>
  <c r="H29" i="80"/>
  <c r="H135" i="77"/>
  <c r="L29" i="80"/>
  <c r="L135" i="77"/>
  <c r="K30" i="80"/>
  <c r="K136" i="77"/>
  <c r="J31" i="80"/>
  <c r="J137" i="77"/>
  <c r="I32" i="80"/>
  <c r="I138" i="77"/>
  <c r="H33" i="80"/>
  <c r="H139" i="77"/>
  <c r="L33" i="80"/>
  <c r="L139" i="77"/>
  <c r="K34" i="80"/>
  <c r="K140" i="77"/>
  <c r="J35" i="80"/>
  <c r="J141" i="77"/>
  <c r="I36" i="80"/>
  <c r="I142" i="77"/>
  <c r="H37" i="80"/>
  <c r="H143" i="77"/>
  <c r="L37" i="80"/>
  <c r="L143" i="77"/>
  <c r="K38" i="80"/>
  <c r="K144" i="77"/>
  <c r="J39" i="80"/>
  <c r="J145" i="77"/>
  <c r="I40" i="80"/>
  <c r="I146" i="77"/>
  <c r="H41" i="80"/>
  <c r="H147" i="77"/>
  <c r="L41" i="80"/>
  <c r="L147" i="77"/>
  <c r="K42" i="80"/>
  <c r="K148" i="77"/>
  <c r="J43" i="80"/>
  <c r="J149" i="77"/>
  <c r="I44" i="80"/>
  <c r="I150" i="77"/>
  <c r="H45" i="80"/>
  <c r="H151" i="77"/>
  <c r="L45" i="80"/>
  <c r="L151" i="77"/>
  <c r="K46" i="80"/>
  <c r="K152" i="77"/>
  <c r="J47" i="80"/>
  <c r="J153" i="77"/>
  <c r="I48" i="80"/>
  <c r="I154" i="77"/>
  <c r="H49" i="80"/>
  <c r="H155" i="77"/>
  <c r="L49" i="80"/>
  <c r="L155" i="77"/>
  <c r="K50" i="80"/>
  <c r="K156" i="77"/>
  <c r="J51" i="80"/>
  <c r="J157" i="77"/>
  <c r="I52" i="80"/>
  <c r="I158" i="77"/>
  <c r="H53" i="80"/>
  <c r="H159" i="77"/>
  <c r="L53" i="80"/>
  <c r="L159" i="77"/>
  <c r="K54" i="80"/>
  <c r="K160" i="77"/>
  <c r="J55" i="80"/>
  <c r="J161" i="77"/>
  <c r="I56" i="80"/>
  <c r="I162" i="77"/>
  <c r="H57" i="80"/>
  <c r="H163" i="77"/>
  <c r="L57" i="80"/>
  <c r="L163" i="77"/>
  <c r="K58" i="80"/>
  <c r="K164" i="77"/>
  <c r="J59" i="80"/>
  <c r="J165" i="77"/>
  <c r="I60" i="80"/>
  <c r="I166" i="77"/>
  <c r="H61" i="80"/>
  <c r="H167" i="77"/>
  <c r="L61" i="80"/>
  <c r="L167" i="77"/>
  <c r="K62" i="80"/>
  <c r="K168" i="77"/>
  <c r="J63" i="80"/>
  <c r="J169" i="77"/>
  <c r="I64" i="80"/>
  <c r="I170" i="77"/>
  <c r="H65" i="80"/>
  <c r="H171" i="77"/>
  <c r="L65" i="80"/>
  <c r="L171" i="77"/>
  <c r="K66" i="80"/>
  <c r="K172" i="77"/>
  <c r="J67" i="80"/>
  <c r="J173" i="77"/>
  <c r="I68" i="80"/>
  <c r="I174" i="77"/>
  <c r="H69" i="80"/>
  <c r="H175" i="77"/>
  <c r="L69" i="80"/>
  <c r="L175" i="77"/>
  <c r="K70" i="80"/>
  <c r="K176" i="77"/>
  <c r="J71" i="80"/>
  <c r="J177" i="77"/>
  <c r="I72" i="80"/>
  <c r="I178" i="77"/>
  <c r="H73" i="80"/>
  <c r="H179" i="77"/>
  <c r="L73" i="80"/>
  <c r="L179" i="77"/>
  <c r="K74" i="80"/>
  <c r="K180" i="77"/>
  <c r="J75" i="80"/>
  <c r="J181" i="77"/>
  <c r="I76" i="80"/>
  <c r="I182" i="77"/>
  <c r="H77" i="80"/>
  <c r="H183" i="77"/>
  <c r="L77" i="80"/>
  <c r="L183" i="77"/>
  <c r="K78" i="80"/>
  <c r="K184" i="77"/>
  <c r="J79" i="80"/>
  <c r="J185" i="77"/>
  <c r="I80" i="80"/>
  <c r="I186" i="77"/>
  <c r="H81" i="80"/>
  <c r="H187" i="77"/>
  <c r="L81" i="80"/>
  <c r="L187" i="77"/>
  <c r="K82" i="80"/>
  <c r="K188" i="77"/>
  <c r="J83" i="80"/>
  <c r="J189" i="77"/>
  <c r="I84" i="80"/>
  <c r="I190" i="77"/>
  <c r="H85" i="80"/>
  <c r="H191" i="77"/>
  <c r="L85" i="80"/>
  <c r="L191" i="77"/>
  <c r="K86" i="80"/>
  <c r="K192" i="77"/>
  <c r="J87" i="80"/>
  <c r="J193" i="77"/>
  <c r="I88" i="80"/>
  <c r="I194" i="77"/>
  <c r="H89" i="80"/>
  <c r="H195" i="77"/>
  <c r="L89" i="80"/>
  <c r="L195" i="77"/>
  <c r="K90" i="80"/>
  <c r="K196" i="77"/>
  <c r="J91" i="80"/>
  <c r="J197" i="77"/>
  <c r="I92" i="80"/>
  <c r="I198" i="77"/>
  <c r="H93" i="80"/>
  <c r="H199" i="77"/>
  <c r="L93" i="80"/>
  <c r="L199" i="77"/>
  <c r="K94" i="80"/>
  <c r="K200" i="77"/>
  <c r="J95" i="80"/>
  <c r="J201" i="77"/>
  <c r="I96" i="80"/>
  <c r="I202" i="77"/>
  <c r="H97" i="80"/>
  <c r="H203" i="77"/>
  <c r="L97" i="80"/>
  <c r="L203" i="77"/>
  <c r="K98" i="80"/>
  <c r="K204" i="77"/>
  <c r="J99" i="80"/>
  <c r="J205" i="77"/>
  <c r="I100" i="80"/>
  <c r="I206" i="77"/>
  <c r="K114" i="77"/>
  <c r="J115" i="77"/>
  <c r="I116" i="77"/>
  <c r="H117" i="77"/>
  <c r="L117" i="77"/>
  <c r="K118" i="77"/>
  <c r="I120" i="77"/>
  <c r="K13" i="41" s="1"/>
  <c r="L121" i="77"/>
  <c r="H125" i="77"/>
  <c r="I128" i="77"/>
  <c r="I13" i="80"/>
  <c r="I119" i="77"/>
  <c r="H14" i="80"/>
  <c r="H120" i="77"/>
  <c r="J13" i="41" s="1"/>
  <c r="L14" i="80"/>
  <c r="L120" i="77"/>
  <c r="N13" i="41" s="1"/>
  <c r="K15" i="80"/>
  <c r="K121" i="77"/>
  <c r="J16" i="80"/>
  <c r="J122" i="77"/>
  <c r="I17" i="80"/>
  <c r="I123" i="77"/>
  <c r="H18" i="80"/>
  <c r="H124" i="77"/>
  <c r="L18" i="80"/>
  <c r="L124" i="77"/>
  <c r="K19" i="80"/>
  <c r="K125" i="77"/>
  <c r="J20" i="80"/>
  <c r="J126" i="77"/>
  <c r="I21" i="80"/>
  <c r="I127" i="77"/>
  <c r="H22" i="80"/>
  <c r="H128" i="77"/>
  <c r="L22" i="80"/>
  <c r="L128" i="77"/>
  <c r="K23" i="80"/>
  <c r="K129" i="77"/>
  <c r="J24" i="80"/>
  <c r="J130" i="77"/>
  <c r="I25" i="80"/>
  <c r="I131" i="77"/>
  <c r="H26" i="80"/>
  <c r="H132" i="77"/>
  <c r="L26" i="80"/>
  <c r="L132" i="77"/>
  <c r="K27" i="80"/>
  <c r="K133" i="77"/>
  <c r="J28" i="80"/>
  <c r="J134" i="77"/>
  <c r="I29" i="80"/>
  <c r="I135" i="77"/>
  <c r="H30" i="80"/>
  <c r="H136" i="77"/>
  <c r="L30" i="80"/>
  <c r="L136" i="77"/>
  <c r="K31" i="80"/>
  <c r="K137" i="77"/>
  <c r="J32" i="80"/>
  <c r="J138" i="77"/>
  <c r="I33" i="80"/>
  <c r="I139" i="77"/>
  <c r="H34" i="80"/>
  <c r="H140" i="77"/>
  <c r="L34" i="80"/>
  <c r="L140" i="77"/>
  <c r="K35" i="80"/>
  <c r="K141" i="77"/>
  <c r="J36" i="80"/>
  <c r="J142" i="77"/>
  <c r="I37" i="80"/>
  <c r="I143" i="77"/>
  <c r="H38" i="80"/>
  <c r="H144" i="77"/>
  <c r="L38" i="80"/>
  <c r="L144" i="77"/>
  <c r="K39" i="80"/>
  <c r="K145" i="77"/>
  <c r="J40" i="80"/>
  <c r="J146" i="77"/>
  <c r="I41" i="80"/>
  <c r="I147" i="77"/>
  <c r="H42" i="80"/>
  <c r="H148" i="77"/>
  <c r="L42" i="80"/>
  <c r="L148" i="77"/>
  <c r="K43" i="80"/>
  <c r="K149" i="77"/>
  <c r="J44" i="80"/>
  <c r="J150" i="77"/>
  <c r="I45" i="80"/>
  <c r="I151" i="77"/>
  <c r="H46" i="80"/>
  <c r="H152" i="77"/>
  <c r="L46" i="80"/>
  <c r="L152" i="77"/>
  <c r="K47" i="80"/>
  <c r="K153" i="77"/>
  <c r="J48" i="80"/>
  <c r="J154" i="77"/>
  <c r="I49" i="80"/>
  <c r="I155" i="77"/>
  <c r="H50" i="80"/>
  <c r="H156" i="77"/>
  <c r="L50" i="80"/>
  <c r="L156" i="77"/>
  <c r="K51" i="80"/>
  <c r="K157" i="77"/>
  <c r="J52" i="80"/>
  <c r="J158" i="77"/>
  <c r="I53" i="80"/>
  <c r="I159" i="77"/>
  <c r="H54" i="80"/>
  <c r="H160" i="77"/>
  <c r="L54" i="80"/>
  <c r="L160" i="77"/>
  <c r="K55" i="80"/>
  <c r="K161" i="77"/>
  <c r="J56" i="80"/>
  <c r="J162" i="77"/>
  <c r="I57" i="80"/>
  <c r="I163" i="77"/>
  <c r="H58" i="80"/>
  <c r="H164" i="77"/>
  <c r="L58" i="80"/>
  <c r="L164" i="77"/>
  <c r="K59" i="80"/>
  <c r="K165" i="77"/>
  <c r="J60" i="80"/>
  <c r="J166" i="77"/>
  <c r="I61" i="80"/>
  <c r="I167" i="77"/>
  <c r="H62" i="80"/>
  <c r="H168" i="77"/>
  <c r="L62" i="80"/>
  <c r="L168" i="77"/>
  <c r="K63" i="80"/>
  <c r="K169" i="77"/>
  <c r="J64" i="80"/>
  <c r="J170" i="77"/>
  <c r="I65" i="80"/>
  <c r="I171" i="77"/>
  <c r="H66" i="80"/>
  <c r="H172" i="77"/>
  <c r="L66" i="80"/>
  <c r="L172" i="77"/>
  <c r="K67" i="80"/>
  <c r="K173" i="77"/>
  <c r="J68" i="80"/>
  <c r="J174" i="77"/>
  <c r="I69" i="80"/>
  <c r="I175" i="77"/>
  <c r="H70" i="80"/>
  <c r="H176" i="77"/>
  <c r="L70" i="80"/>
  <c r="L176" i="77"/>
  <c r="K71" i="80"/>
  <c r="K177" i="77"/>
  <c r="J72" i="80"/>
  <c r="J178" i="77"/>
  <c r="I73" i="80"/>
  <c r="I179" i="77"/>
  <c r="H74" i="80"/>
  <c r="H180" i="77"/>
  <c r="L74" i="80"/>
  <c r="L180" i="77"/>
  <c r="K75" i="80"/>
  <c r="K181" i="77"/>
  <c r="J76" i="80"/>
  <c r="J182" i="77"/>
  <c r="I77" i="80"/>
  <c r="I183" i="77"/>
  <c r="H78" i="80"/>
  <c r="H184" i="77"/>
  <c r="L78" i="80"/>
  <c r="L184" i="77"/>
  <c r="K79" i="80"/>
  <c r="K185" i="77"/>
  <c r="J80" i="80"/>
  <c r="J186" i="77"/>
  <c r="I81" i="80"/>
  <c r="I187" i="77"/>
  <c r="H82" i="80"/>
  <c r="H188" i="77"/>
  <c r="L82" i="80"/>
  <c r="L188" i="77"/>
  <c r="K83" i="80"/>
  <c r="K189" i="77"/>
  <c r="J84" i="80"/>
  <c r="J190" i="77"/>
  <c r="I85" i="80"/>
  <c r="I191" i="77"/>
  <c r="H86" i="80"/>
  <c r="H192" i="77"/>
  <c r="L86" i="80"/>
  <c r="L192" i="77"/>
  <c r="K87" i="80"/>
  <c r="K193" i="77"/>
  <c r="J88" i="80"/>
  <c r="J194" i="77"/>
  <c r="I89" i="80"/>
  <c r="I195" i="77"/>
  <c r="H90" i="80"/>
  <c r="H196" i="77"/>
  <c r="L90" i="80"/>
  <c r="L196" i="77"/>
  <c r="K91" i="80"/>
  <c r="K197" i="77"/>
  <c r="J92" i="80"/>
  <c r="J198" i="77"/>
  <c r="I93" i="80"/>
  <c r="I199" i="77"/>
  <c r="H94" i="80"/>
  <c r="H200" i="77"/>
  <c r="L94" i="80"/>
  <c r="L200" i="77"/>
  <c r="K95" i="80"/>
  <c r="K201" i="77"/>
  <c r="J96" i="80"/>
  <c r="J202" i="77"/>
  <c r="I97" i="80"/>
  <c r="I203" i="77"/>
  <c r="H98" i="80"/>
  <c r="H204" i="77"/>
  <c r="L98" i="80"/>
  <c r="L204" i="77"/>
  <c r="K99" i="80"/>
  <c r="K205" i="77"/>
  <c r="J100" i="80"/>
  <c r="J206" i="77"/>
  <c r="L114" i="77"/>
  <c r="K115" i="77"/>
  <c r="J116" i="77"/>
  <c r="I117" i="77"/>
  <c r="H118" i="77"/>
  <c r="L118" i="77"/>
  <c r="J120" i="77"/>
  <c r="L13" i="41" s="1"/>
  <c r="K122" i="77"/>
  <c r="L125" i="77"/>
  <c r="H129" i="77"/>
  <c r="K24" i="80"/>
  <c r="K130" i="77"/>
  <c r="J25" i="80"/>
  <c r="J131" i="77"/>
  <c r="I26" i="80"/>
  <c r="I132" i="77"/>
  <c r="H27" i="80"/>
  <c r="H133" i="77"/>
  <c r="L27" i="80"/>
  <c r="L133" i="77"/>
  <c r="K28" i="80"/>
  <c r="K134" i="77"/>
  <c r="J29" i="80"/>
  <c r="J135" i="77"/>
  <c r="I30" i="80"/>
  <c r="I136" i="77"/>
  <c r="H31" i="80"/>
  <c r="H137" i="77"/>
  <c r="L31" i="80"/>
  <c r="L137" i="77"/>
  <c r="K32" i="80"/>
  <c r="K138" i="77"/>
  <c r="J33" i="80"/>
  <c r="J139" i="77"/>
  <c r="I34" i="80"/>
  <c r="I140" i="77"/>
  <c r="H35" i="80"/>
  <c r="H141" i="77"/>
  <c r="L35" i="80"/>
  <c r="L141" i="77"/>
  <c r="K36" i="80"/>
  <c r="K142" i="77"/>
  <c r="J37" i="80"/>
  <c r="J143" i="77"/>
  <c r="I38" i="80"/>
  <c r="I144" i="77"/>
  <c r="H39" i="80"/>
  <c r="H145" i="77"/>
  <c r="L39" i="80"/>
  <c r="L145" i="77"/>
  <c r="K40" i="80"/>
  <c r="K146" i="77"/>
  <c r="J41" i="80"/>
  <c r="J147" i="77"/>
  <c r="I42" i="80"/>
  <c r="I148" i="77"/>
  <c r="H43" i="80"/>
  <c r="H149" i="77"/>
  <c r="L43" i="80"/>
  <c r="L149" i="77"/>
  <c r="K44" i="80"/>
  <c r="K150" i="77"/>
  <c r="J45" i="80"/>
  <c r="J151" i="77"/>
  <c r="I46" i="80"/>
  <c r="I152" i="77"/>
  <c r="H47" i="80"/>
  <c r="H153" i="77"/>
  <c r="L47" i="80"/>
  <c r="L153" i="77"/>
  <c r="K48" i="80"/>
  <c r="K154" i="77"/>
  <c r="J49" i="80"/>
  <c r="J155" i="77"/>
  <c r="I50" i="80"/>
  <c r="I156" i="77"/>
  <c r="H51" i="80"/>
  <c r="H157" i="77"/>
  <c r="L51" i="80"/>
  <c r="L157" i="77"/>
  <c r="K52" i="80"/>
  <c r="K158" i="77"/>
  <c r="J53" i="80"/>
  <c r="J159" i="77"/>
  <c r="I54" i="80"/>
  <c r="I160" i="77"/>
  <c r="H55" i="80"/>
  <c r="H161" i="77"/>
  <c r="L55" i="80"/>
  <c r="L161" i="77"/>
  <c r="K56" i="80"/>
  <c r="K162" i="77"/>
  <c r="J57" i="80"/>
  <c r="J163" i="77"/>
  <c r="I58" i="80"/>
  <c r="I164" i="77"/>
  <c r="H59" i="80"/>
  <c r="H165" i="77"/>
  <c r="L59" i="80"/>
  <c r="L165" i="77"/>
  <c r="K60" i="80"/>
  <c r="K166" i="77"/>
  <c r="J61" i="80"/>
  <c r="J167" i="77"/>
  <c r="I62" i="80"/>
  <c r="I168" i="77"/>
  <c r="H63" i="80"/>
  <c r="H169" i="77"/>
  <c r="L63" i="80"/>
  <c r="L169" i="77"/>
  <c r="K64" i="80"/>
  <c r="K170" i="77"/>
  <c r="J65" i="80"/>
  <c r="J171" i="77"/>
  <c r="I66" i="80"/>
  <c r="I172" i="77"/>
  <c r="H67" i="80"/>
  <c r="H173" i="77"/>
  <c r="L67" i="80"/>
  <c r="L173" i="77"/>
  <c r="K68" i="80"/>
  <c r="K174" i="77"/>
  <c r="J69" i="80"/>
  <c r="J175" i="77"/>
  <c r="I70" i="80"/>
  <c r="I176" i="77"/>
  <c r="H71" i="80"/>
  <c r="H177" i="77"/>
  <c r="L71" i="80"/>
  <c r="L177" i="77"/>
  <c r="K72" i="80"/>
  <c r="K178" i="77"/>
  <c r="J73" i="80"/>
  <c r="J179" i="77"/>
  <c r="I74" i="80"/>
  <c r="I180" i="77"/>
  <c r="H75" i="80"/>
  <c r="H181" i="77"/>
  <c r="L75" i="80"/>
  <c r="L181" i="77"/>
  <c r="K76" i="80"/>
  <c r="K182" i="77"/>
  <c r="J77" i="80"/>
  <c r="J183" i="77"/>
  <c r="I78" i="80"/>
  <c r="I184" i="77"/>
  <c r="H79" i="80"/>
  <c r="H185" i="77"/>
  <c r="L79" i="80"/>
  <c r="L185" i="77"/>
  <c r="K80" i="80"/>
  <c r="K186" i="77"/>
  <c r="J81" i="80"/>
  <c r="J187" i="77"/>
  <c r="I82" i="80"/>
  <c r="I188" i="77"/>
  <c r="H83" i="80"/>
  <c r="H189" i="77"/>
  <c r="L83" i="80"/>
  <c r="L189" i="77"/>
  <c r="K84" i="80"/>
  <c r="K190" i="77"/>
  <c r="J85" i="80"/>
  <c r="J191" i="77"/>
  <c r="I86" i="80"/>
  <c r="I192" i="77"/>
  <c r="H87" i="80"/>
  <c r="H193" i="77"/>
  <c r="L87" i="80"/>
  <c r="L193" i="77"/>
  <c r="K88" i="80"/>
  <c r="K194" i="77"/>
  <c r="J89" i="80"/>
  <c r="J195" i="77"/>
  <c r="I90" i="80"/>
  <c r="I196" i="77"/>
  <c r="H91" i="80"/>
  <c r="H197" i="77"/>
  <c r="L91" i="80"/>
  <c r="L197" i="77"/>
  <c r="K92" i="80"/>
  <c r="K198" i="77"/>
  <c r="J93" i="80"/>
  <c r="J199" i="77"/>
  <c r="I94" i="80"/>
  <c r="I200" i="77"/>
  <c r="H95" i="80"/>
  <c r="H201" i="77"/>
  <c r="L95" i="80"/>
  <c r="L201" i="77"/>
  <c r="K96" i="80"/>
  <c r="K202" i="77"/>
  <c r="J97" i="80"/>
  <c r="J203" i="77"/>
  <c r="I98" i="80"/>
  <c r="I204" i="77"/>
  <c r="H99" i="80"/>
  <c r="H205" i="77"/>
  <c r="L99" i="80"/>
  <c r="L205" i="77"/>
  <c r="K100" i="80"/>
  <c r="K206" i="77"/>
  <c r="I114" i="77"/>
  <c r="H115" i="77"/>
  <c r="L115" i="77"/>
  <c r="K116" i="77"/>
  <c r="J117" i="77"/>
  <c r="I118" i="77"/>
  <c r="J119" i="77"/>
  <c r="H121" i="77"/>
  <c r="J123" i="77"/>
  <c r="K126" i="77"/>
  <c r="L129" i="77"/>
  <c r="H16" i="80"/>
  <c r="H122" i="77"/>
  <c r="L16" i="80"/>
  <c r="L122" i="77"/>
  <c r="K17" i="80"/>
  <c r="K123" i="77"/>
  <c r="J18" i="80"/>
  <c r="J124" i="77"/>
  <c r="I19" i="80"/>
  <c r="I125" i="77"/>
  <c r="H20" i="80"/>
  <c r="H126" i="77"/>
  <c r="L20" i="80"/>
  <c r="L126" i="77"/>
  <c r="K21" i="80"/>
  <c r="K127" i="77"/>
  <c r="J22" i="80"/>
  <c r="J128" i="77"/>
  <c r="I23" i="80"/>
  <c r="I129" i="77"/>
  <c r="H24" i="80"/>
  <c r="H130" i="77"/>
  <c r="L24" i="80"/>
  <c r="L130" i="77"/>
  <c r="K25" i="80"/>
  <c r="K131" i="77"/>
  <c r="J26" i="80"/>
  <c r="J132" i="77"/>
  <c r="I27" i="80"/>
  <c r="I133" i="77"/>
  <c r="H28" i="80"/>
  <c r="H134" i="77"/>
  <c r="L28" i="80"/>
  <c r="L134" i="77"/>
  <c r="K29" i="80"/>
  <c r="K135" i="77"/>
  <c r="J30" i="80"/>
  <c r="J136" i="77"/>
  <c r="I31" i="80"/>
  <c r="I137" i="77"/>
  <c r="H32" i="80"/>
  <c r="H138" i="77"/>
  <c r="L32" i="80"/>
  <c r="L138" i="77"/>
  <c r="K33" i="80"/>
  <c r="K139" i="77"/>
  <c r="J34" i="80"/>
  <c r="J140" i="77"/>
  <c r="I35" i="80"/>
  <c r="I141" i="77"/>
  <c r="H36" i="80"/>
  <c r="H142" i="77"/>
  <c r="L36" i="80"/>
  <c r="L142" i="77"/>
  <c r="K37" i="80"/>
  <c r="K143" i="77"/>
  <c r="J38" i="80"/>
  <c r="J144" i="77"/>
  <c r="I39" i="80"/>
  <c r="I145" i="77"/>
  <c r="H40" i="80"/>
  <c r="H146" i="77"/>
  <c r="L40" i="80"/>
  <c r="L146" i="77"/>
  <c r="K41" i="80"/>
  <c r="K147" i="77"/>
  <c r="J42" i="80"/>
  <c r="J148" i="77"/>
  <c r="I43" i="80"/>
  <c r="I149" i="77"/>
  <c r="H44" i="80"/>
  <c r="H150" i="77"/>
  <c r="L44" i="80"/>
  <c r="L150" i="77"/>
  <c r="K45" i="80"/>
  <c r="K151" i="77"/>
  <c r="J46" i="80"/>
  <c r="J152" i="77"/>
  <c r="I47" i="80"/>
  <c r="I153" i="77"/>
  <c r="H48" i="80"/>
  <c r="H154" i="77"/>
  <c r="L48" i="80"/>
  <c r="L154" i="77"/>
  <c r="K49" i="80"/>
  <c r="K155" i="77"/>
  <c r="J50" i="80"/>
  <c r="J156" i="77"/>
  <c r="I51" i="80"/>
  <c r="I157" i="77"/>
  <c r="H52" i="80"/>
  <c r="H158" i="77"/>
  <c r="L52" i="80"/>
  <c r="L158" i="77"/>
  <c r="K53" i="80"/>
  <c r="K159" i="77"/>
  <c r="J54" i="80"/>
  <c r="J160" i="77"/>
  <c r="I55" i="80"/>
  <c r="I161" i="77"/>
  <c r="H56" i="80"/>
  <c r="H162" i="77"/>
  <c r="L56" i="80"/>
  <c r="L162" i="77"/>
  <c r="K57" i="80"/>
  <c r="K163" i="77"/>
  <c r="J58" i="80"/>
  <c r="J164" i="77"/>
  <c r="I59" i="80"/>
  <c r="I165" i="77"/>
  <c r="H60" i="80"/>
  <c r="H166" i="77"/>
  <c r="L60" i="80"/>
  <c r="L166" i="77"/>
  <c r="K61" i="80"/>
  <c r="K167" i="77"/>
  <c r="J62" i="80"/>
  <c r="J168" i="77"/>
  <c r="I63" i="80"/>
  <c r="I169" i="77"/>
  <c r="H64" i="80"/>
  <c r="H170" i="77"/>
  <c r="L64" i="80"/>
  <c r="L170" i="77"/>
  <c r="K65" i="80"/>
  <c r="K171" i="77"/>
  <c r="J66" i="80"/>
  <c r="J172" i="77"/>
  <c r="I67" i="80"/>
  <c r="I173" i="77"/>
  <c r="H68" i="80"/>
  <c r="H174" i="77"/>
  <c r="L68" i="80"/>
  <c r="L174" i="77"/>
  <c r="K69" i="80"/>
  <c r="K175" i="77"/>
  <c r="J70" i="80"/>
  <c r="J176" i="77"/>
  <c r="I71" i="80"/>
  <c r="I177" i="77"/>
  <c r="H72" i="80"/>
  <c r="H178" i="77"/>
  <c r="L72" i="80"/>
  <c r="L178" i="77"/>
  <c r="K73" i="80"/>
  <c r="K179" i="77"/>
  <c r="J74" i="80"/>
  <c r="J180" i="77"/>
  <c r="I75" i="80"/>
  <c r="I181" i="77"/>
  <c r="H76" i="80"/>
  <c r="H182" i="77"/>
  <c r="L76" i="80"/>
  <c r="L182" i="77"/>
  <c r="K77" i="80"/>
  <c r="K183" i="77"/>
  <c r="J78" i="80"/>
  <c r="J184" i="77"/>
  <c r="I79" i="80"/>
  <c r="I185" i="77"/>
  <c r="H80" i="80"/>
  <c r="H186" i="77"/>
  <c r="L80" i="80"/>
  <c r="L186" i="77"/>
  <c r="K81" i="80"/>
  <c r="K187" i="77"/>
  <c r="J82" i="80"/>
  <c r="J188" i="77"/>
  <c r="I83" i="80"/>
  <c r="I189" i="77"/>
  <c r="H84" i="80"/>
  <c r="H190" i="77"/>
  <c r="L84" i="80"/>
  <c r="L190" i="77"/>
  <c r="K85" i="80"/>
  <c r="K191" i="77"/>
  <c r="J86" i="80"/>
  <c r="J192" i="77"/>
  <c r="I87" i="80"/>
  <c r="I193" i="77"/>
  <c r="H88" i="80"/>
  <c r="H194" i="77"/>
  <c r="L88" i="80"/>
  <c r="L194" i="77"/>
  <c r="K89" i="80"/>
  <c r="K195" i="77"/>
  <c r="J90" i="80"/>
  <c r="J196" i="77"/>
  <c r="I91" i="80"/>
  <c r="I197" i="77"/>
  <c r="H92" i="80"/>
  <c r="H198" i="77"/>
  <c r="L92" i="80"/>
  <c r="L198" i="77"/>
  <c r="K93" i="80"/>
  <c r="K199" i="77"/>
  <c r="J94" i="80"/>
  <c r="J200" i="77"/>
  <c r="I95" i="80"/>
  <c r="I201" i="77"/>
  <c r="H96" i="80"/>
  <c r="H202" i="77"/>
  <c r="L96" i="80"/>
  <c r="L202" i="77"/>
  <c r="K97" i="80"/>
  <c r="K203" i="77"/>
  <c r="J98" i="80"/>
  <c r="J204" i="77"/>
  <c r="I99" i="80"/>
  <c r="I205" i="77"/>
  <c r="H100" i="80"/>
  <c r="H206" i="77"/>
  <c r="L100" i="80"/>
  <c r="L206" i="77"/>
  <c r="J114" i="77"/>
  <c r="I115" i="77"/>
  <c r="H116" i="77"/>
  <c r="L116" i="77"/>
  <c r="K117" i="77"/>
  <c r="J118" i="77"/>
  <c r="K119" i="77"/>
  <c r="I121" i="77"/>
  <c r="I124" i="77"/>
  <c r="J127" i="77"/>
  <c r="L104" i="77"/>
  <c r="O104" i="57"/>
  <c r="P6" i="86" s="1"/>
  <c r="O104" i="59"/>
  <c r="P13" i="86" s="1"/>
  <c r="O104" i="58"/>
  <c r="O104" i="43"/>
  <c r="M104" i="57"/>
  <c r="N6" i="86" s="1"/>
  <c r="M103" i="84"/>
  <c r="M102" i="84"/>
  <c r="M101" i="84"/>
  <c r="H8" i="84"/>
  <c r="F103" i="84"/>
  <c r="E103" i="84"/>
  <c r="D103" i="84"/>
  <c r="C103" i="84"/>
  <c r="B103" i="84"/>
  <c r="F102" i="84"/>
  <c r="E102" i="84"/>
  <c r="D102" i="84"/>
  <c r="C102" i="84"/>
  <c r="B102" i="84"/>
  <c r="F101" i="84"/>
  <c r="E101" i="84"/>
  <c r="D101" i="84"/>
  <c r="C101" i="84"/>
  <c r="B101" i="84"/>
  <c r="F100" i="84"/>
  <c r="E100" i="84"/>
  <c r="D100" i="84"/>
  <c r="C100" i="84"/>
  <c r="B100" i="84"/>
  <c r="F99" i="84"/>
  <c r="E99" i="84"/>
  <c r="D99" i="84"/>
  <c r="C99" i="84"/>
  <c r="B99" i="84"/>
  <c r="F98" i="84"/>
  <c r="E98" i="84"/>
  <c r="D98" i="84"/>
  <c r="C98" i="84"/>
  <c r="B98" i="84"/>
  <c r="F97" i="84"/>
  <c r="E97" i="84"/>
  <c r="D97" i="84"/>
  <c r="C97" i="84"/>
  <c r="B97" i="84"/>
  <c r="F96" i="84"/>
  <c r="E96" i="84"/>
  <c r="D96" i="84"/>
  <c r="C96" i="84"/>
  <c r="B96" i="84"/>
  <c r="F95" i="84"/>
  <c r="E95" i="84"/>
  <c r="D95" i="84"/>
  <c r="C95" i="84"/>
  <c r="B95" i="84"/>
  <c r="F94" i="84"/>
  <c r="E94" i="84"/>
  <c r="D94" i="84"/>
  <c r="C94" i="84"/>
  <c r="B94" i="84"/>
  <c r="F93" i="84"/>
  <c r="E93" i="84"/>
  <c r="D93" i="84"/>
  <c r="C93" i="84"/>
  <c r="B93" i="84"/>
  <c r="F92" i="84"/>
  <c r="E92" i="84"/>
  <c r="D92" i="84"/>
  <c r="C92" i="84"/>
  <c r="B92" i="84"/>
  <c r="F91" i="84"/>
  <c r="E91" i="84"/>
  <c r="D91" i="84"/>
  <c r="C91" i="84"/>
  <c r="B91" i="84"/>
  <c r="F90" i="84"/>
  <c r="E90" i="84"/>
  <c r="D90" i="84"/>
  <c r="C90" i="84"/>
  <c r="B90" i="84"/>
  <c r="F89" i="84"/>
  <c r="E89" i="84"/>
  <c r="D89" i="84"/>
  <c r="C89" i="84"/>
  <c r="B89" i="84"/>
  <c r="F88" i="84"/>
  <c r="E88" i="84"/>
  <c r="D88" i="84"/>
  <c r="C88" i="84"/>
  <c r="B88" i="84"/>
  <c r="F87" i="84"/>
  <c r="E87" i="84"/>
  <c r="D87" i="84"/>
  <c r="C87" i="84"/>
  <c r="B87" i="84"/>
  <c r="F86" i="84"/>
  <c r="E86" i="84"/>
  <c r="D86" i="84"/>
  <c r="C86" i="84"/>
  <c r="B86" i="84"/>
  <c r="F85" i="84"/>
  <c r="E85" i="84"/>
  <c r="D85" i="84"/>
  <c r="C85" i="84"/>
  <c r="B85" i="84"/>
  <c r="F84" i="84"/>
  <c r="E84" i="84"/>
  <c r="D84" i="84"/>
  <c r="C84" i="84"/>
  <c r="B84" i="84"/>
  <c r="F83" i="84"/>
  <c r="E83" i="84"/>
  <c r="D83" i="84"/>
  <c r="C83" i="84"/>
  <c r="B83" i="84"/>
  <c r="F82" i="84"/>
  <c r="E82" i="84"/>
  <c r="D82" i="84"/>
  <c r="C82" i="84"/>
  <c r="B82" i="84"/>
  <c r="F81" i="84"/>
  <c r="E81" i="84"/>
  <c r="D81" i="84"/>
  <c r="C81" i="84"/>
  <c r="B81" i="84"/>
  <c r="F80" i="84"/>
  <c r="E80" i="84"/>
  <c r="D80" i="84"/>
  <c r="C80" i="84"/>
  <c r="B80" i="84"/>
  <c r="F79" i="84"/>
  <c r="E79" i="84"/>
  <c r="D79" i="84"/>
  <c r="C79" i="84"/>
  <c r="B79" i="84"/>
  <c r="F78" i="84"/>
  <c r="E78" i="84"/>
  <c r="D78" i="84"/>
  <c r="C78" i="84"/>
  <c r="B78" i="84"/>
  <c r="F77" i="84"/>
  <c r="E77" i="84"/>
  <c r="D77" i="84"/>
  <c r="C77" i="84"/>
  <c r="B77" i="84"/>
  <c r="F76" i="84"/>
  <c r="E76" i="84"/>
  <c r="D76" i="84"/>
  <c r="C76" i="84"/>
  <c r="B76" i="84"/>
  <c r="F75" i="84"/>
  <c r="E75" i="84"/>
  <c r="D75" i="84"/>
  <c r="C75" i="84"/>
  <c r="B75" i="84"/>
  <c r="F74" i="84"/>
  <c r="E74" i="84"/>
  <c r="D74" i="84"/>
  <c r="C74" i="84"/>
  <c r="B74" i="84"/>
  <c r="F73" i="84"/>
  <c r="E73" i="84"/>
  <c r="D73" i="84"/>
  <c r="C73" i="84"/>
  <c r="B73" i="84"/>
  <c r="F72" i="84"/>
  <c r="E72" i="84"/>
  <c r="D72" i="84"/>
  <c r="C72" i="84"/>
  <c r="B72" i="84"/>
  <c r="F71" i="84"/>
  <c r="E71" i="84"/>
  <c r="D71" i="84"/>
  <c r="C71" i="84"/>
  <c r="B71" i="84"/>
  <c r="F70" i="84"/>
  <c r="E70" i="84"/>
  <c r="D70" i="84"/>
  <c r="C70" i="84"/>
  <c r="B70" i="84"/>
  <c r="F69" i="84"/>
  <c r="E69" i="84"/>
  <c r="D69" i="84"/>
  <c r="C69" i="84"/>
  <c r="B69" i="84"/>
  <c r="F68" i="84"/>
  <c r="E68" i="84"/>
  <c r="D68" i="84"/>
  <c r="C68" i="84"/>
  <c r="B68" i="84"/>
  <c r="F67" i="84"/>
  <c r="E67" i="84"/>
  <c r="D67" i="84"/>
  <c r="C67" i="84"/>
  <c r="B67" i="84"/>
  <c r="F66" i="84"/>
  <c r="E66" i="84"/>
  <c r="D66" i="84"/>
  <c r="C66" i="84"/>
  <c r="B66" i="84"/>
  <c r="F65" i="84"/>
  <c r="E65" i="84"/>
  <c r="D65" i="84"/>
  <c r="C65" i="84"/>
  <c r="B65" i="84"/>
  <c r="F64" i="84"/>
  <c r="E64" i="84"/>
  <c r="D64" i="84"/>
  <c r="C64" i="84"/>
  <c r="B64" i="84"/>
  <c r="F63" i="84"/>
  <c r="E63" i="84"/>
  <c r="D63" i="84"/>
  <c r="C63" i="84"/>
  <c r="B63" i="84"/>
  <c r="F62" i="84"/>
  <c r="E62" i="84"/>
  <c r="D62" i="84"/>
  <c r="C62" i="84"/>
  <c r="B62" i="84"/>
  <c r="F61" i="84"/>
  <c r="E61" i="84"/>
  <c r="D61" i="84"/>
  <c r="C61" i="84"/>
  <c r="B61" i="84"/>
  <c r="F60" i="84"/>
  <c r="E60" i="84"/>
  <c r="D60" i="84"/>
  <c r="C60" i="84"/>
  <c r="B60" i="84"/>
  <c r="F59" i="84"/>
  <c r="E59" i="84"/>
  <c r="D59" i="84"/>
  <c r="C59" i="84"/>
  <c r="B59" i="84"/>
  <c r="F58" i="84"/>
  <c r="E58" i="84"/>
  <c r="D58" i="84"/>
  <c r="C58" i="84"/>
  <c r="B58" i="84"/>
  <c r="F57" i="84"/>
  <c r="E57" i="84"/>
  <c r="D57" i="84"/>
  <c r="C57" i="84"/>
  <c r="B57" i="84"/>
  <c r="F56" i="84"/>
  <c r="E56" i="84"/>
  <c r="D56" i="84"/>
  <c r="C56" i="84"/>
  <c r="B56" i="84"/>
  <c r="F55" i="84"/>
  <c r="E55" i="84"/>
  <c r="D55" i="84"/>
  <c r="C55" i="84"/>
  <c r="B55" i="84"/>
  <c r="F54" i="84"/>
  <c r="E54" i="84"/>
  <c r="D54" i="84"/>
  <c r="C54" i="84"/>
  <c r="B54" i="84"/>
  <c r="F53" i="84"/>
  <c r="E53" i="84"/>
  <c r="D53" i="84"/>
  <c r="C53" i="84"/>
  <c r="B53" i="84"/>
  <c r="F52" i="84"/>
  <c r="E52" i="84"/>
  <c r="D52" i="84"/>
  <c r="C52" i="84"/>
  <c r="B52" i="84"/>
  <c r="F51" i="84"/>
  <c r="E51" i="84"/>
  <c r="D51" i="84"/>
  <c r="C51" i="84"/>
  <c r="B51" i="84"/>
  <c r="F50" i="84"/>
  <c r="E50" i="84"/>
  <c r="D50" i="84"/>
  <c r="C50" i="84"/>
  <c r="B50" i="84"/>
  <c r="F49" i="84"/>
  <c r="E49" i="84"/>
  <c r="D49" i="84"/>
  <c r="C49" i="84"/>
  <c r="B49" i="84"/>
  <c r="F48" i="84"/>
  <c r="E48" i="84"/>
  <c r="D48" i="84"/>
  <c r="C48" i="84"/>
  <c r="B48" i="84"/>
  <c r="F47" i="84"/>
  <c r="E47" i="84"/>
  <c r="D47" i="84"/>
  <c r="C47" i="84"/>
  <c r="B47" i="84"/>
  <c r="F46" i="84"/>
  <c r="E46" i="84"/>
  <c r="D46" i="84"/>
  <c r="C46" i="84"/>
  <c r="B46" i="84"/>
  <c r="F45" i="84"/>
  <c r="E45" i="84"/>
  <c r="D45" i="84"/>
  <c r="C45" i="84"/>
  <c r="B45" i="84"/>
  <c r="F44" i="84"/>
  <c r="E44" i="84"/>
  <c r="D44" i="84"/>
  <c r="C44" i="84"/>
  <c r="B44" i="84"/>
  <c r="F43" i="84"/>
  <c r="E43" i="84"/>
  <c r="D43" i="84"/>
  <c r="C43" i="84"/>
  <c r="B43" i="84"/>
  <c r="F42" i="84"/>
  <c r="E42" i="84"/>
  <c r="D42" i="84"/>
  <c r="C42" i="84"/>
  <c r="B42" i="84"/>
  <c r="F41" i="84"/>
  <c r="E41" i="84"/>
  <c r="D41" i="84"/>
  <c r="C41" i="84"/>
  <c r="B41" i="84"/>
  <c r="F40" i="84"/>
  <c r="E40" i="84"/>
  <c r="D40" i="84"/>
  <c r="C40" i="84"/>
  <c r="B40" i="84"/>
  <c r="F39" i="84"/>
  <c r="E39" i="84"/>
  <c r="D39" i="84"/>
  <c r="C39" i="84"/>
  <c r="B39" i="84"/>
  <c r="F38" i="84"/>
  <c r="E38" i="84"/>
  <c r="D38" i="84"/>
  <c r="C38" i="84"/>
  <c r="B38" i="84"/>
  <c r="F37" i="84"/>
  <c r="E37" i="84"/>
  <c r="D37" i="84"/>
  <c r="C37" i="84"/>
  <c r="B37" i="84"/>
  <c r="F36" i="84"/>
  <c r="E36" i="84"/>
  <c r="D36" i="84"/>
  <c r="C36" i="84"/>
  <c r="B36" i="84"/>
  <c r="F35" i="84"/>
  <c r="E35" i="84"/>
  <c r="D35" i="84"/>
  <c r="C35" i="84"/>
  <c r="B35" i="84"/>
  <c r="F34" i="84"/>
  <c r="E34" i="84"/>
  <c r="D34" i="84"/>
  <c r="C34" i="84"/>
  <c r="B34" i="84"/>
  <c r="F33" i="84"/>
  <c r="E33" i="84"/>
  <c r="D33" i="84"/>
  <c r="C33" i="84"/>
  <c r="B33" i="84"/>
  <c r="F32" i="84"/>
  <c r="E32" i="84"/>
  <c r="D32" i="84"/>
  <c r="C32" i="84"/>
  <c r="B32" i="84"/>
  <c r="F31" i="84"/>
  <c r="E31" i="84"/>
  <c r="D31" i="84"/>
  <c r="C31" i="84"/>
  <c r="B31" i="84"/>
  <c r="F30" i="84"/>
  <c r="E30" i="84"/>
  <c r="D30" i="84"/>
  <c r="C30" i="84"/>
  <c r="B30" i="84"/>
  <c r="F29" i="84"/>
  <c r="E29" i="84"/>
  <c r="D29" i="84"/>
  <c r="C29" i="84"/>
  <c r="B29" i="84"/>
  <c r="F28" i="84"/>
  <c r="E28" i="84"/>
  <c r="D28" i="84"/>
  <c r="C28" i="84"/>
  <c r="B28" i="84"/>
  <c r="F27" i="84"/>
  <c r="E27" i="84"/>
  <c r="D27" i="84"/>
  <c r="C27" i="84"/>
  <c r="B27" i="84"/>
  <c r="F26" i="84"/>
  <c r="E26" i="84"/>
  <c r="D26" i="84"/>
  <c r="C26" i="84"/>
  <c r="B26" i="84"/>
  <c r="F25" i="84"/>
  <c r="E25" i="84"/>
  <c r="D25" i="84"/>
  <c r="C25" i="84"/>
  <c r="B25" i="84"/>
  <c r="F24" i="84"/>
  <c r="E24" i="84"/>
  <c r="D24" i="84"/>
  <c r="C24" i="84"/>
  <c r="B24" i="84"/>
  <c r="F23" i="84"/>
  <c r="E23" i="84"/>
  <c r="D23" i="84"/>
  <c r="C23" i="84"/>
  <c r="B23" i="84"/>
  <c r="F22" i="84"/>
  <c r="E22" i="84"/>
  <c r="D22" i="84"/>
  <c r="C22" i="84"/>
  <c r="B22" i="84"/>
  <c r="F21" i="84"/>
  <c r="E21" i="84"/>
  <c r="D21" i="84"/>
  <c r="C21" i="84"/>
  <c r="B21" i="84"/>
  <c r="F20" i="84"/>
  <c r="E20" i="84"/>
  <c r="D20" i="84"/>
  <c r="C20" i="84"/>
  <c r="B20" i="84"/>
  <c r="F19" i="84"/>
  <c r="E19" i="84"/>
  <c r="D19" i="84"/>
  <c r="C19" i="84"/>
  <c r="B19" i="84"/>
  <c r="F18" i="84"/>
  <c r="E18" i="84"/>
  <c r="D18" i="84"/>
  <c r="C18" i="84"/>
  <c r="B18" i="84"/>
  <c r="F17" i="84"/>
  <c r="E17" i="84"/>
  <c r="D17" i="84"/>
  <c r="C17" i="84"/>
  <c r="B17" i="84"/>
  <c r="F16" i="84"/>
  <c r="E16" i="84"/>
  <c r="D16" i="84"/>
  <c r="C16" i="84"/>
  <c r="B16" i="84"/>
  <c r="F15" i="84"/>
  <c r="E15" i="84"/>
  <c r="D15" i="84"/>
  <c r="C15" i="84"/>
  <c r="B15" i="84"/>
  <c r="F14" i="84"/>
  <c r="E14" i="84"/>
  <c r="D14" i="84"/>
  <c r="C14" i="84"/>
  <c r="B14" i="84"/>
  <c r="F13" i="84"/>
  <c r="E13" i="84"/>
  <c r="D13" i="84"/>
  <c r="C13" i="84"/>
  <c r="B13" i="84"/>
  <c r="F12" i="84"/>
  <c r="E12" i="84"/>
  <c r="D12" i="84"/>
  <c r="C12" i="84"/>
  <c r="B12" i="84"/>
  <c r="F11" i="84"/>
  <c r="E11" i="84"/>
  <c r="D11" i="84"/>
  <c r="C11" i="84"/>
  <c r="B11" i="84"/>
  <c r="F10" i="84"/>
  <c r="E10" i="84"/>
  <c r="D10" i="84"/>
  <c r="C10" i="84"/>
  <c r="B10" i="84"/>
  <c r="F9" i="84"/>
  <c r="E9" i="84"/>
  <c r="D9" i="84"/>
  <c r="C9" i="84"/>
  <c r="B9" i="84"/>
  <c r="F8" i="84"/>
  <c r="E8" i="84"/>
  <c r="D8" i="84"/>
  <c r="C8" i="84"/>
  <c r="H8" i="77"/>
  <c r="F103" i="77"/>
  <c r="E103" i="77"/>
  <c r="D103" i="77"/>
  <c r="C103" i="77"/>
  <c r="B103" i="77"/>
  <c r="F102" i="77"/>
  <c r="E102" i="77"/>
  <c r="D102" i="77"/>
  <c r="C102" i="77"/>
  <c r="B102" i="77"/>
  <c r="F101" i="77"/>
  <c r="E101" i="77"/>
  <c r="D101" i="77"/>
  <c r="C101" i="77"/>
  <c r="B101" i="77"/>
  <c r="F100" i="77"/>
  <c r="E100" i="77"/>
  <c r="D100" i="77"/>
  <c r="C100" i="77"/>
  <c r="B100" i="77"/>
  <c r="F99" i="77"/>
  <c r="E99" i="77"/>
  <c r="D99" i="77"/>
  <c r="C99" i="77"/>
  <c r="B99" i="77"/>
  <c r="F98" i="77"/>
  <c r="E98" i="77"/>
  <c r="D98" i="77"/>
  <c r="C98" i="77"/>
  <c r="B98" i="77"/>
  <c r="F97" i="77"/>
  <c r="E97" i="77"/>
  <c r="D97" i="77"/>
  <c r="C97" i="77"/>
  <c r="B97" i="77"/>
  <c r="F96" i="77"/>
  <c r="E96" i="77"/>
  <c r="D96" i="77"/>
  <c r="C96" i="77"/>
  <c r="B96" i="77"/>
  <c r="F95" i="77"/>
  <c r="E95" i="77"/>
  <c r="D95" i="77"/>
  <c r="C95" i="77"/>
  <c r="B95" i="77"/>
  <c r="F94" i="77"/>
  <c r="E94" i="77"/>
  <c r="D94" i="77"/>
  <c r="C94" i="77"/>
  <c r="B94" i="77"/>
  <c r="F93" i="77"/>
  <c r="E93" i="77"/>
  <c r="D93" i="77"/>
  <c r="C93" i="77"/>
  <c r="B93" i="77"/>
  <c r="F92" i="77"/>
  <c r="E92" i="77"/>
  <c r="D92" i="77"/>
  <c r="C92" i="77"/>
  <c r="B92" i="77"/>
  <c r="F91" i="77"/>
  <c r="E91" i="77"/>
  <c r="D91" i="77"/>
  <c r="C91" i="77"/>
  <c r="B91" i="77"/>
  <c r="F90" i="77"/>
  <c r="E90" i="77"/>
  <c r="D90" i="77"/>
  <c r="C90" i="77"/>
  <c r="B90" i="77"/>
  <c r="F89" i="77"/>
  <c r="E89" i="77"/>
  <c r="D89" i="77"/>
  <c r="C89" i="77"/>
  <c r="B89" i="77"/>
  <c r="F88" i="77"/>
  <c r="E88" i="77"/>
  <c r="D88" i="77"/>
  <c r="C88" i="77"/>
  <c r="B88" i="77"/>
  <c r="F87" i="77"/>
  <c r="E87" i="77"/>
  <c r="D87" i="77"/>
  <c r="C87" i="77"/>
  <c r="B87" i="77"/>
  <c r="F86" i="77"/>
  <c r="E86" i="77"/>
  <c r="D86" i="77"/>
  <c r="C86" i="77"/>
  <c r="B86" i="77"/>
  <c r="F85" i="77"/>
  <c r="E85" i="77"/>
  <c r="D85" i="77"/>
  <c r="C85" i="77"/>
  <c r="B85" i="77"/>
  <c r="F84" i="77"/>
  <c r="E84" i="77"/>
  <c r="D84" i="77"/>
  <c r="C84" i="77"/>
  <c r="B84" i="77"/>
  <c r="F83" i="77"/>
  <c r="E83" i="77"/>
  <c r="D83" i="77"/>
  <c r="C83" i="77"/>
  <c r="B83" i="77"/>
  <c r="F82" i="77"/>
  <c r="E82" i="77"/>
  <c r="D82" i="77"/>
  <c r="C82" i="77"/>
  <c r="B82" i="77"/>
  <c r="F81" i="77"/>
  <c r="E81" i="77"/>
  <c r="D81" i="77"/>
  <c r="C81" i="77"/>
  <c r="B81" i="77"/>
  <c r="F80" i="77"/>
  <c r="E80" i="77"/>
  <c r="D80" i="77"/>
  <c r="C80" i="77"/>
  <c r="B80" i="77"/>
  <c r="F79" i="77"/>
  <c r="E79" i="77"/>
  <c r="D79" i="77"/>
  <c r="C79" i="77"/>
  <c r="B79" i="77"/>
  <c r="F78" i="77"/>
  <c r="E78" i="77"/>
  <c r="D78" i="77"/>
  <c r="C78" i="77"/>
  <c r="B78" i="77"/>
  <c r="F77" i="77"/>
  <c r="E77" i="77"/>
  <c r="D77" i="77"/>
  <c r="C77" i="77"/>
  <c r="B77" i="77"/>
  <c r="F76" i="77"/>
  <c r="E76" i="77"/>
  <c r="D76" i="77"/>
  <c r="C76" i="77"/>
  <c r="B76" i="77"/>
  <c r="F75" i="77"/>
  <c r="E75" i="77"/>
  <c r="D75" i="77"/>
  <c r="C75" i="77"/>
  <c r="B75" i="77"/>
  <c r="F74" i="77"/>
  <c r="E74" i="77"/>
  <c r="D74" i="77"/>
  <c r="C74" i="77"/>
  <c r="B74" i="77"/>
  <c r="F73" i="77"/>
  <c r="E73" i="77"/>
  <c r="D73" i="77"/>
  <c r="C73" i="77"/>
  <c r="B73" i="77"/>
  <c r="F72" i="77"/>
  <c r="E72" i="77"/>
  <c r="D72" i="77"/>
  <c r="C72" i="77"/>
  <c r="B72" i="77"/>
  <c r="F71" i="77"/>
  <c r="E71" i="77"/>
  <c r="D71" i="77"/>
  <c r="C71" i="77"/>
  <c r="B71" i="77"/>
  <c r="F70" i="77"/>
  <c r="E70" i="77"/>
  <c r="D70" i="77"/>
  <c r="C70" i="77"/>
  <c r="B70" i="77"/>
  <c r="F69" i="77"/>
  <c r="E69" i="77"/>
  <c r="D69" i="77"/>
  <c r="C69" i="77"/>
  <c r="B69" i="77"/>
  <c r="F68" i="77"/>
  <c r="E68" i="77"/>
  <c r="D68" i="77"/>
  <c r="C68" i="77"/>
  <c r="B68" i="77"/>
  <c r="F67" i="77"/>
  <c r="E67" i="77"/>
  <c r="D67" i="77"/>
  <c r="C67" i="77"/>
  <c r="B67" i="77"/>
  <c r="F66" i="77"/>
  <c r="E66" i="77"/>
  <c r="D66" i="77"/>
  <c r="C66" i="77"/>
  <c r="B66" i="77"/>
  <c r="F65" i="77"/>
  <c r="E65" i="77"/>
  <c r="D65" i="77"/>
  <c r="C65" i="77"/>
  <c r="B65" i="77"/>
  <c r="F64" i="77"/>
  <c r="E64" i="77"/>
  <c r="D64" i="77"/>
  <c r="C64" i="77"/>
  <c r="B64" i="77"/>
  <c r="F63" i="77"/>
  <c r="E63" i="77"/>
  <c r="D63" i="77"/>
  <c r="C63" i="77"/>
  <c r="B63" i="77"/>
  <c r="F62" i="77"/>
  <c r="E62" i="77"/>
  <c r="D62" i="77"/>
  <c r="C62" i="77"/>
  <c r="B62" i="77"/>
  <c r="F61" i="77"/>
  <c r="E61" i="77"/>
  <c r="D61" i="77"/>
  <c r="C61" i="77"/>
  <c r="B61" i="77"/>
  <c r="F60" i="77"/>
  <c r="E60" i="77"/>
  <c r="D60" i="77"/>
  <c r="C60" i="77"/>
  <c r="B60" i="77"/>
  <c r="F59" i="77"/>
  <c r="E59" i="77"/>
  <c r="D59" i="77"/>
  <c r="C59" i="77"/>
  <c r="B59" i="77"/>
  <c r="F58" i="77"/>
  <c r="E58" i="77"/>
  <c r="D58" i="77"/>
  <c r="C58" i="77"/>
  <c r="B58" i="77"/>
  <c r="F57" i="77"/>
  <c r="E57" i="77"/>
  <c r="D57" i="77"/>
  <c r="C57" i="77"/>
  <c r="B57" i="77"/>
  <c r="F56" i="77"/>
  <c r="E56" i="77"/>
  <c r="D56" i="77"/>
  <c r="C56" i="77"/>
  <c r="B56" i="77"/>
  <c r="F55" i="77"/>
  <c r="E55" i="77"/>
  <c r="D55" i="77"/>
  <c r="C55" i="77"/>
  <c r="B55" i="77"/>
  <c r="F54" i="77"/>
  <c r="E54" i="77"/>
  <c r="D54" i="77"/>
  <c r="C54" i="77"/>
  <c r="B54" i="77"/>
  <c r="F53" i="77"/>
  <c r="E53" i="77"/>
  <c r="D53" i="77"/>
  <c r="C53" i="77"/>
  <c r="B53" i="77"/>
  <c r="F52" i="77"/>
  <c r="E52" i="77"/>
  <c r="D52" i="77"/>
  <c r="C52" i="77"/>
  <c r="B52" i="77"/>
  <c r="F51" i="77"/>
  <c r="E51" i="77"/>
  <c r="D51" i="77"/>
  <c r="C51" i="77"/>
  <c r="B51" i="77"/>
  <c r="F50" i="77"/>
  <c r="E50" i="77"/>
  <c r="D50" i="77"/>
  <c r="C50" i="77"/>
  <c r="B50" i="77"/>
  <c r="F49" i="77"/>
  <c r="E49" i="77"/>
  <c r="D49" i="77"/>
  <c r="C49" i="77"/>
  <c r="B49" i="77"/>
  <c r="F48" i="77"/>
  <c r="E48" i="77"/>
  <c r="D48" i="77"/>
  <c r="C48" i="77"/>
  <c r="B48" i="77"/>
  <c r="F47" i="77"/>
  <c r="E47" i="77"/>
  <c r="D47" i="77"/>
  <c r="C47" i="77"/>
  <c r="B47" i="77"/>
  <c r="F46" i="77"/>
  <c r="E46" i="77"/>
  <c r="D46" i="77"/>
  <c r="C46" i="77"/>
  <c r="B46" i="77"/>
  <c r="F45" i="77"/>
  <c r="E45" i="77"/>
  <c r="D45" i="77"/>
  <c r="C45" i="77"/>
  <c r="B45" i="77"/>
  <c r="F44" i="77"/>
  <c r="E44" i="77"/>
  <c r="D44" i="77"/>
  <c r="C44" i="77"/>
  <c r="B44" i="77"/>
  <c r="F43" i="77"/>
  <c r="E43" i="77"/>
  <c r="D43" i="77"/>
  <c r="C43" i="77"/>
  <c r="B43" i="77"/>
  <c r="F42" i="77"/>
  <c r="E42" i="77"/>
  <c r="D42" i="77"/>
  <c r="C42" i="77"/>
  <c r="B42" i="77"/>
  <c r="F41" i="77"/>
  <c r="E41" i="77"/>
  <c r="D41" i="77"/>
  <c r="C41" i="77"/>
  <c r="B41" i="77"/>
  <c r="F40" i="77"/>
  <c r="E40" i="77"/>
  <c r="D40" i="77"/>
  <c r="C40" i="77"/>
  <c r="B40" i="77"/>
  <c r="F39" i="77"/>
  <c r="E39" i="77"/>
  <c r="D39" i="77"/>
  <c r="C39" i="77"/>
  <c r="B39" i="77"/>
  <c r="F38" i="77"/>
  <c r="E38" i="77"/>
  <c r="D38" i="77"/>
  <c r="C38" i="77"/>
  <c r="B38" i="77"/>
  <c r="F37" i="77"/>
  <c r="E37" i="77"/>
  <c r="D37" i="77"/>
  <c r="C37" i="77"/>
  <c r="B37" i="77"/>
  <c r="F36" i="77"/>
  <c r="E36" i="77"/>
  <c r="D36" i="77"/>
  <c r="C36" i="77"/>
  <c r="B36" i="77"/>
  <c r="F35" i="77"/>
  <c r="E35" i="77"/>
  <c r="D35" i="77"/>
  <c r="C35" i="77"/>
  <c r="B35" i="77"/>
  <c r="F34" i="77"/>
  <c r="E34" i="77"/>
  <c r="D34" i="77"/>
  <c r="C34" i="77"/>
  <c r="B34" i="77"/>
  <c r="F33" i="77"/>
  <c r="E33" i="77"/>
  <c r="D33" i="77"/>
  <c r="C33" i="77"/>
  <c r="B33" i="77"/>
  <c r="F32" i="77"/>
  <c r="E32" i="77"/>
  <c r="D32" i="77"/>
  <c r="C32" i="77"/>
  <c r="B32" i="77"/>
  <c r="F31" i="77"/>
  <c r="E31" i="77"/>
  <c r="D31" i="77"/>
  <c r="C31" i="77"/>
  <c r="B31" i="77"/>
  <c r="F30" i="77"/>
  <c r="E30" i="77"/>
  <c r="D30" i="77"/>
  <c r="C30" i="77"/>
  <c r="B30" i="77"/>
  <c r="F29" i="77"/>
  <c r="E29" i="77"/>
  <c r="D29" i="77"/>
  <c r="C29" i="77"/>
  <c r="B29" i="77"/>
  <c r="F28" i="77"/>
  <c r="E28" i="77"/>
  <c r="D28" i="77"/>
  <c r="C28" i="77"/>
  <c r="B28" i="77"/>
  <c r="F27" i="77"/>
  <c r="E27" i="77"/>
  <c r="D27" i="77"/>
  <c r="C27" i="77"/>
  <c r="B27" i="77"/>
  <c r="F26" i="77"/>
  <c r="E26" i="77"/>
  <c r="D26" i="77"/>
  <c r="C26" i="77"/>
  <c r="B26" i="77"/>
  <c r="F25" i="77"/>
  <c r="E25" i="77"/>
  <c r="D25" i="77"/>
  <c r="C25" i="77"/>
  <c r="B25" i="77"/>
  <c r="F24" i="77"/>
  <c r="E24" i="77"/>
  <c r="D24" i="77"/>
  <c r="C24" i="77"/>
  <c r="B24" i="77"/>
  <c r="F23" i="77"/>
  <c r="E23" i="77"/>
  <c r="D23" i="77"/>
  <c r="C23" i="77"/>
  <c r="B23" i="77"/>
  <c r="F22" i="77"/>
  <c r="E22" i="77"/>
  <c r="D22" i="77"/>
  <c r="C22" i="77"/>
  <c r="B22" i="77"/>
  <c r="F21" i="77"/>
  <c r="E21" i="77"/>
  <c r="D21" i="77"/>
  <c r="C21" i="77"/>
  <c r="B21" i="77"/>
  <c r="F20" i="77"/>
  <c r="E20" i="77"/>
  <c r="D20" i="77"/>
  <c r="C20" i="77"/>
  <c r="B20" i="77"/>
  <c r="F19" i="77"/>
  <c r="E19" i="77"/>
  <c r="D19" i="77"/>
  <c r="C19" i="77"/>
  <c r="B19" i="77"/>
  <c r="F18" i="77"/>
  <c r="E18" i="77"/>
  <c r="D18" i="77"/>
  <c r="C18" i="77"/>
  <c r="B18" i="77"/>
  <c r="F17" i="77"/>
  <c r="E17" i="77"/>
  <c r="D17" i="77"/>
  <c r="C17" i="77"/>
  <c r="B17" i="77"/>
  <c r="F16" i="77"/>
  <c r="E16" i="77"/>
  <c r="D16" i="77"/>
  <c r="C16" i="77"/>
  <c r="B16" i="77"/>
  <c r="F15" i="77"/>
  <c r="E15" i="77"/>
  <c r="D15" i="77"/>
  <c r="C15" i="77"/>
  <c r="B15" i="77"/>
  <c r="F14" i="77"/>
  <c r="E14" i="77"/>
  <c r="D14" i="77"/>
  <c r="C14" i="77"/>
  <c r="B14" i="77"/>
  <c r="F13" i="77"/>
  <c r="E13" i="77"/>
  <c r="D13" i="77"/>
  <c r="C13" i="77"/>
  <c r="B13" i="77"/>
  <c r="F12" i="77"/>
  <c r="E12" i="77"/>
  <c r="D12" i="77"/>
  <c r="C12" i="77"/>
  <c r="B12" i="77"/>
  <c r="F11" i="77"/>
  <c r="E11" i="77"/>
  <c r="D11" i="77"/>
  <c r="C11" i="77"/>
  <c r="B11" i="77"/>
  <c r="F10" i="77"/>
  <c r="E10" i="77"/>
  <c r="D10" i="77"/>
  <c r="C10" i="77"/>
  <c r="B10" i="77"/>
  <c r="F9" i="77"/>
  <c r="E9" i="77"/>
  <c r="D9" i="77"/>
  <c r="C9" i="77"/>
  <c r="B9" i="77"/>
  <c r="F8" i="77"/>
  <c r="E8" i="77"/>
  <c r="D8" i="77"/>
  <c r="C8" i="77"/>
  <c r="N22" i="86" l="1"/>
  <c r="N19" i="86"/>
  <c r="P22" i="86"/>
  <c r="N18" i="86"/>
  <c r="P18" i="86"/>
  <c r="P19" i="86"/>
  <c r="K114" i="80"/>
  <c r="J115" i="80"/>
  <c r="J206" i="80"/>
  <c r="K116" i="80"/>
  <c r="H169" i="81"/>
  <c r="J167" i="81"/>
  <c r="L165" i="81"/>
  <c r="I164" i="81"/>
  <c r="K162" i="81"/>
  <c r="H161" i="81"/>
  <c r="J159" i="81"/>
  <c r="I156" i="81"/>
  <c r="H153" i="81"/>
  <c r="L149" i="81"/>
  <c r="I140" i="81"/>
  <c r="H137" i="81"/>
  <c r="J127" i="81"/>
  <c r="I124" i="81"/>
  <c r="L206" i="81"/>
  <c r="N9" i="41"/>
  <c r="K146" i="81"/>
  <c r="L133" i="81"/>
  <c r="K130" i="81"/>
  <c r="L117" i="81"/>
  <c r="I115" i="80"/>
  <c r="K170" i="81"/>
  <c r="L115" i="80"/>
  <c r="N8" i="41"/>
  <c r="H115" i="80"/>
  <c r="L114" i="80"/>
  <c r="I206" i="81"/>
  <c r="H206" i="80"/>
  <c r="L157" i="81"/>
  <c r="J151" i="81"/>
  <c r="H145" i="81"/>
  <c r="J143" i="81"/>
  <c r="K138" i="81"/>
  <c r="I132" i="81"/>
  <c r="H121" i="81"/>
  <c r="J119" i="81"/>
  <c r="I206" i="80"/>
  <c r="L206" i="80"/>
  <c r="J194" i="81"/>
  <c r="K181" i="81"/>
  <c r="L25" i="41"/>
  <c r="H173" i="81"/>
  <c r="L169" i="81"/>
  <c r="H157" i="81"/>
  <c r="J155" i="81"/>
  <c r="L153" i="81"/>
  <c r="I152" i="81"/>
  <c r="K150" i="81"/>
  <c r="H149" i="81"/>
  <c r="L145" i="81"/>
  <c r="L129" i="81"/>
  <c r="K193" i="81"/>
  <c r="L180" i="81"/>
  <c r="M18" i="41"/>
  <c r="O11" i="84"/>
  <c r="O15" i="84"/>
  <c r="O19" i="84"/>
  <c r="O23" i="84"/>
  <c r="O27" i="84"/>
  <c r="O31" i="84"/>
  <c r="O47" i="84"/>
  <c r="O51" i="84"/>
  <c r="O55" i="84"/>
  <c r="O59" i="84"/>
  <c r="O63" i="84"/>
  <c r="O67" i="84"/>
  <c r="I179" i="81"/>
  <c r="K154" i="81"/>
  <c r="I148" i="81"/>
  <c r="L141" i="81"/>
  <c r="J135" i="81"/>
  <c r="H129" i="81"/>
  <c r="K122" i="81"/>
  <c r="I116" i="81"/>
  <c r="L161" i="81"/>
  <c r="O35" i="84"/>
  <c r="O39" i="84"/>
  <c r="O43" i="84"/>
  <c r="K25" i="41"/>
  <c r="I205" i="80"/>
  <c r="L158" i="80"/>
  <c r="I157" i="80"/>
  <c r="K155" i="80"/>
  <c r="H154" i="80"/>
  <c r="J152" i="80"/>
  <c r="L150" i="80"/>
  <c r="I149" i="80"/>
  <c r="K147" i="80"/>
  <c r="H146" i="80"/>
  <c r="J144" i="80"/>
  <c r="L142" i="80"/>
  <c r="I141" i="80"/>
  <c r="K139" i="80"/>
  <c r="H138" i="80"/>
  <c r="J136" i="80"/>
  <c r="L134" i="80"/>
  <c r="I133" i="80"/>
  <c r="K131" i="80"/>
  <c r="H130" i="80"/>
  <c r="J128" i="80"/>
  <c r="L126" i="80"/>
  <c r="I125" i="80"/>
  <c r="K123" i="80"/>
  <c r="H122" i="80"/>
  <c r="M25" i="41"/>
  <c r="O9" i="77"/>
  <c r="O13" i="77"/>
  <c r="O17" i="77"/>
  <c r="O21" i="77"/>
  <c r="L117" i="80"/>
  <c r="H170" i="80"/>
  <c r="J168" i="80"/>
  <c r="L166" i="80"/>
  <c r="I165" i="80"/>
  <c r="K163" i="80"/>
  <c r="H162" i="80"/>
  <c r="J160" i="80"/>
  <c r="O71" i="84"/>
  <c r="O75" i="84"/>
  <c r="O79" i="84"/>
  <c r="O83" i="84"/>
  <c r="O87" i="84"/>
  <c r="O91" i="84"/>
  <c r="O95" i="84"/>
  <c r="O99" i="84"/>
  <c r="O103" i="84"/>
  <c r="K203" i="80"/>
  <c r="H202" i="80"/>
  <c r="J200" i="80"/>
  <c r="L198" i="80"/>
  <c r="I197" i="80"/>
  <c r="K195" i="80"/>
  <c r="H194" i="80"/>
  <c r="J192" i="80"/>
  <c r="L190" i="80"/>
  <c r="I189" i="80"/>
  <c r="K187" i="80"/>
  <c r="H186" i="80"/>
  <c r="J184" i="80"/>
  <c r="L182" i="80"/>
  <c r="I181" i="80"/>
  <c r="K179" i="80"/>
  <c r="H178" i="80"/>
  <c r="J176" i="80"/>
  <c r="L174" i="80"/>
  <c r="I173" i="80"/>
  <c r="K171" i="80"/>
  <c r="K200" i="81"/>
  <c r="J197" i="81"/>
  <c r="K184" i="81"/>
  <c r="L204" i="81"/>
  <c r="H192" i="81"/>
  <c r="K115" i="80"/>
  <c r="I114" i="80"/>
  <c r="K114" i="81"/>
  <c r="L104" i="81"/>
  <c r="L105" i="81" s="1"/>
  <c r="J206" i="81"/>
  <c r="L200" i="81"/>
  <c r="J114" i="80"/>
  <c r="K117" i="80"/>
  <c r="L137" i="81"/>
  <c r="L121" i="81"/>
  <c r="L125" i="81"/>
  <c r="L192" i="81"/>
  <c r="J171" i="81"/>
  <c r="I168" i="81"/>
  <c r="K166" i="81"/>
  <c r="H165" i="81"/>
  <c r="J163" i="81"/>
  <c r="I160" i="81"/>
  <c r="K158" i="81"/>
  <c r="I199" i="81"/>
  <c r="H188" i="81"/>
  <c r="J186" i="81"/>
  <c r="I175" i="81"/>
  <c r="K173" i="81"/>
  <c r="J120" i="80"/>
  <c r="I119" i="80"/>
  <c r="J147" i="81"/>
  <c r="I144" i="81"/>
  <c r="K142" i="81"/>
  <c r="H141" i="81"/>
  <c r="J139" i="81"/>
  <c r="I136" i="81"/>
  <c r="K134" i="81"/>
  <c r="H133" i="81"/>
  <c r="J131" i="81"/>
  <c r="I128" i="81"/>
  <c r="K126" i="81"/>
  <c r="H125" i="81"/>
  <c r="J123" i="81"/>
  <c r="I120" i="81"/>
  <c r="K118" i="81"/>
  <c r="H117" i="81"/>
  <c r="J115" i="81"/>
  <c r="H116" i="80"/>
  <c r="N18" i="41"/>
  <c r="J116" i="80"/>
  <c r="J118" i="80"/>
  <c r="I191" i="81"/>
  <c r="K189" i="81"/>
  <c r="J178" i="81"/>
  <c r="L176" i="81"/>
  <c r="I172" i="81"/>
  <c r="I187" i="81"/>
  <c r="H180" i="81"/>
  <c r="J174" i="81"/>
  <c r="L172" i="81"/>
  <c r="L203" i="81"/>
  <c r="I202" i="81"/>
  <c r="I194" i="81"/>
  <c r="H191" i="81"/>
  <c r="L187" i="81"/>
  <c r="J181" i="81"/>
  <c r="I178" i="81"/>
  <c r="H175" i="81"/>
  <c r="J117" i="80"/>
  <c r="H204" i="81"/>
  <c r="J202" i="81"/>
  <c r="J199" i="81"/>
  <c r="K186" i="81"/>
  <c r="L173" i="81"/>
  <c r="I195" i="81"/>
  <c r="J189" i="81"/>
  <c r="K176" i="81"/>
  <c r="K206" i="81"/>
  <c r="K204" i="81"/>
  <c r="H203" i="81"/>
  <c r="J201" i="81"/>
  <c r="K196" i="81"/>
  <c r="H195" i="81"/>
  <c r="J191" i="81"/>
  <c r="I190" i="81"/>
  <c r="K188" i="81"/>
  <c r="L183" i="81"/>
  <c r="I182" i="81"/>
  <c r="K178" i="81"/>
  <c r="J177" i="81"/>
  <c r="L175" i="81"/>
  <c r="O25" i="77"/>
  <c r="O29" i="77"/>
  <c r="O33" i="77"/>
  <c r="O37" i="77"/>
  <c r="O41" i="77"/>
  <c r="O45" i="77"/>
  <c r="O49" i="77"/>
  <c r="O53" i="77"/>
  <c r="O61" i="77"/>
  <c r="O65" i="77"/>
  <c r="O69" i="77"/>
  <c r="O73" i="77"/>
  <c r="O77" i="77"/>
  <c r="J204" i="80"/>
  <c r="L202" i="80"/>
  <c r="I201" i="80"/>
  <c r="K199" i="80"/>
  <c r="H198" i="80"/>
  <c r="J196" i="80"/>
  <c r="L194" i="80"/>
  <c r="I193" i="80"/>
  <c r="K191" i="80"/>
  <c r="H190" i="80"/>
  <c r="J188" i="80"/>
  <c r="L186" i="80"/>
  <c r="I185" i="80"/>
  <c r="K183" i="80"/>
  <c r="H182" i="80"/>
  <c r="J180" i="80"/>
  <c r="L178" i="80"/>
  <c r="I177" i="80"/>
  <c r="K175" i="80"/>
  <c r="H174" i="80"/>
  <c r="J172" i="80"/>
  <c r="L170" i="80"/>
  <c r="I169" i="80"/>
  <c r="K167" i="80"/>
  <c r="H166" i="80"/>
  <c r="J164" i="80"/>
  <c r="L162" i="80"/>
  <c r="I161" i="80"/>
  <c r="K159" i="80"/>
  <c r="H158" i="80"/>
  <c r="J156" i="80"/>
  <c r="L154" i="80"/>
  <c r="I153" i="80"/>
  <c r="K151" i="80"/>
  <c r="H150" i="80"/>
  <c r="J148" i="80"/>
  <c r="L146" i="80"/>
  <c r="I145" i="80"/>
  <c r="K143" i="80"/>
  <c r="H142" i="80"/>
  <c r="J140" i="80"/>
  <c r="L138" i="80"/>
  <c r="I137" i="80"/>
  <c r="K135" i="80"/>
  <c r="H134" i="80"/>
  <c r="J132" i="80"/>
  <c r="L130" i="80"/>
  <c r="I129" i="80"/>
  <c r="K127" i="80"/>
  <c r="H126" i="80"/>
  <c r="J124" i="80"/>
  <c r="L122" i="80"/>
  <c r="I117" i="80"/>
  <c r="K206" i="80"/>
  <c r="I116" i="80"/>
  <c r="I120" i="80"/>
  <c r="K118" i="80"/>
  <c r="H117" i="80"/>
  <c r="K205" i="81"/>
  <c r="H200" i="81"/>
  <c r="I171" i="81"/>
  <c r="K169" i="81"/>
  <c r="H168" i="81"/>
  <c r="J166" i="81"/>
  <c r="L164" i="81"/>
  <c r="I163" i="81"/>
  <c r="K161" i="81"/>
  <c r="J205" i="81"/>
  <c r="H199" i="81"/>
  <c r="L195" i="81"/>
  <c r="K192" i="81"/>
  <c r="I186" i="81"/>
  <c r="H183" i="81"/>
  <c r="L179" i="81"/>
  <c r="J173" i="81"/>
  <c r="L171" i="81"/>
  <c r="I170" i="81"/>
  <c r="K168" i="81"/>
  <c r="H167" i="81"/>
  <c r="J165" i="81"/>
  <c r="L163" i="81"/>
  <c r="I162" i="81"/>
  <c r="K160" i="81"/>
  <c r="H159" i="81"/>
  <c r="J157" i="81"/>
  <c r="L155" i="81"/>
  <c r="I154" i="81"/>
  <c r="K152" i="81"/>
  <c r="H151" i="81"/>
  <c r="J149" i="81"/>
  <c r="L147" i="81"/>
  <c r="I146" i="81"/>
  <c r="K144" i="81"/>
  <c r="H143" i="81"/>
  <c r="J141" i="81"/>
  <c r="L139" i="81"/>
  <c r="I138" i="81"/>
  <c r="K136" i="81"/>
  <c r="H135" i="81"/>
  <c r="J133" i="81"/>
  <c r="L131" i="81"/>
  <c r="I130" i="81"/>
  <c r="K128" i="81"/>
  <c r="H127" i="81"/>
  <c r="J125" i="81"/>
  <c r="L123" i="81"/>
  <c r="I122" i="81"/>
  <c r="K120" i="81"/>
  <c r="H119" i="81"/>
  <c r="J117" i="81"/>
  <c r="L115" i="81"/>
  <c r="I114" i="81"/>
  <c r="H160" i="81"/>
  <c r="K153" i="81"/>
  <c r="I147" i="81"/>
  <c r="L140" i="81"/>
  <c r="J134" i="81"/>
  <c r="H128" i="81"/>
  <c r="L194" i="81"/>
  <c r="H182" i="81"/>
  <c r="J172" i="81"/>
  <c r="H166" i="81"/>
  <c r="L158" i="81"/>
  <c r="J152" i="81"/>
  <c r="H146" i="81"/>
  <c r="K139" i="81"/>
  <c r="I133" i="81"/>
  <c r="L126" i="81"/>
  <c r="J120" i="81"/>
  <c r="L205" i="81"/>
  <c r="J203" i="81"/>
  <c r="H193" i="81"/>
  <c r="K190" i="81"/>
  <c r="I180" i="81"/>
  <c r="L177" i="81"/>
  <c r="I204" i="81"/>
  <c r="J156" i="81"/>
  <c r="K143" i="81"/>
  <c r="H132" i="81"/>
  <c r="I119" i="81"/>
  <c r="K203" i="81"/>
  <c r="L190" i="81"/>
  <c r="H178" i="81"/>
  <c r="H158" i="81"/>
  <c r="I145" i="81"/>
  <c r="H134" i="81"/>
  <c r="I121" i="81"/>
  <c r="H198" i="81"/>
  <c r="I188" i="81"/>
  <c r="H177" i="81"/>
  <c r="K159" i="81"/>
  <c r="L146" i="81"/>
  <c r="K133" i="81"/>
  <c r="L120" i="81"/>
  <c r="H202" i="81"/>
  <c r="I189" i="81"/>
  <c r="J176" i="81"/>
  <c r="I159" i="81"/>
  <c r="J146" i="81"/>
  <c r="J132" i="81"/>
  <c r="K119" i="81"/>
  <c r="J18" i="41"/>
  <c r="J25" i="41"/>
  <c r="L18" i="41"/>
  <c r="L116" i="80"/>
  <c r="K18" i="41"/>
  <c r="I203" i="81"/>
  <c r="K197" i="81"/>
  <c r="H196" i="81"/>
  <c r="J190" i="81"/>
  <c r="L184" i="81"/>
  <c r="I183" i="81"/>
  <c r="K177" i="81"/>
  <c r="K201" i="81"/>
  <c r="J158" i="81"/>
  <c r="H152" i="81"/>
  <c r="K145" i="81"/>
  <c r="I139" i="81"/>
  <c r="L132" i="81"/>
  <c r="J126" i="81"/>
  <c r="H206" i="81"/>
  <c r="I193" i="81"/>
  <c r="J180" i="81"/>
  <c r="H170" i="81"/>
  <c r="K163" i="81"/>
  <c r="I157" i="81"/>
  <c r="L150" i="81"/>
  <c r="J144" i="81"/>
  <c r="H138" i="81"/>
  <c r="K131" i="81"/>
  <c r="I125" i="81"/>
  <c r="L118" i="81"/>
  <c r="K198" i="81"/>
  <c r="K194" i="81"/>
  <c r="L185" i="81"/>
  <c r="L181" i="81"/>
  <c r="J154" i="81"/>
  <c r="K141" i="81"/>
  <c r="L128" i="81"/>
  <c r="H116" i="81"/>
  <c r="I201" i="81"/>
  <c r="J188" i="81"/>
  <c r="K175" i="81"/>
  <c r="H156" i="81"/>
  <c r="I143" i="81"/>
  <c r="L130" i="81"/>
  <c r="H118" i="81"/>
  <c r="H205" i="81"/>
  <c r="I185" i="81"/>
  <c r="J175" i="81"/>
  <c r="K157" i="81"/>
  <c r="L144" i="81"/>
  <c r="J130" i="81"/>
  <c r="K117" i="81"/>
  <c r="K121" i="81"/>
  <c r="J118" i="81"/>
  <c r="I115" i="81"/>
  <c r="L202" i="81"/>
  <c r="K195" i="81"/>
  <c r="H190" i="81"/>
  <c r="L182" i="81"/>
  <c r="I177" i="81"/>
  <c r="K199" i="81"/>
  <c r="L186" i="81"/>
  <c r="H174" i="81"/>
  <c r="L154" i="81"/>
  <c r="H142" i="81"/>
  <c r="I129" i="81"/>
  <c r="J116" i="81"/>
  <c r="H172" i="81"/>
  <c r="J170" i="81"/>
  <c r="L168" i="81"/>
  <c r="I167" i="81"/>
  <c r="K165" i="81"/>
  <c r="H164" i="81"/>
  <c r="J162" i="81"/>
  <c r="L160" i="81"/>
  <c r="L199" i="81"/>
  <c r="I198" i="81"/>
  <c r="J193" i="81"/>
  <c r="L191" i="81"/>
  <c r="H187" i="81"/>
  <c r="J185" i="81"/>
  <c r="K180" i="81"/>
  <c r="H179" i="81"/>
  <c r="I174" i="81"/>
  <c r="K172" i="81"/>
  <c r="H171" i="81"/>
  <c r="J169" i="81"/>
  <c r="L167" i="81"/>
  <c r="I166" i="81"/>
  <c r="K164" i="81"/>
  <c r="H163" i="81"/>
  <c r="J161" i="81"/>
  <c r="L159" i="81"/>
  <c r="I158" i="81"/>
  <c r="K156" i="81"/>
  <c r="H155" i="81"/>
  <c r="J153" i="81"/>
  <c r="L151" i="81"/>
  <c r="I150" i="81"/>
  <c r="K148" i="81"/>
  <c r="H147" i="81"/>
  <c r="J145" i="81"/>
  <c r="L143" i="81"/>
  <c r="I142" i="81"/>
  <c r="K140" i="81"/>
  <c r="H139" i="81"/>
  <c r="J137" i="81"/>
  <c r="L135" i="81"/>
  <c r="I134" i="81"/>
  <c r="K132" i="81"/>
  <c r="H131" i="81"/>
  <c r="J129" i="81"/>
  <c r="L127" i="81"/>
  <c r="I126" i="81"/>
  <c r="K124" i="81"/>
  <c r="H123" i="81"/>
  <c r="J121" i="81"/>
  <c r="L119" i="81"/>
  <c r="I118" i="81"/>
  <c r="K116" i="81"/>
  <c r="H115" i="81"/>
  <c r="L188" i="81"/>
  <c r="L156" i="81"/>
  <c r="J150" i="81"/>
  <c r="H144" i="81"/>
  <c r="K137" i="81"/>
  <c r="I131" i="81"/>
  <c r="L124" i="81"/>
  <c r="J200" i="81"/>
  <c r="K187" i="81"/>
  <c r="L174" i="81"/>
  <c r="I169" i="81"/>
  <c r="L162" i="81"/>
  <c r="K155" i="81"/>
  <c r="I149" i="81"/>
  <c r="L142" i="81"/>
  <c r="J136" i="81"/>
  <c r="H130" i="81"/>
  <c r="K123" i="81"/>
  <c r="I117" i="81"/>
  <c r="I200" i="81"/>
  <c r="I196" i="81"/>
  <c r="J187" i="81"/>
  <c r="J183" i="81"/>
  <c r="K174" i="81"/>
  <c r="J196" i="81"/>
  <c r="K183" i="81"/>
  <c r="K167" i="81"/>
  <c r="H150" i="81"/>
  <c r="J138" i="81"/>
  <c r="K125" i="81"/>
  <c r="J198" i="81"/>
  <c r="K185" i="81"/>
  <c r="K171" i="81"/>
  <c r="K151" i="81"/>
  <c r="J140" i="81"/>
  <c r="K127" i="81"/>
  <c r="L114" i="81"/>
  <c r="K202" i="81"/>
  <c r="I192" i="81"/>
  <c r="J182" i="81"/>
  <c r="L170" i="81"/>
  <c r="I153" i="81"/>
  <c r="H140" i="81"/>
  <c r="I127" i="81"/>
  <c r="J114" i="81"/>
  <c r="H197" i="81"/>
  <c r="I184" i="81"/>
  <c r="J168" i="81"/>
  <c r="L152" i="81"/>
  <c r="L138" i="81"/>
  <c r="H126" i="81"/>
  <c r="J195" i="81"/>
  <c r="L118" i="80"/>
  <c r="J119" i="80"/>
  <c r="N25" i="41"/>
  <c r="L196" i="81"/>
  <c r="H184" i="81"/>
  <c r="H176" i="81"/>
  <c r="I155" i="81"/>
  <c r="L148" i="81"/>
  <c r="J142" i="81"/>
  <c r="H136" i="81"/>
  <c r="K129" i="81"/>
  <c r="I123" i="81"/>
  <c r="L198" i="81"/>
  <c r="H186" i="81"/>
  <c r="I173" i="81"/>
  <c r="L166" i="81"/>
  <c r="J160" i="81"/>
  <c r="H154" i="81"/>
  <c r="K147" i="81"/>
  <c r="I141" i="81"/>
  <c r="L134" i="81"/>
  <c r="J128" i="81"/>
  <c r="H122" i="81"/>
  <c r="K115" i="81"/>
  <c r="L201" i="81"/>
  <c r="L197" i="81"/>
  <c r="H189" i="81"/>
  <c r="H185" i="81"/>
  <c r="I176" i="81"/>
  <c r="L193" i="81"/>
  <c r="H181" i="81"/>
  <c r="I161" i="81"/>
  <c r="H148" i="81"/>
  <c r="I135" i="81"/>
  <c r="J122" i="81"/>
  <c r="I205" i="81"/>
  <c r="J192" i="81"/>
  <c r="K179" i="81"/>
  <c r="I165" i="81"/>
  <c r="K149" i="81"/>
  <c r="I137" i="81"/>
  <c r="J124" i="81"/>
  <c r="H201" i="81"/>
  <c r="L189" i="81"/>
  <c r="J179" i="81"/>
  <c r="J164" i="81"/>
  <c r="I151" i="81"/>
  <c r="L136" i="81"/>
  <c r="H124" i="81"/>
  <c r="H120" i="81"/>
  <c r="L116" i="81"/>
  <c r="J204" i="81"/>
  <c r="I197" i="81"/>
  <c r="K191" i="81"/>
  <c r="J184" i="81"/>
  <c r="L178" i="81"/>
  <c r="H194" i="81"/>
  <c r="I181" i="81"/>
  <c r="H162" i="81"/>
  <c r="J148" i="81"/>
  <c r="K135" i="81"/>
  <c r="L122" i="81"/>
  <c r="K182" i="81"/>
  <c r="O81" i="77"/>
  <c r="L105" i="68"/>
  <c r="N7" i="41"/>
  <c r="L105" i="77"/>
  <c r="N6" i="41"/>
  <c r="H189" i="80"/>
  <c r="O82" i="77"/>
  <c r="O86" i="77"/>
  <c r="O94" i="77"/>
  <c r="O98" i="77"/>
  <c r="O102" i="77"/>
  <c r="L104" i="80"/>
  <c r="L105" i="80" s="1"/>
  <c r="K119" i="80"/>
  <c r="I128" i="80"/>
  <c r="H125" i="80"/>
  <c r="L121" i="80"/>
  <c r="L205" i="80"/>
  <c r="I204" i="80"/>
  <c r="K202" i="80"/>
  <c r="H201" i="80"/>
  <c r="J199" i="80"/>
  <c r="L197" i="80"/>
  <c r="I196" i="80"/>
  <c r="K194" i="80"/>
  <c r="H193" i="80"/>
  <c r="J191" i="80"/>
  <c r="L189" i="80"/>
  <c r="I188" i="80"/>
  <c r="H185" i="80"/>
  <c r="J183" i="80"/>
  <c r="L181" i="80"/>
  <c r="I180" i="80"/>
  <c r="K178" i="80"/>
  <c r="H177" i="80"/>
  <c r="J175" i="80"/>
  <c r="L173" i="80"/>
  <c r="I172" i="80"/>
  <c r="K170" i="80"/>
  <c r="H169" i="80"/>
  <c r="J167" i="80"/>
  <c r="L165" i="80"/>
  <c r="I164" i="80"/>
  <c r="K162" i="80"/>
  <c r="H161" i="80"/>
  <c r="J159" i="80"/>
  <c r="L157" i="80"/>
  <c r="I156" i="80"/>
  <c r="K154" i="80"/>
  <c r="H153" i="80"/>
  <c r="J151" i="80"/>
  <c r="L149" i="80"/>
  <c r="I148" i="80"/>
  <c r="K146" i="80"/>
  <c r="H145" i="80"/>
  <c r="J143" i="80"/>
  <c r="L141" i="80"/>
  <c r="I140" i="80"/>
  <c r="K138" i="80"/>
  <c r="H137" i="80"/>
  <c r="J135" i="80"/>
  <c r="L133" i="80"/>
  <c r="I132" i="80"/>
  <c r="K130" i="80"/>
  <c r="J127" i="80"/>
  <c r="I124" i="80"/>
  <c r="H121" i="80"/>
  <c r="K205" i="80"/>
  <c r="H204" i="80"/>
  <c r="J202" i="80"/>
  <c r="L200" i="80"/>
  <c r="I199" i="80"/>
  <c r="K197" i="80"/>
  <c r="H196" i="80"/>
  <c r="J194" i="80"/>
  <c r="L192" i="80"/>
  <c r="I191" i="80"/>
  <c r="K189" i="80"/>
  <c r="H188" i="80"/>
  <c r="J186" i="80"/>
  <c r="L184" i="80"/>
  <c r="I183" i="80"/>
  <c r="K181" i="80"/>
  <c r="H180" i="80"/>
  <c r="J178" i="80"/>
  <c r="L176" i="80"/>
  <c r="I175" i="80"/>
  <c r="K173" i="80"/>
  <c r="H172" i="80"/>
  <c r="J170" i="80"/>
  <c r="L168" i="80"/>
  <c r="I167" i="80"/>
  <c r="K165" i="80"/>
  <c r="H164" i="80"/>
  <c r="J162" i="80"/>
  <c r="L160" i="80"/>
  <c r="I159" i="80"/>
  <c r="K157" i="80"/>
  <c r="H156" i="80"/>
  <c r="J154" i="80"/>
  <c r="L152" i="80"/>
  <c r="I151" i="80"/>
  <c r="K149" i="80"/>
  <c r="H148" i="80"/>
  <c r="J146" i="80"/>
  <c r="L144" i="80"/>
  <c r="I143" i="80"/>
  <c r="K141" i="80"/>
  <c r="H140" i="80"/>
  <c r="J138" i="80"/>
  <c r="L136" i="80"/>
  <c r="I135" i="80"/>
  <c r="K133" i="80"/>
  <c r="H132" i="80"/>
  <c r="J130" i="80"/>
  <c r="L128" i="80"/>
  <c r="I127" i="80"/>
  <c r="K125" i="80"/>
  <c r="H124" i="80"/>
  <c r="J122" i="80"/>
  <c r="L120" i="80"/>
  <c r="J205" i="80"/>
  <c r="L203" i="80"/>
  <c r="I202" i="80"/>
  <c r="K200" i="80"/>
  <c r="H199" i="80"/>
  <c r="J197" i="80"/>
  <c r="L195" i="80"/>
  <c r="I194" i="80"/>
  <c r="K192" i="80"/>
  <c r="H191" i="80"/>
  <c r="J189" i="80"/>
  <c r="L187" i="80"/>
  <c r="I186" i="80"/>
  <c r="K184" i="80"/>
  <c r="H183" i="80"/>
  <c r="J181" i="80"/>
  <c r="L179" i="80"/>
  <c r="I178" i="80"/>
  <c r="K176" i="80"/>
  <c r="H175" i="80"/>
  <c r="J173" i="80"/>
  <c r="L171" i="80"/>
  <c r="I170" i="80"/>
  <c r="K168" i="80"/>
  <c r="H167" i="80"/>
  <c r="J165" i="80"/>
  <c r="L163" i="80"/>
  <c r="I162" i="80"/>
  <c r="K160" i="80"/>
  <c r="H159" i="80"/>
  <c r="J157" i="80"/>
  <c r="L155" i="80"/>
  <c r="I154" i="80"/>
  <c r="K152" i="80"/>
  <c r="H151" i="80"/>
  <c r="J149" i="80"/>
  <c r="L147" i="80"/>
  <c r="I146" i="80"/>
  <c r="K144" i="80"/>
  <c r="H143" i="80"/>
  <c r="J141" i="80"/>
  <c r="L139" i="80"/>
  <c r="I138" i="80"/>
  <c r="K136" i="80"/>
  <c r="H135" i="80"/>
  <c r="J133" i="80"/>
  <c r="L131" i="80"/>
  <c r="I130" i="80"/>
  <c r="K128" i="80"/>
  <c r="H127" i="80"/>
  <c r="J125" i="80"/>
  <c r="L123" i="80"/>
  <c r="I122" i="80"/>
  <c r="K120" i="80"/>
  <c r="H119" i="80"/>
  <c r="K186" i="80"/>
  <c r="I121" i="80"/>
  <c r="H118" i="80"/>
  <c r="L129" i="80"/>
  <c r="K126" i="80"/>
  <c r="J123" i="80"/>
  <c r="I118" i="80"/>
  <c r="H205" i="80"/>
  <c r="J203" i="80"/>
  <c r="L201" i="80"/>
  <c r="I200" i="80"/>
  <c r="K198" i="80"/>
  <c r="H197" i="80"/>
  <c r="J195" i="80"/>
  <c r="L193" i="80"/>
  <c r="I192" i="80"/>
  <c r="K190" i="80"/>
  <c r="J187" i="80"/>
  <c r="L185" i="80"/>
  <c r="I184" i="80"/>
  <c r="K182" i="80"/>
  <c r="H181" i="80"/>
  <c r="J179" i="80"/>
  <c r="L177" i="80"/>
  <c r="I176" i="80"/>
  <c r="K174" i="80"/>
  <c r="H173" i="80"/>
  <c r="J171" i="80"/>
  <c r="L169" i="80"/>
  <c r="I168" i="80"/>
  <c r="K166" i="80"/>
  <c r="H165" i="80"/>
  <c r="J163" i="80"/>
  <c r="L161" i="80"/>
  <c r="I160" i="80"/>
  <c r="K158" i="80"/>
  <c r="H157" i="80"/>
  <c r="J155" i="80"/>
  <c r="L153" i="80"/>
  <c r="I152" i="80"/>
  <c r="K150" i="80"/>
  <c r="H149" i="80"/>
  <c r="J147" i="80"/>
  <c r="L145" i="80"/>
  <c r="I144" i="80"/>
  <c r="K142" i="80"/>
  <c r="H141" i="80"/>
  <c r="J139" i="80"/>
  <c r="L137" i="80"/>
  <c r="I136" i="80"/>
  <c r="K134" i="80"/>
  <c r="H133" i="80"/>
  <c r="J131" i="80"/>
  <c r="H129" i="80"/>
  <c r="L125" i="80"/>
  <c r="K122" i="80"/>
  <c r="L204" i="80"/>
  <c r="I203" i="80"/>
  <c r="K201" i="80"/>
  <c r="H200" i="80"/>
  <c r="J198" i="80"/>
  <c r="L196" i="80"/>
  <c r="I195" i="80"/>
  <c r="K193" i="80"/>
  <c r="H192" i="80"/>
  <c r="J190" i="80"/>
  <c r="L188" i="80"/>
  <c r="I187" i="80"/>
  <c r="K185" i="80"/>
  <c r="H184" i="80"/>
  <c r="J182" i="80"/>
  <c r="L180" i="80"/>
  <c r="I179" i="80"/>
  <c r="K177" i="80"/>
  <c r="H176" i="80"/>
  <c r="J174" i="80"/>
  <c r="L172" i="80"/>
  <c r="I171" i="80"/>
  <c r="K169" i="80"/>
  <c r="H168" i="80"/>
  <c r="J166" i="80"/>
  <c r="L164" i="80"/>
  <c r="I163" i="80"/>
  <c r="K161" i="80"/>
  <c r="H160" i="80"/>
  <c r="J158" i="80"/>
  <c r="L156" i="80"/>
  <c r="I155" i="80"/>
  <c r="K153" i="80"/>
  <c r="H152" i="80"/>
  <c r="J150" i="80"/>
  <c r="L148" i="80"/>
  <c r="I147" i="80"/>
  <c r="K145" i="80"/>
  <c r="H144" i="80"/>
  <c r="J142" i="80"/>
  <c r="L140" i="80"/>
  <c r="I139" i="80"/>
  <c r="K137" i="80"/>
  <c r="H136" i="80"/>
  <c r="J134" i="80"/>
  <c r="L132" i="80"/>
  <c r="I131" i="80"/>
  <c r="K129" i="80"/>
  <c r="H128" i="80"/>
  <c r="J126" i="80"/>
  <c r="L124" i="80"/>
  <c r="I123" i="80"/>
  <c r="K121" i="80"/>
  <c r="H120" i="80"/>
  <c r="K204" i="80"/>
  <c r="H203" i="80"/>
  <c r="J201" i="80"/>
  <c r="L199" i="80"/>
  <c r="I198" i="80"/>
  <c r="K196" i="80"/>
  <c r="H195" i="80"/>
  <c r="J193" i="80"/>
  <c r="L191" i="80"/>
  <c r="I190" i="80"/>
  <c r="K188" i="80"/>
  <c r="H187" i="80"/>
  <c r="J185" i="80"/>
  <c r="L183" i="80"/>
  <c r="I182" i="80"/>
  <c r="K180" i="80"/>
  <c r="H179" i="80"/>
  <c r="J177" i="80"/>
  <c r="L175" i="80"/>
  <c r="I174" i="80"/>
  <c r="K172" i="80"/>
  <c r="H171" i="80"/>
  <c r="J169" i="80"/>
  <c r="L167" i="80"/>
  <c r="I166" i="80"/>
  <c r="K164" i="80"/>
  <c r="H163" i="80"/>
  <c r="J161" i="80"/>
  <c r="L159" i="80"/>
  <c r="I158" i="80"/>
  <c r="K156" i="80"/>
  <c r="H155" i="80"/>
  <c r="J153" i="80"/>
  <c r="L151" i="80"/>
  <c r="I150" i="80"/>
  <c r="K148" i="80"/>
  <c r="H147" i="80"/>
  <c r="J145" i="80"/>
  <c r="L143" i="80"/>
  <c r="I142" i="80"/>
  <c r="K140" i="80"/>
  <c r="H139" i="80"/>
  <c r="J137" i="80"/>
  <c r="L135" i="80"/>
  <c r="I134" i="80"/>
  <c r="K132" i="80"/>
  <c r="H131" i="80"/>
  <c r="J129" i="80"/>
  <c r="L127" i="80"/>
  <c r="I126" i="80"/>
  <c r="K124" i="80"/>
  <c r="H123" i="80"/>
  <c r="J121" i="80"/>
  <c r="L119" i="80"/>
  <c r="O10" i="77"/>
  <c r="O34" i="77"/>
  <c r="O54" i="77"/>
  <c r="O74" i="77"/>
  <c r="O14" i="77"/>
  <c r="O22" i="77"/>
  <c r="O26" i="77"/>
  <c r="O38" i="77"/>
  <c r="O46" i="77"/>
  <c r="O58" i="77"/>
  <c r="O66" i="77"/>
  <c r="O78" i="77"/>
  <c r="O19" i="77"/>
  <c r="O27" i="77"/>
  <c r="O31" i="77"/>
  <c r="O35" i="77"/>
  <c r="O39" i="77"/>
  <c r="O43" i="77"/>
  <c r="O47" i="77"/>
  <c r="O51" i="77"/>
  <c r="O55" i="77"/>
  <c r="O59" i="77"/>
  <c r="O63" i="77"/>
  <c r="O67" i="77"/>
  <c r="O71" i="77"/>
  <c r="O75" i="77"/>
  <c r="O79" i="77"/>
  <c r="O83" i="77"/>
  <c r="O87" i="77"/>
  <c r="O91" i="77"/>
  <c r="O95" i="77"/>
  <c r="O99" i="77"/>
  <c r="O103" i="77"/>
  <c r="O12" i="84"/>
  <c r="O16" i="84"/>
  <c r="O20" i="84"/>
  <c r="O24" i="84"/>
  <c r="O28" i="84"/>
  <c r="O32" i="84"/>
  <c r="O36" i="84"/>
  <c r="O40" i="84"/>
  <c r="O44" i="84"/>
  <c r="O48" i="84"/>
  <c r="O52" i="84"/>
  <c r="O56" i="84"/>
  <c r="O60" i="84"/>
  <c r="O64" i="84"/>
  <c r="O68" i="84"/>
  <c r="O72" i="84"/>
  <c r="O76" i="84"/>
  <c r="O80" i="84"/>
  <c r="O84" i="84"/>
  <c r="O88" i="84"/>
  <c r="O92" i="84"/>
  <c r="O96" i="84"/>
  <c r="O100" i="84"/>
  <c r="M8" i="84"/>
  <c r="M9" i="84"/>
  <c r="M10" i="84"/>
  <c r="M11" i="84"/>
  <c r="M12" i="84"/>
  <c r="M13" i="84"/>
  <c r="M14" i="84"/>
  <c r="M15" i="84"/>
  <c r="M16" i="84"/>
  <c r="M17" i="84"/>
  <c r="M18" i="84"/>
  <c r="M19" i="84"/>
  <c r="M20" i="84"/>
  <c r="M21" i="84"/>
  <c r="M22" i="84"/>
  <c r="M23" i="84"/>
  <c r="M24" i="84"/>
  <c r="M25" i="84"/>
  <c r="M26" i="84"/>
  <c r="M27" i="84"/>
  <c r="M28" i="84"/>
  <c r="M29" i="84"/>
  <c r="M30" i="84"/>
  <c r="M31" i="84"/>
  <c r="M32" i="84"/>
  <c r="M33" i="84"/>
  <c r="M34" i="84"/>
  <c r="M35" i="84"/>
  <c r="M36" i="84"/>
  <c r="M37" i="84"/>
  <c r="M38" i="84"/>
  <c r="M39" i="84"/>
  <c r="M40" i="84"/>
  <c r="M41" i="84"/>
  <c r="M42" i="84"/>
  <c r="M43" i="84"/>
  <c r="M44" i="84"/>
  <c r="M45" i="84"/>
  <c r="M46" i="84"/>
  <c r="M47" i="84"/>
  <c r="M48" i="84"/>
  <c r="M49" i="84"/>
  <c r="M50" i="84"/>
  <c r="M51" i="84"/>
  <c r="M52" i="84"/>
  <c r="M53" i="84"/>
  <c r="M54" i="84"/>
  <c r="M55" i="84"/>
  <c r="M56" i="84"/>
  <c r="M57" i="84"/>
  <c r="M58" i="84"/>
  <c r="M59" i="84"/>
  <c r="M60" i="84"/>
  <c r="M61" i="84"/>
  <c r="M62" i="84"/>
  <c r="M63" i="84"/>
  <c r="M64" i="84"/>
  <c r="M65" i="84"/>
  <c r="M66" i="84"/>
  <c r="M67" i="84"/>
  <c r="M68" i="84"/>
  <c r="M69" i="84"/>
  <c r="M70" i="84"/>
  <c r="M71" i="84"/>
  <c r="M72" i="84"/>
  <c r="M73" i="84"/>
  <c r="M74" i="84"/>
  <c r="M75" i="84"/>
  <c r="M76" i="84"/>
  <c r="M77" i="84"/>
  <c r="M78" i="84"/>
  <c r="M79" i="84"/>
  <c r="M80" i="84"/>
  <c r="M81" i="84"/>
  <c r="M82" i="84"/>
  <c r="M83" i="84"/>
  <c r="M84" i="84"/>
  <c r="M85" i="84"/>
  <c r="M86" i="84"/>
  <c r="M87" i="84"/>
  <c r="M88" i="84"/>
  <c r="M89" i="84"/>
  <c r="M90" i="84"/>
  <c r="M91" i="84"/>
  <c r="M92" i="84"/>
  <c r="M93" i="84"/>
  <c r="M94" i="84"/>
  <c r="M95" i="84"/>
  <c r="M96" i="84"/>
  <c r="M97" i="84"/>
  <c r="M98" i="84"/>
  <c r="M99" i="84"/>
  <c r="M100" i="84"/>
  <c r="O18" i="77"/>
  <c r="O30" i="77"/>
  <c r="O42" i="77"/>
  <c r="O50" i="77"/>
  <c r="O62" i="77"/>
  <c r="O70" i="77"/>
  <c r="O90" i="77"/>
  <c r="O11" i="77"/>
  <c r="O15" i="77"/>
  <c r="O23" i="77"/>
  <c r="O12" i="77"/>
  <c r="O16" i="77"/>
  <c r="O20" i="77"/>
  <c r="O24" i="77"/>
  <c r="O28" i="77"/>
  <c r="O32" i="77"/>
  <c r="O36" i="77"/>
  <c r="O40" i="77"/>
  <c r="O44" i="77"/>
  <c r="O48" i="77"/>
  <c r="O52" i="77"/>
  <c r="O56" i="77"/>
  <c r="O60" i="77"/>
  <c r="O64" i="77"/>
  <c r="O68" i="77"/>
  <c r="O72" i="77"/>
  <c r="O76" i="77"/>
  <c r="O80" i="77"/>
  <c r="O84" i="77"/>
  <c r="O88" i="77"/>
  <c r="O92" i="77"/>
  <c r="O96" i="77"/>
  <c r="O100" i="77"/>
  <c r="M8" i="77"/>
  <c r="M9" i="77"/>
  <c r="M10" i="77"/>
  <c r="M11" i="77"/>
  <c r="M12" i="77"/>
  <c r="M13" i="77"/>
  <c r="M14" i="77"/>
  <c r="M15" i="77"/>
  <c r="M16" i="77"/>
  <c r="M17" i="77"/>
  <c r="M18" i="77"/>
  <c r="M19" i="77"/>
  <c r="M20" i="77"/>
  <c r="M21" i="77"/>
  <c r="M22" i="77"/>
  <c r="M23" i="77"/>
  <c r="M24" i="77"/>
  <c r="M25" i="77"/>
  <c r="M26" i="77"/>
  <c r="M27" i="77"/>
  <c r="M28" i="77"/>
  <c r="M29" i="77"/>
  <c r="M30" i="77"/>
  <c r="M31" i="77"/>
  <c r="M32" i="77"/>
  <c r="M33" i="77"/>
  <c r="M34" i="77"/>
  <c r="M35" i="77"/>
  <c r="M36" i="77"/>
  <c r="M37" i="77"/>
  <c r="M38" i="77"/>
  <c r="M39" i="77"/>
  <c r="M40" i="77"/>
  <c r="M41" i="77"/>
  <c r="M42" i="77"/>
  <c r="M43" i="77"/>
  <c r="M44" i="77"/>
  <c r="M45" i="77"/>
  <c r="M46" i="77"/>
  <c r="M47" i="77"/>
  <c r="M48" i="77"/>
  <c r="M49" i="77"/>
  <c r="M50" i="77"/>
  <c r="M51" i="77"/>
  <c r="M52" i="77"/>
  <c r="M53" i="77"/>
  <c r="M54" i="77"/>
  <c r="M55" i="77"/>
  <c r="M56" i="77"/>
  <c r="M57" i="77"/>
  <c r="M58" i="77"/>
  <c r="M59" i="77"/>
  <c r="M60" i="77"/>
  <c r="M61" i="77"/>
  <c r="M62" i="77"/>
  <c r="M63" i="77"/>
  <c r="M64" i="77"/>
  <c r="M65" i="77"/>
  <c r="M66" i="77"/>
  <c r="M67" i="77"/>
  <c r="M68" i="77"/>
  <c r="M69" i="77"/>
  <c r="M70" i="77"/>
  <c r="M71" i="77"/>
  <c r="M72" i="77"/>
  <c r="M73" i="77"/>
  <c r="M74" i="77"/>
  <c r="M75" i="77"/>
  <c r="M76" i="77"/>
  <c r="M77" i="77"/>
  <c r="M78" i="77"/>
  <c r="M79" i="77"/>
  <c r="M80" i="77"/>
  <c r="M81" i="77"/>
  <c r="M82" i="77"/>
  <c r="M83" i="77"/>
  <c r="M84" i="77"/>
  <c r="M85" i="77"/>
  <c r="M86" i="77"/>
  <c r="M87" i="77"/>
  <c r="M88" i="77"/>
  <c r="M89" i="77"/>
  <c r="M90" i="77"/>
  <c r="M91" i="77"/>
  <c r="M92" i="77"/>
  <c r="M93" i="77"/>
  <c r="M94" i="77"/>
  <c r="M95" i="77"/>
  <c r="M96" i="77"/>
  <c r="M97" i="77"/>
  <c r="M98" i="77"/>
  <c r="M99" i="77"/>
  <c r="M100" i="77"/>
  <c r="M101" i="77"/>
  <c r="M102" i="77"/>
  <c r="M103" i="77"/>
  <c r="O9" i="84"/>
  <c r="O13" i="84"/>
  <c r="O17" i="84"/>
  <c r="O21" i="84"/>
  <c r="O25" i="84"/>
  <c r="O29" i="84"/>
  <c r="O33" i="84"/>
  <c r="O37" i="84"/>
  <c r="O41" i="84"/>
  <c r="O45" i="84"/>
  <c r="O49" i="84"/>
  <c r="O53" i="84"/>
  <c r="O57" i="84"/>
  <c r="O61" i="84"/>
  <c r="O65" i="84"/>
  <c r="O69" i="84"/>
  <c r="O73" i="84"/>
  <c r="O77" i="84"/>
  <c r="O81" i="84"/>
  <c r="O85" i="84"/>
  <c r="O89" i="84"/>
  <c r="O93" i="84"/>
  <c r="O97" i="84"/>
  <c r="O101" i="84"/>
  <c r="O57" i="77"/>
  <c r="O85" i="77"/>
  <c r="O89" i="77"/>
  <c r="O93" i="77"/>
  <c r="O97" i="77"/>
  <c r="O101" i="77"/>
  <c r="O10" i="84"/>
  <c r="O14" i="84"/>
  <c r="O18" i="84"/>
  <c r="O22" i="84"/>
  <c r="O26" i="84"/>
  <c r="O30" i="84"/>
  <c r="O34" i="84"/>
  <c r="O38" i="84"/>
  <c r="O42" i="84"/>
  <c r="O46" i="84"/>
  <c r="O50" i="84"/>
  <c r="O54" i="84"/>
  <c r="O58" i="84"/>
  <c r="O62" i="84"/>
  <c r="O66" i="84"/>
  <c r="O70" i="84"/>
  <c r="O74" i="84"/>
  <c r="O78" i="84"/>
  <c r="O82" i="84"/>
  <c r="O86" i="84"/>
  <c r="O90" i="84"/>
  <c r="O94" i="84"/>
  <c r="O98" i="84"/>
  <c r="O102" i="84"/>
  <c r="N11" i="41" l="1"/>
  <c r="M104" i="77"/>
  <c r="O6" i="41" s="1"/>
  <c r="M104" i="84"/>
  <c r="H16" i="1"/>
  <c r="J11" i="1"/>
  <c r="F11" i="1"/>
  <c r="H6" i="1"/>
  <c r="H8" i="82" l="1"/>
  <c r="H8" i="83"/>
  <c r="H8" i="85"/>
  <c r="H8" i="79"/>
  <c r="H8" i="78"/>
  <c r="M8" i="78" l="1"/>
  <c r="M9" i="78"/>
  <c r="M10" i="78"/>
  <c r="M11" i="78"/>
  <c r="M12" i="78"/>
  <c r="M13" i="78"/>
  <c r="M14" i="78"/>
  <c r="M15" i="78"/>
  <c r="M16" i="78"/>
  <c r="M17" i="78"/>
  <c r="M18" i="78"/>
  <c r="M19" i="78"/>
  <c r="M20" i="78"/>
  <c r="M21" i="78"/>
  <c r="M22" i="78"/>
  <c r="M23" i="78"/>
  <c r="M24" i="78"/>
  <c r="M25" i="78"/>
  <c r="M26" i="78"/>
  <c r="M27" i="78"/>
  <c r="M28" i="78"/>
  <c r="M29" i="78"/>
  <c r="M30" i="78"/>
  <c r="M31" i="78"/>
  <c r="M32" i="78"/>
  <c r="M33" i="78"/>
  <c r="M34" i="78"/>
  <c r="M35" i="78"/>
  <c r="M36" i="78"/>
  <c r="M37" i="78"/>
  <c r="M38" i="78"/>
  <c r="M39" i="78"/>
  <c r="M40" i="78"/>
  <c r="M41" i="78"/>
  <c r="M42" i="78"/>
  <c r="M43" i="78"/>
  <c r="M44" i="78"/>
  <c r="M45" i="78"/>
  <c r="M46" i="78"/>
  <c r="M47" i="78"/>
  <c r="M48" i="78"/>
  <c r="M49" i="78"/>
  <c r="M50" i="78"/>
  <c r="M51" i="78"/>
  <c r="M52" i="78"/>
  <c r="M53" i="78"/>
  <c r="M54" i="78"/>
  <c r="M55" i="78"/>
  <c r="M56" i="78"/>
  <c r="M57" i="78"/>
  <c r="M58" i="78"/>
  <c r="M59" i="78"/>
  <c r="M60" i="78"/>
  <c r="M61" i="78"/>
  <c r="M62" i="78"/>
  <c r="M63" i="78"/>
  <c r="M64" i="78"/>
  <c r="M65" i="78"/>
  <c r="M66" i="78"/>
  <c r="M67" i="78"/>
  <c r="M68" i="78"/>
  <c r="M69" i="78"/>
  <c r="M70" i="78"/>
  <c r="M71" i="78"/>
  <c r="M72" i="78"/>
  <c r="M73" i="78"/>
  <c r="M74" i="78"/>
  <c r="M75" i="78"/>
  <c r="M76" i="78"/>
  <c r="M77" i="78"/>
  <c r="M78" i="78"/>
  <c r="M79" i="78"/>
  <c r="M80" i="78"/>
  <c r="M81" i="78"/>
  <c r="M82" i="78"/>
  <c r="M83" i="78"/>
  <c r="M84" i="78"/>
  <c r="M85" i="78"/>
  <c r="M86" i="78"/>
  <c r="M87" i="78"/>
  <c r="M88" i="78"/>
  <c r="M89" i="78"/>
  <c r="M90" i="78"/>
  <c r="M91" i="78"/>
  <c r="M92" i="78"/>
  <c r="M93" i="78"/>
  <c r="M94" i="78"/>
  <c r="M95" i="78"/>
  <c r="M96" i="78"/>
  <c r="M97" i="78"/>
  <c r="M98" i="78"/>
  <c r="M99" i="78"/>
  <c r="M100" i="78"/>
  <c r="M101" i="78"/>
  <c r="M102" i="78"/>
  <c r="M103" i="78"/>
  <c r="M8" i="79"/>
  <c r="M9" i="79"/>
  <c r="M10" i="79"/>
  <c r="M11" i="79"/>
  <c r="M12" i="79"/>
  <c r="M13" i="79"/>
  <c r="M14" i="79"/>
  <c r="M15" i="79"/>
  <c r="M16" i="79"/>
  <c r="M17" i="79"/>
  <c r="M18" i="79"/>
  <c r="M19" i="79"/>
  <c r="M20" i="79"/>
  <c r="M21" i="79"/>
  <c r="M22" i="79"/>
  <c r="M23" i="79"/>
  <c r="M24" i="79"/>
  <c r="M25" i="79"/>
  <c r="M26" i="79"/>
  <c r="M27" i="79"/>
  <c r="M28" i="79"/>
  <c r="M29" i="79"/>
  <c r="M30" i="79"/>
  <c r="M31" i="79"/>
  <c r="M32" i="79"/>
  <c r="M33" i="79"/>
  <c r="M34" i="79"/>
  <c r="M35" i="79"/>
  <c r="M36" i="79"/>
  <c r="M37" i="79"/>
  <c r="M38" i="79"/>
  <c r="M39" i="79"/>
  <c r="M40" i="79"/>
  <c r="M41" i="79"/>
  <c r="M42" i="79"/>
  <c r="M43" i="79"/>
  <c r="M44" i="79"/>
  <c r="M45" i="79"/>
  <c r="M46" i="79"/>
  <c r="M47" i="79"/>
  <c r="M48" i="79"/>
  <c r="M49" i="79"/>
  <c r="M50" i="79"/>
  <c r="M51" i="79"/>
  <c r="M52" i="79"/>
  <c r="M53" i="79"/>
  <c r="M54" i="79"/>
  <c r="M55" i="79"/>
  <c r="M56" i="79"/>
  <c r="M57" i="79"/>
  <c r="M58" i="79"/>
  <c r="M59" i="79"/>
  <c r="M60" i="79"/>
  <c r="M61" i="79"/>
  <c r="M62" i="79"/>
  <c r="M63" i="79"/>
  <c r="M64" i="79"/>
  <c r="M65" i="79"/>
  <c r="M66" i="79"/>
  <c r="M67" i="79"/>
  <c r="M68" i="79"/>
  <c r="M69" i="79"/>
  <c r="M70" i="79"/>
  <c r="M71" i="79"/>
  <c r="M72" i="79"/>
  <c r="M73" i="79"/>
  <c r="M74" i="79"/>
  <c r="M75" i="79"/>
  <c r="M76" i="79"/>
  <c r="M77" i="79"/>
  <c r="M78" i="79"/>
  <c r="M79" i="79"/>
  <c r="M80" i="79"/>
  <c r="M81" i="79"/>
  <c r="M82" i="79"/>
  <c r="M83" i="79"/>
  <c r="M84" i="79"/>
  <c r="M85" i="79"/>
  <c r="M86" i="79"/>
  <c r="M87" i="79"/>
  <c r="M88" i="79"/>
  <c r="M89" i="79"/>
  <c r="M90" i="79"/>
  <c r="M91" i="79"/>
  <c r="M92" i="79"/>
  <c r="M93" i="79"/>
  <c r="M94" i="79"/>
  <c r="M95" i="79"/>
  <c r="M96" i="79"/>
  <c r="M97" i="79"/>
  <c r="M98" i="79"/>
  <c r="M99" i="79"/>
  <c r="M100" i="79"/>
  <c r="M101" i="79"/>
  <c r="M102" i="79"/>
  <c r="M103" i="79"/>
  <c r="M8" i="85"/>
  <c r="M9" i="85"/>
  <c r="M10" i="85"/>
  <c r="M11" i="85"/>
  <c r="M12" i="85"/>
  <c r="M13" i="85"/>
  <c r="M14" i="85"/>
  <c r="M15" i="85"/>
  <c r="M16" i="85"/>
  <c r="M17" i="85"/>
  <c r="M18" i="85"/>
  <c r="M19" i="85"/>
  <c r="M20" i="85"/>
  <c r="M21" i="85"/>
  <c r="M22" i="85"/>
  <c r="M23" i="85"/>
  <c r="M24" i="85"/>
  <c r="M25" i="85"/>
  <c r="M26" i="85"/>
  <c r="M27" i="85"/>
  <c r="M28" i="85"/>
  <c r="M29" i="85"/>
  <c r="M30" i="85"/>
  <c r="M31" i="85"/>
  <c r="M32" i="85"/>
  <c r="M33" i="85"/>
  <c r="M34" i="85"/>
  <c r="M35" i="85"/>
  <c r="M36" i="85"/>
  <c r="M37" i="85"/>
  <c r="M38" i="85"/>
  <c r="M39" i="85"/>
  <c r="M40" i="85"/>
  <c r="M41" i="85"/>
  <c r="M42" i="85"/>
  <c r="M43" i="85"/>
  <c r="M44" i="85"/>
  <c r="M45" i="85"/>
  <c r="M46" i="85"/>
  <c r="M47" i="85"/>
  <c r="M48" i="85"/>
  <c r="M49" i="85"/>
  <c r="M50" i="85"/>
  <c r="M51" i="85"/>
  <c r="M52" i="85"/>
  <c r="M53" i="85"/>
  <c r="M54" i="85"/>
  <c r="M55" i="85"/>
  <c r="M56" i="85"/>
  <c r="M57" i="85"/>
  <c r="M58" i="85"/>
  <c r="M59" i="85"/>
  <c r="M60" i="85"/>
  <c r="M61" i="85"/>
  <c r="M62" i="85"/>
  <c r="M63" i="85"/>
  <c r="M64" i="85"/>
  <c r="M65" i="85"/>
  <c r="M66" i="85"/>
  <c r="M67" i="85"/>
  <c r="M68" i="85"/>
  <c r="M69" i="85"/>
  <c r="M70" i="85"/>
  <c r="M71" i="85"/>
  <c r="M72" i="85"/>
  <c r="M73" i="85"/>
  <c r="M74" i="85"/>
  <c r="M75" i="85"/>
  <c r="M76" i="85"/>
  <c r="M77" i="85"/>
  <c r="M78" i="85"/>
  <c r="M79" i="85"/>
  <c r="M80" i="85"/>
  <c r="M81" i="85"/>
  <c r="M82" i="85"/>
  <c r="M83" i="85"/>
  <c r="M84" i="85"/>
  <c r="M85" i="85"/>
  <c r="M86" i="85"/>
  <c r="M87" i="85"/>
  <c r="M88" i="85"/>
  <c r="M89" i="85"/>
  <c r="M90" i="85"/>
  <c r="M91" i="85"/>
  <c r="M92" i="85"/>
  <c r="M93" i="85"/>
  <c r="M94" i="85"/>
  <c r="M95" i="85"/>
  <c r="M96" i="85"/>
  <c r="M97" i="85"/>
  <c r="M98" i="85"/>
  <c r="M99" i="85"/>
  <c r="M100" i="85"/>
  <c r="M101" i="85"/>
  <c r="M102" i="85"/>
  <c r="M103" i="85"/>
  <c r="M8" i="83"/>
  <c r="M9" i="83"/>
  <c r="M10" i="83"/>
  <c r="M11" i="83"/>
  <c r="M12" i="83"/>
  <c r="M13" i="83"/>
  <c r="M14" i="83"/>
  <c r="M15" i="83"/>
  <c r="M16" i="83"/>
  <c r="M17" i="83"/>
  <c r="M18" i="83"/>
  <c r="M19" i="83"/>
  <c r="M20" i="83"/>
  <c r="M21" i="83"/>
  <c r="M22" i="83"/>
  <c r="M23" i="83"/>
  <c r="M24" i="83"/>
  <c r="M25" i="83"/>
  <c r="M26" i="83"/>
  <c r="M27" i="83"/>
  <c r="M28" i="83"/>
  <c r="M29" i="83"/>
  <c r="M30" i="83"/>
  <c r="M31" i="83"/>
  <c r="M32" i="83"/>
  <c r="M33" i="83"/>
  <c r="M34" i="83"/>
  <c r="M35" i="83"/>
  <c r="M36" i="83"/>
  <c r="M37" i="83"/>
  <c r="M38" i="83"/>
  <c r="M39" i="83"/>
  <c r="M40" i="83"/>
  <c r="M41" i="83"/>
  <c r="M42" i="83"/>
  <c r="M43" i="83"/>
  <c r="M44" i="83"/>
  <c r="M45" i="83"/>
  <c r="M46" i="83"/>
  <c r="M47" i="83"/>
  <c r="M48" i="83"/>
  <c r="M49" i="83"/>
  <c r="M50" i="83"/>
  <c r="M51" i="83"/>
  <c r="M52" i="83"/>
  <c r="M53" i="83"/>
  <c r="M54" i="83"/>
  <c r="M55" i="83"/>
  <c r="M56" i="83"/>
  <c r="M57" i="83"/>
  <c r="M58" i="83"/>
  <c r="M59" i="83"/>
  <c r="M60" i="83"/>
  <c r="M61" i="83"/>
  <c r="M62" i="83"/>
  <c r="M63" i="83"/>
  <c r="M64" i="83"/>
  <c r="M65" i="83"/>
  <c r="M66" i="83"/>
  <c r="M67" i="83"/>
  <c r="M68" i="83"/>
  <c r="M69" i="83"/>
  <c r="M70" i="83"/>
  <c r="M71" i="83"/>
  <c r="M72" i="83"/>
  <c r="M73" i="83"/>
  <c r="M74" i="83"/>
  <c r="M75" i="83"/>
  <c r="M76" i="83"/>
  <c r="M77" i="83"/>
  <c r="M78" i="83"/>
  <c r="M79" i="83"/>
  <c r="M80" i="83"/>
  <c r="M81" i="83"/>
  <c r="M82" i="83"/>
  <c r="M83" i="83"/>
  <c r="M84" i="83"/>
  <c r="M85" i="83"/>
  <c r="M86" i="83"/>
  <c r="M87" i="83"/>
  <c r="M88" i="83"/>
  <c r="M89" i="83"/>
  <c r="M90" i="83"/>
  <c r="M91" i="83"/>
  <c r="M92" i="83"/>
  <c r="M93" i="83"/>
  <c r="M94" i="83"/>
  <c r="M95" i="83"/>
  <c r="M96" i="83"/>
  <c r="M97" i="83"/>
  <c r="M98" i="83"/>
  <c r="M99" i="83"/>
  <c r="M100" i="83"/>
  <c r="M101" i="83"/>
  <c r="M102" i="83"/>
  <c r="M103" i="83"/>
  <c r="M8" i="82"/>
  <c r="M9" i="82"/>
  <c r="M10" i="82"/>
  <c r="M11" i="82"/>
  <c r="M12" i="82"/>
  <c r="M13" i="82"/>
  <c r="M14" i="82"/>
  <c r="M15" i="82"/>
  <c r="M16" i="82"/>
  <c r="M17" i="82"/>
  <c r="M18" i="82"/>
  <c r="M19" i="82"/>
  <c r="M20" i="82"/>
  <c r="M21" i="82"/>
  <c r="M22" i="82"/>
  <c r="M23" i="82"/>
  <c r="M24" i="82"/>
  <c r="M25" i="82"/>
  <c r="M26" i="82"/>
  <c r="M27" i="82"/>
  <c r="M28" i="82"/>
  <c r="M29" i="82"/>
  <c r="M30" i="82"/>
  <c r="M31" i="82"/>
  <c r="M32" i="82"/>
  <c r="M33" i="82"/>
  <c r="M34" i="82"/>
  <c r="M35" i="82"/>
  <c r="M36" i="82"/>
  <c r="M37" i="82"/>
  <c r="M38" i="82"/>
  <c r="M39" i="82"/>
  <c r="M40" i="82"/>
  <c r="M41" i="82"/>
  <c r="M42" i="82"/>
  <c r="M43" i="82"/>
  <c r="M44" i="82"/>
  <c r="M45" i="82"/>
  <c r="M46" i="82"/>
  <c r="M47" i="82"/>
  <c r="M48" i="82"/>
  <c r="M49" i="82"/>
  <c r="M50" i="82"/>
  <c r="M51" i="82"/>
  <c r="M52" i="82"/>
  <c r="M53" i="82"/>
  <c r="M54" i="82"/>
  <c r="M55" i="82"/>
  <c r="M56" i="82"/>
  <c r="M57" i="82"/>
  <c r="M58" i="82"/>
  <c r="M59" i="82"/>
  <c r="M60" i="82"/>
  <c r="M61" i="82"/>
  <c r="M62" i="82"/>
  <c r="M63" i="82"/>
  <c r="M64" i="82"/>
  <c r="M65" i="82"/>
  <c r="M66" i="82"/>
  <c r="M67" i="82"/>
  <c r="M68" i="82"/>
  <c r="M69" i="82"/>
  <c r="M70" i="82"/>
  <c r="M71" i="82"/>
  <c r="M72" i="82"/>
  <c r="M73" i="82"/>
  <c r="M74" i="82"/>
  <c r="M75" i="82"/>
  <c r="M76" i="82"/>
  <c r="M77" i="82"/>
  <c r="M78" i="82"/>
  <c r="M79" i="82"/>
  <c r="M80" i="82"/>
  <c r="M81" i="82"/>
  <c r="M82" i="82"/>
  <c r="M83" i="82"/>
  <c r="M84" i="82"/>
  <c r="M85" i="82"/>
  <c r="M86" i="82"/>
  <c r="M87" i="82"/>
  <c r="M88" i="82"/>
  <c r="M89" i="82"/>
  <c r="M90" i="82"/>
  <c r="M91" i="82"/>
  <c r="M92" i="82"/>
  <c r="M93" i="82"/>
  <c r="M94" i="82"/>
  <c r="M95" i="82"/>
  <c r="M96" i="82"/>
  <c r="M97" i="82"/>
  <c r="M98" i="82"/>
  <c r="M99" i="82"/>
  <c r="M100" i="82"/>
  <c r="M101" i="82"/>
  <c r="M102" i="82"/>
  <c r="M103" i="82"/>
  <c r="M104" i="82" l="1"/>
  <c r="M104" i="83"/>
  <c r="M104" i="85"/>
  <c r="M104" i="79"/>
  <c r="O9" i="41" s="1"/>
  <c r="M104" i="78"/>
  <c r="O8" i="41" s="1"/>
  <c r="H10" i="87"/>
  <c r="H12" i="87"/>
  <c r="H15" i="87"/>
  <c r="H16" i="87"/>
  <c r="H7" i="87"/>
  <c r="H8" i="68"/>
  <c r="M8" i="68" s="1"/>
  <c r="F206" i="66"/>
  <c r="E206" i="66"/>
  <c r="D206" i="66"/>
  <c r="C206" i="66"/>
  <c r="B206" i="66"/>
  <c r="F205" i="66"/>
  <c r="E205" i="66"/>
  <c r="D205" i="66"/>
  <c r="C205" i="66"/>
  <c r="B205" i="66"/>
  <c r="F204" i="66"/>
  <c r="E204" i="66"/>
  <c r="D204" i="66"/>
  <c r="C204" i="66"/>
  <c r="B204" i="66"/>
  <c r="F203" i="66"/>
  <c r="E203" i="66"/>
  <c r="D203" i="66"/>
  <c r="C203" i="66"/>
  <c r="B203" i="66"/>
  <c r="F202" i="66"/>
  <c r="E202" i="66"/>
  <c r="D202" i="66"/>
  <c r="C202" i="66"/>
  <c r="B202" i="66"/>
  <c r="F201" i="66"/>
  <c r="E201" i="66"/>
  <c r="D201" i="66"/>
  <c r="C201" i="66"/>
  <c r="B201" i="66"/>
  <c r="F200" i="66"/>
  <c r="E200" i="66"/>
  <c r="D200" i="66"/>
  <c r="C200" i="66"/>
  <c r="B200" i="66"/>
  <c r="F199" i="66"/>
  <c r="E199" i="66"/>
  <c r="D199" i="66"/>
  <c r="C199" i="66"/>
  <c r="B199" i="66"/>
  <c r="F198" i="66"/>
  <c r="E198" i="66"/>
  <c r="D198" i="66"/>
  <c r="C198" i="66"/>
  <c r="B198" i="66"/>
  <c r="F197" i="66"/>
  <c r="E197" i="66"/>
  <c r="D197" i="66"/>
  <c r="C197" i="66"/>
  <c r="B197" i="66"/>
  <c r="F196" i="66"/>
  <c r="E196" i="66"/>
  <c r="D196" i="66"/>
  <c r="C196" i="66"/>
  <c r="B196" i="66"/>
  <c r="F195" i="66"/>
  <c r="E195" i="66"/>
  <c r="D195" i="66"/>
  <c r="C195" i="66"/>
  <c r="B195" i="66"/>
  <c r="F194" i="66"/>
  <c r="E194" i="66"/>
  <c r="D194" i="66"/>
  <c r="C194" i="66"/>
  <c r="B194" i="66"/>
  <c r="F193" i="66"/>
  <c r="E193" i="66"/>
  <c r="D193" i="66"/>
  <c r="C193" i="66"/>
  <c r="B193" i="66"/>
  <c r="F192" i="66"/>
  <c r="E192" i="66"/>
  <c r="D192" i="66"/>
  <c r="C192" i="66"/>
  <c r="B192" i="66"/>
  <c r="F191" i="66"/>
  <c r="E191" i="66"/>
  <c r="D191" i="66"/>
  <c r="C191" i="66"/>
  <c r="B191" i="66"/>
  <c r="F190" i="66"/>
  <c r="E190" i="66"/>
  <c r="D190" i="66"/>
  <c r="C190" i="66"/>
  <c r="B190" i="66"/>
  <c r="F189" i="66"/>
  <c r="E189" i="66"/>
  <c r="D189" i="66"/>
  <c r="C189" i="66"/>
  <c r="B189" i="66"/>
  <c r="F188" i="66"/>
  <c r="E188" i="66"/>
  <c r="D188" i="66"/>
  <c r="C188" i="66"/>
  <c r="B188" i="66"/>
  <c r="F187" i="66"/>
  <c r="E187" i="66"/>
  <c r="D187" i="66"/>
  <c r="C187" i="66"/>
  <c r="B187" i="66"/>
  <c r="F186" i="66"/>
  <c r="E186" i="66"/>
  <c r="D186" i="66"/>
  <c r="C186" i="66"/>
  <c r="B186" i="66"/>
  <c r="F185" i="66"/>
  <c r="E185" i="66"/>
  <c r="D185" i="66"/>
  <c r="C185" i="66"/>
  <c r="B185" i="66"/>
  <c r="F184" i="66"/>
  <c r="E184" i="66"/>
  <c r="D184" i="66"/>
  <c r="C184" i="66"/>
  <c r="B184" i="66"/>
  <c r="F183" i="66"/>
  <c r="E183" i="66"/>
  <c r="D183" i="66"/>
  <c r="C183" i="66"/>
  <c r="B183" i="66"/>
  <c r="F182" i="66"/>
  <c r="E182" i="66"/>
  <c r="D182" i="66"/>
  <c r="C182" i="66"/>
  <c r="B182" i="66"/>
  <c r="F181" i="66"/>
  <c r="E181" i="66"/>
  <c r="D181" i="66"/>
  <c r="C181" i="66"/>
  <c r="B181" i="66"/>
  <c r="F180" i="66"/>
  <c r="E180" i="66"/>
  <c r="D180" i="66"/>
  <c r="C180" i="66"/>
  <c r="B180" i="66"/>
  <c r="F179" i="66"/>
  <c r="E179" i="66"/>
  <c r="D179" i="66"/>
  <c r="C179" i="66"/>
  <c r="B179" i="66"/>
  <c r="F178" i="66"/>
  <c r="E178" i="66"/>
  <c r="D178" i="66"/>
  <c r="C178" i="66"/>
  <c r="B178" i="66"/>
  <c r="F177" i="66"/>
  <c r="E177" i="66"/>
  <c r="D177" i="66"/>
  <c r="C177" i="66"/>
  <c r="B177" i="66"/>
  <c r="F176" i="66"/>
  <c r="E176" i="66"/>
  <c r="D176" i="66"/>
  <c r="C176" i="66"/>
  <c r="B176" i="66"/>
  <c r="F175" i="66"/>
  <c r="E175" i="66"/>
  <c r="D175" i="66"/>
  <c r="C175" i="66"/>
  <c r="B175" i="66"/>
  <c r="F174" i="66"/>
  <c r="E174" i="66"/>
  <c r="D174" i="66"/>
  <c r="C174" i="66"/>
  <c r="B174" i="66"/>
  <c r="F173" i="66"/>
  <c r="E173" i="66"/>
  <c r="D173" i="66"/>
  <c r="C173" i="66"/>
  <c r="B173" i="66"/>
  <c r="F172" i="66"/>
  <c r="E172" i="66"/>
  <c r="D172" i="66"/>
  <c r="C172" i="66"/>
  <c r="B172" i="66"/>
  <c r="F171" i="66"/>
  <c r="E171" i="66"/>
  <c r="D171" i="66"/>
  <c r="C171" i="66"/>
  <c r="B171" i="66"/>
  <c r="F170" i="66"/>
  <c r="E170" i="66"/>
  <c r="D170" i="66"/>
  <c r="C170" i="66"/>
  <c r="B170" i="66"/>
  <c r="F169" i="66"/>
  <c r="E169" i="66"/>
  <c r="D169" i="66"/>
  <c r="C169" i="66"/>
  <c r="B169" i="66"/>
  <c r="F168" i="66"/>
  <c r="E168" i="66"/>
  <c r="D168" i="66"/>
  <c r="C168" i="66"/>
  <c r="B168" i="66"/>
  <c r="F167" i="66"/>
  <c r="E167" i="66"/>
  <c r="D167" i="66"/>
  <c r="C167" i="66"/>
  <c r="B167" i="66"/>
  <c r="F166" i="66"/>
  <c r="E166" i="66"/>
  <c r="D166" i="66"/>
  <c r="C166" i="66"/>
  <c r="B166" i="66"/>
  <c r="F165" i="66"/>
  <c r="E165" i="66"/>
  <c r="D165" i="66"/>
  <c r="C165" i="66"/>
  <c r="B165" i="66"/>
  <c r="F164" i="66"/>
  <c r="E164" i="66"/>
  <c r="D164" i="66"/>
  <c r="C164" i="66"/>
  <c r="B164" i="66"/>
  <c r="F163" i="66"/>
  <c r="E163" i="66"/>
  <c r="D163" i="66"/>
  <c r="C163" i="66"/>
  <c r="B163" i="66"/>
  <c r="F162" i="66"/>
  <c r="E162" i="66"/>
  <c r="D162" i="66"/>
  <c r="C162" i="66"/>
  <c r="B162" i="66"/>
  <c r="F161" i="66"/>
  <c r="E161" i="66"/>
  <c r="D161" i="66"/>
  <c r="C161" i="66"/>
  <c r="B161" i="66"/>
  <c r="F160" i="66"/>
  <c r="E160" i="66"/>
  <c r="D160" i="66"/>
  <c r="C160" i="66"/>
  <c r="B160" i="66"/>
  <c r="F159" i="66"/>
  <c r="E159" i="66"/>
  <c r="D159" i="66"/>
  <c r="C159" i="66"/>
  <c r="B159" i="66"/>
  <c r="F158" i="66"/>
  <c r="E158" i="66"/>
  <c r="D158" i="66"/>
  <c r="C158" i="66"/>
  <c r="B158" i="66"/>
  <c r="F157" i="66"/>
  <c r="E157" i="66"/>
  <c r="D157" i="66"/>
  <c r="C157" i="66"/>
  <c r="B157" i="66"/>
  <c r="F156" i="66"/>
  <c r="E156" i="66"/>
  <c r="D156" i="66"/>
  <c r="C156" i="66"/>
  <c r="B156" i="66"/>
  <c r="F155" i="66"/>
  <c r="E155" i="66"/>
  <c r="D155" i="66"/>
  <c r="C155" i="66"/>
  <c r="B155" i="66"/>
  <c r="F154" i="66"/>
  <c r="E154" i="66"/>
  <c r="D154" i="66"/>
  <c r="C154" i="66"/>
  <c r="B154" i="66"/>
  <c r="F153" i="66"/>
  <c r="E153" i="66"/>
  <c r="D153" i="66"/>
  <c r="C153" i="66"/>
  <c r="B153" i="66"/>
  <c r="F152" i="66"/>
  <c r="E152" i="66"/>
  <c r="D152" i="66"/>
  <c r="C152" i="66"/>
  <c r="B152" i="66"/>
  <c r="F151" i="66"/>
  <c r="E151" i="66"/>
  <c r="D151" i="66"/>
  <c r="C151" i="66"/>
  <c r="B151" i="66"/>
  <c r="F150" i="66"/>
  <c r="E150" i="66"/>
  <c r="D150" i="66"/>
  <c r="C150" i="66"/>
  <c r="B150" i="66"/>
  <c r="F149" i="66"/>
  <c r="E149" i="66"/>
  <c r="D149" i="66"/>
  <c r="C149" i="66"/>
  <c r="B149" i="66"/>
  <c r="F148" i="66"/>
  <c r="E148" i="66"/>
  <c r="D148" i="66"/>
  <c r="C148" i="66"/>
  <c r="B148" i="66"/>
  <c r="F147" i="66"/>
  <c r="E147" i="66"/>
  <c r="D147" i="66"/>
  <c r="C147" i="66"/>
  <c r="B147" i="66"/>
  <c r="F146" i="66"/>
  <c r="E146" i="66"/>
  <c r="D146" i="66"/>
  <c r="C146" i="66"/>
  <c r="B146" i="66"/>
  <c r="F145" i="66"/>
  <c r="E145" i="66"/>
  <c r="D145" i="66"/>
  <c r="C145" i="66"/>
  <c r="B145" i="66"/>
  <c r="F144" i="66"/>
  <c r="E144" i="66"/>
  <c r="D144" i="66"/>
  <c r="C144" i="66"/>
  <c r="B144" i="66"/>
  <c r="F143" i="66"/>
  <c r="E143" i="66"/>
  <c r="D143" i="66"/>
  <c r="C143" i="66"/>
  <c r="B143" i="66"/>
  <c r="F142" i="66"/>
  <c r="E142" i="66"/>
  <c r="D142" i="66"/>
  <c r="C142" i="66"/>
  <c r="B142" i="66"/>
  <c r="F141" i="66"/>
  <c r="E141" i="66"/>
  <c r="D141" i="66"/>
  <c r="C141" i="66"/>
  <c r="B141" i="66"/>
  <c r="F140" i="66"/>
  <c r="E140" i="66"/>
  <c r="D140" i="66"/>
  <c r="C140" i="66"/>
  <c r="B140" i="66"/>
  <c r="F139" i="66"/>
  <c r="E139" i="66"/>
  <c r="D139" i="66"/>
  <c r="C139" i="66"/>
  <c r="B139" i="66"/>
  <c r="F138" i="66"/>
  <c r="E138" i="66"/>
  <c r="D138" i="66"/>
  <c r="C138" i="66"/>
  <c r="B138" i="66"/>
  <c r="F137" i="66"/>
  <c r="E137" i="66"/>
  <c r="D137" i="66"/>
  <c r="C137" i="66"/>
  <c r="B137" i="66"/>
  <c r="F136" i="66"/>
  <c r="E136" i="66"/>
  <c r="D136" i="66"/>
  <c r="C136" i="66"/>
  <c r="B136" i="66"/>
  <c r="F135" i="66"/>
  <c r="E135" i="66"/>
  <c r="D135" i="66"/>
  <c r="C135" i="66"/>
  <c r="B135" i="66"/>
  <c r="F134" i="66"/>
  <c r="E134" i="66"/>
  <c r="D134" i="66"/>
  <c r="C134" i="66"/>
  <c r="B134" i="66"/>
  <c r="F133" i="66"/>
  <c r="E133" i="66"/>
  <c r="D133" i="66"/>
  <c r="C133" i="66"/>
  <c r="B133" i="66"/>
  <c r="F132" i="66"/>
  <c r="E132" i="66"/>
  <c r="D132" i="66"/>
  <c r="C132" i="66"/>
  <c r="B132" i="66"/>
  <c r="F131" i="66"/>
  <c r="E131" i="66"/>
  <c r="D131" i="66"/>
  <c r="C131" i="66"/>
  <c r="B131" i="66"/>
  <c r="F130" i="66"/>
  <c r="E130" i="66"/>
  <c r="D130" i="66"/>
  <c r="C130" i="66"/>
  <c r="B130" i="66"/>
  <c r="F129" i="66"/>
  <c r="E129" i="66"/>
  <c r="D129" i="66"/>
  <c r="C129" i="66"/>
  <c r="B129" i="66"/>
  <c r="F128" i="66"/>
  <c r="E128" i="66"/>
  <c r="D128" i="66"/>
  <c r="C128" i="66"/>
  <c r="B128" i="66"/>
  <c r="F127" i="66"/>
  <c r="E127" i="66"/>
  <c r="D127" i="66"/>
  <c r="C127" i="66"/>
  <c r="B127" i="66"/>
  <c r="F126" i="66"/>
  <c r="E126" i="66"/>
  <c r="D126" i="66"/>
  <c r="C126" i="66"/>
  <c r="B126" i="66"/>
  <c r="F125" i="66"/>
  <c r="E125" i="66"/>
  <c r="D125" i="66"/>
  <c r="C125" i="66"/>
  <c r="B125" i="66"/>
  <c r="F124" i="66"/>
  <c r="E124" i="66"/>
  <c r="D124" i="66"/>
  <c r="C124" i="66"/>
  <c r="B124" i="66"/>
  <c r="F123" i="66"/>
  <c r="E123" i="66"/>
  <c r="D123" i="66"/>
  <c r="C123" i="66"/>
  <c r="B123" i="66"/>
  <c r="F122" i="66"/>
  <c r="E122" i="66"/>
  <c r="D122" i="66"/>
  <c r="C122" i="66"/>
  <c r="B122" i="66"/>
  <c r="F121" i="66"/>
  <c r="E121" i="66"/>
  <c r="D121" i="66"/>
  <c r="C121" i="66"/>
  <c r="B121" i="66"/>
  <c r="F120" i="66"/>
  <c r="E120" i="66"/>
  <c r="D120" i="66"/>
  <c r="C120" i="66"/>
  <c r="B120" i="66"/>
  <c r="F119" i="66"/>
  <c r="E119" i="66"/>
  <c r="D119" i="66"/>
  <c r="C119" i="66"/>
  <c r="B119" i="66"/>
  <c r="F118" i="66"/>
  <c r="E118" i="66"/>
  <c r="D118" i="66"/>
  <c r="C118" i="66"/>
  <c r="B118" i="66"/>
  <c r="F117" i="66"/>
  <c r="E117" i="66"/>
  <c r="D117" i="66"/>
  <c r="C117" i="66"/>
  <c r="B117" i="66"/>
  <c r="F116" i="66"/>
  <c r="E116" i="66"/>
  <c r="D116" i="66"/>
  <c r="C116" i="66"/>
  <c r="B116" i="66"/>
  <c r="F115" i="66"/>
  <c r="E115" i="66"/>
  <c r="D115" i="66"/>
  <c r="C115" i="66"/>
  <c r="B115" i="66"/>
  <c r="H114" i="66"/>
  <c r="F114" i="66"/>
  <c r="E114" i="66"/>
  <c r="D114" i="66"/>
  <c r="C114" i="66"/>
  <c r="B114" i="66"/>
  <c r="F206" i="65"/>
  <c r="E206" i="65"/>
  <c r="D206" i="65"/>
  <c r="C206" i="65"/>
  <c r="B206" i="65"/>
  <c r="F205" i="65"/>
  <c r="E205" i="65"/>
  <c r="D205" i="65"/>
  <c r="C205" i="65"/>
  <c r="B205" i="65"/>
  <c r="F204" i="65"/>
  <c r="E204" i="65"/>
  <c r="D204" i="65"/>
  <c r="C204" i="65"/>
  <c r="B204" i="65"/>
  <c r="F203" i="65"/>
  <c r="E203" i="65"/>
  <c r="D203" i="65"/>
  <c r="C203" i="65"/>
  <c r="B203" i="65"/>
  <c r="F202" i="65"/>
  <c r="E202" i="65"/>
  <c r="D202" i="65"/>
  <c r="C202" i="65"/>
  <c r="B202" i="65"/>
  <c r="F201" i="65"/>
  <c r="E201" i="65"/>
  <c r="D201" i="65"/>
  <c r="C201" i="65"/>
  <c r="B201" i="65"/>
  <c r="F200" i="65"/>
  <c r="E200" i="65"/>
  <c r="D200" i="65"/>
  <c r="C200" i="65"/>
  <c r="B200" i="65"/>
  <c r="F199" i="65"/>
  <c r="E199" i="65"/>
  <c r="D199" i="65"/>
  <c r="C199" i="65"/>
  <c r="B199" i="65"/>
  <c r="F198" i="65"/>
  <c r="E198" i="65"/>
  <c r="D198" i="65"/>
  <c r="C198" i="65"/>
  <c r="B198" i="65"/>
  <c r="F197" i="65"/>
  <c r="E197" i="65"/>
  <c r="D197" i="65"/>
  <c r="C197" i="65"/>
  <c r="B197" i="65"/>
  <c r="F196" i="65"/>
  <c r="E196" i="65"/>
  <c r="D196" i="65"/>
  <c r="C196" i="65"/>
  <c r="B196" i="65"/>
  <c r="F195" i="65"/>
  <c r="E195" i="65"/>
  <c r="D195" i="65"/>
  <c r="C195" i="65"/>
  <c r="B195" i="65"/>
  <c r="F194" i="65"/>
  <c r="E194" i="65"/>
  <c r="D194" i="65"/>
  <c r="C194" i="65"/>
  <c r="B194" i="65"/>
  <c r="F193" i="65"/>
  <c r="E193" i="65"/>
  <c r="D193" i="65"/>
  <c r="C193" i="65"/>
  <c r="B193" i="65"/>
  <c r="F192" i="65"/>
  <c r="E192" i="65"/>
  <c r="D192" i="65"/>
  <c r="C192" i="65"/>
  <c r="B192" i="65"/>
  <c r="F191" i="65"/>
  <c r="E191" i="65"/>
  <c r="D191" i="65"/>
  <c r="C191" i="65"/>
  <c r="B191" i="65"/>
  <c r="F190" i="65"/>
  <c r="E190" i="65"/>
  <c r="D190" i="65"/>
  <c r="C190" i="65"/>
  <c r="B190" i="65"/>
  <c r="F189" i="65"/>
  <c r="E189" i="65"/>
  <c r="D189" i="65"/>
  <c r="C189" i="65"/>
  <c r="B189" i="65"/>
  <c r="F188" i="65"/>
  <c r="E188" i="65"/>
  <c r="D188" i="65"/>
  <c r="C188" i="65"/>
  <c r="B188" i="65"/>
  <c r="F187" i="65"/>
  <c r="E187" i="65"/>
  <c r="D187" i="65"/>
  <c r="C187" i="65"/>
  <c r="B187" i="65"/>
  <c r="F186" i="65"/>
  <c r="E186" i="65"/>
  <c r="D186" i="65"/>
  <c r="C186" i="65"/>
  <c r="B186" i="65"/>
  <c r="F185" i="65"/>
  <c r="E185" i="65"/>
  <c r="D185" i="65"/>
  <c r="C185" i="65"/>
  <c r="B185" i="65"/>
  <c r="F184" i="65"/>
  <c r="E184" i="65"/>
  <c r="D184" i="65"/>
  <c r="C184" i="65"/>
  <c r="B184" i="65"/>
  <c r="F183" i="65"/>
  <c r="E183" i="65"/>
  <c r="D183" i="65"/>
  <c r="C183" i="65"/>
  <c r="B183" i="65"/>
  <c r="F182" i="65"/>
  <c r="E182" i="65"/>
  <c r="D182" i="65"/>
  <c r="C182" i="65"/>
  <c r="B182" i="65"/>
  <c r="F181" i="65"/>
  <c r="E181" i="65"/>
  <c r="D181" i="65"/>
  <c r="C181" i="65"/>
  <c r="B181" i="65"/>
  <c r="F180" i="65"/>
  <c r="E180" i="65"/>
  <c r="D180" i="65"/>
  <c r="C180" i="65"/>
  <c r="B180" i="65"/>
  <c r="F179" i="65"/>
  <c r="E179" i="65"/>
  <c r="D179" i="65"/>
  <c r="C179" i="65"/>
  <c r="B179" i="65"/>
  <c r="F178" i="65"/>
  <c r="E178" i="65"/>
  <c r="D178" i="65"/>
  <c r="C178" i="65"/>
  <c r="B178" i="65"/>
  <c r="F177" i="65"/>
  <c r="E177" i="65"/>
  <c r="D177" i="65"/>
  <c r="C177" i="65"/>
  <c r="B177" i="65"/>
  <c r="F176" i="65"/>
  <c r="E176" i="65"/>
  <c r="D176" i="65"/>
  <c r="C176" i="65"/>
  <c r="B176" i="65"/>
  <c r="F175" i="65"/>
  <c r="E175" i="65"/>
  <c r="D175" i="65"/>
  <c r="C175" i="65"/>
  <c r="B175" i="65"/>
  <c r="F174" i="65"/>
  <c r="E174" i="65"/>
  <c r="D174" i="65"/>
  <c r="C174" i="65"/>
  <c r="B174" i="65"/>
  <c r="F173" i="65"/>
  <c r="E173" i="65"/>
  <c r="D173" i="65"/>
  <c r="C173" i="65"/>
  <c r="B173" i="65"/>
  <c r="F172" i="65"/>
  <c r="E172" i="65"/>
  <c r="D172" i="65"/>
  <c r="C172" i="65"/>
  <c r="B172" i="65"/>
  <c r="F171" i="65"/>
  <c r="E171" i="65"/>
  <c r="D171" i="65"/>
  <c r="C171" i="65"/>
  <c r="B171" i="65"/>
  <c r="F170" i="65"/>
  <c r="E170" i="65"/>
  <c r="D170" i="65"/>
  <c r="C170" i="65"/>
  <c r="B170" i="65"/>
  <c r="F169" i="65"/>
  <c r="E169" i="65"/>
  <c r="D169" i="65"/>
  <c r="C169" i="65"/>
  <c r="B169" i="65"/>
  <c r="F168" i="65"/>
  <c r="E168" i="65"/>
  <c r="D168" i="65"/>
  <c r="C168" i="65"/>
  <c r="B168" i="65"/>
  <c r="F167" i="65"/>
  <c r="E167" i="65"/>
  <c r="D167" i="65"/>
  <c r="C167" i="65"/>
  <c r="B167" i="65"/>
  <c r="F166" i="65"/>
  <c r="E166" i="65"/>
  <c r="D166" i="65"/>
  <c r="C166" i="65"/>
  <c r="B166" i="65"/>
  <c r="F165" i="65"/>
  <c r="E165" i="65"/>
  <c r="D165" i="65"/>
  <c r="C165" i="65"/>
  <c r="B165" i="65"/>
  <c r="F164" i="65"/>
  <c r="E164" i="65"/>
  <c r="D164" i="65"/>
  <c r="C164" i="65"/>
  <c r="B164" i="65"/>
  <c r="F163" i="65"/>
  <c r="E163" i="65"/>
  <c r="D163" i="65"/>
  <c r="C163" i="65"/>
  <c r="B163" i="65"/>
  <c r="F162" i="65"/>
  <c r="E162" i="65"/>
  <c r="D162" i="65"/>
  <c r="C162" i="65"/>
  <c r="B162" i="65"/>
  <c r="F161" i="65"/>
  <c r="E161" i="65"/>
  <c r="D161" i="65"/>
  <c r="C161" i="65"/>
  <c r="B161" i="65"/>
  <c r="F160" i="65"/>
  <c r="E160" i="65"/>
  <c r="D160" i="65"/>
  <c r="C160" i="65"/>
  <c r="B160" i="65"/>
  <c r="F159" i="65"/>
  <c r="E159" i="65"/>
  <c r="D159" i="65"/>
  <c r="C159" i="65"/>
  <c r="B159" i="65"/>
  <c r="F158" i="65"/>
  <c r="E158" i="65"/>
  <c r="D158" i="65"/>
  <c r="C158" i="65"/>
  <c r="B158" i="65"/>
  <c r="F157" i="65"/>
  <c r="E157" i="65"/>
  <c r="D157" i="65"/>
  <c r="C157" i="65"/>
  <c r="B157" i="65"/>
  <c r="F156" i="65"/>
  <c r="E156" i="65"/>
  <c r="D156" i="65"/>
  <c r="C156" i="65"/>
  <c r="B156" i="65"/>
  <c r="F155" i="65"/>
  <c r="E155" i="65"/>
  <c r="D155" i="65"/>
  <c r="C155" i="65"/>
  <c r="B155" i="65"/>
  <c r="F154" i="65"/>
  <c r="E154" i="65"/>
  <c r="D154" i="65"/>
  <c r="C154" i="65"/>
  <c r="B154" i="65"/>
  <c r="F153" i="65"/>
  <c r="E153" i="65"/>
  <c r="D153" i="65"/>
  <c r="C153" i="65"/>
  <c r="B153" i="65"/>
  <c r="F152" i="65"/>
  <c r="E152" i="65"/>
  <c r="D152" i="65"/>
  <c r="C152" i="65"/>
  <c r="B152" i="65"/>
  <c r="F151" i="65"/>
  <c r="E151" i="65"/>
  <c r="D151" i="65"/>
  <c r="C151" i="65"/>
  <c r="B151" i="65"/>
  <c r="F150" i="65"/>
  <c r="E150" i="65"/>
  <c r="D150" i="65"/>
  <c r="C150" i="65"/>
  <c r="B150" i="65"/>
  <c r="F149" i="65"/>
  <c r="E149" i="65"/>
  <c r="D149" i="65"/>
  <c r="C149" i="65"/>
  <c r="B149" i="65"/>
  <c r="F148" i="65"/>
  <c r="E148" i="65"/>
  <c r="D148" i="65"/>
  <c r="C148" i="65"/>
  <c r="B148" i="65"/>
  <c r="F147" i="65"/>
  <c r="E147" i="65"/>
  <c r="D147" i="65"/>
  <c r="C147" i="65"/>
  <c r="B147" i="65"/>
  <c r="F146" i="65"/>
  <c r="E146" i="65"/>
  <c r="D146" i="65"/>
  <c r="C146" i="65"/>
  <c r="B146" i="65"/>
  <c r="F145" i="65"/>
  <c r="E145" i="65"/>
  <c r="D145" i="65"/>
  <c r="C145" i="65"/>
  <c r="B145" i="65"/>
  <c r="F144" i="65"/>
  <c r="E144" i="65"/>
  <c r="D144" i="65"/>
  <c r="C144" i="65"/>
  <c r="B144" i="65"/>
  <c r="F143" i="65"/>
  <c r="E143" i="65"/>
  <c r="D143" i="65"/>
  <c r="C143" i="65"/>
  <c r="B143" i="65"/>
  <c r="F142" i="65"/>
  <c r="E142" i="65"/>
  <c r="D142" i="65"/>
  <c r="C142" i="65"/>
  <c r="B142" i="65"/>
  <c r="F141" i="65"/>
  <c r="E141" i="65"/>
  <c r="D141" i="65"/>
  <c r="C141" i="65"/>
  <c r="B141" i="65"/>
  <c r="F140" i="65"/>
  <c r="E140" i="65"/>
  <c r="D140" i="65"/>
  <c r="C140" i="65"/>
  <c r="B140" i="65"/>
  <c r="F139" i="65"/>
  <c r="E139" i="65"/>
  <c r="D139" i="65"/>
  <c r="C139" i="65"/>
  <c r="B139" i="65"/>
  <c r="F138" i="65"/>
  <c r="E138" i="65"/>
  <c r="D138" i="65"/>
  <c r="C138" i="65"/>
  <c r="B138" i="65"/>
  <c r="F137" i="65"/>
  <c r="E137" i="65"/>
  <c r="D137" i="65"/>
  <c r="C137" i="65"/>
  <c r="B137" i="65"/>
  <c r="F136" i="65"/>
  <c r="E136" i="65"/>
  <c r="D136" i="65"/>
  <c r="C136" i="65"/>
  <c r="B136" i="65"/>
  <c r="F135" i="65"/>
  <c r="E135" i="65"/>
  <c r="D135" i="65"/>
  <c r="C135" i="65"/>
  <c r="B135" i="65"/>
  <c r="F134" i="65"/>
  <c r="E134" i="65"/>
  <c r="D134" i="65"/>
  <c r="C134" i="65"/>
  <c r="B134" i="65"/>
  <c r="F133" i="65"/>
  <c r="E133" i="65"/>
  <c r="D133" i="65"/>
  <c r="C133" i="65"/>
  <c r="B133" i="65"/>
  <c r="F132" i="65"/>
  <c r="E132" i="65"/>
  <c r="D132" i="65"/>
  <c r="C132" i="65"/>
  <c r="B132" i="65"/>
  <c r="F131" i="65"/>
  <c r="E131" i="65"/>
  <c r="D131" i="65"/>
  <c r="C131" i="65"/>
  <c r="B131" i="65"/>
  <c r="F130" i="65"/>
  <c r="E130" i="65"/>
  <c r="D130" i="65"/>
  <c r="C130" i="65"/>
  <c r="B130" i="65"/>
  <c r="F129" i="65"/>
  <c r="E129" i="65"/>
  <c r="D129" i="65"/>
  <c r="C129" i="65"/>
  <c r="B129" i="65"/>
  <c r="F128" i="65"/>
  <c r="E128" i="65"/>
  <c r="D128" i="65"/>
  <c r="C128" i="65"/>
  <c r="B128" i="65"/>
  <c r="F127" i="65"/>
  <c r="E127" i="65"/>
  <c r="D127" i="65"/>
  <c r="C127" i="65"/>
  <c r="B127" i="65"/>
  <c r="F126" i="65"/>
  <c r="E126" i="65"/>
  <c r="D126" i="65"/>
  <c r="C126" i="65"/>
  <c r="B126" i="65"/>
  <c r="F125" i="65"/>
  <c r="E125" i="65"/>
  <c r="D125" i="65"/>
  <c r="C125" i="65"/>
  <c r="B125" i="65"/>
  <c r="F124" i="65"/>
  <c r="E124" i="65"/>
  <c r="D124" i="65"/>
  <c r="C124" i="65"/>
  <c r="B124" i="65"/>
  <c r="F123" i="65"/>
  <c r="E123" i="65"/>
  <c r="D123" i="65"/>
  <c r="C123" i="65"/>
  <c r="B123" i="65"/>
  <c r="F122" i="65"/>
  <c r="E122" i="65"/>
  <c r="D122" i="65"/>
  <c r="C122" i="65"/>
  <c r="B122" i="65"/>
  <c r="F121" i="65"/>
  <c r="E121" i="65"/>
  <c r="D121" i="65"/>
  <c r="C121" i="65"/>
  <c r="B121" i="65"/>
  <c r="F120" i="65"/>
  <c r="E120" i="65"/>
  <c r="D120" i="65"/>
  <c r="C120" i="65"/>
  <c r="B120" i="65"/>
  <c r="F119" i="65"/>
  <c r="E119" i="65"/>
  <c r="D119" i="65"/>
  <c r="C119" i="65"/>
  <c r="B119" i="65"/>
  <c r="F118" i="65"/>
  <c r="E118" i="65"/>
  <c r="D118" i="65"/>
  <c r="C118" i="65"/>
  <c r="B118" i="65"/>
  <c r="F117" i="65"/>
  <c r="E117" i="65"/>
  <c r="D117" i="65"/>
  <c r="C117" i="65"/>
  <c r="B117" i="65"/>
  <c r="F116" i="65"/>
  <c r="E116" i="65"/>
  <c r="D116" i="65"/>
  <c r="C116" i="65"/>
  <c r="B116" i="65"/>
  <c r="F115" i="65"/>
  <c r="E115" i="65"/>
  <c r="D115" i="65"/>
  <c r="C115" i="65"/>
  <c r="B115" i="65"/>
  <c r="H114" i="65"/>
  <c r="F114" i="65"/>
  <c r="E114" i="65"/>
  <c r="D114" i="65"/>
  <c r="C114" i="65"/>
  <c r="B114" i="65"/>
  <c r="F206" i="64"/>
  <c r="E206" i="64"/>
  <c r="D206" i="64"/>
  <c r="C206" i="64"/>
  <c r="B206" i="64"/>
  <c r="F205" i="64"/>
  <c r="E205" i="64"/>
  <c r="D205" i="64"/>
  <c r="C205" i="64"/>
  <c r="B205" i="64"/>
  <c r="F204" i="64"/>
  <c r="E204" i="64"/>
  <c r="D204" i="64"/>
  <c r="C204" i="64"/>
  <c r="B204" i="64"/>
  <c r="F203" i="64"/>
  <c r="E203" i="64"/>
  <c r="D203" i="64"/>
  <c r="C203" i="64"/>
  <c r="B203" i="64"/>
  <c r="F202" i="64"/>
  <c r="E202" i="64"/>
  <c r="D202" i="64"/>
  <c r="C202" i="64"/>
  <c r="B202" i="64"/>
  <c r="F201" i="64"/>
  <c r="E201" i="64"/>
  <c r="D201" i="64"/>
  <c r="C201" i="64"/>
  <c r="B201" i="64"/>
  <c r="F200" i="64"/>
  <c r="E200" i="64"/>
  <c r="D200" i="64"/>
  <c r="C200" i="64"/>
  <c r="B200" i="64"/>
  <c r="F199" i="64"/>
  <c r="E199" i="64"/>
  <c r="D199" i="64"/>
  <c r="C199" i="64"/>
  <c r="B199" i="64"/>
  <c r="F198" i="64"/>
  <c r="E198" i="64"/>
  <c r="D198" i="64"/>
  <c r="C198" i="64"/>
  <c r="B198" i="64"/>
  <c r="F197" i="64"/>
  <c r="E197" i="64"/>
  <c r="D197" i="64"/>
  <c r="C197" i="64"/>
  <c r="B197" i="64"/>
  <c r="F196" i="64"/>
  <c r="E196" i="64"/>
  <c r="D196" i="64"/>
  <c r="C196" i="64"/>
  <c r="B196" i="64"/>
  <c r="F195" i="64"/>
  <c r="E195" i="64"/>
  <c r="D195" i="64"/>
  <c r="C195" i="64"/>
  <c r="B195" i="64"/>
  <c r="F194" i="64"/>
  <c r="E194" i="64"/>
  <c r="D194" i="64"/>
  <c r="C194" i="64"/>
  <c r="B194" i="64"/>
  <c r="F193" i="64"/>
  <c r="E193" i="64"/>
  <c r="D193" i="64"/>
  <c r="C193" i="64"/>
  <c r="B193" i="64"/>
  <c r="F192" i="64"/>
  <c r="E192" i="64"/>
  <c r="D192" i="64"/>
  <c r="C192" i="64"/>
  <c r="B192" i="64"/>
  <c r="F191" i="64"/>
  <c r="E191" i="64"/>
  <c r="D191" i="64"/>
  <c r="C191" i="64"/>
  <c r="B191" i="64"/>
  <c r="F190" i="64"/>
  <c r="E190" i="64"/>
  <c r="D190" i="64"/>
  <c r="C190" i="64"/>
  <c r="B190" i="64"/>
  <c r="F189" i="64"/>
  <c r="E189" i="64"/>
  <c r="D189" i="64"/>
  <c r="C189" i="64"/>
  <c r="B189" i="64"/>
  <c r="F188" i="64"/>
  <c r="E188" i="64"/>
  <c r="D188" i="64"/>
  <c r="C188" i="64"/>
  <c r="B188" i="64"/>
  <c r="F187" i="64"/>
  <c r="E187" i="64"/>
  <c r="D187" i="64"/>
  <c r="C187" i="64"/>
  <c r="B187" i="64"/>
  <c r="F186" i="64"/>
  <c r="E186" i="64"/>
  <c r="D186" i="64"/>
  <c r="C186" i="64"/>
  <c r="B186" i="64"/>
  <c r="F185" i="64"/>
  <c r="E185" i="64"/>
  <c r="D185" i="64"/>
  <c r="C185" i="64"/>
  <c r="B185" i="64"/>
  <c r="F184" i="64"/>
  <c r="E184" i="64"/>
  <c r="D184" i="64"/>
  <c r="C184" i="64"/>
  <c r="B184" i="64"/>
  <c r="F183" i="64"/>
  <c r="E183" i="64"/>
  <c r="D183" i="64"/>
  <c r="C183" i="64"/>
  <c r="B183" i="64"/>
  <c r="F182" i="64"/>
  <c r="E182" i="64"/>
  <c r="D182" i="64"/>
  <c r="C182" i="64"/>
  <c r="B182" i="64"/>
  <c r="F181" i="64"/>
  <c r="E181" i="64"/>
  <c r="D181" i="64"/>
  <c r="C181" i="64"/>
  <c r="B181" i="64"/>
  <c r="F180" i="64"/>
  <c r="E180" i="64"/>
  <c r="D180" i="64"/>
  <c r="C180" i="64"/>
  <c r="B180" i="64"/>
  <c r="F179" i="64"/>
  <c r="E179" i="64"/>
  <c r="D179" i="64"/>
  <c r="C179" i="64"/>
  <c r="B179" i="64"/>
  <c r="F178" i="64"/>
  <c r="E178" i="64"/>
  <c r="D178" i="64"/>
  <c r="C178" i="64"/>
  <c r="B178" i="64"/>
  <c r="F177" i="64"/>
  <c r="E177" i="64"/>
  <c r="D177" i="64"/>
  <c r="C177" i="64"/>
  <c r="B177" i="64"/>
  <c r="F176" i="64"/>
  <c r="E176" i="64"/>
  <c r="D176" i="64"/>
  <c r="C176" i="64"/>
  <c r="B176" i="64"/>
  <c r="F175" i="64"/>
  <c r="E175" i="64"/>
  <c r="D175" i="64"/>
  <c r="C175" i="64"/>
  <c r="B175" i="64"/>
  <c r="F174" i="64"/>
  <c r="E174" i="64"/>
  <c r="D174" i="64"/>
  <c r="C174" i="64"/>
  <c r="B174" i="64"/>
  <c r="F173" i="64"/>
  <c r="E173" i="64"/>
  <c r="D173" i="64"/>
  <c r="C173" i="64"/>
  <c r="B173" i="64"/>
  <c r="F172" i="64"/>
  <c r="E172" i="64"/>
  <c r="D172" i="64"/>
  <c r="C172" i="64"/>
  <c r="B172" i="64"/>
  <c r="F171" i="64"/>
  <c r="E171" i="64"/>
  <c r="D171" i="64"/>
  <c r="C171" i="64"/>
  <c r="B171" i="64"/>
  <c r="F170" i="64"/>
  <c r="E170" i="64"/>
  <c r="D170" i="64"/>
  <c r="C170" i="64"/>
  <c r="B170" i="64"/>
  <c r="F169" i="64"/>
  <c r="E169" i="64"/>
  <c r="D169" i="64"/>
  <c r="C169" i="64"/>
  <c r="B169" i="64"/>
  <c r="F168" i="64"/>
  <c r="E168" i="64"/>
  <c r="D168" i="64"/>
  <c r="C168" i="64"/>
  <c r="B168" i="64"/>
  <c r="F167" i="64"/>
  <c r="E167" i="64"/>
  <c r="D167" i="64"/>
  <c r="C167" i="64"/>
  <c r="B167" i="64"/>
  <c r="F166" i="64"/>
  <c r="E166" i="64"/>
  <c r="D166" i="64"/>
  <c r="C166" i="64"/>
  <c r="B166" i="64"/>
  <c r="F165" i="64"/>
  <c r="E165" i="64"/>
  <c r="D165" i="64"/>
  <c r="C165" i="64"/>
  <c r="B165" i="64"/>
  <c r="F164" i="64"/>
  <c r="E164" i="64"/>
  <c r="D164" i="64"/>
  <c r="C164" i="64"/>
  <c r="B164" i="64"/>
  <c r="F163" i="64"/>
  <c r="E163" i="64"/>
  <c r="D163" i="64"/>
  <c r="C163" i="64"/>
  <c r="B163" i="64"/>
  <c r="F162" i="64"/>
  <c r="E162" i="64"/>
  <c r="D162" i="64"/>
  <c r="C162" i="64"/>
  <c r="B162" i="64"/>
  <c r="F161" i="64"/>
  <c r="E161" i="64"/>
  <c r="D161" i="64"/>
  <c r="C161" i="64"/>
  <c r="B161" i="64"/>
  <c r="F160" i="64"/>
  <c r="E160" i="64"/>
  <c r="D160" i="64"/>
  <c r="C160" i="64"/>
  <c r="B160" i="64"/>
  <c r="F159" i="64"/>
  <c r="E159" i="64"/>
  <c r="D159" i="64"/>
  <c r="C159" i="64"/>
  <c r="B159" i="64"/>
  <c r="F158" i="64"/>
  <c r="E158" i="64"/>
  <c r="D158" i="64"/>
  <c r="C158" i="64"/>
  <c r="B158" i="64"/>
  <c r="F157" i="64"/>
  <c r="E157" i="64"/>
  <c r="D157" i="64"/>
  <c r="C157" i="64"/>
  <c r="B157" i="64"/>
  <c r="F156" i="64"/>
  <c r="E156" i="64"/>
  <c r="D156" i="64"/>
  <c r="C156" i="64"/>
  <c r="B156" i="64"/>
  <c r="F155" i="64"/>
  <c r="E155" i="64"/>
  <c r="D155" i="64"/>
  <c r="C155" i="64"/>
  <c r="B155" i="64"/>
  <c r="F154" i="64"/>
  <c r="E154" i="64"/>
  <c r="D154" i="64"/>
  <c r="C154" i="64"/>
  <c r="B154" i="64"/>
  <c r="F153" i="64"/>
  <c r="E153" i="64"/>
  <c r="D153" i="64"/>
  <c r="C153" i="64"/>
  <c r="B153" i="64"/>
  <c r="F152" i="64"/>
  <c r="E152" i="64"/>
  <c r="D152" i="64"/>
  <c r="C152" i="64"/>
  <c r="B152" i="64"/>
  <c r="F151" i="64"/>
  <c r="E151" i="64"/>
  <c r="D151" i="64"/>
  <c r="C151" i="64"/>
  <c r="B151" i="64"/>
  <c r="F150" i="64"/>
  <c r="E150" i="64"/>
  <c r="D150" i="64"/>
  <c r="C150" i="64"/>
  <c r="B150" i="64"/>
  <c r="F149" i="64"/>
  <c r="E149" i="64"/>
  <c r="D149" i="64"/>
  <c r="C149" i="64"/>
  <c r="B149" i="64"/>
  <c r="F148" i="64"/>
  <c r="E148" i="64"/>
  <c r="D148" i="64"/>
  <c r="C148" i="64"/>
  <c r="B148" i="64"/>
  <c r="F147" i="64"/>
  <c r="E147" i="64"/>
  <c r="D147" i="64"/>
  <c r="C147" i="64"/>
  <c r="B147" i="64"/>
  <c r="F146" i="64"/>
  <c r="E146" i="64"/>
  <c r="D146" i="64"/>
  <c r="C146" i="64"/>
  <c r="B146" i="64"/>
  <c r="F145" i="64"/>
  <c r="E145" i="64"/>
  <c r="D145" i="64"/>
  <c r="C145" i="64"/>
  <c r="B145" i="64"/>
  <c r="F144" i="64"/>
  <c r="E144" i="64"/>
  <c r="D144" i="64"/>
  <c r="C144" i="64"/>
  <c r="B144" i="64"/>
  <c r="F143" i="64"/>
  <c r="E143" i="64"/>
  <c r="D143" i="64"/>
  <c r="C143" i="64"/>
  <c r="B143" i="64"/>
  <c r="F142" i="64"/>
  <c r="E142" i="64"/>
  <c r="D142" i="64"/>
  <c r="C142" i="64"/>
  <c r="B142" i="64"/>
  <c r="F141" i="64"/>
  <c r="E141" i="64"/>
  <c r="D141" i="64"/>
  <c r="C141" i="64"/>
  <c r="B141" i="64"/>
  <c r="F140" i="64"/>
  <c r="E140" i="64"/>
  <c r="D140" i="64"/>
  <c r="C140" i="64"/>
  <c r="B140" i="64"/>
  <c r="F139" i="64"/>
  <c r="E139" i="64"/>
  <c r="D139" i="64"/>
  <c r="C139" i="64"/>
  <c r="B139" i="64"/>
  <c r="F138" i="64"/>
  <c r="E138" i="64"/>
  <c r="D138" i="64"/>
  <c r="C138" i="64"/>
  <c r="B138" i="64"/>
  <c r="F137" i="64"/>
  <c r="E137" i="64"/>
  <c r="D137" i="64"/>
  <c r="C137" i="64"/>
  <c r="B137" i="64"/>
  <c r="F136" i="64"/>
  <c r="E136" i="64"/>
  <c r="D136" i="64"/>
  <c r="C136" i="64"/>
  <c r="B136" i="64"/>
  <c r="F135" i="64"/>
  <c r="E135" i="64"/>
  <c r="D135" i="64"/>
  <c r="C135" i="64"/>
  <c r="B135" i="64"/>
  <c r="F134" i="64"/>
  <c r="E134" i="64"/>
  <c r="D134" i="64"/>
  <c r="C134" i="64"/>
  <c r="B134" i="64"/>
  <c r="F133" i="64"/>
  <c r="E133" i="64"/>
  <c r="D133" i="64"/>
  <c r="C133" i="64"/>
  <c r="B133" i="64"/>
  <c r="F132" i="64"/>
  <c r="E132" i="64"/>
  <c r="D132" i="64"/>
  <c r="C132" i="64"/>
  <c r="B132" i="64"/>
  <c r="F131" i="64"/>
  <c r="E131" i="64"/>
  <c r="D131" i="64"/>
  <c r="C131" i="64"/>
  <c r="B131" i="64"/>
  <c r="F130" i="64"/>
  <c r="E130" i="64"/>
  <c r="D130" i="64"/>
  <c r="C130" i="64"/>
  <c r="B130" i="64"/>
  <c r="F129" i="64"/>
  <c r="E129" i="64"/>
  <c r="D129" i="64"/>
  <c r="C129" i="64"/>
  <c r="B129" i="64"/>
  <c r="F128" i="64"/>
  <c r="E128" i="64"/>
  <c r="D128" i="64"/>
  <c r="C128" i="64"/>
  <c r="B128" i="64"/>
  <c r="F127" i="64"/>
  <c r="E127" i="64"/>
  <c r="D127" i="64"/>
  <c r="C127" i="64"/>
  <c r="B127" i="64"/>
  <c r="F126" i="64"/>
  <c r="E126" i="64"/>
  <c r="D126" i="64"/>
  <c r="C126" i="64"/>
  <c r="B126" i="64"/>
  <c r="F125" i="64"/>
  <c r="E125" i="64"/>
  <c r="D125" i="64"/>
  <c r="C125" i="64"/>
  <c r="B125" i="64"/>
  <c r="F124" i="64"/>
  <c r="E124" i="64"/>
  <c r="D124" i="64"/>
  <c r="C124" i="64"/>
  <c r="B124" i="64"/>
  <c r="F123" i="64"/>
  <c r="E123" i="64"/>
  <c r="D123" i="64"/>
  <c r="C123" i="64"/>
  <c r="B123" i="64"/>
  <c r="F122" i="64"/>
  <c r="E122" i="64"/>
  <c r="D122" i="64"/>
  <c r="C122" i="64"/>
  <c r="B122" i="64"/>
  <c r="F121" i="64"/>
  <c r="E121" i="64"/>
  <c r="D121" i="64"/>
  <c r="C121" i="64"/>
  <c r="B121" i="64"/>
  <c r="F120" i="64"/>
  <c r="E120" i="64"/>
  <c r="D120" i="64"/>
  <c r="C120" i="64"/>
  <c r="B120" i="64"/>
  <c r="F119" i="64"/>
  <c r="E119" i="64"/>
  <c r="D119" i="64"/>
  <c r="C119" i="64"/>
  <c r="B119" i="64"/>
  <c r="F118" i="64"/>
  <c r="E118" i="64"/>
  <c r="D118" i="64"/>
  <c r="C118" i="64"/>
  <c r="B118" i="64"/>
  <c r="F117" i="64"/>
  <c r="E117" i="64"/>
  <c r="D117" i="64"/>
  <c r="C117" i="64"/>
  <c r="B117" i="64"/>
  <c r="F116" i="64"/>
  <c r="E116" i="64"/>
  <c r="D116" i="64"/>
  <c r="C116" i="64"/>
  <c r="B116" i="64"/>
  <c r="F115" i="64"/>
  <c r="E115" i="64"/>
  <c r="D115" i="64"/>
  <c r="C115" i="64"/>
  <c r="B115" i="64"/>
  <c r="H114" i="64"/>
  <c r="F114" i="64"/>
  <c r="E114" i="64"/>
  <c r="D114" i="64"/>
  <c r="C114" i="64"/>
  <c r="B114" i="64"/>
  <c r="F206" i="63"/>
  <c r="E206" i="63"/>
  <c r="D206" i="63"/>
  <c r="C206" i="63"/>
  <c r="B206" i="63"/>
  <c r="F205" i="63"/>
  <c r="E205" i="63"/>
  <c r="D205" i="63"/>
  <c r="C205" i="63"/>
  <c r="B205" i="63"/>
  <c r="F204" i="63"/>
  <c r="E204" i="63"/>
  <c r="D204" i="63"/>
  <c r="C204" i="63"/>
  <c r="B204" i="63"/>
  <c r="F203" i="63"/>
  <c r="E203" i="63"/>
  <c r="D203" i="63"/>
  <c r="C203" i="63"/>
  <c r="B203" i="63"/>
  <c r="F202" i="63"/>
  <c r="E202" i="63"/>
  <c r="D202" i="63"/>
  <c r="C202" i="63"/>
  <c r="B202" i="63"/>
  <c r="F201" i="63"/>
  <c r="E201" i="63"/>
  <c r="D201" i="63"/>
  <c r="C201" i="63"/>
  <c r="B201" i="63"/>
  <c r="F200" i="63"/>
  <c r="E200" i="63"/>
  <c r="D200" i="63"/>
  <c r="C200" i="63"/>
  <c r="B200" i="63"/>
  <c r="F199" i="63"/>
  <c r="E199" i="63"/>
  <c r="D199" i="63"/>
  <c r="C199" i="63"/>
  <c r="B199" i="63"/>
  <c r="F198" i="63"/>
  <c r="E198" i="63"/>
  <c r="D198" i="63"/>
  <c r="C198" i="63"/>
  <c r="B198" i="63"/>
  <c r="F197" i="63"/>
  <c r="E197" i="63"/>
  <c r="D197" i="63"/>
  <c r="C197" i="63"/>
  <c r="B197" i="63"/>
  <c r="F196" i="63"/>
  <c r="E196" i="63"/>
  <c r="D196" i="63"/>
  <c r="C196" i="63"/>
  <c r="B196" i="63"/>
  <c r="F195" i="63"/>
  <c r="E195" i="63"/>
  <c r="D195" i="63"/>
  <c r="C195" i="63"/>
  <c r="B195" i="63"/>
  <c r="F194" i="63"/>
  <c r="E194" i="63"/>
  <c r="D194" i="63"/>
  <c r="C194" i="63"/>
  <c r="B194" i="63"/>
  <c r="F193" i="63"/>
  <c r="E193" i="63"/>
  <c r="D193" i="63"/>
  <c r="C193" i="63"/>
  <c r="B193" i="63"/>
  <c r="F192" i="63"/>
  <c r="E192" i="63"/>
  <c r="D192" i="63"/>
  <c r="C192" i="63"/>
  <c r="B192" i="63"/>
  <c r="F191" i="63"/>
  <c r="E191" i="63"/>
  <c r="D191" i="63"/>
  <c r="C191" i="63"/>
  <c r="B191" i="63"/>
  <c r="F190" i="63"/>
  <c r="E190" i="63"/>
  <c r="D190" i="63"/>
  <c r="C190" i="63"/>
  <c r="B190" i="63"/>
  <c r="F189" i="63"/>
  <c r="E189" i="63"/>
  <c r="D189" i="63"/>
  <c r="C189" i="63"/>
  <c r="B189" i="63"/>
  <c r="F188" i="63"/>
  <c r="E188" i="63"/>
  <c r="D188" i="63"/>
  <c r="C188" i="63"/>
  <c r="B188" i="63"/>
  <c r="F187" i="63"/>
  <c r="E187" i="63"/>
  <c r="D187" i="63"/>
  <c r="C187" i="63"/>
  <c r="B187" i="63"/>
  <c r="F186" i="63"/>
  <c r="E186" i="63"/>
  <c r="D186" i="63"/>
  <c r="C186" i="63"/>
  <c r="B186" i="63"/>
  <c r="F185" i="63"/>
  <c r="E185" i="63"/>
  <c r="D185" i="63"/>
  <c r="C185" i="63"/>
  <c r="B185" i="63"/>
  <c r="F184" i="63"/>
  <c r="E184" i="63"/>
  <c r="D184" i="63"/>
  <c r="C184" i="63"/>
  <c r="B184" i="63"/>
  <c r="F183" i="63"/>
  <c r="E183" i="63"/>
  <c r="D183" i="63"/>
  <c r="C183" i="63"/>
  <c r="B183" i="63"/>
  <c r="F182" i="63"/>
  <c r="E182" i="63"/>
  <c r="D182" i="63"/>
  <c r="C182" i="63"/>
  <c r="B182" i="63"/>
  <c r="F181" i="63"/>
  <c r="E181" i="63"/>
  <c r="D181" i="63"/>
  <c r="C181" i="63"/>
  <c r="B181" i="63"/>
  <c r="F180" i="63"/>
  <c r="E180" i="63"/>
  <c r="D180" i="63"/>
  <c r="C180" i="63"/>
  <c r="B180" i="63"/>
  <c r="F179" i="63"/>
  <c r="E179" i="63"/>
  <c r="D179" i="63"/>
  <c r="C179" i="63"/>
  <c r="B179" i="63"/>
  <c r="F178" i="63"/>
  <c r="E178" i="63"/>
  <c r="D178" i="63"/>
  <c r="C178" i="63"/>
  <c r="B178" i="63"/>
  <c r="F177" i="63"/>
  <c r="E177" i="63"/>
  <c r="D177" i="63"/>
  <c r="C177" i="63"/>
  <c r="B177" i="63"/>
  <c r="F176" i="63"/>
  <c r="E176" i="63"/>
  <c r="D176" i="63"/>
  <c r="C176" i="63"/>
  <c r="B176" i="63"/>
  <c r="F175" i="63"/>
  <c r="E175" i="63"/>
  <c r="D175" i="63"/>
  <c r="C175" i="63"/>
  <c r="B175" i="63"/>
  <c r="F174" i="63"/>
  <c r="E174" i="63"/>
  <c r="D174" i="63"/>
  <c r="C174" i="63"/>
  <c r="B174" i="63"/>
  <c r="F173" i="63"/>
  <c r="E173" i="63"/>
  <c r="D173" i="63"/>
  <c r="C173" i="63"/>
  <c r="B173" i="63"/>
  <c r="F172" i="63"/>
  <c r="E172" i="63"/>
  <c r="D172" i="63"/>
  <c r="C172" i="63"/>
  <c r="B172" i="63"/>
  <c r="F171" i="63"/>
  <c r="E171" i="63"/>
  <c r="D171" i="63"/>
  <c r="C171" i="63"/>
  <c r="B171" i="63"/>
  <c r="F170" i="63"/>
  <c r="E170" i="63"/>
  <c r="D170" i="63"/>
  <c r="C170" i="63"/>
  <c r="B170" i="63"/>
  <c r="F169" i="63"/>
  <c r="E169" i="63"/>
  <c r="D169" i="63"/>
  <c r="C169" i="63"/>
  <c r="B169" i="63"/>
  <c r="F168" i="63"/>
  <c r="E168" i="63"/>
  <c r="D168" i="63"/>
  <c r="C168" i="63"/>
  <c r="B168" i="63"/>
  <c r="F167" i="63"/>
  <c r="E167" i="63"/>
  <c r="D167" i="63"/>
  <c r="C167" i="63"/>
  <c r="B167" i="63"/>
  <c r="F166" i="63"/>
  <c r="E166" i="63"/>
  <c r="D166" i="63"/>
  <c r="C166" i="63"/>
  <c r="B166" i="63"/>
  <c r="F165" i="63"/>
  <c r="E165" i="63"/>
  <c r="D165" i="63"/>
  <c r="C165" i="63"/>
  <c r="B165" i="63"/>
  <c r="F164" i="63"/>
  <c r="E164" i="63"/>
  <c r="D164" i="63"/>
  <c r="C164" i="63"/>
  <c r="B164" i="63"/>
  <c r="F163" i="63"/>
  <c r="E163" i="63"/>
  <c r="D163" i="63"/>
  <c r="C163" i="63"/>
  <c r="B163" i="63"/>
  <c r="F162" i="63"/>
  <c r="E162" i="63"/>
  <c r="D162" i="63"/>
  <c r="C162" i="63"/>
  <c r="B162" i="63"/>
  <c r="F161" i="63"/>
  <c r="E161" i="63"/>
  <c r="D161" i="63"/>
  <c r="C161" i="63"/>
  <c r="B161" i="63"/>
  <c r="F160" i="63"/>
  <c r="E160" i="63"/>
  <c r="D160" i="63"/>
  <c r="C160" i="63"/>
  <c r="B160" i="63"/>
  <c r="F159" i="63"/>
  <c r="E159" i="63"/>
  <c r="D159" i="63"/>
  <c r="C159" i="63"/>
  <c r="B159" i="63"/>
  <c r="F158" i="63"/>
  <c r="E158" i="63"/>
  <c r="D158" i="63"/>
  <c r="C158" i="63"/>
  <c r="B158" i="63"/>
  <c r="F157" i="63"/>
  <c r="E157" i="63"/>
  <c r="D157" i="63"/>
  <c r="C157" i="63"/>
  <c r="B157" i="63"/>
  <c r="F156" i="63"/>
  <c r="E156" i="63"/>
  <c r="D156" i="63"/>
  <c r="C156" i="63"/>
  <c r="B156" i="63"/>
  <c r="F155" i="63"/>
  <c r="E155" i="63"/>
  <c r="D155" i="63"/>
  <c r="C155" i="63"/>
  <c r="B155" i="63"/>
  <c r="F154" i="63"/>
  <c r="E154" i="63"/>
  <c r="D154" i="63"/>
  <c r="C154" i="63"/>
  <c r="B154" i="63"/>
  <c r="F153" i="63"/>
  <c r="E153" i="63"/>
  <c r="D153" i="63"/>
  <c r="C153" i="63"/>
  <c r="B153" i="63"/>
  <c r="F152" i="63"/>
  <c r="E152" i="63"/>
  <c r="D152" i="63"/>
  <c r="C152" i="63"/>
  <c r="B152" i="63"/>
  <c r="F151" i="63"/>
  <c r="E151" i="63"/>
  <c r="D151" i="63"/>
  <c r="C151" i="63"/>
  <c r="B151" i="63"/>
  <c r="F150" i="63"/>
  <c r="E150" i="63"/>
  <c r="D150" i="63"/>
  <c r="C150" i="63"/>
  <c r="B150" i="63"/>
  <c r="F149" i="63"/>
  <c r="E149" i="63"/>
  <c r="D149" i="63"/>
  <c r="C149" i="63"/>
  <c r="B149" i="63"/>
  <c r="F148" i="63"/>
  <c r="E148" i="63"/>
  <c r="D148" i="63"/>
  <c r="C148" i="63"/>
  <c r="B148" i="63"/>
  <c r="F147" i="63"/>
  <c r="E147" i="63"/>
  <c r="D147" i="63"/>
  <c r="C147" i="63"/>
  <c r="B147" i="63"/>
  <c r="F146" i="63"/>
  <c r="E146" i="63"/>
  <c r="D146" i="63"/>
  <c r="C146" i="63"/>
  <c r="B146" i="63"/>
  <c r="F145" i="63"/>
  <c r="E145" i="63"/>
  <c r="D145" i="63"/>
  <c r="C145" i="63"/>
  <c r="B145" i="63"/>
  <c r="F144" i="63"/>
  <c r="E144" i="63"/>
  <c r="D144" i="63"/>
  <c r="C144" i="63"/>
  <c r="B144" i="63"/>
  <c r="F143" i="63"/>
  <c r="E143" i="63"/>
  <c r="D143" i="63"/>
  <c r="C143" i="63"/>
  <c r="B143" i="63"/>
  <c r="F142" i="63"/>
  <c r="E142" i="63"/>
  <c r="D142" i="63"/>
  <c r="C142" i="63"/>
  <c r="B142" i="63"/>
  <c r="F141" i="63"/>
  <c r="E141" i="63"/>
  <c r="D141" i="63"/>
  <c r="C141" i="63"/>
  <c r="B141" i="63"/>
  <c r="F140" i="63"/>
  <c r="E140" i="63"/>
  <c r="D140" i="63"/>
  <c r="C140" i="63"/>
  <c r="B140" i="63"/>
  <c r="F139" i="63"/>
  <c r="E139" i="63"/>
  <c r="D139" i="63"/>
  <c r="C139" i="63"/>
  <c r="B139" i="63"/>
  <c r="F138" i="63"/>
  <c r="E138" i="63"/>
  <c r="D138" i="63"/>
  <c r="C138" i="63"/>
  <c r="B138" i="63"/>
  <c r="F137" i="63"/>
  <c r="E137" i="63"/>
  <c r="D137" i="63"/>
  <c r="C137" i="63"/>
  <c r="B137" i="63"/>
  <c r="F136" i="63"/>
  <c r="E136" i="63"/>
  <c r="D136" i="63"/>
  <c r="C136" i="63"/>
  <c r="B136" i="63"/>
  <c r="F135" i="63"/>
  <c r="E135" i="63"/>
  <c r="D135" i="63"/>
  <c r="C135" i="63"/>
  <c r="B135" i="63"/>
  <c r="F134" i="63"/>
  <c r="E134" i="63"/>
  <c r="D134" i="63"/>
  <c r="C134" i="63"/>
  <c r="B134" i="63"/>
  <c r="F133" i="63"/>
  <c r="E133" i="63"/>
  <c r="D133" i="63"/>
  <c r="C133" i="63"/>
  <c r="B133" i="63"/>
  <c r="F132" i="63"/>
  <c r="E132" i="63"/>
  <c r="D132" i="63"/>
  <c r="C132" i="63"/>
  <c r="B132" i="63"/>
  <c r="F131" i="63"/>
  <c r="E131" i="63"/>
  <c r="D131" i="63"/>
  <c r="C131" i="63"/>
  <c r="B131" i="63"/>
  <c r="F130" i="63"/>
  <c r="E130" i="63"/>
  <c r="D130" i="63"/>
  <c r="C130" i="63"/>
  <c r="B130" i="63"/>
  <c r="F129" i="63"/>
  <c r="E129" i="63"/>
  <c r="D129" i="63"/>
  <c r="C129" i="63"/>
  <c r="B129" i="63"/>
  <c r="F128" i="63"/>
  <c r="E128" i="63"/>
  <c r="D128" i="63"/>
  <c r="C128" i="63"/>
  <c r="B128" i="63"/>
  <c r="F127" i="63"/>
  <c r="E127" i="63"/>
  <c r="D127" i="63"/>
  <c r="C127" i="63"/>
  <c r="B127" i="63"/>
  <c r="F126" i="63"/>
  <c r="E126" i="63"/>
  <c r="D126" i="63"/>
  <c r="C126" i="63"/>
  <c r="B126" i="63"/>
  <c r="F125" i="63"/>
  <c r="E125" i="63"/>
  <c r="D125" i="63"/>
  <c r="C125" i="63"/>
  <c r="B125" i="63"/>
  <c r="F124" i="63"/>
  <c r="E124" i="63"/>
  <c r="D124" i="63"/>
  <c r="C124" i="63"/>
  <c r="B124" i="63"/>
  <c r="F123" i="63"/>
  <c r="E123" i="63"/>
  <c r="D123" i="63"/>
  <c r="C123" i="63"/>
  <c r="B123" i="63"/>
  <c r="F122" i="63"/>
  <c r="E122" i="63"/>
  <c r="D122" i="63"/>
  <c r="C122" i="63"/>
  <c r="B122" i="63"/>
  <c r="F121" i="63"/>
  <c r="E121" i="63"/>
  <c r="D121" i="63"/>
  <c r="C121" i="63"/>
  <c r="B121" i="63"/>
  <c r="F120" i="63"/>
  <c r="E120" i="63"/>
  <c r="D120" i="63"/>
  <c r="C120" i="63"/>
  <c r="B120" i="63"/>
  <c r="F119" i="63"/>
  <c r="E119" i="63"/>
  <c r="D119" i="63"/>
  <c r="C119" i="63"/>
  <c r="B119" i="63"/>
  <c r="F118" i="63"/>
  <c r="E118" i="63"/>
  <c r="D118" i="63"/>
  <c r="C118" i="63"/>
  <c r="B118" i="63"/>
  <c r="F117" i="63"/>
  <c r="E117" i="63"/>
  <c r="D117" i="63"/>
  <c r="C117" i="63"/>
  <c r="B117" i="63"/>
  <c r="F116" i="63"/>
  <c r="E116" i="63"/>
  <c r="D116" i="63"/>
  <c r="C116" i="63"/>
  <c r="B116" i="63"/>
  <c r="F115" i="63"/>
  <c r="E115" i="63"/>
  <c r="D115" i="63"/>
  <c r="C115" i="63"/>
  <c r="B115" i="63"/>
  <c r="H114" i="63"/>
  <c r="F114" i="63"/>
  <c r="E114" i="63"/>
  <c r="D114" i="63"/>
  <c r="C114" i="63"/>
  <c r="B114" i="63"/>
  <c r="F206" i="62"/>
  <c r="E206" i="62"/>
  <c r="D206" i="62"/>
  <c r="C206" i="62"/>
  <c r="B206" i="62"/>
  <c r="F205" i="62"/>
  <c r="E205" i="62"/>
  <c r="D205" i="62"/>
  <c r="C205" i="62"/>
  <c r="B205" i="62"/>
  <c r="F204" i="62"/>
  <c r="E204" i="62"/>
  <c r="D204" i="62"/>
  <c r="C204" i="62"/>
  <c r="B204" i="62"/>
  <c r="F203" i="62"/>
  <c r="E203" i="62"/>
  <c r="D203" i="62"/>
  <c r="C203" i="62"/>
  <c r="B203" i="62"/>
  <c r="F202" i="62"/>
  <c r="E202" i="62"/>
  <c r="D202" i="62"/>
  <c r="C202" i="62"/>
  <c r="B202" i="62"/>
  <c r="F201" i="62"/>
  <c r="E201" i="62"/>
  <c r="D201" i="62"/>
  <c r="C201" i="62"/>
  <c r="B201" i="62"/>
  <c r="F200" i="62"/>
  <c r="E200" i="62"/>
  <c r="D200" i="62"/>
  <c r="C200" i="62"/>
  <c r="B200" i="62"/>
  <c r="F199" i="62"/>
  <c r="E199" i="62"/>
  <c r="D199" i="62"/>
  <c r="C199" i="62"/>
  <c r="B199" i="62"/>
  <c r="F198" i="62"/>
  <c r="E198" i="62"/>
  <c r="D198" i="62"/>
  <c r="C198" i="62"/>
  <c r="B198" i="62"/>
  <c r="F197" i="62"/>
  <c r="E197" i="62"/>
  <c r="D197" i="62"/>
  <c r="C197" i="62"/>
  <c r="B197" i="62"/>
  <c r="F196" i="62"/>
  <c r="E196" i="62"/>
  <c r="D196" i="62"/>
  <c r="C196" i="62"/>
  <c r="B196" i="62"/>
  <c r="F195" i="62"/>
  <c r="E195" i="62"/>
  <c r="D195" i="62"/>
  <c r="C195" i="62"/>
  <c r="B195" i="62"/>
  <c r="F194" i="62"/>
  <c r="E194" i="62"/>
  <c r="D194" i="62"/>
  <c r="C194" i="62"/>
  <c r="B194" i="62"/>
  <c r="F193" i="62"/>
  <c r="E193" i="62"/>
  <c r="D193" i="62"/>
  <c r="C193" i="62"/>
  <c r="B193" i="62"/>
  <c r="F192" i="62"/>
  <c r="E192" i="62"/>
  <c r="D192" i="62"/>
  <c r="C192" i="62"/>
  <c r="B192" i="62"/>
  <c r="F191" i="62"/>
  <c r="E191" i="62"/>
  <c r="D191" i="62"/>
  <c r="C191" i="62"/>
  <c r="B191" i="62"/>
  <c r="F190" i="62"/>
  <c r="E190" i="62"/>
  <c r="D190" i="62"/>
  <c r="C190" i="62"/>
  <c r="B190" i="62"/>
  <c r="F189" i="62"/>
  <c r="E189" i="62"/>
  <c r="D189" i="62"/>
  <c r="C189" i="62"/>
  <c r="B189" i="62"/>
  <c r="F188" i="62"/>
  <c r="E188" i="62"/>
  <c r="D188" i="62"/>
  <c r="C188" i="62"/>
  <c r="B188" i="62"/>
  <c r="F187" i="62"/>
  <c r="E187" i="62"/>
  <c r="D187" i="62"/>
  <c r="C187" i="62"/>
  <c r="B187" i="62"/>
  <c r="F186" i="62"/>
  <c r="E186" i="62"/>
  <c r="D186" i="62"/>
  <c r="C186" i="62"/>
  <c r="B186" i="62"/>
  <c r="F185" i="62"/>
  <c r="E185" i="62"/>
  <c r="D185" i="62"/>
  <c r="C185" i="62"/>
  <c r="B185" i="62"/>
  <c r="F184" i="62"/>
  <c r="E184" i="62"/>
  <c r="D184" i="62"/>
  <c r="C184" i="62"/>
  <c r="B184" i="62"/>
  <c r="F183" i="62"/>
  <c r="E183" i="62"/>
  <c r="D183" i="62"/>
  <c r="C183" i="62"/>
  <c r="B183" i="62"/>
  <c r="F182" i="62"/>
  <c r="E182" i="62"/>
  <c r="D182" i="62"/>
  <c r="C182" i="62"/>
  <c r="B182" i="62"/>
  <c r="F181" i="62"/>
  <c r="E181" i="62"/>
  <c r="D181" i="62"/>
  <c r="C181" i="62"/>
  <c r="B181" i="62"/>
  <c r="F180" i="62"/>
  <c r="E180" i="62"/>
  <c r="D180" i="62"/>
  <c r="C180" i="62"/>
  <c r="B180" i="62"/>
  <c r="F179" i="62"/>
  <c r="E179" i="62"/>
  <c r="D179" i="62"/>
  <c r="C179" i="62"/>
  <c r="B179" i="62"/>
  <c r="F178" i="62"/>
  <c r="E178" i="62"/>
  <c r="D178" i="62"/>
  <c r="C178" i="62"/>
  <c r="B178" i="62"/>
  <c r="F177" i="62"/>
  <c r="E177" i="62"/>
  <c r="D177" i="62"/>
  <c r="C177" i="62"/>
  <c r="B177" i="62"/>
  <c r="F176" i="62"/>
  <c r="E176" i="62"/>
  <c r="D176" i="62"/>
  <c r="C176" i="62"/>
  <c r="B176" i="62"/>
  <c r="F175" i="62"/>
  <c r="E175" i="62"/>
  <c r="D175" i="62"/>
  <c r="C175" i="62"/>
  <c r="B175" i="62"/>
  <c r="F174" i="62"/>
  <c r="E174" i="62"/>
  <c r="D174" i="62"/>
  <c r="C174" i="62"/>
  <c r="B174" i="62"/>
  <c r="F173" i="62"/>
  <c r="E173" i="62"/>
  <c r="D173" i="62"/>
  <c r="C173" i="62"/>
  <c r="B173" i="62"/>
  <c r="F172" i="62"/>
  <c r="E172" i="62"/>
  <c r="D172" i="62"/>
  <c r="C172" i="62"/>
  <c r="B172" i="62"/>
  <c r="F171" i="62"/>
  <c r="E171" i="62"/>
  <c r="D171" i="62"/>
  <c r="C171" i="62"/>
  <c r="B171" i="62"/>
  <c r="F170" i="62"/>
  <c r="E170" i="62"/>
  <c r="D170" i="62"/>
  <c r="C170" i="62"/>
  <c r="B170" i="62"/>
  <c r="F169" i="62"/>
  <c r="E169" i="62"/>
  <c r="D169" i="62"/>
  <c r="C169" i="62"/>
  <c r="B169" i="62"/>
  <c r="F168" i="62"/>
  <c r="E168" i="62"/>
  <c r="D168" i="62"/>
  <c r="C168" i="62"/>
  <c r="B168" i="62"/>
  <c r="F167" i="62"/>
  <c r="E167" i="62"/>
  <c r="D167" i="62"/>
  <c r="C167" i="62"/>
  <c r="B167" i="62"/>
  <c r="F166" i="62"/>
  <c r="E166" i="62"/>
  <c r="D166" i="62"/>
  <c r="C166" i="62"/>
  <c r="B166" i="62"/>
  <c r="F165" i="62"/>
  <c r="E165" i="62"/>
  <c r="D165" i="62"/>
  <c r="C165" i="62"/>
  <c r="B165" i="62"/>
  <c r="F164" i="62"/>
  <c r="E164" i="62"/>
  <c r="D164" i="62"/>
  <c r="C164" i="62"/>
  <c r="B164" i="62"/>
  <c r="F163" i="62"/>
  <c r="E163" i="62"/>
  <c r="D163" i="62"/>
  <c r="C163" i="62"/>
  <c r="B163" i="62"/>
  <c r="F162" i="62"/>
  <c r="E162" i="62"/>
  <c r="D162" i="62"/>
  <c r="C162" i="62"/>
  <c r="B162" i="62"/>
  <c r="F161" i="62"/>
  <c r="E161" i="62"/>
  <c r="D161" i="62"/>
  <c r="C161" i="62"/>
  <c r="B161" i="62"/>
  <c r="F160" i="62"/>
  <c r="E160" i="62"/>
  <c r="D160" i="62"/>
  <c r="C160" i="62"/>
  <c r="B160" i="62"/>
  <c r="F159" i="62"/>
  <c r="E159" i="62"/>
  <c r="D159" i="62"/>
  <c r="C159" i="62"/>
  <c r="B159" i="62"/>
  <c r="F158" i="62"/>
  <c r="E158" i="62"/>
  <c r="D158" i="62"/>
  <c r="C158" i="62"/>
  <c r="B158" i="62"/>
  <c r="F157" i="62"/>
  <c r="E157" i="62"/>
  <c r="D157" i="62"/>
  <c r="C157" i="62"/>
  <c r="B157" i="62"/>
  <c r="F156" i="62"/>
  <c r="E156" i="62"/>
  <c r="D156" i="62"/>
  <c r="C156" i="62"/>
  <c r="B156" i="62"/>
  <c r="F155" i="62"/>
  <c r="E155" i="62"/>
  <c r="D155" i="62"/>
  <c r="C155" i="62"/>
  <c r="B155" i="62"/>
  <c r="F154" i="62"/>
  <c r="E154" i="62"/>
  <c r="D154" i="62"/>
  <c r="C154" i="62"/>
  <c r="B154" i="62"/>
  <c r="F153" i="62"/>
  <c r="E153" i="62"/>
  <c r="D153" i="62"/>
  <c r="C153" i="62"/>
  <c r="B153" i="62"/>
  <c r="F152" i="62"/>
  <c r="E152" i="62"/>
  <c r="D152" i="62"/>
  <c r="C152" i="62"/>
  <c r="B152" i="62"/>
  <c r="F151" i="62"/>
  <c r="E151" i="62"/>
  <c r="D151" i="62"/>
  <c r="C151" i="62"/>
  <c r="B151" i="62"/>
  <c r="F150" i="62"/>
  <c r="E150" i="62"/>
  <c r="D150" i="62"/>
  <c r="C150" i="62"/>
  <c r="B150" i="62"/>
  <c r="F149" i="62"/>
  <c r="E149" i="62"/>
  <c r="D149" i="62"/>
  <c r="C149" i="62"/>
  <c r="B149" i="62"/>
  <c r="F148" i="62"/>
  <c r="E148" i="62"/>
  <c r="D148" i="62"/>
  <c r="C148" i="62"/>
  <c r="B148" i="62"/>
  <c r="F147" i="62"/>
  <c r="E147" i="62"/>
  <c r="D147" i="62"/>
  <c r="C147" i="62"/>
  <c r="B147" i="62"/>
  <c r="F146" i="62"/>
  <c r="E146" i="62"/>
  <c r="D146" i="62"/>
  <c r="C146" i="62"/>
  <c r="B146" i="62"/>
  <c r="F145" i="62"/>
  <c r="E145" i="62"/>
  <c r="D145" i="62"/>
  <c r="C145" i="62"/>
  <c r="B145" i="62"/>
  <c r="F144" i="62"/>
  <c r="E144" i="62"/>
  <c r="D144" i="62"/>
  <c r="C144" i="62"/>
  <c r="B144" i="62"/>
  <c r="F143" i="62"/>
  <c r="E143" i="62"/>
  <c r="D143" i="62"/>
  <c r="C143" i="62"/>
  <c r="B143" i="62"/>
  <c r="F142" i="62"/>
  <c r="E142" i="62"/>
  <c r="D142" i="62"/>
  <c r="C142" i="62"/>
  <c r="B142" i="62"/>
  <c r="F141" i="62"/>
  <c r="E141" i="62"/>
  <c r="D141" i="62"/>
  <c r="C141" i="62"/>
  <c r="B141" i="62"/>
  <c r="F140" i="62"/>
  <c r="E140" i="62"/>
  <c r="D140" i="62"/>
  <c r="C140" i="62"/>
  <c r="B140" i="62"/>
  <c r="F139" i="62"/>
  <c r="E139" i="62"/>
  <c r="D139" i="62"/>
  <c r="C139" i="62"/>
  <c r="B139" i="62"/>
  <c r="F138" i="62"/>
  <c r="E138" i="62"/>
  <c r="D138" i="62"/>
  <c r="C138" i="62"/>
  <c r="B138" i="62"/>
  <c r="F137" i="62"/>
  <c r="E137" i="62"/>
  <c r="D137" i="62"/>
  <c r="C137" i="62"/>
  <c r="B137" i="62"/>
  <c r="F136" i="62"/>
  <c r="E136" i="62"/>
  <c r="D136" i="62"/>
  <c r="C136" i="62"/>
  <c r="B136" i="62"/>
  <c r="F135" i="62"/>
  <c r="E135" i="62"/>
  <c r="D135" i="62"/>
  <c r="C135" i="62"/>
  <c r="B135" i="62"/>
  <c r="F134" i="62"/>
  <c r="E134" i="62"/>
  <c r="D134" i="62"/>
  <c r="C134" i="62"/>
  <c r="B134" i="62"/>
  <c r="F133" i="62"/>
  <c r="E133" i="62"/>
  <c r="D133" i="62"/>
  <c r="C133" i="62"/>
  <c r="B133" i="62"/>
  <c r="F132" i="62"/>
  <c r="E132" i="62"/>
  <c r="D132" i="62"/>
  <c r="C132" i="62"/>
  <c r="B132" i="62"/>
  <c r="F131" i="62"/>
  <c r="E131" i="62"/>
  <c r="D131" i="62"/>
  <c r="C131" i="62"/>
  <c r="B131" i="62"/>
  <c r="F130" i="62"/>
  <c r="E130" i="62"/>
  <c r="D130" i="62"/>
  <c r="C130" i="62"/>
  <c r="B130" i="62"/>
  <c r="F129" i="62"/>
  <c r="E129" i="62"/>
  <c r="D129" i="62"/>
  <c r="C129" i="62"/>
  <c r="B129" i="62"/>
  <c r="F128" i="62"/>
  <c r="E128" i="62"/>
  <c r="D128" i="62"/>
  <c r="C128" i="62"/>
  <c r="B128" i="62"/>
  <c r="F127" i="62"/>
  <c r="E127" i="62"/>
  <c r="D127" i="62"/>
  <c r="C127" i="62"/>
  <c r="B127" i="62"/>
  <c r="F126" i="62"/>
  <c r="E126" i="62"/>
  <c r="D126" i="62"/>
  <c r="C126" i="62"/>
  <c r="B126" i="62"/>
  <c r="F125" i="62"/>
  <c r="E125" i="62"/>
  <c r="D125" i="62"/>
  <c r="C125" i="62"/>
  <c r="B125" i="62"/>
  <c r="F124" i="62"/>
  <c r="E124" i="62"/>
  <c r="D124" i="62"/>
  <c r="C124" i="62"/>
  <c r="B124" i="62"/>
  <c r="F123" i="62"/>
  <c r="E123" i="62"/>
  <c r="D123" i="62"/>
  <c r="C123" i="62"/>
  <c r="B123" i="62"/>
  <c r="F122" i="62"/>
  <c r="E122" i="62"/>
  <c r="D122" i="62"/>
  <c r="C122" i="62"/>
  <c r="B122" i="62"/>
  <c r="F121" i="62"/>
  <c r="E121" i="62"/>
  <c r="D121" i="62"/>
  <c r="C121" i="62"/>
  <c r="B121" i="62"/>
  <c r="F120" i="62"/>
  <c r="E120" i="62"/>
  <c r="D120" i="62"/>
  <c r="C120" i="62"/>
  <c r="B120" i="62"/>
  <c r="F119" i="62"/>
  <c r="E119" i="62"/>
  <c r="D119" i="62"/>
  <c r="C119" i="62"/>
  <c r="B119" i="62"/>
  <c r="F118" i="62"/>
  <c r="E118" i="62"/>
  <c r="D118" i="62"/>
  <c r="C118" i="62"/>
  <c r="B118" i="62"/>
  <c r="F117" i="62"/>
  <c r="E117" i="62"/>
  <c r="D117" i="62"/>
  <c r="C117" i="62"/>
  <c r="B117" i="62"/>
  <c r="F116" i="62"/>
  <c r="E116" i="62"/>
  <c r="D116" i="62"/>
  <c r="C116" i="62"/>
  <c r="B116" i="62"/>
  <c r="F115" i="62"/>
  <c r="E115" i="62"/>
  <c r="D115" i="62"/>
  <c r="C115" i="62"/>
  <c r="B115" i="62"/>
  <c r="H114" i="62"/>
  <c r="F114" i="62"/>
  <c r="E114" i="62"/>
  <c r="D114" i="62"/>
  <c r="C114" i="62"/>
  <c r="B114" i="62"/>
  <c r="F206" i="61"/>
  <c r="E206" i="61"/>
  <c r="D206" i="61"/>
  <c r="C206" i="61"/>
  <c r="B206" i="61"/>
  <c r="F205" i="61"/>
  <c r="E205" i="61"/>
  <c r="D205" i="61"/>
  <c r="C205" i="61"/>
  <c r="B205" i="61"/>
  <c r="F204" i="61"/>
  <c r="E204" i="61"/>
  <c r="D204" i="61"/>
  <c r="C204" i="61"/>
  <c r="B204" i="61"/>
  <c r="F203" i="61"/>
  <c r="E203" i="61"/>
  <c r="D203" i="61"/>
  <c r="C203" i="61"/>
  <c r="B203" i="61"/>
  <c r="F202" i="61"/>
  <c r="E202" i="61"/>
  <c r="D202" i="61"/>
  <c r="C202" i="61"/>
  <c r="B202" i="61"/>
  <c r="F201" i="61"/>
  <c r="E201" i="61"/>
  <c r="D201" i="61"/>
  <c r="C201" i="61"/>
  <c r="B201" i="61"/>
  <c r="F200" i="61"/>
  <c r="E200" i="61"/>
  <c r="D200" i="61"/>
  <c r="C200" i="61"/>
  <c r="B200" i="61"/>
  <c r="F199" i="61"/>
  <c r="E199" i="61"/>
  <c r="D199" i="61"/>
  <c r="C199" i="61"/>
  <c r="B199" i="61"/>
  <c r="F198" i="61"/>
  <c r="E198" i="61"/>
  <c r="D198" i="61"/>
  <c r="C198" i="61"/>
  <c r="B198" i="61"/>
  <c r="F197" i="61"/>
  <c r="E197" i="61"/>
  <c r="D197" i="61"/>
  <c r="C197" i="61"/>
  <c r="B197" i="61"/>
  <c r="F196" i="61"/>
  <c r="E196" i="61"/>
  <c r="D196" i="61"/>
  <c r="C196" i="61"/>
  <c r="B196" i="61"/>
  <c r="F195" i="61"/>
  <c r="E195" i="61"/>
  <c r="D195" i="61"/>
  <c r="C195" i="61"/>
  <c r="B195" i="61"/>
  <c r="F194" i="61"/>
  <c r="E194" i="61"/>
  <c r="D194" i="61"/>
  <c r="C194" i="61"/>
  <c r="B194" i="61"/>
  <c r="F193" i="61"/>
  <c r="E193" i="61"/>
  <c r="D193" i="61"/>
  <c r="C193" i="61"/>
  <c r="B193" i="61"/>
  <c r="F192" i="61"/>
  <c r="E192" i="61"/>
  <c r="D192" i="61"/>
  <c r="C192" i="61"/>
  <c r="B192" i="61"/>
  <c r="F191" i="61"/>
  <c r="E191" i="61"/>
  <c r="D191" i="61"/>
  <c r="C191" i="61"/>
  <c r="B191" i="61"/>
  <c r="F190" i="61"/>
  <c r="E190" i="61"/>
  <c r="D190" i="61"/>
  <c r="C190" i="61"/>
  <c r="B190" i="61"/>
  <c r="F189" i="61"/>
  <c r="E189" i="61"/>
  <c r="D189" i="61"/>
  <c r="C189" i="61"/>
  <c r="B189" i="61"/>
  <c r="F188" i="61"/>
  <c r="E188" i="61"/>
  <c r="D188" i="61"/>
  <c r="C188" i="61"/>
  <c r="B188" i="61"/>
  <c r="F187" i="61"/>
  <c r="E187" i="61"/>
  <c r="D187" i="61"/>
  <c r="C187" i="61"/>
  <c r="B187" i="61"/>
  <c r="F186" i="61"/>
  <c r="E186" i="61"/>
  <c r="D186" i="61"/>
  <c r="C186" i="61"/>
  <c r="B186" i="61"/>
  <c r="F185" i="61"/>
  <c r="E185" i="61"/>
  <c r="D185" i="61"/>
  <c r="C185" i="61"/>
  <c r="B185" i="61"/>
  <c r="F184" i="61"/>
  <c r="E184" i="61"/>
  <c r="D184" i="61"/>
  <c r="C184" i="61"/>
  <c r="B184" i="61"/>
  <c r="F183" i="61"/>
  <c r="E183" i="61"/>
  <c r="D183" i="61"/>
  <c r="C183" i="61"/>
  <c r="B183" i="61"/>
  <c r="F182" i="61"/>
  <c r="E182" i="61"/>
  <c r="D182" i="61"/>
  <c r="C182" i="61"/>
  <c r="B182" i="61"/>
  <c r="F181" i="61"/>
  <c r="E181" i="61"/>
  <c r="D181" i="61"/>
  <c r="C181" i="61"/>
  <c r="B181" i="61"/>
  <c r="F180" i="61"/>
  <c r="E180" i="61"/>
  <c r="D180" i="61"/>
  <c r="C180" i="61"/>
  <c r="B180" i="61"/>
  <c r="F179" i="61"/>
  <c r="E179" i="61"/>
  <c r="D179" i="61"/>
  <c r="C179" i="61"/>
  <c r="B179" i="61"/>
  <c r="F178" i="61"/>
  <c r="E178" i="61"/>
  <c r="D178" i="61"/>
  <c r="C178" i="61"/>
  <c r="B178" i="61"/>
  <c r="F177" i="61"/>
  <c r="E177" i="61"/>
  <c r="D177" i="61"/>
  <c r="C177" i="61"/>
  <c r="B177" i="61"/>
  <c r="F176" i="61"/>
  <c r="E176" i="61"/>
  <c r="D176" i="61"/>
  <c r="C176" i="61"/>
  <c r="B176" i="61"/>
  <c r="F175" i="61"/>
  <c r="E175" i="61"/>
  <c r="D175" i="61"/>
  <c r="C175" i="61"/>
  <c r="B175" i="61"/>
  <c r="F174" i="61"/>
  <c r="E174" i="61"/>
  <c r="D174" i="61"/>
  <c r="C174" i="61"/>
  <c r="B174" i="61"/>
  <c r="F173" i="61"/>
  <c r="E173" i="61"/>
  <c r="D173" i="61"/>
  <c r="C173" i="61"/>
  <c r="B173" i="61"/>
  <c r="F172" i="61"/>
  <c r="E172" i="61"/>
  <c r="D172" i="61"/>
  <c r="C172" i="61"/>
  <c r="B172" i="61"/>
  <c r="F171" i="61"/>
  <c r="E171" i="61"/>
  <c r="D171" i="61"/>
  <c r="C171" i="61"/>
  <c r="B171" i="61"/>
  <c r="F170" i="61"/>
  <c r="E170" i="61"/>
  <c r="D170" i="61"/>
  <c r="C170" i="61"/>
  <c r="B170" i="61"/>
  <c r="F169" i="61"/>
  <c r="E169" i="61"/>
  <c r="D169" i="61"/>
  <c r="C169" i="61"/>
  <c r="B169" i="61"/>
  <c r="F168" i="61"/>
  <c r="E168" i="61"/>
  <c r="D168" i="61"/>
  <c r="C168" i="61"/>
  <c r="B168" i="61"/>
  <c r="F167" i="61"/>
  <c r="E167" i="61"/>
  <c r="D167" i="61"/>
  <c r="C167" i="61"/>
  <c r="B167" i="61"/>
  <c r="F166" i="61"/>
  <c r="E166" i="61"/>
  <c r="D166" i="61"/>
  <c r="C166" i="61"/>
  <c r="B166" i="61"/>
  <c r="F165" i="61"/>
  <c r="E165" i="61"/>
  <c r="D165" i="61"/>
  <c r="C165" i="61"/>
  <c r="B165" i="61"/>
  <c r="F164" i="61"/>
  <c r="E164" i="61"/>
  <c r="D164" i="61"/>
  <c r="C164" i="61"/>
  <c r="B164" i="61"/>
  <c r="F163" i="61"/>
  <c r="E163" i="61"/>
  <c r="D163" i="61"/>
  <c r="C163" i="61"/>
  <c r="B163" i="61"/>
  <c r="F162" i="61"/>
  <c r="E162" i="61"/>
  <c r="D162" i="61"/>
  <c r="C162" i="61"/>
  <c r="B162" i="61"/>
  <c r="F161" i="61"/>
  <c r="E161" i="61"/>
  <c r="D161" i="61"/>
  <c r="C161" i="61"/>
  <c r="B161" i="61"/>
  <c r="F160" i="61"/>
  <c r="E160" i="61"/>
  <c r="D160" i="61"/>
  <c r="C160" i="61"/>
  <c r="B160" i="61"/>
  <c r="F159" i="61"/>
  <c r="E159" i="61"/>
  <c r="D159" i="61"/>
  <c r="C159" i="61"/>
  <c r="B159" i="61"/>
  <c r="F158" i="61"/>
  <c r="E158" i="61"/>
  <c r="D158" i="61"/>
  <c r="C158" i="61"/>
  <c r="B158" i="61"/>
  <c r="F157" i="61"/>
  <c r="E157" i="61"/>
  <c r="D157" i="61"/>
  <c r="C157" i="61"/>
  <c r="B157" i="61"/>
  <c r="F156" i="61"/>
  <c r="E156" i="61"/>
  <c r="D156" i="61"/>
  <c r="C156" i="61"/>
  <c r="B156" i="61"/>
  <c r="F155" i="61"/>
  <c r="E155" i="61"/>
  <c r="D155" i="61"/>
  <c r="C155" i="61"/>
  <c r="B155" i="61"/>
  <c r="F154" i="61"/>
  <c r="E154" i="61"/>
  <c r="D154" i="61"/>
  <c r="C154" i="61"/>
  <c r="B154" i="61"/>
  <c r="F153" i="61"/>
  <c r="E153" i="61"/>
  <c r="D153" i="61"/>
  <c r="C153" i="61"/>
  <c r="B153" i="61"/>
  <c r="F152" i="61"/>
  <c r="E152" i="61"/>
  <c r="D152" i="61"/>
  <c r="C152" i="61"/>
  <c r="B152" i="61"/>
  <c r="F151" i="61"/>
  <c r="E151" i="61"/>
  <c r="D151" i="61"/>
  <c r="C151" i="61"/>
  <c r="B151" i="61"/>
  <c r="F150" i="61"/>
  <c r="E150" i="61"/>
  <c r="D150" i="61"/>
  <c r="C150" i="61"/>
  <c r="B150" i="61"/>
  <c r="F149" i="61"/>
  <c r="E149" i="61"/>
  <c r="D149" i="61"/>
  <c r="C149" i="61"/>
  <c r="B149" i="61"/>
  <c r="F148" i="61"/>
  <c r="E148" i="61"/>
  <c r="D148" i="61"/>
  <c r="C148" i="61"/>
  <c r="B148" i="61"/>
  <c r="F147" i="61"/>
  <c r="E147" i="61"/>
  <c r="D147" i="61"/>
  <c r="C147" i="61"/>
  <c r="B147" i="61"/>
  <c r="F146" i="61"/>
  <c r="E146" i="61"/>
  <c r="D146" i="61"/>
  <c r="C146" i="61"/>
  <c r="B146" i="61"/>
  <c r="F145" i="61"/>
  <c r="E145" i="61"/>
  <c r="D145" i="61"/>
  <c r="C145" i="61"/>
  <c r="B145" i="61"/>
  <c r="F144" i="61"/>
  <c r="E144" i="61"/>
  <c r="D144" i="61"/>
  <c r="C144" i="61"/>
  <c r="B144" i="61"/>
  <c r="F143" i="61"/>
  <c r="E143" i="61"/>
  <c r="D143" i="61"/>
  <c r="C143" i="61"/>
  <c r="B143" i="61"/>
  <c r="F142" i="61"/>
  <c r="E142" i="61"/>
  <c r="D142" i="61"/>
  <c r="C142" i="61"/>
  <c r="B142" i="61"/>
  <c r="F141" i="61"/>
  <c r="E141" i="61"/>
  <c r="D141" i="61"/>
  <c r="C141" i="61"/>
  <c r="B141" i="61"/>
  <c r="F140" i="61"/>
  <c r="E140" i="61"/>
  <c r="D140" i="61"/>
  <c r="C140" i="61"/>
  <c r="B140" i="61"/>
  <c r="F139" i="61"/>
  <c r="E139" i="61"/>
  <c r="D139" i="61"/>
  <c r="C139" i="61"/>
  <c r="B139" i="61"/>
  <c r="F138" i="61"/>
  <c r="E138" i="61"/>
  <c r="D138" i="61"/>
  <c r="C138" i="61"/>
  <c r="B138" i="61"/>
  <c r="F137" i="61"/>
  <c r="E137" i="61"/>
  <c r="D137" i="61"/>
  <c r="C137" i="61"/>
  <c r="B137" i="61"/>
  <c r="F136" i="61"/>
  <c r="E136" i="61"/>
  <c r="D136" i="61"/>
  <c r="C136" i="61"/>
  <c r="B136" i="61"/>
  <c r="F135" i="61"/>
  <c r="E135" i="61"/>
  <c r="D135" i="61"/>
  <c r="C135" i="61"/>
  <c r="B135" i="61"/>
  <c r="F134" i="61"/>
  <c r="E134" i="61"/>
  <c r="D134" i="61"/>
  <c r="C134" i="61"/>
  <c r="B134" i="61"/>
  <c r="F133" i="61"/>
  <c r="E133" i="61"/>
  <c r="D133" i="61"/>
  <c r="C133" i="61"/>
  <c r="B133" i="61"/>
  <c r="F132" i="61"/>
  <c r="E132" i="61"/>
  <c r="D132" i="61"/>
  <c r="C132" i="61"/>
  <c r="B132" i="61"/>
  <c r="F131" i="61"/>
  <c r="E131" i="61"/>
  <c r="D131" i="61"/>
  <c r="C131" i="61"/>
  <c r="B131" i="61"/>
  <c r="F130" i="61"/>
  <c r="E130" i="61"/>
  <c r="D130" i="61"/>
  <c r="C130" i="61"/>
  <c r="B130" i="61"/>
  <c r="F129" i="61"/>
  <c r="E129" i="61"/>
  <c r="D129" i="61"/>
  <c r="C129" i="61"/>
  <c r="B129" i="61"/>
  <c r="F128" i="61"/>
  <c r="E128" i="61"/>
  <c r="D128" i="61"/>
  <c r="C128" i="61"/>
  <c r="B128" i="61"/>
  <c r="F127" i="61"/>
  <c r="E127" i="61"/>
  <c r="D127" i="61"/>
  <c r="C127" i="61"/>
  <c r="B127" i="61"/>
  <c r="F126" i="61"/>
  <c r="E126" i="61"/>
  <c r="D126" i="61"/>
  <c r="C126" i="61"/>
  <c r="B126" i="61"/>
  <c r="F125" i="61"/>
  <c r="E125" i="61"/>
  <c r="D125" i="61"/>
  <c r="C125" i="61"/>
  <c r="B125" i="61"/>
  <c r="F124" i="61"/>
  <c r="E124" i="61"/>
  <c r="D124" i="61"/>
  <c r="C124" i="61"/>
  <c r="B124" i="61"/>
  <c r="F123" i="61"/>
  <c r="E123" i="61"/>
  <c r="D123" i="61"/>
  <c r="C123" i="61"/>
  <c r="B123" i="61"/>
  <c r="F122" i="61"/>
  <c r="E122" i="61"/>
  <c r="D122" i="61"/>
  <c r="C122" i="61"/>
  <c r="B122" i="61"/>
  <c r="F121" i="61"/>
  <c r="E121" i="61"/>
  <c r="D121" i="61"/>
  <c r="C121" i="61"/>
  <c r="B121" i="61"/>
  <c r="F120" i="61"/>
  <c r="E120" i="61"/>
  <c r="D120" i="61"/>
  <c r="C120" i="61"/>
  <c r="B120" i="61"/>
  <c r="F119" i="61"/>
  <c r="E119" i="61"/>
  <c r="D119" i="61"/>
  <c r="C119" i="61"/>
  <c r="B119" i="61"/>
  <c r="F118" i="61"/>
  <c r="E118" i="61"/>
  <c r="D118" i="61"/>
  <c r="C118" i="61"/>
  <c r="B118" i="61"/>
  <c r="F117" i="61"/>
  <c r="E117" i="61"/>
  <c r="D117" i="61"/>
  <c r="C117" i="61"/>
  <c r="B117" i="61"/>
  <c r="F116" i="61"/>
  <c r="E116" i="61"/>
  <c r="D116" i="61"/>
  <c r="C116" i="61"/>
  <c r="B116" i="61"/>
  <c r="F115" i="61"/>
  <c r="E115" i="61"/>
  <c r="D115" i="61"/>
  <c r="C115" i="61"/>
  <c r="B115" i="61"/>
  <c r="H114" i="61"/>
  <c r="F114" i="61"/>
  <c r="E114" i="61"/>
  <c r="D114" i="61"/>
  <c r="C114" i="61"/>
  <c r="B114" i="61"/>
  <c r="F206" i="60"/>
  <c r="E206" i="60"/>
  <c r="D206" i="60"/>
  <c r="C206" i="60"/>
  <c r="B206" i="60"/>
  <c r="F205" i="60"/>
  <c r="E205" i="60"/>
  <c r="D205" i="60"/>
  <c r="C205" i="60"/>
  <c r="B205" i="60"/>
  <c r="F204" i="60"/>
  <c r="E204" i="60"/>
  <c r="D204" i="60"/>
  <c r="C204" i="60"/>
  <c r="B204" i="60"/>
  <c r="F203" i="60"/>
  <c r="E203" i="60"/>
  <c r="D203" i="60"/>
  <c r="C203" i="60"/>
  <c r="B203" i="60"/>
  <c r="F202" i="60"/>
  <c r="E202" i="60"/>
  <c r="D202" i="60"/>
  <c r="C202" i="60"/>
  <c r="B202" i="60"/>
  <c r="F201" i="60"/>
  <c r="E201" i="60"/>
  <c r="D201" i="60"/>
  <c r="C201" i="60"/>
  <c r="B201" i="60"/>
  <c r="F200" i="60"/>
  <c r="E200" i="60"/>
  <c r="D200" i="60"/>
  <c r="C200" i="60"/>
  <c r="B200" i="60"/>
  <c r="F199" i="60"/>
  <c r="E199" i="60"/>
  <c r="D199" i="60"/>
  <c r="C199" i="60"/>
  <c r="B199" i="60"/>
  <c r="F198" i="60"/>
  <c r="E198" i="60"/>
  <c r="D198" i="60"/>
  <c r="C198" i="60"/>
  <c r="B198" i="60"/>
  <c r="F197" i="60"/>
  <c r="E197" i="60"/>
  <c r="D197" i="60"/>
  <c r="C197" i="60"/>
  <c r="B197" i="60"/>
  <c r="F196" i="60"/>
  <c r="E196" i="60"/>
  <c r="D196" i="60"/>
  <c r="C196" i="60"/>
  <c r="B196" i="60"/>
  <c r="F195" i="60"/>
  <c r="E195" i="60"/>
  <c r="D195" i="60"/>
  <c r="C195" i="60"/>
  <c r="B195" i="60"/>
  <c r="F194" i="60"/>
  <c r="E194" i="60"/>
  <c r="D194" i="60"/>
  <c r="C194" i="60"/>
  <c r="B194" i="60"/>
  <c r="F193" i="60"/>
  <c r="E193" i="60"/>
  <c r="D193" i="60"/>
  <c r="C193" i="60"/>
  <c r="B193" i="60"/>
  <c r="F192" i="60"/>
  <c r="E192" i="60"/>
  <c r="D192" i="60"/>
  <c r="C192" i="60"/>
  <c r="B192" i="60"/>
  <c r="F191" i="60"/>
  <c r="E191" i="60"/>
  <c r="D191" i="60"/>
  <c r="C191" i="60"/>
  <c r="B191" i="60"/>
  <c r="F190" i="60"/>
  <c r="E190" i="60"/>
  <c r="D190" i="60"/>
  <c r="C190" i="60"/>
  <c r="B190" i="60"/>
  <c r="F189" i="60"/>
  <c r="E189" i="60"/>
  <c r="D189" i="60"/>
  <c r="C189" i="60"/>
  <c r="B189" i="60"/>
  <c r="F188" i="60"/>
  <c r="E188" i="60"/>
  <c r="D188" i="60"/>
  <c r="C188" i="60"/>
  <c r="B188" i="60"/>
  <c r="F187" i="60"/>
  <c r="E187" i="60"/>
  <c r="D187" i="60"/>
  <c r="C187" i="60"/>
  <c r="B187" i="60"/>
  <c r="F186" i="60"/>
  <c r="E186" i="60"/>
  <c r="D186" i="60"/>
  <c r="C186" i="60"/>
  <c r="B186" i="60"/>
  <c r="F185" i="60"/>
  <c r="E185" i="60"/>
  <c r="D185" i="60"/>
  <c r="C185" i="60"/>
  <c r="B185" i="60"/>
  <c r="F184" i="60"/>
  <c r="E184" i="60"/>
  <c r="D184" i="60"/>
  <c r="C184" i="60"/>
  <c r="B184" i="60"/>
  <c r="F183" i="60"/>
  <c r="E183" i="60"/>
  <c r="D183" i="60"/>
  <c r="C183" i="60"/>
  <c r="B183" i="60"/>
  <c r="F182" i="60"/>
  <c r="E182" i="60"/>
  <c r="D182" i="60"/>
  <c r="C182" i="60"/>
  <c r="B182" i="60"/>
  <c r="F181" i="60"/>
  <c r="E181" i="60"/>
  <c r="D181" i="60"/>
  <c r="C181" i="60"/>
  <c r="B181" i="60"/>
  <c r="F180" i="60"/>
  <c r="E180" i="60"/>
  <c r="D180" i="60"/>
  <c r="C180" i="60"/>
  <c r="B180" i="60"/>
  <c r="F179" i="60"/>
  <c r="E179" i="60"/>
  <c r="D179" i="60"/>
  <c r="C179" i="60"/>
  <c r="B179" i="60"/>
  <c r="F178" i="60"/>
  <c r="E178" i="60"/>
  <c r="D178" i="60"/>
  <c r="C178" i="60"/>
  <c r="B178" i="60"/>
  <c r="F177" i="60"/>
  <c r="E177" i="60"/>
  <c r="D177" i="60"/>
  <c r="C177" i="60"/>
  <c r="B177" i="60"/>
  <c r="F176" i="60"/>
  <c r="E176" i="60"/>
  <c r="D176" i="60"/>
  <c r="C176" i="60"/>
  <c r="B176" i="60"/>
  <c r="F175" i="60"/>
  <c r="E175" i="60"/>
  <c r="D175" i="60"/>
  <c r="C175" i="60"/>
  <c r="B175" i="60"/>
  <c r="F174" i="60"/>
  <c r="E174" i="60"/>
  <c r="D174" i="60"/>
  <c r="C174" i="60"/>
  <c r="B174" i="60"/>
  <c r="F173" i="60"/>
  <c r="E173" i="60"/>
  <c r="D173" i="60"/>
  <c r="C173" i="60"/>
  <c r="B173" i="60"/>
  <c r="F172" i="60"/>
  <c r="E172" i="60"/>
  <c r="D172" i="60"/>
  <c r="C172" i="60"/>
  <c r="B172" i="60"/>
  <c r="F171" i="60"/>
  <c r="E171" i="60"/>
  <c r="D171" i="60"/>
  <c r="C171" i="60"/>
  <c r="B171" i="60"/>
  <c r="F170" i="60"/>
  <c r="E170" i="60"/>
  <c r="D170" i="60"/>
  <c r="C170" i="60"/>
  <c r="B170" i="60"/>
  <c r="F169" i="60"/>
  <c r="E169" i="60"/>
  <c r="D169" i="60"/>
  <c r="C169" i="60"/>
  <c r="B169" i="60"/>
  <c r="F168" i="60"/>
  <c r="E168" i="60"/>
  <c r="D168" i="60"/>
  <c r="C168" i="60"/>
  <c r="B168" i="60"/>
  <c r="F167" i="60"/>
  <c r="E167" i="60"/>
  <c r="D167" i="60"/>
  <c r="C167" i="60"/>
  <c r="B167" i="60"/>
  <c r="F166" i="60"/>
  <c r="E166" i="60"/>
  <c r="D166" i="60"/>
  <c r="C166" i="60"/>
  <c r="B166" i="60"/>
  <c r="F165" i="60"/>
  <c r="E165" i="60"/>
  <c r="D165" i="60"/>
  <c r="C165" i="60"/>
  <c r="B165" i="60"/>
  <c r="F164" i="60"/>
  <c r="E164" i="60"/>
  <c r="D164" i="60"/>
  <c r="C164" i="60"/>
  <c r="B164" i="60"/>
  <c r="F163" i="60"/>
  <c r="E163" i="60"/>
  <c r="D163" i="60"/>
  <c r="C163" i="60"/>
  <c r="B163" i="60"/>
  <c r="F162" i="60"/>
  <c r="E162" i="60"/>
  <c r="D162" i="60"/>
  <c r="C162" i="60"/>
  <c r="B162" i="60"/>
  <c r="F161" i="60"/>
  <c r="E161" i="60"/>
  <c r="D161" i="60"/>
  <c r="C161" i="60"/>
  <c r="B161" i="60"/>
  <c r="F160" i="60"/>
  <c r="E160" i="60"/>
  <c r="D160" i="60"/>
  <c r="C160" i="60"/>
  <c r="B160" i="60"/>
  <c r="F159" i="60"/>
  <c r="E159" i="60"/>
  <c r="D159" i="60"/>
  <c r="C159" i="60"/>
  <c r="B159" i="60"/>
  <c r="F158" i="60"/>
  <c r="E158" i="60"/>
  <c r="D158" i="60"/>
  <c r="C158" i="60"/>
  <c r="B158" i="60"/>
  <c r="F157" i="60"/>
  <c r="E157" i="60"/>
  <c r="D157" i="60"/>
  <c r="C157" i="60"/>
  <c r="B157" i="60"/>
  <c r="F156" i="60"/>
  <c r="E156" i="60"/>
  <c r="D156" i="60"/>
  <c r="C156" i="60"/>
  <c r="B156" i="60"/>
  <c r="F155" i="60"/>
  <c r="E155" i="60"/>
  <c r="D155" i="60"/>
  <c r="C155" i="60"/>
  <c r="B155" i="60"/>
  <c r="F154" i="60"/>
  <c r="E154" i="60"/>
  <c r="D154" i="60"/>
  <c r="C154" i="60"/>
  <c r="B154" i="60"/>
  <c r="F153" i="60"/>
  <c r="E153" i="60"/>
  <c r="D153" i="60"/>
  <c r="C153" i="60"/>
  <c r="B153" i="60"/>
  <c r="F152" i="60"/>
  <c r="E152" i="60"/>
  <c r="D152" i="60"/>
  <c r="C152" i="60"/>
  <c r="B152" i="60"/>
  <c r="F151" i="60"/>
  <c r="E151" i="60"/>
  <c r="D151" i="60"/>
  <c r="C151" i="60"/>
  <c r="B151" i="60"/>
  <c r="F150" i="60"/>
  <c r="E150" i="60"/>
  <c r="D150" i="60"/>
  <c r="C150" i="60"/>
  <c r="B150" i="60"/>
  <c r="F149" i="60"/>
  <c r="E149" i="60"/>
  <c r="D149" i="60"/>
  <c r="C149" i="60"/>
  <c r="B149" i="60"/>
  <c r="F148" i="60"/>
  <c r="E148" i="60"/>
  <c r="D148" i="60"/>
  <c r="C148" i="60"/>
  <c r="B148" i="60"/>
  <c r="F147" i="60"/>
  <c r="E147" i="60"/>
  <c r="D147" i="60"/>
  <c r="C147" i="60"/>
  <c r="B147" i="60"/>
  <c r="F146" i="60"/>
  <c r="E146" i="60"/>
  <c r="D146" i="60"/>
  <c r="C146" i="60"/>
  <c r="B146" i="60"/>
  <c r="F145" i="60"/>
  <c r="E145" i="60"/>
  <c r="D145" i="60"/>
  <c r="C145" i="60"/>
  <c r="B145" i="60"/>
  <c r="F144" i="60"/>
  <c r="E144" i="60"/>
  <c r="D144" i="60"/>
  <c r="C144" i="60"/>
  <c r="B144" i="60"/>
  <c r="F143" i="60"/>
  <c r="E143" i="60"/>
  <c r="D143" i="60"/>
  <c r="C143" i="60"/>
  <c r="B143" i="60"/>
  <c r="F142" i="60"/>
  <c r="E142" i="60"/>
  <c r="D142" i="60"/>
  <c r="C142" i="60"/>
  <c r="B142" i="60"/>
  <c r="F141" i="60"/>
  <c r="E141" i="60"/>
  <c r="D141" i="60"/>
  <c r="C141" i="60"/>
  <c r="B141" i="60"/>
  <c r="F140" i="60"/>
  <c r="E140" i="60"/>
  <c r="D140" i="60"/>
  <c r="C140" i="60"/>
  <c r="B140" i="60"/>
  <c r="F139" i="60"/>
  <c r="E139" i="60"/>
  <c r="D139" i="60"/>
  <c r="C139" i="60"/>
  <c r="B139" i="60"/>
  <c r="F138" i="60"/>
  <c r="E138" i="60"/>
  <c r="D138" i="60"/>
  <c r="C138" i="60"/>
  <c r="B138" i="60"/>
  <c r="F137" i="60"/>
  <c r="E137" i="60"/>
  <c r="D137" i="60"/>
  <c r="C137" i="60"/>
  <c r="B137" i="60"/>
  <c r="F136" i="60"/>
  <c r="E136" i="60"/>
  <c r="D136" i="60"/>
  <c r="C136" i="60"/>
  <c r="B136" i="60"/>
  <c r="F135" i="60"/>
  <c r="E135" i="60"/>
  <c r="D135" i="60"/>
  <c r="C135" i="60"/>
  <c r="B135" i="60"/>
  <c r="F134" i="60"/>
  <c r="E134" i="60"/>
  <c r="D134" i="60"/>
  <c r="C134" i="60"/>
  <c r="B134" i="60"/>
  <c r="F133" i="60"/>
  <c r="E133" i="60"/>
  <c r="D133" i="60"/>
  <c r="C133" i="60"/>
  <c r="B133" i="60"/>
  <c r="F132" i="60"/>
  <c r="E132" i="60"/>
  <c r="D132" i="60"/>
  <c r="C132" i="60"/>
  <c r="B132" i="60"/>
  <c r="F131" i="60"/>
  <c r="E131" i="60"/>
  <c r="D131" i="60"/>
  <c r="C131" i="60"/>
  <c r="B131" i="60"/>
  <c r="F130" i="60"/>
  <c r="E130" i="60"/>
  <c r="D130" i="60"/>
  <c r="C130" i="60"/>
  <c r="B130" i="60"/>
  <c r="F129" i="60"/>
  <c r="E129" i="60"/>
  <c r="D129" i="60"/>
  <c r="C129" i="60"/>
  <c r="B129" i="60"/>
  <c r="F128" i="60"/>
  <c r="E128" i="60"/>
  <c r="D128" i="60"/>
  <c r="C128" i="60"/>
  <c r="B128" i="60"/>
  <c r="F127" i="60"/>
  <c r="E127" i="60"/>
  <c r="D127" i="60"/>
  <c r="C127" i="60"/>
  <c r="B127" i="60"/>
  <c r="F126" i="60"/>
  <c r="E126" i="60"/>
  <c r="D126" i="60"/>
  <c r="C126" i="60"/>
  <c r="B126" i="60"/>
  <c r="F125" i="60"/>
  <c r="E125" i="60"/>
  <c r="D125" i="60"/>
  <c r="C125" i="60"/>
  <c r="B125" i="60"/>
  <c r="F124" i="60"/>
  <c r="E124" i="60"/>
  <c r="D124" i="60"/>
  <c r="C124" i="60"/>
  <c r="B124" i="60"/>
  <c r="F123" i="60"/>
  <c r="E123" i="60"/>
  <c r="D123" i="60"/>
  <c r="C123" i="60"/>
  <c r="B123" i="60"/>
  <c r="F122" i="60"/>
  <c r="E122" i="60"/>
  <c r="D122" i="60"/>
  <c r="C122" i="60"/>
  <c r="B122" i="60"/>
  <c r="F121" i="60"/>
  <c r="E121" i="60"/>
  <c r="D121" i="60"/>
  <c r="C121" i="60"/>
  <c r="B121" i="60"/>
  <c r="F120" i="60"/>
  <c r="E120" i="60"/>
  <c r="D120" i="60"/>
  <c r="C120" i="60"/>
  <c r="B120" i="60"/>
  <c r="F119" i="60"/>
  <c r="E119" i="60"/>
  <c r="D119" i="60"/>
  <c r="C119" i="60"/>
  <c r="B119" i="60"/>
  <c r="F118" i="60"/>
  <c r="E118" i="60"/>
  <c r="D118" i="60"/>
  <c r="C118" i="60"/>
  <c r="B118" i="60"/>
  <c r="F117" i="60"/>
  <c r="E117" i="60"/>
  <c r="D117" i="60"/>
  <c r="C117" i="60"/>
  <c r="B117" i="60"/>
  <c r="F116" i="60"/>
  <c r="E116" i="60"/>
  <c r="D116" i="60"/>
  <c r="C116" i="60"/>
  <c r="B116" i="60"/>
  <c r="F115" i="60"/>
  <c r="E115" i="60"/>
  <c r="D115" i="60"/>
  <c r="C115" i="60"/>
  <c r="B115" i="60"/>
  <c r="H114" i="60"/>
  <c r="F114" i="60"/>
  <c r="E114" i="60"/>
  <c r="D114" i="60"/>
  <c r="C114" i="60"/>
  <c r="B114" i="60"/>
  <c r="F206" i="59"/>
  <c r="E206" i="59"/>
  <c r="D206" i="59"/>
  <c r="C206" i="59"/>
  <c r="B206" i="59"/>
  <c r="F205" i="59"/>
  <c r="E205" i="59"/>
  <c r="D205" i="59"/>
  <c r="C205" i="59"/>
  <c r="B205" i="59"/>
  <c r="F204" i="59"/>
  <c r="E204" i="59"/>
  <c r="D204" i="59"/>
  <c r="C204" i="59"/>
  <c r="B204" i="59"/>
  <c r="F203" i="59"/>
  <c r="E203" i="59"/>
  <c r="D203" i="59"/>
  <c r="C203" i="59"/>
  <c r="B203" i="59"/>
  <c r="F202" i="59"/>
  <c r="E202" i="59"/>
  <c r="D202" i="59"/>
  <c r="C202" i="59"/>
  <c r="B202" i="59"/>
  <c r="F201" i="59"/>
  <c r="E201" i="59"/>
  <c r="D201" i="59"/>
  <c r="C201" i="59"/>
  <c r="B201" i="59"/>
  <c r="F200" i="59"/>
  <c r="E200" i="59"/>
  <c r="D200" i="59"/>
  <c r="C200" i="59"/>
  <c r="B200" i="59"/>
  <c r="F199" i="59"/>
  <c r="E199" i="59"/>
  <c r="D199" i="59"/>
  <c r="C199" i="59"/>
  <c r="B199" i="59"/>
  <c r="F198" i="59"/>
  <c r="E198" i="59"/>
  <c r="D198" i="59"/>
  <c r="C198" i="59"/>
  <c r="B198" i="59"/>
  <c r="F197" i="59"/>
  <c r="E197" i="59"/>
  <c r="D197" i="59"/>
  <c r="C197" i="59"/>
  <c r="B197" i="59"/>
  <c r="F196" i="59"/>
  <c r="E196" i="59"/>
  <c r="D196" i="59"/>
  <c r="C196" i="59"/>
  <c r="B196" i="59"/>
  <c r="F195" i="59"/>
  <c r="E195" i="59"/>
  <c r="D195" i="59"/>
  <c r="C195" i="59"/>
  <c r="B195" i="59"/>
  <c r="F194" i="59"/>
  <c r="E194" i="59"/>
  <c r="D194" i="59"/>
  <c r="C194" i="59"/>
  <c r="B194" i="59"/>
  <c r="F193" i="59"/>
  <c r="E193" i="59"/>
  <c r="D193" i="59"/>
  <c r="C193" i="59"/>
  <c r="B193" i="59"/>
  <c r="F192" i="59"/>
  <c r="E192" i="59"/>
  <c r="D192" i="59"/>
  <c r="C192" i="59"/>
  <c r="B192" i="59"/>
  <c r="F191" i="59"/>
  <c r="E191" i="59"/>
  <c r="D191" i="59"/>
  <c r="C191" i="59"/>
  <c r="B191" i="59"/>
  <c r="F190" i="59"/>
  <c r="E190" i="59"/>
  <c r="D190" i="59"/>
  <c r="C190" i="59"/>
  <c r="B190" i="59"/>
  <c r="F189" i="59"/>
  <c r="E189" i="59"/>
  <c r="D189" i="59"/>
  <c r="C189" i="59"/>
  <c r="B189" i="59"/>
  <c r="F188" i="59"/>
  <c r="E188" i="59"/>
  <c r="D188" i="59"/>
  <c r="C188" i="59"/>
  <c r="B188" i="59"/>
  <c r="F187" i="59"/>
  <c r="E187" i="59"/>
  <c r="D187" i="59"/>
  <c r="C187" i="59"/>
  <c r="B187" i="59"/>
  <c r="F186" i="59"/>
  <c r="E186" i="59"/>
  <c r="D186" i="59"/>
  <c r="C186" i="59"/>
  <c r="B186" i="59"/>
  <c r="F185" i="59"/>
  <c r="E185" i="59"/>
  <c r="D185" i="59"/>
  <c r="C185" i="59"/>
  <c r="B185" i="59"/>
  <c r="F184" i="59"/>
  <c r="E184" i="59"/>
  <c r="D184" i="59"/>
  <c r="C184" i="59"/>
  <c r="B184" i="59"/>
  <c r="F183" i="59"/>
  <c r="E183" i="59"/>
  <c r="D183" i="59"/>
  <c r="C183" i="59"/>
  <c r="B183" i="59"/>
  <c r="F182" i="59"/>
  <c r="E182" i="59"/>
  <c r="D182" i="59"/>
  <c r="C182" i="59"/>
  <c r="B182" i="59"/>
  <c r="F181" i="59"/>
  <c r="E181" i="59"/>
  <c r="D181" i="59"/>
  <c r="C181" i="59"/>
  <c r="B181" i="59"/>
  <c r="F180" i="59"/>
  <c r="E180" i="59"/>
  <c r="D180" i="59"/>
  <c r="C180" i="59"/>
  <c r="B180" i="59"/>
  <c r="F179" i="59"/>
  <c r="E179" i="59"/>
  <c r="D179" i="59"/>
  <c r="C179" i="59"/>
  <c r="B179" i="59"/>
  <c r="F178" i="59"/>
  <c r="E178" i="59"/>
  <c r="D178" i="59"/>
  <c r="C178" i="59"/>
  <c r="B178" i="59"/>
  <c r="F177" i="59"/>
  <c r="E177" i="59"/>
  <c r="D177" i="59"/>
  <c r="C177" i="59"/>
  <c r="B177" i="59"/>
  <c r="F176" i="59"/>
  <c r="E176" i="59"/>
  <c r="D176" i="59"/>
  <c r="C176" i="59"/>
  <c r="B176" i="59"/>
  <c r="F175" i="59"/>
  <c r="E175" i="59"/>
  <c r="D175" i="59"/>
  <c r="C175" i="59"/>
  <c r="B175" i="59"/>
  <c r="F174" i="59"/>
  <c r="E174" i="59"/>
  <c r="D174" i="59"/>
  <c r="C174" i="59"/>
  <c r="B174" i="59"/>
  <c r="F173" i="59"/>
  <c r="E173" i="59"/>
  <c r="D173" i="59"/>
  <c r="C173" i="59"/>
  <c r="B173" i="59"/>
  <c r="F172" i="59"/>
  <c r="E172" i="59"/>
  <c r="D172" i="59"/>
  <c r="C172" i="59"/>
  <c r="B172" i="59"/>
  <c r="F171" i="59"/>
  <c r="E171" i="59"/>
  <c r="D171" i="59"/>
  <c r="C171" i="59"/>
  <c r="B171" i="59"/>
  <c r="F170" i="59"/>
  <c r="E170" i="59"/>
  <c r="D170" i="59"/>
  <c r="C170" i="59"/>
  <c r="B170" i="59"/>
  <c r="F169" i="59"/>
  <c r="E169" i="59"/>
  <c r="D169" i="59"/>
  <c r="C169" i="59"/>
  <c r="B169" i="59"/>
  <c r="F168" i="59"/>
  <c r="E168" i="59"/>
  <c r="D168" i="59"/>
  <c r="C168" i="59"/>
  <c r="B168" i="59"/>
  <c r="F167" i="59"/>
  <c r="E167" i="59"/>
  <c r="D167" i="59"/>
  <c r="C167" i="59"/>
  <c r="B167" i="59"/>
  <c r="F166" i="59"/>
  <c r="E166" i="59"/>
  <c r="D166" i="59"/>
  <c r="C166" i="59"/>
  <c r="B166" i="59"/>
  <c r="F165" i="59"/>
  <c r="E165" i="59"/>
  <c r="D165" i="59"/>
  <c r="C165" i="59"/>
  <c r="B165" i="59"/>
  <c r="F164" i="59"/>
  <c r="E164" i="59"/>
  <c r="D164" i="59"/>
  <c r="C164" i="59"/>
  <c r="B164" i="59"/>
  <c r="F163" i="59"/>
  <c r="E163" i="59"/>
  <c r="D163" i="59"/>
  <c r="C163" i="59"/>
  <c r="B163" i="59"/>
  <c r="F162" i="59"/>
  <c r="E162" i="59"/>
  <c r="D162" i="59"/>
  <c r="C162" i="59"/>
  <c r="B162" i="59"/>
  <c r="F161" i="59"/>
  <c r="E161" i="59"/>
  <c r="D161" i="59"/>
  <c r="C161" i="59"/>
  <c r="B161" i="59"/>
  <c r="F160" i="59"/>
  <c r="E160" i="59"/>
  <c r="D160" i="59"/>
  <c r="C160" i="59"/>
  <c r="B160" i="59"/>
  <c r="F159" i="59"/>
  <c r="E159" i="59"/>
  <c r="D159" i="59"/>
  <c r="C159" i="59"/>
  <c r="B159" i="59"/>
  <c r="F158" i="59"/>
  <c r="E158" i="59"/>
  <c r="D158" i="59"/>
  <c r="C158" i="59"/>
  <c r="B158" i="59"/>
  <c r="F157" i="59"/>
  <c r="E157" i="59"/>
  <c r="D157" i="59"/>
  <c r="C157" i="59"/>
  <c r="B157" i="59"/>
  <c r="F156" i="59"/>
  <c r="E156" i="59"/>
  <c r="D156" i="59"/>
  <c r="C156" i="59"/>
  <c r="B156" i="59"/>
  <c r="F155" i="59"/>
  <c r="E155" i="59"/>
  <c r="D155" i="59"/>
  <c r="C155" i="59"/>
  <c r="B155" i="59"/>
  <c r="F154" i="59"/>
  <c r="E154" i="59"/>
  <c r="D154" i="59"/>
  <c r="C154" i="59"/>
  <c r="B154" i="59"/>
  <c r="F153" i="59"/>
  <c r="E153" i="59"/>
  <c r="D153" i="59"/>
  <c r="C153" i="59"/>
  <c r="B153" i="59"/>
  <c r="F152" i="59"/>
  <c r="E152" i="59"/>
  <c r="D152" i="59"/>
  <c r="C152" i="59"/>
  <c r="B152" i="59"/>
  <c r="F151" i="59"/>
  <c r="E151" i="59"/>
  <c r="D151" i="59"/>
  <c r="C151" i="59"/>
  <c r="B151" i="59"/>
  <c r="F150" i="59"/>
  <c r="E150" i="59"/>
  <c r="D150" i="59"/>
  <c r="C150" i="59"/>
  <c r="B150" i="59"/>
  <c r="F149" i="59"/>
  <c r="E149" i="59"/>
  <c r="D149" i="59"/>
  <c r="C149" i="59"/>
  <c r="B149" i="59"/>
  <c r="F148" i="59"/>
  <c r="E148" i="59"/>
  <c r="D148" i="59"/>
  <c r="C148" i="59"/>
  <c r="B148" i="59"/>
  <c r="F147" i="59"/>
  <c r="E147" i="59"/>
  <c r="D147" i="59"/>
  <c r="C147" i="59"/>
  <c r="B147" i="59"/>
  <c r="F146" i="59"/>
  <c r="E146" i="59"/>
  <c r="D146" i="59"/>
  <c r="C146" i="59"/>
  <c r="B146" i="59"/>
  <c r="F145" i="59"/>
  <c r="E145" i="59"/>
  <c r="D145" i="59"/>
  <c r="C145" i="59"/>
  <c r="B145" i="59"/>
  <c r="F144" i="59"/>
  <c r="E144" i="59"/>
  <c r="D144" i="59"/>
  <c r="C144" i="59"/>
  <c r="B144" i="59"/>
  <c r="F143" i="59"/>
  <c r="E143" i="59"/>
  <c r="D143" i="59"/>
  <c r="C143" i="59"/>
  <c r="B143" i="59"/>
  <c r="F142" i="59"/>
  <c r="E142" i="59"/>
  <c r="D142" i="59"/>
  <c r="C142" i="59"/>
  <c r="B142" i="59"/>
  <c r="F141" i="59"/>
  <c r="E141" i="59"/>
  <c r="D141" i="59"/>
  <c r="C141" i="59"/>
  <c r="B141" i="59"/>
  <c r="F140" i="59"/>
  <c r="E140" i="59"/>
  <c r="D140" i="59"/>
  <c r="C140" i="59"/>
  <c r="B140" i="59"/>
  <c r="F139" i="59"/>
  <c r="E139" i="59"/>
  <c r="D139" i="59"/>
  <c r="C139" i="59"/>
  <c r="B139" i="59"/>
  <c r="F138" i="59"/>
  <c r="E138" i="59"/>
  <c r="D138" i="59"/>
  <c r="C138" i="59"/>
  <c r="B138" i="59"/>
  <c r="F137" i="59"/>
  <c r="E137" i="59"/>
  <c r="D137" i="59"/>
  <c r="C137" i="59"/>
  <c r="B137" i="59"/>
  <c r="F136" i="59"/>
  <c r="E136" i="59"/>
  <c r="D136" i="59"/>
  <c r="C136" i="59"/>
  <c r="B136" i="59"/>
  <c r="F135" i="59"/>
  <c r="E135" i="59"/>
  <c r="D135" i="59"/>
  <c r="C135" i="59"/>
  <c r="B135" i="59"/>
  <c r="F134" i="59"/>
  <c r="E134" i="59"/>
  <c r="D134" i="59"/>
  <c r="C134" i="59"/>
  <c r="B134" i="59"/>
  <c r="F133" i="59"/>
  <c r="E133" i="59"/>
  <c r="D133" i="59"/>
  <c r="C133" i="59"/>
  <c r="B133" i="59"/>
  <c r="F132" i="59"/>
  <c r="E132" i="59"/>
  <c r="D132" i="59"/>
  <c r="C132" i="59"/>
  <c r="B132" i="59"/>
  <c r="F131" i="59"/>
  <c r="E131" i="59"/>
  <c r="D131" i="59"/>
  <c r="C131" i="59"/>
  <c r="B131" i="59"/>
  <c r="F130" i="59"/>
  <c r="E130" i="59"/>
  <c r="D130" i="59"/>
  <c r="C130" i="59"/>
  <c r="B130" i="59"/>
  <c r="F129" i="59"/>
  <c r="E129" i="59"/>
  <c r="D129" i="59"/>
  <c r="C129" i="59"/>
  <c r="B129" i="59"/>
  <c r="F128" i="59"/>
  <c r="E128" i="59"/>
  <c r="D128" i="59"/>
  <c r="C128" i="59"/>
  <c r="B128" i="59"/>
  <c r="F127" i="59"/>
  <c r="E127" i="59"/>
  <c r="D127" i="59"/>
  <c r="C127" i="59"/>
  <c r="B127" i="59"/>
  <c r="F126" i="59"/>
  <c r="E126" i="59"/>
  <c r="D126" i="59"/>
  <c r="C126" i="59"/>
  <c r="B126" i="59"/>
  <c r="F125" i="59"/>
  <c r="E125" i="59"/>
  <c r="D125" i="59"/>
  <c r="C125" i="59"/>
  <c r="B125" i="59"/>
  <c r="F124" i="59"/>
  <c r="E124" i="59"/>
  <c r="D124" i="59"/>
  <c r="C124" i="59"/>
  <c r="B124" i="59"/>
  <c r="F123" i="59"/>
  <c r="E123" i="59"/>
  <c r="D123" i="59"/>
  <c r="C123" i="59"/>
  <c r="B123" i="59"/>
  <c r="F122" i="59"/>
  <c r="E122" i="59"/>
  <c r="D122" i="59"/>
  <c r="C122" i="59"/>
  <c r="B122" i="59"/>
  <c r="F121" i="59"/>
  <c r="E121" i="59"/>
  <c r="D121" i="59"/>
  <c r="C121" i="59"/>
  <c r="B121" i="59"/>
  <c r="F120" i="59"/>
  <c r="E120" i="59"/>
  <c r="D120" i="59"/>
  <c r="C120" i="59"/>
  <c r="B120" i="59"/>
  <c r="F119" i="59"/>
  <c r="E119" i="59"/>
  <c r="D119" i="59"/>
  <c r="C119" i="59"/>
  <c r="B119" i="59"/>
  <c r="F118" i="59"/>
  <c r="E118" i="59"/>
  <c r="D118" i="59"/>
  <c r="C118" i="59"/>
  <c r="B118" i="59"/>
  <c r="F117" i="59"/>
  <c r="E117" i="59"/>
  <c r="D117" i="59"/>
  <c r="C117" i="59"/>
  <c r="B117" i="59"/>
  <c r="F116" i="59"/>
  <c r="E116" i="59"/>
  <c r="D116" i="59"/>
  <c r="C116" i="59"/>
  <c r="B116" i="59"/>
  <c r="F115" i="59"/>
  <c r="E115" i="59"/>
  <c r="D115" i="59"/>
  <c r="C115" i="59"/>
  <c r="B115" i="59"/>
  <c r="H114" i="59"/>
  <c r="F114" i="59"/>
  <c r="E114" i="59"/>
  <c r="D114" i="59"/>
  <c r="C114" i="59"/>
  <c r="B114" i="59"/>
  <c r="F206" i="58"/>
  <c r="E206" i="58"/>
  <c r="D206" i="58"/>
  <c r="C206" i="58"/>
  <c r="B206" i="58"/>
  <c r="F205" i="58"/>
  <c r="E205" i="58"/>
  <c r="D205" i="58"/>
  <c r="C205" i="58"/>
  <c r="B205" i="58"/>
  <c r="F204" i="58"/>
  <c r="E204" i="58"/>
  <c r="D204" i="58"/>
  <c r="C204" i="58"/>
  <c r="B204" i="58"/>
  <c r="F203" i="58"/>
  <c r="E203" i="58"/>
  <c r="D203" i="58"/>
  <c r="C203" i="58"/>
  <c r="B203" i="58"/>
  <c r="F202" i="58"/>
  <c r="E202" i="58"/>
  <c r="D202" i="58"/>
  <c r="C202" i="58"/>
  <c r="B202" i="58"/>
  <c r="F201" i="58"/>
  <c r="E201" i="58"/>
  <c r="D201" i="58"/>
  <c r="C201" i="58"/>
  <c r="B201" i="58"/>
  <c r="F200" i="58"/>
  <c r="E200" i="58"/>
  <c r="D200" i="58"/>
  <c r="C200" i="58"/>
  <c r="B200" i="58"/>
  <c r="F199" i="58"/>
  <c r="E199" i="58"/>
  <c r="D199" i="58"/>
  <c r="C199" i="58"/>
  <c r="B199" i="58"/>
  <c r="F198" i="58"/>
  <c r="E198" i="58"/>
  <c r="D198" i="58"/>
  <c r="C198" i="58"/>
  <c r="B198" i="58"/>
  <c r="F197" i="58"/>
  <c r="E197" i="58"/>
  <c r="D197" i="58"/>
  <c r="C197" i="58"/>
  <c r="B197" i="58"/>
  <c r="F196" i="58"/>
  <c r="E196" i="58"/>
  <c r="D196" i="58"/>
  <c r="C196" i="58"/>
  <c r="B196" i="58"/>
  <c r="F195" i="58"/>
  <c r="E195" i="58"/>
  <c r="D195" i="58"/>
  <c r="C195" i="58"/>
  <c r="B195" i="58"/>
  <c r="F194" i="58"/>
  <c r="E194" i="58"/>
  <c r="D194" i="58"/>
  <c r="C194" i="58"/>
  <c r="B194" i="58"/>
  <c r="F193" i="58"/>
  <c r="E193" i="58"/>
  <c r="D193" i="58"/>
  <c r="C193" i="58"/>
  <c r="B193" i="58"/>
  <c r="F192" i="58"/>
  <c r="E192" i="58"/>
  <c r="D192" i="58"/>
  <c r="C192" i="58"/>
  <c r="B192" i="58"/>
  <c r="F191" i="58"/>
  <c r="E191" i="58"/>
  <c r="D191" i="58"/>
  <c r="C191" i="58"/>
  <c r="B191" i="58"/>
  <c r="F190" i="58"/>
  <c r="E190" i="58"/>
  <c r="D190" i="58"/>
  <c r="C190" i="58"/>
  <c r="B190" i="58"/>
  <c r="F189" i="58"/>
  <c r="E189" i="58"/>
  <c r="D189" i="58"/>
  <c r="C189" i="58"/>
  <c r="B189" i="58"/>
  <c r="F188" i="58"/>
  <c r="E188" i="58"/>
  <c r="D188" i="58"/>
  <c r="C188" i="58"/>
  <c r="B188" i="58"/>
  <c r="F187" i="58"/>
  <c r="E187" i="58"/>
  <c r="D187" i="58"/>
  <c r="C187" i="58"/>
  <c r="B187" i="58"/>
  <c r="F186" i="58"/>
  <c r="E186" i="58"/>
  <c r="D186" i="58"/>
  <c r="C186" i="58"/>
  <c r="B186" i="58"/>
  <c r="F185" i="58"/>
  <c r="E185" i="58"/>
  <c r="D185" i="58"/>
  <c r="C185" i="58"/>
  <c r="B185" i="58"/>
  <c r="F184" i="58"/>
  <c r="E184" i="58"/>
  <c r="D184" i="58"/>
  <c r="C184" i="58"/>
  <c r="B184" i="58"/>
  <c r="F183" i="58"/>
  <c r="E183" i="58"/>
  <c r="D183" i="58"/>
  <c r="C183" i="58"/>
  <c r="B183" i="58"/>
  <c r="F182" i="58"/>
  <c r="E182" i="58"/>
  <c r="D182" i="58"/>
  <c r="C182" i="58"/>
  <c r="B182" i="58"/>
  <c r="F181" i="58"/>
  <c r="E181" i="58"/>
  <c r="D181" i="58"/>
  <c r="C181" i="58"/>
  <c r="B181" i="58"/>
  <c r="F180" i="58"/>
  <c r="E180" i="58"/>
  <c r="D180" i="58"/>
  <c r="C180" i="58"/>
  <c r="B180" i="58"/>
  <c r="F179" i="58"/>
  <c r="E179" i="58"/>
  <c r="D179" i="58"/>
  <c r="C179" i="58"/>
  <c r="B179" i="58"/>
  <c r="F178" i="58"/>
  <c r="E178" i="58"/>
  <c r="D178" i="58"/>
  <c r="C178" i="58"/>
  <c r="B178" i="58"/>
  <c r="F177" i="58"/>
  <c r="E177" i="58"/>
  <c r="D177" i="58"/>
  <c r="C177" i="58"/>
  <c r="B177" i="58"/>
  <c r="F176" i="58"/>
  <c r="E176" i="58"/>
  <c r="D176" i="58"/>
  <c r="C176" i="58"/>
  <c r="B176" i="58"/>
  <c r="F175" i="58"/>
  <c r="E175" i="58"/>
  <c r="D175" i="58"/>
  <c r="C175" i="58"/>
  <c r="B175" i="58"/>
  <c r="F174" i="58"/>
  <c r="E174" i="58"/>
  <c r="D174" i="58"/>
  <c r="C174" i="58"/>
  <c r="B174" i="58"/>
  <c r="F173" i="58"/>
  <c r="E173" i="58"/>
  <c r="D173" i="58"/>
  <c r="C173" i="58"/>
  <c r="B173" i="58"/>
  <c r="F172" i="58"/>
  <c r="E172" i="58"/>
  <c r="D172" i="58"/>
  <c r="C172" i="58"/>
  <c r="B172" i="58"/>
  <c r="F171" i="58"/>
  <c r="E171" i="58"/>
  <c r="D171" i="58"/>
  <c r="C171" i="58"/>
  <c r="B171" i="58"/>
  <c r="F170" i="58"/>
  <c r="E170" i="58"/>
  <c r="D170" i="58"/>
  <c r="C170" i="58"/>
  <c r="B170" i="58"/>
  <c r="F169" i="58"/>
  <c r="E169" i="58"/>
  <c r="D169" i="58"/>
  <c r="C169" i="58"/>
  <c r="B169" i="58"/>
  <c r="F168" i="58"/>
  <c r="E168" i="58"/>
  <c r="D168" i="58"/>
  <c r="C168" i="58"/>
  <c r="B168" i="58"/>
  <c r="F167" i="58"/>
  <c r="E167" i="58"/>
  <c r="D167" i="58"/>
  <c r="C167" i="58"/>
  <c r="B167" i="58"/>
  <c r="F166" i="58"/>
  <c r="E166" i="58"/>
  <c r="D166" i="58"/>
  <c r="C166" i="58"/>
  <c r="B166" i="58"/>
  <c r="F165" i="58"/>
  <c r="E165" i="58"/>
  <c r="D165" i="58"/>
  <c r="C165" i="58"/>
  <c r="B165" i="58"/>
  <c r="F164" i="58"/>
  <c r="E164" i="58"/>
  <c r="D164" i="58"/>
  <c r="C164" i="58"/>
  <c r="B164" i="58"/>
  <c r="F163" i="58"/>
  <c r="E163" i="58"/>
  <c r="D163" i="58"/>
  <c r="C163" i="58"/>
  <c r="B163" i="58"/>
  <c r="F162" i="58"/>
  <c r="E162" i="58"/>
  <c r="D162" i="58"/>
  <c r="C162" i="58"/>
  <c r="B162" i="58"/>
  <c r="F161" i="58"/>
  <c r="E161" i="58"/>
  <c r="D161" i="58"/>
  <c r="C161" i="58"/>
  <c r="B161" i="58"/>
  <c r="F160" i="58"/>
  <c r="E160" i="58"/>
  <c r="D160" i="58"/>
  <c r="C160" i="58"/>
  <c r="B160" i="58"/>
  <c r="F159" i="58"/>
  <c r="E159" i="58"/>
  <c r="D159" i="58"/>
  <c r="C159" i="58"/>
  <c r="B159" i="58"/>
  <c r="F158" i="58"/>
  <c r="E158" i="58"/>
  <c r="D158" i="58"/>
  <c r="C158" i="58"/>
  <c r="B158" i="58"/>
  <c r="F157" i="58"/>
  <c r="E157" i="58"/>
  <c r="D157" i="58"/>
  <c r="C157" i="58"/>
  <c r="B157" i="58"/>
  <c r="F156" i="58"/>
  <c r="E156" i="58"/>
  <c r="D156" i="58"/>
  <c r="C156" i="58"/>
  <c r="B156" i="58"/>
  <c r="F155" i="58"/>
  <c r="E155" i="58"/>
  <c r="D155" i="58"/>
  <c r="C155" i="58"/>
  <c r="B155" i="58"/>
  <c r="F154" i="58"/>
  <c r="E154" i="58"/>
  <c r="D154" i="58"/>
  <c r="C154" i="58"/>
  <c r="B154" i="58"/>
  <c r="F153" i="58"/>
  <c r="E153" i="58"/>
  <c r="D153" i="58"/>
  <c r="C153" i="58"/>
  <c r="B153" i="58"/>
  <c r="F152" i="58"/>
  <c r="E152" i="58"/>
  <c r="D152" i="58"/>
  <c r="C152" i="58"/>
  <c r="B152" i="58"/>
  <c r="F151" i="58"/>
  <c r="E151" i="58"/>
  <c r="D151" i="58"/>
  <c r="C151" i="58"/>
  <c r="B151" i="58"/>
  <c r="F150" i="58"/>
  <c r="E150" i="58"/>
  <c r="D150" i="58"/>
  <c r="C150" i="58"/>
  <c r="B150" i="58"/>
  <c r="F149" i="58"/>
  <c r="E149" i="58"/>
  <c r="D149" i="58"/>
  <c r="C149" i="58"/>
  <c r="B149" i="58"/>
  <c r="F148" i="58"/>
  <c r="E148" i="58"/>
  <c r="D148" i="58"/>
  <c r="C148" i="58"/>
  <c r="B148" i="58"/>
  <c r="F147" i="58"/>
  <c r="E147" i="58"/>
  <c r="D147" i="58"/>
  <c r="C147" i="58"/>
  <c r="B147" i="58"/>
  <c r="F146" i="58"/>
  <c r="E146" i="58"/>
  <c r="D146" i="58"/>
  <c r="C146" i="58"/>
  <c r="B146" i="58"/>
  <c r="F145" i="58"/>
  <c r="E145" i="58"/>
  <c r="D145" i="58"/>
  <c r="C145" i="58"/>
  <c r="B145" i="58"/>
  <c r="F144" i="58"/>
  <c r="E144" i="58"/>
  <c r="D144" i="58"/>
  <c r="C144" i="58"/>
  <c r="B144" i="58"/>
  <c r="F143" i="58"/>
  <c r="E143" i="58"/>
  <c r="D143" i="58"/>
  <c r="C143" i="58"/>
  <c r="B143" i="58"/>
  <c r="F142" i="58"/>
  <c r="E142" i="58"/>
  <c r="D142" i="58"/>
  <c r="C142" i="58"/>
  <c r="B142" i="58"/>
  <c r="F141" i="58"/>
  <c r="E141" i="58"/>
  <c r="D141" i="58"/>
  <c r="C141" i="58"/>
  <c r="B141" i="58"/>
  <c r="F140" i="58"/>
  <c r="E140" i="58"/>
  <c r="D140" i="58"/>
  <c r="C140" i="58"/>
  <c r="B140" i="58"/>
  <c r="F139" i="58"/>
  <c r="E139" i="58"/>
  <c r="D139" i="58"/>
  <c r="C139" i="58"/>
  <c r="B139" i="58"/>
  <c r="F138" i="58"/>
  <c r="E138" i="58"/>
  <c r="D138" i="58"/>
  <c r="C138" i="58"/>
  <c r="B138" i="58"/>
  <c r="F137" i="58"/>
  <c r="E137" i="58"/>
  <c r="D137" i="58"/>
  <c r="C137" i="58"/>
  <c r="B137" i="58"/>
  <c r="F136" i="58"/>
  <c r="E136" i="58"/>
  <c r="D136" i="58"/>
  <c r="C136" i="58"/>
  <c r="B136" i="58"/>
  <c r="F135" i="58"/>
  <c r="E135" i="58"/>
  <c r="D135" i="58"/>
  <c r="C135" i="58"/>
  <c r="B135" i="58"/>
  <c r="F134" i="58"/>
  <c r="E134" i="58"/>
  <c r="D134" i="58"/>
  <c r="C134" i="58"/>
  <c r="B134" i="58"/>
  <c r="F133" i="58"/>
  <c r="E133" i="58"/>
  <c r="D133" i="58"/>
  <c r="C133" i="58"/>
  <c r="B133" i="58"/>
  <c r="F132" i="58"/>
  <c r="E132" i="58"/>
  <c r="D132" i="58"/>
  <c r="C132" i="58"/>
  <c r="B132" i="58"/>
  <c r="F131" i="58"/>
  <c r="E131" i="58"/>
  <c r="D131" i="58"/>
  <c r="C131" i="58"/>
  <c r="B131" i="58"/>
  <c r="F130" i="58"/>
  <c r="E130" i="58"/>
  <c r="D130" i="58"/>
  <c r="C130" i="58"/>
  <c r="B130" i="58"/>
  <c r="F129" i="58"/>
  <c r="E129" i="58"/>
  <c r="D129" i="58"/>
  <c r="C129" i="58"/>
  <c r="B129" i="58"/>
  <c r="F128" i="58"/>
  <c r="E128" i="58"/>
  <c r="D128" i="58"/>
  <c r="C128" i="58"/>
  <c r="B128" i="58"/>
  <c r="F127" i="58"/>
  <c r="E127" i="58"/>
  <c r="D127" i="58"/>
  <c r="C127" i="58"/>
  <c r="B127" i="58"/>
  <c r="F126" i="58"/>
  <c r="E126" i="58"/>
  <c r="D126" i="58"/>
  <c r="C126" i="58"/>
  <c r="B126" i="58"/>
  <c r="F125" i="58"/>
  <c r="E125" i="58"/>
  <c r="D125" i="58"/>
  <c r="C125" i="58"/>
  <c r="B125" i="58"/>
  <c r="F124" i="58"/>
  <c r="E124" i="58"/>
  <c r="D124" i="58"/>
  <c r="C124" i="58"/>
  <c r="B124" i="58"/>
  <c r="F123" i="58"/>
  <c r="E123" i="58"/>
  <c r="D123" i="58"/>
  <c r="C123" i="58"/>
  <c r="B123" i="58"/>
  <c r="F122" i="58"/>
  <c r="E122" i="58"/>
  <c r="D122" i="58"/>
  <c r="C122" i="58"/>
  <c r="B122" i="58"/>
  <c r="F121" i="58"/>
  <c r="E121" i="58"/>
  <c r="D121" i="58"/>
  <c r="C121" i="58"/>
  <c r="B121" i="58"/>
  <c r="F120" i="58"/>
  <c r="E120" i="58"/>
  <c r="D120" i="58"/>
  <c r="C120" i="58"/>
  <c r="B120" i="58"/>
  <c r="F119" i="58"/>
  <c r="E119" i="58"/>
  <c r="D119" i="58"/>
  <c r="C119" i="58"/>
  <c r="B119" i="58"/>
  <c r="F118" i="58"/>
  <c r="E118" i="58"/>
  <c r="D118" i="58"/>
  <c r="C118" i="58"/>
  <c r="B118" i="58"/>
  <c r="F117" i="58"/>
  <c r="E117" i="58"/>
  <c r="D117" i="58"/>
  <c r="C117" i="58"/>
  <c r="B117" i="58"/>
  <c r="F116" i="58"/>
  <c r="E116" i="58"/>
  <c r="D116" i="58"/>
  <c r="C116" i="58"/>
  <c r="B116" i="58"/>
  <c r="F115" i="58"/>
  <c r="E115" i="58"/>
  <c r="D115" i="58"/>
  <c r="C115" i="58"/>
  <c r="B115" i="58"/>
  <c r="H114" i="58"/>
  <c r="F114" i="58"/>
  <c r="E114" i="58"/>
  <c r="D114" i="58"/>
  <c r="C114" i="58"/>
  <c r="B114" i="58"/>
  <c r="F206" i="43"/>
  <c r="E206" i="43"/>
  <c r="D206" i="43"/>
  <c r="C206" i="43"/>
  <c r="B206" i="43"/>
  <c r="F205" i="43"/>
  <c r="E205" i="43"/>
  <c r="D205" i="43"/>
  <c r="C205" i="43"/>
  <c r="B205" i="43"/>
  <c r="F204" i="43"/>
  <c r="E204" i="43"/>
  <c r="D204" i="43"/>
  <c r="C204" i="43"/>
  <c r="B204" i="43"/>
  <c r="F203" i="43"/>
  <c r="E203" i="43"/>
  <c r="D203" i="43"/>
  <c r="C203" i="43"/>
  <c r="B203" i="43"/>
  <c r="F202" i="43"/>
  <c r="E202" i="43"/>
  <c r="D202" i="43"/>
  <c r="C202" i="43"/>
  <c r="B202" i="43"/>
  <c r="F201" i="43"/>
  <c r="E201" i="43"/>
  <c r="D201" i="43"/>
  <c r="C201" i="43"/>
  <c r="B201" i="43"/>
  <c r="F200" i="43"/>
  <c r="E200" i="43"/>
  <c r="D200" i="43"/>
  <c r="C200" i="43"/>
  <c r="B200" i="43"/>
  <c r="F199" i="43"/>
  <c r="E199" i="43"/>
  <c r="D199" i="43"/>
  <c r="C199" i="43"/>
  <c r="B199" i="43"/>
  <c r="F198" i="43"/>
  <c r="E198" i="43"/>
  <c r="D198" i="43"/>
  <c r="C198" i="43"/>
  <c r="B198" i="43"/>
  <c r="F197" i="43"/>
  <c r="E197" i="43"/>
  <c r="D197" i="43"/>
  <c r="C197" i="43"/>
  <c r="B197" i="43"/>
  <c r="F196" i="43"/>
  <c r="E196" i="43"/>
  <c r="D196" i="43"/>
  <c r="C196" i="43"/>
  <c r="B196" i="43"/>
  <c r="F195" i="43"/>
  <c r="E195" i="43"/>
  <c r="D195" i="43"/>
  <c r="C195" i="43"/>
  <c r="B195" i="43"/>
  <c r="F194" i="43"/>
  <c r="E194" i="43"/>
  <c r="D194" i="43"/>
  <c r="C194" i="43"/>
  <c r="B194" i="43"/>
  <c r="F193" i="43"/>
  <c r="E193" i="43"/>
  <c r="D193" i="43"/>
  <c r="C193" i="43"/>
  <c r="B193" i="43"/>
  <c r="F192" i="43"/>
  <c r="E192" i="43"/>
  <c r="D192" i="43"/>
  <c r="C192" i="43"/>
  <c r="B192" i="43"/>
  <c r="F191" i="43"/>
  <c r="E191" i="43"/>
  <c r="D191" i="43"/>
  <c r="C191" i="43"/>
  <c r="B191" i="43"/>
  <c r="F190" i="43"/>
  <c r="E190" i="43"/>
  <c r="D190" i="43"/>
  <c r="C190" i="43"/>
  <c r="B190" i="43"/>
  <c r="F189" i="43"/>
  <c r="E189" i="43"/>
  <c r="D189" i="43"/>
  <c r="C189" i="43"/>
  <c r="B189" i="43"/>
  <c r="F188" i="43"/>
  <c r="E188" i="43"/>
  <c r="D188" i="43"/>
  <c r="C188" i="43"/>
  <c r="B188" i="43"/>
  <c r="F187" i="43"/>
  <c r="E187" i="43"/>
  <c r="D187" i="43"/>
  <c r="C187" i="43"/>
  <c r="B187" i="43"/>
  <c r="F186" i="43"/>
  <c r="E186" i="43"/>
  <c r="D186" i="43"/>
  <c r="C186" i="43"/>
  <c r="B186" i="43"/>
  <c r="F185" i="43"/>
  <c r="E185" i="43"/>
  <c r="D185" i="43"/>
  <c r="C185" i="43"/>
  <c r="B185" i="43"/>
  <c r="F184" i="43"/>
  <c r="E184" i="43"/>
  <c r="D184" i="43"/>
  <c r="C184" i="43"/>
  <c r="B184" i="43"/>
  <c r="F183" i="43"/>
  <c r="E183" i="43"/>
  <c r="D183" i="43"/>
  <c r="C183" i="43"/>
  <c r="B183" i="43"/>
  <c r="F182" i="43"/>
  <c r="E182" i="43"/>
  <c r="D182" i="43"/>
  <c r="C182" i="43"/>
  <c r="B182" i="43"/>
  <c r="F181" i="43"/>
  <c r="E181" i="43"/>
  <c r="D181" i="43"/>
  <c r="C181" i="43"/>
  <c r="B181" i="43"/>
  <c r="F180" i="43"/>
  <c r="E180" i="43"/>
  <c r="D180" i="43"/>
  <c r="C180" i="43"/>
  <c r="B180" i="43"/>
  <c r="F179" i="43"/>
  <c r="E179" i="43"/>
  <c r="D179" i="43"/>
  <c r="C179" i="43"/>
  <c r="B179" i="43"/>
  <c r="F178" i="43"/>
  <c r="E178" i="43"/>
  <c r="D178" i="43"/>
  <c r="C178" i="43"/>
  <c r="B178" i="43"/>
  <c r="F177" i="43"/>
  <c r="E177" i="43"/>
  <c r="D177" i="43"/>
  <c r="C177" i="43"/>
  <c r="B177" i="43"/>
  <c r="F176" i="43"/>
  <c r="E176" i="43"/>
  <c r="D176" i="43"/>
  <c r="C176" i="43"/>
  <c r="B176" i="43"/>
  <c r="F175" i="43"/>
  <c r="E175" i="43"/>
  <c r="D175" i="43"/>
  <c r="C175" i="43"/>
  <c r="B175" i="43"/>
  <c r="F174" i="43"/>
  <c r="E174" i="43"/>
  <c r="D174" i="43"/>
  <c r="C174" i="43"/>
  <c r="B174" i="43"/>
  <c r="F173" i="43"/>
  <c r="E173" i="43"/>
  <c r="D173" i="43"/>
  <c r="C173" i="43"/>
  <c r="B173" i="43"/>
  <c r="F172" i="43"/>
  <c r="E172" i="43"/>
  <c r="D172" i="43"/>
  <c r="C172" i="43"/>
  <c r="B172" i="43"/>
  <c r="F171" i="43"/>
  <c r="E171" i="43"/>
  <c r="D171" i="43"/>
  <c r="C171" i="43"/>
  <c r="B171" i="43"/>
  <c r="F170" i="43"/>
  <c r="E170" i="43"/>
  <c r="D170" i="43"/>
  <c r="C170" i="43"/>
  <c r="B170" i="43"/>
  <c r="F169" i="43"/>
  <c r="E169" i="43"/>
  <c r="D169" i="43"/>
  <c r="C169" i="43"/>
  <c r="B169" i="43"/>
  <c r="F168" i="43"/>
  <c r="E168" i="43"/>
  <c r="D168" i="43"/>
  <c r="C168" i="43"/>
  <c r="B168" i="43"/>
  <c r="F167" i="43"/>
  <c r="E167" i="43"/>
  <c r="D167" i="43"/>
  <c r="C167" i="43"/>
  <c r="B167" i="43"/>
  <c r="F166" i="43"/>
  <c r="E166" i="43"/>
  <c r="D166" i="43"/>
  <c r="C166" i="43"/>
  <c r="B166" i="43"/>
  <c r="F165" i="43"/>
  <c r="E165" i="43"/>
  <c r="D165" i="43"/>
  <c r="C165" i="43"/>
  <c r="B165" i="43"/>
  <c r="F164" i="43"/>
  <c r="E164" i="43"/>
  <c r="D164" i="43"/>
  <c r="C164" i="43"/>
  <c r="B164" i="43"/>
  <c r="F163" i="43"/>
  <c r="E163" i="43"/>
  <c r="D163" i="43"/>
  <c r="C163" i="43"/>
  <c r="B163" i="43"/>
  <c r="F162" i="43"/>
  <c r="E162" i="43"/>
  <c r="D162" i="43"/>
  <c r="C162" i="43"/>
  <c r="B162" i="43"/>
  <c r="F161" i="43"/>
  <c r="E161" i="43"/>
  <c r="D161" i="43"/>
  <c r="C161" i="43"/>
  <c r="B161" i="43"/>
  <c r="F160" i="43"/>
  <c r="E160" i="43"/>
  <c r="D160" i="43"/>
  <c r="C160" i="43"/>
  <c r="B160" i="43"/>
  <c r="F159" i="43"/>
  <c r="E159" i="43"/>
  <c r="D159" i="43"/>
  <c r="C159" i="43"/>
  <c r="B159" i="43"/>
  <c r="F158" i="43"/>
  <c r="E158" i="43"/>
  <c r="D158" i="43"/>
  <c r="C158" i="43"/>
  <c r="B158" i="43"/>
  <c r="F157" i="43"/>
  <c r="E157" i="43"/>
  <c r="D157" i="43"/>
  <c r="C157" i="43"/>
  <c r="B157" i="43"/>
  <c r="F156" i="43"/>
  <c r="E156" i="43"/>
  <c r="D156" i="43"/>
  <c r="C156" i="43"/>
  <c r="B156" i="43"/>
  <c r="F155" i="43"/>
  <c r="E155" i="43"/>
  <c r="D155" i="43"/>
  <c r="C155" i="43"/>
  <c r="B155" i="43"/>
  <c r="F154" i="43"/>
  <c r="E154" i="43"/>
  <c r="D154" i="43"/>
  <c r="C154" i="43"/>
  <c r="B154" i="43"/>
  <c r="F153" i="43"/>
  <c r="E153" i="43"/>
  <c r="D153" i="43"/>
  <c r="C153" i="43"/>
  <c r="B153" i="43"/>
  <c r="F152" i="43"/>
  <c r="E152" i="43"/>
  <c r="D152" i="43"/>
  <c r="C152" i="43"/>
  <c r="B152" i="43"/>
  <c r="F151" i="43"/>
  <c r="E151" i="43"/>
  <c r="D151" i="43"/>
  <c r="C151" i="43"/>
  <c r="B151" i="43"/>
  <c r="F150" i="43"/>
  <c r="E150" i="43"/>
  <c r="D150" i="43"/>
  <c r="C150" i="43"/>
  <c r="B150" i="43"/>
  <c r="F149" i="43"/>
  <c r="E149" i="43"/>
  <c r="D149" i="43"/>
  <c r="C149" i="43"/>
  <c r="B149" i="43"/>
  <c r="F148" i="43"/>
  <c r="E148" i="43"/>
  <c r="D148" i="43"/>
  <c r="C148" i="43"/>
  <c r="B148" i="43"/>
  <c r="F147" i="43"/>
  <c r="E147" i="43"/>
  <c r="D147" i="43"/>
  <c r="C147" i="43"/>
  <c r="B147" i="43"/>
  <c r="F146" i="43"/>
  <c r="E146" i="43"/>
  <c r="D146" i="43"/>
  <c r="C146" i="43"/>
  <c r="B146" i="43"/>
  <c r="F145" i="43"/>
  <c r="E145" i="43"/>
  <c r="D145" i="43"/>
  <c r="C145" i="43"/>
  <c r="B145" i="43"/>
  <c r="F144" i="43"/>
  <c r="E144" i="43"/>
  <c r="D144" i="43"/>
  <c r="C144" i="43"/>
  <c r="B144" i="43"/>
  <c r="F143" i="43"/>
  <c r="E143" i="43"/>
  <c r="D143" i="43"/>
  <c r="C143" i="43"/>
  <c r="B143" i="43"/>
  <c r="F142" i="43"/>
  <c r="E142" i="43"/>
  <c r="D142" i="43"/>
  <c r="C142" i="43"/>
  <c r="B142" i="43"/>
  <c r="F141" i="43"/>
  <c r="E141" i="43"/>
  <c r="D141" i="43"/>
  <c r="C141" i="43"/>
  <c r="B141" i="43"/>
  <c r="F140" i="43"/>
  <c r="E140" i="43"/>
  <c r="D140" i="43"/>
  <c r="C140" i="43"/>
  <c r="B140" i="43"/>
  <c r="F139" i="43"/>
  <c r="E139" i="43"/>
  <c r="D139" i="43"/>
  <c r="C139" i="43"/>
  <c r="B139" i="43"/>
  <c r="F138" i="43"/>
  <c r="E138" i="43"/>
  <c r="D138" i="43"/>
  <c r="C138" i="43"/>
  <c r="B138" i="43"/>
  <c r="F137" i="43"/>
  <c r="E137" i="43"/>
  <c r="D137" i="43"/>
  <c r="C137" i="43"/>
  <c r="B137" i="43"/>
  <c r="F136" i="43"/>
  <c r="E136" i="43"/>
  <c r="D136" i="43"/>
  <c r="C136" i="43"/>
  <c r="B136" i="43"/>
  <c r="F135" i="43"/>
  <c r="E135" i="43"/>
  <c r="D135" i="43"/>
  <c r="C135" i="43"/>
  <c r="B135" i="43"/>
  <c r="F134" i="43"/>
  <c r="E134" i="43"/>
  <c r="D134" i="43"/>
  <c r="C134" i="43"/>
  <c r="B134" i="43"/>
  <c r="F133" i="43"/>
  <c r="E133" i="43"/>
  <c r="D133" i="43"/>
  <c r="C133" i="43"/>
  <c r="B133" i="43"/>
  <c r="F132" i="43"/>
  <c r="E132" i="43"/>
  <c r="D132" i="43"/>
  <c r="C132" i="43"/>
  <c r="B132" i="43"/>
  <c r="F131" i="43"/>
  <c r="E131" i="43"/>
  <c r="D131" i="43"/>
  <c r="C131" i="43"/>
  <c r="B131" i="43"/>
  <c r="F130" i="43"/>
  <c r="E130" i="43"/>
  <c r="D130" i="43"/>
  <c r="C130" i="43"/>
  <c r="B130" i="43"/>
  <c r="F129" i="43"/>
  <c r="E129" i="43"/>
  <c r="D129" i="43"/>
  <c r="C129" i="43"/>
  <c r="B129" i="43"/>
  <c r="F128" i="43"/>
  <c r="E128" i="43"/>
  <c r="D128" i="43"/>
  <c r="C128" i="43"/>
  <c r="B128" i="43"/>
  <c r="F127" i="43"/>
  <c r="E127" i="43"/>
  <c r="D127" i="43"/>
  <c r="C127" i="43"/>
  <c r="B127" i="43"/>
  <c r="F126" i="43"/>
  <c r="E126" i="43"/>
  <c r="D126" i="43"/>
  <c r="C126" i="43"/>
  <c r="B126" i="43"/>
  <c r="F125" i="43"/>
  <c r="E125" i="43"/>
  <c r="D125" i="43"/>
  <c r="C125" i="43"/>
  <c r="B125" i="43"/>
  <c r="F124" i="43"/>
  <c r="E124" i="43"/>
  <c r="D124" i="43"/>
  <c r="C124" i="43"/>
  <c r="B124" i="43"/>
  <c r="F123" i="43"/>
  <c r="E123" i="43"/>
  <c r="D123" i="43"/>
  <c r="C123" i="43"/>
  <c r="B123" i="43"/>
  <c r="F122" i="43"/>
  <c r="E122" i="43"/>
  <c r="D122" i="43"/>
  <c r="C122" i="43"/>
  <c r="B122" i="43"/>
  <c r="F121" i="43"/>
  <c r="E121" i="43"/>
  <c r="D121" i="43"/>
  <c r="C121" i="43"/>
  <c r="B121" i="43"/>
  <c r="F120" i="43"/>
  <c r="E120" i="43"/>
  <c r="D120" i="43"/>
  <c r="C120" i="43"/>
  <c r="B120" i="43"/>
  <c r="F119" i="43"/>
  <c r="E119" i="43"/>
  <c r="D119" i="43"/>
  <c r="C119" i="43"/>
  <c r="B119" i="43"/>
  <c r="F118" i="43"/>
  <c r="E118" i="43"/>
  <c r="D118" i="43"/>
  <c r="C118" i="43"/>
  <c r="B118" i="43"/>
  <c r="F117" i="43"/>
  <c r="E117" i="43"/>
  <c r="D117" i="43"/>
  <c r="C117" i="43"/>
  <c r="B117" i="43"/>
  <c r="F116" i="43"/>
  <c r="E116" i="43"/>
  <c r="D116" i="43"/>
  <c r="C116" i="43"/>
  <c r="B116" i="43"/>
  <c r="F115" i="43"/>
  <c r="E115" i="43"/>
  <c r="D115" i="43"/>
  <c r="C115" i="43"/>
  <c r="B115" i="43"/>
  <c r="H114" i="43"/>
  <c r="F114" i="43"/>
  <c r="E114" i="43"/>
  <c r="D114" i="43"/>
  <c r="C114" i="43"/>
  <c r="B114" i="43"/>
  <c r="F206" i="67"/>
  <c r="E206" i="67"/>
  <c r="D206" i="67"/>
  <c r="C206" i="67"/>
  <c r="B206" i="67"/>
  <c r="F205" i="67"/>
  <c r="E205" i="67"/>
  <c r="D205" i="67"/>
  <c r="C205" i="67"/>
  <c r="B205" i="67"/>
  <c r="F204" i="67"/>
  <c r="E204" i="67"/>
  <c r="D204" i="67"/>
  <c r="C204" i="67"/>
  <c r="B204" i="67"/>
  <c r="F203" i="67"/>
  <c r="E203" i="67"/>
  <c r="D203" i="67"/>
  <c r="C203" i="67"/>
  <c r="B203" i="67"/>
  <c r="F202" i="67"/>
  <c r="E202" i="67"/>
  <c r="D202" i="67"/>
  <c r="C202" i="67"/>
  <c r="B202" i="67"/>
  <c r="F201" i="67"/>
  <c r="E201" i="67"/>
  <c r="D201" i="67"/>
  <c r="C201" i="67"/>
  <c r="B201" i="67"/>
  <c r="F200" i="67"/>
  <c r="E200" i="67"/>
  <c r="D200" i="67"/>
  <c r="C200" i="67"/>
  <c r="B200" i="67"/>
  <c r="F199" i="67"/>
  <c r="E199" i="67"/>
  <c r="D199" i="67"/>
  <c r="C199" i="67"/>
  <c r="B199" i="67"/>
  <c r="F198" i="67"/>
  <c r="E198" i="67"/>
  <c r="D198" i="67"/>
  <c r="C198" i="67"/>
  <c r="B198" i="67"/>
  <c r="F197" i="67"/>
  <c r="E197" i="67"/>
  <c r="D197" i="67"/>
  <c r="C197" i="67"/>
  <c r="B197" i="67"/>
  <c r="F196" i="67"/>
  <c r="E196" i="67"/>
  <c r="D196" i="67"/>
  <c r="C196" i="67"/>
  <c r="B196" i="67"/>
  <c r="F195" i="67"/>
  <c r="E195" i="67"/>
  <c r="D195" i="67"/>
  <c r="C195" i="67"/>
  <c r="B195" i="67"/>
  <c r="F194" i="67"/>
  <c r="E194" i="67"/>
  <c r="D194" i="67"/>
  <c r="C194" i="67"/>
  <c r="B194" i="67"/>
  <c r="F193" i="67"/>
  <c r="E193" i="67"/>
  <c r="D193" i="67"/>
  <c r="C193" i="67"/>
  <c r="B193" i="67"/>
  <c r="F192" i="67"/>
  <c r="E192" i="67"/>
  <c r="D192" i="67"/>
  <c r="C192" i="67"/>
  <c r="B192" i="67"/>
  <c r="F191" i="67"/>
  <c r="E191" i="67"/>
  <c r="D191" i="67"/>
  <c r="C191" i="67"/>
  <c r="B191" i="67"/>
  <c r="F190" i="67"/>
  <c r="E190" i="67"/>
  <c r="D190" i="67"/>
  <c r="C190" i="67"/>
  <c r="B190" i="67"/>
  <c r="F189" i="67"/>
  <c r="E189" i="67"/>
  <c r="D189" i="67"/>
  <c r="C189" i="67"/>
  <c r="B189" i="67"/>
  <c r="F188" i="67"/>
  <c r="E188" i="67"/>
  <c r="D188" i="67"/>
  <c r="C188" i="67"/>
  <c r="B188" i="67"/>
  <c r="F187" i="67"/>
  <c r="E187" i="67"/>
  <c r="D187" i="67"/>
  <c r="C187" i="67"/>
  <c r="B187" i="67"/>
  <c r="F186" i="67"/>
  <c r="E186" i="67"/>
  <c r="D186" i="67"/>
  <c r="C186" i="67"/>
  <c r="B186" i="67"/>
  <c r="F185" i="67"/>
  <c r="E185" i="67"/>
  <c r="D185" i="67"/>
  <c r="C185" i="67"/>
  <c r="B185" i="67"/>
  <c r="F184" i="67"/>
  <c r="E184" i="67"/>
  <c r="D184" i="67"/>
  <c r="C184" i="67"/>
  <c r="B184" i="67"/>
  <c r="F183" i="67"/>
  <c r="E183" i="67"/>
  <c r="D183" i="67"/>
  <c r="C183" i="67"/>
  <c r="B183" i="67"/>
  <c r="F182" i="67"/>
  <c r="E182" i="67"/>
  <c r="D182" i="67"/>
  <c r="C182" i="67"/>
  <c r="B182" i="67"/>
  <c r="F181" i="67"/>
  <c r="E181" i="67"/>
  <c r="D181" i="67"/>
  <c r="C181" i="67"/>
  <c r="B181" i="67"/>
  <c r="F180" i="67"/>
  <c r="E180" i="67"/>
  <c r="D180" i="67"/>
  <c r="C180" i="67"/>
  <c r="B180" i="67"/>
  <c r="F179" i="67"/>
  <c r="E179" i="67"/>
  <c r="D179" i="67"/>
  <c r="C179" i="67"/>
  <c r="B179" i="67"/>
  <c r="F178" i="67"/>
  <c r="E178" i="67"/>
  <c r="D178" i="67"/>
  <c r="C178" i="67"/>
  <c r="B178" i="67"/>
  <c r="F177" i="67"/>
  <c r="E177" i="67"/>
  <c r="D177" i="67"/>
  <c r="C177" i="67"/>
  <c r="B177" i="67"/>
  <c r="F176" i="67"/>
  <c r="E176" i="67"/>
  <c r="D176" i="67"/>
  <c r="C176" i="67"/>
  <c r="B176" i="67"/>
  <c r="F175" i="67"/>
  <c r="E175" i="67"/>
  <c r="D175" i="67"/>
  <c r="C175" i="67"/>
  <c r="B175" i="67"/>
  <c r="F174" i="67"/>
  <c r="E174" i="67"/>
  <c r="D174" i="67"/>
  <c r="C174" i="67"/>
  <c r="B174" i="67"/>
  <c r="F173" i="67"/>
  <c r="E173" i="67"/>
  <c r="D173" i="67"/>
  <c r="C173" i="67"/>
  <c r="B173" i="67"/>
  <c r="F172" i="67"/>
  <c r="E172" i="67"/>
  <c r="D172" i="67"/>
  <c r="C172" i="67"/>
  <c r="B172" i="67"/>
  <c r="F171" i="67"/>
  <c r="E171" i="67"/>
  <c r="D171" i="67"/>
  <c r="C171" i="67"/>
  <c r="B171" i="67"/>
  <c r="F170" i="67"/>
  <c r="E170" i="67"/>
  <c r="D170" i="67"/>
  <c r="C170" i="67"/>
  <c r="B170" i="67"/>
  <c r="F169" i="67"/>
  <c r="E169" i="67"/>
  <c r="D169" i="67"/>
  <c r="C169" i="67"/>
  <c r="B169" i="67"/>
  <c r="F168" i="67"/>
  <c r="E168" i="67"/>
  <c r="D168" i="67"/>
  <c r="C168" i="67"/>
  <c r="B168" i="67"/>
  <c r="F167" i="67"/>
  <c r="E167" i="67"/>
  <c r="D167" i="67"/>
  <c r="C167" i="67"/>
  <c r="B167" i="67"/>
  <c r="F166" i="67"/>
  <c r="E166" i="67"/>
  <c r="D166" i="67"/>
  <c r="C166" i="67"/>
  <c r="B166" i="67"/>
  <c r="F165" i="67"/>
  <c r="E165" i="67"/>
  <c r="D165" i="67"/>
  <c r="C165" i="67"/>
  <c r="B165" i="67"/>
  <c r="F164" i="67"/>
  <c r="E164" i="67"/>
  <c r="D164" i="67"/>
  <c r="C164" i="67"/>
  <c r="B164" i="67"/>
  <c r="F163" i="67"/>
  <c r="E163" i="67"/>
  <c r="D163" i="67"/>
  <c r="C163" i="67"/>
  <c r="B163" i="67"/>
  <c r="F162" i="67"/>
  <c r="E162" i="67"/>
  <c r="D162" i="67"/>
  <c r="C162" i="67"/>
  <c r="B162" i="67"/>
  <c r="F161" i="67"/>
  <c r="E161" i="67"/>
  <c r="D161" i="67"/>
  <c r="C161" i="67"/>
  <c r="B161" i="67"/>
  <c r="F160" i="67"/>
  <c r="E160" i="67"/>
  <c r="D160" i="67"/>
  <c r="C160" i="67"/>
  <c r="B160" i="67"/>
  <c r="F159" i="67"/>
  <c r="E159" i="67"/>
  <c r="D159" i="67"/>
  <c r="C159" i="67"/>
  <c r="B159" i="67"/>
  <c r="F158" i="67"/>
  <c r="E158" i="67"/>
  <c r="D158" i="67"/>
  <c r="C158" i="67"/>
  <c r="B158" i="67"/>
  <c r="F157" i="67"/>
  <c r="E157" i="67"/>
  <c r="D157" i="67"/>
  <c r="C157" i="67"/>
  <c r="B157" i="67"/>
  <c r="F156" i="67"/>
  <c r="E156" i="67"/>
  <c r="D156" i="67"/>
  <c r="C156" i="67"/>
  <c r="B156" i="67"/>
  <c r="F155" i="67"/>
  <c r="E155" i="67"/>
  <c r="D155" i="67"/>
  <c r="C155" i="67"/>
  <c r="B155" i="67"/>
  <c r="F154" i="67"/>
  <c r="E154" i="67"/>
  <c r="D154" i="67"/>
  <c r="C154" i="67"/>
  <c r="B154" i="67"/>
  <c r="F153" i="67"/>
  <c r="E153" i="67"/>
  <c r="D153" i="67"/>
  <c r="C153" i="67"/>
  <c r="B153" i="67"/>
  <c r="F152" i="67"/>
  <c r="E152" i="67"/>
  <c r="D152" i="67"/>
  <c r="C152" i="67"/>
  <c r="B152" i="67"/>
  <c r="F151" i="67"/>
  <c r="E151" i="67"/>
  <c r="D151" i="67"/>
  <c r="C151" i="67"/>
  <c r="B151" i="67"/>
  <c r="F150" i="67"/>
  <c r="E150" i="67"/>
  <c r="D150" i="67"/>
  <c r="C150" i="67"/>
  <c r="B150" i="67"/>
  <c r="F149" i="67"/>
  <c r="E149" i="67"/>
  <c r="D149" i="67"/>
  <c r="C149" i="67"/>
  <c r="B149" i="67"/>
  <c r="F148" i="67"/>
  <c r="E148" i="67"/>
  <c r="D148" i="67"/>
  <c r="C148" i="67"/>
  <c r="B148" i="67"/>
  <c r="F147" i="67"/>
  <c r="E147" i="67"/>
  <c r="D147" i="67"/>
  <c r="C147" i="67"/>
  <c r="B147" i="67"/>
  <c r="F146" i="67"/>
  <c r="E146" i="67"/>
  <c r="D146" i="67"/>
  <c r="C146" i="67"/>
  <c r="B146" i="67"/>
  <c r="F145" i="67"/>
  <c r="E145" i="67"/>
  <c r="D145" i="67"/>
  <c r="C145" i="67"/>
  <c r="B145" i="67"/>
  <c r="F144" i="67"/>
  <c r="E144" i="67"/>
  <c r="D144" i="67"/>
  <c r="C144" i="67"/>
  <c r="B144" i="67"/>
  <c r="F143" i="67"/>
  <c r="E143" i="67"/>
  <c r="D143" i="67"/>
  <c r="C143" i="67"/>
  <c r="B143" i="67"/>
  <c r="F142" i="67"/>
  <c r="E142" i="67"/>
  <c r="D142" i="67"/>
  <c r="C142" i="67"/>
  <c r="B142" i="67"/>
  <c r="F141" i="67"/>
  <c r="E141" i="67"/>
  <c r="D141" i="67"/>
  <c r="C141" i="67"/>
  <c r="B141" i="67"/>
  <c r="F140" i="67"/>
  <c r="E140" i="67"/>
  <c r="D140" i="67"/>
  <c r="C140" i="67"/>
  <c r="B140" i="67"/>
  <c r="F139" i="67"/>
  <c r="E139" i="67"/>
  <c r="D139" i="67"/>
  <c r="C139" i="67"/>
  <c r="B139" i="67"/>
  <c r="F138" i="67"/>
  <c r="E138" i="67"/>
  <c r="D138" i="67"/>
  <c r="C138" i="67"/>
  <c r="B138" i="67"/>
  <c r="F137" i="67"/>
  <c r="E137" i="67"/>
  <c r="D137" i="67"/>
  <c r="C137" i="67"/>
  <c r="B137" i="67"/>
  <c r="F136" i="67"/>
  <c r="E136" i="67"/>
  <c r="D136" i="67"/>
  <c r="C136" i="67"/>
  <c r="B136" i="67"/>
  <c r="F135" i="67"/>
  <c r="E135" i="67"/>
  <c r="D135" i="67"/>
  <c r="C135" i="67"/>
  <c r="B135" i="67"/>
  <c r="F134" i="67"/>
  <c r="E134" i="67"/>
  <c r="D134" i="67"/>
  <c r="C134" i="67"/>
  <c r="B134" i="67"/>
  <c r="F133" i="67"/>
  <c r="E133" i="67"/>
  <c r="D133" i="67"/>
  <c r="C133" i="67"/>
  <c r="B133" i="67"/>
  <c r="F132" i="67"/>
  <c r="E132" i="67"/>
  <c r="D132" i="67"/>
  <c r="C132" i="67"/>
  <c r="B132" i="67"/>
  <c r="F131" i="67"/>
  <c r="E131" i="67"/>
  <c r="D131" i="67"/>
  <c r="C131" i="67"/>
  <c r="B131" i="67"/>
  <c r="F130" i="67"/>
  <c r="E130" i="67"/>
  <c r="D130" i="67"/>
  <c r="C130" i="67"/>
  <c r="B130" i="67"/>
  <c r="F129" i="67"/>
  <c r="E129" i="67"/>
  <c r="D129" i="67"/>
  <c r="C129" i="67"/>
  <c r="B129" i="67"/>
  <c r="F128" i="67"/>
  <c r="E128" i="67"/>
  <c r="D128" i="67"/>
  <c r="C128" i="67"/>
  <c r="B128" i="67"/>
  <c r="F127" i="67"/>
  <c r="E127" i="67"/>
  <c r="D127" i="67"/>
  <c r="C127" i="67"/>
  <c r="B127" i="67"/>
  <c r="F126" i="67"/>
  <c r="E126" i="67"/>
  <c r="D126" i="67"/>
  <c r="C126" i="67"/>
  <c r="B126" i="67"/>
  <c r="F125" i="67"/>
  <c r="E125" i="67"/>
  <c r="D125" i="67"/>
  <c r="C125" i="67"/>
  <c r="B125" i="67"/>
  <c r="F124" i="67"/>
  <c r="E124" i="67"/>
  <c r="D124" i="67"/>
  <c r="C124" i="67"/>
  <c r="B124" i="67"/>
  <c r="F123" i="67"/>
  <c r="E123" i="67"/>
  <c r="D123" i="67"/>
  <c r="C123" i="67"/>
  <c r="B123" i="67"/>
  <c r="F122" i="67"/>
  <c r="E122" i="67"/>
  <c r="D122" i="67"/>
  <c r="C122" i="67"/>
  <c r="B122" i="67"/>
  <c r="F121" i="67"/>
  <c r="E121" i="67"/>
  <c r="D121" i="67"/>
  <c r="C121" i="67"/>
  <c r="B121" i="67"/>
  <c r="F120" i="67"/>
  <c r="E120" i="67"/>
  <c r="D120" i="67"/>
  <c r="C120" i="67"/>
  <c r="B120" i="67"/>
  <c r="F119" i="67"/>
  <c r="E119" i="67"/>
  <c r="D119" i="67"/>
  <c r="C119" i="67"/>
  <c r="B119" i="67"/>
  <c r="F118" i="67"/>
  <c r="E118" i="67"/>
  <c r="D118" i="67"/>
  <c r="C118" i="67"/>
  <c r="B118" i="67"/>
  <c r="F117" i="67"/>
  <c r="E117" i="67"/>
  <c r="D117" i="67"/>
  <c r="C117" i="67"/>
  <c r="B117" i="67"/>
  <c r="F116" i="67"/>
  <c r="E116" i="67"/>
  <c r="D116" i="67"/>
  <c r="C116" i="67"/>
  <c r="B116" i="67"/>
  <c r="F115" i="67"/>
  <c r="E115" i="67"/>
  <c r="D115" i="67"/>
  <c r="C115" i="67"/>
  <c r="B115" i="67"/>
  <c r="H114" i="67"/>
  <c r="F114" i="67"/>
  <c r="E114" i="67"/>
  <c r="D114" i="67"/>
  <c r="C114" i="67"/>
  <c r="B114" i="67"/>
  <c r="K104" i="66"/>
  <c r="J104" i="66"/>
  <c r="I104" i="66"/>
  <c r="J12" i="86" s="1"/>
  <c r="H104" i="66"/>
  <c r="I12" i="86" s="1"/>
  <c r="F105" i="66"/>
  <c r="E105" i="66"/>
  <c r="D105" i="66"/>
  <c r="C105" i="66"/>
  <c r="B105" i="66"/>
  <c r="G103" i="66"/>
  <c r="G102" i="66"/>
  <c r="G101" i="66"/>
  <c r="G100" i="66"/>
  <c r="G99" i="66"/>
  <c r="G98" i="66"/>
  <c r="G97" i="66"/>
  <c r="G96" i="66"/>
  <c r="G95" i="66"/>
  <c r="G94" i="66"/>
  <c r="G93" i="66"/>
  <c r="G92" i="66"/>
  <c r="G91" i="66"/>
  <c r="G90" i="66"/>
  <c r="G89" i="66"/>
  <c r="G88" i="66"/>
  <c r="G87" i="66"/>
  <c r="G86" i="66"/>
  <c r="G85" i="66"/>
  <c r="G84" i="66"/>
  <c r="G83" i="66"/>
  <c r="G82" i="66"/>
  <c r="G81" i="66"/>
  <c r="G80" i="66"/>
  <c r="G79" i="66"/>
  <c r="G78" i="66"/>
  <c r="G77" i="66"/>
  <c r="G76" i="66"/>
  <c r="G75" i="66"/>
  <c r="G74" i="66"/>
  <c r="G73" i="66"/>
  <c r="G72" i="66"/>
  <c r="G71" i="66"/>
  <c r="G70" i="66"/>
  <c r="G69" i="66"/>
  <c r="G68" i="66"/>
  <c r="G67" i="66"/>
  <c r="G66" i="66"/>
  <c r="G65" i="66"/>
  <c r="G64" i="66"/>
  <c r="G63" i="66"/>
  <c r="G62" i="66"/>
  <c r="G61" i="66"/>
  <c r="G60" i="66"/>
  <c r="G59" i="66"/>
  <c r="G58" i="66"/>
  <c r="G57" i="66"/>
  <c r="G56" i="66"/>
  <c r="G55" i="66"/>
  <c r="G54" i="66"/>
  <c r="G53" i="66"/>
  <c r="G52" i="66"/>
  <c r="G51" i="66"/>
  <c r="G50" i="66"/>
  <c r="G49" i="66"/>
  <c r="G48" i="66"/>
  <c r="G47" i="66"/>
  <c r="G46" i="66"/>
  <c r="G45" i="66"/>
  <c r="G44" i="66"/>
  <c r="G43" i="66"/>
  <c r="G42" i="66"/>
  <c r="G41" i="66"/>
  <c r="G40" i="66"/>
  <c r="G39" i="66"/>
  <c r="G38" i="66"/>
  <c r="G37" i="66"/>
  <c r="G36" i="66"/>
  <c r="G35" i="66"/>
  <c r="G34" i="66"/>
  <c r="G33" i="66"/>
  <c r="G32" i="66"/>
  <c r="G31" i="66"/>
  <c r="G30" i="66"/>
  <c r="G29" i="66"/>
  <c r="G28" i="66"/>
  <c r="G27" i="66"/>
  <c r="G26" i="66"/>
  <c r="G25" i="66"/>
  <c r="G24" i="66"/>
  <c r="G23" i="66"/>
  <c r="G22" i="66"/>
  <c r="G21" i="66"/>
  <c r="G20" i="66"/>
  <c r="G19" i="66"/>
  <c r="G18" i="66"/>
  <c r="G17" i="66"/>
  <c r="G16" i="66"/>
  <c r="G15" i="66"/>
  <c r="G14" i="66"/>
  <c r="G13" i="66"/>
  <c r="G12" i="66"/>
  <c r="G11" i="66"/>
  <c r="G10" i="66"/>
  <c r="G9" i="66"/>
  <c r="G8" i="66"/>
  <c r="K104" i="65"/>
  <c r="J104" i="65"/>
  <c r="I104" i="65"/>
  <c r="J15" i="86" s="1"/>
  <c r="H104" i="65"/>
  <c r="I15" i="86" s="1"/>
  <c r="F105" i="65"/>
  <c r="E105" i="65"/>
  <c r="D105" i="65"/>
  <c r="C105" i="65"/>
  <c r="B105" i="65"/>
  <c r="G103" i="65"/>
  <c r="G102" i="65"/>
  <c r="G101" i="65"/>
  <c r="G100" i="65"/>
  <c r="G99" i="65"/>
  <c r="G98" i="65"/>
  <c r="G97" i="65"/>
  <c r="G96" i="65"/>
  <c r="G95" i="65"/>
  <c r="G94" i="65"/>
  <c r="G93" i="65"/>
  <c r="G92" i="65"/>
  <c r="G91" i="65"/>
  <c r="G90" i="65"/>
  <c r="G89" i="65"/>
  <c r="G88" i="65"/>
  <c r="G87" i="65"/>
  <c r="G86" i="65"/>
  <c r="G85" i="65"/>
  <c r="G84" i="65"/>
  <c r="G83" i="65"/>
  <c r="G82" i="65"/>
  <c r="G81" i="65"/>
  <c r="G80" i="65"/>
  <c r="G79" i="65"/>
  <c r="G78" i="65"/>
  <c r="G77" i="65"/>
  <c r="G76" i="65"/>
  <c r="G75" i="65"/>
  <c r="G74" i="65"/>
  <c r="G73" i="65"/>
  <c r="G72" i="65"/>
  <c r="G71" i="65"/>
  <c r="G70" i="65"/>
  <c r="G69" i="65"/>
  <c r="G68" i="65"/>
  <c r="G67" i="65"/>
  <c r="G66" i="65"/>
  <c r="G65" i="65"/>
  <c r="G64" i="65"/>
  <c r="G63" i="65"/>
  <c r="G62" i="65"/>
  <c r="G61" i="65"/>
  <c r="G60" i="65"/>
  <c r="G59" i="65"/>
  <c r="G58" i="65"/>
  <c r="G57" i="65"/>
  <c r="G56" i="65"/>
  <c r="G55" i="65"/>
  <c r="G54" i="65"/>
  <c r="G53" i="65"/>
  <c r="G52" i="65"/>
  <c r="G51" i="65"/>
  <c r="G50" i="65"/>
  <c r="G49" i="65"/>
  <c r="G48" i="65"/>
  <c r="G47" i="65"/>
  <c r="G46" i="65"/>
  <c r="G45" i="65"/>
  <c r="G44" i="65"/>
  <c r="G43" i="65"/>
  <c r="G42" i="65"/>
  <c r="G41" i="65"/>
  <c r="G40" i="65"/>
  <c r="G39" i="65"/>
  <c r="G38" i="65"/>
  <c r="G37" i="65"/>
  <c r="G36" i="65"/>
  <c r="G35" i="65"/>
  <c r="G34" i="65"/>
  <c r="G33" i="65"/>
  <c r="G32" i="65"/>
  <c r="G31" i="65"/>
  <c r="G30" i="65"/>
  <c r="G29" i="65"/>
  <c r="G28" i="65"/>
  <c r="G27" i="65"/>
  <c r="G26" i="65"/>
  <c r="G25" i="65"/>
  <c r="G24" i="65"/>
  <c r="G23" i="65"/>
  <c r="G22" i="65"/>
  <c r="G21" i="65"/>
  <c r="G20" i="65"/>
  <c r="G19" i="65"/>
  <c r="G18" i="65"/>
  <c r="G17" i="65"/>
  <c r="G16" i="65"/>
  <c r="G15" i="65"/>
  <c r="G14" i="65"/>
  <c r="G13" i="65"/>
  <c r="G12" i="65"/>
  <c r="G11" i="65"/>
  <c r="G10" i="65"/>
  <c r="G9" i="65"/>
  <c r="G8" i="65"/>
  <c r="K104" i="64"/>
  <c r="J104" i="64"/>
  <c r="K18" i="86" s="1"/>
  <c r="I104" i="64"/>
  <c r="J18" i="86" s="1"/>
  <c r="H104" i="64"/>
  <c r="F105" i="64"/>
  <c r="E105" i="64"/>
  <c r="D105" i="64"/>
  <c r="C105" i="64"/>
  <c r="B105" i="64"/>
  <c r="G103" i="64"/>
  <c r="G102" i="64"/>
  <c r="G101" i="64"/>
  <c r="G100" i="64"/>
  <c r="G99" i="64"/>
  <c r="G98" i="64"/>
  <c r="G97" i="64"/>
  <c r="G96" i="64"/>
  <c r="G95" i="64"/>
  <c r="G94" i="64"/>
  <c r="G93" i="64"/>
  <c r="G92" i="64"/>
  <c r="G91" i="64"/>
  <c r="G90" i="64"/>
  <c r="G89" i="64"/>
  <c r="G88" i="64"/>
  <c r="G87" i="64"/>
  <c r="G86" i="64"/>
  <c r="G85" i="64"/>
  <c r="G84" i="64"/>
  <c r="G83" i="64"/>
  <c r="G82" i="64"/>
  <c r="G81" i="64"/>
  <c r="G80" i="64"/>
  <c r="G79" i="64"/>
  <c r="G78" i="64"/>
  <c r="G77" i="64"/>
  <c r="G76" i="64"/>
  <c r="G75" i="64"/>
  <c r="G74" i="64"/>
  <c r="G73" i="64"/>
  <c r="G72" i="64"/>
  <c r="G71" i="64"/>
  <c r="G70" i="64"/>
  <c r="G69" i="64"/>
  <c r="G68" i="64"/>
  <c r="G67" i="64"/>
  <c r="G66" i="64"/>
  <c r="G65" i="64"/>
  <c r="G64" i="64"/>
  <c r="G63" i="64"/>
  <c r="G62" i="64"/>
  <c r="G61" i="64"/>
  <c r="G60" i="64"/>
  <c r="G59" i="64"/>
  <c r="G58" i="64"/>
  <c r="G57" i="64"/>
  <c r="G56" i="64"/>
  <c r="G55" i="64"/>
  <c r="G54" i="64"/>
  <c r="G53" i="64"/>
  <c r="G52" i="64"/>
  <c r="G51" i="64"/>
  <c r="G50" i="64"/>
  <c r="G49" i="64"/>
  <c r="G48" i="64"/>
  <c r="G47" i="64"/>
  <c r="G46" i="64"/>
  <c r="G45" i="64"/>
  <c r="G44" i="64"/>
  <c r="G43" i="64"/>
  <c r="G42" i="64"/>
  <c r="G41" i="64"/>
  <c r="G40" i="64"/>
  <c r="G39" i="64"/>
  <c r="G38" i="64"/>
  <c r="G37" i="64"/>
  <c r="G36" i="64"/>
  <c r="G35" i="64"/>
  <c r="G34" i="64"/>
  <c r="G33" i="64"/>
  <c r="G32" i="64"/>
  <c r="G31" i="64"/>
  <c r="G30" i="64"/>
  <c r="G29" i="64"/>
  <c r="G28" i="64"/>
  <c r="G27" i="64"/>
  <c r="G26" i="64"/>
  <c r="G25" i="64"/>
  <c r="G24" i="64"/>
  <c r="G23" i="64"/>
  <c r="G22" i="64"/>
  <c r="G21" i="64"/>
  <c r="G20" i="64"/>
  <c r="G19" i="64"/>
  <c r="G18" i="64"/>
  <c r="G17" i="64"/>
  <c r="G16" i="64"/>
  <c r="G15" i="64"/>
  <c r="G14" i="64"/>
  <c r="G13" i="64"/>
  <c r="G12" i="64"/>
  <c r="G11" i="64"/>
  <c r="G10" i="64"/>
  <c r="G9" i="64"/>
  <c r="G8" i="64"/>
  <c r="K104" i="63"/>
  <c r="L7" i="86" s="1"/>
  <c r="J104" i="63"/>
  <c r="K7" i="86" s="1"/>
  <c r="I104" i="63"/>
  <c r="J7" i="86" s="1"/>
  <c r="H104" i="63"/>
  <c r="I7" i="86" s="1"/>
  <c r="E105" i="63"/>
  <c r="D105" i="63"/>
  <c r="C105" i="63"/>
  <c r="B105" i="63"/>
  <c r="G103" i="63"/>
  <c r="N103" i="63" s="1"/>
  <c r="G102" i="63"/>
  <c r="N102" i="63" s="1"/>
  <c r="G101" i="63"/>
  <c r="N101" i="63" s="1"/>
  <c r="G100" i="63"/>
  <c r="N100" i="63" s="1"/>
  <c r="G99" i="63"/>
  <c r="N99" i="63" s="1"/>
  <c r="G98" i="63"/>
  <c r="N98" i="63" s="1"/>
  <c r="G97" i="63"/>
  <c r="N97" i="63" s="1"/>
  <c r="G96" i="63"/>
  <c r="N96" i="63" s="1"/>
  <c r="G95" i="63"/>
  <c r="N95" i="63" s="1"/>
  <c r="G94" i="63"/>
  <c r="N94" i="63" s="1"/>
  <c r="G93" i="63"/>
  <c r="N93" i="63" s="1"/>
  <c r="G92" i="63"/>
  <c r="N92" i="63" s="1"/>
  <c r="G91" i="63"/>
  <c r="N91" i="63" s="1"/>
  <c r="G90" i="63"/>
  <c r="N90" i="63" s="1"/>
  <c r="G89" i="63"/>
  <c r="N89" i="63" s="1"/>
  <c r="G88" i="63"/>
  <c r="N88" i="63" s="1"/>
  <c r="G87" i="63"/>
  <c r="N87" i="63" s="1"/>
  <c r="G86" i="63"/>
  <c r="N86" i="63" s="1"/>
  <c r="G85" i="63"/>
  <c r="N85" i="63" s="1"/>
  <c r="G84" i="63"/>
  <c r="N84" i="63" s="1"/>
  <c r="G83" i="63"/>
  <c r="N83" i="63" s="1"/>
  <c r="G82" i="63"/>
  <c r="N82" i="63" s="1"/>
  <c r="G81" i="63"/>
  <c r="N81" i="63" s="1"/>
  <c r="G80" i="63"/>
  <c r="N80" i="63" s="1"/>
  <c r="G79" i="63"/>
  <c r="N79" i="63" s="1"/>
  <c r="G78" i="63"/>
  <c r="N78" i="63" s="1"/>
  <c r="G77" i="63"/>
  <c r="N77" i="63" s="1"/>
  <c r="G76" i="63"/>
  <c r="N76" i="63" s="1"/>
  <c r="G75" i="63"/>
  <c r="N75" i="63" s="1"/>
  <c r="G74" i="63"/>
  <c r="N74" i="63" s="1"/>
  <c r="G73" i="63"/>
  <c r="N73" i="63" s="1"/>
  <c r="G72" i="63"/>
  <c r="N72" i="63" s="1"/>
  <c r="G71" i="63"/>
  <c r="N71" i="63" s="1"/>
  <c r="G70" i="63"/>
  <c r="N70" i="63" s="1"/>
  <c r="G69" i="63"/>
  <c r="N69" i="63" s="1"/>
  <c r="G68" i="63"/>
  <c r="N68" i="63" s="1"/>
  <c r="G67" i="63"/>
  <c r="N67" i="63" s="1"/>
  <c r="G66" i="63"/>
  <c r="N66" i="63" s="1"/>
  <c r="G65" i="63"/>
  <c r="N65" i="63" s="1"/>
  <c r="G64" i="63"/>
  <c r="N64" i="63" s="1"/>
  <c r="G63" i="63"/>
  <c r="N63" i="63" s="1"/>
  <c r="G62" i="63"/>
  <c r="N62" i="63" s="1"/>
  <c r="G61" i="63"/>
  <c r="N61" i="63" s="1"/>
  <c r="G60" i="63"/>
  <c r="N60" i="63" s="1"/>
  <c r="G59" i="63"/>
  <c r="N59" i="63" s="1"/>
  <c r="G58" i="63"/>
  <c r="N58" i="63" s="1"/>
  <c r="G57" i="63"/>
  <c r="N57" i="63" s="1"/>
  <c r="G56" i="63"/>
  <c r="N56" i="63" s="1"/>
  <c r="G55" i="63"/>
  <c r="N55" i="63" s="1"/>
  <c r="G54" i="63"/>
  <c r="N54" i="63" s="1"/>
  <c r="G53" i="63"/>
  <c r="N53" i="63" s="1"/>
  <c r="G52" i="63"/>
  <c r="N52" i="63" s="1"/>
  <c r="G51" i="63"/>
  <c r="N51" i="63" s="1"/>
  <c r="G50" i="63"/>
  <c r="N50" i="63" s="1"/>
  <c r="G49" i="63"/>
  <c r="N49" i="63" s="1"/>
  <c r="G48" i="63"/>
  <c r="N48" i="63" s="1"/>
  <c r="G47" i="63"/>
  <c r="N47" i="63" s="1"/>
  <c r="G46" i="63"/>
  <c r="N46" i="63" s="1"/>
  <c r="G45" i="63"/>
  <c r="N45" i="63" s="1"/>
  <c r="G44" i="63"/>
  <c r="N44" i="63" s="1"/>
  <c r="G43" i="63"/>
  <c r="N43" i="63" s="1"/>
  <c r="G42" i="63"/>
  <c r="N42" i="63" s="1"/>
  <c r="G41" i="63"/>
  <c r="N41" i="63" s="1"/>
  <c r="G40" i="63"/>
  <c r="N40" i="63" s="1"/>
  <c r="G39" i="63"/>
  <c r="N39" i="63" s="1"/>
  <c r="G38" i="63"/>
  <c r="N38" i="63" s="1"/>
  <c r="G37" i="63"/>
  <c r="N37" i="63" s="1"/>
  <c r="G36" i="63"/>
  <c r="N36" i="63" s="1"/>
  <c r="G35" i="63"/>
  <c r="N35" i="63" s="1"/>
  <c r="G34" i="63"/>
  <c r="N34" i="63" s="1"/>
  <c r="G33" i="63"/>
  <c r="N33" i="63" s="1"/>
  <c r="G32" i="63"/>
  <c r="N32" i="63" s="1"/>
  <c r="G31" i="63"/>
  <c r="N31" i="63" s="1"/>
  <c r="G30" i="63"/>
  <c r="N30" i="63" s="1"/>
  <c r="G29" i="63"/>
  <c r="N29" i="63" s="1"/>
  <c r="G28" i="63"/>
  <c r="N28" i="63" s="1"/>
  <c r="G27" i="63"/>
  <c r="N27" i="63" s="1"/>
  <c r="G26" i="63"/>
  <c r="N26" i="63" s="1"/>
  <c r="G25" i="63"/>
  <c r="N25" i="63" s="1"/>
  <c r="G24" i="63"/>
  <c r="N24" i="63" s="1"/>
  <c r="G23" i="63"/>
  <c r="N23" i="63" s="1"/>
  <c r="G22" i="63"/>
  <c r="N22" i="63" s="1"/>
  <c r="G21" i="63"/>
  <c r="N21" i="63" s="1"/>
  <c r="G20" i="63"/>
  <c r="N20" i="63" s="1"/>
  <c r="G19" i="63"/>
  <c r="N19" i="63" s="1"/>
  <c r="G18" i="63"/>
  <c r="N18" i="63" s="1"/>
  <c r="G17" i="63"/>
  <c r="N17" i="63" s="1"/>
  <c r="G16" i="63"/>
  <c r="N16" i="63" s="1"/>
  <c r="G15" i="63"/>
  <c r="N15" i="63" s="1"/>
  <c r="G14" i="63"/>
  <c r="N14" i="63" s="1"/>
  <c r="G13" i="63"/>
  <c r="N13" i="63" s="1"/>
  <c r="G12" i="63"/>
  <c r="N12" i="63" s="1"/>
  <c r="G11" i="63"/>
  <c r="N11" i="63" s="1"/>
  <c r="G10" i="63"/>
  <c r="N10" i="63" s="1"/>
  <c r="G9" i="63"/>
  <c r="N9" i="63" s="1"/>
  <c r="G8" i="63"/>
  <c r="N8" i="63" s="1"/>
  <c r="K104" i="62"/>
  <c r="L21" i="86" s="1"/>
  <c r="J104" i="62"/>
  <c r="I104" i="62"/>
  <c r="J21" i="86" s="1"/>
  <c r="H104" i="62"/>
  <c r="I21" i="86" s="1"/>
  <c r="F105" i="62"/>
  <c r="E105" i="62"/>
  <c r="D105" i="62"/>
  <c r="C105" i="62"/>
  <c r="B105" i="62"/>
  <c r="G103" i="62"/>
  <c r="G102" i="62"/>
  <c r="G101" i="62"/>
  <c r="G100" i="62"/>
  <c r="G99" i="62"/>
  <c r="G98" i="62"/>
  <c r="G97" i="62"/>
  <c r="G96" i="62"/>
  <c r="G95" i="62"/>
  <c r="G94" i="62"/>
  <c r="G93" i="62"/>
  <c r="G92" i="62"/>
  <c r="G91" i="62"/>
  <c r="G90" i="62"/>
  <c r="G89" i="62"/>
  <c r="G88" i="62"/>
  <c r="G87" i="62"/>
  <c r="G86" i="62"/>
  <c r="G85" i="62"/>
  <c r="G84" i="62"/>
  <c r="G83" i="62"/>
  <c r="G82" i="62"/>
  <c r="G81" i="62"/>
  <c r="G80" i="62"/>
  <c r="G79" i="62"/>
  <c r="G78" i="62"/>
  <c r="G77" i="62"/>
  <c r="G76" i="62"/>
  <c r="G75" i="62"/>
  <c r="G74" i="62"/>
  <c r="G73" i="62"/>
  <c r="G72" i="62"/>
  <c r="G71" i="62"/>
  <c r="G70" i="62"/>
  <c r="G69" i="62"/>
  <c r="G68" i="62"/>
  <c r="G67" i="62"/>
  <c r="G66" i="62"/>
  <c r="G65" i="62"/>
  <c r="G64" i="62"/>
  <c r="G63" i="62"/>
  <c r="G62" i="62"/>
  <c r="G61" i="62"/>
  <c r="G60" i="62"/>
  <c r="G59" i="62"/>
  <c r="G58" i="62"/>
  <c r="G57" i="62"/>
  <c r="G56" i="62"/>
  <c r="G55" i="62"/>
  <c r="G54" i="62"/>
  <c r="G53" i="62"/>
  <c r="G52" i="62"/>
  <c r="G51" i="62"/>
  <c r="G50" i="62"/>
  <c r="G49" i="62"/>
  <c r="G48" i="62"/>
  <c r="G47" i="62"/>
  <c r="G46" i="62"/>
  <c r="G45" i="62"/>
  <c r="G44" i="62"/>
  <c r="G43" i="62"/>
  <c r="G42" i="62"/>
  <c r="G41" i="62"/>
  <c r="G40" i="62"/>
  <c r="G39" i="62"/>
  <c r="G38" i="62"/>
  <c r="G37" i="62"/>
  <c r="G36" i="62"/>
  <c r="G35" i="62"/>
  <c r="G34" i="62"/>
  <c r="G33" i="62"/>
  <c r="G32" i="62"/>
  <c r="G31" i="62"/>
  <c r="G30" i="62"/>
  <c r="G29" i="62"/>
  <c r="G28" i="62"/>
  <c r="G27" i="62"/>
  <c r="G26" i="62"/>
  <c r="G25" i="62"/>
  <c r="G24" i="62"/>
  <c r="G23" i="62"/>
  <c r="G22" i="62"/>
  <c r="G21" i="62"/>
  <c r="G20" i="62"/>
  <c r="G19" i="62"/>
  <c r="G18" i="62"/>
  <c r="G17" i="62"/>
  <c r="G16" i="62"/>
  <c r="G15" i="62"/>
  <c r="G14" i="62"/>
  <c r="G13" i="62"/>
  <c r="G12" i="62"/>
  <c r="G11" i="62"/>
  <c r="G10" i="62"/>
  <c r="G9" i="62"/>
  <c r="G8" i="62"/>
  <c r="K104" i="61"/>
  <c r="J104" i="61"/>
  <c r="I104" i="61"/>
  <c r="J10" i="86" s="1"/>
  <c r="H104" i="61"/>
  <c r="I10" i="86" s="1"/>
  <c r="F105" i="61"/>
  <c r="E105" i="61"/>
  <c r="D105" i="61"/>
  <c r="C105" i="61"/>
  <c r="G103" i="61"/>
  <c r="N103" i="61" s="1"/>
  <c r="G102" i="61"/>
  <c r="N102" i="61" s="1"/>
  <c r="G101" i="61"/>
  <c r="N101" i="61" s="1"/>
  <c r="G100" i="61"/>
  <c r="N100" i="61" s="1"/>
  <c r="G99" i="61"/>
  <c r="N99" i="61" s="1"/>
  <c r="G98" i="61"/>
  <c r="N98" i="61" s="1"/>
  <c r="G97" i="61"/>
  <c r="N97" i="61" s="1"/>
  <c r="G96" i="61"/>
  <c r="N96" i="61" s="1"/>
  <c r="G95" i="61"/>
  <c r="N95" i="61" s="1"/>
  <c r="G94" i="61"/>
  <c r="N94" i="61" s="1"/>
  <c r="G93" i="61"/>
  <c r="N93" i="61" s="1"/>
  <c r="G92" i="61"/>
  <c r="N92" i="61" s="1"/>
  <c r="G91" i="61"/>
  <c r="N91" i="61" s="1"/>
  <c r="G90" i="61"/>
  <c r="N90" i="61" s="1"/>
  <c r="G89" i="61"/>
  <c r="N89" i="61" s="1"/>
  <c r="G88" i="61"/>
  <c r="N88" i="61" s="1"/>
  <c r="G87" i="61"/>
  <c r="N87" i="61" s="1"/>
  <c r="G86" i="61"/>
  <c r="N86" i="61" s="1"/>
  <c r="G85" i="61"/>
  <c r="N85" i="61" s="1"/>
  <c r="G84" i="61"/>
  <c r="N84" i="61" s="1"/>
  <c r="G83" i="61"/>
  <c r="N83" i="61" s="1"/>
  <c r="G82" i="61"/>
  <c r="N82" i="61" s="1"/>
  <c r="G81" i="61"/>
  <c r="N81" i="61" s="1"/>
  <c r="G80" i="61"/>
  <c r="N80" i="61" s="1"/>
  <c r="G79" i="61"/>
  <c r="N79" i="61" s="1"/>
  <c r="G78" i="61"/>
  <c r="N78" i="61" s="1"/>
  <c r="G77" i="61"/>
  <c r="N77" i="61" s="1"/>
  <c r="G76" i="61"/>
  <c r="N76" i="61" s="1"/>
  <c r="G75" i="61"/>
  <c r="N75" i="61" s="1"/>
  <c r="G74" i="61"/>
  <c r="N74" i="61" s="1"/>
  <c r="G73" i="61"/>
  <c r="N73" i="61" s="1"/>
  <c r="G72" i="61"/>
  <c r="N72" i="61" s="1"/>
  <c r="G71" i="61"/>
  <c r="N71" i="61" s="1"/>
  <c r="G70" i="61"/>
  <c r="N70" i="61" s="1"/>
  <c r="G69" i="61"/>
  <c r="N69" i="61" s="1"/>
  <c r="G68" i="61"/>
  <c r="N68" i="61" s="1"/>
  <c r="G67" i="61"/>
  <c r="N67" i="61" s="1"/>
  <c r="G66" i="61"/>
  <c r="N66" i="61" s="1"/>
  <c r="G65" i="61"/>
  <c r="N65" i="61" s="1"/>
  <c r="G64" i="61"/>
  <c r="N64" i="61" s="1"/>
  <c r="G63" i="61"/>
  <c r="N63" i="61" s="1"/>
  <c r="G62" i="61"/>
  <c r="N62" i="61" s="1"/>
  <c r="G61" i="61"/>
  <c r="N61" i="61" s="1"/>
  <c r="G60" i="61"/>
  <c r="N60" i="61" s="1"/>
  <c r="G59" i="61"/>
  <c r="N59" i="61" s="1"/>
  <c r="G58" i="61"/>
  <c r="N58" i="61" s="1"/>
  <c r="G57" i="61"/>
  <c r="N57" i="61" s="1"/>
  <c r="G56" i="61"/>
  <c r="N56" i="61" s="1"/>
  <c r="G55" i="61"/>
  <c r="N55" i="61" s="1"/>
  <c r="G54" i="61"/>
  <c r="N54" i="61" s="1"/>
  <c r="G53" i="61"/>
  <c r="N53" i="61" s="1"/>
  <c r="G52" i="61"/>
  <c r="N52" i="61" s="1"/>
  <c r="G51" i="61"/>
  <c r="N51" i="61" s="1"/>
  <c r="G50" i="61"/>
  <c r="N50" i="61" s="1"/>
  <c r="G49" i="61"/>
  <c r="N49" i="61" s="1"/>
  <c r="G48" i="61"/>
  <c r="N48" i="61" s="1"/>
  <c r="G47" i="61"/>
  <c r="N47" i="61" s="1"/>
  <c r="G46" i="61"/>
  <c r="N46" i="61" s="1"/>
  <c r="G45" i="61"/>
  <c r="N45" i="61" s="1"/>
  <c r="G44" i="61"/>
  <c r="N44" i="61" s="1"/>
  <c r="G43" i="61"/>
  <c r="N43" i="61" s="1"/>
  <c r="G42" i="61"/>
  <c r="N42" i="61" s="1"/>
  <c r="G41" i="61"/>
  <c r="N41" i="61" s="1"/>
  <c r="G40" i="61"/>
  <c r="N40" i="61" s="1"/>
  <c r="G39" i="61"/>
  <c r="N39" i="61" s="1"/>
  <c r="G38" i="61"/>
  <c r="N38" i="61" s="1"/>
  <c r="G37" i="61"/>
  <c r="N37" i="61" s="1"/>
  <c r="G36" i="61"/>
  <c r="N36" i="61" s="1"/>
  <c r="G35" i="61"/>
  <c r="N35" i="61" s="1"/>
  <c r="G34" i="61"/>
  <c r="N34" i="61" s="1"/>
  <c r="G33" i="61"/>
  <c r="N33" i="61" s="1"/>
  <c r="G32" i="61"/>
  <c r="N32" i="61" s="1"/>
  <c r="G31" i="61"/>
  <c r="N31" i="61" s="1"/>
  <c r="G30" i="61"/>
  <c r="N30" i="61" s="1"/>
  <c r="G29" i="61"/>
  <c r="N29" i="61" s="1"/>
  <c r="G28" i="61"/>
  <c r="N28" i="61" s="1"/>
  <c r="G27" i="61"/>
  <c r="N27" i="61" s="1"/>
  <c r="G26" i="61"/>
  <c r="N26" i="61" s="1"/>
  <c r="G25" i="61"/>
  <c r="N25" i="61" s="1"/>
  <c r="G24" i="61"/>
  <c r="N24" i="61" s="1"/>
  <c r="G23" i="61"/>
  <c r="N23" i="61" s="1"/>
  <c r="G22" i="61"/>
  <c r="N22" i="61" s="1"/>
  <c r="G21" i="61"/>
  <c r="N21" i="61" s="1"/>
  <c r="G20" i="61"/>
  <c r="N20" i="61" s="1"/>
  <c r="G19" i="61"/>
  <c r="N19" i="61" s="1"/>
  <c r="G18" i="61"/>
  <c r="N18" i="61" s="1"/>
  <c r="G17" i="61"/>
  <c r="N17" i="61" s="1"/>
  <c r="G16" i="61"/>
  <c r="N16" i="61" s="1"/>
  <c r="G15" i="61"/>
  <c r="N15" i="61" s="1"/>
  <c r="G14" i="61"/>
  <c r="N14" i="61" s="1"/>
  <c r="G13" i="61"/>
  <c r="N13" i="61" s="1"/>
  <c r="G12" i="61"/>
  <c r="N12" i="61" s="1"/>
  <c r="G11" i="61"/>
  <c r="N11" i="61" s="1"/>
  <c r="G10" i="61"/>
  <c r="N10" i="61" s="1"/>
  <c r="G9" i="61"/>
  <c r="N9" i="61" s="1"/>
  <c r="G8" i="61"/>
  <c r="N8" i="61" s="1"/>
  <c r="K104" i="60"/>
  <c r="J104" i="60"/>
  <c r="I104" i="60"/>
  <c r="J16" i="86" s="1"/>
  <c r="H104" i="60"/>
  <c r="I16" i="86" s="1"/>
  <c r="F105" i="60"/>
  <c r="E105" i="60"/>
  <c r="D105" i="60"/>
  <c r="C105" i="60"/>
  <c r="B105" i="60"/>
  <c r="G103" i="60"/>
  <c r="N103" i="60" s="1"/>
  <c r="G102" i="60"/>
  <c r="N102" i="60" s="1"/>
  <c r="G101" i="60"/>
  <c r="N101" i="60" s="1"/>
  <c r="G100" i="60"/>
  <c r="N100" i="60" s="1"/>
  <c r="G99" i="60"/>
  <c r="N99" i="60" s="1"/>
  <c r="G98" i="60"/>
  <c r="N98" i="60" s="1"/>
  <c r="G97" i="60"/>
  <c r="N97" i="60" s="1"/>
  <c r="G96" i="60"/>
  <c r="N96" i="60" s="1"/>
  <c r="G95" i="60"/>
  <c r="N95" i="60" s="1"/>
  <c r="G94" i="60"/>
  <c r="N94" i="60" s="1"/>
  <c r="G93" i="60"/>
  <c r="N93" i="60" s="1"/>
  <c r="G92" i="60"/>
  <c r="N92" i="60" s="1"/>
  <c r="G91" i="60"/>
  <c r="N91" i="60" s="1"/>
  <c r="G90" i="60"/>
  <c r="N90" i="60" s="1"/>
  <c r="G89" i="60"/>
  <c r="N89" i="60" s="1"/>
  <c r="G88" i="60"/>
  <c r="N88" i="60" s="1"/>
  <c r="G87" i="60"/>
  <c r="N87" i="60" s="1"/>
  <c r="G86" i="60"/>
  <c r="N86" i="60" s="1"/>
  <c r="G85" i="60"/>
  <c r="N85" i="60" s="1"/>
  <c r="G84" i="60"/>
  <c r="N84" i="60" s="1"/>
  <c r="G83" i="60"/>
  <c r="N83" i="60" s="1"/>
  <c r="G82" i="60"/>
  <c r="N82" i="60" s="1"/>
  <c r="G81" i="60"/>
  <c r="N81" i="60" s="1"/>
  <c r="G80" i="60"/>
  <c r="N80" i="60" s="1"/>
  <c r="G79" i="60"/>
  <c r="N79" i="60" s="1"/>
  <c r="G78" i="60"/>
  <c r="N78" i="60" s="1"/>
  <c r="G77" i="60"/>
  <c r="N77" i="60" s="1"/>
  <c r="G76" i="60"/>
  <c r="N76" i="60" s="1"/>
  <c r="G75" i="60"/>
  <c r="N75" i="60" s="1"/>
  <c r="G74" i="60"/>
  <c r="N74" i="60" s="1"/>
  <c r="G73" i="60"/>
  <c r="N73" i="60" s="1"/>
  <c r="G72" i="60"/>
  <c r="N72" i="60" s="1"/>
  <c r="G71" i="60"/>
  <c r="N71" i="60" s="1"/>
  <c r="G70" i="60"/>
  <c r="N70" i="60" s="1"/>
  <c r="G69" i="60"/>
  <c r="N69" i="60" s="1"/>
  <c r="G68" i="60"/>
  <c r="N68" i="60" s="1"/>
  <c r="G67" i="60"/>
  <c r="N67" i="60" s="1"/>
  <c r="G66" i="60"/>
  <c r="N66" i="60" s="1"/>
  <c r="G65" i="60"/>
  <c r="N65" i="60" s="1"/>
  <c r="G64" i="60"/>
  <c r="N64" i="60" s="1"/>
  <c r="G63" i="60"/>
  <c r="N63" i="60" s="1"/>
  <c r="G62" i="60"/>
  <c r="N62" i="60" s="1"/>
  <c r="G61" i="60"/>
  <c r="N61" i="60" s="1"/>
  <c r="G60" i="60"/>
  <c r="N60" i="60" s="1"/>
  <c r="G59" i="60"/>
  <c r="N59" i="60" s="1"/>
  <c r="G58" i="60"/>
  <c r="N58" i="60" s="1"/>
  <c r="G57" i="60"/>
  <c r="N57" i="60" s="1"/>
  <c r="G56" i="60"/>
  <c r="N56" i="60" s="1"/>
  <c r="G55" i="60"/>
  <c r="N55" i="60" s="1"/>
  <c r="G54" i="60"/>
  <c r="N54" i="60" s="1"/>
  <c r="G53" i="60"/>
  <c r="N53" i="60" s="1"/>
  <c r="G52" i="60"/>
  <c r="N52" i="60" s="1"/>
  <c r="G51" i="60"/>
  <c r="N51" i="60" s="1"/>
  <c r="G50" i="60"/>
  <c r="N50" i="60" s="1"/>
  <c r="G49" i="60"/>
  <c r="N49" i="60" s="1"/>
  <c r="G48" i="60"/>
  <c r="N48" i="60" s="1"/>
  <c r="G47" i="60"/>
  <c r="N47" i="60" s="1"/>
  <c r="G46" i="60"/>
  <c r="N46" i="60" s="1"/>
  <c r="G45" i="60"/>
  <c r="N45" i="60" s="1"/>
  <c r="G44" i="60"/>
  <c r="N44" i="60" s="1"/>
  <c r="G43" i="60"/>
  <c r="N43" i="60" s="1"/>
  <c r="G42" i="60"/>
  <c r="N42" i="60" s="1"/>
  <c r="G41" i="60"/>
  <c r="N41" i="60" s="1"/>
  <c r="G40" i="60"/>
  <c r="N40" i="60" s="1"/>
  <c r="G39" i="60"/>
  <c r="N39" i="60" s="1"/>
  <c r="G38" i="60"/>
  <c r="N38" i="60" s="1"/>
  <c r="G37" i="60"/>
  <c r="N37" i="60" s="1"/>
  <c r="G36" i="60"/>
  <c r="N36" i="60" s="1"/>
  <c r="G35" i="60"/>
  <c r="N35" i="60" s="1"/>
  <c r="G34" i="60"/>
  <c r="N34" i="60" s="1"/>
  <c r="G33" i="60"/>
  <c r="N33" i="60" s="1"/>
  <c r="G32" i="60"/>
  <c r="N32" i="60" s="1"/>
  <c r="G31" i="60"/>
  <c r="N31" i="60" s="1"/>
  <c r="G30" i="60"/>
  <c r="N30" i="60" s="1"/>
  <c r="G29" i="60"/>
  <c r="N29" i="60" s="1"/>
  <c r="G28" i="60"/>
  <c r="N28" i="60" s="1"/>
  <c r="G27" i="60"/>
  <c r="N27" i="60" s="1"/>
  <c r="G26" i="60"/>
  <c r="N26" i="60" s="1"/>
  <c r="G25" i="60"/>
  <c r="N25" i="60" s="1"/>
  <c r="G24" i="60"/>
  <c r="N24" i="60" s="1"/>
  <c r="G23" i="60"/>
  <c r="N23" i="60" s="1"/>
  <c r="G22" i="60"/>
  <c r="N22" i="60" s="1"/>
  <c r="G21" i="60"/>
  <c r="N21" i="60" s="1"/>
  <c r="G20" i="60"/>
  <c r="N20" i="60" s="1"/>
  <c r="G19" i="60"/>
  <c r="N19" i="60" s="1"/>
  <c r="G18" i="60"/>
  <c r="N18" i="60" s="1"/>
  <c r="G17" i="60"/>
  <c r="N17" i="60" s="1"/>
  <c r="G16" i="60"/>
  <c r="N16" i="60" s="1"/>
  <c r="G15" i="60"/>
  <c r="N15" i="60" s="1"/>
  <c r="G14" i="60"/>
  <c r="N14" i="60" s="1"/>
  <c r="G13" i="60"/>
  <c r="N13" i="60" s="1"/>
  <c r="G12" i="60"/>
  <c r="N12" i="60" s="1"/>
  <c r="G11" i="60"/>
  <c r="N11" i="60" s="1"/>
  <c r="G10" i="60"/>
  <c r="N10" i="60" s="1"/>
  <c r="G9" i="60"/>
  <c r="N9" i="60" s="1"/>
  <c r="G8" i="60"/>
  <c r="N8" i="60" s="1"/>
  <c r="K104" i="59"/>
  <c r="J104" i="59"/>
  <c r="I104" i="59"/>
  <c r="J13" i="86" s="1"/>
  <c r="H104" i="59"/>
  <c r="I13" i="86" s="1"/>
  <c r="F105" i="59"/>
  <c r="E105" i="59"/>
  <c r="D105" i="59"/>
  <c r="C105" i="59"/>
  <c r="G103" i="59"/>
  <c r="N103" i="59" s="1"/>
  <c r="G102" i="59"/>
  <c r="N102" i="59" s="1"/>
  <c r="G101" i="59"/>
  <c r="N101" i="59" s="1"/>
  <c r="G100" i="59"/>
  <c r="N100" i="59" s="1"/>
  <c r="G99" i="59"/>
  <c r="N99" i="59" s="1"/>
  <c r="G98" i="59"/>
  <c r="N98" i="59" s="1"/>
  <c r="G97" i="59"/>
  <c r="N97" i="59" s="1"/>
  <c r="G96" i="59"/>
  <c r="N96" i="59" s="1"/>
  <c r="G95" i="59"/>
  <c r="N95" i="59" s="1"/>
  <c r="G94" i="59"/>
  <c r="N94" i="59" s="1"/>
  <c r="G93" i="59"/>
  <c r="N93" i="59" s="1"/>
  <c r="G92" i="59"/>
  <c r="N92" i="59" s="1"/>
  <c r="G91" i="59"/>
  <c r="N91" i="59" s="1"/>
  <c r="G90" i="59"/>
  <c r="N90" i="59" s="1"/>
  <c r="G89" i="59"/>
  <c r="N89" i="59" s="1"/>
  <c r="G88" i="59"/>
  <c r="N88" i="59" s="1"/>
  <c r="G87" i="59"/>
  <c r="N87" i="59" s="1"/>
  <c r="G86" i="59"/>
  <c r="N86" i="59" s="1"/>
  <c r="G85" i="59"/>
  <c r="N85" i="59" s="1"/>
  <c r="G84" i="59"/>
  <c r="N84" i="59" s="1"/>
  <c r="G83" i="59"/>
  <c r="N83" i="59" s="1"/>
  <c r="G82" i="59"/>
  <c r="N82" i="59" s="1"/>
  <c r="G81" i="59"/>
  <c r="N81" i="59" s="1"/>
  <c r="G80" i="59"/>
  <c r="N80" i="59" s="1"/>
  <c r="G79" i="59"/>
  <c r="N79" i="59" s="1"/>
  <c r="G78" i="59"/>
  <c r="N78" i="59" s="1"/>
  <c r="G77" i="59"/>
  <c r="N77" i="59" s="1"/>
  <c r="G76" i="59"/>
  <c r="N76" i="59" s="1"/>
  <c r="G75" i="59"/>
  <c r="N75" i="59" s="1"/>
  <c r="G74" i="59"/>
  <c r="N74" i="59" s="1"/>
  <c r="G73" i="59"/>
  <c r="N73" i="59" s="1"/>
  <c r="G72" i="59"/>
  <c r="N72" i="59" s="1"/>
  <c r="G71" i="59"/>
  <c r="N71" i="59" s="1"/>
  <c r="G70" i="59"/>
  <c r="N70" i="59" s="1"/>
  <c r="G69" i="59"/>
  <c r="N69" i="59" s="1"/>
  <c r="G68" i="59"/>
  <c r="N68" i="59" s="1"/>
  <c r="G67" i="59"/>
  <c r="N67" i="59" s="1"/>
  <c r="G66" i="59"/>
  <c r="N66" i="59" s="1"/>
  <c r="G65" i="59"/>
  <c r="N65" i="59" s="1"/>
  <c r="G64" i="59"/>
  <c r="N64" i="59" s="1"/>
  <c r="G63" i="59"/>
  <c r="N63" i="59" s="1"/>
  <c r="G62" i="59"/>
  <c r="N62" i="59" s="1"/>
  <c r="G61" i="59"/>
  <c r="N61" i="59" s="1"/>
  <c r="G60" i="59"/>
  <c r="N60" i="59" s="1"/>
  <c r="G59" i="59"/>
  <c r="N59" i="59" s="1"/>
  <c r="G58" i="59"/>
  <c r="N58" i="59" s="1"/>
  <c r="G57" i="59"/>
  <c r="N57" i="59" s="1"/>
  <c r="G56" i="59"/>
  <c r="N56" i="59" s="1"/>
  <c r="G55" i="59"/>
  <c r="N55" i="59" s="1"/>
  <c r="G54" i="59"/>
  <c r="N54" i="59" s="1"/>
  <c r="G53" i="59"/>
  <c r="N53" i="59" s="1"/>
  <c r="G52" i="59"/>
  <c r="N52" i="59" s="1"/>
  <c r="G51" i="59"/>
  <c r="N51" i="59" s="1"/>
  <c r="G50" i="59"/>
  <c r="N50" i="59" s="1"/>
  <c r="G49" i="59"/>
  <c r="N49" i="59" s="1"/>
  <c r="G48" i="59"/>
  <c r="N48" i="59" s="1"/>
  <c r="G47" i="59"/>
  <c r="N47" i="59" s="1"/>
  <c r="G46" i="59"/>
  <c r="N46" i="59" s="1"/>
  <c r="G45" i="59"/>
  <c r="N45" i="59" s="1"/>
  <c r="G44" i="59"/>
  <c r="N44" i="59" s="1"/>
  <c r="G43" i="59"/>
  <c r="N43" i="59" s="1"/>
  <c r="G42" i="59"/>
  <c r="N42" i="59" s="1"/>
  <c r="G41" i="59"/>
  <c r="N41" i="59" s="1"/>
  <c r="G40" i="59"/>
  <c r="N40" i="59" s="1"/>
  <c r="G39" i="59"/>
  <c r="N39" i="59" s="1"/>
  <c r="G38" i="59"/>
  <c r="N38" i="59" s="1"/>
  <c r="G37" i="59"/>
  <c r="N37" i="59" s="1"/>
  <c r="G36" i="59"/>
  <c r="N36" i="59" s="1"/>
  <c r="G35" i="59"/>
  <c r="N35" i="59" s="1"/>
  <c r="G34" i="59"/>
  <c r="N34" i="59" s="1"/>
  <c r="G33" i="59"/>
  <c r="N33" i="59" s="1"/>
  <c r="G32" i="59"/>
  <c r="N32" i="59" s="1"/>
  <c r="G31" i="59"/>
  <c r="N31" i="59" s="1"/>
  <c r="G30" i="59"/>
  <c r="N30" i="59" s="1"/>
  <c r="G29" i="59"/>
  <c r="N29" i="59" s="1"/>
  <c r="G28" i="59"/>
  <c r="N28" i="59" s="1"/>
  <c r="G27" i="59"/>
  <c r="N27" i="59" s="1"/>
  <c r="G26" i="59"/>
  <c r="N26" i="59" s="1"/>
  <c r="G25" i="59"/>
  <c r="N25" i="59" s="1"/>
  <c r="G24" i="59"/>
  <c r="N24" i="59" s="1"/>
  <c r="G23" i="59"/>
  <c r="N23" i="59" s="1"/>
  <c r="G22" i="59"/>
  <c r="N22" i="59" s="1"/>
  <c r="G21" i="59"/>
  <c r="N21" i="59" s="1"/>
  <c r="G20" i="59"/>
  <c r="N20" i="59" s="1"/>
  <c r="G19" i="59"/>
  <c r="N19" i="59" s="1"/>
  <c r="G18" i="59"/>
  <c r="N18" i="59" s="1"/>
  <c r="G17" i="59"/>
  <c r="N17" i="59" s="1"/>
  <c r="G16" i="59"/>
  <c r="N16" i="59" s="1"/>
  <c r="G15" i="59"/>
  <c r="N15" i="59" s="1"/>
  <c r="G14" i="59"/>
  <c r="N14" i="59" s="1"/>
  <c r="G13" i="59"/>
  <c r="N13" i="59" s="1"/>
  <c r="G12" i="59"/>
  <c r="N12" i="59" s="1"/>
  <c r="G11" i="59"/>
  <c r="N11" i="59" s="1"/>
  <c r="G10" i="59"/>
  <c r="N10" i="59" s="1"/>
  <c r="G9" i="59"/>
  <c r="N9" i="59" s="1"/>
  <c r="G8" i="59"/>
  <c r="N8" i="59" s="1"/>
  <c r="K104" i="58"/>
  <c r="J104" i="58"/>
  <c r="I104" i="58"/>
  <c r="H104" i="58"/>
  <c r="F105" i="58"/>
  <c r="E105" i="58"/>
  <c r="D105" i="58"/>
  <c r="C105" i="58"/>
  <c r="G103" i="58"/>
  <c r="N103" i="58" s="1"/>
  <c r="G102" i="58"/>
  <c r="N102" i="58" s="1"/>
  <c r="G101" i="58"/>
  <c r="N101" i="58" s="1"/>
  <c r="G100" i="58"/>
  <c r="N100" i="58" s="1"/>
  <c r="G99" i="58"/>
  <c r="N99" i="58" s="1"/>
  <c r="G98" i="58"/>
  <c r="N98" i="58" s="1"/>
  <c r="G97" i="58"/>
  <c r="N97" i="58" s="1"/>
  <c r="G96" i="58"/>
  <c r="N96" i="58" s="1"/>
  <c r="G95" i="58"/>
  <c r="N95" i="58" s="1"/>
  <c r="G94" i="58"/>
  <c r="N94" i="58" s="1"/>
  <c r="G93" i="58"/>
  <c r="N93" i="58" s="1"/>
  <c r="G92" i="58"/>
  <c r="N92" i="58" s="1"/>
  <c r="G91" i="58"/>
  <c r="N91" i="58" s="1"/>
  <c r="G90" i="58"/>
  <c r="N90" i="58" s="1"/>
  <c r="G89" i="58"/>
  <c r="N89" i="58" s="1"/>
  <c r="G88" i="58"/>
  <c r="N88" i="58" s="1"/>
  <c r="G87" i="58"/>
  <c r="N87" i="58" s="1"/>
  <c r="G86" i="58"/>
  <c r="N86" i="58" s="1"/>
  <c r="G85" i="58"/>
  <c r="N85" i="58" s="1"/>
  <c r="G84" i="58"/>
  <c r="N84" i="58" s="1"/>
  <c r="G83" i="58"/>
  <c r="N83" i="58" s="1"/>
  <c r="G82" i="58"/>
  <c r="N82" i="58" s="1"/>
  <c r="G81" i="58"/>
  <c r="N81" i="58" s="1"/>
  <c r="G80" i="58"/>
  <c r="N80" i="58" s="1"/>
  <c r="G79" i="58"/>
  <c r="N79" i="58" s="1"/>
  <c r="G78" i="58"/>
  <c r="N78" i="58" s="1"/>
  <c r="G77" i="58"/>
  <c r="N77" i="58" s="1"/>
  <c r="G76" i="58"/>
  <c r="N76" i="58" s="1"/>
  <c r="G75" i="58"/>
  <c r="N75" i="58" s="1"/>
  <c r="G74" i="58"/>
  <c r="N74" i="58" s="1"/>
  <c r="G73" i="58"/>
  <c r="N73" i="58" s="1"/>
  <c r="G72" i="58"/>
  <c r="N72" i="58" s="1"/>
  <c r="G71" i="58"/>
  <c r="N71" i="58" s="1"/>
  <c r="G70" i="58"/>
  <c r="N70" i="58" s="1"/>
  <c r="G69" i="58"/>
  <c r="N69" i="58" s="1"/>
  <c r="G68" i="58"/>
  <c r="N68" i="58" s="1"/>
  <c r="G67" i="58"/>
  <c r="N67" i="58" s="1"/>
  <c r="G66" i="58"/>
  <c r="N66" i="58" s="1"/>
  <c r="G65" i="58"/>
  <c r="N65" i="58" s="1"/>
  <c r="G64" i="58"/>
  <c r="N64" i="58" s="1"/>
  <c r="G63" i="58"/>
  <c r="N63" i="58" s="1"/>
  <c r="G62" i="58"/>
  <c r="N62" i="58" s="1"/>
  <c r="G61" i="58"/>
  <c r="N61" i="58" s="1"/>
  <c r="G60" i="58"/>
  <c r="N60" i="58" s="1"/>
  <c r="G59" i="58"/>
  <c r="N59" i="58" s="1"/>
  <c r="G58" i="58"/>
  <c r="N58" i="58" s="1"/>
  <c r="G57" i="58"/>
  <c r="N57" i="58" s="1"/>
  <c r="G56" i="58"/>
  <c r="N56" i="58" s="1"/>
  <c r="G55" i="58"/>
  <c r="N55" i="58" s="1"/>
  <c r="G54" i="58"/>
  <c r="N54" i="58" s="1"/>
  <c r="G53" i="58"/>
  <c r="N53" i="58" s="1"/>
  <c r="G52" i="58"/>
  <c r="N52" i="58" s="1"/>
  <c r="G51" i="58"/>
  <c r="N51" i="58" s="1"/>
  <c r="G50" i="58"/>
  <c r="N50" i="58" s="1"/>
  <c r="G49" i="58"/>
  <c r="N49" i="58" s="1"/>
  <c r="G48" i="58"/>
  <c r="N48" i="58" s="1"/>
  <c r="G47" i="58"/>
  <c r="N47" i="58" s="1"/>
  <c r="G46" i="58"/>
  <c r="N46" i="58" s="1"/>
  <c r="G45" i="58"/>
  <c r="N45" i="58" s="1"/>
  <c r="G44" i="58"/>
  <c r="N44" i="58" s="1"/>
  <c r="G43" i="58"/>
  <c r="N43" i="58" s="1"/>
  <c r="G42" i="58"/>
  <c r="N42" i="58" s="1"/>
  <c r="G41" i="58"/>
  <c r="N41" i="58" s="1"/>
  <c r="G40" i="58"/>
  <c r="N40" i="58" s="1"/>
  <c r="G39" i="58"/>
  <c r="N39" i="58" s="1"/>
  <c r="G38" i="58"/>
  <c r="N38" i="58" s="1"/>
  <c r="G37" i="58"/>
  <c r="N37" i="58" s="1"/>
  <c r="G36" i="58"/>
  <c r="N36" i="58" s="1"/>
  <c r="G35" i="58"/>
  <c r="N35" i="58" s="1"/>
  <c r="G34" i="58"/>
  <c r="N34" i="58" s="1"/>
  <c r="G33" i="58"/>
  <c r="N33" i="58" s="1"/>
  <c r="G32" i="58"/>
  <c r="N32" i="58" s="1"/>
  <c r="G31" i="58"/>
  <c r="N31" i="58" s="1"/>
  <c r="G30" i="58"/>
  <c r="N30" i="58" s="1"/>
  <c r="G29" i="58"/>
  <c r="N29" i="58" s="1"/>
  <c r="G28" i="58"/>
  <c r="N28" i="58" s="1"/>
  <c r="G27" i="58"/>
  <c r="N27" i="58" s="1"/>
  <c r="G26" i="58"/>
  <c r="N26" i="58" s="1"/>
  <c r="G25" i="58"/>
  <c r="N25" i="58" s="1"/>
  <c r="G24" i="58"/>
  <c r="N24" i="58" s="1"/>
  <c r="G23" i="58"/>
  <c r="N23" i="58" s="1"/>
  <c r="G22" i="58"/>
  <c r="N22" i="58" s="1"/>
  <c r="G21" i="58"/>
  <c r="N21" i="58" s="1"/>
  <c r="G20" i="58"/>
  <c r="N20" i="58" s="1"/>
  <c r="G19" i="58"/>
  <c r="N19" i="58" s="1"/>
  <c r="G18" i="58"/>
  <c r="N18" i="58" s="1"/>
  <c r="G17" i="58"/>
  <c r="N17" i="58" s="1"/>
  <c r="G16" i="58"/>
  <c r="N16" i="58" s="1"/>
  <c r="G15" i="58"/>
  <c r="N15" i="58" s="1"/>
  <c r="G14" i="58"/>
  <c r="N14" i="58" s="1"/>
  <c r="G13" i="58"/>
  <c r="N13" i="58" s="1"/>
  <c r="G12" i="58"/>
  <c r="N12" i="58" s="1"/>
  <c r="G11" i="58"/>
  <c r="N11" i="58" s="1"/>
  <c r="G10" i="58"/>
  <c r="N10" i="58" s="1"/>
  <c r="G9" i="58"/>
  <c r="N9" i="58" s="1"/>
  <c r="G8" i="58"/>
  <c r="N8" i="58" s="1"/>
  <c r="K104" i="43"/>
  <c r="J104" i="43"/>
  <c r="I104" i="43"/>
  <c r="H104" i="43"/>
  <c r="F105" i="43"/>
  <c r="E105" i="43"/>
  <c r="D105" i="43"/>
  <c r="C105" i="43"/>
  <c r="B105" i="43"/>
  <c r="G103" i="43"/>
  <c r="N103" i="43" s="1"/>
  <c r="G102" i="43"/>
  <c r="N102" i="43" s="1"/>
  <c r="G101" i="43"/>
  <c r="N101" i="43" s="1"/>
  <c r="G100" i="43"/>
  <c r="N100" i="43" s="1"/>
  <c r="G99" i="43"/>
  <c r="N99" i="43" s="1"/>
  <c r="G98" i="43"/>
  <c r="N98" i="43" s="1"/>
  <c r="G97" i="43"/>
  <c r="N97" i="43" s="1"/>
  <c r="G96" i="43"/>
  <c r="N96" i="43" s="1"/>
  <c r="G95" i="43"/>
  <c r="N95" i="43" s="1"/>
  <c r="G94" i="43"/>
  <c r="N94" i="43" s="1"/>
  <c r="G93" i="43"/>
  <c r="N93" i="43" s="1"/>
  <c r="G92" i="43"/>
  <c r="N92" i="43" s="1"/>
  <c r="G91" i="43"/>
  <c r="N91" i="43" s="1"/>
  <c r="G90" i="43"/>
  <c r="N90" i="43" s="1"/>
  <c r="G89" i="43"/>
  <c r="N89" i="43" s="1"/>
  <c r="G88" i="43"/>
  <c r="N88" i="43" s="1"/>
  <c r="G87" i="43"/>
  <c r="N87" i="43" s="1"/>
  <c r="G86" i="43"/>
  <c r="N86" i="43" s="1"/>
  <c r="G85" i="43"/>
  <c r="N85" i="43" s="1"/>
  <c r="G84" i="43"/>
  <c r="N84" i="43" s="1"/>
  <c r="G83" i="43"/>
  <c r="N83" i="43" s="1"/>
  <c r="G82" i="43"/>
  <c r="N82" i="43" s="1"/>
  <c r="G81" i="43"/>
  <c r="N81" i="43" s="1"/>
  <c r="G80" i="43"/>
  <c r="N80" i="43" s="1"/>
  <c r="G79" i="43"/>
  <c r="N79" i="43" s="1"/>
  <c r="G78" i="43"/>
  <c r="N78" i="43" s="1"/>
  <c r="G77" i="43"/>
  <c r="N77" i="43" s="1"/>
  <c r="G76" i="43"/>
  <c r="N76" i="43" s="1"/>
  <c r="G75" i="43"/>
  <c r="N75" i="43" s="1"/>
  <c r="G74" i="43"/>
  <c r="N74" i="43" s="1"/>
  <c r="G73" i="43"/>
  <c r="N73" i="43" s="1"/>
  <c r="G72" i="43"/>
  <c r="N72" i="43" s="1"/>
  <c r="G71" i="43"/>
  <c r="N71" i="43" s="1"/>
  <c r="G70" i="43"/>
  <c r="N70" i="43" s="1"/>
  <c r="G69" i="43"/>
  <c r="N69" i="43" s="1"/>
  <c r="G68" i="43"/>
  <c r="N68" i="43" s="1"/>
  <c r="G67" i="43"/>
  <c r="N67" i="43" s="1"/>
  <c r="G66" i="43"/>
  <c r="N66" i="43" s="1"/>
  <c r="G65" i="43"/>
  <c r="N65" i="43" s="1"/>
  <c r="G64" i="43"/>
  <c r="N64" i="43" s="1"/>
  <c r="G63" i="43"/>
  <c r="N63" i="43" s="1"/>
  <c r="G62" i="43"/>
  <c r="N62" i="43" s="1"/>
  <c r="G61" i="43"/>
  <c r="N61" i="43" s="1"/>
  <c r="G60" i="43"/>
  <c r="N60" i="43" s="1"/>
  <c r="G59" i="43"/>
  <c r="N59" i="43" s="1"/>
  <c r="G58" i="43"/>
  <c r="N58" i="43" s="1"/>
  <c r="G57" i="43"/>
  <c r="N57" i="43" s="1"/>
  <c r="G56" i="43"/>
  <c r="N56" i="43" s="1"/>
  <c r="G55" i="43"/>
  <c r="N55" i="43" s="1"/>
  <c r="G54" i="43"/>
  <c r="N54" i="43" s="1"/>
  <c r="G53" i="43"/>
  <c r="N53" i="43" s="1"/>
  <c r="G52" i="43"/>
  <c r="N52" i="43" s="1"/>
  <c r="G51" i="43"/>
  <c r="N51" i="43" s="1"/>
  <c r="G50" i="43"/>
  <c r="N50" i="43" s="1"/>
  <c r="G49" i="43"/>
  <c r="N49" i="43" s="1"/>
  <c r="G48" i="43"/>
  <c r="N48" i="43" s="1"/>
  <c r="G47" i="43"/>
  <c r="N47" i="43" s="1"/>
  <c r="G46" i="43"/>
  <c r="N46" i="43" s="1"/>
  <c r="G45" i="43"/>
  <c r="N45" i="43" s="1"/>
  <c r="G44" i="43"/>
  <c r="N44" i="43" s="1"/>
  <c r="G43" i="43"/>
  <c r="N43" i="43" s="1"/>
  <c r="G42" i="43"/>
  <c r="N42" i="43" s="1"/>
  <c r="G41" i="43"/>
  <c r="N41" i="43" s="1"/>
  <c r="G40" i="43"/>
  <c r="N40" i="43" s="1"/>
  <c r="G39" i="43"/>
  <c r="N39" i="43" s="1"/>
  <c r="G38" i="43"/>
  <c r="N38" i="43" s="1"/>
  <c r="G37" i="43"/>
  <c r="N37" i="43" s="1"/>
  <c r="G36" i="43"/>
  <c r="N36" i="43" s="1"/>
  <c r="G35" i="43"/>
  <c r="N35" i="43" s="1"/>
  <c r="G34" i="43"/>
  <c r="N34" i="43" s="1"/>
  <c r="G33" i="43"/>
  <c r="N33" i="43" s="1"/>
  <c r="G32" i="43"/>
  <c r="N32" i="43" s="1"/>
  <c r="G31" i="43"/>
  <c r="N31" i="43" s="1"/>
  <c r="G30" i="43"/>
  <c r="N30" i="43" s="1"/>
  <c r="G29" i="43"/>
  <c r="N29" i="43" s="1"/>
  <c r="G28" i="43"/>
  <c r="N28" i="43" s="1"/>
  <c r="G27" i="43"/>
  <c r="N27" i="43" s="1"/>
  <c r="G26" i="43"/>
  <c r="N26" i="43" s="1"/>
  <c r="G25" i="43"/>
  <c r="N25" i="43" s="1"/>
  <c r="G24" i="43"/>
  <c r="N24" i="43" s="1"/>
  <c r="G23" i="43"/>
  <c r="N23" i="43" s="1"/>
  <c r="G22" i="43"/>
  <c r="N22" i="43" s="1"/>
  <c r="G21" i="43"/>
  <c r="N21" i="43" s="1"/>
  <c r="G20" i="43"/>
  <c r="N20" i="43" s="1"/>
  <c r="G19" i="43"/>
  <c r="N19" i="43" s="1"/>
  <c r="G18" i="43"/>
  <c r="N18" i="43" s="1"/>
  <c r="G17" i="43"/>
  <c r="N17" i="43" s="1"/>
  <c r="G16" i="43"/>
  <c r="N16" i="43" s="1"/>
  <c r="G15" i="43"/>
  <c r="N15" i="43" s="1"/>
  <c r="G14" i="43"/>
  <c r="N14" i="43" s="1"/>
  <c r="G13" i="43"/>
  <c r="N13" i="43" s="1"/>
  <c r="G12" i="43"/>
  <c r="N12" i="43" s="1"/>
  <c r="G11" i="43"/>
  <c r="N11" i="43" s="1"/>
  <c r="G10" i="43"/>
  <c r="N10" i="43" s="1"/>
  <c r="G9" i="43"/>
  <c r="N9" i="43" s="1"/>
  <c r="G8" i="43"/>
  <c r="N8" i="43" s="1"/>
  <c r="K104" i="67"/>
  <c r="J104" i="67"/>
  <c r="K9" i="86" s="1"/>
  <c r="I104" i="67"/>
  <c r="J9" i="86" s="1"/>
  <c r="H104" i="67"/>
  <c r="I9" i="86" s="1"/>
  <c r="F105" i="67"/>
  <c r="E105" i="67"/>
  <c r="D105" i="67"/>
  <c r="C105" i="67"/>
  <c r="G103" i="67"/>
  <c r="N103" i="67" s="1"/>
  <c r="G102" i="67"/>
  <c r="N102" i="67" s="1"/>
  <c r="G101" i="67"/>
  <c r="N101" i="67" s="1"/>
  <c r="G100" i="67"/>
  <c r="N100" i="67" s="1"/>
  <c r="G99" i="67"/>
  <c r="N99" i="67" s="1"/>
  <c r="G98" i="67"/>
  <c r="N98" i="67" s="1"/>
  <c r="G97" i="67"/>
  <c r="N97" i="67" s="1"/>
  <c r="G96" i="67"/>
  <c r="N96" i="67" s="1"/>
  <c r="G95" i="67"/>
  <c r="N95" i="67" s="1"/>
  <c r="G94" i="67"/>
  <c r="N94" i="67" s="1"/>
  <c r="G93" i="67"/>
  <c r="N93" i="67" s="1"/>
  <c r="G92" i="67"/>
  <c r="N92" i="67" s="1"/>
  <c r="G91" i="67"/>
  <c r="N91" i="67" s="1"/>
  <c r="G90" i="67"/>
  <c r="N90" i="67" s="1"/>
  <c r="G89" i="67"/>
  <c r="N89" i="67" s="1"/>
  <c r="G88" i="67"/>
  <c r="N88" i="67" s="1"/>
  <c r="G87" i="67"/>
  <c r="N87" i="67" s="1"/>
  <c r="G86" i="67"/>
  <c r="N86" i="67" s="1"/>
  <c r="G85" i="67"/>
  <c r="N85" i="67" s="1"/>
  <c r="G84" i="67"/>
  <c r="N84" i="67" s="1"/>
  <c r="G83" i="67"/>
  <c r="N83" i="67" s="1"/>
  <c r="G82" i="67"/>
  <c r="N82" i="67" s="1"/>
  <c r="G81" i="67"/>
  <c r="N81" i="67" s="1"/>
  <c r="G80" i="67"/>
  <c r="N80" i="67" s="1"/>
  <c r="G79" i="67"/>
  <c r="N79" i="67" s="1"/>
  <c r="G78" i="67"/>
  <c r="N78" i="67" s="1"/>
  <c r="G77" i="67"/>
  <c r="N77" i="67" s="1"/>
  <c r="G76" i="67"/>
  <c r="N76" i="67" s="1"/>
  <c r="G75" i="67"/>
  <c r="N75" i="67" s="1"/>
  <c r="G74" i="67"/>
  <c r="N74" i="67" s="1"/>
  <c r="G73" i="67"/>
  <c r="N73" i="67" s="1"/>
  <c r="G72" i="67"/>
  <c r="N72" i="67" s="1"/>
  <c r="G71" i="67"/>
  <c r="N71" i="67" s="1"/>
  <c r="G70" i="67"/>
  <c r="N70" i="67" s="1"/>
  <c r="G69" i="67"/>
  <c r="N69" i="67" s="1"/>
  <c r="G68" i="67"/>
  <c r="N68" i="67" s="1"/>
  <c r="G67" i="67"/>
  <c r="N67" i="67" s="1"/>
  <c r="G66" i="67"/>
  <c r="N66" i="67" s="1"/>
  <c r="G65" i="67"/>
  <c r="N65" i="67" s="1"/>
  <c r="G64" i="67"/>
  <c r="N64" i="67" s="1"/>
  <c r="G63" i="67"/>
  <c r="N63" i="67" s="1"/>
  <c r="G62" i="67"/>
  <c r="N62" i="67" s="1"/>
  <c r="G61" i="67"/>
  <c r="N61" i="67" s="1"/>
  <c r="G60" i="67"/>
  <c r="N60" i="67" s="1"/>
  <c r="G59" i="67"/>
  <c r="N59" i="67" s="1"/>
  <c r="G58" i="67"/>
  <c r="N58" i="67" s="1"/>
  <c r="G57" i="67"/>
  <c r="N57" i="67" s="1"/>
  <c r="G56" i="67"/>
  <c r="N56" i="67" s="1"/>
  <c r="G55" i="67"/>
  <c r="N55" i="67" s="1"/>
  <c r="G54" i="67"/>
  <c r="N54" i="67" s="1"/>
  <c r="G53" i="67"/>
  <c r="N53" i="67" s="1"/>
  <c r="G52" i="67"/>
  <c r="N52" i="67" s="1"/>
  <c r="G51" i="67"/>
  <c r="N51" i="67" s="1"/>
  <c r="G50" i="67"/>
  <c r="N50" i="67" s="1"/>
  <c r="G49" i="67"/>
  <c r="N49" i="67" s="1"/>
  <c r="G48" i="67"/>
  <c r="N48" i="67" s="1"/>
  <c r="G47" i="67"/>
  <c r="N47" i="67" s="1"/>
  <c r="G46" i="67"/>
  <c r="N46" i="67" s="1"/>
  <c r="G45" i="67"/>
  <c r="N45" i="67" s="1"/>
  <c r="G44" i="67"/>
  <c r="N44" i="67" s="1"/>
  <c r="G43" i="67"/>
  <c r="N43" i="67" s="1"/>
  <c r="G42" i="67"/>
  <c r="N42" i="67" s="1"/>
  <c r="G41" i="67"/>
  <c r="N41" i="67" s="1"/>
  <c r="G40" i="67"/>
  <c r="N40" i="67" s="1"/>
  <c r="G39" i="67"/>
  <c r="N39" i="67" s="1"/>
  <c r="G38" i="67"/>
  <c r="N38" i="67" s="1"/>
  <c r="G37" i="67"/>
  <c r="N37" i="67" s="1"/>
  <c r="G36" i="67"/>
  <c r="N36" i="67" s="1"/>
  <c r="G35" i="67"/>
  <c r="N35" i="67" s="1"/>
  <c r="G34" i="67"/>
  <c r="N34" i="67" s="1"/>
  <c r="G33" i="67"/>
  <c r="N33" i="67" s="1"/>
  <c r="G32" i="67"/>
  <c r="N32" i="67" s="1"/>
  <c r="G31" i="67"/>
  <c r="N31" i="67" s="1"/>
  <c r="G30" i="67"/>
  <c r="N30" i="67" s="1"/>
  <c r="G29" i="67"/>
  <c r="N29" i="67" s="1"/>
  <c r="G28" i="67"/>
  <c r="N28" i="67" s="1"/>
  <c r="G27" i="67"/>
  <c r="N27" i="67" s="1"/>
  <c r="G26" i="67"/>
  <c r="N26" i="67" s="1"/>
  <c r="G25" i="67"/>
  <c r="N25" i="67" s="1"/>
  <c r="G24" i="67"/>
  <c r="N24" i="67" s="1"/>
  <c r="G23" i="67"/>
  <c r="N23" i="67" s="1"/>
  <c r="G22" i="67"/>
  <c r="N22" i="67" s="1"/>
  <c r="G21" i="67"/>
  <c r="N21" i="67" s="1"/>
  <c r="G20" i="67"/>
  <c r="N20" i="67" s="1"/>
  <c r="G19" i="67"/>
  <c r="N19" i="67" s="1"/>
  <c r="G18" i="67"/>
  <c r="N18" i="67" s="1"/>
  <c r="G17" i="67"/>
  <c r="N17" i="67" s="1"/>
  <c r="G16" i="67"/>
  <c r="N16" i="67" s="1"/>
  <c r="G15" i="67"/>
  <c r="N15" i="67" s="1"/>
  <c r="G14" i="67"/>
  <c r="N14" i="67" s="1"/>
  <c r="G13" i="67"/>
  <c r="N13" i="67" s="1"/>
  <c r="G12" i="67"/>
  <c r="N12" i="67" s="1"/>
  <c r="G11" i="67"/>
  <c r="N11" i="67" s="1"/>
  <c r="G10" i="67"/>
  <c r="N10" i="67" s="1"/>
  <c r="G9" i="67"/>
  <c r="N9" i="67" s="1"/>
  <c r="G8" i="67"/>
  <c r="N8" i="67" s="1"/>
  <c r="N103" i="57"/>
  <c r="N102" i="57"/>
  <c r="N101" i="57"/>
  <c r="N100" i="57"/>
  <c r="N99" i="57"/>
  <c r="N98" i="57"/>
  <c r="N97" i="57"/>
  <c r="N96" i="57"/>
  <c r="N95" i="57"/>
  <c r="N94" i="57"/>
  <c r="N93" i="57"/>
  <c r="N92" i="57"/>
  <c r="N91" i="57"/>
  <c r="N90" i="57"/>
  <c r="N89" i="57"/>
  <c r="N88" i="57"/>
  <c r="N87" i="57"/>
  <c r="N86" i="57"/>
  <c r="N85" i="57"/>
  <c r="N84" i="57"/>
  <c r="N83" i="57"/>
  <c r="N82" i="57"/>
  <c r="N81" i="57"/>
  <c r="N80" i="57"/>
  <c r="N79" i="57"/>
  <c r="N78" i="57"/>
  <c r="N77" i="57"/>
  <c r="N76" i="57"/>
  <c r="N75" i="57"/>
  <c r="N74" i="57"/>
  <c r="N73" i="57"/>
  <c r="N72" i="57"/>
  <c r="N71" i="57"/>
  <c r="N70" i="57"/>
  <c r="N69" i="57"/>
  <c r="N68" i="57"/>
  <c r="N67" i="57"/>
  <c r="N66" i="57"/>
  <c r="N65" i="57"/>
  <c r="N64" i="57"/>
  <c r="N63" i="57"/>
  <c r="N62" i="57"/>
  <c r="N61" i="57"/>
  <c r="N60" i="57"/>
  <c r="N59" i="57"/>
  <c r="N58" i="57"/>
  <c r="N57" i="57"/>
  <c r="N56" i="57"/>
  <c r="N55" i="57"/>
  <c r="N54" i="57"/>
  <c r="N53" i="57"/>
  <c r="N52" i="57"/>
  <c r="N51" i="57"/>
  <c r="N50" i="57"/>
  <c r="N49" i="57"/>
  <c r="N48" i="57"/>
  <c r="N47" i="57"/>
  <c r="N46" i="57"/>
  <c r="N45" i="57"/>
  <c r="N44" i="57"/>
  <c r="N43" i="57"/>
  <c r="N42" i="57"/>
  <c r="N41" i="57"/>
  <c r="N40" i="57"/>
  <c r="N39" i="57"/>
  <c r="N38" i="57"/>
  <c r="N37" i="57"/>
  <c r="N36" i="57"/>
  <c r="N35" i="57"/>
  <c r="N34" i="57"/>
  <c r="N33" i="57"/>
  <c r="N32" i="57"/>
  <c r="N31" i="57"/>
  <c r="N30" i="57"/>
  <c r="N29" i="57"/>
  <c r="N28" i="57"/>
  <c r="N27" i="57"/>
  <c r="N26" i="57"/>
  <c r="N25" i="57"/>
  <c r="N24" i="57"/>
  <c r="N23" i="57"/>
  <c r="N22" i="57"/>
  <c r="N21" i="57"/>
  <c r="N20" i="57"/>
  <c r="N19" i="57"/>
  <c r="N18" i="57"/>
  <c r="N17" i="57"/>
  <c r="N16" i="57"/>
  <c r="N15" i="57"/>
  <c r="N14" i="57"/>
  <c r="N13" i="57"/>
  <c r="N12" i="57"/>
  <c r="N11" i="57"/>
  <c r="N10" i="57"/>
  <c r="N9" i="57"/>
  <c r="N8" i="57"/>
  <c r="L113" i="56"/>
  <c r="L112" i="56"/>
  <c r="L111" i="56"/>
  <c r="L110" i="56"/>
  <c r="L109" i="56"/>
  <c r="L108" i="56"/>
  <c r="L107" i="56"/>
  <c r="L106" i="56"/>
  <c r="L105" i="56"/>
  <c r="L104" i="56"/>
  <c r="L103" i="56"/>
  <c r="L102" i="56"/>
  <c r="L101" i="56"/>
  <c r="L100" i="56"/>
  <c r="L99" i="56"/>
  <c r="L98" i="56"/>
  <c r="L97" i="56"/>
  <c r="L96" i="56"/>
  <c r="L95" i="56"/>
  <c r="L94" i="56"/>
  <c r="L93" i="56"/>
  <c r="L92" i="56"/>
  <c r="L91" i="56"/>
  <c r="L90" i="56"/>
  <c r="L89" i="56"/>
  <c r="L88" i="56"/>
  <c r="L87" i="56"/>
  <c r="L86" i="56"/>
  <c r="L85" i="56"/>
  <c r="L84" i="56"/>
  <c r="L83" i="56"/>
  <c r="L82" i="56"/>
  <c r="L81" i="56"/>
  <c r="L80" i="56"/>
  <c r="L79" i="56"/>
  <c r="L78" i="56"/>
  <c r="L77" i="56"/>
  <c r="L76" i="56"/>
  <c r="L75" i="56"/>
  <c r="L74" i="56"/>
  <c r="L73" i="56"/>
  <c r="L72" i="56"/>
  <c r="L71" i="56"/>
  <c r="L70" i="56"/>
  <c r="L69" i="56"/>
  <c r="L68" i="56"/>
  <c r="L67" i="56"/>
  <c r="L66" i="56"/>
  <c r="L65" i="56"/>
  <c r="L64" i="56"/>
  <c r="L63" i="56"/>
  <c r="L62" i="56"/>
  <c r="L61" i="56"/>
  <c r="L60" i="56"/>
  <c r="L59" i="56"/>
  <c r="L58" i="56"/>
  <c r="L57" i="56"/>
  <c r="L56" i="56"/>
  <c r="L55" i="56"/>
  <c r="L54" i="56"/>
  <c r="L53" i="56"/>
  <c r="L52" i="56"/>
  <c r="L51" i="56"/>
  <c r="L50" i="56"/>
  <c r="L49" i="56"/>
  <c r="L48" i="56"/>
  <c r="L47" i="56"/>
  <c r="L46" i="56"/>
  <c r="L45" i="56"/>
  <c r="L44" i="56"/>
  <c r="L43" i="56"/>
  <c r="L42" i="56"/>
  <c r="L41" i="56"/>
  <c r="L40" i="56"/>
  <c r="L39" i="56"/>
  <c r="L38" i="56"/>
  <c r="L37" i="56"/>
  <c r="L36" i="56"/>
  <c r="L35" i="56"/>
  <c r="L34" i="56"/>
  <c r="L33" i="56"/>
  <c r="L32" i="56"/>
  <c r="L31" i="56"/>
  <c r="L30" i="56"/>
  <c r="L29" i="56"/>
  <c r="L28" i="56"/>
  <c r="L27" i="56"/>
  <c r="L26" i="56"/>
  <c r="L25" i="56"/>
  <c r="L24" i="56"/>
  <c r="L23" i="56"/>
  <c r="L22" i="56"/>
  <c r="L21" i="56"/>
  <c r="B20" i="68"/>
  <c r="C20" i="68"/>
  <c r="D20" i="68"/>
  <c r="E20" i="68"/>
  <c r="F20" i="68"/>
  <c r="B21" i="68"/>
  <c r="C21" i="68"/>
  <c r="D21" i="68"/>
  <c r="E21" i="68"/>
  <c r="F21" i="68"/>
  <c r="B22" i="68"/>
  <c r="C22" i="68"/>
  <c r="D22" i="68"/>
  <c r="E22" i="68"/>
  <c r="F22" i="68"/>
  <c r="B23" i="68"/>
  <c r="C23" i="68"/>
  <c r="D23" i="68"/>
  <c r="E23" i="68"/>
  <c r="F23" i="68"/>
  <c r="B24" i="68"/>
  <c r="C24" i="68"/>
  <c r="D24" i="68"/>
  <c r="E24" i="68"/>
  <c r="F24" i="68"/>
  <c r="B25" i="68"/>
  <c r="C25" i="68"/>
  <c r="D25" i="68"/>
  <c r="E25" i="68"/>
  <c r="F25" i="68"/>
  <c r="B26" i="68"/>
  <c r="C26" i="68"/>
  <c r="D26" i="68"/>
  <c r="E26" i="68"/>
  <c r="F26" i="68"/>
  <c r="B27" i="68"/>
  <c r="C27" i="68"/>
  <c r="D27" i="68"/>
  <c r="E27" i="68"/>
  <c r="F27" i="68"/>
  <c r="B28" i="68"/>
  <c r="C28" i="68"/>
  <c r="D28" i="68"/>
  <c r="E28" i="68"/>
  <c r="F28" i="68"/>
  <c r="B29" i="68"/>
  <c r="C29" i="68"/>
  <c r="D29" i="68"/>
  <c r="E29" i="68"/>
  <c r="F29" i="68"/>
  <c r="B30" i="68"/>
  <c r="C30" i="68"/>
  <c r="D30" i="68"/>
  <c r="E30" i="68"/>
  <c r="F30" i="68"/>
  <c r="B31" i="68"/>
  <c r="C31" i="68"/>
  <c r="D31" i="68"/>
  <c r="E31" i="68"/>
  <c r="F31" i="68"/>
  <c r="B32" i="68"/>
  <c r="C32" i="68"/>
  <c r="D32" i="68"/>
  <c r="E32" i="68"/>
  <c r="F32" i="68"/>
  <c r="B33" i="68"/>
  <c r="C33" i="68"/>
  <c r="D33" i="68"/>
  <c r="E33" i="68"/>
  <c r="F33" i="68"/>
  <c r="B34" i="68"/>
  <c r="C34" i="68"/>
  <c r="D34" i="68"/>
  <c r="E34" i="68"/>
  <c r="F34" i="68"/>
  <c r="B35" i="68"/>
  <c r="C35" i="68"/>
  <c r="D35" i="68"/>
  <c r="E35" i="68"/>
  <c r="F35" i="68"/>
  <c r="B36" i="68"/>
  <c r="C36" i="68"/>
  <c r="D36" i="68"/>
  <c r="E36" i="68"/>
  <c r="F36" i="68"/>
  <c r="B37" i="68"/>
  <c r="C37" i="68"/>
  <c r="D37" i="68"/>
  <c r="E37" i="68"/>
  <c r="F37" i="68"/>
  <c r="B38" i="68"/>
  <c r="C38" i="68"/>
  <c r="D38" i="68"/>
  <c r="E38" i="68"/>
  <c r="F38" i="68"/>
  <c r="B39" i="68"/>
  <c r="C39" i="68"/>
  <c r="D39" i="68"/>
  <c r="E39" i="68"/>
  <c r="F39" i="68"/>
  <c r="B40" i="68"/>
  <c r="C40" i="68"/>
  <c r="D40" i="68"/>
  <c r="E40" i="68"/>
  <c r="F40" i="68"/>
  <c r="B41" i="68"/>
  <c r="C41" i="68"/>
  <c r="D41" i="68"/>
  <c r="E41" i="68"/>
  <c r="F41" i="68"/>
  <c r="B42" i="68"/>
  <c r="C42" i="68"/>
  <c r="D42" i="68"/>
  <c r="E42" i="68"/>
  <c r="F42" i="68"/>
  <c r="B43" i="68"/>
  <c r="C43" i="68"/>
  <c r="D43" i="68"/>
  <c r="E43" i="68"/>
  <c r="F43" i="68"/>
  <c r="B44" i="68"/>
  <c r="C44" i="68"/>
  <c r="D44" i="68"/>
  <c r="E44" i="68"/>
  <c r="F44" i="68"/>
  <c r="B45" i="68"/>
  <c r="C45" i="68"/>
  <c r="D45" i="68"/>
  <c r="E45" i="68"/>
  <c r="F45" i="68"/>
  <c r="B46" i="68"/>
  <c r="C46" i="68"/>
  <c r="D46" i="68"/>
  <c r="E46" i="68"/>
  <c r="F46" i="68"/>
  <c r="B47" i="68"/>
  <c r="C47" i="68"/>
  <c r="D47" i="68"/>
  <c r="E47" i="68"/>
  <c r="F47" i="68"/>
  <c r="B48" i="68"/>
  <c r="C48" i="68"/>
  <c r="D48" i="68"/>
  <c r="E48" i="68"/>
  <c r="F48" i="68"/>
  <c r="B49" i="68"/>
  <c r="C49" i="68"/>
  <c r="D49" i="68"/>
  <c r="E49" i="68"/>
  <c r="F49" i="68"/>
  <c r="B50" i="68"/>
  <c r="C50" i="68"/>
  <c r="D50" i="68"/>
  <c r="E50" i="68"/>
  <c r="F50" i="68"/>
  <c r="B51" i="68"/>
  <c r="C51" i="68"/>
  <c r="D51" i="68"/>
  <c r="E51" i="68"/>
  <c r="F51" i="68"/>
  <c r="B20" i="78"/>
  <c r="C20" i="78"/>
  <c r="D20" i="78"/>
  <c r="E20" i="78"/>
  <c r="F20" i="78"/>
  <c r="B21" i="78"/>
  <c r="C21" i="78"/>
  <c r="D21" i="78"/>
  <c r="E21" i="78"/>
  <c r="F21" i="78"/>
  <c r="B22" i="78"/>
  <c r="C22" i="78"/>
  <c r="D22" i="78"/>
  <c r="E22" i="78"/>
  <c r="F22" i="78"/>
  <c r="B23" i="78"/>
  <c r="C23" i="78"/>
  <c r="D23" i="78"/>
  <c r="E23" i="78"/>
  <c r="F23" i="78"/>
  <c r="B24" i="78"/>
  <c r="C24" i="78"/>
  <c r="D24" i="78"/>
  <c r="E24" i="78"/>
  <c r="F24" i="78"/>
  <c r="B25" i="78"/>
  <c r="C25" i="78"/>
  <c r="D25" i="78"/>
  <c r="E25" i="78"/>
  <c r="F25" i="78"/>
  <c r="B26" i="78"/>
  <c r="C26" i="78"/>
  <c r="D26" i="78"/>
  <c r="E26" i="78"/>
  <c r="F26" i="78"/>
  <c r="B27" i="78"/>
  <c r="C27" i="78"/>
  <c r="D27" i="78"/>
  <c r="E27" i="78"/>
  <c r="F27" i="78"/>
  <c r="B28" i="78"/>
  <c r="C28" i="78"/>
  <c r="D28" i="78"/>
  <c r="E28" i="78"/>
  <c r="F28" i="78"/>
  <c r="B29" i="78"/>
  <c r="C29" i="78"/>
  <c r="D29" i="78"/>
  <c r="E29" i="78"/>
  <c r="F29" i="78"/>
  <c r="B30" i="78"/>
  <c r="C30" i="78"/>
  <c r="D30" i="78"/>
  <c r="E30" i="78"/>
  <c r="F30" i="78"/>
  <c r="B31" i="78"/>
  <c r="C31" i="78"/>
  <c r="D31" i="78"/>
  <c r="E31" i="78"/>
  <c r="F31" i="78"/>
  <c r="B32" i="78"/>
  <c r="C32" i="78"/>
  <c r="D32" i="78"/>
  <c r="E32" i="78"/>
  <c r="F32" i="78"/>
  <c r="B33" i="78"/>
  <c r="C33" i="78"/>
  <c r="D33" i="78"/>
  <c r="E33" i="78"/>
  <c r="F33" i="78"/>
  <c r="B34" i="78"/>
  <c r="C34" i="78"/>
  <c r="D34" i="78"/>
  <c r="E34" i="78"/>
  <c r="F34" i="78"/>
  <c r="B35" i="78"/>
  <c r="C35" i="78"/>
  <c r="D35" i="78"/>
  <c r="E35" i="78"/>
  <c r="F35" i="78"/>
  <c r="B36" i="78"/>
  <c r="C36" i="78"/>
  <c r="D36" i="78"/>
  <c r="E36" i="78"/>
  <c r="F36" i="78"/>
  <c r="B37" i="78"/>
  <c r="C37" i="78"/>
  <c r="D37" i="78"/>
  <c r="E37" i="78"/>
  <c r="F37" i="78"/>
  <c r="B38" i="78"/>
  <c r="C38" i="78"/>
  <c r="D38" i="78"/>
  <c r="E38" i="78"/>
  <c r="F38" i="78"/>
  <c r="B39" i="78"/>
  <c r="C39" i="78"/>
  <c r="D39" i="78"/>
  <c r="E39" i="78"/>
  <c r="F39" i="78"/>
  <c r="B40" i="78"/>
  <c r="C40" i="78"/>
  <c r="D40" i="78"/>
  <c r="E40" i="78"/>
  <c r="F40" i="78"/>
  <c r="B41" i="78"/>
  <c r="C41" i="78"/>
  <c r="D41" i="78"/>
  <c r="E41" i="78"/>
  <c r="F41" i="78"/>
  <c r="B42" i="78"/>
  <c r="C42" i="78"/>
  <c r="D42" i="78"/>
  <c r="E42" i="78"/>
  <c r="F42" i="78"/>
  <c r="B43" i="78"/>
  <c r="C43" i="78"/>
  <c r="D43" i="78"/>
  <c r="E43" i="78"/>
  <c r="F43" i="78"/>
  <c r="B44" i="78"/>
  <c r="C44" i="78"/>
  <c r="D44" i="78"/>
  <c r="E44" i="78"/>
  <c r="F44" i="78"/>
  <c r="B45" i="78"/>
  <c r="C45" i="78"/>
  <c r="D45" i="78"/>
  <c r="E45" i="78"/>
  <c r="F45" i="78"/>
  <c r="B46" i="78"/>
  <c r="C46" i="78"/>
  <c r="D46" i="78"/>
  <c r="E46" i="78"/>
  <c r="F46" i="78"/>
  <c r="B47" i="78"/>
  <c r="C47" i="78"/>
  <c r="D47" i="78"/>
  <c r="E47" i="78"/>
  <c r="F47" i="78"/>
  <c r="B48" i="78"/>
  <c r="C48" i="78"/>
  <c r="D48" i="78"/>
  <c r="E48" i="78"/>
  <c r="F48" i="78"/>
  <c r="B49" i="78"/>
  <c r="C49" i="78"/>
  <c r="D49" i="78"/>
  <c r="E49" i="78"/>
  <c r="F49" i="78"/>
  <c r="B50" i="78"/>
  <c r="C50" i="78"/>
  <c r="D50" i="78"/>
  <c r="E50" i="78"/>
  <c r="F50" i="78"/>
  <c r="B51" i="78"/>
  <c r="C51" i="78"/>
  <c r="D51" i="78"/>
  <c r="E51" i="78"/>
  <c r="F51" i="78"/>
  <c r="B20" i="79"/>
  <c r="C20" i="79"/>
  <c r="D20" i="79"/>
  <c r="E20" i="79"/>
  <c r="F20" i="79"/>
  <c r="B21" i="79"/>
  <c r="C21" i="79"/>
  <c r="D21" i="79"/>
  <c r="E21" i="79"/>
  <c r="F21" i="79"/>
  <c r="B22" i="79"/>
  <c r="C22" i="79"/>
  <c r="D22" i="79"/>
  <c r="E22" i="79"/>
  <c r="F22" i="79"/>
  <c r="B23" i="79"/>
  <c r="C23" i="79"/>
  <c r="D23" i="79"/>
  <c r="E23" i="79"/>
  <c r="F23" i="79"/>
  <c r="B24" i="79"/>
  <c r="C24" i="79"/>
  <c r="D24" i="79"/>
  <c r="E24" i="79"/>
  <c r="F24" i="79"/>
  <c r="B25" i="79"/>
  <c r="C25" i="79"/>
  <c r="D25" i="79"/>
  <c r="E25" i="79"/>
  <c r="F25" i="79"/>
  <c r="B26" i="79"/>
  <c r="C26" i="79"/>
  <c r="D26" i="79"/>
  <c r="E26" i="79"/>
  <c r="F26" i="79"/>
  <c r="B27" i="79"/>
  <c r="C27" i="79"/>
  <c r="D27" i="79"/>
  <c r="E27" i="79"/>
  <c r="F27" i="79"/>
  <c r="B28" i="79"/>
  <c r="C28" i="79"/>
  <c r="D28" i="79"/>
  <c r="E28" i="79"/>
  <c r="F28" i="79"/>
  <c r="B29" i="79"/>
  <c r="C29" i="79"/>
  <c r="D29" i="79"/>
  <c r="E29" i="79"/>
  <c r="F29" i="79"/>
  <c r="B30" i="79"/>
  <c r="C30" i="79"/>
  <c r="D30" i="79"/>
  <c r="E30" i="79"/>
  <c r="F30" i="79"/>
  <c r="B31" i="79"/>
  <c r="C31" i="79"/>
  <c r="D31" i="79"/>
  <c r="E31" i="79"/>
  <c r="F31" i="79"/>
  <c r="B32" i="79"/>
  <c r="C32" i="79"/>
  <c r="D32" i="79"/>
  <c r="E32" i="79"/>
  <c r="F32" i="79"/>
  <c r="B33" i="79"/>
  <c r="C33" i="79"/>
  <c r="D33" i="79"/>
  <c r="E33" i="79"/>
  <c r="F33" i="79"/>
  <c r="B34" i="79"/>
  <c r="C34" i="79"/>
  <c r="D34" i="79"/>
  <c r="E34" i="79"/>
  <c r="F34" i="79"/>
  <c r="B35" i="79"/>
  <c r="C35" i="79"/>
  <c r="D35" i="79"/>
  <c r="E35" i="79"/>
  <c r="F35" i="79"/>
  <c r="B36" i="79"/>
  <c r="C36" i="79"/>
  <c r="D36" i="79"/>
  <c r="E36" i="79"/>
  <c r="F36" i="79"/>
  <c r="B37" i="79"/>
  <c r="C37" i="79"/>
  <c r="D37" i="79"/>
  <c r="E37" i="79"/>
  <c r="F37" i="79"/>
  <c r="B38" i="79"/>
  <c r="C38" i="79"/>
  <c r="D38" i="79"/>
  <c r="E38" i="79"/>
  <c r="F38" i="79"/>
  <c r="B39" i="79"/>
  <c r="C39" i="79"/>
  <c r="D39" i="79"/>
  <c r="E39" i="79"/>
  <c r="F39" i="79"/>
  <c r="B40" i="79"/>
  <c r="C40" i="79"/>
  <c r="D40" i="79"/>
  <c r="E40" i="79"/>
  <c r="F40" i="79"/>
  <c r="B41" i="79"/>
  <c r="C41" i="79"/>
  <c r="D41" i="79"/>
  <c r="E41" i="79"/>
  <c r="F41" i="79"/>
  <c r="B42" i="79"/>
  <c r="C42" i="79"/>
  <c r="D42" i="79"/>
  <c r="E42" i="79"/>
  <c r="F42" i="79"/>
  <c r="B43" i="79"/>
  <c r="C43" i="79"/>
  <c r="D43" i="79"/>
  <c r="E43" i="79"/>
  <c r="F43" i="79"/>
  <c r="B44" i="79"/>
  <c r="C44" i="79"/>
  <c r="D44" i="79"/>
  <c r="E44" i="79"/>
  <c r="F44" i="79"/>
  <c r="B45" i="79"/>
  <c r="C45" i="79"/>
  <c r="D45" i="79"/>
  <c r="E45" i="79"/>
  <c r="F45" i="79"/>
  <c r="B46" i="79"/>
  <c r="C46" i="79"/>
  <c r="D46" i="79"/>
  <c r="E46" i="79"/>
  <c r="F46" i="79"/>
  <c r="B47" i="79"/>
  <c r="C47" i="79"/>
  <c r="D47" i="79"/>
  <c r="E47" i="79"/>
  <c r="F47" i="79"/>
  <c r="B48" i="79"/>
  <c r="C48" i="79"/>
  <c r="D48" i="79"/>
  <c r="E48" i="79"/>
  <c r="F48" i="79"/>
  <c r="B49" i="79"/>
  <c r="C49" i="79"/>
  <c r="D49" i="79"/>
  <c r="E49" i="79"/>
  <c r="F49" i="79"/>
  <c r="B50" i="79"/>
  <c r="C50" i="79"/>
  <c r="D50" i="79"/>
  <c r="E50" i="79"/>
  <c r="F50" i="79"/>
  <c r="B51" i="79"/>
  <c r="C51" i="79"/>
  <c r="D51" i="79"/>
  <c r="E51" i="79"/>
  <c r="F51" i="79"/>
  <c r="B20" i="85"/>
  <c r="C20" i="85"/>
  <c r="D20" i="85"/>
  <c r="E20" i="85"/>
  <c r="F20" i="85"/>
  <c r="B21" i="85"/>
  <c r="C21" i="85"/>
  <c r="D21" i="85"/>
  <c r="E21" i="85"/>
  <c r="F21" i="85"/>
  <c r="B22" i="85"/>
  <c r="C22" i="85"/>
  <c r="D22" i="85"/>
  <c r="E22" i="85"/>
  <c r="F22" i="85"/>
  <c r="B23" i="85"/>
  <c r="C23" i="85"/>
  <c r="D23" i="85"/>
  <c r="E23" i="85"/>
  <c r="F23" i="85"/>
  <c r="B24" i="85"/>
  <c r="C24" i="85"/>
  <c r="D24" i="85"/>
  <c r="E24" i="85"/>
  <c r="F24" i="85"/>
  <c r="B25" i="85"/>
  <c r="C25" i="85"/>
  <c r="D25" i="85"/>
  <c r="E25" i="85"/>
  <c r="F25" i="85"/>
  <c r="B26" i="85"/>
  <c r="C26" i="85"/>
  <c r="D26" i="85"/>
  <c r="E26" i="85"/>
  <c r="F26" i="85"/>
  <c r="B27" i="85"/>
  <c r="C27" i="85"/>
  <c r="D27" i="85"/>
  <c r="E27" i="85"/>
  <c r="F27" i="85"/>
  <c r="B28" i="85"/>
  <c r="C28" i="85"/>
  <c r="D28" i="85"/>
  <c r="E28" i="85"/>
  <c r="F28" i="85"/>
  <c r="B29" i="85"/>
  <c r="C29" i="85"/>
  <c r="D29" i="85"/>
  <c r="E29" i="85"/>
  <c r="F29" i="85"/>
  <c r="B30" i="85"/>
  <c r="C30" i="85"/>
  <c r="D30" i="85"/>
  <c r="E30" i="85"/>
  <c r="F30" i="85"/>
  <c r="B31" i="85"/>
  <c r="C31" i="85"/>
  <c r="D31" i="85"/>
  <c r="E31" i="85"/>
  <c r="F31" i="85"/>
  <c r="B32" i="85"/>
  <c r="C32" i="85"/>
  <c r="D32" i="85"/>
  <c r="E32" i="85"/>
  <c r="F32" i="85"/>
  <c r="B33" i="85"/>
  <c r="C33" i="85"/>
  <c r="D33" i="85"/>
  <c r="E33" i="85"/>
  <c r="F33" i="85"/>
  <c r="B34" i="85"/>
  <c r="C34" i="85"/>
  <c r="D34" i="85"/>
  <c r="E34" i="85"/>
  <c r="F34" i="85"/>
  <c r="B35" i="85"/>
  <c r="C35" i="85"/>
  <c r="D35" i="85"/>
  <c r="E35" i="85"/>
  <c r="F35" i="85"/>
  <c r="B36" i="85"/>
  <c r="C36" i="85"/>
  <c r="D36" i="85"/>
  <c r="E36" i="85"/>
  <c r="F36" i="85"/>
  <c r="B37" i="85"/>
  <c r="C37" i="85"/>
  <c r="D37" i="85"/>
  <c r="E37" i="85"/>
  <c r="F37" i="85"/>
  <c r="B38" i="85"/>
  <c r="C38" i="85"/>
  <c r="D38" i="85"/>
  <c r="E38" i="85"/>
  <c r="F38" i="85"/>
  <c r="B39" i="85"/>
  <c r="C39" i="85"/>
  <c r="D39" i="85"/>
  <c r="E39" i="85"/>
  <c r="F39" i="85"/>
  <c r="B40" i="85"/>
  <c r="C40" i="85"/>
  <c r="D40" i="85"/>
  <c r="E40" i="85"/>
  <c r="F40" i="85"/>
  <c r="B41" i="85"/>
  <c r="C41" i="85"/>
  <c r="D41" i="85"/>
  <c r="E41" i="85"/>
  <c r="F41" i="85"/>
  <c r="B42" i="85"/>
  <c r="C42" i="85"/>
  <c r="D42" i="85"/>
  <c r="E42" i="85"/>
  <c r="F42" i="85"/>
  <c r="B43" i="85"/>
  <c r="C43" i="85"/>
  <c r="D43" i="85"/>
  <c r="E43" i="85"/>
  <c r="F43" i="85"/>
  <c r="B44" i="85"/>
  <c r="C44" i="85"/>
  <c r="D44" i="85"/>
  <c r="E44" i="85"/>
  <c r="F44" i="85"/>
  <c r="B45" i="85"/>
  <c r="C45" i="85"/>
  <c r="D45" i="85"/>
  <c r="E45" i="85"/>
  <c r="F45" i="85"/>
  <c r="B46" i="85"/>
  <c r="C46" i="85"/>
  <c r="D46" i="85"/>
  <c r="E46" i="85"/>
  <c r="F46" i="85"/>
  <c r="B47" i="85"/>
  <c r="C47" i="85"/>
  <c r="D47" i="85"/>
  <c r="E47" i="85"/>
  <c r="F47" i="85"/>
  <c r="B48" i="85"/>
  <c r="C48" i="85"/>
  <c r="D48" i="85"/>
  <c r="E48" i="85"/>
  <c r="F48" i="85"/>
  <c r="B49" i="85"/>
  <c r="C49" i="85"/>
  <c r="D49" i="85"/>
  <c r="E49" i="85"/>
  <c r="F49" i="85"/>
  <c r="B50" i="85"/>
  <c r="C50" i="85"/>
  <c r="D50" i="85"/>
  <c r="E50" i="85"/>
  <c r="F50" i="85"/>
  <c r="B51" i="85"/>
  <c r="C51" i="85"/>
  <c r="D51" i="85"/>
  <c r="E51" i="85"/>
  <c r="F51" i="85"/>
  <c r="B20" i="83"/>
  <c r="C20" i="83"/>
  <c r="D20" i="83"/>
  <c r="E20" i="83"/>
  <c r="F20" i="83"/>
  <c r="B21" i="83"/>
  <c r="C21" i="83"/>
  <c r="D21" i="83"/>
  <c r="E21" i="83"/>
  <c r="F21" i="83"/>
  <c r="B22" i="83"/>
  <c r="C22" i="83"/>
  <c r="D22" i="83"/>
  <c r="E22" i="83"/>
  <c r="F22" i="83"/>
  <c r="B23" i="83"/>
  <c r="C23" i="83"/>
  <c r="D23" i="83"/>
  <c r="E23" i="83"/>
  <c r="F23" i="83"/>
  <c r="B24" i="83"/>
  <c r="C24" i="83"/>
  <c r="D24" i="83"/>
  <c r="E24" i="83"/>
  <c r="F24" i="83"/>
  <c r="B25" i="83"/>
  <c r="C25" i="83"/>
  <c r="D25" i="83"/>
  <c r="E25" i="83"/>
  <c r="F25" i="83"/>
  <c r="B26" i="83"/>
  <c r="C26" i="83"/>
  <c r="D26" i="83"/>
  <c r="E26" i="83"/>
  <c r="F26" i="83"/>
  <c r="B27" i="83"/>
  <c r="C27" i="83"/>
  <c r="D27" i="83"/>
  <c r="E27" i="83"/>
  <c r="F27" i="83"/>
  <c r="B28" i="83"/>
  <c r="C28" i="83"/>
  <c r="D28" i="83"/>
  <c r="E28" i="83"/>
  <c r="F28" i="83"/>
  <c r="B29" i="83"/>
  <c r="C29" i="83"/>
  <c r="D29" i="83"/>
  <c r="E29" i="83"/>
  <c r="F29" i="83"/>
  <c r="B30" i="83"/>
  <c r="C30" i="83"/>
  <c r="D30" i="83"/>
  <c r="E30" i="83"/>
  <c r="F30" i="83"/>
  <c r="B31" i="83"/>
  <c r="C31" i="83"/>
  <c r="D31" i="83"/>
  <c r="E31" i="83"/>
  <c r="F31" i="83"/>
  <c r="B32" i="83"/>
  <c r="C32" i="83"/>
  <c r="D32" i="83"/>
  <c r="E32" i="83"/>
  <c r="F32" i="83"/>
  <c r="B33" i="83"/>
  <c r="C33" i="83"/>
  <c r="D33" i="83"/>
  <c r="E33" i="83"/>
  <c r="F33" i="83"/>
  <c r="B34" i="83"/>
  <c r="C34" i="83"/>
  <c r="D34" i="83"/>
  <c r="E34" i="83"/>
  <c r="F34" i="83"/>
  <c r="B35" i="83"/>
  <c r="C35" i="83"/>
  <c r="D35" i="83"/>
  <c r="E35" i="83"/>
  <c r="F35" i="83"/>
  <c r="B36" i="83"/>
  <c r="C36" i="83"/>
  <c r="D36" i="83"/>
  <c r="E36" i="83"/>
  <c r="F36" i="83"/>
  <c r="B37" i="83"/>
  <c r="C37" i="83"/>
  <c r="D37" i="83"/>
  <c r="E37" i="83"/>
  <c r="F37" i="83"/>
  <c r="B38" i="83"/>
  <c r="C38" i="83"/>
  <c r="D38" i="83"/>
  <c r="E38" i="83"/>
  <c r="F38" i="83"/>
  <c r="B39" i="83"/>
  <c r="C39" i="83"/>
  <c r="D39" i="83"/>
  <c r="E39" i="83"/>
  <c r="F39" i="83"/>
  <c r="B40" i="83"/>
  <c r="C40" i="83"/>
  <c r="D40" i="83"/>
  <c r="E40" i="83"/>
  <c r="F40" i="83"/>
  <c r="B41" i="83"/>
  <c r="C41" i="83"/>
  <c r="D41" i="83"/>
  <c r="E41" i="83"/>
  <c r="F41" i="83"/>
  <c r="B42" i="83"/>
  <c r="C42" i="83"/>
  <c r="D42" i="83"/>
  <c r="E42" i="83"/>
  <c r="F42" i="83"/>
  <c r="B43" i="83"/>
  <c r="C43" i="83"/>
  <c r="D43" i="83"/>
  <c r="E43" i="83"/>
  <c r="F43" i="83"/>
  <c r="B44" i="83"/>
  <c r="C44" i="83"/>
  <c r="D44" i="83"/>
  <c r="E44" i="83"/>
  <c r="F44" i="83"/>
  <c r="B45" i="83"/>
  <c r="C45" i="83"/>
  <c r="D45" i="83"/>
  <c r="E45" i="83"/>
  <c r="F45" i="83"/>
  <c r="B46" i="83"/>
  <c r="C46" i="83"/>
  <c r="D46" i="83"/>
  <c r="E46" i="83"/>
  <c r="F46" i="83"/>
  <c r="B47" i="83"/>
  <c r="C47" i="83"/>
  <c r="D47" i="83"/>
  <c r="E47" i="83"/>
  <c r="F47" i="83"/>
  <c r="B48" i="83"/>
  <c r="C48" i="83"/>
  <c r="D48" i="83"/>
  <c r="E48" i="83"/>
  <c r="F48" i="83"/>
  <c r="B49" i="83"/>
  <c r="C49" i="83"/>
  <c r="D49" i="83"/>
  <c r="E49" i="83"/>
  <c r="F49" i="83"/>
  <c r="B50" i="83"/>
  <c r="C50" i="83"/>
  <c r="D50" i="83"/>
  <c r="E50" i="83"/>
  <c r="F50" i="83"/>
  <c r="B51" i="83"/>
  <c r="C51" i="83"/>
  <c r="D51" i="83"/>
  <c r="E51" i="83"/>
  <c r="F51" i="83"/>
  <c r="B20" i="82"/>
  <c r="C20" i="82"/>
  <c r="D20" i="82"/>
  <c r="E20" i="82"/>
  <c r="F20" i="82"/>
  <c r="B21" i="82"/>
  <c r="C21" i="82"/>
  <c r="D21" i="82"/>
  <c r="E21" i="82"/>
  <c r="F21" i="82"/>
  <c r="B22" i="82"/>
  <c r="C22" i="82"/>
  <c r="D22" i="82"/>
  <c r="E22" i="82"/>
  <c r="F22" i="82"/>
  <c r="B23" i="82"/>
  <c r="C23" i="82"/>
  <c r="D23" i="82"/>
  <c r="E23" i="82"/>
  <c r="F23" i="82"/>
  <c r="B24" i="82"/>
  <c r="C24" i="82"/>
  <c r="D24" i="82"/>
  <c r="E24" i="82"/>
  <c r="F24" i="82"/>
  <c r="B25" i="82"/>
  <c r="C25" i="82"/>
  <c r="D25" i="82"/>
  <c r="E25" i="82"/>
  <c r="F25" i="82"/>
  <c r="B26" i="82"/>
  <c r="C26" i="82"/>
  <c r="D26" i="82"/>
  <c r="E26" i="82"/>
  <c r="F26" i="82"/>
  <c r="B27" i="82"/>
  <c r="C27" i="82"/>
  <c r="D27" i="82"/>
  <c r="E27" i="82"/>
  <c r="F27" i="82"/>
  <c r="B28" i="82"/>
  <c r="C28" i="82"/>
  <c r="D28" i="82"/>
  <c r="E28" i="82"/>
  <c r="F28" i="82"/>
  <c r="B29" i="82"/>
  <c r="C29" i="82"/>
  <c r="D29" i="82"/>
  <c r="E29" i="82"/>
  <c r="F29" i="82"/>
  <c r="B30" i="82"/>
  <c r="C30" i="82"/>
  <c r="D30" i="82"/>
  <c r="E30" i="82"/>
  <c r="F30" i="82"/>
  <c r="B31" i="82"/>
  <c r="C31" i="82"/>
  <c r="D31" i="82"/>
  <c r="E31" i="82"/>
  <c r="F31" i="82"/>
  <c r="B32" i="82"/>
  <c r="C32" i="82"/>
  <c r="D32" i="82"/>
  <c r="E32" i="82"/>
  <c r="F32" i="82"/>
  <c r="B33" i="82"/>
  <c r="C33" i="82"/>
  <c r="D33" i="82"/>
  <c r="E33" i="82"/>
  <c r="F33" i="82"/>
  <c r="B34" i="82"/>
  <c r="C34" i="82"/>
  <c r="D34" i="82"/>
  <c r="E34" i="82"/>
  <c r="F34" i="82"/>
  <c r="B35" i="82"/>
  <c r="C35" i="82"/>
  <c r="D35" i="82"/>
  <c r="E35" i="82"/>
  <c r="F35" i="82"/>
  <c r="B36" i="82"/>
  <c r="C36" i="82"/>
  <c r="D36" i="82"/>
  <c r="E36" i="82"/>
  <c r="F36" i="82"/>
  <c r="B37" i="82"/>
  <c r="C37" i="82"/>
  <c r="D37" i="82"/>
  <c r="E37" i="82"/>
  <c r="F37" i="82"/>
  <c r="B38" i="82"/>
  <c r="C38" i="82"/>
  <c r="D38" i="82"/>
  <c r="E38" i="82"/>
  <c r="F38" i="82"/>
  <c r="B39" i="82"/>
  <c r="C39" i="82"/>
  <c r="D39" i="82"/>
  <c r="E39" i="82"/>
  <c r="F39" i="82"/>
  <c r="B40" i="82"/>
  <c r="C40" i="82"/>
  <c r="D40" i="82"/>
  <c r="E40" i="82"/>
  <c r="F40" i="82"/>
  <c r="B41" i="82"/>
  <c r="C41" i="82"/>
  <c r="D41" i="82"/>
  <c r="E41" i="82"/>
  <c r="F41" i="82"/>
  <c r="B42" i="82"/>
  <c r="C42" i="82"/>
  <c r="D42" i="82"/>
  <c r="E42" i="82"/>
  <c r="F42" i="82"/>
  <c r="B43" i="82"/>
  <c r="C43" i="82"/>
  <c r="D43" i="82"/>
  <c r="E43" i="82"/>
  <c r="F43" i="82"/>
  <c r="B44" i="82"/>
  <c r="C44" i="82"/>
  <c r="D44" i="82"/>
  <c r="E44" i="82"/>
  <c r="F44" i="82"/>
  <c r="B45" i="82"/>
  <c r="C45" i="82"/>
  <c r="D45" i="82"/>
  <c r="E45" i="82"/>
  <c r="F45" i="82"/>
  <c r="B46" i="82"/>
  <c r="C46" i="82"/>
  <c r="D46" i="82"/>
  <c r="E46" i="82"/>
  <c r="F46" i="82"/>
  <c r="B47" i="82"/>
  <c r="C47" i="82"/>
  <c r="D47" i="82"/>
  <c r="E47" i="82"/>
  <c r="F47" i="82"/>
  <c r="B48" i="82"/>
  <c r="C48" i="82"/>
  <c r="D48" i="82"/>
  <c r="E48" i="82"/>
  <c r="F48" i="82"/>
  <c r="B49" i="82"/>
  <c r="C49" i="82"/>
  <c r="D49" i="82"/>
  <c r="E49" i="82"/>
  <c r="F49" i="82"/>
  <c r="B50" i="82"/>
  <c r="C50" i="82"/>
  <c r="D50" i="82"/>
  <c r="E50" i="82"/>
  <c r="F50" i="82"/>
  <c r="B51" i="82"/>
  <c r="C51" i="82"/>
  <c r="D51" i="82"/>
  <c r="E51" i="82"/>
  <c r="F51" i="82"/>
  <c r="B103" i="82"/>
  <c r="C103" i="82"/>
  <c r="D103" i="82"/>
  <c r="E103" i="82"/>
  <c r="F103" i="82"/>
  <c r="B103" i="83"/>
  <c r="C103" i="83"/>
  <c r="D103" i="83"/>
  <c r="E103" i="83"/>
  <c r="F103" i="83"/>
  <c r="B103" i="85"/>
  <c r="C103" i="85"/>
  <c r="D103" i="85"/>
  <c r="E103" i="85"/>
  <c r="F103" i="85"/>
  <c r="B103" i="79"/>
  <c r="C103" i="79"/>
  <c r="D103" i="79"/>
  <c r="E103" i="79"/>
  <c r="F103" i="79"/>
  <c r="B103" i="78"/>
  <c r="C103" i="78"/>
  <c r="D103" i="78"/>
  <c r="E103" i="78"/>
  <c r="F103" i="78"/>
  <c r="B103" i="68"/>
  <c r="C103" i="68"/>
  <c r="D103" i="68"/>
  <c r="E103" i="68"/>
  <c r="F103" i="68"/>
  <c r="H114" i="57"/>
  <c r="F206" i="57"/>
  <c r="E206" i="57"/>
  <c r="D206" i="57"/>
  <c r="C206" i="57"/>
  <c r="F205" i="57"/>
  <c r="E205" i="57"/>
  <c r="D205" i="57"/>
  <c r="C205" i="57"/>
  <c r="F204" i="57"/>
  <c r="E204" i="57"/>
  <c r="D204" i="57"/>
  <c r="C204" i="57"/>
  <c r="F203" i="57"/>
  <c r="E203" i="57"/>
  <c r="D203" i="57"/>
  <c r="C203" i="57"/>
  <c r="F202" i="57"/>
  <c r="E202" i="57"/>
  <c r="D202" i="57"/>
  <c r="C202" i="57"/>
  <c r="F201" i="57"/>
  <c r="E201" i="57"/>
  <c r="D201" i="57"/>
  <c r="C201" i="57"/>
  <c r="F200" i="57"/>
  <c r="E200" i="57"/>
  <c r="D200" i="57"/>
  <c r="C200" i="57"/>
  <c r="F199" i="57"/>
  <c r="E199" i="57"/>
  <c r="D199" i="57"/>
  <c r="C199" i="57"/>
  <c r="F198" i="57"/>
  <c r="E198" i="57"/>
  <c r="D198" i="57"/>
  <c r="C198" i="57"/>
  <c r="F197" i="57"/>
  <c r="E197" i="57"/>
  <c r="D197" i="57"/>
  <c r="C197" i="57"/>
  <c r="F196" i="57"/>
  <c r="E196" i="57"/>
  <c r="D196" i="57"/>
  <c r="C196" i="57"/>
  <c r="F195" i="57"/>
  <c r="E195" i="57"/>
  <c r="D195" i="57"/>
  <c r="C195" i="57"/>
  <c r="F194" i="57"/>
  <c r="E194" i="57"/>
  <c r="D194" i="57"/>
  <c r="C194" i="57"/>
  <c r="F193" i="57"/>
  <c r="E193" i="57"/>
  <c r="D193" i="57"/>
  <c r="C193" i="57"/>
  <c r="F192" i="57"/>
  <c r="E192" i="57"/>
  <c r="D192" i="57"/>
  <c r="C192" i="57"/>
  <c r="F191" i="57"/>
  <c r="E191" i="57"/>
  <c r="D191" i="57"/>
  <c r="C191" i="57"/>
  <c r="F190" i="57"/>
  <c r="E190" i="57"/>
  <c r="D190" i="57"/>
  <c r="C190" i="57"/>
  <c r="F189" i="57"/>
  <c r="E189" i="57"/>
  <c r="D189" i="57"/>
  <c r="C189" i="57"/>
  <c r="F188" i="57"/>
  <c r="E188" i="57"/>
  <c r="D188" i="57"/>
  <c r="C188" i="57"/>
  <c r="F187" i="57"/>
  <c r="E187" i="57"/>
  <c r="D187" i="57"/>
  <c r="C187" i="57"/>
  <c r="F186" i="57"/>
  <c r="E186" i="57"/>
  <c r="D186" i="57"/>
  <c r="C186" i="57"/>
  <c r="F185" i="57"/>
  <c r="E185" i="57"/>
  <c r="D185" i="57"/>
  <c r="C185" i="57"/>
  <c r="F184" i="57"/>
  <c r="E184" i="57"/>
  <c r="D184" i="57"/>
  <c r="C184" i="57"/>
  <c r="F183" i="57"/>
  <c r="E183" i="57"/>
  <c r="D183" i="57"/>
  <c r="C183" i="57"/>
  <c r="F182" i="57"/>
  <c r="E182" i="57"/>
  <c r="D182" i="57"/>
  <c r="C182" i="57"/>
  <c r="F181" i="57"/>
  <c r="E181" i="57"/>
  <c r="D181" i="57"/>
  <c r="C181" i="57"/>
  <c r="F180" i="57"/>
  <c r="E180" i="57"/>
  <c r="D180" i="57"/>
  <c r="C180" i="57"/>
  <c r="F179" i="57"/>
  <c r="E179" i="57"/>
  <c r="D179" i="57"/>
  <c r="C179" i="57"/>
  <c r="F178" i="57"/>
  <c r="E178" i="57"/>
  <c r="D178" i="57"/>
  <c r="C178" i="57"/>
  <c r="F177" i="57"/>
  <c r="E177" i="57"/>
  <c r="D177" i="57"/>
  <c r="C177" i="57"/>
  <c r="F176" i="57"/>
  <c r="E176" i="57"/>
  <c r="D176" i="57"/>
  <c r="C176" i="57"/>
  <c r="F175" i="57"/>
  <c r="E175" i="57"/>
  <c r="D175" i="57"/>
  <c r="C175" i="57"/>
  <c r="F174" i="57"/>
  <c r="E174" i="57"/>
  <c r="D174" i="57"/>
  <c r="C174" i="57"/>
  <c r="F173" i="57"/>
  <c r="E173" i="57"/>
  <c r="D173" i="57"/>
  <c r="C173" i="57"/>
  <c r="F172" i="57"/>
  <c r="E172" i="57"/>
  <c r="D172" i="57"/>
  <c r="C172" i="57"/>
  <c r="F171" i="57"/>
  <c r="E171" i="57"/>
  <c r="D171" i="57"/>
  <c r="C171" i="57"/>
  <c r="F170" i="57"/>
  <c r="E170" i="57"/>
  <c r="D170" i="57"/>
  <c r="C170" i="57"/>
  <c r="F169" i="57"/>
  <c r="E169" i="57"/>
  <c r="D169" i="57"/>
  <c r="C169" i="57"/>
  <c r="F168" i="57"/>
  <c r="E168" i="57"/>
  <c r="D168" i="57"/>
  <c r="C168" i="57"/>
  <c r="F167" i="57"/>
  <c r="E167" i="57"/>
  <c r="D167" i="57"/>
  <c r="C167" i="57"/>
  <c r="F166" i="57"/>
  <c r="E166" i="57"/>
  <c r="D166" i="57"/>
  <c r="C166" i="57"/>
  <c r="F165" i="57"/>
  <c r="E165" i="57"/>
  <c r="D165" i="57"/>
  <c r="C165" i="57"/>
  <c r="F164" i="57"/>
  <c r="E164" i="57"/>
  <c r="D164" i="57"/>
  <c r="C164" i="57"/>
  <c r="F163" i="57"/>
  <c r="E163" i="57"/>
  <c r="D163" i="57"/>
  <c r="C163" i="57"/>
  <c r="F162" i="57"/>
  <c r="E162" i="57"/>
  <c r="D162" i="57"/>
  <c r="C162" i="57"/>
  <c r="F161" i="57"/>
  <c r="E161" i="57"/>
  <c r="D161" i="57"/>
  <c r="C161" i="57"/>
  <c r="F160" i="57"/>
  <c r="E160" i="57"/>
  <c r="D160" i="57"/>
  <c r="C160" i="57"/>
  <c r="F159" i="57"/>
  <c r="E159" i="57"/>
  <c r="D159" i="57"/>
  <c r="C159" i="57"/>
  <c r="F158" i="57"/>
  <c r="E158" i="57"/>
  <c r="D158" i="57"/>
  <c r="C158" i="57"/>
  <c r="F157" i="57"/>
  <c r="E157" i="57"/>
  <c r="D157" i="57"/>
  <c r="C157" i="57"/>
  <c r="F156" i="57"/>
  <c r="E156" i="57"/>
  <c r="D156" i="57"/>
  <c r="C156" i="57"/>
  <c r="F155" i="57"/>
  <c r="E155" i="57"/>
  <c r="D155" i="57"/>
  <c r="C155" i="57"/>
  <c r="F154" i="57"/>
  <c r="E154" i="57"/>
  <c r="D154" i="57"/>
  <c r="C154" i="57"/>
  <c r="F153" i="57"/>
  <c r="E153" i="57"/>
  <c r="D153" i="57"/>
  <c r="C153" i="57"/>
  <c r="F152" i="57"/>
  <c r="E152" i="57"/>
  <c r="D152" i="57"/>
  <c r="C152" i="57"/>
  <c r="F151" i="57"/>
  <c r="E151" i="57"/>
  <c r="D151" i="57"/>
  <c r="C151" i="57"/>
  <c r="F150" i="57"/>
  <c r="E150" i="57"/>
  <c r="D150" i="57"/>
  <c r="C150" i="57"/>
  <c r="F149" i="57"/>
  <c r="E149" i="57"/>
  <c r="D149" i="57"/>
  <c r="C149" i="57"/>
  <c r="F148" i="57"/>
  <c r="E148" i="57"/>
  <c r="D148" i="57"/>
  <c r="C148" i="57"/>
  <c r="F147" i="57"/>
  <c r="E147" i="57"/>
  <c r="D147" i="57"/>
  <c r="C147" i="57"/>
  <c r="F146" i="57"/>
  <c r="E146" i="57"/>
  <c r="D146" i="57"/>
  <c r="C146" i="57"/>
  <c r="F145" i="57"/>
  <c r="E145" i="57"/>
  <c r="D145" i="57"/>
  <c r="C145" i="57"/>
  <c r="F144" i="57"/>
  <c r="E144" i="57"/>
  <c r="D144" i="57"/>
  <c r="C144" i="57"/>
  <c r="F143" i="57"/>
  <c r="E143" i="57"/>
  <c r="D143" i="57"/>
  <c r="C143" i="57"/>
  <c r="F142" i="57"/>
  <c r="E142" i="57"/>
  <c r="D142" i="57"/>
  <c r="C142" i="57"/>
  <c r="F141" i="57"/>
  <c r="E141" i="57"/>
  <c r="D141" i="57"/>
  <c r="C141" i="57"/>
  <c r="F140" i="57"/>
  <c r="E140" i="57"/>
  <c r="D140" i="57"/>
  <c r="C140" i="57"/>
  <c r="F139" i="57"/>
  <c r="E139" i="57"/>
  <c r="D139" i="57"/>
  <c r="C139" i="57"/>
  <c r="F138" i="57"/>
  <c r="E138" i="57"/>
  <c r="D138" i="57"/>
  <c r="C138" i="57"/>
  <c r="F137" i="57"/>
  <c r="E137" i="57"/>
  <c r="D137" i="57"/>
  <c r="C137" i="57"/>
  <c r="F136" i="57"/>
  <c r="E136" i="57"/>
  <c r="D136" i="57"/>
  <c r="C136" i="57"/>
  <c r="F135" i="57"/>
  <c r="E135" i="57"/>
  <c r="D135" i="57"/>
  <c r="C135" i="57"/>
  <c r="F134" i="57"/>
  <c r="E134" i="57"/>
  <c r="D134" i="57"/>
  <c r="C134" i="57"/>
  <c r="F133" i="57"/>
  <c r="E133" i="57"/>
  <c r="D133" i="57"/>
  <c r="C133" i="57"/>
  <c r="F132" i="57"/>
  <c r="E132" i="57"/>
  <c r="D132" i="57"/>
  <c r="C132" i="57"/>
  <c r="F131" i="57"/>
  <c r="E131" i="57"/>
  <c r="D131" i="57"/>
  <c r="C131" i="57"/>
  <c r="F130" i="57"/>
  <c r="E130" i="57"/>
  <c r="D130" i="57"/>
  <c r="C130" i="57"/>
  <c r="F129" i="57"/>
  <c r="E129" i="57"/>
  <c r="D129" i="57"/>
  <c r="C129" i="57"/>
  <c r="F128" i="57"/>
  <c r="E128" i="57"/>
  <c r="D128" i="57"/>
  <c r="C128" i="57"/>
  <c r="F127" i="57"/>
  <c r="E127" i="57"/>
  <c r="D127" i="57"/>
  <c r="C127" i="57"/>
  <c r="F126" i="57"/>
  <c r="E126" i="57"/>
  <c r="D126" i="57"/>
  <c r="C126" i="57"/>
  <c r="F125" i="57"/>
  <c r="E125" i="57"/>
  <c r="D125" i="57"/>
  <c r="C125" i="57"/>
  <c r="F124" i="57"/>
  <c r="E124" i="57"/>
  <c r="D124" i="57"/>
  <c r="C124" i="57"/>
  <c r="F123" i="57"/>
  <c r="E123" i="57"/>
  <c r="D123" i="57"/>
  <c r="C123" i="57"/>
  <c r="F122" i="57"/>
  <c r="E122" i="57"/>
  <c r="D122" i="57"/>
  <c r="C122" i="57"/>
  <c r="F121" i="57"/>
  <c r="E121" i="57"/>
  <c r="D121" i="57"/>
  <c r="C121" i="57"/>
  <c r="F120" i="57"/>
  <c r="E120" i="57"/>
  <c r="D120" i="57"/>
  <c r="C120" i="57"/>
  <c r="F119" i="57"/>
  <c r="E119" i="57"/>
  <c r="D119" i="57"/>
  <c r="C119" i="57"/>
  <c r="F118" i="57"/>
  <c r="E118" i="57"/>
  <c r="D118" i="57"/>
  <c r="C118" i="57"/>
  <c r="F117" i="57"/>
  <c r="E117" i="57"/>
  <c r="D117" i="57"/>
  <c r="C117" i="57"/>
  <c r="F116" i="57"/>
  <c r="E116" i="57"/>
  <c r="D116" i="57"/>
  <c r="C116" i="57"/>
  <c r="F115" i="57"/>
  <c r="E115" i="57"/>
  <c r="D115" i="57"/>
  <c r="C115" i="57"/>
  <c r="F114" i="57"/>
  <c r="E114" i="57"/>
  <c r="D114" i="57"/>
  <c r="C114" i="57"/>
  <c r="B116" i="57"/>
  <c r="B117" i="57"/>
  <c r="B118" i="57"/>
  <c r="B119" i="57"/>
  <c r="B120" i="57"/>
  <c r="B121" i="57"/>
  <c r="B122" i="57"/>
  <c r="B123" i="57"/>
  <c r="B124" i="57"/>
  <c r="B125" i="57"/>
  <c r="B126" i="57"/>
  <c r="B127" i="57"/>
  <c r="B128" i="57"/>
  <c r="B129" i="57"/>
  <c r="B130" i="57"/>
  <c r="B131" i="57"/>
  <c r="B132" i="57"/>
  <c r="B133" i="57"/>
  <c r="B134" i="57"/>
  <c r="B135" i="57"/>
  <c r="B136" i="57"/>
  <c r="B137" i="57"/>
  <c r="B138" i="57"/>
  <c r="B139" i="57"/>
  <c r="B140" i="57"/>
  <c r="B141" i="57"/>
  <c r="B142" i="57"/>
  <c r="B143" i="57"/>
  <c r="B144" i="57"/>
  <c r="B145" i="57"/>
  <c r="B146" i="57"/>
  <c r="B147" i="57"/>
  <c r="B148" i="57"/>
  <c r="B149" i="57"/>
  <c r="B150" i="57"/>
  <c r="B151" i="57"/>
  <c r="B152" i="57"/>
  <c r="B153" i="57"/>
  <c r="B154" i="57"/>
  <c r="B155" i="57"/>
  <c r="B156" i="57"/>
  <c r="B157" i="57"/>
  <c r="B158" i="57"/>
  <c r="B159" i="57"/>
  <c r="B160" i="57"/>
  <c r="B161" i="57"/>
  <c r="B162" i="57"/>
  <c r="B163" i="57"/>
  <c r="B164" i="57"/>
  <c r="B165" i="57"/>
  <c r="B166" i="57"/>
  <c r="B167" i="57"/>
  <c r="B168" i="57"/>
  <c r="B169" i="57"/>
  <c r="B170" i="57"/>
  <c r="B171" i="57"/>
  <c r="B172" i="57"/>
  <c r="B173" i="57"/>
  <c r="B174" i="57"/>
  <c r="B175" i="57"/>
  <c r="B176" i="57"/>
  <c r="B177" i="57"/>
  <c r="B178" i="57"/>
  <c r="B179" i="57"/>
  <c r="B180" i="57"/>
  <c r="B181" i="57"/>
  <c r="B182" i="57"/>
  <c r="B183" i="57"/>
  <c r="B184" i="57"/>
  <c r="B185" i="57"/>
  <c r="B186" i="57"/>
  <c r="B187" i="57"/>
  <c r="B188" i="57"/>
  <c r="B189" i="57"/>
  <c r="B190" i="57"/>
  <c r="B191" i="57"/>
  <c r="B192" i="57"/>
  <c r="B193" i="57"/>
  <c r="B194" i="57"/>
  <c r="B195" i="57"/>
  <c r="B196" i="57"/>
  <c r="B197" i="57"/>
  <c r="B198" i="57"/>
  <c r="B199" i="57"/>
  <c r="B200" i="57"/>
  <c r="B201" i="57"/>
  <c r="B202" i="57"/>
  <c r="B203" i="57"/>
  <c r="B204" i="57"/>
  <c r="B205" i="57"/>
  <c r="B206" i="57"/>
  <c r="B114" i="57"/>
  <c r="N17" i="62" l="1"/>
  <c r="N29" i="62"/>
  <c r="N41" i="62"/>
  <c r="N53" i="62"/>
  <c r="N65" i="62"/>
  <c r="N77" i="62"/>
  <c r="N89" i="62"/>
  <c r="N101" i="62"/>
  <c r="N18" i="62"/>
  <c r="N30" i="62"/>
  <c r="N42" i="62"/>
  <c r="N54" i="62"/>
  <c r="N66" i="62"/>
  <c r="N78" i="62"/>
  <c r="N90" i="62"/>
  <c r="N102" i="62"/>
  <c r="N19" i="62"/>
  <c r="N31" i="62"/>
  <c r="N43" i="62"/>
  <c r="N55" i="62"/>
  <c r="N67" i="62"/>
  <c r="N79" i="62"/>
  <c r="N91" i="62"/>
  <c r="N103" i="62"/>
  <c r="N8" i="62"/>
  <c r="N20" i="62"/>
  <c r="N32" i="62"/>
  <c r="N44" i="62"/>
  <c r="N56" i="62"/>
  <c r="N68" i="62"/>
  <c r="N80" i="62"/>
  <c r="N92" i="62"/>
  <c r="N9" i="62"/>
  <c r="N21" i="62"/>
  <c r="N33" i="62"/>
  <c r="N45" i="62"/>
  <c r="N57" i="62"/>
  <c r="N69" i="62"/>
  <c r="N81" i="62"/>
  <c r="N93" i="62"/>
  <c r="N10" i="62"/>
  <c r="N22" i="62"/>
  <c r="N34" i="62"/>
  <c r="N46" i="62"/>
  <c r="N58" i="62"/>
  <c r="N70" i="62"/>
  <c r="N82" i="62"/>
  <c r="N94" i="62"/>
  <c r="N11" i="62"/>
  <c r="N23" i="62"/>
  <c r="N35" i="62"/>
  <c r="N47" i="62"/>
  <c r="N59" i="62"/>
  <c r="N71" i="62"/>
  <c r="N83" i="62"/>
  <c r="N95" i="62"/>
  <c r="N12" i="62"/>
  <c r="N24" i="62"/>
  <c r="N36" i="62"/>
  <c r="N48" i="62"/>
  <c r="N60" i="62"/>
  <c r="N72" i="62"/>
  <c r="N84" i="62"/>
  <c r="N96" i="62"/>
  <c r="N13" i="62"/>
  <c r="N25" i="62"/>
  <c r="N37" i="62"/>
  <c r="N49" i="62"/>
  <c r="N61" i="62"/>
  <c r="N73" i="62"/>
  <c r="N85" i="62"/>
  <c r="N97" i="62"/>
  <c r="N14" i="62"/>
  <c r="N26" i="62"/>
  <c r="N38" i="62"/>
  <c r="N50" i="62"/>
  <c r="N62" i="62"/>
  <c r="N74" i="62"/>
  <c r="N86" i="62"/>
  <c r="N98" i="62"/>
  <c r="N15" i="62"/>
  <c r="N27" i="62"/>
  <c r="N39" i="62"/>
  <c r="N51" i="62"/>
  <c r="N63" i="62"/>
  <c r="N75" i="62"/>
  <c r="N87" i="62"/>
  <c r="N99" i="62"/>
  <c r="N16" i="62"/>
  <c r="N28" i="62"/>
  <c r="N40" i="62"/>
  <c r="N52" i="62"/>
  <c r="N64" i="62"/>
  <c r="N76" i="62"/>
  <c r="N88" i="62"/>
  <c r="N100" i="62"/>
  <c r="N96" i="64"/>
  <c r="N12" i="64"/>
  <c r="N13" i="64"/>
  <c r="N37" i="64"/>
  <c r="N49" i="64"/>
  <c r="N61" i="64"/>
  <c r="N85" i="64"/>
  <c r="N14" i="64"/>
  <c r="N26" i="64"/>
  <c r="N38" i="64"/>
  <c r="N50" i="64"/>
  <c r="N62" i="64"/>
  <c r="N74" i="64"/>
  <c r="N86" i="64"/>
  <c r="N98" i="64"/>
  <c r="N25" i="64"/>
  <c r="N15" i="64"/>
  <c r="N27" i="64"/>
  <c r="N39" i="64"/>
  <c r="N51" i="64"/>
  <c r="N63" i="64"/>
  <c r="N75" i="64"/>
  <c r="N87" i="64"/>
  <c r="N99" i="64"/>
  <c r="N60" i="64"/>
  <c r="N16" i="64"/>
  <c r="N28" i="64"/>
  <c r="N40" i="64"/>
  <c r="N52" i="64"/>
  <c r="N64" i="64"/>
  <c r="N76" i="64"/>
  <c r="N88" i="64"/>
  <c r="N100" i="64"/>
  <c r="N84" i="64"/>
  <c r="N97" i="64"/>
  <c r="N17" i="64"/>
  <c r="N29" i="64"/>
  <c r="N41" i="64"/>
  <c r="N53" i="64"/>
  <c r="N65" i="64"/>
  <c r="N77" i="64"/>
  <c r="N89" i="64"/>
  <c r="N101" i="64"/>
  <c r="N72" i="64"/>
  <c r="N18" i="64"/>
  <c r="N30" i="64"/>
  <c r="N42" i="64"/>
  <c r="N54" i="64"/>
  <c r="N66" i="64"/>
  <c r="N78" i="64"/>
  <c r="N90" i="64"/>
  <c r="N102" i="64"/>
  <c r="N24" i="64"/>
  <c r="N73" i="64"/>
  <c r="N19" i="64"/>
  <c r="N31" i="64"/>
  <c r="N43" i="64"/>
  <c r="N55" i="64"/>
  <c r="N67" i="64"/>
  <c r="N79" i="64"/>
  <c r="N91" i="64"/>
  <c r="N103" i="64"/>
  <c r="N8" i="64"/>
  <c r="N20" i="64"/>
  <c r="N32" i="64"/>
  <c r="N44" i="64"/>
  <c r="N56" i="64"/>
  <c r="N68" i="64"/>
  <c r="N80" i="64"/>
  <c r="N92" i="64"/>
  <c r="N36" i="64"/>
  <c r="N9" i="64"/>
  <c r="N21" i="64"/>
  <c r="N33" i="64"/>
  <c r="N45" i="64"/>
  <c r="N57" i="64"/>
  <c r="N69" i="64"/>
  <c r="N81" i="64"/>
  <c r="N93" i="64"/>
  <c r="N48" i="64"/>
  <c r="N10" i="64"/>
  <c r="N22" i="64"/>
  <c r="N34" i="64"/>
  <c r="N46" i="64"/>
  <c r="N58" i="64"/>
  <c r="N70" i="64"/>
  <c r="N82" i="64"/>
  <c r="N94" i="64"/>
  <c r="N11" i="64"/>
  <c r="N23" i="64"/>
  <c r="N35" i="64"/>
  <c r="N47" i="64"/>
  <c r="N59" i="64"/>
  <c r="N71" i="64"/>
  <c r="N83" i="64"/>
  <c r="N95" i="64"/>
  <c r="N16" i="65"/>
  <c r="N28" i="65"/>
  <c r="N40" i="65"/>
  <c r="N52" i="65"/>
  <c r="N64" i="65"/>
  <c r="N76" i="65"/>
  <c r="N88" i="65"/>
  <c r="N100" i="65"/>
  <c r="N17" i="65"/>
  <c r="N29" i="65"/>
  <c r="N41" i="65"/>
  <c r="N53" i="65"/>
  <c r="N65" i="65"/>
  <c r="N77" i="65"/>
  <c r="N89" i="65"/>
  <c r="N101" i="65"/>
  <c r="N39" i="65"/>
  <c r="N63" i="65"/>
  <c r="N99" i="65"/>
  <c r="N18" i="65"/>
  <c r="N30" i="65"/>
  <c r="N42" i="65"/>
  <c r="N54" i="65"/>
  <c r="N66" i="65"/>
  <c r="N78" i="65"/>
  <c r="N90" i="65"/>
  <c r="N102" i="65"/>
  <c r="N19" i="65"/>
  <c r="N31" i="65"/>
  <c r="N43" i="65"/>
  <c r="N55" i="65"/>
  <c r="N67" i="65"/>
  <c r="N79" i="65"/>
  <c r="N91" i="65"/>
  <c r="N103" i="65"/>
  <c r="N27" i="65"/>
  <c r="N51" i="65"/>
  <c r="N87" i="65"/>
  <c r="N8" i="65"/>
  <c r="N20" i="65"/>
  <c r="N32" i="65"/>
  <c r="N44" i="65"/>
  <c r="N56" i="65"/>
  <c r="N68" i="65"/>
  <c r="N80" i="65"/>
  <c r="N92" i="65"/>
  <c r="N75" i="65"/>
  <c r="N9" i="65"/>
  <c r="N21" i="65"/>
  <c r="N33" i="65"/>
  <c r="N45" i="65"/>
  <c r="N57" i="65"/>
  <c r="N69" i="65"/>
  <c r="N81" i="65"/>
  <c r="N93" i="65"/>
  <c r="N10" i="65"/>
  <c r="N22" i="65"/>
  <c r="N34" i="65"/>
  <c r="N46" i="65"/>
  <c r="N58" i="65"/>
  <c r="N70" i="65"/>
  <c r="N82" i="65"/>
  <c r="N94" i="65"/>
  <c r="N11" i="65"/>
  <c r="N23" i="65"/>
  <c r="N35" i="65"/>
  <c r="N47" i="65"/>
  <c r="N59" i="65"/>
  <c r="N71" i="65"/>
  <c r="N83" i="65"/>
  <c r="N95" i="65"/>
  <c r="N15" i="65"/>
  <c r="N12" i="65"/>
  <c r="N24" i="65"/>
  <c r="N36" i="65"/>
  <c r="N48" i="65"/>
  <c r="N60" i="65"/>
  <c r="N72" i="65"/>
  <c r="N84" i="65"/>
  <c r="N96" i="65"/>
  <c r="N13" i="65"/>
  <c r="N25" i="65"/>
  <c r="N37" i="65"/>
  <c r="N49" i="65"/>
  <c r="N61" i="65"/>
  <c r="N73" i="65"/>
  <c r="N85" i="65"/>
  <c r="N97" i="65"/>
  <c r="N14" i="65"/>
  <c r="N26" i="65"/>
  <c r="N38" i="65"/>
  <c r="N50" i="65"/>
  <c r="N62" i="65"/>
  <c r="N74" i="65"/>
  <c r="N86" i="65"/>
  <c r="N98" i="65"/>
  <c r="N79" i="66"/>
  <c r="N8" i="66"/>
  <c r="N20" i="66"/>
  <c r="N32" i="66"/>
  <c r="N44" i="66"/>
  <c r="N56" i="66"/>
  <c r="N68" i="66"/>
  <c r="N80" i="66"/>
  <c r="N92" i="66"/>
  <c r="N18" i="66"/>
  <c r="N30" i="66"/>
  <c r="N54" i="66"/>
  <c r="N78" i="66"/>
  <c r="N102" i="66"/>
  <c r="N19" i="66"/>
  <c r="N31" i="66"/>
  <c r="N43" i="66"/>
  <c r="N91" i="66"/>
  <c r="N9" i="66"/>
  <c r="N21" i="66"/>
  <c r="N33" i="66"/>
  <c r="N45" i="66"/>
  <c r="N57" i="66"/>
  <c r="N69" i="66"/>
  <c r="N81" i="66"/>
  <c r="N93" i="66"/>
  <c r="N103" i="66"/>
  <c r="N10" i="66"/>
  <c r="N22" i="66"/>
  <c r="N34" i="66"/>
  <c r="N46" i="66"/>
  <c r="N58" i="66"/>
  <c r="N70" i="66"/>
  <c r="N82" i="66"/>
  <c r="N94" i="66"/>
  <c r="N11" i="66"/>
  <c r="N23" i="66"/>
  <c r="N35" i="66"/>
  <c r="N47" i="66"/>
  <c r="N59" i="66"/>
  <c r="N71" i="66"/>
  <c r="N83" i="66"/>
  <c r="N95" i="66"/>
  <c r="N12" i="66"/>
  <c r="N24" i="66"/>
  <c r="N36" i="66"/>
  <c r="N48" i="66"/>
  <c r="N60" i="66"/>
  <c r="N72" i="66"/>
  <c r="N84" i="66"/>
  <c r="N96" i="66"/>
  <c r="N13" i="66"/>
  <c r="N25" i="66"/>
  <c r="N37" i="66"/>
  <c r="N49" i="66"/>
  <c r="N61" i="66"/>
  <c r="N73" i="66"/>
  <c r="N85" i="66"/>
  <c r="N97" i="66"/>
  <c r="N90" i="66"/>
  <c r="N55" i="66"/>
  <c r="N14" i="66"/>
  <c r="N26" i="66"/>
  <c r="N38" i="66"/>
  <c r="N50" i="66"/>
  <c r="N62" i="66"/>
  <c r="N74" i="66"/>
  <c r="N86" i="66"/>
  <c r="N98" i="66"/>
  <c r="N42" i="66"/>
  <c r="N15" i="66"/>
  <c r="N27" i="66"/>
  <c r="N39" i="66"/>
  <c r="N51" i="66"/>
  <c r="N63" i="66"/>
  <c r="N75" i="66"/>
  <c r="N87" i="66"/>
  <c r="N99" i="66"/>
  <c r="N66" i="66"/>
  <c r="N67" i="66"/>
  <c r="N16" i="66"/>
  <c r="N28" i="66"/>
  <c r="N40" i="66"/>
  <c r="N52" i="66"/>
  <c r="N64" i="66"/>
  <c r="N76" i="66"/>
  <c r="N88" i="66"/>
  <c r="N100" i="66"/>
  <c r="N17" i="66"/>
  <c r="N29" i="66"/>
  <c r="N41" i="66"/>
  <c r="N53" i="66"/>
  <c r="N65" i="66"/>
  <c r="N77" i="66"/>
  <c r="N89" i="66"/>
  <c r="N101" i="66"/>
  <c r="I22" i="86"/>
  <c r="J22" i="86"/>
  <c r="I19" i="86"/>
  <c r="J19" i="86"/>
  <c r="I18" i="86"/>
  <c r="O125" i="43"/>
  <c r="O129" i="43"/>
  <c r="O133" i="43"/>
  <c r="O137" i="43"/>
  <c r="O141" i="43"/>
  <c r="O145" i="43"/>
  <c r="O149" i="43"/>
  <c r="O153" i="43"/>
  <c r="O157" i="43"/>
  <c r="O161" i="43"/>
  <c r="O165" i="43"/>
  <c r="O169" i="43"/>
  <c r="O173" i="43"/>
  <c r="O177" i="43"/>
  <c r="O181" i="43"/>
  <c r="O185" i="43"/>
  <c r="O189" i="43"/>
  <c r="O193" i="43"/>
  <c r="O197" i="43"/>
  <c r="O201" i="43"/>
  <c r="O205" i="43"/>
  <c r="O115" i="58"/>
  <c r="O119" i="58"/>
  <c r="O123" i="58"/>
  <c r="O127" i="58"/>
  <c r="O131" i="58"/>
  <c r="O135" i="58"/>
  <c r="O139" i="58"/>
  <c r="O143" i="58"/>
  <c r="O147" i="58"/>
  <c r="O151" i="58"/>
  <c r="O155" i="58"/>
  <c r="O159" i="58"/>
  <c r="O163" i="58"/>
  <c r="O167" i="58"/>
  <c r="O171" i="58"/>
  <c r="O175" i="58"/>
  <c r="O179" i="58"/>
  <c r="O183" i="58"/>
  <c r="O187" i="58"/>
  <c r="O191" i="58"/>
  <c r="O195" i="58"/>
  <c r="O199" i="58"/>
  <c r="O203" i="58"/>
  <c r="O181" i="59"/>
  <c r="O185" i="59"/>
  <c r="O189" i="59"/>
  <c r="O193" i="59"/>
  <c r="O197" i="59"/>
  <c r="O201" i="59"/>
  <c r="O205" i="59"/>
  <c r="O115" i="60"/>
  <c r="O119" i="60"/>
  <c r="O123" i="60"/>
  <c r="O114" i="43"/>
  <c r="O117" i="43"/>
  <c r="O121" i="43"/>
  <c r="O115" i="66"/>
  <c r="O119" i="66"/>
  <c r="O123" i="66"/>
  <c r="O127" i="66"/>
  <c r="O131" i="66"/>
  <c r="O135" i="66"/>
  <c r="O139" i="66"/>
  <c r="O143" i="66"/>
  <c r="O147" i="66"/>
  <c r="O151" i="66"/>
  <c r="O155" i="66"/>
  <c r="O159" i="66"/>
  <c r="O163" i="66"/>
  <c r="O167" i="66"/>
  <c r="O171" i="66"/>
  <c r="O175" i="66"/>
  <c r="O179" i="66"/>
  <c r="O114" i="59"/>
  <c r="O117" i="59"/>
  <c r="O121" i="59"/>
  <c r="O125" i="59"/>
  <c r="O129" i="59"/>
  <c r="O133" i="59"/>
  <c r="O137" i="59"/>
  <c r="O141" i="59"/>
  <c r="O145" i="59"/>
  <c r="O149" i="59"/>
  <c r="O153" i="59"/>
  <c r="O157" i="59"/>
  <c r="O161" i="59"/>
  <c r="O165" i="59"/>
  <c r="O169" i="59"/>
  <c r="O173" i="59"/>
  <c r="O177" i="59"/>
  <c r="O115" i="67"/>
  <c r="O119" i="67"/>
  <c r="O123" i="67"/>
  <c r="O127" i="67"/>
  <c r="O131" i="67"/>
  <c r="O135" i="67"/>
  <c r="O139" i="67"/>
  <c r="O143" i="67"/>
  <c r="O147" i="67"/>
  <c r="O151" i="67"/>
  <c r="O155" i="67"/>
  <c r="O159" i="67"/>
  <c r="O163" i="67"/>
  <c r="O167" i="67"/>
  <c r="O171" i="67"/>
  <c r="O175" i="67"/>
  <c r="O179" i="67"/>
  <c r="O183" i="67"/>
  <c r="O187" i="67"/>
  <c r="O191" i="67"/>
  <c r="O195" i="67"/>
  <c r="O199" i="67"/>
  <c r="O203" i="67"/>
  <c r="K105" i="67"/>
  <c r="L9" i="86"/>
  <c r="J105" i="43"/>
  <c r="K22" i="86"/>
  <c r="J105" i="58"/>
  <c r="K19" i="86"/>
  <c r="J105" i="59"/>
  <c r="K13" i="86"/>
  <c r="K105" i="64"/>
  <c r="L18" i="86"/>
  <c r="J105" i="65"/>
  <c r="K15" i="86"/>
  <c r="K105" i="43"/>
  <c r="L22" i="86"/>
  <c r="K105" i="58"/>
  <c r="L19" i="86"/>
  <c r="K105" i="59"/>
  <c r="L13" i="86"/>
  <c r="J105" i="60"/>
  <c r="K16" i="86"/>
  <c r="J105" i="61"/>
  <c r="K10" i="86"/>
  <c r="K105" i="65"/>
  <c r="L15" i="86"/>
  <c r="J105" i="66"/>
  <c r="K12" i="86"/>
  <c r="O127" i="60"/>
  <c r="O131" i="60"/>
  <c r="O135" i="60"/>
  <c r="O139" i="60"/>
  <c r="O143" i="60"/>
  <c r="O147" i="60"/>
  <c r="O151" i="60"/>
  <c r="O155" i="60"/>
  <c r="O159" i="60"/>
  <c r="O163" i="60"/>
  <c r="O167" i="60"/>
  <c r="O171" i="60"/>
  <c r="O179" i="60"/>
  <c r="O183" i="60"/>
  <c r="O187" i="60"/>
  <c r="O191" i="60"/>
  <c r="O195" i="60"/>
  <c r="O199" i="60"/>
  <c r="O203" i="60"/>
  <c r="O114" i="61"/>
  <c r="O117" i="61"/>
  <c r="O121" i="61"/>
  <c r="O125" i="61"/>
  <c r="O129" i="61"/>
  <c r="O133" i="61"/>
  <c r="O137" i="61"/>
  <c r="O141" i="61"/>
  <c r="O145" i="61"/>
  <c r="O149" i="61"/>
  <c r="O153" i="61"/>
  <c r="O157" i="61"/>
  <c r="O161" i="61"/>
  <c r="O165" i="61"/>
  <c r="K105" i="60"/>
  <c r="L16" i="86"/>
  <c r="K105" i="61"/>
  <c r="L10" i="86"/>
  <c r="J105" i="62"/>
  <c r="K21" i="86"/>
  <c r="K105" i="66"/>
  <c r="L12" i="86"/>
  <c r="O169" i="61"/>
  <c r="O177" i="61"/>
  <c r="O181" i="61"/>
  <c r="O185" i="61"/>
  <c r="O189" i="61"/>
  <c r="O193" i="61"/>
  <c r="O197" i="61"/>
  <c r="O201" i="61"/>
  <c r="O205" i="61"/>
  <c r="O115" i="62"/>
  <c r="O119" i="62"/>
  <c r="O123" i="62"/>
  <c r="O127" i="62"/>
  <c r="O131" i="62"/>
  <c r="O135" i="62"/>
  <c r="O139" i="62"/>
  <c r="O143" i="62"/>
  <c r="O147" i="62"/>
  <c r="O151" i="62"/>
  <c r="O155" i="62"/>
  <c r="O159" i="62"/>
  <c r="O163" i="62"/>
  <c r="O167" i="62"/>
  <c r="O171" i="62"/>
  <c r="O175" i="62"/>
  <c r="O179" i="62"/>
  <c r="O183" i="62"/>
  <c r="O187" i="62"/>
  <c r="O191" i="62"/>
  <c r="O195" i="62"/>
  <c r="O199" i="62"/>
  <c r="O203" i="62"/>
  <c r="O114" i="63"/>
  <c r="O117" i="63"/>
  <c r="O121" i="63"/>
  <c r="O125" i="63"/>
  <c r="O129" i="63"/>
  <c r="O133" i="63"/>
  <c r="O137" i="63"/>
  <c r="O141" i="63"/>
  <c r="O145" i="63"/>
  <c r="O149" i="63"/>
  <c r="O153" i="63"/>
  <c r="O157" i="63"/>
  <c r="O161" i="63"/>
  <c r="O165" i="63"/>
  <c r="O169" i="63"/>
  <c r="O173" i="63"/>
  <c r="O177" i="63"/>
  <c r="O181" i="63"/>
  <c r="O185" i="63"/>
  <c r="O189" i="63"/>
  <c r="O193" i="63"/>
  <c r="O197" i="63"/>
  <c r="O201" i="63"/>
  <c r="O205" i="63"/>
  <c r="O115" i="64"/>
  <c r="O119" i="64"/>
  <c r="O123" i="64"/>
  <c r="O127" i="64"/>
  <c r="O131" i="64"/>
  <c r="O135" i="64"/>
  <c r="O139" i="64"/>
  <c r="O143" i="64"/>
  <c r="O147" i="64"/>
  <c r="O151" i="64"/>
  <c r="O155" i="64"/>
  <c r="O159" i="64"/>
  <c r="O163" i="64"/>
  <c r="O167" i="64"/>
  <c r="O171" i="64"/>
  <c r="O175" i="64"/>
  <c r="O179" i="64"/>
  <c r="O183" i="64"/>
  <c r="O187" i="64"/>
  <c r="O191" i="64"/>
  <c r="O195" i="64"/>
  <c r="O199" i="64"/>
  <c r="O203" i="64"/>
  <c r="O183" i="66"/>
  <c r="O187" i="66"/>
  <c r="O191" i="66"/>
  <c r="O195" i="66"/>
  <c r="O199" i="66"/>
  <c r="O203" i="66"/>
  <c r="O177" i="65"/>
  <c r="O181" i="65"/>
  <c r="O185" i="65"/>
  <c r="O189" i="65"/>
  <c r="O193" i="65"/>
  <c r="O197" i="65"/>
  <c r="O201" i="65"/>
  <c r="O205" i="65"/>
  <c r="O206" i="57"/>
  <c r="O194" i="57"/>
  <c r="O202" i="57"/>
  <c r="O190" i="57"/>
  <c r="O182" i="57"/>
  <c r="O166" i="57"/>
  <c r="O162" i="57"/>
  <c r="O154" i="57"/>
  <c r="O150" i="57"/>
  <c r="O146" i="57"/>
  <c r="O142" i="57"/>
  <c r="O138" i="57"/>
  <c r="O134" i="57"/>
  <c r="O130" i="57"/>
  <c r="O126" i="57"/>
  <c r="O122" i="57"/>
  <c r="O49" i="82"/>
  <c r="O45" i="82"/>
  <c r="O41" i="82"/>
  <c r="O37" i="82"/>
  <c r="O33" i="82"/>
  <c r="O29" i="82"/>
  <c r="O45" i="79"/>
  <c r="O41" i="79"/>
  <c r="O33" i="79"/>
  <c r="O29" i="79"/>
  <c r="O25" i="79"/>
  <c r="O21" i="79"/>
  <c r="O198" i="57"/>
  <c r="O186" i="57"/>
  <c r="O178" i="57"/>
  <c r="O170" i="57"/>
  <c r="O158" i="57"/>
  <c r="O175" i="60"/>
  <c r="O114" i="65"/>
  <c r="O117" i="65"/>
  <c r="O121" i="65"/>
  <c r="O125" i="65"/>
  <c r="O129" i="65"/>
  <c r="O133" i="65"/>
  <c r="O137" i="65"/>
  <c r="O141" i="65"/>
  <c r="O145" i="65"/>
  <c r="O149" i="65"/>
  <c r="O153" i="65"/>
  <c r="O157" i="65"/>
  <c r="O161" i="65"/>
  <c r="O165" i="65"/>
  <c r="O169" i="65"/>
  <c r="O173" i="65"/>
  <c r="O45" i="68"/>
  <c r="O41" i="68"/>
  <c r="O103" i="68"/>
  <c r="O174" i="57"/>
  <c r="O118" i="57"/>
  <c r="O173" i="61"/>
  <c r="O49" i="85"/>
  <c r="O45" i="85"/>
  <c r="O41" i="85"/>
  <c r="O37" i="85"/>
  <c r="O33" i="85"/>
  <c r="O29" i="85"/>
  <c r="O25" i="85"/>
  <c r="O49" i="78"/>
  <c r="O45" i="78"/>
  <c r="O41" i="78"/>
  <c r="O37" i="78"/>
  <c r="O33" i="78"/>
  <c r="O29" i="78"/>
  <c r="O25" i="78"/>
  <c r="O21" i="78"/>
  <c r="O49" i="83"/>
  <c r="O45" i="83"/>
  <c r="O41" i="83"/>
  <c r="O37" i="83"/>
  <c r="O33" i="83"/>
  <c r="O25" i="83"/>
  <c r="O21" i="83"/>
  <c r="O103" i="83"/>
  <c r="O114" i="57"/>
  <c r="O203" i="57"/>
  <c r="O199" i="57"/>
  <c r="O195" i="57"/>
  <c r="O191" i="57"/>
  <c r="O187" i="57"/>
  <c r="O183" i="57"/>
  <c r="O179" i="57"/>
  <c r="O175" i="57"/>
  <c r="O171" i="57"/>
  <c r="O167" i="57"/>
  <c r="O163" i="57"/>
  <c r="O159" i="57"/>
  <c r="O155" i="57"/>
  <c r="O151" i="57"/>
  <c r="O147" i="57"/>
  <c r="O143" i="57"/>
  <c r="O139" i="57"/>
  <c r="O37" i="68"/>
  <c r="O33" i="68"/>
  <c r="O29" i="68"/>
  <c r="O25" i="68"/>
  <c r="O21" i="68"/>
  <c r="O49" i="68"/>
  <c r="O135" i="57"/>
  <c r="O131" i="57"/>
  <c r="O127" i="57"/>
  <c r="O123" i="57"/>
  <c r="O119" i="57"/>
  <c r="O103" i="85"/>
  <c r="O50" i="82"/>
  <c r="O46" i="82"/>
  <c r="O42" i="82"/>
  <c r="O38" i="82"/>
  <c r="O34" i="82"/>
  <c r="O30" i="82"/>
  <c r="O26" i="82"/>
  <c r="O22" i="82"/>
  <c r="O50" i="83"/>
  <c r="O46" i="83"/>
  <c r="O42" i="83"/>
  <c r="O38" i="83"/>
  <c r="O34" i="83"/>
  <c r="O30" i="83"/>
  <c r="O26" i="83"/>
  <c r="O22" i="83"/>
  <c r="O50" i="85"/>
  <c r="O46" i="85"/>
  <c r="O42" i="85"/>
  <c r="O38" i="85"/>
  <c r="O34" i="85"/>
  <c r="O30" i="85"/>
  <c r="O26" i="85"/>
  <c r="O22" i="85"/>
  <c r="O50" i="79"/>
  <c r="O46" i="79"/>
  <c r="O42" i="79"/>
  <c r="O38" i="79"/>
  <c r="O34" i="79"/>
  <c r="O30" i="79"/>
  <c r="O26" i="79"/>
  <c r="O22" i="79"/>
  <c r="O50" i="78"/>
  <c r="O46" i="78"/>
  <c r="O42" i="78"/>
  <c r="O38" i="78"/>
  <c r="O34" i="78"/>
  <c r="O30" i="78"/>
  <c r="O26" i="78"/>
  <c r="O22" i="78"/>
  <c r="O50" i="68"/>
  <c r="O46" i="68"/>
  <c r="O42" i="68"/>
  <c r="O38" i="68"/>
  <c r="O34" i="68"/>
  <c r="O30" i="68"/>
  <c r="O26" i="68"/>
  <c r="O22" i="68"/>
  <c r="O118" i="67"/>
  <c r="O122" i="67"/>
  <c r="O126" i="67"/>
  <c r="O130" i="67"/>
  <c r="O134" i="67"/>
  <c r="O138" i="67"/>
  <c r="O142" i="67"/>
  <c r="O146" i="67"/>
  <c r="O150" i="67"/>
  <c r="O154" i="67"/>
  <c r="O158" i="67"/>
  <c r="O162" i="67"/>
  <c r="O166" i="67"/>
  <c r="O170" i="67"/>
  <c r="O174" i="67"/>
  <c r="O178" i="67"/>
  <c r="O182" i="67"/>
  <c r="O186" i="67"/>
  <c r="O190" i="67"/>
  <c r="O194" i="67"/>
  <c r="O198" i="67"/>
  <c r="O202" i="67"/>
  <c r="O206" i="67"/>
  <c r="O116" i="43"/>
  <c r="O120" i="43"/>
  <c r="O124" i="43"/>
  <c r="O128" i="43"/>
  <c r="O132" i="43"/>
  <c r="O136" i="43"/>
  <c r="O140" i="43"/>
  <c r="O144" i="43"/>
  <c r="O148" i="43"/>
  <c r="O152" i="43"/>
  <c r="O156" i="43"/>
  <c r="O160" i="43"/>
  <c r="O164" i="43"/>
  <c r="O168" i="43"/>
  <c r="O172" i="43"/>
  <c r="O176" i="43"/>
  <c r="O180" i="43"/>
  <c r="O184" i="43"/>
  <c r="O188" i="43"/>
  <c r="O192" i="43"/>
  <c r="O196" i="43"/>
  <c r="O200" i="43"/>
  <c r="O204" i="43"/>
  <c r="O118" i="58"/>
  <c r="O122" i="58"/>
  <c r="O126" i="58"/>
  <c r="O130" i="58"/>
  <c r="O134" i="58"/>
  <c r="O138" i="58"/>
  <c r="O142" i="58"/>
  <c r="O146" i="58"/>
  <c r="O150" i="58"/>
  <c r="O154" i="58"/>
  <c r="O158" i="58"/>
  <c r="O162" i="58"/>
  <c r="O166" i="58"/>
  <c r="O170" i="58"/>
  <c r="O174" i="58"/>
  <c r="O178" i="58"/>
  <c r="O182" i="58"/>
  <c r="O186" i="58"/>
  <c r="O190" i="58"/>
  <c r="O194" i="58"/>
  <c r="O198" i="58"/>
  <c r="O202" i="58"/>
  <c r="O206" i="58"/>
  <c r="O116" i="59"/>
  <c r="O120" i="59"/>
  <c r="O124" i="59"/>
  <c r="O128" i="59"/>
  <c r="O132" i="59"/>
  <c r="O136" i="59"/>
  <c r="O140" i="59"/>
  <c r="O144" i="59"/>
  <c r="O148" i="59"/>
  <c r="O152" i="59"/>
  <c r="O156" i="59"/>
  <c r="O160" i="59"/>
  <c r="O164" i="59"/>
  <c r="O168" i="59"/>
  <c r="O172" i="59"/>
  <c r="O176" i="59"/>
  <c r="O180" i="59"/>
  <c r="O184" i="59"/>
  <c r="O188" i="59"/>
  <c r="O192" i="59"/>
  <c r="O196" i="59"/>
  <c r="O200" i="59"/>
  <c r="O204" i="59"/>
  <c r="O118" i="60"/>
  <c r="O122" i="60"/>
  <c r="O126" i="60"/>
  <c r="O130" i="60"/>
  <c r="O134" i="60"/>
  <c r="O138" i="60"/>
  <c r="O142" i="60"/>
  <c r="O146" i="60"/>
  <c r="O150" i="60"/>
  <c r="O154" i="60"/>
  <c r="O158" i="60"/>
  <c r="O162" i="60"/>
  <c r="O166" i="60"/>
  <c r="O170" i="60"/>
  <c r="O174" i="60"/>
  <c r="O178" i="60"/>
  <c r="O182" i="60"/>
  <c r="O186" i="60"/>
  <c r="O190" i="60"/>
  <c r="O194" i="60"/>
  <c r="O198" i="60"/>
  <c r="O202" i="60"/>
  <c r="O206" i="60"/>
  <c r="O116" i="61"/>
  <c r="O120" i="61"/>
  <c r="O124" i="61"/>
  <c r="O128" i="61"/>
  <c r="O132" i="61"/>
  <c r="O136" i="61"/>
  <c r="O140" i="61"/>
  <c r="O144" i="61"/>
  <c r="O148" i="61"/>
  <c r="O152" i="61"/>
  <c r="O156" i="61"/>
  <c r="O160" i="61"/>
  <c r="O164" i="61"/>
  <c r="O168" i="61"/>
  <c r="O172" i="61"/>
  <c r="O176" i="61"/>
  <c r="O180" i="61"/>
  <c r="O184" i="61"/>
  <c r="O188" i="61"/>
  <c r="O192" i="61"/>
  <c r="O196" i="61"/>
  <c r="O200" i="61"/>
  <c r="O204" i="61"/>
  <c r="O118" i="62"/>
  <c r="O122" i="62"/>
  <c r="O126" i="62"/>
  <c r="O130" i="62"/>
  <c r="O134" i="62"/>
  <c r="O138" i="62"/>
  <c r="O142" i="62"/>
  <c r="O146" i="62"/>
  <c r="O150" i="62"/>
  <c r="O154" i="62"/>
  <c r="O158" i="62"/>
  <c r="O162" i="62"/>
  <c r="O166" i="62"/>
  <c r="O170" i="62"/>
  <c r="O174" i="62"/>
  <c r="O178" i="62"/>
  <c r="O182" i="62"/>
  <c r="O186" i="62"/>
  <c r="O190" i="62"/>
  <c r="O194" i="62"/>
  <c r="O198" i="62"/>
  <c r="O202" i="62"/>
  <c r="O206" i="62"/>
  <c r="O116" i="63"/>
  <c r="O120" i="63"/>
  <c r="O124" i="63"/>
  <c r="O128" i="63"/>
  <c r="O132" i="63"/>
  <c r="O136" i="63"/>
  <c r="O140" i="63"/>
  <c r="O144" i="63"/>
  <c r="O148" i="63"/>
  <c r="O152" i="63"/>
  <c r="O156" i="63"/>
  <c r="O160" i="63"/>
  <c r="O164" i="63"/>
  <c r="O168" i="63"/>
  <c r="O172" i="63"/>
  <c r="O176" i="63"/>
  <c r="O180" i="63"/>
  <c r="O184" i="63"/>
  <c r="O188" i="63"/>
  <c r="O192" i="63"/>
  <c r="O196" i="63"/>
  <c r="O200" i="63"/>
  <c r="O204" i="63"/>
  <c r="O118" i="64"/>
  <c r="O122" i="64"/>
  <c r="O126" i="64"/>
  <c r="O130" i="64"/>
  <c r="O134" i="64"/>
  <c r="O138" i="64"/>
  <c r="O142" i="64"/>
  <c r="O146" i="64"/>
  <c r="O150" i="64"/>
  <c r="O154" i="64"/>
  <c r="O158" i="64"/>
  <c r="O162" i="64"/>
  <c r="O166" i="64"/>
  <c r="O170" i="64"/>
  <c r="O174" i="64"/>
  <c r="O178" i="64"/>
  <c r="O182" i="64"/>
  <c r="O186" i="64"/>
  <c r="O190" i="64"/>
  <c r="O194" i="64"/>
  <c r="O198" i="64"/>
  <c r="O202" i="64"/>
  <c r="O206" i="64"/>
  <c r="O116" i="65"/>
  <c r="O120" i="65"/>
  <c r="O124" i="65"/>
  <c r="O128" i="65"/>
  <c r="O132" i="65"/>
  <c r="O136" i="65"/>
  <c r="O140" i="65"/>
  <c r="O144" i="65"/>
  <c r="O148" i="65"/>
  <c r="O152" i="65"/>
  <c r="O156" i="65"/>
  <c r="O160" i="65"/>
  <c r="O164" i="65"/>
  <c r="O168" i="65"/>
  <c r="O172" i="65"/>
  <c r="O176" i="65"/>
  <c r="O180" i="65"/>
  <c r="O184" i="65"/>
  <c r="O188" i="65"/>
  <c r="O192" i="65"/>
  <c r="O196" i="65"/>
  <c r="O200" i="65"/>
  <c r="O204" i="65"/>
  <c r="O118" i="66"/>
  <c r="O122" i="66"/>
  <c r="O126" i="66"/>
  <c r="O130" i="66"/>
  <c r="O134" i="66"/>
  <c r="O138" i="66"/>
  <c r="O142" i="66"/>
  <c r="O146" i="66"/>
  <c r="O150" i="66"/>
  <c r="O154" i="66"/>
  <c r="O158" i="66"/>
  <c r="O162" i="66"/>
  <c r="O166" i="66"/>
  <c r="O170" i="66"/>
  <c r="O174" i="66"/>
  <c r="O178" i="66"/>
  <c r="O182" i="66"/>
  <c r="O186" i="66"/>
  <c r="O190" i="66"/>
  <c r="O194" i="66"/>
  <c r="O198" i="66"/>
  <c r="O202" i="66"/>
  <c r="O206" i="66"/>
  <c r="M11" i="68"/>
  <c r="M15" i="68"/>
  <c r="M19" i="68"/>
  <c r="M23" i="68"/>
  <c r="M27" i="68"/>
  <c r="M31" i="68"/>
  <c r="M35" i="68"/>
  <c r="M39" i="68"/>
  <c r="M43" i="68"/>
  <c r="M47" i="68"/>
  <c r="M51" i="68"/>
  <c r="M55" i="68"/>
  <c r="M59" i="68"/>
  <c r="M63" i="68"/>
  <c r="M67" i="68"/>
  <c r="M71" i="68"/>
  <c r="M75" i="68"/>
  <c r="M79" i="68"/>
  <c r="M83" i="68"/>
  <c r="M87" i="68"/>
  <c r="M91" i="68"/>
  <c r="M95" i="68"/>
  <c r="M99" i="68"/>
  <c r="M103" i="68"/>
  <c r="J105" i="67"/>
  <c r="K105" i="62"/>
  <c r="J105" i="63"/>
  <c r="M12" i="68"/>
  <c r="M16" i="68"/>
  <c r="M20" i="68"/>
  <c r="M24" i="68"/>
  <c r="M28" i="68"/>
  <c r="M32" i="68"/>
  <c r="M36" i="68"/>
  <c r="M40" i="68"/>
  <c r="M44" i="68"/>
  <c r="M48" i="68"/>
  <c r="M52" i="68"/>
  <c r="M56" i="68"/>
  <c r="M60" i="68"/>
  <c r="M64" i="68"/>
  <c r="M68" i="68"/>
  <c r="M72" i="68"/>
  <c r="M76" i="68"/>
  <c r="M80" i="68"/>
  <c r="M84" i="68"/>
  <c r="M88" i="68"/>
  <c r="M92" i="68"/>
  <c r="M96" i="68"/>
  <c r="M100" i="68"/>
  <c r="O21" i="82"/>
  <c r="O21" i="85"/>
  <c r="O205" i="57"/>
  <c r="O201" i="57"/>
  <c r="O197" i="57"/>
  <c r="O193" i="57"/>
  <c r="O189" i="57"/>
  <c r="O185" i="57"/>
  <c r="O181" i="57"/>
  <c r="O177" i="57"/>
  <c r="O173" i="57"/>
  <c r="O169" i="57"/>
  <c r="O165" i="57"/>
  <c r="O161" i="57"/>
  <c r="O157" i="57"/>
  <c r="O153" i="57"/>
  <c r="O149" i="57"/>
  <c r="O145" i="57"/>
  <c r="O141" i="57"/>
  <c r="O137" i="57"/>
  <c r="O133" i="57"/>
  <c r="O129" i="57"/>
  <c r="O125" i="57"/>
  <c r="O121" i="57"/>
  <c r="O117" i="57"/>
  <c r="O103" i="78"/>
  <c r="O103" i="82"/>
  <c r="O48" i="82"/>
  <c r="O44" i="82"/>
  <c r="O40" i="82"/>
  <c r="O36" i="82"/>
  <c r="O32" i="82"/>
  <c r="O28" i="82"/>
  <c r="O24" i="82"/>
  <c r="O20" i="82"/>
  <c r="O48" i="83"/>
  <c r="O44" i="83"/>
  <c r="O40" i="83"/>
  <c r="O36" i="83"/>
  <c r="O32" i="83"/>
  <c r="O28" i="83"/>
  <c r="O24" i="83"/>
  <c r="O20" i="83"/>
  <c r="O48" i="85"/>
  <c r="O44" i="85"/>
  <c r="O40" i="85"/>
  <c r="O36" i="85"/>
  <c r="O32" i="85"/>
  <c r="O28" i="85"/>
  <c r="O24" i="85"/>
  <c r="O20" i="85"/>
  <c r="O48" i="79"/>
  <c r="O44" i="79"/>
  <c r="O40" i="79"/>
  <c r="O36" i="79"/>
  <c r="O32" i="79"/>
  <c r="O28" i="79"/>
  <c r="O24" i="79"/>
  <c r="O20" i="79"/>
  <c r="O48" i="78"/>
  <c r="O44" i="78"/>
  <c r="O40" i="78"/>
  <c r="O36" i="78"/>
  <c r="O32" i="78"/>
  <c r="O28" i="78"/>
  <c r="O24" i="78"/>
  <c r="O20" i="78"/>
  <c r="O48" i="68"/>
  <c r="O44" i="68"/>
  <c r="O40" i="68"/>
  <c r="O36" i="68"/>
  <c r="O32" i="68"/>
  <c r="O28" i="68"/>
  <c r="O24" i="68"/>
  <c r="O20" i="68"/>
  <c r="F105" i="63"/>
  <c r="K105" i="63"/>
  <c r="J105" i="64"/>
  <c r="O116" i="67"/>
  <c r="O120" i="67"/>
  <c r="O124" i="67"/>
  <c r="O128" i="67"/>
  <c r="O132" i="67"/>
  <c r="O136" i="67"/>
  <c r="O140" i="67"/>
  <c r="O144" i="67"/>
  <c r="O148" i="67"/>
  <c r="O152" i="67"/>
  <c r="O156" i="67"/>
  <c r="O160" i="67"/>
  <c r="O164" i="67"/>
  <c r="O168" i="67"/>
  <c r="O172" i="67"/>
  <c r="O176" i="67"/>
  <c r="O180" i="67"/>
  <c r="O184" i="67"/>
  <c r="O188" i="67"/>
  <c r="O192" i="67"/>
  <c r="O196" i="67"/>
  <c r="O200" i="67"/>
  <c r="O204" i="67"/>
  <c r="O118" i="43"/>
  <c r="O122" i="43"/>
  <c r="O126" i="43"/>
  <c r="O130" i="43"/>
  <c r="O134" i="43"/>
  <c r="O138" i="43"/>
  <c r="O142" i="43"/>
  <c r="O146" i="43"/>
  <c r="O150" i="43"/>
  <c r="O154" i="43"/>
  <c r="O158" i="43"/>
  <c r="O162" i="43"/>
  <c r="O166" i="43"/>
  <c r="O170" i="43"/>
  <c r="O174" i="43"/>
  <c r="O178" i="43"/>
  <c r="O182" i="43"/>
  <c r="O186" i="43"/>
  <c r="O190" i="43"/>
  <c r="O194" i="43"/>
  <c r="O198" i="43"/>
  <c r="O202" i="43"/>
  <c r="O206" i="43"/>
  <c r="O116" i="58"/>
  <c r="O120" i="58"/>
  <c r="O124" i="58"/>
  <c r="O128" i="58"/>
  <c r="O132" i="58"/>
  <c r="O136" i="58"/>
  <c r="O140" i="58"/>
  <c r="O144" i="58"/>
  <c r="O148" i="58"/>
  <c r="O152" i="58"/>
  <c r="O156" i="58"/>
  <c r="O160" i="58"/>
  <c r="O164" i="58"/>
  <c r="O168" i="58"/>
  <c r="O172" i="58"/>
  <c r="O176" i="58"/>
  <c r="O180" i="58"/>
  <c r="O184" i="58"/>
  <c r="O188" i="58"/>
  <c r="O192" i="58"/>
  <c r="O196" i="58"/>
  <c r="O200" i="58"/>
  <c r="O204" i="58"/>
  <c r="O118" i="59"/>
  <c r="O122" i="59"/>
  <c r="O126" i="59"/>
  <c r="O130" i="59"/>
  <c r="O134" i="59"/>
  <c r="O138" i="59"/>
  <c r="O142" i="59"/>
  <c r="O146" i="59"/>
  <c r="O150" i="59"/>
  <c r="O154" i="59"/>
  <c r="O158" i="59"/>
  <c r="O162" i="59"/>
  <c r="O166" i="59"/>
  <c r="O170" i="59"/>
  <c r="O174" i="59"/>
  <c r="O178" i="59"/>
  <c r="O182" i="59"/>
  <c r="O186" i="59"/>
  <c r="O190" i="59"/>
  <c r="O194" i="59"/>
  <c r="O198" i="59"/>
  <c r="O202" i="59"/>
  <c r="O206" i="59"/>
  <c r="O116" i="60"/>
  <c r="O120" i="60"/>
  <c r="O124" i="60"/>
  <c r="O128" i="60"/>
  <c r="O132" i="60"/>
  <c r="O136" i="60"/>
  <c r="O140" i="60"/>
  <c r="O144" i="60"/>
  <c r="O148" i="60"/>
  <c r="O152" i="60"/>
  <c r="O156" i="60"/>
  <c r="O160" i="60"/>
  <c r="O164" i="60"/>
  <c r="O168" i="60"/>
  <c r="O172" i="60"/>
  <c r="O176" i="60"/>
  <c r="O180" i="60"/>
  <c r="O184" i="60"/>
  <c r="O188" i="60"/>
  <c r="O192" i="60"/>
  <c r="O196" i="60"/>
  <c r="O200" i="60"/>
  <c r="O204" i="60"/>
  <c r="O118" i="61"/>
  <c r="O122" i="61"/>
  <c r="O126" i="61"/>
  <c r="O130" i="61"/>
  <c r="O134" i="61"/>
  <c r="O138" i="61"/>
  <c r="O142" i="61"/>
  <c r="O146" i="61"/>
  <c r="O150" i="61"/>
  <c r="O154" i="61"/>
  <c r="O158" i="61"/>
  <c r="O162" i="61"/>
  <c r="O166" i="61"/>
  <c r="O170" i="61"/>
  <c r="O174" i="61"/>
  <c r="O178" i="61"/>
  <c r="O182" i="61"/>
  <c r="O186" i="61"/>
  <c r="O190" i="61"/>
  <c r="O194" i="61"/>
  <c r="O198" i="61"/>
  <c r="O202" i="61"/>
  <c r="O206" i="61"/>
  <c r="O116" i="62"/>
  <c r="O120" i="62"/>
  <c r="O124" i="62"/>
  <c r="O128" i="62"/>
  <c r="O132" i="62"/>
  <c r="O136" i="62"/>
  <c r="O140" i="62"/>
  <c r="O144" i="62"/>
  <c r="O148" i="62"/>
  <c r="O152" i="62"/>
  <c r="O156" i="62"/>
  <c r="O160" i="62"/>
  <c r="O164" i="62"/>
  <c r="O168" i="62"/>
  <c r="O172" i="62"/>
  <c r="O176" i="62"/>
  <c r="O180" i="62"/>
  <c r="O184" i="62"/>
  <c r="O188" i="62"/>
  <c r="O192" i="62"/>
  <c r="O196" i="62"/>
  <c r="O200" i="62"/>
  <c r="O204" i="62"/>
  <c r="O118" i="63"/>
  <c r="O122" i="63"/>
  <c r="O126" i="63"/>
  <c r="O130" i="63"/>
  <c r="O134" i="63"/>
  <c r="O138" i="63"/>
  <c r="O142" i="63"/>
  <c r="O146" i="63"/>
  <c r="O150" i="63"/>
  <c r="O154" i="63"/>
  <c r="O158" i="63"/>
  <c r="O162" i="63"/>
  <c r="O166" i="63"/>
  <c r="O170" i="63"/>
  <c r="O174" i="63"/>
  <c r="O178" i="63"/>
  <c r="O182" i="63"/>
  <c r="O186" i="63"/>
  <c r="O190" i="63"/>
  <c r="O194" i="63"/>
  <c r="O198" i="63"/>
  <c r="O202" i="63"/>
  <c r="O206" i="63"/>
  <c r="O116" i="64"/>
  <c r="O120" i="64"/>
  <c r="O124" i="64"/>
  <c r="O128" i="64"/>
  <c r="O132" i="64"/>
  <c r="O136" i="64"/>
  <c r="O140" i="64"/>
  <c r="O144" i="64"/>
  <c r="O148" i="64"/>
  <c r="O152" i="64"/>
  <c r="O156" i="64"/>
  <c r="O160" i="64"/>
  <c r="O164" i="64"/>
  <c r="O168" i="64"/>
  <c r="O172" i="64"/>
  <c r="O176" i="64"/>
  <c r="O180" i="64"/>
  <c r="O184" i="64"/>
  <c r="O188" i="64"/>
  <c r="O192" i="64"/>
  <c r="O196" i="64"/>
  <c r="O200" i="64"/>
  <c r="O204" i="64"/>
  <c r="O118" i="65"/>
  <c r="O122" i="65"/>
  <c r="O126" i="65"/>
  <c r="O130" i="65"/>
  <c r="O134" i="65"/>
  <c r="O138" i="65"/>
  <c r="O142" i="65"/>
  <c r="O146" i="65"/>
  <c r="O150" i="65"/>
  <c r="O154" i="65"/>
  <c r="O158" i="65"/>
  <c r="O162" i="65"/>
  <c r="O166" i="65"/>
  <c r="O170" i="65"/>
  <c r="O174" i="65"/>
  <c r="O178" i="65"/>
  <c r="O182" i="65"/>
  <c r="O186" i="65"/>
  <c r="O190" i="65"/>
  <c r="O194" i="65"/>
  <c r="O198" i="65"/>
  <c r="O202" i="65"/>
  <c r="O206" i="65"/>
  <c r="O116" i="66"/>
  <c r="O120" i="66"/>
  <c r="O124" i="66"/>
  <c r="O128" i="66"/>
  <c r="O132" i="66"/>
  <c r="O136" i="66"/>
  <c r="O140" i="66"/>
  <c r="O144" i="66"/>
  <c r="O148" i="66"/>
  <c r="O152" i="66"/>
  <c r="O156" i="66"/>
  <c r="O160" i="66"/>
  <c r="O164" i="66"/>
  <c r="O168" i="66"/>
  <c r="O172" i="66"/>
  <c r="O176" i="66"/>
  <c r="O180" i="66"/>
  <c r="O184" i="66"/>
  <c r="O188" i="66"/>
  <c r="O192" i="66"/>
  <c r="O196" i="66"/>
  <c r="O200" i="66"/>
  <c r="O204" i="66"/>
  <c r="M9" i="68"/>
  <c r="M13" i="68"/>
  <c r="M17" i="68"/>
  <c r="M21" i="68"/>
  <c r="M25" i="68"/>
  <c r="M29" i="68"/>
  <c r="M33" i="68"/>
  <c r="M37" i="68"/>
  <c r="M41" i="68"/>
  <c r="M45" i="68"/>
  <c r="M49" i="68"/>
  <c r="M53" i="68"/>
  <c r="M57" i="68"/>
  <c r="M61" i="68"/>
  <c r="M65" i="68"/>
  <c r="M69" i="68"/>
  <c r="M73" i="68"/>
  <c r="M77" i="68"/>
  <c r="M81" i="68"/>
  <c r="M85" i="68"/>
  <c r="M89" i="68"/>
  <c r="M93" i="68"/>
  <c r="M97" i="68"/>
  <c r="M101" i="68"/>
  <c r="O25" i="82"/>
  <c r="O29" i="83"/>
  <c r="O49" i="79"/>
  <c r="O37" i="79"/>
  <c r="O204" i="57"/>
  <c r="O200" i="57"/>
  <c r="O196" i="57"/>
  <c r="O192" i="57"/>
  <c r="O188" i="57"/>
  <c r="O184" i="57"/>
  <c r="O180" i="57"/>
  <c r="O176" i="57"/>
  <c r="O172" i="57"/>
  <c r="O168" i="57"/>
  <c r="O164" i="57"/>
  <c r="O160" i="57"/>
  <c r="O156" i="57"/>
  <c r="O152" i="57"/>
  <c r="O148" i="57"/>
  <c r="O144" i="57"/>
  <c r="O140" i="57"/>
  <c r="O136" i="57"/>
  <c r="O132" i="57"/>
  <c r="O128" i="57"/>
  <c r="O124" i="57"/>
  <c r="O120" i="57"/>
  <c r="O116" i="57"/>
  <c r="O103" i="79"/>
  <c r="O51" i="82"/>
  <c r="O47" i="82"/>
  <c r="O43" i="82"/>
  <c r="O39" i="82"/>
  <c r="O35" i="82"/>
  <c r="O31" i="82"/>
  <c r="O27" i="82"/>
  <c r="O23" i="82"/>
  <c r="O51" i="83"/>
  <c r="O47" i="83"/>
  <c r="O43" i="83"/>
  <c r="O39" i="83"/>
  <c r="O35" i="83"/>
  <c r="O31" i="83"/>
  <c r="O27" i="83"/>
  <c r="O23" i="83"/>
  <c r="O51" i="85"/>
  <c r="O47" i="85"/>
  <c r="O43" i="85"/>
  <c r="O39" i="85"/>
  <c r="O35" i="85"/>
  <c r="O31" i="85"/>
  <c r="O27" i="85"/>
  <c r="O23" i="85"/>
  <c r="O51" i="79"/>
  <c r="O47" i="79"/>
  <c r="O43" i="79"/>
  <c r="O39" i="79"/>
  <c r="O35" i="79"/>
  <c r="O31" i="79"/>
  <c r="O27" i="79"/>
  <c r="O23" i="79"/>
  <c r="O51" i="78"/>
  <c r="O47" i="78"/>
  <c r="O43" i="78"/>
  <c r="O39" i="78"/>
  <c r="O35" i="78"/>
  <c r="O31" i="78"/>
  <c r="O27" i="78"/>
  <c r="O23" i="78"/>
  <c r="O51" i="68"/>
  <c r="O47" i="68"/>
  <c r="O43" i="68"/>
  <c r="O39" i="68"/>
  <c r="O35" i="68"/>
  <c r="O31" i="68"/>
  <c r="O27" i="68"/>
  <c r="O23" i="68"/>
  <c r="O114" i="67"/>
  <c r="O117" i="67"/>
  <c r="O121" i="67"/>
  <c r="O125" i="67"/>
  <c r="O129" i="67"/>
  <c r="O133" i="67"/>
  <c r="O137" i="67"/>
  <c r="O141" i="67"/>
  <c r="O145" i="67"/>
  <c r="O149" i="67"/>
  <c r="O153" i="67"/>
  <c r="O157" i="67"/>
  <c r="O161" i="67"/>
  <c r="O165" i="67"/>
  <c r="O169" i="67"/>
  <c r="O173" i="67"/>
  <c r="O177" i="67"/>
  <c r="O181" i="67"/>
  <c r="O185" i="67"/>
  <c r="O189" i="67"/>
  <c r="O193" i="67"/>
  <c r="O197" i="67"/>
  <c r="O201" i="67"/>
  <c r="O205" i="67"/>
  <c r="O115" i="43"/>
  <c r="O119" i="43"/>
  <c r="O123" i="43"/>
  <c r="O127" i="43"/>
  <c r="O131" i="43"/>
  <c r="O135" i="43"/>
  <c r="O139" i="43"/>
  <c r="O143" i="43"/>
  <c r="O147" i="43"/>
  <c r="O151" i="43"/>
  <c r="O155" i="43"/>
  <c r="O159" i="43"/>
  <c r="O163" i="43"/>
  <c r="O167" i="43"/>
  <c r="O171" i="43"/>
  <c r="O175" i="43"/>
  <c r="O179" i="43"/>
  <c r="O183" i="43"/>
  <c r="O187" i="43"/>
  <c r="O191" i="43"/>
  <c r="O195" i="43"/>
  <c r="O199" i="43"/>
  <c r="O203" i="43"/>
  <c r="O114" i="58"/>
  <c r="O117" i="58"/>
  <c r="O121" i="58"/>
  <c r="O125" i="58"/>
  <c r="O129" i="58"/>
  <c r="O133" i="58"/>
  <c r="O137" i="58"/>
  <c r="O141" i="58"/>
  <c r="O145" i="58"/>
  <c r="O149" i="58"/>
  <c r="O153" i="58"/>
  <c r="O157" i="58"/>
  <c r="O161" i="58"/>
  <c r="O165" i="58"/>
  <c r="O169" i="58"/>
  <c r="O173" i="58"/>
  <c r="O177" i="58"/>
  <c r="O181" i="58"/>
  <c r="O185" i="58"/>
  <c r="O189" i="58"/>
  <c r="O193" i="58"/>
  <c r="O197" i="58"/>
  <c r="O201" i="58"/>
  <c r="O205" i="58"/>
  <c r="O115" i="59"/>
  <c r="O119" i="59"/>
  <c r="O123" i="59"/>
  <c r="O127" i="59"/>
  <c r="O131" i="59"/>
  <c r="O135" i="59"/>
  <c r="O139" i="59"/>
  <c r="O143" i="59"/>
  <c r="O147" i="59"/>
  <c r="O151" i="59"/>
  <c r="O155" i="59"/>
  <c r="O159" i="59"/>
  <c r="O163" i="59"/>
  <c r="O167" i="59"/>
  <c r="O171" i="59"/>
  <c r="O175" i="59"/>
  <c r="O179" i="59"/>
  <c r="O183" i="59"/>
  <c r="O187" i="59"/>
  <c r="O191" i="59"/>
  <c r="O195" i="59"/>
  <c r="O199" i="59"/>
  <c r="O203" i="59"/>
  <c r="O114" i="60"/>
  <c r="O117" i="60"/>
  <c r="O121" i="60"/>
  <c r="O125" i="60"/>
  <c r="O129" i="60"/>
  <c r="O133" i="60"/>
  <c r="O137" i="60"/>
  <c r="O141" i="60"/>
  <c r="O145" i="60"/>
  <c r="O149" i="60"/>
  <c r="O153" i="60"/>
  <c r="O157" i="60"/>
  <c r="O161" i="60"/>
  <c r="O165" i="60"/>
  <c r="O169" i="60"/>
  <c r="O173" i="60"/>
  <c r="O177" i="60"/>
  <c r="O181" i="60"/>
  <c r="O185" i="60"/>
  <c r="O189" i="60"/>
  <c r="O193" i="60"/>
  <c r="O197" i="60"/>
  <c r="O201" i="60"/>
  <c r="O205" i="60"/>
  <c r="O115" i="61"/>
  <c r="O119" i="61"/>
  <c r="O123" i="61"/>
  <c r="O127" i="61"/>
  <c r="O131" i="61"/>
  <c r="O135" i="61"/>
  <c r="O139" i="61"/>
  <c r="O143" i="61"/>
  <c r="O147" i="61"/>
  <c r="O151" i="61"/>
  <c r="O155" i="61"/>
  <c r="O159" i="61"/>
  <c r="O163" i="61"/>
  <c r="O167" i="61"/>
  <c r="O171" i="61"/>
  <c r="O175" i="61"/>
  <c r="O179" i="61"/>
  <c r="O183" i="61"/>
  <c r="O187" i="61"/>
  <c r="O191" i="61"/>
  <c r="O195" i="61"/>
  <c r="O199" i="61"/>
  <c r="O203" i="61"/>
  <c r="O114" i="62"/>
  <c r="O117" i="62"/>
  <c r="O121" i="62"/>
  <c r="O125" i="62"/>
  <c r="O129" i="62"/>
  <c r="O133" i="62"/>
  <c r="O137" i="62"/>
  <c r="O141" i="62"/>
  <c r="O145" i="62"/>
  <c r="O149" i="62"/>
  <c r="O153" i="62"/>
  <c r="O157" i="62"/>
  <c r="O161" i="62"/>
  <c r="O165" i="62"/>
  <c r="O169" i="62"/>
  <c r="O173" i="62"/>
  <c r="O177" i="62"/>
  <c r="O181" i="62"/>
  <c r="O185" i="62"/>
  <c r="O189" i="62"/>
  <c r="O193" i="62"/>
  <c r="O197" i="62"/>
  <c r="O201" i="62"/>
  <c r="O205" i="62"/>
  <c r="O115" i="63"/>
  <c r="O119" i="63"/>
  <c r="O123" i="63"/>
  <c r="O127" i="63"/>
  <c r="O131" i="63"/>
  <c r="O135" i="63"/>
  <c r="O139" i="63"/>
  <c r="O143" i="63"/>
  <c r="O147" i="63"/>
  <c r="O151" i="63"/>
  <c r="O155" i="63"/>
  <c r="O159" i="63"/>
  <c r="O163" i="63"/>
  <c r="O167" i="63"/>
  <c r="O171" i="63"/>
  <c r="O175" i="63"/>
  <c r="O179" i="63"/>
  <c r="O183" i="63"/>
  <c r="O187" i="63"/>
  <c r="O191" i="63"/>
  <c r="O195" i="63"/>
  <c r="O199" i="63"/>
  <c r="O203" i="63"/>
  <c r="O114" i="64"/>
  <c r="O117" i="64"/>
  <c r="O121" i="64"/>
  <c r="O125" i="64"/>
  <c r="O129" i="64"/>
  <c r="O133" i="64"/>
  <c r="O137" i="64"/>
  <c r="O141" i="64"/>
  <c r="O145" i="64"/>
  <c r="O149" i="64"/>
  <c r="O153" i="64"/>
  <c r="O157" i="64"/>
  <c r="O161" i="64"/>
  <c r="O165" i="64"/>
  <c r="O169" i="64"/>
  <c r="O173" i="64"/>
  <c r="O177" i="64"/>
  <c r="O181" i="64"/>
  <c r="O185" i="64"/>
  <c r="O189" i="64"/>
  <c r="O193" i="64"/>
  <c r="O197" i="64"/>
  <c r="O201" i="64"/>
  <c r="O205" i="64"/>
  <c r="O115" i="65"/>
  <c r="O119" i="65"/>
  <c r="O123" i="65"/>
  <c r="O127" i="65"/>
  <c r="O131" i="65"/>
  <c r="O135" i="65"/>
  <c r="O139" i="65"/>
  <c r="O143" i="65"/>
  <c r="O147" i="65"/>
  <c r="O151" i="65"/>
  <c r="O155" i="65"/>
  <c r="O159" i="65"/>
  <c r="O163" i="65"/>
  <c r="O167" i="65"/>
  <c r="O171" i="65"/>
  <c r="O175" i="65"/>
  <c r="O179" i="65"/>
  <c r="O183" i="65"/>
  <c r="O187" i="65"/>
  <c r="O191" i="65"/>
  <c r="O195" i="65"/>
  <c r="O199" i="65"/>
  <c r="O203" i="65"/>
  <c r="O114" i="66"/>
  <c r="O117" i="66"/>
  <c r="O121" i="66"/>
  <c r="O125" i="66"/>
  <c r="O129" i="66"/>
  <c r="O133" i="66"/>
  <c r="O137" i="66"/>
  <c r="O141" i="66"/>
  <c r="O145" i="66"/>
  <c r="O149" i="66"/>
  <c r="O153" i="66"/>
  <c r="O157" i="66"/>
  <c r="O161" i="66"/>
  <c r="O165" i="66"/>
  <c r="O169" i="66"/>
  <c r="O173" i="66"/>
  <c r="O177" i="66"/>
  <c r="O181" i="66"/>
  <c r="O185" i="66"/>
  <c r="O189" i="66"/>
  <c r="O193" i="66"/>
  <c r="O197" i="66"/>
  <c r="O201" i="66"/>
  <c r="O205" i="66"/>
  <c r="M10" i="68"/>
  <c r="M14" i="68"/>
  <c r="M18" i="68"/>
  <c r="M22" i="68"/>
  <c r="M26" i="68"/>
  <c r="M30" i="68"/>
  <c r="M34" i="68"/>
  <c r="M38" i="68"/>
  <c r="M42" i="68"/>
  <c r="M46" i="68"/>
  <c r="M50" i="68"/>
  <c r="M54" i="68"/>
  <c r="M58" i="68"/>
  <c r="M62" i="68"/>
  <c r="M66" i="68"/>
  <c r="M70" i="68"/>
  <c r="M74" i="68"/>
  <c r="M78" i="68"/>
  <c r="M82" i="68"/>
  <c r="M86" i="68"/>
  <c r="M90" i="68"/>
  <c r="M94" i="68"/>
  <c r="M98" i="68"/>
  <c r="M102" i="68"/>
  <c r="H13" i="87"/>
  <c r="I105" i="59"/>
  <c r="M115" i="57"/>
  <c r="M117" i="57"/>
  <c r="M118" i="57"/>
  <c r="M119" i="57"/>
  <c r="M121" i="57"/>
  <c r="M123" i="57"/>
  <c r="M125" i="57"/>
  <c r="M126" i="57"/>
  <c r="M127" i="57"/>
  <c r="M129" i="57"/>
  <c r="M130" i="57"/>
  <c r="M131" i="57"/>
  <c r="M133" i="57"/>
  <c r="M134" i="57"/>
  <c r="M135" i="57"/>
  <c r="M137" i="57"/>
  <c r="M138" i="57"/>
  <c r="M139" i="57"/>
  <c r="M141" i="57"/>
  <c r="M142" i="57"/>
  <c r="M143" i="57"/>
  <c r="M145" i="57"/>
  <c r="M146" i="57"/>
  <c r="M147" i="57"/>
  <c r="M149" i="57"/>
  <c r="M150" i="57"/>
  <c r="M151" i="57"/>
  <c r="M153" i="57"/>
  <c r="M154" i="57"/>
  <c r="M155" i="57"/>
  <c r="M157" i="57"/>
  <c r="M158" i="57"/>
  <c r="M159" i="57"/>
  <c r="M161" i="57"/>
  <c r="M162" i="57"/>
  <c r="M163" i="57"/>
  <c r="M165" i="57"/>
  <c r="M166" i="57"/>
  <c r="M167" i="57"/>
  <c r="M169" i="57"/>
  <c r="M170" i="57"/>
  <c r="M171" i="57"/>
  <c r="M173" i="57"/>
  <c r="M174" i="57"/>
  <c r="M175" i="57"/>
  <c r="M177" i="57"/>
  <c r="M178" i="57"/>
  <c r="M179" i="57"/>
  <c r="M181" i="57"/>
  <c r="M182" i="57"/>
  <c r="M183" i="57"/>
  <c r="M185" i="57"/>
  <c r="M186" i="57"/>
  <c r="M187" i="57"/>
  <c r="M189" i="57"/>
  <c r="M190" i="57"/>
  <c r="M191" i="57"/>
  <c r="M193" i="57"/>
  <c r="M194" i="57"/>
  <c r="M195" i="57"/>
  <c r="M197" i="57"/>
  <c r="M198" i="57"/>
  <c r="M199" i="57"/>
  <c r="M201" i="57"/>
  <c r="M202" i="57"/>
  <c r="M203" i="57"/>
  <c r="M205" i="57"/>
  <c r="M206" i="57"/>
  <c r="I105" i="58"/>
  <c r="I105" i="60"/>
  <c r="I105" i="62"/>
  <c r="M114" i="57"/>
  <c r="M122" i="57"/>
  <c r="I105" i="61"/>
  <c r="I105" i="63"/>
  <c r="I105" i="66"/>
  <c r="H105" i="67"/>
  <c r="H105" i="43"/>
  <c r="H105" i="59"/>
  <c r="H105" i="60"/>
  <c r="H105" i="61"/>
  <c r="H105" i="62"/>
  <c r="H105" i="63"/>
  <c r="H105" i="64"/>
  <c r="M131" i="67"/>
  <c r="M135" i="67"/>
  <c r="M136" i="67"/>
  <c r="M139" i="67"/>
  <c r="M147" i="67"/>
  <c r="M151" i="67"/>
  <c r="M155" i="67"/>
  <c r="M157" i="67"/>
  <c r="M158" i="67"/>
  <c r="M159" i="67"/>
  <c r="M169" i="67"/>
  <c r="M170" i="67"/>
  <c r="M171" i="67"/>
  <c r="M175" i="67"/>
  <c r="M176" i="67"/>
  <c r="M179" i="67"/>
  <c r="M181" i="67"/>
  <c r="M187" i="67"/>
  <c r="M191" i="67"/>
  <c r="M193" i="67"/>
  <c r="M194" i="67"/>
  <c r="M195" i="67"/>
  <c r="M199" i="67"/>
  <c r="M206" i="67"/>
  <c r="M114" i="43"/>
  <c r="M118" i="43"/>
  <c r="M122" i="43"/>
  <c r="M124" i="43"/>
  <c r="M131" i="43"/>
  <c r="M134" i="43"/>
  <c r="M136" i="43"/>
  <c r="M137" i="43"/>
  <c r="M138" i="43"/>
  <c r="M139" i="43"/>
  <c r="M142" i="43"/>
  <c r="M146" i="43"/>
  <c r="M150" i="43"/>
  <c r="M153" i="43"/>
  <c r="M154" i="43"/>
  <c r="M157" i="43"/>
  <c r="M158" i="43"/>
  <c r="M160" i="43"/>
  <c r="M163" i="43"/>
  <c r="M165" i="43"/>
  <c r="M166" i="43"/>
  <c r="M169" i="43"/>
  <c r="M170" i="43"/>
  <c r="M172" i="43"/>
  <c r="M173" i="43"/>
  <c r="M178" i="43"/>
  <c r="M181" i="43"/>
  <c r="M182" i="43"/>
  <c r="M184" i="43"/>
  <c r="M185" i="43"/>
  <c r="M191" i="43"/>
  <c r="M193" i="43"/>
  <c r="M194" i="43"/>
  <c r="M196" i="43"/>
  <c r="M197" i="43"/>
  <c r="M198" i="43"/>
  <c r="M200" i="43"/>
  <c r="M202" i="43"/>
  <c r="M204" i="43"/>
  <c r="M206" i="43"/>
  <c r="M114" i="58"/>
  <c r="M115" i="58"/>
  <c r="M133" i="58"/>
  <c r="M134" i="58"/>
  <c r="M135" i="58"/>
  <c r="M147" i="58"/>
  <c r="M149" i="58"/>
  <c r="M153" i="58"/>
  <c r="M161" i="58"/>
  <c r="M162" i="58"/>
  <c r="M165" i="58"/>
  <c r="M181" i="58"/>
  <c r="M183" i="58"/>
  <c r="M198" i="58"/>
  <c r="M203" i="58"/>
  <c r="M204" i="58"/>
  <c r="M205" i="58"/>
  <c r="M125" i="59"/>
  <c r="M126" i="59"/>
  <c r="M127" i="59"/>
  <c r="M131" i="59"/>
  <c r="M132" i="59"/>
  <c r="M135" i="59"/>
  <c r="M147" i="59"/>
  <c r="M149" i="59"/>
  <c r="M152" i="59"/>
  <c r="M162" i="59"/>
  <c r="M163" i="59"/>
  <c r="M168" i="59"/>
  <c r="M171" i="59"/>
  <c r="M176" i="59"/>
  <c r="M180" i="59"/>
  <c r="M183" i="59"/>
  <c r="M188" i="59"/>
  <c r="M192" i="59"/>
  <c r="M195" i="59"/>
  <c r="M199" i="59"/>
  <c r="M200" i="59"/>
  <c r="M119" i="60"/>
  <c r="M123" i="60"/>
  <c r="M124" i="60"/>
  <c r="M126" i="60"/>
  <c r="M135" i="60"/>
  <c r="M137" i="60"/>
  <c r="M140" i="60"/>
  <c r="M142" i="60"/>
  <c r="M154" i="60"/>
  <c r="M159" i="60"/>
  <c r="M160" i="60"/>
  <c r="M163" i="60"/>
  <c r="M164" i="60"/>
  <c r="M166" i="60"/>
  <c r="M167" i="60"/>
  <c r="M170" i="60"/>
  <c r="M171" i="60"/>
  <c r="M172" i="60"/>
  <c r="M174" i="60"/>
  <c r="M198" i="60"/>
  <c r="M117" i="61"/>
  <c r="M148" i="61"/>
  <c r="M152" i="61"/>
  <c r="M153" i="61"/>
  <c r="M157" i="61"/>
  <c r="M160" i="61"/>
  <c r="M164" i="61"/>
  <c r="M165" i="61"/>
  <c r="M169" i="61"/>
  <c r="M172" i="61"/>
  <c r="M173" i="61"/>
  <c r="M176" i="61"/>
  <c r="M177" i="61"/>
  <c r="M181" i="61"/>
  <c r="M183" i="61"/>
  <c r="M184" i="61"/>
  <c r="M186" i="61"/>
  <c r="M189" i="61"/>
  <c r="M193" i="61"/>
  <c r="M194" i="61"/>
  <c r="M195" i="61"/>
  <c r="M199" i="61"/>
  <c r="M202" i="61"/>
  <c r="M129" i="66"/>
  <c r="M131" i="66"/>
  <c r="M133" i="66"/>
  <c r="M137" i="66"/>
  <c r="M141" i="66"/>
  <c r="M143" i="66"/>
  <c r="M144" i="66"/>
  <c r="M145" i="66"/>
  <c r="M161" i="66"/>
  <c r="M162" i="66"/>
  <c r="M163" i="66"/>
  <c r="M165" i="66"/>
  <c r="M169" i="66"/>
  <c r="M173" i="66"/>
  <c r="M175" i="66"/>
  <c r="M177" i="66"/>
  <c r="M181" i="66"/>
  <c r="M193" i="66"/>
  <c r="M195" i="66"/>
  <c r="M197" i="66"/>
  <c r="M201" i="66"/>
  <c r="M205" i="66"/>
  <c r="M114" i="63"/>
  <c r="M118" i="63"/>
  <c r="M120" i="63"/>
  <c r="M122" i="63"/>
  <c r="M124" i="63"/>
  <c r="M126" i="63"/>
  <c r="M138" i="63"/>
  <c r="M150" i="63"/>
  <c r="M156" i="63"/>
  <c r="M158" i="63"/>
  <c r="M160" i="63"/>
  <c r="M162" i="63"/>
  <c r="M174" i="63"/>
  <c r="M178" i="63"/>
  <c r="M182" i="63"/>
  <c r="M184" i="63"/>
  <c r="M186" i="63"/>
  <c r="M198" i="63"/>
  <c r="M200" i="63"/>
  <c r="M202" i="63"/>
  <c r="M204" i="63"/>
  <c r="M206" i="63"/>
  <c r="M122" i="62"/>
  <c r="M125" i="62"/>
  <c r="M134" i="62"/>
  <c r="M138" i="62"/>
  <c r="M141" i="62"/>
  <c r="M164" i="62"/>
  <c r="M165" i="62"/>
  <c r="M166" i="62"/>
  <c r="M169" i="62"/>
  <c r="M179" i="62"/>
  <c r="M181" i="62"/>
  <c r="M183" i="62"/>
  <c r="M184" i="62"/>
  <c r="M187" i="62"/>
  <c r="M191" i="62"/>
  <c r="M195" i="62"/>
  <c r="M199" i="62"/>
  <c r="M203" i="62"/>
  <c r="M204" i="62"/>
  <c r="M135" i="64"/>
  <c r="M137" i="64"/>
  <c r="M143" i="64"/>
  <c r="M145" i="64"/>
  <c r="M157" i="64"/>
  <c r="M159" i="64"/>
  <c r="M161" i="64"/>
  <c r="M165" i="64"/>
  <c r="M177" i="64"/>
  <c r="M179" i="64"/>
  <c r="M182" i="64"/>
  <c r="M187" i="64"/>
  <c r="M188" i="64"/>
  <c r="M189" i="64"/>
  <c r="M197" i="64"/>
  <c r="M123" i="65"/>
  <c r="M126" i="65"/>
  <c r="M127" i="65"/>
  <c r="M186" i="65"/>
  <c r="M188" i="65"/>
  <c r="M190" i="65"/>
  <c r="M194" i="65"/>
  <c r="M202" i="65"/>
  <c r="M203" i="65"/>
  <c r="M204" i="65"/>
  <c r="M206" i="65"/>
  <c r="H8" i="80"/>
  <c r="M116" i="57"/>
  <c r="M120" i="57"/>
  <c r="M124" i="57"/>
  <c r="M128" i="57"/>
  <c r="M132" i="57"/>
  <c r="M136" i="57"/>
  <c r="M140" i="57"/>
  <c r="M144" i="57"/>
  <c r="M148" i="57"/>
  <c r="M152" i="57"/>
  <c r="M156" i="57"/>
  <c r="M160" i="57"/>
  <c r="M164" i="57"/>
  <c r="M168" i="57"/>
  <c r="M172" i="57"/>
  <c r="M176" i="57"/>
  <c r="M180" i="57"/>
  <c r="M184" i="57"/>
  <c r="M188" i="57"/>
  <c r="M192" i="57"/>
  <c r="M196" i="57"/>
  <c r="M200" i="57"/>
  <c r="M204" i="57"/>
  <c r="P7" i="87"/>
  <c r="P10" i="87"/>
  <c r="P6" i="87"/>
  <c r="P13" i="87"/>
  <c r="P15" i="87"/>
  <c r="P9" i="87"/>
  <c r="P12" i="87"/>
  <c r="P16" i="87"/>
  <c r="H6" i="87"/>
  <c r="H9" i="87"/>
  <c r="G202" i="63"/>
  <c r="G137" i="64"/>
  <c r="G183" i="61"/>
  <c r="G119" i="62"/>
  <c r="G203" i="62"/>
  <c r="M134" i="67"/>
  <c r="M173" i="67"/>
  <c r="M174" i="67"/>
  <c r="M185" i="67"/>
  <c r="M120" i="43"/>
  <c r="M121" i="43"/>
  <c r="M156" i="43"/>
  <c r="M179" i="58"/>
  <c r="M199" i="58"/>
  <c r="M202" i="58"/>
  <c r="M123" i="59"/>
  <c r="M114" i="60"/>
  <c r="M182" i="60"/>
  <c r="G114" i="62"/>
  <c r="M137" i="62"/>
  <c r="G124" i="64"/>
  <c r="M161" i="65"/>
  <c r="M165" i="65"/>
  <c r="M169" i="65"/>
  <c r="M173" i="65"/>
  <c r="M177" i="65"/>
  <c r="M181" i="65"/>
  <c r="M201" i="65"/>
  <c r="M128" i="66"/>
  <c r="M192" i="66"/>
  <c r="M204" i="66"/>
  <c r="G146" i="58"/>
  <c r="M114" i="67"/>
  <c r="M118" i="67"/>
  <c r="M122" i="67"/>
  <c r="M125" i="58"/>
  <c r="M129" i="58"/>
  <c r="M146" i="60"/>
  <c r="M126" i="62"/>
  <c r="M129" i="62"/>
  <c r="M130" i="62"/>
  <c r="M170" i="62"/>
  <c r="M142" i="63"/>
  <c r="M147" i="63"/>
  <c r="M191" i="63"/>
  <c r="M118" i="64"/>
  <c r="M150" i="64"/>
  <c r="M166" i="64"/>
  <c r="M170" i="64"/>
  <c r="M136" i="65"/>
  <c r="M118" i="66"/>
  <c r="M150" i="66"/>
  <c r="M154" i="66"/>
  <c r="M182" i="66"/>
  <c r="M186" i="66"/>
  <c r="G201" i="43"/>
  <c r="G144" i="58"/>
  <c r="G191" i="62"/>
  <c r="M169" i="58"/>
  <c r="M173" i="58"/>
  <c r="M186" i="58"/>
  <c r="M189" i="58"/>
  <c r="M206" i="58"/>
  <c r="M117" i="59"/>
  <c r="M118" i="59"/>
  <c r="M137" i="59"/>
  <c r="M206" i="60"/>
  <c r="M192" i="64"/>
  <c r="M193" i="64"/>
  <c r="M143" i="67"/>
  <c r="M125" i="43"/>
  <c r="M186" i="43"/>
  <c r="D36" i="81"/>
  <c r="M137" i="67"/>
  <c r="M138" i="67"/>
  <c r="M140" i="67"/>
  <c r="M177" i="67"/>
  <c r="M178" i="67"/>
  <c r="M196" i="67"/>
  <c r="M140" i="43"/>
  <c r="M141" i="43"/>
  <c r="M143" i="43"/>
  <c r="M133" i="67"/>
  <c r="M145" i="67"/>
  <c r="M146" i="67"/>
  <c r="M163" i="67"/>
  <c r="M167" i="67"/>
  <c r="M182" i="67"/>
  <c r="M183" i="67"/>
  <c r="M184" i="67"/>
  <c r="M203" i="67"/>
  <c r="M205" i="67"/>
  <c r="M126" i="43"/>
  <c r="M130" i="43"/>
  <c r="M148" i="43"/>
  <c r="M149" i="43"/>
  <c r="M161" i="43"/>
  <c r="M162" i="43"/>
  <c r="M174" i="43"/>
  <c r="M177" i="43"/>
  <c r="M189" i="43"/>
  <c r="M190" i="43"/>
  <c r="M121" i="58"/>
  <c r="M131" i="58"/>
  <c r="M127" i="67"/>
  <c r="M148" i="67"/>
  <c r="M165" i="67"/>
  <c r="M166" i="67"/>
  <c r="M186" i="67"/>
  <c r="M188" i="67"/>
  <c r="M128" i="43"/>
  <c r="M129" i="43"/>
  <c r="M132" i="43"/>
  <c r="M133" i="43"/>
  <c r="M151" i="43"/>
  <c r="M164" i="43"/>
  <c r="M176" i="43"/>
  <c r="M179" i="43"/>
  <c r="M192" i="43"/>
  <c r="M139" i="58"/>
  <c r="M141" i="58"/>
  <c r="M143" i="58"/>
  <c r="M159" i="59"/>
  <c r="M115" i="67"/>
  <c r="M117" i="67"/>
  <c r="M119" i="67"/>
  <c r="M121" i="67"/>
  <c r="M123" i="67"/>
  <c r="M126" i="67"/>
  <c r="M141" i="67"/>
  <c r="M142" i="67"/>
  <c r="M149" i="67"/>
  <c r="M150" i="67"/>
  <c r="M152" i="67"/>
  <c r="M160" i="67"/>
  <c r="M189" i="67"/>
  <c r="M190" i="67"/>
  <c r="M197" i="67"/>
  <c r="M198" i="67"/>
  <c r="M200" i="67"/>
  <c r="M144" i="43"/>
  <c r="M145" i="43"/>
  <c r="M152" i="43"/>
  <c r="M167" i="43"/>
  <c r="M180" i="43"/>
  <c r="M187" i="43"/>
  <c r="M201" i="43"/>
  <c r="M120" i="58"/>
  <c r="G130" i="58"/>
  <c r="M157" i="58"/>
  <c r="M166" i="58"/>
  <c r="M167" i="58"/>
  <c r="M168" i="58"/>
  <c r="M170" i="58"/>
  <c r="M171" i="58"/>
  <c r="M172" i="58"/>
  <c r="M175" i="58"/>
  <c r="M178" i="58"/>
  <c r="M180" i="58"/>
  <c r="M188" i="58"/>
  <c r="M120" i="59"/>
  <c r="M122" i="59"/>
  <c r="M124" i="59"/>
  <c r="M140" i="59"/>
  <c r="M143" i="59"/>
  <c r="M164" i="59"/>
  <c r="M167" i="59"/>
  <c r="M204" i="59"/>
  <c r="M205" i="59"/>
  <c r="M116" i="60"/>
  <c r="M175" i="60"/>
  <c r="M179" i="60"/>
  <c r="M195" i="60"/>
  <c r="M150" i="62"/>
  <c r="M154" i="62"/>
  <c r="M157" i="62"/>
  <c r="M190" i="63"/>
  <c r="M194" i="63"/>
  <c r="M116" i="67"/>
  <c r="M120" i="67"/>
  <c r="M125" i="67"/>
  <c r="M129" i="67"/>
  <c r="M130" i="67"/>
  <c r="M153" i="67"/>
  <c r="M154" i="67"/>
  <c r="M161" i="67"/>
  <c r="M162" i="67"/>
  <c r="M164" i="67"/>
  <c r="M172" i="67"/>
  <c r="M201" i="67"/>
  <c r="M202" i="67"/>
  <c r="M116" i="43"/>
  <c r="M117" i="43"/>
  <c r="M119" i="43"/>
  <c r="M127" i="43"/>
  <c r="M155" i="43"/>
  <c r="M168" i="43"/>
  <c r="M175" i="43"/>
  <c r="M188" i="43"/>
  <c r="M205" i="43"/>
  <c r="M123" i="58"/>
  <c r="M126" i="58"/>
  <c r="M127" i="58"/>
  <c r="M145" i="58"/>
  <c r="M150" i="58"/>
  <c r="M151" i="58"/>
  <c r="M163" i="58"/>
  <c r="M173" i="59"/>
  <c r="M175" i="59"/>
  <c r="M132" i="60"/>
  <c r="M134" i="60"/>
  <c r="M122" i="61"/>
  <c r="M146" i="61"/>
  <c r="M174" i="62"/>
  <c r="M177" i="62"/>
  <c r="M117" i="64"/>
  <c r="M121" i="64"/>
  <c r="M133" i="64"/>
  <c r="M119" i="58"/>
  <c r="M137" i="58"/>
  <c r="M142" i="58"/>
  <c r="M158" i="58"/>
  <c r="M159" i="58"/>
  <c r="G172" i="58"/>
  <c r="M200" i="58"/>
  <c r="M128" i="59"/>
  <c r="M129" i="59"/>
  <c r="M130" i="59"/>
  <c r="M133" i="59"/>
  <c r="M155" i="59"/>
  <c r="M161" i="59"/>
  <c r="M185" i="59"/>
  <c r="M158" i="60"/>
  <c r="M118" i="62"/>
  <c r="M154" i="63"/>
  <c r="M187" i="59"/>
  <c r="M191" i="59"/>
  <c r="M203" i="59"/>
  <c r="M122" i="60"/>
  <c r="M138" i="60"/>
  <c r="M141" i="60"/>
  <c r="M162" i="60"/>
  <c r="M200" i="60"/>
  <c r="M204" i="60"/>
  <c r="M114" i="61"/>
  <c r="M126" i="61"/>
  <c r="M134" i="61"/>
  <c r="M142" i="61"/>
  <c r="M203" i="61"/>
  <c r="M206" i="61"/>
  <c r="M114" i="62"/>
  <c r="M121" i="62"/>
  <c r="M148" i="62"/>
  <c r="M149" i="62"/>
  <c r="M168" i="62"/>
  <c r="M119" i="63"/>
  <c r="M123" i="63"/>
  <c r="M128" i="63"/>
  <c r="M129" i="63"/>
  <c r="M132" i="63"/>
  <c r="M133" i="63"/>
  <c r="M134" i="63"/>
  <c r="G136" i="63"/>
  <c r="M136" i="63"/>
  <c r="M155" i="63"/>
  <c r="M164" i="63"/>
  <c r="G167" i="63"/>
  <c r="M168" i="63"/>
  <c r="M170" i="63"/>
  <c r="M172" i="63"/>
  <c r="M188" i="63"/>
  <c r="M195" i="63"/>
  <c r="M115" i="64"/>
  <c r="M122" i="64"/>
  <c r="M126" i="64"/>
  <c r="M141" i="64"/>
  <c r="M128" i="65"/>
  <c r="M174" i="58"/>
  <c r="M185" i="58"/>
  <c r="M187" i="58"/>
  <c r="M190" i="58"/>
  <c r="M193" i="58"/>
  <c r="M194" i="58"/>
  <c r="M196" i="58"/>
  <c r="M197" i="58"/>
  <c r="M115" i="59"/>
  <c r="M116" i="59"/>
  <c r="M139" i="59"/>
  <c r="M151" i="59"/>
  <c r="M160" i="59"/>
  <c r="M172" i="59"/>
  <c r="M197" i="59"/>
  <c r="M118" i="60"/>
  <c r="M127" i="60"/>
  <c r="M128" i="60"/>
  <c r="M129" i="60"/>
  <c r="M131" i="60"/>
  <c r="M143" i="60"/>
  <c r="M144" i="60"/>
  <c r="M145" i="60"/>
  <c r="G146" i="60"/>
  <c r="M148" i="60"/>
  <c r="M151" i="60"/>
  <c r="M152" i="60"/>
  <c r="M168" i="60"/>
  <c r="M176" i="60"/>
  <c r="M118" i="61"/>
  <c r="M120" i="61"/>
  <c r="M190" i="61"/>
  <c r="M191" i="61"/>
  <c r="M198" i="61"/>
  <c r="G132" i="62"/>
  <c r="M132" i="62"/>
  <c r="M133" i="62"/>
  <c r="M158" i="62"/>
  <c r="M161" i="62"/>
  <c r="M162" i="62"/>
  <c r="M171" i="62"/>
  <c r="M173" i="62"/>
  <c r="M178" i="62"/>
  <c r="M182" i="62"/>
  <c r="M186" i="62"/>
  <c r="M189" i="62"/>
  <c r="M190" i="62"/>
  <c r="M194" i="62"/>
  <c r="M197" i="62"/>
  <c r="M198" i="62"/>
  <c r="M201" i="62"/>
  <c r="M202" i="62"/>
  <c r="M206" i="62"/>
  <c r="M117" i="63"/>
  <c r="M140" i="63"/>
  <c r="M144" i="63"/>
  <c r="M146" i="63"/>
  <c r="M148" i="63"/>
  <c r="M149" i="63"/>
  <c r="G150" i="63"/>
  <c r="M176" i="63"/>
  <c r="M192" i="63"/>
  <c r="M199" i="63"/>
  <c r="M203" i="63"/>
  <c r="M119" i="64"/>
  <c r="M149" i="64"/>
  <c r="M153" i="64"/>
  <c r="M117" i="66"/>
  <c r="M177" i="58"/>
  <c r="M191" i="58"/>
  <c r="M201" i="58"/>
  <c r="M121" i="59"/>
  <c r="M141" i="59"/>
  <c r="M142" i="59"/>
  <c r="M145" i="59"/>
  <c r="M153" i="59"/>
  <c r="M154" i="59"/>
  <c r="M157" i="59"/>
  <c r="M184" i="59"/>
  <c r="M196" i="59"/>
  <c r="M130" i="60"/>
  <c r="M133" i="60"/>
  <c r="M147" i="60"/>
  <c r="M150" i="60"/>
  <c r="M155" i="60"/>
  <c r="M156" i="60"/>
  <c r="M178" i="60"/>
  <c r="M180" i="60"/>
  <c r="G182" i="60"/>
  <c r="M183" i="60"/>
  <c r="M184" i="60"/>
  <c r="M190" i="60"/>
  <c r="M191" i="60"/>
  <c r="M194" i="60"/>
  <c r="M199" i="60"/>
  <c r="M202" i="60"/>
  <c r="M123" i="61"/>
  <c r="M125" i="61"/>
  <c r="M127" i="61"/>
  <c r="M129" i="61"/>
  <c r="M130" i="61"/>
  <c r="M132" i="61"/>
  <c r="G134" i="61"/>
  <c r="M135" i="61"/>
  <c r="M137" i="61"/>
  <c r="M138" i="61"/>
  <c r="M140" i="61"/>
  <c r="M143" i="61"/>
  <c r="M145" i="61"/>
  <c r="M116" i="62"/>
  <c r="M117" i="62"/>
  <c r="M142" i="62"/>
  <c r="M145" i="62"/>
  <c r="M146" i="62"/>
  <c r="M153" i="62"/>
  <c r="G169" i="62"/>
  <c r="G175" i="62"/>
  <c r="M175" i="62"/>
  <c r="M176" i="62"/>
  <c r="M185" i="62"/>
  <c r="M193" i="62"/>
  <c r="M205" i="62"/>
  <c r="M130" i="63"/>
  <c r="M135" i="63"/>
  <c r="M143" i="63"/>
  <c r="M152" i="63"/>
  <c r="M163" i="63"/>
  <c r="M166" i="63"/>
  <c r="M171" i="63"/>
  <c r="M179" i="63"/>
  <c r="M180" i="63"/>
  <c r="M181" i="63"/>
  <c r="G182" i="63"/>
  <c r="G186" i="63"/>
  <c r="M187" i="63"/>
  <c r="M196" i="63"/>
  <c r="M129" i="64"/>
  <c r="M131" i="64"/>
  <c r="M163" i="64"/>
  <c r="M149" i="66"/>
  <c r="M125" i="65"/>
  <c r="M205" i="65"/>
  <c r="M115" i="66"/>
  <c r="M147" i="66"/>
  <c r="M176" i="66"/>
  <c r="M179" i="66"/>
  <c r="M114" i="64"/>
  <c r="M125" i="64"/>
  <c r="M127" i="64"/>
  <c r="M134" i="64"/>
  <c r="M147" i="64"/>
  <c r="M154" i="64"/>
  <c r="M158" i="64"/>
  <c r="M169" i="64"/>
  <c r="M173" i="64"/>
  <c r="M175" i="64"/>
  <c r="M180" i="64"/>
  <c r="M201" i="64"/>
  <c r="M115" i="65"/>
  <c r="M116" i="65"/>
  <c r="M120" i="65"/>
  <c r="M132" i="65"/>
  <c r="M140" i="65"/>
  <c r="M141" i="65"/>
  <c r="M142" i="65"/>
  <c r="M143" i="65"/>
  <c r="M145" i="65"/>
  <c r="M147" i="65"/>
  <c r="G149" i="65"/>
  <c r="M149" i="65"/>
  <c r="M153" i="65"/>
  <c r="M154" i="65"/>
  <c r="M155" i="65"/>
  <c r="M157" i="65"/>
  <c r="M158" i="65"/>
  <c r="M166" i="65"/>
  <c r="M167" i="65"/>
  <c r="G168" i="65"/>
  <c r="M170" i="65"/>
  <c r="M171" i="65"/>
  <c r="M174" i="65"/>
  <c r="M175" i="65"/>
  <c r="G176" i="65"/>
  <c r="M178" i="65"/>
  <c r="M179" i="65"/>
  <c r="M182" i="65"/>
  <c r="M184" i="65"/>
  <c r="M121" i="66"/>
  <c r="M125" i="66"/>
  <c r="M127" i="66"/>
  <c r="M134" i="66"/>
  <c r="M138" i="66"/>
  <c r="M153" i="66"/>
  <c r="M157" i="66"/>
  <c r="M158" i="66"/>
  <c r="M159" i="66"/>
  <c r="M160" i="66"/>
  <c r="M170" i="66"/>
  <c r="M185" i="66"/>
  <c r="M189" i="66"/>
  <c r="M191" i="66"/>
  <c r="M198" i="66"/>
  <c r="M202" i="66"/>
  <c r="M138" i="64"/>
  <c r="M142" i="64"/>
  <c r="M151" i="64"/>
  <c r="G157" i="64"/>
  <c r="M133" i="65"/>
  <c r="M122" i="66"/>
  <c r="M124" i="66"/>
  <c r="M188" i="66"/>
  <c r="M167" i="64"/>
  <c r="M174" i="64"/>
  <c r="M184" i="64"/>
  <c r="M190" i="64"/>
  <c r="M194" i="64"/>
  <c r="M195" i="64"/>
  <c r="M196" i="64"/>
  <c r="M205" i="64"/>
  <c r="M119" i="65"/>
  <c r="M124" i="65"/>
  <c r="M131" i="65"/>
  <c r="M144" i="65"/>
  <c r="M148" i="65"/>
  <c r="M152" i="65"/>
  <c r="M156" i="65"/>
  <c r="M160" i="65"/>
  <c r="M164" i="65"/>
  <c r="M168" i="65"/>
  <c r="M172" i="65"/>
  <c r="M176" i="65"/>
  <c r="N176" i="65" s="1"/>
  <c r="M180" i="65"/>
  <c r="M189" i="65"/>
  <c r="M191" i="65"/>
  <c r="M192" i="65"/>
  <c r="M119" i="66"/>
  <c r="M126" i="66"/>
  <c r="M135" i="66"/>
  <c r="M142" i="66"/>
  <c r="M151" i="66"/>
  <c r="M166" i="66"/>
  <c r="M167" i="66"/>
  <c r="M174" i="66"/>
  <c r="M180" i="66"/>
  <c r="M183" i="66"/>
  <c r="M190" i="66"/>
  <c r="M196" i="66"/>
  <c r="M199" i="66"/>
  <c r="M206" i="66"/>
  <c r="M123" i="64"/>
  <c r="M124" i="64"/>
  <c r="M130" i="64"/>
  <c r="M139" i="64"/>
  <c r="M146" i="64"/>
  <c r="M155" i="64"/>
  <c r="M162" i="64"/>
  <c r="M171" i="64"/>
  <c r="G173" i="64"/>
  <c r="M181" i="64"/>
  <c r="M183" i="64"/>
  <c r="M185" i="64"/>
  <c r="M198" i="64"/>
  <c r="M200" i="64"/>
  <c r="M202" i="64"/>
  <c r="M204" i="64"/>
  <c r="M206" i="64"/>
  <c r="M117" i="65"/>
  <c r="M118" i="65"/>
  <c r="M121" i="65"/>
  <c r="M129" i="65"/>
  <c r="G133" i="65"/>
  <c r="M134" i="65"/>
  <c r="M137" i="65"/>
  <c r="M138" i="65"/>
  <c r="G153" i="65"/>
  <c r="M193" i="65"/>
  <c r="M195" i="65"/>
  <c r="M196" i="65"/>
  <c r="M200" i="65"/>
  <c r="M114" i="66"/>
  <c r="M123" i="66"/>
  <c r="M130" i="66"/>
  <c r="M139" i="66"/>
  <c r="M146" i="66"/>
  <c r="M155" i="66"/>
  <c r="M168" i="66"/>
  <c r="M171" i="66"/>
  <c r="M178" i="66"/>
  <c r="M184" i="66"/>
  <c r="M187" i="66"/>
  <c r="M194" i="66"/>
  <c r="M203" i="66"/>
  <c r="G119" i="67"/>
  <c r="G128" i="58"/>
  <c r="G160" i="58"/>
  <c r="G189" i="58"/>
  <c r="G133" i="59"/>
  <c r="G152" i="59"/>
  <c r="G173" i="59"/>
  <c r="G170" i="60"/>
  <c r="G162" i="61"/>
  <c r="G166" i="61"/>
  <c r="G115" i="67"/>
  <c r="G121" i="58"/>
  <c r="G138" i="58"/>
  <c r="G154" i="58"/>
  <c r="G158" i="58"/>
  <c r="G182" i="58"/>
  <c r="G121" i="59"/>
  <c r="G145" i="59"/>
  <c r="G157" i="59"/>
  <c r="G122" i="60"/>
  <c r="G158" i="60"/>
  <c r="G126" i="61"/>
  <c r="G142" i="61"/>
  <c r="G191" i="61"/>
  <c r="D42" i="81"/>
  <c r="F41" i="81"/>
  <c r="F35" i="80"/>
  <c r="G123" i="67"/>
  <c r="G125" i="67"/>
  <c r="G127" i="67"/>
  <c r="G145" i="67"/>
  <c r="G146" i="67"/>
  <c r="G173" i="67"/>
  <c r="G182" i="67"/>
  <c r="G189" i="67"/>
  <c r="G190" i="67"/>
  <c r="G132" i="43"/>
  <c r="G156" i="43"/>
  <c r="G168" i="43"/>
  <c r="G176" i="43"/>
  <c r="G200" i="43"/>
  <c r="G136" i="58"/>
  <c r="G174" i="58"/>
  <c r="G176" i="58"/>
  <c r="G192" i="58"/>
  <c r="G137" i="59"/>
  <c r="G140" i="59"/>
  <c r="G119" i="60"/>
  <c r="G134" i="60"/>
  <c r="G162" i="60"/>
  <c r="G187" i="60"/>
  <c r="G149" i="61"/>
  <c r="G150" i="61"/>
  <c r="G174" i="61"/>
  <c r="G178" i="61"/>
  <c r="G116" i="62"/>
  <c r="G167" i="62"/>
  <c r="G181" i="62"/>
  <c r="G185" i="61"/>
  <c r="G202" i="61"/>
  <c r="G148" i="62"/>
  <c r="G151" i="62"/>
  <c r="G120" i="63"/>
  <c r="G160" i="63"/>
  <c r="G205" i="64"/>
  <c r="G115" i="65"/>
  <c r="G117" i="65"/>
  <c r="G132" i="60"/>
  <c r="G204" i="60"/>
  <c r="G154" i="61"/>
  <c r="G159" i="61"/>
  <c r="G171" i="61"/>
  <c r="G196" i="61"/>
  <c r="G152" i="62"/>
  <c r="G164" i="62"/>
  <c r="G152" i="63"/>
  <c r="G178" i="63"/>
  <c r="G180" i="63"/>
  <c r="G125" i="64"/>
  <c r="G198" i="64"/>
  <c r="G157" i="65"/>
  <c r="G183" i="62"/>
  <c r="G195" i="62"/>
  <c r="G198" i="62"/>
  <c r="G117" i="63"/>
  <c r="G128" i="63"/>
  <c r="G139" i="63"/>
  <c r="G151" i="63"/>
  <c r="G162" i="63"/>
  <c r="G121" i="64"/>
  <c r="G187" i="64"/>
  <c r="G200" i="64"/>
  <c r="G201" i="64"/>
  <c r="G125" i="65"/>
  <c r="G144" i="65"/>
  <c r="G114" i="63"/>
  <c r="G129" i="63"/>
  <c r="G140" i="63"/>
  <c r="G148" i="63"/>
  <c r="G163" i="63"/>
  <c r="G164" i="63"/>
  <c r="G198" i="63"/>
  <c r="G141" i="64"/>
  <c r="G153" i="64"/>
  <c r="G169" i="64"/>
  <c r="G127" i="65"/>
  <c r="G135" i="65"/>
  <c r="G155" i="65"/>
  <c r="G156" i="65"/>
  <c r="G160" i="65"/>
  <c r="G172" i="65"/>
  <c r="G187" i="65"/>
  <c r="G194" i="65"/>
  <c r="G198" i="65"/>
  <c r="G142" i="66"/>
  <c r="G150" i="66"/>
  <c r="G197" i="66"/>
  <c r="M102" i="80"/>
  <c r="G180" i="65"/>
  <c r="G195" i="65"/>
  <c r="M103" i="80"/>
  <c r="G50" i="82"/>
  <c r="N50" i="82" s="1"/>
  <c r="G24" i="83"/>
  <c r="N24" i="83" s="1"/>
  <c r="G50" i="85"/>
  <c r="N50" i="85" s="1"/>
  <c r="G41" i="85"/>
  <c r="N41" i="85" s="1"/>
  <c r="G35" i="85"/>
  <c r="N35" i="85" s="1"/>
  <c r="G36" i="79"/>
  <c r="N36" i="79" s="1"/>
  <c r="G34" i="79"/>
  <c r="N34" i="79" s="1"/>
  <c r="G26" i="79"/>
  <c r="N26" i="79" s="1"/>
  <c r="G44" i="78"/>
  <c r="N44" i="78" s="1"/>
  <c r="G39" i="68"/>
  <c r="G103" i="68"/>
  <c r="G103" i="79"/>
  <c r="N103" i="79" s="1"/>
  <c r="G103" i="82"/>
  <c r="N103" i="82" s="1"/>
  <c r="G40" i="82"/>
  <c r="N40" i="82" s="1"/>
  <c r="G38" i="82"/>
  <c r="N38" i="82" s="1"/>
  <c r="G36" i="82"/>
  <c r="N36" i="82" s="1"/>
  <c r="G34" i="82"/>
  <c r="N34" i="82" s="1"/>
  <c r="G32" i="82"/>
  <c r="N32" i="82" s="1"/>
  <c r="G29" i="82"/>
  <c r="N29" i="82" s="1"/>
  <c r="G27" i="82"/>
  <c r="N27" i="82" s="1"/>
  <c r="G25" i="82"/>
  <c r="N25" i="82" s="1"/>
  <c r="G23" i="82"/>
  <c r="N23" i="82" s="1"/>
  <c r="G21" i="82"/>
  <c r="N21" i="82" s="1"/>
  <c r="G51" i="83"/>
  <c r="N51" i="83" s="1"/>
  <c r="G50" i="83"/>
  <c r="N50" i="83" s="1"/>
  <c r="G48" i="83"/>
  <c r="N48" i="83" s="1"/>
  <c r="G46" i="83"/>
  <c r="N46" i="83" s="1"/>
  <c r="G44" i="83"/>
  <c r="N44" i="83" s="1"/>
  <c r="G42" i="83"/>
  <c r="N42" i="83" s="1"/>
  <c r="G40" i="83"/>
  <c r="N40" i="83" s="1"/>
  <c r="G38" i="83"/>
  <c r="N38" i="83" s="1"/>
  <c r="G33" i="83"/>
  <c r="N33" i="83" s="1"/>
  <c r="G31" i="83"/>
  <c r="N31" i="83" s="1"/>
  <c r="G29" i="83"/>
  <c r="N29" i="83" s="1"/>
  <c r="G27" i="83"/>
  <c r="N27" i="83" s="1"/>
  <c r="E40" i="81"/>
  <c r="G46" i="85"/>
  <c r="N46" i="85" s="1"/>
  <c r="G44" i="85"/>
  <c r="N44" i="85" s="1"/>
  <c r="G25" i="85"/>
  <c r="N25" i="85" s="1"/>
  <c r="G23" i="85"/>
  <c r="N23" i="85" s="1"/>
  <c r="G21" i="85"/>
  <c r="N21" i="85" s="1"/>
  <c r="G51" i="79"/>
  <c r="N51" i="79" s="1"/>
  <c r="G49" i="79"/>
  <c r="N49" i="79" s="1"/>
  <c r="G47" i="79"/>
  <c r="N47" i="79" s="1"/>
  <c r="G45" i="79"/>
  <c r="N45" i="79" s="1"/>
  <c r="G43" i="79"/>
  <c r="N43" i="79" s="1"/>
  <c r="G41" i="79"/>
  <c r="N41" i="79" s="1"/>
  <c r="G39" i="79"/>
  <c r="N39" i="79" s="1"/>
  <c r="G24" i="79"/>
  <c r="N24" i="79" s="1"/>
  <c r="G22" i="79"/>
  <c r="N22" i="79" s="1"/>
  <c r="G51" i="78"/>
  <c r="N51" i="78" s="1"/>
  <c r="G49" i="78"/>
  <c r="N49" i="78" s="1"/>
  <c r="G36" i="78"/>
  <c r="N36" i="78" s="1"/>
  <c r="D141" i="78"/>
  <c r="G34" i="78"/>
  <c r="N34" i="78" s="1"/>
  <c r="G32" i="78"/>
  <c r="N32" i="78" s="1"/>
  <c r="G30" i="78"/>
  <c r="N30" i="78" s="1"/>
  <c r="G28" i="78"/>
  <c r="N28" i="78" s="1"/>
  <c r="G26" i="78"/>
  <c r="N26" i="78" s="1"/>
  <c r="G24" i="78"/>
  <c r="N24" i="78" s="1"/>
  <c r="G22" i="78"/>
  <c r="N22" i="78" s="1"/>
  <c r="G20" i="78"/>
  <c r="N20" i="78" s="1"/>
  <c r="G50" i="68"/>
  <c r="G48" i="68"/>
  <c r="G46" i="68"/>
  <c r="C36" i="80"/>
  <c r="E35" i="80"/>
  <c r="G129" i="67"/>
  <c r="G134" i="67"/>
  <c r="G137" i="67"/>
  <c r="G149" i="67"/>
  <c r="G158" i="67"/>
  <c r="G165" i="67"/>
  <c r="G166" i="67"/>
  <c r="G201" i="67"/>
  <c r="G202" i="67"/>
  <c r="G124" i="43"/>
  <c r="G125" i="43"/>
  <c r="G152" i="43"/>
  <c r="G184" i="43"/>
  <c r="G196" i="43"/>
  <c r="G119" i="58"/>
  <c r="G127" i="58"/>
  <c r="G137" i="58"/>
  <c r="G145" i="58"/>
  <c r="G177" i="58"/>
  <c r="G188" i="58"/>
  <c r="G123" i="59"/>
  <c r="G128" i="59"/>
  <c r="G149" i="59"/>
  <c r="G154" i="59"/>
  <c r="G197" i="59"/>
  <c r="G140" i="60"/>
  <c r="G136" i="61"/>
  <c r="G141" i="61"/>
  <c r="G161" i="61"/>
  <c r="G173" i="61"/>
  <c r="G135" i="62"/>
  <c r="G136" i="62"/>
  <c r="G141" i="62"/>
  <c r="G144" i="62"/>
  <c r="G121" i="63"/>
  <c r="G201" i="63"/>
  <c r="G172" i="64"/>
  <c r="G188" i="64"/>
  <c r="G190" i="64"/>
  <c r="G192" i="64"/>
  <c r="G137" i="65"/>
  <c r="G139" i="65"/>
  <c r="G161" i="65"/>
  <c r="G164" i="65"/>
  <c r="G189" i="65"/>
  <c r="G192" i="65"/>
  <c r="G126" i="66"/>
  <c r="G134" i="66"/>
  <c r="G154" i="66"/>
  <c r="G162" i="66"/>
  <c r="G46" i="82"/>
  <c r="N46" i="82" s="1"/>
  <c r="G37" i="83"/>
  <c r="N37" i="83" s="1"/>
  <c r="G48" i="85"/>
  <c r="N48" i="85" s="1"/>
  <c r="G37" i="85"/>
  <c r="N37" i="85" s="1"/>
  <c r="G32" i="79"/>
  <c r="N32" i="79" s="1"/>
  <c r="G30" i="79"/>
  <c r="N30" i="79" s="1"/>
  <c r="G28" i="79"/>
  <c r="N28" i="79" s="1"/>
  <c r="G21" i="79"/>
  <c r="N21" i="79" s="1"/>
  <c r="G48" i="78"/>
  <c r="N48" i="78" s="1"/>
  <c r="G46" i="78"/>
  <c r="N46" i="78" s="1"/>
  <c r="G38" i="78"/>
  <c r="N38" i="78" s="1"/>
  <c r="G43" i="68"/>
  <c r="N43" i="68" s="1"/>
  <c r="G37" i="68"/>
  <c r="G35" i="68"/>
  <c r="G164" i="43"/>
  <c r="G51" i="82"/>
  <c r="N51" i="82" s="1"/>
  <c r="G49" i="82"/>
  <c r="N49" i="82" s="1"/>
  <c r="G47" i="82"/>
  <c r="N47" i="82" s="1"/>
  <c r="G45" i="82"/>
  <c r="N45" i="82" s="1"/>
  <c r="G43" i="82"/>
  <c r="N43" i="82" s="1"/>
  <c r="G30" i="82"/>
  <c r="N30" i="82" s="1"/>
  <c r="G36" i="83"/>
  <c r="N36" i="83" s="1"/>
  <c r="F140" i="83"/>
  <c r="G34" i="83"/>
  <c r="N34" i="83" s="1"/>
  <c r="G25" i="83"/>
  <c r="N25" i="83" s="1"/>
  <c r="G23" i="83"/>
  <c r="N23" i="83" s="1"/>
  <c r="G21" i="83"/>
  <c r="N21" i="83" s="1"/>
  <c r="G51" i="85"/>
  <c r="N51" i="85" s="1"/>
  <c r="G49" i="85"/>
  <c r="N49" i="85" s="1"/>
  <c r="G42" i="85"/>
  <c r="N42" i="85" s="1"/>
  <c r="G40" i="85"/>
  <c r="N40" i="85" s="1"/>
  <c r="G38" i="85"/>
  <c r="N38" i="85" s="1"/>
  <c r="G36" i="85"/>
  <c r="N36" i="85" s="1"/>
  <c r="G34" i="85"/>
  <c r="N34" i="85" s="1"/>
  <c r="G32" i="85"/>
  <c r="N32" i="85" s="1"/>
  <c r="G30" i="85"/>
  <c r="N30" i="85" s="1"/>
  <c r="D135" i="85"/>
  <c r="F134" i="85"/>
  <c r="G28" i="85"/>
  <c r="N28" i="85" s="1"/>
  <c r="G26" i="85"/>
  <c r="N26" i="85" s="1"/>
  <c r="C130" i="85"/>
  <c r="E129" i="85"/>
  <c r="G37" i="79"/>
  <c r="N37" i="79" s="1"/>
  <c r="G35" i="79"/>
  <c r="N35" i="79" s="1"/>
  <c r="G33" i="79"/>
  <c r="N33" i="79" s="1"/>
  <c r="G31" i="79"/>
  <c r="N31" i="79" s="1"/>
  <c r="G29" i="79"/>
  <c r="N29" i="79" s="1"/>
  <c r="G27" i="79"/>
  <c r="N27" i="79" s="1"/>
  <c r="G47" i="78"/>
  <c r="N47" i="78" s="1"/>
  <c r="D46" i="80"/>
  <c r="F45" i="80"/>
  <c r="G45" i="78"/>
  <c r="N45" i="78" s="1"/>
  <c r="G43" i="78"/>
  <c r="N43" i="78" s="1"/>
  <c r="B41" i="80"/>
  <c r="G41" i="78"/>
  <c r="N41" i="78" s="1"/>
  <c r="F39" i="80"/>
  <c r="G39" i="78"/>
  <c r="N39" i="78" s="1"/>
  <c r="G37" i="78"/>
  <c r="N37" i="78" s="1"/>
  <c r="G44" i="68"/>
  <c r="G42" i="68"/>
  <c r="G40" i="68"/>
  <c r="G38" i="68"/>
  <c r="G36" i="68"/>
  <c r="G34" i="68"/>
  <c r="G32" i="68"/>
  <c r="G30" i="68"/>
  <c r="G28" i="68"/>
  <c r="G26" i="68"/>
  <c r="G24" i="68"/>
  <c r="G22" i="68"/>
  <c r="G20" i="68"/>
  <c r="D45" i="80"/>
  <c r="F44" i="80"/>
  <c r="F26" i="80"/>
  <c r="G133" i="67"/>
  <c r="G141" i="67"/>
  <c r="G142" i="67"/>
  <c r="G177" i="67"/>
  <c r="G178" i="67"/>
  <c r="G193" i="67"/>
  <c r="G194" i="67"/>
  <c r="G128" i="43"/>
  <c r="G144" i="43"/>
  <c r="G160" i="43"/>
  <c r="G172" i="43"/>
  <c r="G185" i="59"/>
  <c r="G116" i="60"/>
  <c r="G135" i="60"/>
  <c r="G150" i="60"/>
  <c r="G202" i="60"/>
  <c r="G114" i="61"/>
  <c r="G160" i="61"/>
  <c r="G169" i="61"/>
  <c r="G172" i="61"/>
  <c r="G181" i="61"/>
  <c r="G188" i="61"/>
  <c r="G197" i="61"/>
  <c r="G205" i="61"/>
  <c r="G120" i="62"/>
  <c r="G125" i="62"/>
  <c r="G128" i="62"/>
  <c r="G154" i="62"/>
  <c r="G135" i="63"/>
  <c r="G143" i="63"/>
  <c r="G185" i="63"/>
  <c r="G156" i="64"/>
  <c r="G184" i="64"/>
  <c r="G147" i="65"/>
  <c r="G148" i="65"/>
  <c r="G171" i="65"/>
  <c r="G175" i="65"/>
  <c r="G191" i="65"/>
  <c r="G193" i="65"/>
  <c r="G118" i="66"/>
  <c r="G138" i="66"/>
  <c r="G146" i="66"/>
  <c r="G174" i="66"/>
  <c r="G182" i="66"/>
  <c r="G190" i="66"/>
  <c r="G202" i="66"/>
  <c r="G44" i="82"/>
  <c r="N44" i="82" s="1"/>
  <c r="G35" i="83"/>
  <c r="N35" i="83" s="1"/>
  <c r="G22" i="83"/>
  <c r="N22" i="83" s="1"/>
  <c r="G39" i="85"/>
  <c r="N39" i="85" s="1"/>
  <c r="G31" i="85"/>
  <c r="N31" i="85" s="1"/>
  <c r="G29" i="85"/>
  <c r="N29" i="85" s="1"/>
  <c r="G27" i="85"/>
  <c r="N27" i="85" s="1"/>
  <c r="G42" i="78"/>
  <c r="N42" i="78" s="1"/>
  <c r="G41" i="68"/>
  <c r="G33" i="68"/>
  <c r="G31" i="68"/>
  <c r="G29" i="68"/>
  <c r="G27" i="68"/>
  <c r="N27" i="68" s="1"/>
  <c r="G103" i="78"/>
  <c r="N103" i="78" s="1"/>
  <c r="G103" i="85"/>
  <c r="N103" i="85" s="1"/>
  <c r="G103" i="83"/>
  <c r="N103" i="83" s="1"/>
  <c r="G41" i="82"/>
  <c r="N41" i="82" s="1"/>
  <c r="G39" i="82"/>
  <c r="N39" i="82" s="1"/>
  <c r="G37" i="82"/>
  <c r="N37" i="82" s="1"/>
  <c r="G35" i="82"/>
  <c r="N35" i="82" s="1"/>
  <c r="G33" i="82"/>
  <c r="N33" i="82" s="1"/>
  <c r="G31" i="82"/>
  <c r="N31" i="82" s="1"/>
  <c r="G28" i="82"/>
  <c r="N28" i="82" s="1"/>
  <c r="G26" i="82"/>
  <c r="N26" i="82" s="1"/>
  <c r="G24" i="82"/>
  <c r="N24" i="82" s="1"/>
  <c r="G22" i="82"/>
  <c r="N22" i="82" s="1"/>
  <c r="G20" i="82"/>
  <c r="N20" i="82" s="1"/>
  <c r="G49" i="83"/>
  <c r="N49" i="83" s="1"/>
  <c r="G47" i="83"/>
  <c r="N47" i="83" s="1"/>
  <c r="G45" i="83"/>
  <c r="N45" i="83" s="1"/>
  <c r="G43" i="83"/>
  <c r="N43" i="83" s="1"/>
  <c r="G41" i="83"/>
  <c r="N41" i="83" s="1"/>
  <c r="G39" i="83"/>
  <c r="N39" i="83" s="1"/>
  <c r="G32" i="83"/>
  <c r="N32" i="83" s="1"/>
  <c r="G30" i="83"/>
  <c r="N30" i="83" s="1"/>
  <c r="G28" i="83"/>
  <c r="N28" i="83" s="1"/>
  <c r="G26" i="83"/>
  <c r="N26" i="83" s="1"/>
  <c r="E47" i="81"/>
  <c r="C32" i="81"/>
  <c r="G47" i="85"/>
  <c r="N47" i="85" s="1"/>
  <c r="D152" i="85"/>
  <c r="F151" i="85"/>
  <c r="G45" i="85"/>
  <c r="N45" i="85" s="1"/>
  <c r="G43" i="85"/>
  <c r="N43" i="85" s="1"/>
  <c r="G24" i="85"/>
  <c r="N24" i="85" s="1"/>
  <c r="G22" i="85"/>
  <c r="N22" i="85" s="1"/>
  <c r="G20" i="85"/>
  <c r="N20" i="85" s="1"/>
  <c r="G50" i="79"/>
  <c r="N50" i="79" s="1"/>
  <c r="G48" i="79"/>
  <c r="N48" i="79" s="1"/>
  <c r="G46" i="79"/>
  <c r="N46" i="79" s="1"/>
  <c r="G44" i="79"/>
  <c r="N44" i="79" s="1"/>
  <c r="G42" i="79"/>
  <c r="N42" i="79" s="1"/>
  <c r="G40" i="79"/>
  <c r="N40" i="79" s="1"/>
  <c r="G38" i="79"/>
  <c r="N38" i="79" s="1"/>
  <c r="F131" i="79"/>
  <c r="G25" i="79"/>
  <c r="N25" i="79" s="1"/>
  <c r="G23" i="79"/>
  <c r="N23" i="79" s="1"/>
  <c r="G20" i="79"/>
  <c r="N20" i="79" s="1"/>
  <c r="G50" i="78"/>
  <c r="N50" i="78" s="1"/>
  <c r="C154" i="78"/>
  <c r="E153" i="78"/>
  <c r="G35" i="78"/>
  <c r="N35" i="78" s="1"/>
  <c r="G33" i="78"/>
  <c r="N33" i="78" s="1"/>
  <c r="G31" i="78"/>
  <c r="N31" i="78" s="1"/>
  <c r="G29" i="78"/>
  <c r="N29" i="78" s="1"/>
  <c r="G27" i="78"/>
  <c r="N27" i="78" s="1"/>
  <c r="G25" i="78"/>
  <c r="N25" i="78" s="1"/>
  <c r="G23" i="78"/>
  <c r="N23" i="78" s="1"/>
  <c r="G21" i="78"/>
  <c r="N21" i="78" s="1"/>
  <c r="G51" i="68"/>
  <c r="G49" i="68"/>
  <c r="G47" i="68"/>
  <c r="G45" i="68"/>
  <c r="G130" i="67"/>
  <c r="G131" i="67"/>
  <c r="G135" i="67"/>
  <c r="G153" i="67"/>
  <c r="G154" i="67"/>
  <c r="G169" i="67"/>
  <c r="G170" i="67"/>
  <c r="G197" i="67"/>
  <c r="G206" i="67"/>
  <c r="G120" i="43"/>
  <c r="G121" i="43"/>
  <c r="G148" i="43"/>
  <c r="G180" i="43"/>
  <c r="G188" i="43"/>
  <c r="G192" i="43"/>
  <c r="G204" i="43"/>
  <c r="G205" i="43"/>
  <c r="G168" i="58"/>
  <c r="G170" i="58"/>
  <c r="G190" i="58"/>
  <c r="G198" i="58"/>
  <c r="G120" i="59"/>
  <c r="G142" i="59"/>
  <c r="G124" i="60"/>
  <c r="G138" i="60"/>
  <c r="G143" i="60"/>
  <c r="G144" i="61"/>
  <c r="G157" i="61"/>
  <c r="G186" i="61"/>
  <c r="G193" i="61"/>
  <c r="G138" i="62"/>
  <c r="G193" i="62"/>
  <c r="G194" i="62"/>
  <c r="G205" i="62"/>
  <c r="G206" i="62"/>
  <c r="G123" i="63"/>
  <c r="G124" i="63"/>
  <c r="G149" i="63"/>
  <c r="G184" i="63"/>
  <c r="G140" i="64"/>
  <c r="G183" i="64"/>
  <c r="G123" i="65"/>
  <c r="G131" i="65"/>
  <c r="G159" i="65"/>
  <c r="G167" i="65"/>
  <c r="G179" i="65"/>
  <c r="G114" i="66"/>
  <c r="G122" i="66"/>
  <c r="G130" i="66"/>
  <c r="G158" i="66"/>
  <c r="G166" i="66"/>
  <c r="G48" i="82"/>
  <c r="N48" i="82" s="1"/>
  <c r="G42" i="82"/>
  <c r="N42" i="82" s="1"/>
  <c r="G20" i="83"/>
  <c r="N20" i="83" s="1"/>
  <c r="F24" i="81"/>
  <c r="G33" i="85"/>
  <c r="N33" i="85" s="1"/>
  <c r="G40" i="78"/>
  <c r="N40" i="78" s="1"/>
  <c r="G25" i="68"/>
  <c r="G23" i="68"/>
  <c r="G21" i="68"/>
  <c r="G161" i="59"/>
  <c r="G127" i="60"/>
  <c r="G122" i="62"/>
  <c r="G157" i="62"/>
  <c r="G160" i="62"/>
  <c r="G173" i="62"/>
  <c r="G197" i="62"/>
  <c r="G202" i="62"/>
  <c r="G116" i="63"/>
  <c r="G155" i="63"/>
  <c r="G151" i="65"/>
  <c r="G183" i="65"/>
  <c r="G186" i="65"/>
  <c r="G170" i="66"/>
  <c r="G178" i="66"/>
  <c r="G186" i="66"/>
  <c r="G194" i="66"/>
  <c r="G198" i="66"/>
  <c r="G206" i="66"/>
  <c r="H8" i="81"/>
  <c r="C30" i="81"/>
  <c r="D31" i="81"/>
  <c r="D45" i="81"/>
  <c r="F36" i="81"/>
  <c r="G184" i="57"/>
  <c r="G172" i="57"/>
  <c r="G160" i="57"/>
  <c r="G136" i="57"/>
  <c r="G120" i="57"/>
  <c r="D37" i="81"/>
  <c r="G196" i="57"/>
  <c r="G168" i="57"/>
  <c r="G148" i="57"/>
  <c r="G144" i="57"/>
  <c r="G124" i="57"/>
  <c r="G204" i="57"/>
  <c r="G192" i="57"/>
  <c r="G188" i="57"/>
  <c r="G164" i="57"/>
  <c r="G140" i="57"/>
  <c r="G128" i="57"/>
  <c r="G48" i="77"/>
  <c r="N48" i="77" s="1"/>
  <c r="G42" i="77"/>
  <c r="N42" i="77" s="1"/>
  <c r="G36" i="77"/>
  <c r="N36" i="77" s="1"/>
  <c r="G30" i="77"/>
  <c r="N30" i="77" s="1"/>
  <c r="G24" i="77"/>
  <c r="N24" i="77" s="1"/>
  <c r="G203" i="57"/>
  <c r="G199" i="57"/>
  <c r="G195" i="57"/>
  <c r="G191" i="57"/>
  <c r="G187" i="57"/>
  <c r="G183" i="57"/>
  <c r="G179" i="57"/>
  <c r="G175" i="57"/>
  <c r="G171" i="57"/>
  <c r="G167" i="57"/>
  <c r="G163" i="57"/>
  <c r="G159" i="57"/>
  <c r="G155" i="57"/>
  <c r="G151" i="57"/>
  <c r="G147" i="57"/>
  <c r="G143" i="57"/>
  <c r="G139" i="57"/>
  <c r="G135" i="57"/>
  <c r="G131" i="57"/>
  <c r="G127" i="57"/>
  <c r="G123" i="57"/>
  <c r="G119" i="57"/>
  <c r="G114" i="57"/>
  <c r="B32" i="80"/>
  <c r="G180" i="57"/>
  <c r="G156" i="57"/>
  <c r="G206" i="57"/>
  <c r="G202" i="57"/>
  <c r="G198" i="57"/>
  <c r="G190" i="57"/>
  <c r="G186" i="57"/>
  <c r="G178" i="57"/>
  <c r="G174" i="57"/>
  <c r="G170" i="57"/>
  <c r="G166" i="57"/>
  <c r="G162" i="57"/>
  <c r="G158" i="57"/>
  <c r="G154" i="57"/>
  <c r="G150" i="57"/>
  <c r="G142" i="57"/>
  <c r="G138" i="57"/>
  <c r="G134" i="57"/>
  <c r="G126" i="57"/>
  <c r="G122" i="57"/>
  <c r="G200" i="57"/>
  <c r="G176" i="57"/>
  <c r="G152" i="57"/>
  <c r="G132" i="57"/>
  <c r="G116" i="57"/>
  <c r="G201" i="57"/>
  <c r="G197" i="57"/>
  <c r="G189" i="57"/>
  <c r="G185" i="57"/>
  <c r="G181" i="57"/>
  <c r="G177" i="57"/>
  <c r="G173" i="57"/>
  <c r="G169" i="57"/>
  <c r="G165" i="57"/>
  <c r="G161" i="57"/>
  <c r="G157" i="57"/>
  <c r="G153" i="57"/>
  <c r="G149" i="57"/>
  <c r="G137" i="57"/>
  <c r="G133" i="57"/>
  <c r="G125" i="57"/>
  <c r="G121" i="57"/>
  <c r="G23" i="77"/>
  <c r="N23" i="77" s="1"/>
  <c r="G26" i="77"/>
  <c r="N26" i="77" s="1"/>
  <c r="G33" i="77"/>
  <c r="N33" i="77" s="1"/>
  <c r="G40" i="77"/>
  <c r="N40" i="77" s="1"/>
  <c r="G43" i="77"/>
  <c r="N43" i="77" s="1"/>
  <c r="G47" i="77"/>
  <c r="N47" i="77" s="1"/>
  <c r="G50" i="77"/>
  <c r="N50" i="77" s="1"/>
  <c r="H104" i="77"/>
  <c r="J6" i="41" s="1"/>
  <c r="G51" i="84"/>
  <c r="N51" i="84" s="1"/>
  <c r="G33" i="84"/>
  <c r="N33" i="84" s="1"/>
  <c r="G29" i="84"/>
  <c r="N29" i="84" s="1"/>
  <c r="G27" i="84"/>
  <c r="N27" i="84" s="1"/>
  <c r="G25" i="84"/>
  <c r="N25" i="84" s="1"/>
  <c r="G23" i="84"/>
  <c r="N23" i="84" s="1"/>
  <c r="G21" i="84"/>
  <c r="N21" i="84" s="1"/>
  <c r="D49" i="80"/>
  <c r="G117" i="57"/>
  <c r="G129" i="57"/>
  <c r="G141" i="57"/>
  <c r="G145" i="57"/>
  <c r="G193" i="57"/>
  <c r="G205" i="57"/>
  <c r="G20" i="77"/>
  <c r="N20" i="77" s="1"/>
  <c r="G27" i="77"/>
  <c r="N27" i="77" s="1"/>
  <c r="G34" i="77"/>
  <c r="N34" i="77" s="1"/>
  <c r="G37" i="77"/>
  <c r="N37" i="77" s="1"/>
  <c r="G41" i="77"/>
  <c r="N41" i="77" s="1"/>
  <c r="G44" i="77"/>
  <c r="N44" i="77" s="1"/>
  <c r="G51" i="77"/>
  <c r="N51" i="77" s="1"/>
  <c r="I104" i="77"/>
  <c r="K6" i="41" s="1"/>
  <c r="G45" i="84"/>
  <c r="N45" i="84" s="1"/>
  <c r="C51" i="80"/>
  <c r="E50" i="80"/>
  <c r="G118" i="57"/>
  <c r="G130" i="57"/>
  <c r="G146" i="57"/>
  <c r="G182" i="57"/>
  <c r="G194" i="57"/>
  <c r="G21" i="77"/>
  <c r="N21" i="77" s="1"/>
  <c r="G28" i="77"/>
  <c r="N28" i="77" s="1"/>
  <c r="G31" i="77"/>
  <c r="N31" i="77" s="1"/>
  <c r="G35" i="77"/>
  <c r="N35" i="77" s="1"/>
  <c r="G38" i="77"/>
  <c r="N38" i="77" s="1"/>
  <c r="G45" i="77"/>
  <c r="N45" i="77" s="1"/>
  <c r="G103" i="77"/>
  <c r="N103" i="77" s="1"/>
  <c r="J104" i="77"/>
  <c r="G103" i="84"/>
  <c r="N103" i="84" s="1"/>
  <c r="G49" i="84"/>
  <c r="N49" i="84" s="1"/>
  <c r="G47" i="84"/>
  <c r="N47" i="84" s="1"/>
  <c r="G43" i="84"/>
  <c r="N43" i="84" s="1"/>
  <c r="G41" i="84"/>
  <c r="N41" i="84" s="1"/>
  <c r="G39" i="84"/>
  <c r="N39" i="84" s="1"/>
  <c r="G37" i="84"/>
  <c r="N37" i="84" s="1"/>
  <c r="G35" i="84"/>
  <c r="N35" i="84" s="1"/>
  <c r="G31" i="84"/>
  <c r="N31" i="84" s="1"/>
  <c r="B43" i="81"/>
  <c r="B37" i="81"/>
  <c r="B25" i="81"/>
  <c r="B50" i="81"/>
  <c r="G50" i="84"/>
  <c r="N50" i="84" s="1"/>
  <c r="G48" i="84"/>
  <c r="N48" i="84" s="1"/>
  <c r="G46" i="84"/>
  <c r="N46" i="84" s="1"/>
  <c r="G44" i="84"/>
  <c r="N44" i="84" s="1"/>
  <c r="G42" i="84"/>
  <c r="N42" i="84" s="1"/>
  <c r="G40" i="84"/>
  <c r="N40" i="84" s="1"/>
  <c r="G38" i="84"/>
  <c r="N38" i="84" s="1"/>
  <c r="G36" i="84"/>
  <c r="N36" i="84" s="1"/>
  <c r="G34" i="84"/>
  <c r="N34" i="84" s="1"/>
  <c r="G32" i="84"/>
  <c r="N32" i="84" s="1"/>
  <c r="G30" i="84"/>
  <c r="N30" i="84" s="1"/>
  <c r="G28" i="84"/>
  <c r="N28" i="84" s="1"/>
  <c r="G26" i="84"/>
  <c r="N26" i="84" s="1"/>
  <c r="G24" i="84"/>
  <c r="N24" i="84" s="1"/>
  <c r="G22" i="84"/>
  <c r="N22" i="84" s="1"/>
  <c r="G20" i="84"/>
  <c r="N20" i="84" s="1"/>
  <c r="G22" i="77"/>
  <c r="N22" i="77" s="1"/>
  <c r="G25" i="77"/>
  <c r="N25" i="77" s="1"/>
  <c r="G29" i="77"/>
  <c r="N29" i="77" s="1"/>
  <c r="G32" i="77"/>
  <c r="N32" i="77" s="1"/>
  <c r="G39" i="77"/>
  <c r="N39" i="77" s="1"/>
  <c r="G46" i="77"/>
  <c r="N46" i="77" s="1"/>
  <c r="G49" i="77"/>
  <c r="N49" i="77" s="1"/>
  <c r="K104" i="77"/>
  <c r="B26" i="81"/>
  <c r="C29" i="81"/>
  <c r="E28" i="81"/>
  <c r="C43" i="81"/>
  <c r="E42" i="81"/>
  <c r="C31" i="81"/>
  <c r="E30" i="81"/>
  <c r="C25" i="81"/>
  <c r="E143" i="79"/>
  <c r="C151" i="83"/>
  <c r="E150" i="83"/>
  <c r="D145" i="83"/>
  <c r="B48" i="81"/>
  <c r="D47" i="81"/>
  <c r="F46" i="81"/>
  <c r="B42" i="81"/>
  <c r="D49" i="81"/>
  <c r="F133" i="68"/>
  <c r="D22" i="80"/>
  <c r="B41" i="81"/>
  <c r="D146" i="82"/>
  <c r="F145" i="82"/>
  <c r="D140" i="82"/>
  <c r="F139" i="82"/>
  <c r="C135" i="82"/>
  <c r="C143" i="85"/>
  <c r="B21" i="80"/>
  <c r="C34" i="81"/>
  <c r="C149" i="78"/>
  <c r="E44" i="80"/>
  <c r="D130" i="78"/>
  <c r="E41" i="81"/>
  <c r="C130" i="78"/>
  <c r="E129" i="78"/>
  <c r="C50" i="80"/>
  <c r="F23" i="81"/>
  <c r="F51" i="81"/>
  <c r="C35" i="81"/>
  <c r="E34" i="81"/>
  <c r="D127" i="79"/>
  <c r="C20" i="81"/>
  <c r="E36" i="80"/>
  <c r="E30" i="80"/>
  <c r="B24" i="81"/>
  <c r="F149" i="78"/>
  <c r="F143" i="78"/>
  <c r="C142" i="82"/>
  <c r="E141" i="82"/>
  <c r="D136" i="82"/>
  <c r="D131" i="82"/>
  <c r="F130" i="82"/>
  <c r="E36" i="81"/>
  <c r="C126" i="85"/>
  <c r="E148" i="78"/>
  <c r="C132" i="78"/>
  <c r="E131" i="78"/>
  <c r="C46" i="80"/>
  <c r="B27" i="80"/>
  <c r="B36" i="81"/>
  <c r="F143" i="85"/>
  <c r="C133" i="85"/>
  <c r="E39" i="80"/>
  <c r="F135" i="82"/>
  <c r="B131" i="83"/>
  <c r="C148" i="85"/>
  <c r="C131" i="85"/>
  <c r="E130" i="85"/>
  <c r="E144" i="79"/>
  <c r="C140" i="79"/>
  <c r="E139" i="79"/>
  <c r="F127" i="79"/>
  <c r="F153" i="78"/>
  <c r="D148" i="78"/>
  <c r="E129" i="68"/>
  <c r="F49" i="80"/>
  <c r="F40" i="80"/>
  <c r="E21" i="80"/>
  <c r="E126" i="82"/>
  <c r="F126" i="83"/>
  <c r="D41" i="81"/>
  <c r="F40" i="81"/>
  <c r="D23" i="81"/>
  <c r="D144" i="85"/>
  <c r="C153" i="79"/>
  <c r="D24" i="81"/>
  <c r="D141" i="83"/>
  <c r="F134" i="83"/>
  <c r="E147" i="85"/>
  <c r="F149" i="79"/>
  <c r="D136" i="78"/>
  <c r="C131" i="78"/>
  <c r="D151" i="68"/>
  <c r="B51" i="80"/>
  <c r="D26" i="80"/>
  <c r="D151" i="82"/>
  <c r="B140" i="82"/>
  <c r="E134" i="82"/>
  <c r="E144" i="83"/>
  <c r="C140" i="83"/>
  <c r="D143" i="79"/>
  <c r="D146" i="78"/>
  <c r="F139" i="78"/>
  <c r="D135" i="78"/>
  <c r="C151" i="85"/>
  <c r="E150" i="85"/>
  <c r="D134" i="85"/>
  <c r="D148" i="79"/>
  <c r="F147" i="79"/>
  <c r="F136" i="79"/>
  <c r="C126" i="79"/>
  <c r="E134" i="78"/>
  <c r="D138" i="68"/>
  <c r="F148" i="83"/>
  <c r="E128" i="83"/>
  <c r="F149" i="82"/>
  <c r="D32" i="81"/>
  <c r="C134" i="82"/>
  <c r="C144" i="83"/>
  <c r="F49" i="81"/>
  <c r="F144" i="85"/>
  <c r="D128" i="85"/>
  <c r="F27" i="80"/>
  <c r="C154" i="79"/>
  <c r="E153" i="79"/>
  <c r="C131" i="79"/>
  <c r="E126" i="68"/>
  <c r="E22" i="80"/>
  <c r="E144" i="82"/>
  <c r="F154" i="83"/>
  <c r="D149" i="83"/>
  <c r="C129" i="83"/>
  <c r="C150" i="82"/>
  <c r="D154" i="83"/>
  <c r="D132" i="83"/>
  <c r="E138" i="85"/>
  <c r="D136" i="79"/>
  <c r="D130" i="79"/>
  <c r="C139" i="78"/>
  <c r="C154" i="68"/>
  <c r="E153" i="68"/>
  <c r="C149" i="68"/>
  <c r="D143" i="68"/>
  <c r="F142" i="68"/>
  <c r="C132" i="68"/>
  <c r="D50" i="80"/>
  <c r="C127" i="82"/>
  <c r="D35" i="81"/>
  <c r="F28" i="81"/>
  <c r="E148" i="82"/>
  <c r="D152" i="79"/>
  <c r="F151" i="79"/>
  <c r="F140" i="79"/>
  <c r="C150" i="78"/>
  <c r="C144" i="78"/>
  <c r="C153" i="68"/>
  <c r="E152" i="68"/>
  <c r="F130" i="68"/>
  <c r="E46" i="80"/>
  <c r="C41" i="80"/>
  <c r="E34" i="80"/>
  <c r="D127" i="83"/>
  <c r="B36" i="80"/>
  <c r="E27" i="80"/>
  <c r="D154" i="82"/>
  <c r="F153" i="82"/>
  <c r="B143" i="82"/>
  <c r="E142" i="83"/>
  <c r="C137" i="83"/>
  <c r="E136" i="83"/>
  <c r="E145" i="79"/>
  <c r="C135" i="79"/>
  <c r="E147" i="68"/>
  <c r="F135" i="68"/>
  <c r="D127" i="77"/>
  <c r="F143" i="77"/>
  <c r="G116" i="67"/>
  <c r="G120" i="67"/>
  <c r="G124" i="67"/>
  <c r="G157" i="67"/>
  <c r="G181" i="67"/>
  <c r="G205" i="67"/>
  <c r="G136" i="43"/>
  <c r="G114" i="58"/>
  <c r="G135" i="58"/>
  <c r="G142" i="58"/>
  <c r="M179" i="59"/>
  <c r="G128" i="67"/>
  <c r="G138" i="67"/>
  <c r="G143" i="67"/>
  <c r="G156" i="67"/>
  <c r="M156" i="67"/>
  <c r="G162" i="67"/>
  <c r="G167" i="67"/>
  <c r="G180" i="67"/>
  <c r="M180" i="67"/>
  <c r="G186" i="67"/>
  <c r="G191" i="67"/>
  <c r="G204" i="67"/>
  <c r="M204" i="67"/>
  <c r="G117" i="43"/>
  <c r="G122" i="43"/>
  <c r="G135" i="43"/>
  <c r="M135" i="43"/>
  <c r="G146" i="43"/>
  <c r="G159" i="43"/>
  <c r="M159" i="43"/>
  <c r="G170" i="43"/>
  <c r="G183" i="43"/>
  <c r="M183" i="43"/>
  <c r="G194" i="43"/>
  <c r="G118" i="58"/>
  <c r="M124" i="58"/>
  <c r="G126" i="58"/>
  <c r="G166" i="58"/>
  <c r="G200" i="58"/>
  <c r="G115" i="59"/>
  <c r="G143" i="59"/>
  <c r="G130" i="60"/>
  <c r="G147" i="60"/>
  <c r="M128" i="67"/>
  <c r="M117" i="58"/>
  <c r="G131" i="58"/>
  <c r="G140" i="58"/>
  <c r="G147" i="58"/>
  <c r="G159" i="58"/>
  <c r="M195" i="58"/>
  <c r="G120" i="60"/>
  <c r="G126" i="67"/>
  <c r="G119" i="59"/>
  <c r="G125" i="59"/>
  <c r="G163" i="59"/>
  <c r="G197" i="64"/>
  <c r="G187" i="67"/>
  <c r="G200" i="67"/>
  <c r="G131" i="43"/>
  <c r="G142" i="43"/>
  <c r="G190" i="43"/>
  <c r="G152" i="58"/>
  <c r="G149" i="62"/>
  <c r="G148" i="67"/>
  <c r="G159" i="67"/>
  <c r="G172" i="67"/>
  <c r="G183" i="67"/>
  <c r="G196" i="67"/>
  <c r="G114" i="43"/>
  <c r="G127" i="43"/>
  <c r="G138" i="43"/>
  <c r="G151" i="43"/>
  <c r="G162" i="43"/>
  <c r="G175" i="43"/>
  <c r="G186" i="43"/>
  <c r="G199" i="43"/>
  <c r="G193" i="58"/>
  <c r="G193" i="59"/>
  <c r="G133" i="61"/>
  <c r="G114" i="67"/>
  <c r="G118" i="67"/>
  <c r="G122" i="67"/>
  <c r="G132" i="67"/>
  <c r="G134" i="58"/>
  <c r="G143" i="58"/>
  <c r="G150" i="58"/>
  <c r="G180" i="58"/>
  <c r="G204" i="58"/>
  <c r="G134" i="59"/>
  <c r="G136" i="59"/>
  <c r="M156" i="59"/>
  <c r="G166" i="43"/>
  <c r="G206" i="58"/>
  <c r="M124" i="67"/>
  <c r="M132" i="67"/>
  <c r="G144" i="67"/>
  <c r="M144" i="67"/>
  <c r="G150" i="67"/>
  <c r="G155" i="67"/>
  <c r="G168" i="67"/>
  <c r="M168" i="67"/>
  <c r="G174" i="67"/>
  <c r="G179" i="67"/>
  <c r="G192" i="67"/>
  <c r="M192" i="67"/>
  <c r="G198" i="67"/>
  <c r="G203" i="67"/>
  <c r="G123" i="43"/>
  <c r="M123" i="43"/>
  <c r="G134" i="43"/>
  <c r="G147" i="43"/>
  <c r="M147" i="43"/>
  <c r="G158" i="43"/>
  <c r="G171" i="43"/>
  <c r="M171" i="43"/>
  <c r="G182" i="43"/>
  <c r="G195" i="43"/>
  <c r="M195" i="43"/>
  <c r="G120" i="58"/>
  <c r="M155" i="58"/>
  <c r="G162" i="58"/>
  <c r="G185" i="58"/>
  <c r="G117" i="59"/>
  <c r="M144" i="59"/>
  <c r="G139" i="67"/>
  <c r="G152" i="67"/>
  <c r="G163" i="67"/>
  <c r="G176" i="67"/>
  <c r="G155" i="43"/>
  <c r="G179" i="43"/>
  <c r="G124" i="58"/>
  <c r="G190" i="62"/>
  <c r="G206" i="43"/>
  <c r="G132" i="58"/>
  <c r="G139" i="58"/>
  <c r="G148" i="58"/>
  <c r="G129" i="59"/>
  <c r="G156" i="59"/>
  <c r="G118" i="43"/>
  <c r="G117" i="67"/>
  <c r="G121" i="67"/>
  <c r="G140" i="67"/>
  <c r="G151" i="67"/>
  <c r="G164" i="67"/>
  <c r="G175" i="67"/>
  <c r="G188" i="67"/>
  <c r="G199" i="67"/>
  <c r="G119" i="43"/>
  <c r="G130" i="43"/>
  <c r="G143" i="43"/>
  <c r="G154" i="43"/>
  <c r="G167" i="43"/>
  <c r="G178" i="43"/>
  <c r="G191" i="43"/>
  <c r="G116" i="58"/>
  <c r="G136" i="67"/>
  <c r="G161" i="67"/>
  <c r="G185" i="67"/>
  <c r="G116" i="43"/>
  <c r="G140" i="43"/>
  <c r="G123" i="58"/>
  <c r="G147" i="67"/>
  <c r="G160" i="67"/>
  <c r="G171" i="67"/>
  <c r="G184" i="67"/>
  <c r="G195" i="67"/>
  <c r="G115" i="43"/>
  <c r="M115" i="43"/>
  <c r="G126" i="43"/>
  <c r="G139" i="43"/>
  <c r="G150" i="43"/>
  <c r="G163" i="43"/>
  <c r="G174" i="43"/>
  <c r="G187" i="43"/>
  <c r="G198" i="43"/>
  <c r="G202" i="43"/>
  <c r="G130" i="59"/>
  <c r="G142" i="60"/>
  <c r="G129" i="43"/>
  <c r="G133" i="43"/>
  <c r="G137" i="43"/>
  <c r="G141" i="43"/>
  <c r="G145" i="43"/>
  <c r="G149" i="43"/>
  <c r="G153" i="43"/>
  <c r="G157" i="43"/>
  <c r="G161" i="43"/>
  <c r="G165" i="43"/>
  <c r="G169" i="43"/>
  <c r="G173" i="43"/>
  <c r="G177" i="43"/>
  <c r="G181" i="43"/>
  <c r="G185" i="43"/>
  <c r="G189" i="43"/>
  <c r="G193" i="43"/>
  <c r="G197" i="43"/>
  <c r="M203" i="43"/>
  <c r="G115" i="58"/>
  <c r="G122" i="58"/>
  <c r="G129" i="58"/>
  <c r="M132" i="58"/>
  <c r="M140" i="58"/>
  <c r="M148" i="58"/>
  <c r="G155" i="58"/>
  <c r="G156" i="58"/>
  <c r="G127" i="59"/>
  <c r="M136" i="59"/>
  <c r="G158" i="59"/>
  <c r="G160" i="59"/>
  <c r="G155" i="60"/>
  <c r="G184" i="60"/>
  <c r="M199" i="43"/>
  <c r="G157" i="58"/>
  <c r="M164" i="58"/>
  <c r="G181" i="58"/>
  <c r="G191" i="58"/>
  <c r="G196" i="58"/>
  <c r="G199" i="58"/>
  <c r="G126" i="60"/>
  <c r="G168" i="60"/>
  <c r="G188" i="60"/>
  <c r="M116" i="58"/>
  <c r="M152" i="58"/>
  <c r="G161" i="58"/>
  <c r="G178" i="58"/>
  <c r="M182" i="58"/>
  <c r="G141" i="59"/>
  <c r="G167" i="59"/>
  <c r="G141" i="60"/>
  <c r="G125" i="61"/>
  <c r="G203" i="43"/>
  <c r="G117" i="58"/>
  <c r="G125" i="58"/>
  <c r="G186" i="58"/>
  <c r="G197" i="58"/>
  <c r="G132" i="59"/>
  <c r="G139" i="59"/>
  <c r="M148" i="59"/>
  <c r="G179" i="59"/>
  <c r="G118" i="60"/>
  <c r="M139" i="60"/>
  <c r="G161" i="60"/>
  <c r="M161" i="60"/>
  <c r="G176" i="60"/>
  <c r="G178" i="60"/>
  <c r="G192" i="60"/>
  <c r="G145" i="61"/>
  <c r="M128" i="58"/>
  <c r="G133" i="58"/>
  <c r="M136" i="58"/>
  <c r="G141" i="58"/>
  <c r="M144" i="58"/>
  <c r="G149" i="58"/>
  <c r="M154" i="58"/>
  <c r="G163" i="58"/>
  <c r="G164" i="58"/>
  <c r="M176" i="58"/>
  <c r="G184" i="58"/>
  <c r="G202" i="58"/>
  <c r="G124" i="59"/>
  <c r="G191" i="59"/>
  <c r="M122" i="58"/>
  <c r="M156" i="58"/>
  <c r="G165" i="58"/>
  <c r="M184" i="58"/>
  <c r="G116" i="59"/>
  <c r="G146" i="59"/>
  <c r="G148" i="59"/>
  <c r="G155" i="59"/>
  <c r="G151" i="60"/>
  <c r="G153" i="61"/>
  <c r="G194" i="58"/>
  <c r="G162" i="59"/>
  <c r="G133" i="60"/>
  <c r="M149" i="60"/>
  <c r="G117" i="62"/>
  <c r="M118" i="58"/>
  <c r="M130" i="58"/>
  <c r="N130" i="58" s="1"/>
  <c r="M138" i="58"/>
  <c r="N138" i="58" s="1"/>
  <c r="M146" i="58"/>
  <c r="G151" i="58"/>
  <c r="G167" i="58"/>
  <c r="G169" i="58"/>
  <c r="G171" i="58"/>
  <c r="G173" i="58"/>
  <c r="G175" i="58"/>
  <c r="M114" i="59"/>
  <c r="G131" i="59"/>
  <c r="G153" i="59"/>
  <c r="G169" i="59"/>
  <c r="G204" i="59"/>
  <c r="G144" i="60"/>
  <c r="G158" i="61"/>
  <c r="G190" i="61"/>
  <c r="G153" i="58"/>
  <c r="M160" i="58"/>
  <c r="G183" i="58"/>
  <c r="M192" i="58"/>
  <c r="G144" i="59"/>
  <c r="G151" i="59"/>
  <c r="G181" i="59"/>
  <c r="G114" i="60"/>
  <c r="G172" i="60"/>
  <c r="G174" i="60"/>
  <c r="G187" i="58"/>
  <c r="G114" i="59"/>
  <c r="M119" i="59"/>
  <c r="G165" i="59"/>
  <c r="M165" i="59"/>
  <c r="M169" i="59"/>
  <c r="G177" i="59"/>
  <c r="M177" i="59"/>
  <c r="M181" i="59"/>
  <c r="G189" i="59"/>
  <c r="M189" i="59"/>
  <c r="M193" i="59"/>
  <c r="G201" i="59"/>
  <c r="M201" i="59"/>
  <c r="G205" i="59"/>
  <c r="M120" i="60"/>
  <c r="G206" i="60"/>
  <c r="G135" i="61"/>
  <c r="G168" i="61"/>
  <c r="G138" i="59"/>
  <c r="G150" i="59"/>
  <c r="G170" i="59"/>
  <c r="G174" i="59"/>
  <c r="G182" i="59"/>
  <c r="G186" i="59"/>
  <c r="G194" i="59"/>
  <c r="G198" i="59"/>
  <c r="M121" i="60"/>
  <c r="G125" i="60"/>
  <c r="G139" i="60"/>
  <c r="G157" i="60"/>
  <c r="M157" i="60"/>
  <c r="G183" i="60"/>
  <c r="G203" i="61"/>
  <c r="G204" i="61"/>
  <c r="G134" i="63"/>
  <c r="G201" i="58"/>
  <c r="G118" i="59"/>
  <c r="M138" i="59"/>
  <c r="M150" i="59"/>
  <c r="G166" i="59"/>
  <c r="G172" i="59"/>
  <c r="G178" i="59"/>
  <c r="G184" i="59"/>
  <c r="G190" i="59"/>
  <c r="G196" i="59"/>
  <c r="G202" i="59"/>
  <c r="G203" i="59"/>
  <c r="M206" i="59"/>
  <c r="M115" i="60"/>
  <c r="G117" i="60"/>
  <c r="M125" i="60"/>
  <c r="G131" i="60"/>
  <c r="G154" i="60"/>
  <c r="G194" i="60"/>
  <c r="M124" i="61"/>
  <c r="G129" i="61"/>
  <c r="G165" i="62"/>
  <c r="G179" i="58"/>
  <c r="G195" i="58"/>
  <c r="M166" i="59"/>
  <c r="M178" i="59"/>
  <c r="M190" i="59"/>
  <c r="M202" i="59"/>
  <c r="M117" i="60"/>
  <c r="G123" i="60"/>
  <c r="G148" i="60"/>
  <c r="G153" i="60"/>
  <c r="M153" i="60"/>
  <c r="G159" i="60"/>
  <c r="M197" i="60"/>
  <c r="G132" i="61"/>
  <c r="G189" i="62"/>
  <c r="G203" i="58"/>
  <c r="G135" i="59"/>
  <c r="G147" i="59"/>
  <c r="G159" i="59"/>
  <c r="G115" i="60"/>
  <c r="G187" i="62"/>
  <c r="G122" i="59"/>
  <c r="G136" i="60"/>
  <c r="G165" i="60"/>
  <c r="M165" i="60"/>
  <c r="G122" i="61"/>
  <c r="G148" i="61"/>
  <c r="G167" i="61"/>
  <c r="G195" i="61"/>
  <c r="G205" i="58"/>
  <c r="G164" i="59"/>
  <c r="G171" i="59"/>
  <c r="G175" i="59"/>
  <c r="G176" i="59"/>
  <c r="G183" i="59"/>
  <c r="G187" i="59"/>
  <c r="G188" i="59"/>
  <c r="G195" i="59"/>
  <c r="G199" i="59"/>
  <c r="G200" i="59"/>
  <c r="G128" i="60"/>
  <c r="M136" i="60"/>
  <c r="M203" i="60"/>
  <c r="G115" i="61"/>
  <c r="M134" i="59"/>
  <c r="M146" i="59"/>
  <c r="M158" i="59"/>
  <c r="M170" i="59"/>
  <c r="M182" i="59"/>
  <c r="M194" i="59"/>
  <c r="G169" i="60"/>
  <c r="M169" i="60"/>
  <c r="G121" i="61"/>
  <c r="G140" i="61"/>
  <c r="G170" i="61"/>
  <c r="G180" i="61"/>
  <c r="M187" i="61"/>
  <c r="G189" i="61"/>
  <c r="G168" i="59"/>
  <c r="G180" i="59"/>
  <c r="G192" i="59"/>
  <c r="G149" i="60"/>
  <c r="G166" i="60"/>
  <c r="G180" i="60"/>
  <c r="M187" i="60"/>
  <c r="G197" i="60"/>
  <c r="G198" i="60"/>
  <c r="G203" i="60"/>
  <c r="M161" i="61"/>
  <c r="G182" i="61"/>
  <c r="G187" i="61"/>
  <c r="G201" i="62"/>
  <c r="G126" i="59"/>
  <c r="G163" i="60"/>
  <c r="M181" i="60"/>
  <c r="G190" i="60"/>
  <c r="G155" i="61"/>
  <c r="G201" i="61"/>
  <c r="M174" i="59"/>
  <c r="M186" i="59"/>
  <c r="M198" i="59"/>
  <c r="G177" i="60"/>
  <c r="M177" i="60"/>
  <c r="M186" i="60"/>
  <c r="G200" i="60"/>
  <c r="G116" i="61"/>
  <c r="G143" i="61"/>
  <c r="G165" i="61"/>
  <c r="G179" i="61"/>
  <c r="G133" i="62"/>
  <c r="G164" i="60"/>
  <c r="G186" i="60"/>
  <c r="G118" i="61"/>
  <c r="G177" i="61"/>
  <c r="G184" i="61"/>
  <c r="G206" i="59"/>
  <c r="G121" i="60"/>
  <c r="G129" i="60"/>
  <c r="G137" i="60"/>
  <c r="G145" i="60"/>
  <c r="G152" i="60"/>
  <c r="G156" i="60"/>
  <c r="G160" i="60"/>
  <c r="G173" i="60"/>
  <c r="M173" i="60"/>
  <c r="G205" i="60"/>
  <c r="M121" i="61"/>
  <c r="G127" i="61"/>
  <c r="G137" i="61"/>
  <c r="G156" i="61"/>
  <c r="G194" i="61"/>
  <c r="G167" i="60"/>
  <c r="G171" i="60"/>
  <c r="G175" i="60"/>
  <c r="G179" i="60"/>
  <c r="G189" i="60"/>
  <c r="G199" i="60"/>
  <c r="M116" i="61"/>
  <c r="G117" i="61"/>
  <c r="M119" i="61"/>
  <c r="G123" i="61"/>
  <c r="M156" i="61"/>
  <c r="M168" i="61"/>
  <c r="M180" i="61"/>
  <c r="M201" i="61"/>
  <c r="M189" i="60"/>
  <c r="M192" i="60"/>
  <c r="G196" i="60"/>
  <c r="G124" i="61"/>
  <c r="G131" i="61"/>
  <c r="G139" i="61"/>
  <c r="G147" i="61"/>
  <c r="M151" i="61"/>
  <c r="M158" i="61"/>
  <c r="M163" i="61"/>
  <c r="M170" i="61"/>
  <c r="M175" i="61"/>
  <c r="M182" i="61"/>
  <c r="G123" i="62"/>
  <c r="G130" i="62"/>
  <c r="G139" i="62"/>
  <c r="G146" i="62"/>
  <c r="G155" i="62"/>
  <c r="G162" i="62"/>
  <c r="G179" i="62"/>
  <c r="G126" i="63"/>
  <c r="G185" i="60"/>
  <c r="G195" i="60"/>
  <c r="M205" i="60"/>
  <c r="M115" i="61"/>
  <c r="G119" i="61"/>
  <c r="G130" i="61"/>
  <c r="G138" i="61"/>
  <c r="G146" i="61"/>
  <c r="M150" i="61"/>
  <c r="M155" i="61"/>
  <c r="M162" i="61"/>
  <c r="M167" i="61"/>
  <c r="M174" i="61"/>
  <c r="M179" i="61"/>
  <c r="M188" i="61"/>
  <c r="G124" i="62"/>
  <c r="G140" i="62"/>
  <c r="G156" i="62"/>
  <c r="G177" i="62"/>
  <c r="G199" i="62"/>
  <c r="G131" i="63"/>
  <c r="G175" i="63"/>
  <c r="G176" i="63"/>
  <c r="G181" i="63"/>
  <c r="M185" i="60"/>
  <c r="N185" i="60" s="1"/>
  <c r="M188" i="60"/>
  <c r="G120" i="61"/>
  <c r="G151" i="61"/>
  <c r="G163" i="61"/>
  <c r="G175" i="61"/>
  <c r="G198" i="61"/>
  <c r="G199" i="61"/>
  <c r="M124" i="62"/>
  <c r="M140" i="62"/>
  <c r="M156" i="62"/>
  <c r="M192" i="62"/>
  <c r="G118" i="63"/>
  <c r="G193" i="60"/>
  <c r="G152" i="61"/>
  <c r="G164" i="61"/>
  <c r="G176" i="61"/>
  <c r="G200" i="61"/>
  <c r="M193" i="60"/>
  <c r="M196" i="60"/>
  <c r="G128" i="61"/>
  <c r="M131" i="61"/>
  <c r="M139" i="61"/>
  <c r="M147" i="61"/>
  <c r="G206" i="61"/>
  <c r="G201" i="60"/>
  <c r="M128" i="61"/>
  <c r="M136" i="61"/>
  <c r="M144" i="61"/>
  <c r="M154" i="61"/>
  <c r="M159" i="61"/>
  <c r="M166" i="61"/>
  <c r="N166" i="61" s="1"/>
  <c r="M171" i="61"/>
  <c r="M178" i="61"/>
  <c r="G185" i="62"/>
  <c r="G130" i="63"/>
  <c r="G181" i="60"/>
  <c r="G191" i="60"/>
  <c r="M201" i="60"/>
  <c r="M133" i="61"/>
  <c r="M141" i="61"/>
  <c r="M149" i="61"/>
  <c r="M185" i="61"/>
  <c r="G127" i="62"/>
  <c r="G143" i="62"/>
  <c r="G159" i="62"/>
  <c r="G171" i="62"/>
  <c r="M116" i="63"/>
  <c r="G127" i="63"/>
  <c r="G159" i="63"/>
  <c r="M204" i="61"/>
  <c r="M127" i="62"/>
  <c r="M143" i="62"/>
  <c r="M159" i="62"/>
  <c r="G168" i="62"/>
  <c r="G176" i="62"/>
  <c r="G184" i="62"/>
  <c r="G132" i="63"/>
  <c r="G145" i="66"/>
  <c r="G192" i="61"/>
  <c r="M197" i="61"/>
  <c r="G115" i="62"/>
  <c r="G118" i="62"/>
  <c r="M120" i="62"/>
  <c r="G121" i="62"/>
  <c r="G131" i="62"/>
  <c r="G134" i="62"/>
  <c r="M136" i="62"/>
  <c r="G137" i="62"/>
  <c r="G147" i="62"/>
  <c r="G150" i="62"/>
  <c r="M152" i="62"/>
  <c r="N152" i="62" s="1"/>
  <c r="G153" i="62"/>
  <c r="G163" i="62"/>
  <c r="G166" i="62"/>
  <c r="M196" i="62"/>
  <c r="M115" i="63"/>
  <c r="G158" i="63"/>
  <c r="G174" i="63"/>
  <c r="G191" i="64"/>
  <c r="M200" i="61"/>
  <c r="M123" i="62"/>
  <c r="M139" i="62"/>
  <c r="M155" i="62"/>
  <c r="G174" i="62"/>
  <c r="G182" i="62"/>
  <c r="G138" i="63"/>
  <c r="G147" i="63"/>
  <c r="G156" i="63"/>
  <c r="M140" i="64"/>
  <c r="G137" i="63"/>
  <c r="M137" i="63"/>
  <c r="G171" i="63"/>
  <c r="G172" i="63"/>
  <c r="G177" i="63"/>
  <c r="G180" i="64"/>
  <c r="G188" i="62"/>
  <c r="M196" i="61"/>
  <c r="M119" i="62"/>
  <c r="M135" i="62"/>
  <c r="M151" i="62"/>
  <c r="M167" i="62"/>
  <c r="G172" i="62"/>
  <c r="G180" i="62"/>
  <c r="M188" i="62"/>
  <c r="M200" i="62"/>
  <c r="G133" i="63"/>
  <c r="M159" i="63"/>
  <c r="G161" i="63"/>
  <c r="M161" i="63"/>
  <c r="M185" i="63"/>
  <c r="M156" i="64"/>
  <c r="G152" i="65"/>
  <c r="M172" i="62"/>
  <c r="M180" i="62"/>
  <c r="M127" i="63"/>
  <c r="G146" i="63"/>
  <c r="M205" i="61"/>
  <c r="G126" i="62"/>
  <c r="M128" i="62"/>
  <c r="G129" i="62"/>
  <c r="G142" i="62"/>
  <c r="M144" i="62"/>
  <c r="G145" i="62"/>
  <c r="G158" i="62"/>
  <c r="M160" i="62"/>
  <c r="G161" i="62"/>
  <c r="G144" i="63"/>
  <c r="G170" i="63"/>
  <c r="G204" i="64"/>
  <c r="G165" i="65"/>
  <c r="M192" i="61"/>
  <c r="N192" i="61" s="1"/>
  <c r="M115" i="62"/>
  <c r="M131" i="62"/>
  <c r="M147" i="62"/>
  <c r="M163" i="62"/>
  <c r="G170" i="62"/>
  <c r="G178" i="62"/>
  <c r="G186" i="62"/>
  <c r="G168" i="63"/>
  <c r="M175" i="63"/>
  <c r="M183" i="63"/>
  <c r="M201" i="63"/>
  <c r="N201" i="63" s="1"/>
  <c r="M172" i="64"/>
  <c r="G192" i="63"/>
  <c r="G115" i="64"/>
  <c r="G131" i="64"/>
  <c r="G147" i="64"/>
  <c r="G163" i="64"/>
  <c r="G179" i="64"/>
  <c r="G121" i="65"/>
  <c r="G141" i="65"/>
  <c r="G181" i="65"/>
  <c r="M121" i="63"/>
  <c r="G122" i="63"/>
  <c r="M139" i="63"/>
  <c r="G142" i="63"/>
  <c r="M151" i="63"/>
  <c r="N151" i="63" s="1"/>
  <c r="G154" i="63"/>
  <c r="G166" i="63"/>
  <c r="G179" i="63"/>
  <c r="M197" i="63"/>
  <c r="M120" i="64"/>
  <c r="M136" i="64"/>
  <c r="M152" i="64"/>
  <c r="M168" i="64"/>
  <c r="M120" i="66"/>
  <c r="G123" i="66"/>
  <c r="G187" i="66"/>
  <c r="G192" i="62"/>
  <c r="G196" i="62"/>
  <c r="G200" i="62"/>
  <c r="G204" i="62"/>
  <c r="G115" i="63"/>
  <c r="G119" i="63"/>
  <c r="G141" i="63"/>
  <c r="M141" i="63"/>
  <c r="G153" i="63"/>
  <c r="M153" i="63"/>
  <c r="G165" i="63"/>
  <c r="M165" i="63"/>
  <c r="G183" i="63"/>
  <c r="G187" i="63"/>
  <c r="G188" i="63"/>
  <c r="G197" i="63"/>
  <c r="G204" i="63"/>
  <c r="G120" i="64"/>
  <c r="G127" i="64"/>
  <c r="G136" i="64"/>
  <c r="G143" i="64"/>
  <c r="G152" i="64"/>
  <c r="G159" i="64"/>
  <c r="G168" i="64"/>
  <c r="G175" i="64"/>
  <c r="G126" i="65"/>
  <c r="G177" i="65"/>
  <c r="G194" i="63"/>
  <c r="G117" i="64"/>
  <c r="G133" i="64"/>
  <c r="G149" i="64"/>
  <c r="G165" i="64"/>
  <c r="G119" i="65"/>
  <c r="G163" i="65"/>
  <c r="G117" i="66"/>
  <c r="G181" i="66"/>
  <c r="M131" i="63"/>
  <c r="M193" i="63"/>
  <c r="M116" i="64"/>
  <c r="M132" i="64"/>
  <c r="M148" i="64"/>
  <c r="M164" i="64"/>
  <c r="G182" i="64"/>
  <c r="G196" i="64"/>
  <c r="G132" i="65"/>
  <c r="M198" i="65"/>
  <c r="G193" i="63"/>
  <c r="G200" i="63"/>
  <c r="G116" i="64"/>
  <c r="G123" i="64"/>
  <c r="G132" i="64"/>
  <c r="G139" i="64"/>
  <c r="G148" i="64"/>
  <c r="G155" i="64"/>
  <c r="G164" i="64"/>
  <c r="G171" i="64"/>
  <c r="G189" i="64"/>
  <c r="G173" i="65"/>
  <c r="G159" i="66"/>
  <c r="G145" i="63"/>
  <c r="M145" i="63"/>
  <c r="G157" i="63"/>
  <c r="M157" i="63"/>
  <c r="M167" i="63"/>
  <c r="G169" i="63"/>
  <c r="M169" i="63"/>
  <c r="G190" i="63"/>
  <c r="G206" i="63"/>
  <c r="G129" i="64"/>
  <c r="G145" i="64"/>
  <c r="G161" i="64"/>
  <c r="G177" i="64"/>
  <c r="G185" i="64"/>
  <c r="G125" i="63"/>
  <c r="M125" i="63"/>
  <c r="M173" i="63"/>
  <c r="M189" i="63"/>
  <c r="M205" i="63"/>
  <c r="M128" i="64"/>
  <c r="M144" i="64"/>
  <c r="M160" i="64"/>
  <c r="M176" i="64"/>
  <c r="G199" i="64"/>
  <c r="G124" i="65"/>
  <c r="G145" i="65"/>
  <c r="G173" i="63"/>
  <c r="M177" i="63"/>
  <c r="G189" i="63"/>
  <c r="G196" i="63"/>
  <c r="G205" i="63"/>
  <c r="G119" i="64"/>
  <c r="G128" i="64"/>
  <c r="G135" i="64"/>
  <c r="G144" i="64"/>
  <c r="G151" i="64"/>
  <c r="G160" i="64"/>
  <c r="G167" i="64"/>
  <c r="G176" i="64"/>
  <c r="M199" i="64"/>
  <c r="G206" i="64"/>
  <c r="G143" i="65"/>
  <c r="G169" i="65"/>
  <c r="M191" i="64"/>
  <c r="G118" i="65"/>
  <c r="G138" i="65"/>
  <c r="G204" i="65"/>
  <c r="G139" i="66"/>
  <c r="G161" i="66"/>
  <c r="G186" i="64"/>
  <c r="G202" i="64"/>
  <c r="G175" i="66"/>
  <c r="M178" i="64"/>
  <c r="G203" i="64"/>
  <c r="G129" i="65"/>
  <c r="M151" i="65"/>
  <c r="N151" i="65" s="1"/>
  <c r="M162" i="65"/>
  <c r="G184" i="65"/>
  <c r="G133" i="66"/>
  <c r="G194" i="64"/>
  <c r="M203" i="64"/>
  <c r="G116" i="65"/>
  <c r="G130" i="65"/>
  <c r="M135" i="65"/>
  <c r="G136" i="65"/>
  <c r="G142" i="65"/>
  <c r="G190" i="65"/>
  <c r="G206" i="65"/>
  <c r="G127" i="66"/>
  <c r="G155" i="66"/>
  <c r="M200" i="66"/>
  <c r="G203" i="66"/>
  <c r="G195" i="64"/>
  <c r="M130" i="65"/>
  <c r="G182" i="65"/>
  <c r="G177" i="66"/>
  <c r="G122" i="65"/>
  <c r="G149" i="66"/>
  <c r="G191" i="66"/>
  <c r="M122" i="65"/>
  <c r="G128" i="65"/>
  <c r="M146" i="65"/>
  <c r="M159" i="65"/>
  <c r="G129" i="66"/>
  <c r="G143" i="66"/>
  <c r="G191" i="63"/>
  <c r="G195" i="63"/>
  <c r="G199" i="63"/>
  <c r="G203" i="63"/>
  <c r="G114" i="64"/>
  <c r="G118" i="64"/>
  <c r="G122" i="64"/>
  <c r="G126" i="64"/>
  <c r="G130" i="64"/>
  <c r="G134" i="64"/>
  <c r="G138" i="64"/>
  <c r="G142" i="64"/>
  <c r="G146" i="64"/>
  <c r="G150" i="64"/>
  <c r="G154" i="64"/>
  <c r="G158" i="64"/>
  <c r="G162" i="64"/>
  <c r="G166" i="64"/>
  <c r="G170" i="64"/>
  <c r="G174" i="64"/>
  <c r="G178" i="64"/>
  <c r="G181" i="64"/>
  <c r="G193" i="64"/>
  <c r="G114" i="65"/>
  <c r="M139" i="65"/>
  <c r="G140" i="65"/>
  <c r="G185" i="65"/>
  <c r="G171" i="66"/>
  <c r="M186" i="64"/>
  <c r="M114" i="65"/>
  <c r="G120" i="65"/>
  <c r="G134" i="65"/>
  <c r="M150" i="65"/>
  <c r="M163" i="65"/>
  <c r="G165" i="66"/>
  <c r="G193" i="66"/>
  <c r="M185" i="65"/>
  <c r="G200" i="65"/>
  <c r="M116" i="66"/>
  <c r="M132" i="66"/>
  <c r="M148" i="66"/>
  <c r="M164" i="66"/>
  <c r="M187" i="65"/>
  <c r="G196" i="65"/>
  <c r="G146" i="65"/>
  <c r="G150" i="65"/>
  <c r="G154" i="65"/>
  <c r="G158" i="65"/>
  <c r="G162" i="65"/>
  <c r="G166" i="65"/>
  <c r="G170" i="65"/>
  <c r="G174" i="65"/>
  <c r="G178" i="65"/>
  <c r="G205" i="65"/>
  <c r="G119" i="66"/>
  <c r="G135" i="66"/>
  <c r="G151" i="66"/>
  <c r="G167" i="66"/>
  <c r="G183" i="66"/>
  <c r="G199" i="66"/>
  <c r="G202" i="65"/>
  <c r="G125" i="66"/>
  <c r="G141" i="66"/>
  <c r="G157" i="66"/>
  <c r="G173" i="66"/>
  <c r="G189" i="66"/>
  <c r="G205" i="66"/>
  <c r="G188" i="65"/>
  <c r="M140" i="66"/>
  <c r="M156" i="66"/>
  <c r="M172" i="66"/>
  <c r="G201" i="65"/>
  <c r="G115" i="66"/>
  <c r="G131" i="66"/>
  <c r="G147" i="66"/>
  <c r="G163" i="66"/>
  <c r="G179" i="66"/>
  <c r="G195" i="66"/>
  <c r="M183" i="65"/>
  <c r="M199" i="65"/>
  <c r="G121" i="66"/>
  <c r="G137" i="66"/>
  <c r="G153" i="66"/>
  <c r="G169" i="66"/>
  <c r="G185" i="66"/>
  <c r="G201" i="66"/>
  <c r="G197" i="65"/>
  <c r="M197" i="65"/>
  <c r="G199" i="65"/>
  <c r="M136" i="66"/>
  <c r="M152" i="66"/>
  <c r="G116" i="66"/>
  <c r="G120" i="66"/>
  <c r="G124" i="66"/>
  <c r="G128" i="66"/>
  <c r="G132" i="66"/>
  <c r="G136" i="66"/>
  <c r="G140" i="66"/>
  <c r="G144" i="66"/>
  <c r="G148" i="66"/>
  <c r="G152" i="66"/>
  <c r="G156" i="66"/>
  <c r="G160" i="66"/>
  <c r="G164" i="66"/>
  <c r="G168" i="66"/>
  <c r="G172" i="66"/>
  <c r="G176" i="66"/>
  <c r="G180" i="66"/>
  <c r="G184" i="66"/>
  <c r="G188" i="66"/>
  <c r="G192" i="66"/>
  <c r="G196" i="66"/>
  <c r="G200" i="66"/>
  <c r="G204" i="66"/>
  <c r="G203" i="65"/>
  <c r="C147" i="82"/>
  <c r="B135" i="85"/>
  <c r="C126" i="68"/>
  <c r="C20" i="80"/>
  <c r="F42" i="81"/>
  <c r="D40" i="81"/>
  <c r="F154" i="82"/>
  <c r="B150" i="82"/>
  <c r="E149" i="82"/>
  <c r="B147" i="82"/>
  <c r="F146" i="82"/>
  <c r="B142" i="82"/>
  <c r="D141" i="82"/>
  <c r="F140" i="82"/>
  <c r="C136" i="82"/>
  <c r="B133" i="82"/>
  <c r="D132" i="82"/>
  <c r="F131" i="82"/>
  <c r="B127" i="82"/>
  <c r="D126" i="82"/>
  <c r="B151" i="83"/>
  <c r="D150" i="83"/>
  <c r="F149" i="83"/>
  <c r="C145" i="83"/>
  <c r="D142" i="83"/>
  <c r="F141" i="83"/>
  <c r="B137" i="83"/>
  <c r="D136" i="83"/>
  <c r="F135" i="83"/>
  <c r="C132" i="83"/>
  <c r="B129" i="83"/>
  <c r="D128" i="83"/>
  <c r="F127" i="83"/>
  <c r="C152" i="85"/>
  <c r="E151" i="85"/>
  <c r="B148" i="85"/>
  <c r="C144" i="85"/>
  <c r="E143" i="85"/>
  <c r="D138" i="85"/>
  <c r="C134" i="85"/>
  <c r="F133" i="85"/>
  <c r="B130" i="85"/>
  <c r="D129" i="85"/>
  <c r="E23" i="80"/>
  <c r="D137" i="79"/>
  <c r="D31" i="80"/>
  <c r="B133" i="79"/>
  <c r="F140" i="78"/>
  <c r="F34" i="80"/>
  <c r="B152" i="68"/>
  <c r="E151" i="68"/>
  <c r="D147" i="68"/>
  <c r="D41" i="80"/>
  <c r="D131" i="68"/>
  <c r="D25" i="80"/>
  <c r="B153" i="85"/>
  <c r="B145" i="85"/>
  <c r="B139" i="85"/>
  <c r="B126" i="85"/>
  <c r="E132" i="79"/>
  <c r="E26" i="80"/>
  <c r="B154" i="78"/>
  <c r="B148" i="68"/>
  <c r="B42" i="80"/>
  <c r="C41" i="81"/>
  <c r="E154" i="82"/>
  <c r="D149" i="82"/>
  <c r="E146" i="82"/>
  <c r="C141" i="82"/>
  <c r="E140" i="82"/>
  <c r="B136" i="82"/>
  <c r="C132" i="82"/>
  <c r="E131" i="82"/>
  <c r="C126" i="82"/>
  <c r="C150" i="83"/>
  <c r="E149" i="83"/>
  <c r="B145" i="83"/>
  <c r="F144" i="83"/>
  <c r="C142" i="83"/>
  <c r="E141" i="83"/>
  <c r="C136" i="83"/>
  <c r="E135" i="83"/>
  <c r="B132" i="83"/>
  <c r="C128" i="83"/>
  <c r="E21" i="81"/>
  <c r="E127" i="83"/>
  <c r="B152" i="85"/>
  <c r="D151" i="85"/>
  <c r="F150" i="85"/>
  <c r="F147" i="85"/>
  <c r="B144" i="85"/>
  <c r="D143" i="85"/>
  <c r="F142" i="85"/>
  <c r="C138" i="85"/>
  <c r="F137" i="85"/>
  <c r="B134" i="85"/>
  <c r="E133" i="85"/>
  <c r="C129" i="85"/>
  <c r="F128" i="85"/>
  <c r="C148" i="79"/>
  <c r="C132" i="79"/>
  <c r="D126" i="79"/>
  <c r="F129" i="78"/>
  <c r="F23" i="80"/>
  <c r="C136" i="68"/>
  <c r="B47" i="81"/>
  <c r="B128" i="83"/>
  <c r="B138" i="85"/>
  <c r="C45" i="81"/>
  <c r="C42" i="81"/>
  <c r="E35" i="81"/>
  <c r="C154" i="82"/>
  <c r="E153" i="82"/>
  <c r="B149" i="82"/>
  <c r="F148" i="82"/>
  <c r="C146" i="82"/>
  <c r="E145" i="82"/>
  <c r="C140" i="82"/>
  <c r="E139" i="82"/>
  <c r="E135" i="82"/>
  <c r="C131" i="82"/>
  <c r="E130" i="82"/>
  <c r="E154" i="83"/>
  <c r="C149" i="83"/>
  <c r="E148" i="83"/>
  <c r="D144" i="83"/>
  <c r="C141" i="83"/>
  <c r="E140" i="83"/>
  <c r="C135" i="83"/>
  <c r="E134" i="83"/>
  <c r="E131" i="83"/>
  <c r="C127" i="83"/>
  <c r="E126" i="83"/>
  <c r="C47" i="81"/>
  <c r="B151" i="85"/>
  <c r="D150" i="85"/>
  <c r="D147" i="85"/>
  <c r="B143" i="85"/>
  <c r="D142" i="85"/>
  <c r="F141" i="85"/>
  <c r="D137" i="85"/>
  <c r="F132" i="85"/>
  <c r="D141" i="79"/>
  <c r="E130" i="79"/>
  <c r="E145" i="78"/>
  <c r="F134" i="78"/>
  <c r="F28" i="80"/>
  <c r="C140" i="68"/>
  <c r="E139" i="68"/>
  <c r="D135" i="68"/>
  <c r="D29" i="80"/>
  <c r="C130" i="68"/>
  <c r="C24" i="80"/>
  <c r="E43" i="80"/>
  <c r="C144" i="77"/>
  <c r="E143" i="77"/>
  <c r="B126" i="82"/>
  <c r="B137" i="79"/>
  <c r="D43" i="81"/>
  <c r="E32" i="81"/>
  <c r="B154" i="82"/>
  <c r="D153" i="82"/>
  <c r="F152" i="82"/>
  <c r="B146" i="82"/>
  <c r="D145" i="82"/>
  <c r="F144" i="82"/>
  <c r="D139" i="82"/>
  <c r="F138" i="82"/>
  <c r="D135" i="82"/>
  <c r="B131" i="82"/>
  <c r="D130" i="82"/>
  <c r="F129" i="82"/>
  <c r="F153" i="83"/>
  <c r="B149" i="83"/>
  <c r="D148" i="83"/>
  <c r="F147" i="83"/>
  <c r="B141" i="83"/>
  <c r="D140" i="83"/>
  <c r="F139" i="83"/>
  <c r="B135" i="83"/>
  <c r="D134" i="83"/>
  <c r="D131" i="83"/>
  <c r="B127" i="83"/>
  <c r="D126" i="83"/>
  <c r="B141" i="84"/>
  <c r="F33" i="81"/>
  <c r="B29" i="81"/>
  <c r="E128" i="84"/>
  <c r="F154" i="85"/>
  <c r="C150" i="85"/>
  <c r="F149" i="85"/>
  <c r="C147" i="85"/>
  <c r="C142" i="85"/>
  <c r="E141" i="85"/>
  <c r="C137" i="85"/>
  <c r="F136" i="85"/>
  <c r="B133" i="85"/>
  <c r="E132" i="85"/>
  <c r="C128" i="85"/>
  <c r="F127" i="85"/>
  <c r="C152" i="79"/>
  <c r="B131" i="79"/>
  <c r="C45" i="80"/>
  <c r="C151" i="78"/>
  <c r="E150" i="78"/>
  <c r="B146" i="78"/>
  <c r="C135" i="78"/>
  <c r="E128" i="78"/>
  <c r="D145" i="68"/>
  <c r="D39" i="80"/>
  <c r="B130" i="68"/>
  <c r="B24" i="80"/>
  <c r="D129" i="68"/>
  <c r="D23" i="80"/>
  <c r="F128" i="68"/>
  <c r="C27" i="81"/>
  <c r="C133" i="82"/>
  <c r="E26" i="81"/>
  <c r="E132" i="82"/>
  <c r="B141" i="82"/>
  <c r="B150" i="83"/>
  <c r="B142" i="83"/>
  <c r="D29" i="81"/>
  <c r="D135" i="83"/>
  <c r="F131" i="83"/>
  <c r="D133" i="85"/>
  <c r="D50" i="81"/>
  <c r="F20" i="81"/>
  <c r="C153" i="82"/>
  <c r="E152" i="82"/>
  <c r="D148" i="82"/>
  <c r="C39" i="81"/>
  <c r="C145" i="82"/>
  <c r="C139" i="82"/>
  <c r="E138" i="82"/>
  <c r="F134" i="82"/>
  <c r="C130" i="82"/>
  <c r="E129" i="82"/>
  <c r="C154" i="83"/>
  <c r="E153" i="83"/>
  <c r="C148" i="83"/>
  <c r="E147" i="83"/>
  <c r="B144" i="83"/>
  <c r="E139" i="83"/>
  <c r="C134" i="83"/>
  <c r="F27" i="81"/>
  <c r="F133" i="83"/>
  <c r="C131" i="83"/>
  <c r="C126" i="83"/>
  <c r="E51" i="81"/>
  <c r="C46" i="81"/>
  <c r="C40" i="81"/>
  <c r="E39" i="81"/>
  <c r="E33" i="81"/>
  <c r="C134" i="84"/>
  <c r="D22" i="81"/>
  <c r="E154" i="85"/>
  <c r="B150" i="85"/>
  <c r="E149" i="85"/>
  <c r="B147" i="85"/>
  <c r="F146" i="85"/>
  <c r="B142" i="85"/>
  <c r="D141" i="85"/>
  <c r="F140" i="85"/>
  <c r="B137" i="85"/>
  <c r="E136" i="85"/>
  <c r="D132" i="85"/>
  <c r="B128" i="85"/>
  <c r="E127" i="85"/>
  <c r="B141" i="79"/>
  <c r="D135" i="79"/>
  <c r="C130" i="79"/>
  <c r="F138" i="78"/>
  <c r="F32" i="80"/>
  <c r="E144" i="68"/>
  <c r="E38" i="80"/>
  <c r="C139" i="68"/>
  <c r="D134" i="68"/>
  <c r="C149" i="82"/>
  <c r="B136" i="83"/>
  <c r="C50" i="81"/>
  <c r="F48" i="81"/>
  <c r="B32" i="81"/>
  <c r="E20" i="81"/>
  <c r="B153" i="82"/>
  <c r="D152" i="82"/>
  <c r="F151" i="82"/>
  <c r="C148" i="82"/>
  <c r="B145" i="82"/>
  <c r="D144" i="82"/>
  <c r="F143" i="82"/>
  <c r="B139" i="82"/>
  <c r="F137" i="82"/>
  <c r="B135" i="82"/>
  <c r="B130" i="82"/>
  <c r="D129" i="82"/>
  <c r="F128" i="82"/>
  <c r="B154" i="83"/>
  <c r="D153" i="83"/>
  <c r="F152" i="83"/>
  <c r="B148" i="83"/>
  <c r="D147" i="83"/>
  <c r="F146" i="83"/>
  <c r="F143" i="83"/>
  <c r="B140" i="83"/>
  <c r="D139" i="83"/>
  <c r="F138" i="83"/>
  <c r="B134" i="83"/>
  <c r="E133" i="83"/>
  <c r="F130" i="83"/>
  <c r="B126" i="83"/>
  <c r="D51" i="81"/>
  <c r="F50" i="81"/>
  <c r="F44" i="81"/>
  <c r="B40" i="81"/>
  <c r="D39" i="81"/>
  <c r="F38" i="81"/>
  <c r="D33" i="81"/>
  <c r="C128" i="84"/>
  <c r="F21" i="81"/>
  <c r="D154" i="85"/>
  <c r="D149" i="85"/>
  <c r="E146" i="85"/>
  <c r="C141" i="85"/>
  <c r="E140" i="85"/>
  <c r="D136" i="85"/>
  <c r="C132" i="85"/>
  <c r="F131" i="85"/>
  <c r="D127" i="85"/>
  <c r="B146" i="79"/>
  <c r="F134" i="79"/>
  <c r="E49" i="80"/>
  <c r="B145" i="78"/>
  <c r="D144" i="78"/>
  <c r="B139" i="78"/>
  <c r="B150" i="68"/>
  <c r="E149" i="68"/>
  <c r="B145" i="68"/>
  <c r="C134" i="68"/>
  <c r="E137" i="85"/>
  <c r="D138" i="82"/>
  <c r="F39" i="81"/>
  <c r="C33" i="81"/>
  <c r="C152" i="82"/>
  <c r="E151" i="82"/>
  <c r="B148" i="82"/>
  <c r="C144" i="82"/>
  <c r="E143" i="82"/>
  <c r="C138" i="82"/>
  <c r="E137" i="82"/>
  <c r="D134" i="82"/>
  <c r="C129" i="82"/>
  <c r="E128" i="82"/>
  <c r="C153" i="83"/>
  <c r="E152" i="83"/>
  <c r="C147" i="83"/>
  <c r="E146" i="83"/>
  <c r="E143" i="83"/>
  <c r="C139" i="83"/>
  <c r="E138" i="83"/>
  <c r="D133" i="83"/>
  <c r="E130" i="83"/>
  <c r="E44" i="81"/>
  <c r="E38" i="81"/>
  <c r="C154" i="85"/>
  <c r="F153" i="85"/>
  <c r="C149" i="85"/>
  <c r="D146" i="85"/>
  <c r="F145" i="85"/>
  <c r="B141" i="85"/>
  <c r="D140" i="85"/>
  <c r="F139" i="85"/>
  <c r="C136" i="85"/>
  <c r="F135" i="85"/>
  <c r="B132" i="85"/>
  <c r="E131" i="85"/>
  <c r="C127" i="85"/>
  <c r="F126" i="85"/>
  <c r="C48" i="80"/>
  <c r="C145" i="79"/>
  <c r="C39" i="80"/>
  <c r="F154" i="78"/>
  <c r="E143" i="78"/>
  <c r="C138" i="68"/>
  <c r="C21" i="81"/>
  <c r="E128" i="85"/>
  <c r="B141" i="78"/>
  <c r="D140" i="78"/>
  <c r="D34" i="80"/>
  <c r="D46" i="81"/>
  <c r="B39" i="81"/>
  <c r="F37" i="81"/>
  <c r="B33" i="81"/>
  <c r="F25" i="81"/>
  <c r="E23" i="81"/>
  <c r="B20" i="81"/>
  <c r="B152" i="82"/>
  <c r="F150" i="82"/>
  <c r="F147" i="82"/>
  <c r="B144" i="82"/>
  <c r="D143" i="82"/>
  <c r="F142" i="82"/>
  <c r="B138" i="82"/>
  <c r="D137" i="82"/>
  <c r="F133" i="82"/>
  <c r="B129" i="82"/>
  <c r="D128" i="82"/>
  <c r="F127" i="82"/>
  <c r="B153" i="83"/>
  <c r="D152" i="83"/>
  <c r="F151" i="83"/>
  <c r="B147" i="83"/>
  <c r="D146" i="83"/>
  <c r="D143" i="83"/>
  <c r="B139" i="83"/>
  <c r="D138" i="83"/>
  <c r="F137" i="83"/>
  <c r="C133" i="83"/>
  <c r="D130" i="83"/>
  <c r="F129" i="83"/>
  <c r="F43" i="81"/>
  <c r="B154" i="85"/>
  <c r="E153" i="85"/>
  <c r="B149" i="85"/>
  <c r="F148" i="85"/>
  <c r="C146" i="85"/>
  <c r="E145" i="85"/>
  <c r="C140" i="85"/>
  <c r="E139" i="85"/>
  <c r="B136" i="85"/>
  <c r="E135" i="85"/>
  <c r="D131" i="85"/>
  <c r="F130" i="85"/>
  <c r="B127" i="85"/>
  <c r="E126" i="85"/>
  <c r="B140" i="79"/>
  <c r="D139" i="79"/>
  <c r="C127" i="78"/>
  <c r="E126" i="78"/>
  <c r="E148" i="68"/>
  <c r="B144" i="68"/>
  <c r="D38" i="81"/>
  <c r="D26" i="81"/>
  <c r="E142" i="85"/>
  <c r="B129" i="85"/>
  <c r="D25" i="81"/>
  <c r="C151" i="82"/>
  <c r="E150" i="82"/>
  <c r="E147" i="82"/>
  <c r="C143" i="82"/>
  <c r="E142" i="82"/>
  <c r="C137" i="82"/>
  <c r="F136" i="82"/>
  <c r="B134" i="82"/>
  <c r="E133" i="82"/>
  <c r="C128" i="82"/>
  <c r="E127" i="82"/>
  <c r="C152" i="83"/>
  <c r="E151" i="83"/>
  <c r="C146" i="83"/>
  <c r="F145" i="83"/>
  <c r="C143" i="83"/>
  <c r="C138" i="83"/>
  <c r="E137" i="83"/>
  <c r="B133" i="83"/>
  <c r="F132" i="83"/>
  <c r="C24" i="81"/>
  <c r="C130" i="83"/>
  <c r="E129" i="83"/>
  <c r="C44" i="81"/>
  <c r="E43" i="81"/>
  <c r="D153" i="85"/>
  <c r="F152" i="85"/>
  <c r="E148" i="85"/>
  <c r="B146" i="85"/>
  <c r="D145" i="85"/>
  <c r="B140" i="85"/>
  <c r="D139" i="85"/>
  <c r="D126" i="85"/>
  <c r="B31" i="80"/>
  <c r="C150" i="79"/>
  <c r="C128" i="79"/>
  <c r="C143" i="68"/>
  <c r="C37" i="80"/>
  <c r="E142" i="68"/>
  <c r="E28" i="80"/>
  <c r="B132" i="82"/>
  <c r="B44" i="81"/>
  <c r="C37" i="81"/>
  <c r="D34" i="81"/>
  <c r="F31" i="81"/>
  <c r="B151" i="82"/>
  <c r="D150" i="82"/>
  <c r="D147" i="82"/>
  <c r="D142" i="82"/>
  <c r="F141" i="82"/>
  <c r="B137" i="82"/>
  <c r="E136" i="82"/>
  <c r="D133" i="82"/>
  <c r="F132" i="82"/>
  <c r="B128" i="82"/>
  <c r="D127" i="82"/>
  <c r="F126" i="82"/>
  <c r="B152" i="83"/>
  <c r="D151" i="83"/>
  <c r="F150" i="83"/>
  <c r="B146" i="83"/>
  <c r="E145" i="83"/>
  <c r="B143" i="83"/>
  <c r="F142" i="83"/>
  <c r="B138" i="83"/>
  <c r="D137" i="83"/>
  <c r="F136" i="83"/>
  <c r="E132" i="83"/>
  <c r="B130" i="83"/>
  <c r="D129" i="83"/>
  <c r="F128" i="83"/>
  <c r="F136" i="84"/>
  <c r="C153" i="85"/>
  <c r="E152" i="85"/>
  <c r="D148" i="85"/>
  <c r="C145" i="85"/>
  <c r="E144" i="85"/>
  <c r="C139" i="85"/>
  <c r="F138" i="85"/>
  <c r="C135" i="85"/>
  <c r="E134" i="85"/>
  <c r="B131" i="85"/>
  <c r="D130" i="85"/>
  <c r="F129" i="85"/>
  <c r="C44" i="80"/>
  <c r="D149" i="79"/>
  <c r="B144" i="79"/>
  <c r="B149" i="78"/>
  <c r="C137" i="78"/>
  <c r="C31" i="80"/>
  <c r="F136" i="78"/>
  <c r="F30" i="80"/>
  <c r="C126" i="78"/>
  <c r="F131" i="68"/>
  <c r="B127" i="68"/>
  <c r="B153" i="79"/>
  <c r="F152" i="79"/>
  <c r="C149" i="79"/>
  <c r="F148" i="79"/>
  <c r="B145" i="79"/>
  <c r="D144" i="79"/>
  <c r="E140" i="79"/>
  <c r="C136" i="79"/>
  <c r="F135" i="79"/>
  <c r="B132" i="79"/>
  <c r="E131" i="79"/>
  <c r="C127" i="79"/>
  <c r="F126" i="79"/>
  <c r="E154" i="78"/>
  <c r="B150" i="78"/>
  <c r="E149" i="78"/>
  <c r="D145" i="78"/>
  <c r="F144" i="78"/>
  <c r="C140" i="78"/>
  <c r="E139" i="78"/>
  <c r="C136" i="78"/>
  <c r="F29" i="80"/>
  <c r="F135" i="78"/>
  <c r="B131" i="78"/>
  <c r="F24" i="80"/>
  <c r="F130" i="78"/>
  <c r="B126" i="78"/>
  <c r="B153" i="68"/>
  <c r="D152" i="68"/>
  <c r="B149" i="68"/>
  <c r="D148" i="68"/>
  <c r="D144" i="68"/>
  <c r="F143" i="68"/>
  <c r="B139" i="68"/>
  <c r="F138" i="68"/>
  <c r="C135" i="68"/>
  <c r="F134" i="68"/>
  <c r="C131" i="68"/>
  <c r="E130" i="68"/>
  <c r="B126" i="68"/>
  <c r="B22" i="80"/>
  <c r="E152" i="79"/>
  <c r="B149" i="79"/>
  <c r="E148" i="79"/>
  <c r="C144" i="79"/>
  <c r="F143" i="79"/>
  <c r="D140" i="79"/>
  <c r="F139" i="79"/>
  <c r="B136" i="79"/>
  <c r="E135" i="79"/>
  <c r="D131" i="79"/>
  <c r="F130" i="79"/>
  <c r="B127" i="79"/>
  <c r="E126" i="79"/>
  <c r="D154" i="78"/>
  <c r="D149" i="78"/>
  <c r="F148" i="78"/>
  <c r="C145" i="78"/>
  <c r="E144" i="78"/>
  <c r="B140" i="78"/>
  <c r="D139" i="78"/>
  <c r="B136" i="78"/>
  <c r="E135" i="78"/>
  <c r="E130" i="78"/>
  <c r="C152" i="68"/>
  <c r="F151" i="68"/>
  <c r="C148" i="68"/>
  <c r="F147" i="68"/>
  <c r="C144" i="68"/>
  <c r="E143" i="68"/>
  <c r="E138" i="68"/>
  <c r="B135" i="68"/>
  <c r="E134" i="68"/>
  <c r="B131" i="68"/>
  <c r="D130" i="68"/>
  <c r="F129" i="68"/>
  <c r="C32" i="80"/>
  <c r="B152" i="79"/>
  <c r="E151" i="79"/>
  <c r="B148" i="79"/>
  <c r="E147" i="79"/>
  <c r="C143" i="79"/>
  <c r="F142" i="79"/>
  <c r="C139" i="79"/>
  <c r="F138" i="79"/>
  <c r="B135" i="79"/>
  <c r="E134" i="79"/>
  <c r="F129" i="79"/>
  <c r="B126" i="79"/>
  <c r="D153" i="78"/>
  <c r="F152" i="78"/>
  <c r="C148" i="78"/>
  <c r="F147" i="78"/>
  <c r="B144" i="78"/>
  <c r="D143" i="78"/>
  <c r="F142" i="78"/>
  <c r="E138" i="78"/>
  <c r="B135" i="78"/>
  <c r="D134" i="78"/>
  <c r="F133" i="78"/>
  <c r="B130" i="78"/>
  <c r="D129" i="78"/>
  <c r="F128" i="78"/>
  <c r="C151" i="68"/>
  <c r="C147" i="68"/>
  <c r="F146" i="68"/>
  <c r="B143" i="68"/>
  <c r="D142" i="68"/>
  <c r="F141" i="68"/>
  <c r="B138" i="68"/>
  <c r="F137" i="68"/>
  <c r="B134" i="68"/>
  <c r="E133" i="68"/>
  <c r="C129" i="68"/>
  <c r="E128" i="68"/>
  <c r="B44" i="80"/>
  <c r="D43" i="80"/>
  <c r="D37" i="80"/>
  <c r="D151" i="79"/>
  <c r="D147" i="79"/>
  <c r="F146" i="79"/>
  <c r="B143" i="79"/>
  <c r="E142" i="79"/>
  <c r="B139" i="79"/>
  <c r="E138" i="79"/>
  <c r="D134" i="79"/>
  <c r="F133" i="79"/>
  <c r="B130" i="79"/>
  <c r="E129" i="79"/>
  <c r="C153" i="78"/>
  <c r="E152" i="78"/>
  <c r="B148" i="78"/>
  <c r="E147" i="78"/>
  <c r="C143" i="78"/>
  <c r="E142" i="78"/>
  <c r="D138" i="78"/>
  <c r="C134" i="78"/>
  <c r="E133" i="78"/>
  <c r="C129" i="78"/>
  <c r="B151" i="68"/>
  <c r="F150" i="68"/>
  <c r="B147" i="68"/>
  <c r="E146" i="68"/>
  <c r="C142" i="68"/>
  <c r="E141" i="68"/>
  <c r="E137" i="68"/>
  <c r="D133" i="68"/>
  <c r="B129" i="68"/>
  <c r="D128" i="68"/>
  <c r="F127" i="68"/>
  <c r="C49" i="80"/>
  <c r="E48" i="80"/>
  <c r="E42" i="80"/>
  <c r="F154" i="79"/>
  <c r="C151" i="79"/>
  <c r="F150" i="79"/>
  <c r="C147" i="79"/>
  <c r="E146" i="79"/>
  <c r="D142" i="79"/>
  <c r="D138" i="79"/>
  <c r="C28" i="80"/>
  <c r="C134" i="79"/>
  <c r="E133" i="79"/>
  <c r="D129" i="79"/>
  <c r="F128" i="79"/>
  <c r="B153" i="78"/>
  <c r="D152" i="78"/>
  <c r="F151" i="78"/>
  <c r="D147" i="78"/>
  <c r="B143" i="78"/>
  <c r="D142" i="78"/>
  <c r="C138" i="78"/>
  <c r="F137" i="78"/>
  <c r="B134" i="78"/>
  <c r="D133" i="78"/>
  <c r="F132" i="78"/>
  <c r="B129" i="78"/>
  <c r="D128" i="78"/>
  <c r="F127" i="78"/>
  <c r="F154" i="68"/>
  <c r="E150" i="68"/>
  <c r="D146" i="68"/>
  <c r="B142" i="68"/>
  <c r="D141" i="68"/>
  <c r="F140" i="68"/>
  <c r="D137" i="68"/>
  <c r="F136" i="68"/>
  <c r="C133" i="68"/>
  <c r="F132" i="68"/>
  <c r="C128" i="68"/>
  <c r="E127" i="68"/>
  <c r="D48" i="80"/>
  <c r="F47" i="80"/>
  <c r="E154" i="79"/>
  <c r="B151" i="79"/>
  <c r="E150" i="79"/>
  <c r="B147" i="79"/>
  <c r="D146" i="79"/>
  <c r="C142" i="79"/>
  <c r="F141" i="79"/>
  <c r="C138" i="79"/>
  <c r="F137" i="79"/>
  <c r="B134" i="79"/>
  <c r="D133" i="79"/>
  <c r="C129" i="79"/>
  <c r="E128" i="79"/>
  <c r="C152" i="78"/>
  <c r="E151" i="78"/>
  <c r="C147" i="78"/>
  <c r="F146" i="78"/>
  <c r="C142" i="78"/>
  <c r="F141" i="78"/>
  <c r="B138" i="78"/>
  <c r="E137" i="78"/>
  <c r="C133" i="78"/>
  <c r="E132" i="78"/>
  <c r="C22" i="80"/>
  <c r="C128" i="78"/>
  <c r="E127" i="78"/>
  <c r="E154" i="68"/>
  <c r="D150" i="68"/>
  <c r="C146" i="68"/>
  <c r="F145" i="68"/>
  <c r="C141" i="68"/>
  <c r="E140" i="68"/>
  <c r="C137" i="68"/>
  <c r="E136" i="68"/>
  <c r="B133" i="68"/>
  <c r="E132" i="68"/>
  <c r="B128" i="68"/>
  <c r="D127" i="68"/>
  <c r="D154" i="79"/>
  <c r="F153" i="79"/>
  <c r="D150" i="79"/>
  <c r="C40" i="80"/>
  <c r="C146" i="79"/>
  <c r="F145" i="79"/>
  <c r="B142" i="79"/>
  <c r="E141" i="79"/>
  <c r="B138" i="79"/>
  <c r="E137" i="79"/>
  <c r="C133" i="79"/>
  <c r="F132" i="79"/>
  <c r="B129" i="79"/>
  <c r="D128" i="79"/>
  <c r="B152" i="78"/>
  <c r="D151" i="78"/>
  <c r="F150" i="78"/>
  <c r="B147" i="78"/>
  <c r="E40" i="80"/>
  <c r="E146" i="78"/>
  <c r="B142" i="78"/>
  <c r="E141" i="78"/>
  <c r="D137" i="78"/>
  <c r="B133" i="78"/>
  <c r="D132" i="78"/>
  <c r="F131" i="78"/>
  <c r="B128" i="78"/>
  <c r="D127" i="78"/>
  <c r="F126" i="78"/>
  <c r="D154" i="68"/>
  <c r="F153" i="68"/>
  <c r="C150" i="68"/>
  <c r="F149" i="68"/>
  <c r="B146" i="68"/>
  <c r="E145" i="68"/>
  <c r="B141" i="68"/>
  <c r="D140" i="68"/>
  <c r="F139" i="68"/>
  <c r="B137" i="68"/>
  <c r="D136" i="68"/>
  <c r="D132" i="68"/>
  <c r="C127" i="68"/>
  <c r="F126" i="68"/>
  <c r="B154" i="79"/>
  <c r="D153" i="79"/>
  <c r="B150" i="79"/>
  <c r="E149" i="79"/>
  <c r="D145" i="79"/>
  <c r="F144" i="79"/>
  <c r="C141" i="79"/>
  <c r="C137" i="79"/>
  <c r="E136" i="79"/>
  <c r="D132" i="79"/>
  <c r="B128" i="79"/>
  <c r="E127" i="79"/>
  <c r="B151" i="78"/>
  <c r="D150" i="78"/>
  <c r="C146" i="78"/>
  <c r="F145" i="78"/>
  <c r="C141" i="78"/>
  <c r="E140" i="78"/>
  <c r="B137" i="78"/>
  <c r="E136" i="78"/>
  <c r="B132" i="78"/>
  <c r="D131" i="78"/>
  <c r="B127" i="78"/>
  <c r="D126" i="78"/>
  <c r="B154" i="68"/>
  <c r="D153" i="68"/>
  <c r="F152" i="68"/>
  <c r="D149" i="68"/>
  <c r="F148" i="68"/>
  <c r="C145" i="68"/>
  <c r="F144" i="68"/>
  <c r="B140" i="68"/>
  <c r="D139" i="68"/>
  <c r="B136" i="68"/>
  <c r="E135" i="68"/>
  <c r="B132" i="68"/>
  <c r="E131" i="68"/>
  <c r="D126" i="68"/>
  <c r="F20" i="80"/>
  <c r="G104" i="59"/>
  <c r="H13" i="86" s="1"/>
  <c r="H105" i="58"/>
  <c r="G104" i="43"/>
  <c r="I105" i="67"/>
  <c r="B105" i="59"/>
  <c r="G104" i="61"/>
  <c r="H10" i="86" s="1"/>
  <c r="G104" i="60"/>
  <c r="H16" i="86" s="1"/>
  <c r="G104" i="58"/>
  <c r="G104" i="64"/>
  <c r="I105" i="43"/>
  <c r="G104" i="63"/>
  <c r="H7" i="86" s="1"/>
  <c r="G104" i="67"/>
  <c r="H9" i="86" s="1"/>
  <c r="B105" i="67"/>
  <c r="B105" i="58"/>
  <c r="H105" i="65"/>
  <c r="I105" i="64"/>
  <c r="G104" i="65"/>
  <c r="H15" i="86" s="1"/>
  <c r="G104" i="62"/>
  <c r="H21" i="86" s="1"/>
  <c r="I105" i="65"/>
  <c r="G104" i="66"/>
  <c r="H12" i="86" s="1"/>
  <c r="H105" i="66"/>
  <c r="G105" i="60"/>
  <c r="B105" i="61"/>
  <c r="F31" i="80"/>
  <c r="D148" i="77"/>
  <c r="F147" i="77"/>
  <c r="C132" i="77"/>
  <c r="D133" i="84"/>
  <c r="C22" i="81"/>
  <c r="C28" i="81"/>
  <c r="C139" i="84"/>
  <c r="E138" i="84"/>
  <c r="C148" i="77"/>
  <c r="F48" i="80"/>
  <c r="F132" i="84"/>
  <c r="C51" i="81"/>
  <c r="E50" i="81"/>
  <c r="C144" i="84"/>
  <c r="D127" i="84"/>
  <c r="D153" i="77"/>
  <c r="F152" i="77"/>
  <c r="B35" i="81"/>
  <c r="D143" i="84"/>
  <c r="F142" i="84"/>
  <c r="C132" i="84"/>
  <c r="D20" i="80"/>
  <c r="F135" i="77"/>
  <c r="E22" i="81"/>
  <c r="E154" i="84"/>
  <c r="D137" i="84"/>
  <c r="D21" i="80"/>
  <c r="D154" i="84"/>
  <c r="F153" i="84"/>
  <c r="C131" i="84"/>
  <c r="F37" i="80"/>
  <c r="B33" i="80"/>
  <c r="E151" i="77"/>
  <c r="D135" i="77"/>
  <c r="F134" i="77"/>
  <c r="F138" i="84"/>
  <c r="E147" i="84"/>
  <c r="E37" i="80"/>
  <c r="D27" i="81"/>
  <c r="D147" i="84"/>
  <c r="F146" i="84"/>
  <c r="E141" i="84"/>
  <c r="E128" i="77"/>
  <c r="C147" i="84"/>
  <c r="E146" i="84"/>
  <c r="D141" i="84"/>
  <c r="F140" i="84"/>
  <c r="E139" i="77"/>
  <c r="F148" i="84"/>
  <c r="E140" i="84"/>
  <c r="D42" i="80"/>
  <c r="F36" i="80"/>
  <c r="C33" i="80"/>
  <c r="E32" i="80"/>
  <c r="F132" i="77"/>
  <c r="E151" i="84"/>
  <c r="E45" i="81"/>
  <c r="F34" i="81"/>
  <c r="F26" i="81"/>
  <c r="D151" i="84"/>
  <c r="E51" i="80"/>
  <c r="C153" i="77"/>
  <c r="F32" i="81"/>
  <c r="F154" i="84"/>
  <c r="C146" i="84"/>
  <c r="E145" i="84"/>
  <c r="F50" i="80"/>
  <c r="D146" i="77"/>
  <c r="D40" i="80"/>
  <c r="C149" i="84"/>
  <c r="C138" i="84"/>
  <c r="E137" i="84"/>
  <c r="B133" i="84"/>
  <c r="B27" i="81"/>
  <c r="D132" i="84"/>
  <c r="F131" i="84"/>
  <c r="B128" i="84"/>
  <c r="E127" i="84"/>
  <c r="F51" i="80"/>
  <c r="F131" i="77"/>
  <c r="F25" i="80"/>
  <c r="C127" i="77"/>
  <c r="C129" i="77"/>
  <c r="C23" i="80"/>
  <c r="C49" i="81"/>
  <c r="C154" i="84"/>
  <c r="B134" i="84"/>
  <c r="B49" i="81"/>
  <c r="D48" i="81"/>
  <c r="D133" i="77"/>
  <c r="D27" i="80"/>
  <c r="C48" i="81"/>
  <c r="B139" i="84"/>
  <c r="B128" i="77"/>
  <c r="D152" i="84"/>
  <c r="B138" i="84"/>
  <c r="E131" i="84"/>
  <c r="B144" i="77"/>
  <c r="C138" i="77"/>
  <c r="E137" i="77"/>
  <c r="E31" i="80"/>
  <c r="E131" i="77"/>
  <c r="E25" i="80"/>
  <c r="E48" i="81"/>
  <c r="F47" i="81"/>
  <c r="E133" i="84"/>
  <c r="E27" i="81"/>
  <c r="C151" i="84"/>
  <c r="B51" i="81"/>
  <c r="E31" i="81"/>
  <c r="C152" i="84"/>
  <c r="C148" i="84"/>
  <c r="C36" i="81"/>
  <c r="C142" i="84"/>
  <c r="F141" i="84"/>
  <c r="F35" i="81"/>
  <c r="C127" i="84"/>
  <c r="E153" i="77"/>
  <c r="E47" i="80"/>
  <c r="E147" i="77"/>
  <c r="E41" i="80"/>
  <c r="B28" i="81"/>
  <c r="B152" i="84"/>
  <c r="F45" i="81"/>
  <c r="F151" i="84"/>
  <c r="B148" i="84"/>
  <c r="B142" i="84"/>
  <c r="B137" i="84"/>
  <c r="D136" i="84"/>
  <c r="D30" i="81"/>
  <c r="F135" i="84"/>
  <c r="E130" i="84"/>
  <c r="B154" i="77"/>
  <c r="B48" i="80"/>
  <c r="D36" i="80"/>
  <c r="D142" i="77"/>
  <c r="E152" i="84"/>
  <c r="B150" i="84"/>
  <c r="D149" i="84"/>
  <c r="B144" i="84"/>
  <c r="F133" i="84"/>
  <c r="B129" i="84"/>
  <c r="F22" i="81"/>
  <c r="F128" i="84"/>
  <c r="E154" i="77"/>
  <c r="B140" i="77"/>
  <c r="B34" i="80"/>
  <c r="C135" i="77"/>
  <c r="C29" i="80"/>
  <c r="E134" i="77"/>
  <c r="D142" i="84"/>
  <c r="D154" i="77"/>
  <c r="C149" i="77"/>
  <c r="C43" i="80"/>
  <c r="E148" i="77"/>
  <c r="B145" i="77"/>
  <c r="B39" i="80"/>
  <c r="D144" i="77"/>
  <c r="D139" i="77"/>
  <c r="B135" i="77"/>
  <c r="B29" i="80"/>
  <c r="C21" i="80"/>
  <c r="B149" i="77"/>
  <c r="C38" i="81"/>
  <c r="F29" i="81"/>
  <c r="B154" i="84"/>
  <c r="E153" i="84"/>
  <c r="B151" i="84"/>
  <c r="F150" i="84"/>
  <c r="B146" i="84"/>
  <c r="D145" i="84"/>
  <c r="F144" i="84"/>
  <c r="C136" i="84"/>
  <c r="E29" i="81"/>
  <c r="E135" i="84"/>
  <c r="B131" i="84"/>
  <c r="D130" i="84"/>
  <c r="F129" i="84"/>
  <c r="D126" i="84"/>
  <c r="B43" i="80"/>
  <c r="E33" i="80"/>
  <c r="B152" i="77"/>
  <c r="B46" i="80"/>
  <c r="D141" i="77"/>
  <c r="F140" i="77"/>
  <c r="B137" i="77"/>
  <c r="D136" i="77"/>
  <c r="D30" i="80"/>
  <c r="B132" i="77"/>
  <c r="B26" i="80"/>
  <c r="B130" i="84"/>
  <c r="E46" i="81"/>
  <c r="B38" i="81"/>
  <c r="D153" i="84"/>
  <c r="E150" i="84"/>
  <c r="C140" i="84"/>
  <c r="B136" i="84"/>
  <c r="D135" i="84"/>
  <c r="F134" i="84"/>
  <c r="C130" i="84"/>
  <c r="C126" i="84"/>
  <c r="D38" i="80"/>
  <c r="D33" i="80"/>
  <c r="C141" i="77"/>
  <c r="E140" i="77"/>
  <c r="C136" i="77"/>
  <c r="C131" i="77"/>
  <c r="F130" i="77"/>
  <c r="C126" i="77"/>
  <c r="C153" i="84"/>
  <c r="D150" i="84"/>
  <c r="F149" i="84"/>
  <c r="B145" i="84"/>
  <c r="D144" i="84"/>
  <c r="F143" i="84"/>
  <c r="B140" i="84"/>
  <c r="B126" i="84"/>
  <c r="F41" i="80"/>
  <c r="C38" i="80"/>
  <c r="B50" i="80"/>
  <c r="B151" i="77"/>
  <c r="D150" i="77"/>
  <c r="F149" i="77"/>
  <c r="F43" i="80"/>
  <c r="E145" i="77"/>
  <c r="B131" i="77"/>
  <c r="E130" i="77"/>
  <c r="B126" i="77"/>
  <c r="B153" i="84"/>
  <c r="F152" i="84"/>
  <c r="C150" i="84"/>
  <c r="E149" i="84"/>
  <c r="E143" i="84"/>
  <c r="F139" i="84"/>
  <c r="C129" i="84"/>
  <c r="C150" i="77"/>
  <c r="E149" i="77"/>
  <c r="D145" i="77"/>
  <c r="F144" i="77"/>
  <c r="C140" i="77"/>
  <c r="C34" i="80"/>
  <c r="F139" i="77"/>
  <c r="F33" i="80"/>
  <c r="D130" i="77"/>
  <c r="C145" i="84"/>
  <c r="E144" i="84"/>
  <c r="D140" i="84"/>
  <c r="C137" i="84"/>
  <c r="E136" i="84"/>
  <c r="B132" i="84"/>
  <c r="D131" i="84"/>
  <c r="F130" i="84"/>
  <c r="F127" i="84"/>
  <c r="D47" i="80"/>
  <c r="B45" i="80"/>
  <c r="D44" i="80"/>
  <c r="F38" i="80"/>
  <c r="C154" i="77"/>
  <c r="F153" i="77"/>
  <c r="B150" i="77"/>
  <c r="D149" i="77"/>
  <c r="F148" i="77"/>
  <c r="C145" i="77"/>
  <c r="E144" i="77"/>
  <c r="B141" i="77"/>
  <c r="D140" i="77"/>
  <c r="B136" i="77"/>
  <c r="E29" i="80"/>
  <c r="E135" i="77"/>
  <c r="D131" i="77"/>
  <c r="B127" i="77"/>
  <c r="E148" i="84"/>
  <c r="C143" i="84"/>
  <c r="E142" i="84"/>
  <c r="E139" i="84"/>
  <c r="C135" i="84"/>
  <c r="E134" i="84"/>
  <c r="E129" i="84"/>
  <c r="B127" i="84"/>
  <c r="F126" i="84"/>
  <c r="C25" i="80"/>
  <c r="E24" i="80"/>
  <c r="E45" i="80"/>
  <c r="B153" i="77"/>
  <c r="E152" i="77"/>
  <c r="B148" i="77"/>
  <c r="D147" i="77"/>
  <c r="D143" i="77"/>
  <c r="C139" i="77"/>
  <c r="F138" i="77"/>
  <c r="D134" i="77"/>
  <c r="C130" i="77"/>
  <c r="F129" i="77"/>
  <c r="D148" i="84"/>
  <c r="F147" i="84"/>
  <c r="B143" i="84"/>
  <c r="D139" i="84"/>
  <c r="B135" i="84"/>
  <c r="D134" i="84"/>
  <c r="D129" i="84"/>
  <c r="E126" i="84"/>
  <c r="E24" i="81"/>
  <c r="D24" i="80"/>
  <c r="D152" i="77"/>
  <c r="C147" i="77"/>
  <c r="F146" i="77"/>
  <c r="C143" i="77"/>
  <c r="F142" i="77"/>
  <c r="B139" i="77"/>
  <c r="E138" i="77"/>
  <c r="C134" i="77"/>
  <c r="F133" i="77"/>
  <c r="B130" i="77"/>
  <c r="E129" i="77"/>
  <c r="C42" i="80"/>
  <c r="C152" i="77"/>
  <c r="F151" i="77"/>
  <c r="B147" i="77"/>
  <c r="E146" i="77"/>
  <c r="B143" i="77"/>
  <c r="E142" i="77"/>
  <c r="D138" i="77"/>
  <c r="F137" i="77"/>
  <c r="B134" i="77"/>
  <c r="E133" i="77"/>
  <c r="D129" i="77"/>
  <c r="F22" i="80"/>
  <c r="F128" i="77"/>
  <c r="D35" i="80"/>
  <c r="D151" i="77"/>
  <c r="F150" i="77"/>
  <c r="C146" i="77"/>
  <c r="C142" i="77"/>
  <c r="F141" i="77"/>
  <c r="B138" i="77"/>
  <c r="D137" i="77"/>
  <c r="F136" i="77"/>
  <c r="C133" i="77"/>
  <c r="E132" i="77"/>
  <c r="B129" i="77"/>
  <c r="D128" i="77"/>
  <c r="F127" i="77"/>
  <c r="B147" i="84"/>
  <c r="D146" i="84"/>
  <c r="F145" i="84"/>
  <c r="C141" i="84"/>
  <c r="D138" i="84"/>
  <c r="F137" i="84"/>
  <c r="C133" i="84"/>
  <c r="E132" i="84"/>
  <c r="D128" i="84"/>
  <c r="C27" i="80"/>
  <c r="B149" i="84"/>
  <c r="F154" i="77"/>
  <c r="C151" i="77"/>
  <c r="E150" i="77"/>
  <c r="B146" i="77"/>
  <c r="F145" i="77"/>
  <c r="B142" i="77"/>
  <c r="E141" i="77"/>
  <c r="C137" i="77"/>
  <c r="E136" i="77"/>
  <c r="B133" i="77"/>
  <c r="D132" i="77"/>
  <c r="C128" i="77"/>
  <c r="E127" i="77"/>
  <c r="F126" i="77"/>
  <c r="E126" i="77"/>
  <c r="D126" i="77"/>
  <c r="D21" i="81"/>
  <c r="B23" i="81"/>
  <c r="B35" i="80"/>
  <c r="B45" i="81"/>
  <c r="B31" i="81"/>
  <c r="C23" i="81"/>
  <c r="C26" i="81"/>
  <c r="E25" i="81"/>
  <c r="B22" i="81"/>
  <c r="B30" i="81"/>
  <c r="F30" i="81"/>
  <c r="B21" i="81"/>
  <c r="D20" i="81"/>
  <c r="D28" i="81"/>
  <c r="E49" i="81"/>
  <c r="B46" i="81"/>
  <c r="D44" i="81"/>
  <c r="E37" i="81"/>
  <c r="B34" i="81"/>
  <c r="C26" i="80"/>
  <c r="B28" i="80"/>
  <c r="F42" i="80"/>
  <c r="E20" i="80"/>
  <c r="D51" i="80"/>
  <c r="B40" i="80"/>
  <c r="C30" i="80"/>
  <c r="F21" i="80"/>
  <c r="B47" i="80"/>
  <c r="B23" i="80"/>
  <c r="B20" i="80"/>
  <c r="F46" i="80"/>
  <c r="B38" i="80"/>
  <c r="D32" i="80"/>
  <c r="B49" i="80"/>
  <c r="B37" i="80"/>
  <c r="B25" i="80"/>
  <c r="C47" i="80"/>
  <c r="C35" i="80"/>
  <c r="B30" i="80"/>
  <c r="D28" i="80"/>
  <c r="C103" i="80"/>
  <c r="F103" i="80"/>
  <c r="E103" i="80"/>
  <c r="F103" i="81"/>
  <c r="D103" i="80"/>
  <c r="E103" i="81"/>
  <c r="D103" i="81"/>
  <c r="C103" i="81"/>
  <c r="B103" i="81"/>
  <c r="B103" i="80"/>
  <c r="N32" i="68" l="1"/>
  <c r="N163" i="65"/>
  <c r="N205" i="61"/>
  <c r="N49" i="68"/>
  <c r="N28" i="68"/>
  <c r="N167" i="63"/>
  <c r="N160" i="62"/>
  <c r="N159" i="65"/>
  <c r="M105" i="58"/>
  <c r="N45" i="68"/>
  <c r="N41" i="68"/>
  <c r="N24" i="68"/>
  <c r="N198" i="65"/>
  <c r="N188" i="62"/>
  <c r="N144" i="62"/>
  <c r="N139" i="62"/>
  <c r="N48" i="68"/>
  <c r="N135" i="65"/>
  <c r="N135" i="62"/>
  <c r="N127" i="62"/>
  <c r="N161" i="61"/>
  <c r="N204" i="61"/>
  <c r="N182" i="61"/>
  <c r="N171" i="61"/>
  <c r="N141" i="61"/>
  <c r="N191" i="64"/>
  <c r="H22" i="86"/>
  <c r="H18" i="86"/>
  <c r="N199" i="64"/>
  <c r="N156" i="64"/>
  <c r="H19" i="86"/>
  <c r="N197" i="61"/>
  <c r="N162" i="61"/>
  <c r="N199" i="43"/>
  <c r="N119" i="62"/>
  <c r="N144" i="58"/>
  <c r="N182" i="58"/>
  <c r="N186" i="64"/>
  <c r="N36" i="68"/>
  <c r="N187" i="65"/>
  <c r="N193" i="59"/>
  <c r="M105" i="66"/>
  <c r="N149" i="61"/>
  <c r="N116" i="61"/>
  <c r="O131" i="85"/>
  <c r="N180" i="61"/>
  <c r="N128" i="62"/>
  <c r="N185" i="61"/>
  <c r="N198" i="59"/>
  <c r="N159" i="62"/>
  <c r="N169" i="59"/>
  <c r="N124" i="67"/>
  <c r="N143" i="62"/>
  <c r="N176" i="58"/>
  <c r="N160" i="58"/>
  <c r="N128" i="58"/>
  <c r="O139" i="79"/>
  <c r="N181" i="59"/>
  <c r="N187" i="60"/>
  <c r="N136" i="62"/>
  <c r="N40" i="68"/>
  <c r="N29" i="68"/>
  <c r="N25" i="68"/>
  <c r="N44" i="68"/>
  <c r="N47" i="68"/>
  <c r="N132" i="67"/>
  <c r="N20" i="68"/>
  <c r="N121" i="63"/>
  <c r="N178" i="61"/>
  <c r="N166" i="59"/>
  <c r="N156" i="61"/>
  <c r="N159" i="61"/>
  <c r="N31" i="68"/>
  <c r="N131" i="62"/>
  <c r="N170" i="59"/>
  <c r="N139" i="63"/>
  <c r="N136" i="61"/>
  <c r="N146" i="58"/>
  <c r="N183" i="65"/>
  <c r="N185" i="63"/>
  <c r="N33" i="68"/>
  <c r="N39" i="68"/>
  <c r="N23" i="68"/>
  <c r="N103" i="68"/>
  <c r="N167" i="62"/>
  <c r="N196" i="61"/>
  <c r="N192" i="58"/>
  <c r="N150" i="61"/>
  <c r="N120" i="62"/>
  <c r="O49" i="80"/>
  <c r="N151" i="62"/>
  <c r="N144" i="61"/>
  <c r="N174" i="61"/>
  <c r="N174" i="59"/>
  <c r="N188" i="61"/>
  <c r="O129" i="82"/>
  <c r="N139" i="65"/>
  <c r="N154" i="61"/>
  <c r="N154" i="58"/>
  <c r="N136" i="58"/>
  <c r="N172" i="64"/>
  <c r="N140" i="64"/>
  <c r="O154" i="83"/>
  <c r="N177" i="63"/>
  <c r="N188" i="60"/>
  <c r="N146" i="59"/>
  <c r="O153" i="78"/>
  <c r="O39" i="80"/>
  <c r="O143" i="79"/>
  <c r="N202" i="59"/>
  <c r="N116" i="58"/>
  <c r="N140" i="58"/>
  <c r="N118" i="58"/>
  <c r="N22" i="68"/>
  <c r="N30" i="68"/>
  <c r="N38" i="68"/>
  <c r="N116" i="63"/>
  <c r="O45" i="81"/>
  <c r="O141" i="85"/>
  <c r="N155" i="61"/>
  <c r="O31" i="81"/>
  <c r="N46" i="68"/>
  <c r="O134" i="82"/>
  <c r="O148" i="82"/>
  <c r="O146" i="82"/>
  <c r="O144" i="82"/>
  <c r="O147" i="84"/>
  <c r="N157" i="60"/>
  <c r="N120" i="60"/>
  <c r="M105" i="60"/>
  <c r="O105" i="60" s="1"/>
  <c r="K100" i="37" s="1"/>
  <c r="N117" i="60"/>
  <c r="N147" i="43"/>
  <c r="O127" i="78"/>
  <c r="O137" i="78"/>
  <c r="O126" i="79"/>
  <c r="O143" i="85"/>
  <c r="N185" i="65"/>
  <c r="N130" i="65"/>
  <c r="N172" i="62"/>
  <c r="N131" i="61"/>
  <c r="N179" i="61"/>
  <c r="N178" i="59"/>
  <c r="N122" i="58"/>
  <c r="O48" i="80"/>
  <c r="O151" i="78"/>
  <c r="O151" i="82"/>
  <c r="O139" i="82"/>
  <c r="N163" i="62"/>
  <c r="N127" i="63"/>
  <c r="N155" i="62"/>
  <c r="N158" i="61"/>
  <c r="N136" i="60"/>
  <c r="N125" i="60"/>
  <c r="N150" i="59"/>
  <c r="N201" i="43"/>
  <c r="O46" i="81"/>
  <c r="O149" i="84"/>
  <c r="O139" i="77"/>
  <c r="N114" i="65"/>
  <c r="N139" i="61"/>
  <c r="N134" i="59"/>
  <c r="N190" i="59"/>
  <c r="N119" i="59"/>
  <c r="N156" i="58"/>
  <c r="M105" i="62"/>
  <c r="O127" i="85"/>
  <c r="O136" i="85"/>
  <c r="O154" i="85"/>
  <c r="O135" i="82"/>
  <c r="O150" i="85"/>
  <c r="O131" i="82"/>
  <c r="N131" i="63"/>
  <c r="N123" i="62"/>
  <c r="N140" i="62"/>
  <c r="N170" i="61"/>
  <c r="N186" i="59"/>
  <c r="N169" i="60"/>
  <c r="N201" i="59"/>
  <c r="N195" i="43"/>
  <c r="N159" i="43"/>
  <c r="N168" i="61"/>
  <c r="N121" i="61"/>
  <c r="N133" i="61"/>
  <c r="N167" i="61"/>
  <c r="N115" i="61"/>
  <c r="O148" i="83"/>
  <c r="O147" i="83"/>
  <c r="O134" i="83"/>
  <c r="N128" i="67"/>
  <c r="N50" i="68"/>
  <c r="N34" i="68"/>
  <c r="O129" i="68"/>
  <c r="O151" i="68"/>
  <c r="O149" i="85"/>
  <c r="O147" i="85"/>
  <c r="N159" i="63"/>
  <c r="O25" i="80"/>
  <c r="O38" i="81"/>
  <c r="O38" i="80"/>
  <c r="O51" i="81"/>
  <c r="O146" i="68"/>
  <c r="O149" i="83"/>
  <c r="O134" i="77"/>
  <c r="O143" i="77"/>
  <c r="O50" i="80"/>
  <c r="O136" i="68"/>
  <c r="O133" i="68"/>
  <c r="O148" i="77"/>
  <c r="O132" i="68"/>
  <c r="O140" i="68"/>
  <c r="O128" i="78"/>
  <c r="O142" i="79"/>
  <c r="O128" i="68"/>
  <c r="O143" i="78"/>
  <c r="O152" i="79"/>
  <c r="N128" i="61"/>
  <c r="O143" i="84"/>
  <c r="N51" i="68"/>
  <c r="N26" i="68"/>
  <c r="N42" i="68"/>
  <c r="N35" i="68"/>
  <c r="N21" i="68"/>
  <c r="N37" i="68"/>
  <c r="N168" i="65"/>
  <c r="N122" i="65"/>
  <c r="O138" i="68"/>
  <c r="N125" i="63"/>
  <c r="N145" i="63"/>
  <c r="N161" i="63"/>
  <c r="N157" i="63"/>
  <c r="O140" i="84"/>
  <c r="O142" i="78"/>
  <c r="O152" i="78"/>
  <c r="O135" i="78"/>
  <c r="O144" i="78"/>
  <c r="O21" i="81"/>
  <c r="M105" i="65"/>
  <c r="O30" i="81"/>
  <c r="O23" i="81"/>
  <c r="O142" i="77"/>
  <c r="O127" i="84"/>
  <c r="O142" i="84"/>
  <c r="O132" i="78"/>
  <c r="O141" i="68"/>
  <c r="O152" i="83"/>
  <c r="O44" i="81"/>
  <c r="O20" i="81"/>
  <c r="O138" i="85"/>
  <c r="O134" i="85"/>
  <c r="O133" i="82"/>
  <c r="N172" i="66"/>
  <c r="N116" i="66"/>
  <c r="N128" i="64"/>
  <c r="N136" i="64"/>
  <c r="N137" i="63"/>
  <c r="N196" i="62"/>
  <c r="N124" i="61"/>
  <c r="N121" i="60"/>
  <c r="N177" i="59"/>
  <c r="N115" i="43"/>
  <c r="N144" i="59"/>
  <c r="N124" i="58"/>
  <c r="N191" i="62"/>
  <c r="O135" i="84"/>
  <c r="O132" i="84"/>
  <c r="O35" i="81"/>
  <c r="O134" i="78"/>
  <c r="O147" i="68"/>
  <c r="O136" i="78"/>
  <c r="N194" i="66"/>
  <c r="N117" i="65"/>
  <c r="N142" i="66"/>
  <c r="N144" i="65"/>
  <c r="N205" i="64"/>
  <c r="N190" i="64"/>
  <c r="N202" i="66"/>
  <c r="N173" i="64"/>
  <c r="N141" i="64"/>
  <c r="N136" i="63"/>
  <c r="N142" i="61"/>
  <c r="N204" i="60"/>
  <c r="N173" i="59"/>
  <c r="N140" i="59"/>
  <c r="N189" i="67"/>
  <c r="N115" i="67"/>
  <c r="N184" i="63"/>
  <c r="N162" i="63"/>
  <c r="N150" i="63"/>
  <c r="O136" i="84"/>
  <c r="O136" i="79"/>
  <c r="O145" i="79"/>
  <c r="O130" i="85"/>
  <c r="N140" i="66"/>
  <c r="N148" i="66"/>
  <c r="N150" i="65"/>
  <c r="N160" i="64"/>
  <c r="N189" i="63"/>
  <c r="N168" i="64"/>
  <c r="N197" i="63"/>
  <c r="N119" i="61"/>
  <c r="N148" i="59"/>
  <c r="N164" i="58"/>
  <c r="N179" i="59"/>
  <c r="N137" i="64"/>
  <c r="N169" i="62"/>
  <c r="N141" i="62"/>
  <c r="N122" i="62"/>
  <c r="O129" i="79"/>
  <c r="O138" i="79"/>
  <c r="O134" i="68"/>
  <c r="O140" i="78"/>
  <c r="N195" i="65"/>
  <c r="N137" i="65"/>
  <c r="N206" i="66"/>
  <c r="N166" i="66"/>
  <c r="N126" i="66"/>
  <c r="N189" i="65"/>
  <c r="N167" i="65"/>
  <c r="N125" i="65"/>
  <c r="N143" i="63"/>
  <c r="N177" i="58"/>
  <c r="N206" i="62"/>
  <c r="N197" i="62"/>
  <c r="N174" i="58"/>
  <c r="N164" i="63"/>
  <c r="N128" i="63"/>
  <c r="N126" i="61"/>
  <c r="N162" i="60"/>
  <c r="N158" i="58"/>
  <c r="N129" i="67"/>
  <c r="N170" i="58"/>
  <c r="N141" i="67"/>
  <c r="N119" i="67"/>
  <c r="N182" i="67"/>
  <c r="N145" i="67"/>
  <c r="N154" i="66"/>
  <c r="O135" i="68"/>
  <c r="O131" i="68"/>
  <c r="O103" i="80"/>
  <c r="O20" i="80"/>
  <c r="O133" i="77"/>
  <c r="O138" i="77"/>
  <c r="O127" i="77"/>
  <c r="O46" i="80"/>
  <c r="K105" i="77"/>
  <c r="M6" i="41"/>
  <c r="O131" i="77"/>
  <c r="J105" i="77"/>
  <c r="L6" i="41"/>
  <c r="O47" i="80"/>
  <c r="O146" i="77"/>
  <c r="O130" i="77"/>
  <c r="O141" i="77"/>
  <c r="O29" i="80"/>
  <c r="O22" i="80"/>
  <c r="M104" i="68"/>
  <c r="O7" i="41" s="1"/>
  <c r="O11" i="41" s="1"/>
  <c r="O147" i="77"/>
  <c r="O128" i="84"/>
  <c r="O126" i="78"/>
  <c r="O127" i="68"/>
  <c r="O149" i="78"/>
  <c r="O145" i="68"/>
  <c r="O128" i="85"/>
  <c r="O141" i="82"/>
  <c r="O30" i="80"/>
  <c r="O37" i="80"/>
  <c r="O34" i="81"/>
  <c r="O35" i="80"/>
  <c r="O129" i="77"/>
  <c r="O150" i="77"/>
  <c r="O153" i="84"/>
  <c r="O151" i="77"/>
  <c r="O126" i="84"/>
  <c r="O145" i="84"/>
  <c r="O26" i="80"/>
  <c r="O137" i="77"/>
  <c r="O152" i="77"/>
  <c r="O146" i="84"/>
  <c r="O154" i="84"/>
  <c r="O34" i="80"/>
  <c r="O137" i="84"/>
  <c r="O138" i="84"/>
  <c r="O49" i="81"/>
  <c r="O154" i="79"/>
  <c r="O147" i="78"/>
  <c r="O138" i="78"/>
  <c r="O147" i="79"/>
  <c r="O129" i="78"/>
  <c r="O143" i="68"/>
  <c r="O148" i="79"/>
  <c r="O139" i="68"/>
  <c r="O149" i="68"/>
  <c r="O132" i="79"/>
  <c r="O144" i="79"/>
  <c r="O143" i="83"/>
  <c r="O128" i="82"/>
  <c r="O137" i="82"/>
  <c r="O140" i="85"/>
  <c r="O133" i="83"/>
  <c r="O129" i="85"/>
  <c r="O144" i="68"/>
  <c r="O153" i="83"/>
  <c r="O152" i="82"/>
  <c r="O33" i="81"/>
  <c r="O145" i="78"/>
  <c r="O140" i="83"/>
  <c r="O145" i="82"/>
  <c r="O153" i="82"/>
  <c r="O144" i="83"/>
  <c r="O130" i="68"/>
  <c r="O29" i="81"/>
  <c r="O127" i="83"/>
  <c r="O151" i="85"/>
  <c r="O128" i="83"/>
  <c r="O144" i="85"/>
  <c r="O152" i="85"/>
  <c r="O132" i="83"/>
  <c r="O136" i="82"/>
  <c r="O148" i="68"/>
  <c r="O126" i="85"/>
  <c r="O133" i="79"/>
  <c r="O129" i="83"/>
  <c r="O137" i="83"/>
  <c r="O127" i="82"/>
  <c r="N136" i="66"/>
  <c r="N156" i="66"/>
  <c r="N164" i="66"/>
  <c r="N200" i="66"/>
  <c r="N176" i="64"/>
  <c r="N205" i="63"/>
  <c r="N169" i="63"/>
  <c r="N164" i="64"/>
  <c r="N193" i="63"/>
  <c r="N153" i="63"/>
  <c r="N120" i="66"/>
  <c r="N120" i="64"/>
  <c r="N147" i="62"/>
  <c r="N180" i="62"/>
  <c r="N201" i="60"/>
  <c r="N193" i="60"/>
  <c r="N156" i="62"/>
  <c r="N205" i="60"/>
  <c r="N175" i="61"/>
  <c r="N151" i="61"/>
  <c r="N201" i="61"/>
  <c r="N173" i="60"/>
  <c r="N187" i="61"/>
  <c r="N182" i="59"/>
  <c r="N165" i="60"/>
  <c r="N197" i="60"/>
  <c r="N138" i="59"/>
  <c r="N189" i="59"/>
  <c r="N114" i="59"/>
  <c r="N149" i="60"/>
  <c r="N161" i="60"/>
  <c r="N152" i="58"/>
  <c r="N136" i="59"/>
  <c r="N148" i="58"/>
  <c r="N171" i="43"/>
  <c r="N156" i="59"/>
  <c r="N135" i="43"/>
  <c r="N204" i="67"/>
  <c r="N180" i="67"/>
  <c r="N156" i="67"/>
  <c r="O51" i="80"/>
  <c r="O27" i="80"/>
  <c r="O21" i="80"/>
  <c r="O25" i="81"/>
  <c r="M92" i="81"/>
  <c r="M76" i="81"/>
  <c r="M60" i="81"/>
  <c r="M44" i="81"/>
  <c r="M28" i="81"/>
  <c r="M12" i="81"/>
  <c r="M98" i="81"/>
  <c r="M82" i="81"/>
  <c r="M66" i="81"/>
  <c r="M50" i="81"/>
  <c r="M34" i="81"/>
  <c r="M18" i="81"/>
  <c r="M93" i="81"/>
  <c r="M77" i="81"/>
  <c r="M61" i="81"/>
  <c r="M45" i="81"/>
  <c r="M29" i="81"/>
  <c r="M13" i="81"/>
  <c r="M95" i="80"/>
  <c r="M79" i="80"/>
  <c r="M63" i="80"/>
  <c r="M47" i="80"/>
  <c r="M31" i="80"/>
  <c r="M15" i="80"/>
  <c r="M86" i="80"/>
  <c r="M70" i="80"/>
  <c r="M54" i="80"/>
  <c r="M38" i="80"/>
  <c r="M22" i="80"/>
  <c r="M103" i="81"/>
  <c r="M87" i="81"/>
  <c r="M71" i="81"/>
  <c r="M55" i="81"/>
  <c r="M39" i="81"/>
  <c r="M23" i="81"/>
  <c r="N187" i="66"/>
  <c r="N168" i="66"/>
  <c r="N130" i="66"/>
  <c r="N196" i="65"/>
  <c r="N138" i="65"/>
  <c r="N129" i="65"/>
  <c r="N206" i="64"/>
  <c r="N198" i="64"/>
  <c r="N146" i="64"/>
  <c r="N123" i="64"/>
  <c r="N190" i="66"/>
  <c r="N167" i="66"/>
  <c r="N135" i="66"/>
  <c r="N191" i="65"/>
  <c r="N172" i="65"/>
  <c r="N156" i="65"/>
  <c r="N131" i="65"/>
  <c r="N196" i="64"/>
  <c r="N184" i="64"/>
  <c r="N124" i="66"/>
  <c r="N151" i="64"/>
  <c r="N198" i="66"/>
  <c r="N170" i="66"/>
  <c r="N157" i="66"/>
  <c r="N127" i="66"/>
  <c r="N182" i="65"/>
  <c r="N175" i="65"/>
  <c r="N157" i="65"/>
  <c r="N149" i="65"/>
  <c r="N143" i="65"/>
  <c r="N132" i="65"/>
  <c r="N201" i="64"/>
  <c r="N169" i="64"/>
  <c r="N134" i="64"/>
  <c r="N179" i="66"/>
  <c r="N205" i="65"/>
  <c r="N131" i="64"/>
  <c r="N179" i="63"/>
  <c r="N152" i="63"/>
  <c r="N205" i="62"/>
  <c r="N175" i="62"/>
  <c r="N146" i="62"/>
  <c r="N116" i="62"/>
  <c r="N138" i="61"/>
  <c r="N132" i="61"/>
  <c r="N125" i="61"/>
  <c r="N194" i="60"/>
  <c r="N183" i="60"/>
  <c r="N156" i="60"/>
  <c r="N133" i="60"/>
  <c r="N157" i="59"/>
  <c r="N142" i="59"/>
  <c r="N191" i="58"/>
  <c r="N149" i="64"/>
  <c r="N192" i="63"/>
  <c r="N148" i="63"/>
  <c r="N117" i="63"/>
  <c r="N198" i="62"/>
  <c r="N189" i="62"/>
  <c r="N173" i="62"/>
  <c r="N158" i="62"/>
  <c r="N198" i="61"/>
  <c r="N118" i="61"/>
  <c r="N151" i="60"/>
  <c r="N144" i="60"/>
  <c r="N128" i="60"/>
  <c r="N172" i="59"/>
  <c r="N116" i="59"/>
  <c r="N194" i="58"/>
  <c r="N185" i="58"/>
  <c r="N126" i="64"/>
  <c r="N188" i="63"/>
  <c r="N129" i="63"/>
  <c r="N168" i="62"/>
  <c r="N114" i="62"/>
  <c r="N134" i="61"/>
  <c r="N200" i="60"/>
  <c r="N122" i="60"/>
  <c r="N154" i="63"/>
  <c r="N161" i="59"/>
  <c r="N129" i="59"/>
  <c r="N159" i="58"/>
  <c r="N119" i="58"/>
  <c r="N177" i="62"/>
  <c r="N134" i="60"/>
  <c r="N163" i="58"/>
  <c r="N127" i="58"/>
  <c r="N188" i="43"/>
  <c r="N127" i="43"/>
  <c r="N202" i="67"/>
  <c r="N162" i="67"/>
  <c r="N130" i="67"/>
  <c r="N116" i="67"/>
  <c r="N154" i="62"/>
  <c r="N175" i="60"/>
  <c r="N167" i="59"/>
  <c r="N124" i="59"/>
  <c r="N180" i="58"/>
  <c r="N171" i="58"/>
  <c r="N166" i="58"/>
  <c r="N152" i="43"/>
  <c r="N198" i="67"/>
  <c r="N160" i="67"/>
  <c r="N142" i="67"/>
  <c r="N121" i="67"/>
  <c r="N159" i="59"/>
  <c r="N192" i="43"/>
  <c r="N151" i="43"/>
  <c r="N128" i="43"/>
  <c r="N165" i="67"/>
  <c r="N189" i="43"/>
  <c r="N161" i="43"/>
  <c r="N126" i="43"/>
  <c r="N183" i="67"/>
  <c r="N146" i="67"/>
  <c r="N141" i="43"/>
  <c r="N177" i="67"/>
  <c r="N143" i="67"/>
  <c r="N137" i="59"/>
  <c r="N189" i="58"/>
  <c r="N182" i="66"/>
  <c r="N136" i="65"/>
  <c r="N118" i="64"/>
  <c r="N170" i="62"/>
  <c r="N146" i="60"/>
  <c r="N118" i="67"/>
  <c r="N192" i="66"/>
  <c r="N177" i="65"/>
  <c r="N161" i="65"/>
  <c r="N182" i="60"/>
  <c r="N199" i="58"/>
  <c r="N120" i="43"/>
  <c r="N134" i="67"/>
  <c r="N200" i="57"/>
  <c r="N184" i="57"/>
  <c r="N168" i="57"/>
  <c r="N152" i="57"/>
  <c r="N136" i="57"/>
  <c r="N120" i="57"/>
  <c r="M100" i="80"/>
  <c r="M84" i="80"/>
  <c r="M68" i="80"/>
  <c r="M52" i="80"/>
  <c r="M36" i="80"/>
  <c r="M20" i="80"/>
  <c r="N206" i="65"/>
  <c r="N194" i="65"/>
  <c r="N127" i="65"/>
  <c r="M101" i="80"/>
  <c r="M85" i="80"/>
  <c r="M69" i="80"/>
  <c r="M53" i="80"/>
  <c r="M37" i="80"/>
  <c r="M21" i="80"/>
  <c r="N197" i="64"/>
  <c r="N182" i="64"/>
  <c r="N161" i="64"/>
  <c r="N143" i="64"/>
  <c r="N203" i="62"/>
  <c r="N187" i="62"/>
  <c r="N179" i="62"/>
  <c r="N164" i="62"/>
  <c r="N125" i="62"/>
  <c r="N204" i="63"/>
  <c r="N186" i="63"/>
  <c r="N174" i="63"/>
  <c r="N156" i="63"/>
  <c r="N124" i="63"/>
  <c r="N114" i="63"/>
  <c r="N195" i="66"/>
  <c r="N175" i="66"/>
  <c r="N163" i="66"/>
  <c r="N144" i="66"/>
  <c r="N133" i="66"/>
  <c r="N199" i="61"/>
  <c r="N189" i="61"/>
  <c r="N181" i="61"/>
  <c r="N172" i="61"/>
  <c r="N160" i="61"/>
  <c r="N148" i="61"/>
  <c r="N172" i="60"/>
  <c r="N166" i="60"/>
  <c r="N159" i="60"/>
  <c r="N137" i="60"/>
  <c r="N123" i="60"/>
  <c r="N195" i="59"/>
  <c r="N180" i="59"/>
  <c r="N163" i="59"/>
  <c r="N147" i="59"/>
  <c r="N127" i="59"/>
  <c r="N204" i="58"/>
  <c r="N181" i="58"/>
  <c r="N153" i="58"/>
  <c r="N134" i="58"/>
  <c r="N206" i="43"/>
  <c r="N198" i="43"/>
  <c r="N193" i="43"/>
  <c r="N182" i="43"/>
  <c r="N172" i="43"/>
  <c r="N165" i="43"/>
  <c r="N157" i="43"/>
  <c r="N146" i="43"/>
  <c r="N137" i="43"/>
  <c r="N124" i="43"/>
  <c r="N206" i="67"/>
  <c r="N193" i="67"/>
  <c r="N175" i="67"/>
  <c r="N159" i="67"/>
  <c r="N151" i="67"/>
  <c r="N135" i="67"/>
  <c r="M105" i="61"/>
  <c r="M105" i="67"/>
  <c r="N206" i="57"/>
  <c r="N201" i="57"/>
  <c r="N195" i="57"/>
  <c r="N190" i="57"/>
  <c r="N185" i="57"/>
  <c r="N179" i="57"/>
  <c r="N174" i="57"/>
  <c r="N169" i="57"/>
  <c r="N163" i="57"/>
  <c r="N158" i="57"/>
  <c r="N153" i="57"/>
  <c r="N147" i="57"/>
  <c r="N142" i="57"/>
  <c r="N137" i="57"/>
  <c r="N131" i="57"/>
  <c r="N126" i="57"/>
  <c r="N119" i="57"/>
  <c r="O129" i="84"/>
  <c r="O150" i="84"/>
  <c r="O152" i="84"/>
  <c r="O153" i="79"/>
  <c r="O140" i="79"/>
  <c r="O150" i="68"/>
  <c r="O142" i="85"/>
  <c r="O142" i="83"/>
  <c r="O146" i="78"/>
  <c r="O149" i="82"/>
  <c r="O47" i="81"/>
  <c r="O154" i="78"/>
  <c r="O139" i="85"/>
  <c r="O152" i="68"/>
  <c r="O147" i="82"/>
  <c r="O135" i="85"/>
  <c r="N146" i="65"/>
  <c r="N148" i="64"/>
  <c r="N183" i="63"/>
  <c r="N200" i="62"/>
  <c r="N186" i="60"/>
  <c r="N115" i="60"/>
  <c r="N195" i="58"/>
  <c r="O143" i="82"/>
  <c r="O36" i="80"/>
  <c r="O140" i="82"/>
  <c r="O131" i="83"/>
  <c r="O37" i="81"/>
  <c r="M88" i="81"/>
  <c r="M72" i="81"/>
  <c r="M56" i="81"/>
  <c r="M40" i="81"/>
  <c r="M24" i="81"/>
  <c r="M94" i="81"/>
  <c r="M78" i="81"/>
  <c r="M62" i="81"/>
  <c r="M46" i="81"/>
  <c r="M30" i="81"/>
  <c r="M14" i="81"/>
  <c r="M89" i="81"/>
  <c r="M73" i="81"/>
  <c r="M57" i="81"/>
  <c r="M41" i="81"/>
  <c r="M25" i="81"/>
  <c r="M9" i="81"/>
  <c r="M91" i="80"/>
  <c r="M75" i="80"/>
  <c r="M59" i="80"/>
  <c r="M43" i="80"/>
  <c r="M27" i="80"/>
  <c r="M11" i="80"/>
  <c r="M98" i="80"/>
  <c r="M82" i="80"/>
  <c r="M66" i="80"/>
  <c r="M50" i="80"/>
  <c r="M34" i="80"/>
  <c r="M18" i="80"/>
  <c r="M99" i="81"/>
  <c r="M83" i="81"/>
  <c r="M67" i="81"/>
  <c r="M51" i="81"/>
  <c r="M35" i="81"/>
  <c r="M19" i="81"/>
  <c r="N184" i="66"/>
  <c r="N155" i="66"/>
  <c r="N123" i="66"/>
  <c r="N121" i="65"/>
  <c r="N204" i="64"/>
  <c r="N185" i="64"/>
  <c r="N171" i="64"/>
  <c r="N139" i="64"/>
  <c r="N183" i="66"/>
  <c r="N152" i="65"/>
  <c r="N124" i="65"/>
  <c r="N195" i="64"/>
  <c r="N174" i="64"/>
  <c r="N122" i="66"/>
  <c r="N142" i="64"/>
  <c r="N191" i="66"/>
  <c r="N160" i="66"/>
  <c r="N153" i="66"/>
  <c r="N125" i="66"/>
  <c r="N179" i="65"/>
  <c r="N174" i="65"/>
  <c r="N155" i="65"/>
  <c r="N142" i="65"/>
  <c r="N120" i="65"/>
  <c r="N180" i="64"/>
  <c r="N158" i="64"/>
  <c r="N127" i="64"/>
  <c r="N176" i="66"/>
  <c r="N129" i="64"/>
  <c r="N171" i="63"/>
  <c r="N193" i="62"/>
  <c r="N145" i="62"/>
  <c r="N145" i="61"/>
  <c r="N137" i="61"/>
  <c r="N130" i="61"/>
  <c r="N123" i="61"/>
  <c r="N191" i="60"/>
  <c r="N155" i="60"/>
  <c r="N130" i="60"/>
  <c r="N154" i="59"/>
  <c r="N141" i="59"/>
  <c r="N119" i="64"/>
  <c r="N176" i="63"/>
  <c r="N146" i="63"/>
  <c r="N186" i="62"/>
  <c r="N171" i="62"/>
  <c r="N133" i="62"/>
  <c r="N191" i="61"/>
  <c r="N176" i="60"/>
  <c r="N148" i="60"/>
  <c r="N143" i="60"/>
  <c r="N127" i="60"/>
  <c r="N160" i="59"/>
  <c r="N115" i="59"/>
  <c r="N193" i="58"/>
  <c r="N122" i="64"/>
  <c r="N172" i="63"/>
  <c r="N134" i="63"/>
  <c r="N149" i="62"/>
  <c r="N206" i="61"/>
  <c r="N203" i="59"/>
  <c r="N118" i="62"/>
  <c r="N155" i="59"/>
  <c r="N128" i="59"/>
  <c r="N133" i="64"/>
  <c r="N174" i="62"/>
  <c r="N132" i="60"/>
  <c r="N151" i="58"/>
  <c r="N126" i="58"/>
  <c r="N175" i="43"/>
  <c r="N119" i="43"/>
  <c r="N201" i="67"/>
  <c r="N161" i="67"/>
  <c r="N194" i="63"/>
  <c r="N150" i="62"/>
  <c r="N116" i="60"/>
  <c r="N164" i="59"/>
  <c r="N122" i="59"/>
  <c r="N178" i="58"/>
  <c r="N157" i="58"/>
  <c r="N187" i="43"/>
  <c r="N145" i="43"/>
  <c r="N197" i="67"/>
  <c r="N152" i="67"/>
  <c r="N143" i="58"/>
  <c r="N179" i="43"/>
  <c r="N133" i="43"/>
  <c r="N188" i="67"/>
  <c r="N148" i="67"/>
  <c r="N131" i="58"/>
  <c r="N177" i="43"/>
  <c r="N149" i="43"/>
  <c r="N205" i="67"/>
  <c r="N140" i="43"/>
  <c r="N140" i="67"/>
  <c r="N193" i="64"/>
  <c r="N118" i="59"/>
  <c r="N186" i="58"/>
  <c r="N170" i="64"/>
  <c r="N191" i="63"/>
  <c r="N130" i="62"/>
  <c r="N129" i="58"/>
  <c r="N114" i="67"/>
  <c r="N128" i="66"/>
  <c r="N173" i="65"/>
  <c r="N114" i="60"/>
  <c r="N179" i="58"/>
  <c r="N185" i="67"/>
  <c r="N196" i="57"/>
  <c r="N180" i="57"/>
  <c r="N164" i="57"/>
  <c r="N148" i="57"/>
  <c r="N132" i="57"/>
  <c r="N116" i="57"/>
  <c r="M96" i="80"/>
  <c r="M80" i="80"/>
  <c r="M64" i="80"/>
  <c r="M48" i="80"/>
  <c r="M32" i="80"/>
  <c r="M16" i="80"/>
  <c r="N204" i="65"/>
  <c r="N190" i="65"/>
  <c r="N126" i="65"/>
  <c r="M97" i="80"/>
  <c r="M81" i="80"/>
  <c r="M65" i="80"/>
  <c r="M49" i="80"/>
  <c r="M33" i="80"/>
  <c r="M17" i="80"/>
  <c r="N189" i="64"/>
  <c r="N179" i="64"/>
  <c r="N159" i="64"/>
  <c r="N199" i="62"/>
  <c r="N184" i="62"/>
  <c r="N202" i="63"/>
  <c r="N122" i="63"/>
  <c r="N205" i="66"/>
  <c r="N193" i="66"/>
  <c r="N173" i="66"/>
  <c r="N162" i="66"/>
  <c r="N143" i="66"/>
  <c r="N131" i="66"/>
  <c r="N195" i="61"/>
  <c r="N186" i="61"/>
  <c r="N177" i="61"/>
  <c r="N169" i="61"/>
  <c r="N157" i="61"/>
  <c r="N117" i="61"/>
  <c r="N171" i="60"/>
  <c r="N164" i="60"/>
  <c r="N154" i="60"/>
  <c r="N135" i="60"/>
  <c r="N119" i="60"/>
  <c r="N192" i="59"/>
  <c r="N176" i="59"/>
  <c r="N162" i="59"/>
  <c r="N135" i="59"/>
  <c r="N126" i="59"/>
  <c r="N203" i="58"/>
  <c r="N165" i="58"/>
  <c r="N149" i="58"/>
  <c r="N133" i="58"/>
  <c r="N204" i="43"/>
  <c r="N197" i="43"/>
  <c r="N191" i="43"/>
  <c r="N181" i="43"/>
  <c r="N170" i="43"/>
  <c r="N163" i="43"/>
  <c r="N154" i="43"/>
  <c r="N142" i="43"/>
  <c r="N136" i="43"/>
  <c r="N122" i="43"/>
  <c r="N199" i="67"/>
  <c r="N191" i="67"/>
  <c r="N181" i="67"/>
  <c r="N171" i="67"/>
  <c r="N158" i="67"/>
  <c r="N147" i="67"/>
  <c r="N131" i="67"/>
  <c r="M105" i="64"/>
  <c r="M105" i="43"/>
  <c r="N205" i="57"/>
  <c r="N199" i="57"/>
  <c r="N194" i="57"/>
  <c r="N189" i="57"/>
  <c r="N183" i="57"/>
  <c r="N178" i="57"/>
  <c r="N173" i="57"/>
  <c r="N167" i="57"/>
  <c r="N162" i="57"/>
  <c r="N157" i="57"/>
  <c r="N151" i="57"/>
  <c r="N146" i="57"/>
  <c r="N141" i="57"/>
  <c r="N135" i="57"/>
  <c r="N130" i="57"/>
  <c r="N125" i="57"/>
  <c r="N118" i="57"/>
  <c r="O136" i="77"/>
  <c r="O126" i="77"/>
  <c r="O132" i="77"/>
  <c r="O140" i="77"/>
  <c r="O134" i="84"/>
  <c r="O33" i="80"/>
  <c r="O127" i="79"/>
  <c r="O31" i="80"/>
  <c r="O141" i="79"/>
  <c r="O131" i="79"/>
  <c r="O137" i="79"/>
  <c r="O103" i="81"/>
  <c r="O23" i="80"/>
  <c r="O40" i="80"/>
  <c r="O28" i="80"/>
  <c r="O22" i="81"/>
  <c r="O45" i="80"/>
  <c r="O43" i="80"/>
  <c r="O131" i="84"/>
  <c r="O151" i="84"/>
  <c r="O135" i="77"/>
  <c r="O145" i="77"/>
  <c r="O154" i="77"/>
  <c r="O148" i="84"/>
  <c r="O28" i="81"/>
  <c r="O144" i="77"/>
  <c r="O128" i="77"/>
  <c r="O27" i="81"/>
  <c r="O154" i="68"/>
  <c r="O128" i="79"/>
  <c r="O150" i="79"/>
  <c r="O137" i="68"/>
  <c r="O133" i="78"/>
  <c r="O134" i="79"/>
  <c r="O151" i="79"/>
  <c r="O142" i="68"/>
  <c r="O148" i="78"/>
  <c r="O130" i="79"/>
  <c r="O130" i="78"/>
  <c r="O135" i="79"/>
  <c r="O126" i="68"/>
  <c r="O153" i="68"/>
  <c r="O131" i="78"/>
  <c r="O130" i="83"/>
  <c r="O138" i="83"/>
  <c r="O146" i="83"/>
  <c r="O132" i="82"/>
  <c r="O146" i="85"/>
  <c r="O139" i="83"/>
  <c r="O138" i="82"/>
  <c r="O39" i="81"/>
  <c r="O141" i="78"/>
  <c r="O132" i="85"/>
  <c r="O139" i="78"/>
  <c r="O40" i="81"/>
  <c r="O126" i="83"/>
  <c r="O130" i="82"/>
  <c r="O32" i="81"/>
  <c r="O136" i="83"/>
  <c r="O137" i="85"/>
  <c r="O150" i="83"/>
  <c r="O133" i="85"/>
  <c r="O141" i="84"/>
  <c r="O141" i="83"/>
  <c r="O154" i="82"/>
  <c r="O126" i="82"/>
  <c r="O145" i="83"/>
  <c r="O145" i="85"/>
  <c r="O151" i="83"/>
  <c r="N197" i="65"/>
  <c r="N199" i="65"/>
  <c r="N132" i="66"/>
  <c r="N203" i="64"/>
  <c r="N162" i="65"/>
  <c r="N178" i="64"/>
  <c r="N144" i="64"/>
  <c r="N173" i="63"/>
  <c r="N132" i="64"/>
  <c r="N165" i="63"/>
  <c r="N141" i="63"/>
  <c r="N152" i="64"/>
  <c r="N175" i="63"/>
  <c r="N115" i="62"/>
  <c r="N200" i="61"/>
  <c r="N115" i="63"/>
  <c r="N124" i="62"/>
  <c r="N163" i="61"/>
  <c r="N192" i="60"/>
  <c r="N177" i="60"/>
  <c r="N181" i="60"/>
  <c r="N158" i="59"/>
  <c r="N203" i="60"/>
  <c r="N153" i="60"/>
  <c r="N206" i="59"/>
  <c r="N165" i="59"/>
  <c r="N184" i="58"/>
  <c r="N139" i="60"/>
  <c r="N132" i="58"/>
  <c r="N203" i="43"/>
  <c r="N123" i="43"/>
  <c r="N192" i="67"/>
  <c r="N168" i="67"/>
  <c r="N144" i="67"/>
  <c r="N117" i="58"/>
  <c r="N183" i="43"/>
  <c r="O24" i="81"/>
  <c r="O48" i="81"/>
  <c r="O26" i="81"/>
  <c r="O43" i="81"/>
  <c r="M100" i="81"/>
  <c r="M84" i="81"/>
  <c r="M68" i="81"/>
  <c r="M52" i="81"/>
  <c r="M36" i="81"/>
  <c r="M20" i="81"/>
  <c r="M90" i="81"/>
  <c r="M74" i="81"/>
  <c r="M58" i="81"/>
  <c r="M42" i="81"/>
  <c r="M26" i="81"/>
  <c r="M10" i="81"/>
  <c r="M101" i="81"/>
  <c r="M85" i="81"/>
  <c r="M69" i="81"/>
  <c r="M53" i="81"/>
  <c r="M37" i="81"/>
  <c r="M21" i="81"/>
  <c r="O41" i="80"/>
  <c r="M87" i="80"/>
  <c r="M71" i="80"/>
  <c r="M55" i="80"/>
  <c r="M39" i="80"/>
  <c r="M23" i="80"/>
  <c r="M94" i="80"/>
  <c r="M78" i="80"/>
  <c r="M62" i="80"/>
  <c r="M46" i="80"/>
  <c r="M30" i="80"/>
  <c r="M14" i="80"/>
  <c r="M95" i="81"/>
  <c r="M79" i="81"/>
  <c r="M63" i="81"/>
  <c r="M47" i="81"/>
  <c r="M31" i="81"/>
  <c r="M15" i="81"/>
  <c r="N203" i="66"/>
  <c r="N178" i="66"/>
  <c r="N146" i="66"/>
  <c r="N114" i="66"/>
  <c r="N193" i="65"/>
  <c r="N134" i="65"/>
  <c r="N118" i="65"/>
  <c r="N202" i="64"/>
  <c r="N183" i="64"/>
  <c r="N162" i="64"/>
  <c r="N130" i="64"/>
  <c r="N199" i="66"/>
  <c r="N180" i="66"/>
  <c r="N151" i="66"/>
  <c r="N119" i="66"/>
  <c r="N180" i="65"/>
  <c r="N164" i="65"/>
  <c r="N148" i="65"/>
  <c r="N119" i="65"/>
  <c r="N194" i="64"/>
  <c r="N167" i="64"/>
  <c r="N133" i="65"/>
  <c r="N138" i="64"/>
  <c r="N189" i="66"/>
  <c r="N159" i="66"/>
  <c r="N138" i="66"/>
  <c r="N121" i="66"/>
  <c r="N178" i="65"/>
  <c r="N171" i="65"/>
  <c r="N166" i="65"/>
  <c r="N154" i="65"/>
  <c r="N147" i="65"/>
  <c r="N141" i="65"/>
  <c r="N116" i="65"/>
  <c r="N175" i="64"/>
  <c r="N154" i="64"/>
  <c r="N125" i="64"/>
  <c r="N147" i="66"/>
  <c r="N149" i="66"/>
  <c r="N196" i="63"/>
  <c r="N181" i="63"/>
  <c r="N166" i="63"/>
  <c r="N135" i="63"/>
  <c r="N185" i="62"/>
  <c r="N142" i="62"/>
  <c r="N143" i="61"/>
  <c r="N135" i="61"/>
  <c r="N129" i="61"/>
  <c r="N202" i="60"/>
  <c r="N190" i="60"/>
  <c r="N180" i="60"/>
  <c r="N150" i="60"/>
  <c r="N196" i="59"/>
  <c r="N153" i="59"/>
  <c r="N121" i="59"/>
  <c r="N117" i="66"/>
  <c r="N203" i="63"/>
  <c r="N144" i="63"/>
  <c r="N202" i="62"/>
  <c r="N194" i="62"/>
  <c r="N182" i="62"/>
  <c r="N162" i="62"/>
  <c r="N132" i="62"/>
  <c r="N190" i="61"/>
  <c r="N168" i="60"/>
  <c r="N131" i="60"/>
  <c r="N118" i="60"/>
  <c r="N151" i="59"/>
  <c r="N197" i="58"/>
  <c r="N190" i="58"/>
  <c r="N128" i="65"/>
  <c r="N115" i="64"/>
  <c r="N170" i="63"/>
  <c r="N155" i="63"/>
  <c r="N133" i="63"/>
  <c r="N123" i="63"/>
  <c r="N148" i="62"/>
  <c r="N203" i="61"/>
  <c r="N114" i="61"/>
  <c r="N141" i="60"/>
  <c r="N191" i="59"/>
  <c r="N158" i="60"/>
  <c r="N133" i="59"/>
  <c r="N200" i="58"/>
  <c r="N142" i="58"/>
  <c r="N121" i="64"/>
  <c r="N146" i="61"/>
  <c r="N175" i="59"/>
  <c r="N150" i="58"/>
  <c r="N123" i="58"/>
  <c r="N168" i="43"/>
  <c r="N117" i="43"/>
  <c r="N172" i="67"/>
  <c r="N154" i="67"/>
  <c r="N125" i="67"/>
  <c r="N190" i="63"/>
  <c r="N195" i="60"/>
  <c r="N205" i="59"/>
  <c r="N143" i="59"/>
  <c r="N120" i="59"/>
  <c r="N175" i="58"/>
  <c r="N168" i="58"/>
  <c r="N180" i="43"/>
  <c r="N144" i="43"/>
  <c r="N190" i="67"/>
  <c r="N150" i="67"/>
  <c r="N126" i="67"/>
  <c r="N117" i="67"/>
  <c r="N141" i="58"/>
  <c r="N176" i="43"/>
  <c r="N132" i="43"/>
  <c r="N186" i="67"/>
  <c r="N127" i="67"/>
  <c r="N121" i="58"/>
  <c r="N174" i="43"/>
  <c r="N148" i="43"/>
  <c r="N203" i="67"/>
  <c r="N167" i="67"/>
  <c r="N133" i="67"/>
  <c r="N196" i="67"/>
  <c r="N138" i="67"/>
  <c r="N186" i="43"/>
  <c r="N192" i="64"/>
  <c r="N117" i="59"/>
  <c r="N173" i="58"/>
  <c r="N150" i="66"/>
  <c r="N166" i="64"/>
  <c r="N147" i="63"/>
  <c r="N129" i="62"/>
  <c r="N125" i="58"/>
  <c r="N201" i="65"/>
  <c r="N169" i="65"/>
  <c r="N137" i="62"/>
  <c r="N123" i="59"/>
  <c r="N156" i="43"/>
  <c r="N174" i="67"/>
  <c r="N192" i="57"/>
  <c r="N176" i="57"/>
  <c r="N160" i="57"/>
  <c r="N144" i="57"/>
  <c r="N128" i="57"/>
  <c r="M92" i="80"/>
  <c r="M76" i="80"/>
  <c r="M60" i="80"/>
  <c r="M44" i="80"/>
  <c r="M28" i="80"/>
  <c r="M12" i="80"/>
  <c r="N203" i="65"/>
  <c r="N188" i="65"/>
  <c r="N123" i="65"/>
  <c r="M93" i="80"/>
  <c r="M77" i="80"/>
  <c r="M61" i="80"/>
  <c r="M45" i="80"/>
  <c r="M29" i="80"/>
  <c r="M13" i="80"/>
  <c r="N188" i="64"/>
  <c r="N177" i="64"/>
  <c r="N157" i="64"/>
  <c r="N135" i="64"/>
  <c r="N195" i="62"/>
  <c r="N183" i="62"/>
  <c r="N166" i="62"/>
  <c r="N138" i="62"/>
  <c r="N200" i="63"/>
  <c r="N182" i="63"/>
  <c r="N160" i="63"/>
  <c r="N138" i="63"/>
  <c r="N120" i="63"/>
  <c r="N201" i="66"/>
  <c r="N181" i="66"/>
  <c r="N169" i="66"/>
  <c r="N161" i="66"/>
  <c r="N141" i="66"/>
  <c r="N129" i="66"/>
  <c r="N194" i="61"/>
  <c r="N184" i="61"/>
  <c r="N176" i="61"/>
  <c r="N165" i="61"/>
  <c r="N153" i="61"/>
  <c r="N198" i="60"/>
  <c r="N170" i="60"/>
  <c r="N163" i="60"/>
  <c r="N142" i="60"/>
  <c r="N126" i="60"/>
  <c r="N200" i="59"/>
  <c r="N188" i="59"/>
  <c r="N171" i="59"/>
  <c r="N152" i="59"/>
  <c r="N132" i="59"/>
  <c r="N125" i="59"/>
  <c r="N198" i="58"/>
  <c r="N162" i="58"/>
  <c r="N147" i="58"/>
  <c r="N115" i="58"/>
  <c r="N202" i="43"/>
  <c r="N196" i="43"/>
  <c r="N185" i="43"/>
  <c r="N178" i="43"/>
  <c r="N169" i="43"/>
  <c r="N160" i="43"/>
  <c r="N153" i="43"/>
  <c r="N139" i="43"/>
  <c r="N134" i="43"/>
  <c r="N118" i="43"/>
  <c r="N195" i="67"/>
  <c r="N187" i="67"/>
  <c r="N179" i="67"/>
  <c r="N170" i="67"/>
  <c r="N157" i="67"/>
  <c r="N139" i="67"/>
  <c r="M105" i="59"/>
  <c r="N122" i="57"/>
  <c r="N203" i="57"/>
  <c r="N198" i="57"/>
  <c r="N193" i="57"/>
  <c r="N187" i="57"/>
  <c r="N182" i="57"/>
  <c r="N177" i="57"/>
  <c r="N171" i="57"/>
  <c r="N166" i="57"/>
  <c r="N161" i="57"/>
  <c r="N155" i="57"/>
  <c r="N150" i="57"/>
  <c r="N145" i="57"/>
  <c r="N139" i="57"/>
  <c r="N134" i="57"/>
  <c r="N129" i="57"/>
  <c r="N123" i="57"/>
  <c r="N117" i="57"/>
  <c r="O153" i="77"/>
  <c r="O130" i="84"/>
  <c r="O149" i="77"/>
  <c r="O144" i="84"/>
  <c r="O139" i="84"/>
  <c r="O133" i="84"/>
  <c r="O44" i="80"/>
  <c r="O149" i="79"/>
  <c r="O150" i="78"/>
  <c r="O146" i="79"/>
  <c r="O24" i="80"/>
  <c r="O135" i="83"/>
  <c r="O42" i="80"/>
  <c r="O153" i="85"/>
  <c r="O148" i="85"/>
  <c r="O142" i="82"/>
  <c r="O150" i="82"/>
  <c r="N152" i="66"/>
  <c r="N116" i="64"/>
  <c r="N147" i="61"/>
  <c r="N196" i="60"/>
  <c r="N192" i="62"/>
  <c r="N189" i="60"/>
  <c r="N194" i="59"/>
  <c r="N155" i="58"/>
  <c r="O36" i="81"/>
  <c r="O41" i="81"/>
  <c r="O42" i="81"/>
  <c r="O50" i="81"/>
  <c r="O32" i="80"/>
  <c r="M96" i="81"/>
  <c r="M80" i="81"/>
  <c r="M64" i="81"/>
  <c r="M48" i="81"/>
  <c r="M32" i="81"/>
  <c r="M16" i="81"/>
  <c r="M102" i="81"/>
  <c r="M86" i="81"/>
  <c r="M70" i="81"/>
  <c r="M54" i="81"/>
  <c r="M38" i="81"/>
  <c r="M22" i="81"/>
  <c r="M8" i="81"/>
  <c r="M97" i="81"/>
  <c r="M81" i="81"/>
  <c r="M65" i="81"/>
  <c r="M49" i="81"/>
  <c r="M33" i="81"/>
  <c r="M17" i="81"/>
  <c r="M99" i="80"/>
  <c r="M83" i="80"/>
  <c r="M67" i="80"/>
  <c r="M51" i="80"/>
  <c r="M35" i="80"/>
  <c r="M19" i="80"/>
  <c r="M90" i="80"/>
  <c r="M74" i="80"/>
  <c r="M58" i="80"/>
  <c r="M42" i="80"/>
  <c r="M26" i="80"/>
  <c r="M10" i="80"/>
  <c r="M91" i="81"/>
  <c r="M75" i="81"/>
  <c r="M59" i="81"/>
  <c r="M43" i="81"/>
  <c r="M27" i="81"/>
  <c r="M11" i="81"/>
  <c r="N171" i="66"/>
  <c r="N139" i="66"/>
  <c r="N200" i="65"/>
  <c r="N200" i="64"/>
  <c r="N181" i="64"/>
  <c r="N155" i="64"/>
  <c r="N124" i="64"/>
  <c r="N196" i="66"/>
  <c r="N174" i="66"/>
  <c r="N192" i="65"/>
  <c r="N160" i="65"/>
  <c r="N188" i="66"/>
  <c r="N185" i="66"/>
  <c r="N158" i="66"/>
  <c r="N134" i="66"/>
  <c r="N184" i="65"/>
  <c r="N170" i="65"/>
  <c r="N158" i="65"/>
  <c r="N153" i="65"/>
  <c r="N145" i="65"/>
  <c r="N140" i="65"/>
  <c r="N115" i="65"/>
  <c r="N147" i="64"/>
  <c r="N114" i="64"/>
  <c r="N115" i="66"/>
  <c r="N163" i="64"/>
  <c r="N187" i="63"/>
  <c r="N180" i="63"/>
  <c r="N163" i="63"/>
  <c r="N130" i="63"/>
  <c r="N176" i="62"/>
  <c r="N153" i="62"/>
  <c r="N117" i="62"/>
  <c r="N140" i="61"/>
  <c r="N127" i="61"/>
  <c r="N199" i="60"/>
  <c r="N184" i="60"/>
  <c r="N178" i="60"/>
  <c r="N147" i="60"/>
  <c r="N184" i="59"/>
  <c r="N145" i="59"/>
  <c r="N201" i="58"/>
  <c r="N153" i="64"/>
  <c r="N199" i="63"/>
  <c r="N149" i="63"/>
  <c r="N140" i="63"/>
  <c r="N201" i="62"/>
  <c r="N190" i="62"/>
  <c r="N178" i="62"/>
  <c r="N161" i="62"/>
  <c r="N120" i="61"/>
  <c r="N152" i="60"/>
  <c r="N145" i="60"/>
  <c r="N129" i="60"/>
  <c r="N197" i="59"/>
  <c r="N139" i="59"/>
  <c r="N196" i="58"/>
  <c r="N187" i="58"/>
  <c r="N195" i="63"/>
  <c r="N168" i="63"/>
  <c r="N132" i="63"/>
  <c r="N119" i="63"/>
  <c r="N121" i="62"/>
  <c r="N138" i="60"/>
  <c r="N187" i="59"/>
  <c r="N185" i="59"/>
  <c r="N130" i="59"/>
  <c r="N137" i="58"/>
  <c r="N117" i="64"/>
  <c r="N122" i="61"/>
  <c r="N145" i="58"/>
  <c r="N205" i="43"/>
  <c r="N155" i="43"/>
  <c r="N116" i="43"/>
  <c r="N164" i="67"/>
  <c r="N153" i="67"/>
  <c r="N120" i="67"/>
  <c r="N157" i="62"/>
  <c r="N179" i="60"/>
  <c r="N204" i="59"/>
  <c r="N188" i="58"/>
  <c r="N172" i="58"/>
  <c r="N167" i="58"/>
  <c r="N120" i="58"/>
  <c r="N167" i="43"/>
  <c r="N200" i="67"/>
  <c r="N149" i="67"/>
  <c r="N123" i="67"/>
  <c r="N139" i="58"/>
  <c r="N164" i="43"/>
  <c r="N129" i="43"/>
  <c r="N166" i="67"/>
  <c r="N190" i="43"/>
  <c r="N162" i="43"/>
  <c r="N130" i="43"/>
  <c r="N184" i="67"/>
  <c r="N163" i="67"/>
  <c r="N143" i="43"/>
  <c r="N178" i="67"/>
  <c r="N137" i="67"/>
  <c r="N125" i="43"/>
  <c r="N206" i="60"/>
  <c r="N206" i="58"/>
  <c r="N169" i="58"/>
  <c r="N186" i="66"/>
  <c r="N118" i="66"/>
  <c r="N150" i="64"/>
  <c r="N142" i="63"/>
  <c r="N126" i="62"/>
  <c r="N122" i="67"/>
  <c r="N204" i="66"/>
  <c r="N181" i="65"/>
  <c r="N165" i="65"/>
  <c r="N202" i="58"/>
  <c r="N121" i="43"/>
  <c r="N173" i="67"/>
  <c r="N204" i="57"/>
  <c r="N188" i="57"/>
  <c r="N172" i="57"/>
  <c r="N156" i="57"/>
  <c r="N140" i="57"/>
  <c r="N124" i="57"/>
  <c r="M88" i="80"/>
  <c r="M72" i="80"/>
  <c r="M56" i="80"/>
  <c r="M40" i="80"/>
  <c r="M24" i="80"/>
  <c r="M8" i="80"/>
  <c r="N202" i="65"/>
  <c r="N186" i="65"/>
  <c r="M89" i="80"/>
  <c r="M73" i="80"/>
  <c r="M57" i="80"/>
  <c r="M41" i="80"/>
  <c r="M25" i="80"/>
  <c r="M9" i="80"/>
  <c r="N187" i="64"/>
  <c r="N165" i="64"/>
  <c r="N145" i="64"/>
  <c r="N204" i="62"/>
  <c r="N181" i="62"/>
  <c r="N165" i="62"/>
  <c r="N134" i="62"/>
  <c r="N206" i="63"/>
  <c r="N198" i="63"/>
  <c r="N178" i="63"/>
  <c r="N158" i="63"/>
  <c r="N126" i="63"/>
  <c r="N118" i="63"/>
  <c r="N197" i="66"/>
  <c r="N177" i="66"/>
  <c r="N165" i="66"/>
  <c r="N145" i="66"/>
  <c r="N137" i="66"/>
  <c r="N202" i="61"/>
  <c r="N193" i="61"/>
  <c r="N183" i="61"/>
  <c r="N173" i="61"/>
  <c r="N164" i="61"/>
  <c r="N152" i="61"/>
  <c r="N174" i="60"/>
  <c r="N167" i="60"/>
  <c r="N160" i="60"/>
  <c r="N140" i="60"/>
  <c r="N124" i="60"/>
  <c r="N199" i="59"/>
  <c r="N183" i="59"/>
  <c r="N168" i="59"/>
  <c r="N149" i="59"/>
  <c r="N131" i="59"/>
  <c r="N205" i="58"/>
  <c r="N183" i="58"/>
  <c r="N161" i="58"/>
  <c r="N135" i="58"/>
  <c r="N114" i="58"/>
  <c r="N200" i="43"/>
  <c r="N194" i="43"/>
  <c r="N184" i="43"/>
  <c r="N173" i="43"/>
  <c r="N166" i="43"/>
  <c r="N158" i="43"/>
  <c r="N150" i="43"/>
  <c r="N138" i="43"/>
  <c r="N131" i="43"/>
  <c r="N114" i="43"/>
  <c r="N194" i="67"/>
  <c r="N176" i="67"/>
  <c r="N169" i="67"/>
  <c r="N155" i="67"/>
  <c r="N136" i="67"/>
  <c r="M105" i="63"/>
  <c r="N114" i="57"/>
  <c r="N202" i="57"/>
  <c r="N197" i="57"/>
  <c r="N191" i="57"/>
  <c r="N186" i="57"/>
  <c r="N181" i="57"/>
  <c r="N175" i="57"/>
  <c r="N170" i="57"/>
  <c r="N165" i="57"/>
  <c r="N159" i="57"/>
  <c r="N154" i="57"/>
  <c r="N149" i="57"/>
  <c r="N143" i="57"/>
  <c r="N138" i="57"/>
  <c r="N133" i="57"/>
  <c r="N127" i="57"/>
  <c r="N121" i="57"/>
  <c r="G105" i="66"/>
  <c r="D142" i="81"/>
  <c r="C147" i="81"/>
  <c r="M143" i="68"/>
  <c r="F128" i="81"/>
  <c r="G146" i="78"/>
  <c r="D139" i="81"/>
  <c r="C136" i="81"/>
  <c r="G140" i="83"/>
  <c r="C146" i="81"/>
  <c r="D141" i="81"/>
  <c r="D144" i="81"/>
  <c r="F150" i="80"/>
  <c r="F154" i="80"/>
  <c r="D148" i="81"/>
  <c r="D138" i="81"/>
  <c r="D140" i="81"/>
  <c r="C137" i="81"/>
  <c r="J16" i="87"/>
  <c r="D130" i="81"/>
  <c r="E141" i="81"/>
  <c r="J7" i="87"/>
  <c r="G105" i="63"/>
  <c r="N104" i="64"/>
  <c r="N104" i="62"/>
  <c r="O21" i="86" s="1"/>
  <c r="M126" i="77"/>
  <c r="M149" i="77"/>
  <c r="N104" i="67"/>
  <c r="J106" i="67" s="1"/>
  <c r="N104" i="63"/>
  <c r="O7" i="86" s="1"/>
  <c r="G34" i="81"/>
  <c r="N104" i="61"/>
  <c r="O10" i="86" s="1"/>
  <c r="N104" i="59"/>
  <c r="O13" i="86" s="1"/>
  <c r="G37" i="80"/>
  <c r="M135" i="78"/>
  <c r="G105" i="65"/>
  <c r="C135" i="81"/>
  <c r="D145" i="81"/>
  <c r="G105" i="43"/>
  <c r="M133" i="82"/>
  <c r="G105" i="62"/>
  <c r="O105" i="62" s="1"/>
  <c r="G105" i="64"/>
  <c r="M12" i="87"/>
  <c r="M7" i="87"/>
  <c r="M9" i="87"/>
  <c r="J12" i="87"/>
  <c r="M139" i="77"/>
  <c r="J13" i="87"/>
  <c r="F153" i="80"/>
  <c r="G105" i="59"/>
  <c r="F135" i="80"/>
  <c r="D137" i="81"/>
  <c r="D129" i="81"/>
  <c r="C138" i="81"/>
  <c r="B146" i="81"/>
  <c r="F142" i="81"/>
  <c r="M15" i="87"/>
  <c r="M16" i="87"/>
  <c r="J9" i="87"/>
  <c r="M10" i="87"/>
  <c r="M13" i="87"/>
  <c r="J15" i="87"/>
  <c r="B145" i="81"/>
  <c r="C134" i="81"/>
  <c r="B147" i="81"/>
  <c r="C148" i="81"/>
  <c r="F144" i="81"/>
  <c r="G49" i="80"/>
  <c r="E126" i="80"/>
  <c r="M138" i="77"/>
  <c r="M134" i="77"/>
  <c r="M143" i="77"/>
  <c r="E139" i="80"/>
  <c r="D136" i="81"/>
  <c r="F131" i="81"/>
  <c r="G46" i="81"/>
  <c r="C132" i="81"/>
  <c r="M129" i="77"/>
  <c r="M130" i="77"/>
  <c r="E133" i="80"/>
  <c r="D146" i="81"/>
  <c r="E137" i="81"/>
  <c r="F143" i="81"/>
  <c r="G41" i="80"/>
  <c r="G23" i="81"/>
  <c r="M135" i="77"/>
  <c r="M144" i="77"/>
  <c r="M140" i="77"/>
  <c r="M132" i="77"/>
  <c r="M151" i="77"/>
  <c r="M133" i="77"/>
  <c r="D143" i="81"/>
  <c r="C150" i="81"/>
  <c r="G30" i="80"/>
  <c r="G22" i="81"/>
  <c r="G38" i="81"/>
  <c r="G48" i="80"/>
  <c r="F141" i="81"/>
  <c r="C145" i="81"/>
  <c r="G40" i="80"/>
  <c r="B137" i="80"/>
  <c r="G34" i="80"/>
  <c r="G49" i="81"/>
  <c r="G38" i="80"/>
  <c r="G45" i="81"/>
  <c r="M152" i="77"/>
  <c r="M131" i="77"/>
  <c r="M137" i="77"/>
  <c r="G50" i="80"/>
  <c r="G26" i="80"/>
  <c r="G39" i="80"/>
  <c r="M136" i="77"/>
  <c r="G44" i="80"/>
  <c r="G44" i="81"/>
  <c r="G20" i="81"/>
  <c r="G33" i="81"/>
  <c r="F154" i="81"/>
  <c r="G36" i="80"/>
  <c r="G36" i="81"/>
  <c r="G43" i="81"/>
  <c r="H105" i="77"/>
  <c r="G32" i="80"/>
  <c r="G103" i="80"/>
  <c r="N103" i="80" s="1"/>
  <c r="M145" i="77"/>
  <c r="G47" i="80"/>
  <c r="G30" i="81"/>
  <c r="G31" i="81"/>
  <c r="G35" i="80"/>
  <c r="M153" i="77"/>
  <c r="M128" i="77"/>
  <c r="G45" i="80"/>
  <c r="M127" i="77"/>
  <c r="M142" i="77"/>
  <c r="M150" i="77"/>
  <c r="G29" i="80"/>
  <c r="M141" i="77"/>
  <c r="G28" i="81"/>
  <c r="B130" i="81"/>
  <c r="G27" i="81"/>
  <c r="M146" i="77"/>
  <c r="G33" i="80"/>
  <c r="G35" i="81"/>
  <c r="G22" i="80"/>
  <c r="G31" i="80"/>
  <c r="G29" i="81"/>
  <c r="G51" i="80"/>
  <c r="G48" i="81"/>
  <c r="M6" i="87"/>
  <c r="G50" i="81"/>
  <c r="I105" i="77"/>
  <c r="G39" i="81"/>
  <c r="G40" i="81"/>
  <c r="G32" i="81"/>
  <c r="G24" i="80"/>
  <c r="G47" i="81"/>
  <c r="G42" i="80"/>
  <c r="G24" i="81"/>
  <c r="G41" i="81"/>
  <c r="G42" i="81"/>
  <c r="G25" i="81"/>
  <c r="J6" i="87"/>
  <c r="G21" i="81"/>
  <c r="G103" i="81"/>
  <c r="G25" i="80"/>
  <c r="G20" i="80"/>
  <c r="G23" i="80"/>
  <c r="G28" i="80"/>
  <c r="M147" i="77"/>
  <c r="M148" i="77"/>
  <c r="G46" i="80"/>
  <c r="G43" i="80"/>
  <c r="G51" i="81"/>
  <c r="M154" i="77"/>
  <c r="G27" i="80"/>
  <c r="G21" i="80"/>
  <c r="G26" i="81"/>
  <c r="J10" i="87"/>
  <c r="G37" i="81"/>
  <c r="M148" i="68"/>
  <c r="M151" i="68"/>
  <c r="M147" i="82"/>
  <c r="M139" i="82"/>
  <c r="C144" i="81"/>
  <c r="G136" i="68"/>
  <c r="G148" i="78"/>
  <c r="G131" i="85"/>
  <c r="D141" i="80"/>
  <c r="C139" i="81"/>
  <c r="B135" i="81"/>
  <c r="G140" i="85"/>
  <c r="F145" i="81"/>
  <c r="E126" i="81"/>
  <c r="M129" i="79"/>
  <c r="D154" i="80"/>
  <c r="G141" i="79"/>
  <c r="D128" i="81"/>
  <c r="E145" i="81"/>
  <c r="F147" i="81"/>
  <c r="C154" i="80"/>
  <c r="C141" i="80"/>
  <c r="G132" i="78"/>
  <c r="G138" i="85"/>
  <c r="M134" i="82"/>
  <c r="D153" i="80"/>
  <c r="C149" i="81"/>
  <c r="F149" i="81"/>
  <c r="F153" i="81"/>
  <c r="G137" i="82"/>
  <c r="C144" i="80"/>
  <c r="F148" i="80"/>
  <c r="G150" i="82"/>
  <c r="E143" i="80"/>
  <c r="C153" i="80"/>
  <c r="M127" i="79"/>
  <c r="G148" i="83"/>
  <c r="E144" i="81"/>
  <c r="M146" i="68"/>
  <c r="G148" i="85"/>
  <c r="G130" i="83"/>
  <c r="M146" i="83"/>
  <c r="E146" i="81"/>
  <c r="G127" i="68"/>
  <c r="G149" i="78"/>
  <c r="G135" i="82"/>
  <c r="G141" i="83"/>
  <c r="E147" i="81"/>
  <c r="M135" i="82"/>
  <c r="D147" i="80"/>
  <c r="M149" i="68"/>
  <c r="E139" i="81"/>
  <c r="G136" i="79"/>
  <c r="G135" i="78"/>
  <c r="G132" i="82"/>
  <c r="G152" i="85"/>
  <c r="D127" i="81"/>
  <c r="C142" i="80"/>
  <c r="F139" i="80"/>
  <c r="M147" i="85"/>
  <c r="F132" i="80"/>
  <c r="G139" i="78"/>
  <c r="G130" i="79"/>
  <c r="G134" i="78"/>
  <c r="G142" i="82"/>
  <c r="B147" i="80"/>
  <c r="G146" i="68"/>
  <c r="F137" i="81"/>
  <c r="F146" i="81"/>
  <c r="M149" i="78"/>
  <c r="M132" i="83"/>
  <c r="M139" i="83"/>
  <c r="M136" i="82"/>
  <c r="G151" i="79"/>
  <c r="G139" i="82"/>
  <c r="M147" i="83"/>
  <c r="M127" i="85"/>
  <c r="M154" i="83"/>
  <c r="D154" i="81"/>
  <c r="G139" i="68"/>
  <c r="G133" i="78"/>
  <c r="G137" i="83"/>
  <c r="M142" i="78"/>
  <c r="M137" i="85"/>
  <c r="D137" i="80"/>
  <c r="G154" i="77"/>
  <c r="C148" i="80"/>
  <c r="F134" i="80"/>
  <c r="D126" i="80"/>
  <c r="D146" i="80"/>
  <c r="F138" i="80"/>
  <c r="E145" i="80"/>
  <c r="C127" i="80"/>
  <c r="C128" i="80"/>
  <c r="C137" i="80"/>
  <c r="F133" i="80"/>
  <c r="F131" i="80"/>
  <c r="M134" i="85"/>
  <c r="G127" i="78"/>
  <c r="G148" i="79"/>
  <c r="M130" i="68"/>
  <c r="G144" i="68"/>
  <c r="G137" i="85"/>
  <c r="G144" i="82"/>
  <c r="G154" i="79"/>
  <c r="M148" i="79"/>
  <c r="M127" i="68"/>
  <c r="M153" i="68"/>
  <c r="M137" i="68"/>
  <c r="M134" i="78"/>
  <c r="M136" i="83"/>
  <c r="G134" i="82"/>
  <c r="M129" i="82"/>
  <c r="M151" i="82"/>
  <c r="G135" i="68"/>
  <c r="G138" i="78"/>
  <c r="G143" i="68"/>
  <c r="G149" i="68"/>
  <c r="G147" i="68"/>
  <c r="B133" i="80"/>
  <c r="G153" i="82"/>
  <c r="M128" i="82"/>
  <c r="G136" i="83"/>
  <c r="G149" i="84"/>
  <c r="M127" i="82"/>
  <c r="F128" i="80"/>
  <c r="C149" i="80"/>
  <c r="N104" i="60"/>
  <c r="O16" i="86" s="1"/>
  <c r="N104" i="65"/>
  <c r="O15" i="86" s="1"/>
  <c r="M133" i="68"/>
  <c r="G129" i="78"/>
  <c r="M150" i="82"/>
  <c r="M151" i="83"/>
  <c r="M137" i="79"/>
  <c r="M146" i="82"/>
  <c r="G139" i="85"/>
  <c r="G152" i="68"/>
  <c r="M126" i="79"/>
  <c r="G146" i="79"/>
  <c r="G134" i="85"/>
  <c r="M143" i="85"/>
  <c r="M132" i="82"/>
  <c r="B150" i="80"/>
  <c r="G138" i="68"/>
  <c r="M138" i="83"/>
  <c r="M153" i="83"/>
  <c r="M138" i="82"/>
  <c r="G150" i="79"/>
  <c r="G138" i="83"/>
  <c r="G150" i="68"/>
  <c r="M152" i="79"/>
  <c r="G154" i="82"/>
  <c r="M126" i="68"/>
  <c r="G144" i="85"/>
  <c r="G151" i="68"/>
  <c r="M150" i="79"/>
  <c r="M141" i="68"/>
  <c r="M143" i="82"/>
  <c r="N104" i="66"/>
  <c r="O12" i="86" s="1"/>
  <c r="G148" i="68"/>
  <c r="G145" i="78"/>
  <c r="G153" i="68"/>
  <c r="M129" i="78"/>
  <c r="G128" i="78"/>
  <c r="G133" i="79"/>
  <c r="G151" i="78"/>
  <c r="B138" i="81"/>
  <c r="M150" i="85"/>
  <c r="G146" i="83"/>
  <c r="M130" i="83"/>
  <c r="G151" i="82"/>
  <c r="E146" i="80"/>
  <c r="C133" i="81"/>
  <c r="M148" i="84"/>
  <c r="M142" i="68"/>
  <c r="G128" i="68"/>
  <c r="G130" i="68"/>
  <c r="M127" i="78"/>
  <c r="M136" i="85"/>
  <c r="M150" i="68"/>
  <c r="G141" i="85"/>
  <c r="G149" i="85"/>
  <c r="M149" i="83"/>
  <c r="M142" i="79"/>
  <c r="G136" i="85"/>
  <c r="M153" i="85"/>
  <c r="M140" i="85"/>
  <c r="M132" i="78"/>
  <c r="M138" i="85"/>
  <c r="G131" i="83"/>
  <c r="G129" i="79"/>
  <c r="G145" i="79"/>
  <c r="M138" i="68"/>
  <c r="M146" i="79"/>
  <c r="M130" i="82"/>
  <c r="M126" i="83"/>
  <c r="M141" i="83"/>
  <c r="M137" i="83"/>
  <c r="G126" i="78"/>
  <c r="M146" i="78"/>
  <c r="G131" i="79"/>
  <c r="G131" i="78"/>
  <c r="G153" i="78"/>
  <c r="M144" i="79"/>
  <c r="G127" i="85"/>
  <c r="G145" i="82"/>
  <c r="M126" i="82"/>
  <c r="G129" i="83"/>
  <c r="G149" i="82"/>
  <c r="G141" i="82"/>
  <c r="D144" i="80"/>
  <c r="M143" i="78"/>
  <c r="G139" i="83"/>
  <c r="M144" i="85"/>
  <c r="G147" i="82"/>
  <c r="M148" i="82"/>
  <c r="G128" i="83"/>
  <c r="G150" i="83"/>
  <c r="G137" i="68"/>
  <c r="E138" i="80"/>
  <c r="D130" i="80"/>
  <c r="G153" i="84"/>
  <c r="G138" i="79"/>
  <c r="G144" i="78"/>
  <c r="M146" i="85"/>
  <c r="G142" i="85"/>
  <c r="G133" i="68"/>
  <c r="G154" i="68"/>
  <c r="M147" i="79"/>
  <c r="M127" i="83"/>
  <c r="G137" i="79"/>
  <c r="M131" i="68"/>
  <c r="M136" i="78"/>
  <c r="G147" i="85"/>
  <c r="M154" i="79"/>
  <c r="M144" i="78"/>
  <c r="M133" i="78"/>
  <c r="G142" i="68"/>
  <c r="M126" i="85"/>
  <c r="G143" i="82"/>
  <c r="G133" i="83"/>
  <c r="M148" i="83"/>
  <c r="M129" i="83"/>
  <c r="M145" i="78"/>
  <c r="M135" i="83"/>
  <c r="M143" i="83"/>
  <c r="G152" i="79"/>
  <c r="M139" i="85"/>
  <c r="M147" i="68"/>
  <c r="G154" i="83"/>
  <c r="G147" i="83"/>
  <c r="G134" i="68"/>
  <c r="G152" i="82"/>
  <c r="G131" i="68"/>
  <c r="M136" i="79"/>
  <c r="M140" i="78"/>
  <c r="G129" i="85"/>
  <c r="G130" i="82"/>
  <c r="G136" i="82"/>
  <c r="M145" i="85"/>
  <c r="C152" i="81"/>
  <c r="M134" i="68"/>
  <c r="M141" i="78"/>
  <c r="G134" i="79"/>
  <c r="G141" i="78"/>
  <c r="G140" i="68"/>
  <c r="M151" i="79"/>
  <c r="D126" i="81"/>
  <c r="G150" i="85"/>
  <c r="M131" i="85"/>
  <c r="G129" i="82"/>
  <c r="E141" i="80"/>
  <c r="B148" i="80"/>
  <c r="F140" i="80"/>
  <c r="G105" i="61"/>
  <c r="N104" i="43"/>
  <c r="M152" i="78"/>
  <c r="M129" i="68"/>
  <c r="M154" i="68"/>
  <c r="G144" i="79"/>
  <c r="M148" i="85"/>
  <c r="M139" i="68"/>
  <c r="M140" i="83"/>
  <c r="M145" i="82"/>
  <c r="G145" i="68"/>
  <c r="M140" i="82"/>
  <c r="M150" i="83"/>
  <c r="M140" i="68"/>
  <c r="M135" i="79"/>
  <c r="G135" i="85"/>
  <c r="M141" i="82"/>
  <c r="G151" i="85"/>
  <c r="G126" i="83"/>
  <c r="M152" i="68"/>
  <c r="G128" i="85"/>
  <c r="G154" i="78"/>
  <c r="M129" i="85"/>
  <c r="G130" i="78"/>
  <c r="G132" i="85"/>
  <c r="M141" i="79"/>
  <c r="M154" i="82"/>
  <c r="N104" i="58"/>
  <c r="M132" i="85"/>
  <c r="M133" i="79"/>
  <c r="G141" i="68"/>
  <c r="G150" i="78"/>
  <c r="G143" i="79"/>
  <c r="M153" i="79"/>
  <c r="G139" i="79"/>
  <c r="G142" i="78"/>
  <c r="G136" i="78"/>
  <c r="G153" i="79"/>
  <c r="G126" i="85"/>
  <c r="G134" i="83"/>
  <c r="G126" i="82"/>
  <c r="G151" i="83"/>
  <c r="M133" i="85"/>
  <c r="G131" i="82"/>
  <c r="G144" i="83"/>
  <c r="G149" i="83"/>
  <c r="G140" i="82"/>
  <c r="G145" i="85"/>
  <c r="G140" i="78"/>
  <c r="M154" i="78"/>
  <c r="G126" i="68"/>
  <c r="G149" i="79"/>
  <c r="M152" i="82"/>
  <c r="G128" i="79"/>
  <c r="G142" i="83"/>
  <c r="G138" i="82"/>
  <c r="M142" i="85"/>
  <c r="G127" i="83"/>
  <c r="G153" i="85"/>
  <c r="M128" i="78"/>
  <c r="M148" i="78"/>
  <c r="M131" i="78"/>
  <c r="G132" i="68"/>
  <c r="E151" i="81"/>
  <c r="G135" i="79"/>
  <c r="G152" i="83"/>
  <c r="M126" i="78"/>
  <c r="G127" i="79"/>
  <c r="G143" i="78"/>
  <c r="G126" i="79"/>
  <c r="G128" i="82"/>
  <c r="G132" i="83"/>
  <c r="M142" i="83"/>
  <c r="M134" i="83"/>
  <c r="M145" i="79"/>
  <c r="G142" i="79"/>
  <c r="G152" i="78"/>
  <c r="G147" i="79"/>
  <c r="M136" i="68"/>
  <c r="G129" i="68"/>
  <c r="G147" i="78"/>
  <c r="M137" i="78"/>
  <c r="G130" i="85"/>
  <c r="G135" i="83"/>
  <c r="G127" i="82"/>
  <c r="G153" i="83"/>
  <c r="F144" i="80"/>
  <c r="E153" i="80"/>
  <c r="E131" i="80"/>
  <c r="D148" i="80"/>
  <c r="M130" i="79"/>
  <c r="M149" i="79"/>
  <c r="M150" i="78"/>
  <c r="M128" i="68"/>
  <c r="M144" i="68"/>
  <c r="M153" i="82"/>
  <c r="M131" i="82"/>
  <c r="M130" i="85"/>
  <c r="M135" i="85"/>
  <c r="G145" i="83"/>
  <c r="M149" i="85"/>
  <c r="E138" i="81"/>
  <c r="E154" i="80"/>
  <c r="G105" i="58"/>
  <c r="O105" i="58" s="1"/>
  <c r="G105" i="67"/>
  <c r="M153" i="78"/>
  <c r="M139" i="78"/>
  <c r="M132" i="79"/>
  <c r="G133" i="85"/>
  <c r="G146" i="82"/>
  <c r="M141" i="85"/>
  <c r="M144" i="82"/>
  <c r="M140" i="79"/>
  <c r="M133" i="83"/>
  <c r="M151" i="78"/>
  <c r="G133" i="82"/>
  <c r="M151" i="85"/>
  <c r="M138" i="79"/>
  <c r="M135" i="68"/>
  <c r="M130" i="78"/>
  <c r="G143" i="85"/>
  <c r="M152" i="85"/>
  <c r="M132" i="68"/>
  <c r="M128" i="79"/>
  <c r="G146" i="85"/>
  <c r="E130" i="81"/>
  <c r="E151" i="80"/>
  <c r="E147" i="80"/>
  <c r="M134" i="79"/>
  <c r="M139" i="79"/>
  <c r="G132" i="79"/>
  <c r="M145" i="68"/>
  <c r="M138" i="78"/>
  <c r="M137" i="82"/>
  <c r="M152" i="83"/>
  <c r="M154" i="85"/>
  <c r="G154" i="85"/>
  <c r="M131" i="83"/>
  <c r="M128" i="85"/>
  <c r="G148" i="82"/>
  <c r="M144" i="83"/>
  <c r="M147" i="78"/>
  <c r="M131" i="79"/>
  <c r="G140" i="79"/>
  <c r="M142" i="82"/>
  <c r="M128" i="83"/>
  <c r="G137" i="78"/>
  <c r="M145" i="83"/>
  <c r="M143" i="79"/>
  <c r="G143" i="83"/>
  <c r="M149" i="82"/>
  <c r="G146" i="77"/>
  <c r="G150" i="84"/>
  <c r="G137" i="84"/>
  <c r="G146" i="84"/>
  <c r="F129" i="81"/>
  <c r="M135" i="84"/>
  <c r="C129" i="81"/>
  <c r="G126" i="84"/>
  <c r="C133" i="80"/>
  <c r="C152" i="80"/>
  <c r="F126" i="81"/>
  <c r="C143" i="80"/>
  <c r="D127" i="80"/>
  <c r="D151" i="80"/>
  <c r="D134" i="80"/>
  <c r="D133" i="81"/>
  <c r="B150" i="81"/>
  <c r="E142" i="80"/>
  <c r="E144" i="80"/>
  <c r="E136" i="81"/>
  <c r="F137" i="80"/>
  <c r="G126" i="77"/>
  <c r="F129" i="80"/>
  <c r="E137" i="80"/>
  <c r="D152" i="81"/>
  <c r="B139" i="81"/>
  <c r="B139" i="80"/>
  <c r="M151" i="84"/>
  <c r="G127" i="77"/>
  <c r="D145" i="80"/>
  <c r="C136" i="80"/>
  <c r="C132" i="80"/>
  <c r="B126" i="81"/>
  <c r="M137" i="84"/>
  <c r="M142" i="84"/>
  <c r="B141" i="81"/>
  <c r="B154" i="81"/>
  <c r="C139" i="80"/>
  <c r="F147" i="80"/>
  <c r="E135" i="81"/>
  <c r="F150" i="81"/>
  <c r="F127" i="81"/>
  <c r="G133" i="84"/>
  <c r="F136" i="81"/>
  <c r="F133" i="81"/>
  <c r="B130" i="80"/>
  <c r="F136" i="80"/>
  <c r="E130" i="80"/>
  <c r="D139" i="80"/>
  <c r="E140" i="80"/>
  <c r="B143" i="80"/>
  <c r="B132" i="80"/>
  <c r="G147" i="84"/>
  <c r="G152" i="77"/>
  <c r="G151" i="77"/>
  <c r="G154" i="84"/>
  <c r="B141" i="80"/>
  <c r="D132" i="80"/>
  <c r="D128" i="80"/>
  <c r="G141" i="77"/>
  <c r="D136" i="80"/>
  <c r="B152" i="80"/>
  <c r="E150" i="81"/>
  <c r="E136" i="80"/>
  <c r="C153" i="81"/>
  <c r="C127" i="81"/>
  <c r="E154" i="81"/>
  <c r="E128" i="80"/>
  <c r="G138" i="84"/>
  <c r="F152" i="81"/>
  <c r="B148" i="81"/>
  <c r="B133" i="81"/>
  <c r="B153" i="81"/>
  <c r="G153" i="77"/>
  <c r="F132" i="81"/>
  <c r="M133" i="84"/>
  <c r="G148" i="77"/>
  <c r="B129" i="80"/>
  <c r="B129" i="81"/>
  <c r="D131" i="80"/>
  <c r="E150" i="80"/>
  <c r="M126" i="84"/>
  <c r="D153" i="81"/>
  <c r="C146" i="80"/>
  <c r="M150" i="84"/>
  <c r="C138" i="80"/>
  <c r="C126" i="81"/>
  <c r="D131" i="81"/>
  <c r="E127" i="81"/>
  <c r="C140" i="81"/>
  <c r="F134" i="81"/>
  <c r="E142" i="81"/>
  <c r="D140" i="80"/>
  <c r="B146" i="80"/>
  <c r="G135" i="84"/>
  <c r="B151" i="81"/>
  <c r="B152" i="81"/>
  <c r="B136" i="80"/>
  <c r="B131" i="80"/>
  <c r="B136" i="81"/>
  <c r="G134" i="77"/>
  <c r="F141" i="80"/>
  <c r="M136" i="84"/>
  <c r="E129" i="80"/>
  <c r="C151" i="80"/>
  <c r="E148" i="80"/>
  <c r="B140" i="80"/>
  <c r="E149" i="80"/>
  <c r="M143" i="84"/>
  <c r="E153" i="81"/>
  <c r="B142" i="81"/>
  <c r="C154" i="81"/>
  <c r="C126" i="80"/>
  <c r="M141" i="84"/>
  <c r="C128" i="81"/>
  <c r="D138" i="80"/>
  <c r="C145" i="80"/>
  <c r="D135" i="80"/>
  <c r="C147" i="80"/>
  <c r="D142" i="80"/>
  <c r="M127" i="84"/>
  <c r="G148" i="84"/>
  <c r="M129" i="84"/>
  <c r="G138" i="77"/>
  <c r="E134" i="80"/>
  <c r="F143" i="80"/>
  <c r="F126" i="80"/>
  <c r="G128" i="77"/>
  <c r="G139" i="77"/>
  <c r="F127" i="80"/>
  <c r="B127" i="81"/>
  <c r="B128" i="81"/>
  <c r="G152" i="84"/>
  <c r="G132" i="84"/>
  <c r="F146" i="80"/>
  <c r="E135" i="80"/>
  <c r="D150" i="80"/>
  <c r="G129" i="84"/>
  <c r="G136" i="84"/>
  <c r="G131" i="84"/>
  <c r="M140" i="84"/>
  <c r="M147" i="84"/>
  <c r="C143" i="81"/>
  <c r="B135" i="80"/>
  <c r="C150" i="80"/>
  <c r="M145" i="84"/>
  <c r="B154" i="80"/>
  <c r="E129" i="81"/>
  <c r="F130" i="81"/>
  <c r="F148" i="81"/>
  <c r="M152" i="84"/>
  <c r="G130" i="84"/>
  <c r="G127" i="84"/>
  <c r="B153" i="80"/>
  <c r="B144" i="80"/>
  <c r="B151" i="80"/>
  <c r="F145" i="80"/>
  <c r="F149" i="80"/>
  <c r="B144" i="81"/>
  <c r="B143" i="81"/>
  <c r="M153" i="84"/>
  <c r="E133" i="81"/>
  <c r="C141" i="81"/>
  <c r="E128" i="81"/>
  <c r="C131" i="81"/>
  <c r="E148" i="81"/>
  <c r="B132" i="81"/>
  <c r="G145" i="77"/>
  <c r="D149" i="81"/>
  <c r="G135" i="77"/>
  <c r="B134" i="81"/>
  <c r="G149" i="77"/>
  <c r="G142" i="77"/>
  <c r="G144" i="77"/>
  <c r="E131" i="81"/>
  <c r="G140" i="84"/>
  <c r="F142" i="80"/>
  <c r="C131" i="80"/>
  <c r="D143" i="80"/>
  <c r="G145" i="84"/>
  <c r="M154" i="84"/>
  <c r="B142" i="80"/>
  <c r="C135" i="80"/>
  <c r="D147" i="81"/>
  <c r="D133" i="80"/>
  <c r="D151" i="81"/>
  <c r="E132" i="81"/>
  <c r="B138" i="80"/>
  <c r="G132" i="77"/>
  <c r="D134" i="81"/>
  <c r="D132" i="81"/>
  <c r="B126" i="80"/>
  <c r="M146" i="84"/>
  <c r="G141" i="84"/>
  <c r="G130" i="77"/>
  <c r="F152" i="80"/>
  <c r="G147" i="77"/>
  <c r="G137" i="77"/>
  <c r="B134" i="80"/>
  <c r="E143" i="81"/>
  <c r="B137" i="81"/>
  <c r="C134" i="80"/>
  <c r="E127" i="80"/>
  <c r="G134" i="84"/>
  <c r="G143" i="84"/>
  <c r="G136" i="77"/>
  <c r="E152" i="81"/>
  <c r="B149" i="80"/>
  <c r="M132" i="84"/>
  <c r="B145" i="80"/>
  <c r="B127" i="80"/>
  <c r="M138" i="84"/>
  <c r="G139" i="84"/>
  <c r="C130" i="80"/>
  <c r="F130" i="80"/>
  <c r="F138" i="81"/>
  <c r="G144" i="84"/>
  <c r="M130" i="84"/>
  <c r="M128" i="84"/>
  <c r="B140" i="81"/>
  <c r="G131" i="77"/>
  <c r="M149" i="84"/>
  <c r="G142" i="84"/>
  <c r="G128" i="84"/>
  <c r="G150" i="77"/>
  <c r="M144" i="84"/>
  <c r="D152" i="80"/>
  <c r="M131" i="84"/>
  <c r="E152" i="80"/>
  <c r="D135" i="81"/>
  <c r="M134" i="84"/>
  <c r="F151" i="81"/>
  <c r="B128" i="80"/>
  <c r="C151" i="81"/>
  <c r="B149" i="81"/>
  <c r="B131" i="81"/>
  <c r="G133" i="77"/>
  <c r="G129" i="77"/>
  <c r="D149" i="80"/>
  <c r="F139" i="81"/>
  <c r="C130" i="81"/>
  <c r="G151" i="84"/>
  <c r="G140" i="77"/>
  <c r="G143" i="77"/>
  <c r="D150" i="81"/>
  <c r="C140" i="80"/>
  <c r="F135" i="81"/>
  <c r="D129" i="80"/>
  <c r="F151" i="80"/>
  <c r="C142" i="81"/>
  <c r="E134" i="81"/>
  <c r="E149" i="81"/>
  <c r="E132" i="80"/>
  <c r="C129" i="80"/>
  <c r="M139" i="84"/>
  <c r="E140" i="81"/>
  <c r="F140" i="81"/>
  <c r="N143" i="84" l="1"/>
  <c r="O22" i="86"/>
  <c r="O18" i="86"/>
  <c r="O19" i="86"/>
  <c r="O105" i="61"/>
  <c r="J100" i="37" s="1"/>
  <c r="N141" i="84"/>
  <c r="N127" i="84"/>
  <c r="N138" i="83"/>
  <c r="N129" i="68"/>
  <c r="N49" i="80"/>
  <c r="N143" i="82"/>
  <c r="N126" i="68"/>
  <c r="N146" i="68"/>
  <c r="N45" i="81"/>
  <c r="N40" i="81"/>
  <c r="N34" i="80"/>
  <c r="N126" i="82"/>
  <c r="N136" i="84"/>
  <c r="N20" i="80"/>
  <c r="N44" i="81"/>
  <c r="N37" i="80"/>
  <c r="N25" i="81"/>
  <c r="N38" i="80"/>
  <c r="N141" i="68"/>
  <c r="N130" i="68"/>
  <c r="N142" i="84"/>
  <c r="N144" i="79"/>
  <c r="N51" i="81"/>
  <c r="N46" i="81"/>
  <c r="N39" i="81"/>
  <c r="N32" i="80"/>
  <c r="N27" i="80"/>
  <c r="N35" i="81"/>
  <c r="N30" i="81"/>
  <c r="N50" i="81"/>
  <c r="N47" i="80"/>
  <c r="N147" i="85"/>
  <c r="O105" i="64"/>
  <c r="R93" i="37" s="1"/>
  <c r="N103" i="81"/>
  <c r="N143" i="83"/>
  <c r="N127" i="79"/>
  <c r="O105" i="43"/>
  <c r="F89" i="37" s="1"/>
  <c r="N136" i="83"/>
  <c r="N26" i="81"/>
  <c r="N51" i="80"/>
  <c r="O136" i="81"/>
  <c r="N31" i="80"/>
  <c r="N42" i="81"/>
  <c r="N47" i="81"/>
  <c r="N48" i="81"/>
  <c r="N27" i="81"/>
  <c r="N20" i="81"/>
  <c r="N22" i="81"/>
  <c r="N37" i="81"/>
  <c r="N41" i="81"/>
  <c r="N36" i="80"/>
  <c r="N30" i="80"/>
  <c r="N143" i="68"/>
  <c r="N147" i="83"/>
  <c r="N21" i="80"/>
  <c r="N43" i="80"/>
  <c r="N24" i="81"/>
  <c r="N29" i="81"/>
  <c r="N22" i="80"/>
  <c r="N33" i="80"/>
  <c r="N28" i="81"/>
  <c r="N50" i="80"/>
  <c r="N48" i="80"/>
  <c r="N23" i="81"/>
  <c r="N34" i="81"/>
  <c r="N31" i="81"/>
  <c r="N36" i="81"/>
  <c r="N39" i="80"/>
  <c r="N135" i="84"/>
  <c r="N140" i="79"/>
  <c r="N146" i="82"/>
  <c r="N138" i="82"/>
  <c r="N153" i="79"/>
  <c r="O105" i="59"/>
  <c r="F87" i="37" s="1"/>
  <c r="N130" i="82"/>
  <c r="N134" i="82"/>
  <c r="N132" i="79"/>
  <c r="N128" i="82"/>
  <c r="N140" i="82"/>
  <c r="N136" i="82"/>
  <c r="K106" i="67"/>
  <c r="O9" i="86"/>
  <c r="N135" i="82"/>
  <c r="N150" i="85"/>
  <c r="N145" i="84"/>
  <c r="N32" i="81"/>
  <c r="N44" i="80"/>
  <c r="N148" i="84"/>
  <c r="N29" i="80"/>
  <c r="N126" i="85"/>
  <c r="N127" i="85"/>
  <c r="N153" i="85"/>
  <c r="N134" i="85"/>
  <c r="N137" i="78"/>
  <c r="O144" i="81"/>
  <c r="O128" i="80"/>
  <c r="N35" i="56" s="1"/>
  <c r="O137" i="81"/>
  <c r="N151" i="84"/>
  <c r="N146" i="85"/>
  <c r="N143" i="85"/>
  <c r="N133" i="85"/>
  <c r="N127" i="82"/>
  <c r="N143" i="78"/>
  <c r="N135" i="79"/>
  <c r="N140" i="78"/>
  <c r="N136" i="78"/>
  <c r="N129" i="82"/>
  <c r="N137" i="68"/>
  <c r="N147" i="82"/>
  <c r="N129" i="79"/>
  <c r="N28" i="80"/>
  <c r="N45" i="80"/>
  <c r="N147" i="79"/>
  <c r="N148" i="82"/>
  <c r="N133" i="82"/>
  <c r="N145" i="85"/>
  <c r="N153" i="68"/>
  <c r="N152" i="78"/>
  <c r="N152" i="79"/>
  <c r="N40" i="80"/>
  <c r="N38" i="81"/>
  <c r="N41" i="80"/>
  <c r="N132" i="83"/>
  <c r="N142" i="68"/>
  <c r="N149" i="68"/>
  <c r="N148" i="68"/>
  <c r="O144" i="80"/>
  <c r="N51" i="56" s="1"/>
  <c r="O154" i="80"/>
  <c r="N61" i="56" s="1"/>
  <c r="O145" i="80"/>
  <c r="N52" i="56" s="1"/>
  <c r="O153" i="80"/>
  <c r="N60" i="56" s="1"/>
  <c r="N135" i="78"/>
  <c r="N25" i="80"/>
  <c r="N33" i="81"/>
  <c r="N142" i="78"/>
  <c r="N46" i="80"/>
  <c r="N23" i="80"/>
  <c r="N21" i="81"/>
  <c r="N149" i="83"/>
  <c r="N151" i="83"/>
  <c r="N135" i="83"/>
  <c r="N26" i="80"/>
  <c r="N137" i="84"/>
  <c r="N130" i="85"/>
  <c r="N136" i="85"/>
  <c r="O131" i="81"/>
  <c r="O126" i="80"/>
  <c r="N33" i="56" s="1"/>
  <c r="O138" i="80"/>
  <c r="N45" i="56" s="1"/>
  <c r="O127" i="80"/>
  <c r="N34" i="56" s="1"/>
  <c r="O127" i="81"/>
  <c r="O134" i="80"/>
  <c r="N41" i="56" s="1"/>
  <c r="O139" i="80"/>
  <c r="N46" i="56" s="1"/>
  <c r="O149" i="80"/>
  <c r="N56" i="56" s="1"/>
  <c r="N154" i="85"/>
  <c r="N153" i="83"/>
  <c r="N126" i="79"/>
  <c r="N127" i="83"/>
  <c r="N126" i="83"/>
  <c r="N154" i="83"/>
  <c r="N137" i="79"/>
  <c r="N133" i="68"/>
  <c r="N151" i="82"/>
  <c r="N151" i="68"/>
  <c r="N137" i="85"/>
  <c r="N24" i="80"/>
  <c r="N43" i="81"/>
  <c r="N128" i="84"/>
  <c r="N134" i="84"/>
  <c r="N140" i="84"/>
  <c r="N130" i="84"/>
  <c r="N145" i="83"/>
  <c r="N142" i="79"/>
  <c r="N131" i="82"/>
  <c r="N134" i="83"/>
  <c r="N134" i="68"/>
  <c r="N139" i="83"/>
  <c r="N146" i="83"/>
  <c r="N139" i="82"/>
  <c r="N42" i="80"/>
  <c r="N35" i="80"/>
  <c r="N49" i="81"/>
  <c r="N142" i="83"/>
  <c r="N148" i="79"/>
  <c r="O149" i="81"/>
  <c r="O134" i="81"/>
  <c r="O142" i="80"/>
  <c r="N49" i="56" s="1"/>
  <c r="N129" i="84"/>
  <c r="N132" i="84"/>
  <c r="O136" i="80"/>
  <c r="N43" i="56" s="1"/>
  <c r="O146" i="80"/>
  <c r="N53" i="56" s="1"/>
  <c r="O129" i="80"/>
  <c r="N36" i="56" s="1"/>
  <c r="O152" i="80"/>
  <c r="N59" i="56" s="1"/>
  <c r="O130" i="80"/>
  <c r="N37" i="56" s="1"/>
  <c r="O139" i="81"/>
  <c r="N150" i="84"/>
  <c r="N152" i="83"/>
  <c r="N128" i="79"/>
  <c r="N145" i="68"/>
  <c r="N140" i="68"/>
  <c r="N131" i="68"/>
  <c r="N138" i="79"/>
  <c r="N153" i="78"/>
  <c r="N126" i="78"/>
  <c r="O138" i="81"/>
  <c r="L106" i="66"/>
  <c r="O150" i="80"/>
  <c r="N57" i="56" s="1"/>
  <c r="N146" i="79"/>
  <c r="N129" i="78"/>
  <c r="N147" i="68"/>
  <c r="N135" i="68"/>
  <c r="N127" i="78"/>
  <c r="N133" i="78"/>
  <c r="N142" i="82"/>
  <c r="N136" i="79"/>
  <c r="N149" i="78"/>
  <c r="N130" i="83"/>
  <c r="N148" i="83"/>
  <c r="N150" i="82"/>
  <c r="N141" i="79"/>
  <c r="O130" i="81"/>
  <c r="N150" i="77"/>
  <c r="N128" i="77"/>
  <c r="O137" i="80"/>
  <c r="N44" i="56" s="1"/>
  <c r="N132" i="77"/>
  <c r="O147" i="81"/>
  <c r="L106" i="67"/>
  <c r="L106" i="64"/>
  <c r="M104" i="81"/>
  <c r="N144" i="84"/>
  <c r="N139" i="84"/>
  <c r="N152" i="84"/>
  <c r="O152" i="81"/>
  <c r="O153" i="81"/>
  <c r="N138" i="84"/>
  <c r="O141" i="80"/>
  <c r="N48" i="56" s="1"/>
  <c r="N147" i="84"/>
  <c r="O154" i="81"/>
  <c r="O126" i="81"/>
  <c r="O150" i="81"/>
  <c r="N147" i="78"/>
  <c r="N144" i="83"/>
  <c r="N154" i="78"/>
  <c r="N151" i="85"/>
  <c r="O148" i="80"/>
  <c r="N55" i="56" s="1"/>
  <c r="N141" i="78"/>
  <c r="N129" i="85"/>
  <c r="N152" i="82"/>
  <c r="N142" i="85"/>
  <c r="N153" i="84"/>
  <c r="N150" i="83"/>
  <c r="N141" i="82"/>
  <c r="N145" i="82"/>
  <c r="N131" i="78"/>
  <c r="N131" i="83"/>
  <c r="N149" i="85"/>
  <c r="N151" i="78"/>
  <c r="N144" i="85"/>
  <c r="N150" i="68"/>
  <c r="N144" i="68"/>
  <c r="N139" i="68"/>
  <c r="N134" i="78"/>
  <c r="N152" i="85"/>
  <c r="N127" i="68"/>
  <c r="N148" i="85"/>
  <c r="N138" i="85"/>
  <c r="N140" i="85"/>
  <c r="N131" i="85"/>
  <c r="N142" i="77"/>
  <c r="N153" i="77"/>
  <c r="N136" i="77"/>
  <c r="N137" i="77"/>
  <c r="N140" i="77"/>
  <c r="N143" i="77"/>
  <c r="O146" i="81"/>
  <c r="N139" i="77"/>
  <c r="L106" i="63"/>
  <c r="N149" i="77"/>
  <c r="M104" i="80"/>
  <c r="O140" i="81"/>
  <c r="O143" i="81"/>
  <c r="O151" i="80"/>
  <c r="N58" i="56" s="1"/>
  <c r="O135" i="80"/>
  <c r="N42" i="56" s="1"/>
  <c r="N131" i="84"/>
  <c r="O128" i="81"/>
  <c r="O151" i="81"/>
  <c r="O133" i="81"/>
  <c r="N154" i="84"/>
  <c r="O132" i="80"/>
  <c r="N39" i="56" s="1"/>
  <c r="O141" i="81"/>
  <c r="N126" i="84"/>
  <c r="N146" i="84"/>
  <c r="N149" i="79"/>
  <c r="N143" i="79"/>
  <c r="N132" i="85"/>
  <c r="N128" i="85"/>
  <c r="L106" i="43"/>
  <c r="N134" i="79"/>
  <c r="N133" i="83"/>
  <c r="N128" i="83"/>
  <c r="N149" i="82"/>
  <c r="N131" i="79"/>
  <c r="N141" i="85"/>
  <c r="N133" i="79"/>
  <c r="N145" i="78"/>
  <c r="N152" i="68"/>
  <c r="L106" i="65"/>
  <c r="N153" i="82"/>
  <c r="N154" i="79"/>
  <c r="N130" i="79"/>
  <c r="N132" i="82"/>
  <c r="N141" i="83"/>
  <c r="N132" i="78"/>
  <c r="O135" i="81"/>
  <c r="N148" i="78"/>
  <c r="N148" i="77"/>
  <c r="N146" i="77"/>
  <c r="N141" i="77"/>
  <c r="N127" i="77"/>
  <c r="N145" i="77"/>
  <c r="M105" i="77"/>
  <c r="N131" i="77"/>
  <c r="N133" i="77"/>
  <c r="N144" i="77"/>
  <c r="N130" i="77"/>
  <c r="N134" i="77"/>
  <c r="O145" i="81"/>
  <c r="L106" i="59"/>
  <c r="N126" i="77"/>
  <c r="N146" i="78"/>
  <c r="O132" i="81"/>
  <c r="O142" i="81"/>
  <c r="O140" i="80"/>
  <c r="N47" i="56" s="1"/>
  <c r="O131" i="80"/>
  <c r="N38" i="56" s="1"/>
  <c r="O129" i="81"/>
  <c r="O148" i="81"/>
  <c r="O143" i="80"/>
  <c r="N50" i="56" s="1"/>
  <c r="N133" i="84"/>
  <c r="N132" i="68"/>
  <c r="N139" i="79"/>
  <c r="N150" i="78"/>
  <c r="L106" i="58"/>
  <c r="N130" i="78"/>
  <c r="N135" i="85"/>
  <c r="N154" i="68"/>
  <c r="N144" i="78"/>
  <c r="N129" i="83"/>
  <c r="N145" i="79"/>
  <c r="N128" i="68"/>
  <c r="N128" i="78"/>
  <c r="N154" i="82"/>
  <c r="N150" i="79"/>
  <c r="N138" i="68"/>
  <c r="N139" i="85"/>
  <c r="L106" i="60"/>
  <c r="N149" i="84"/>
  <c r="O133" i="80"/>
  <c r="N40" i="56" s="1"/>
  <c r="N138" i="78"/>
  <c r="N144" i="82"/>
  <c r="N137" i="83"/>
  <c r="N151" i="79"/>
  <c r="O147" i="80"/>
  <c r="N54" i="56" s="1"/>
  <c r="N139" i="78"/>
  <c r="N137" i="82"/>
  <c r="N136" i="68"/>
  <c r="N147" i="77"/>
  <c r="N152" i="77"/>
  <c r="N151" i="77"/>
  <c r="N135" i="77"/>
  <c r="N129" i="77"/>
  <c r="N138" i="77"/>
  <c r="L106" i="61"/>
  <c r="L106" i="62"/>
  <c r="N140" i="83"/>
  <c r="N154" i="77"/>
  <c r="O105" i="65"/>
  <c r="R94" i="37" s="1"/>
  <c r="O105" i="63"/>
  <c r="R92" i="37" s="1"/>
  <c r="O105" i="67"/>
  <c r="N81" i="37" s="1"/>
  <c r="O105" i="66"/>
  <c r="M81" i="37" s="1"/>
  <c r="D106" i="59"/>
  <c r="I106" i="63"/>
  <c r="J106" i="61"/>
  <c r="F88" i="37"/>
  <c r="N106" i="59"/>
  <c r="E106" i="59"/>
  <c r="I106" i="59"/>
  <c r="H106" i="59"/>
  <c r="J106" i="59"/>
  <c r="C106" i="59"/>
  <c r="M106" i="61"/>
  <c r="C106" i="61"/>
  <c r="G106" i="61"/>
  <c r="F106" i="61"/>
  <c r="D106" i="61"/>
  <c r="B106" i="61"/>
  <c r="K106" i="61"/>
  <c r="N106" i="61"/>
  <c r="E106" i="61"/>
  <c r="I106" i="61"/>
  <c r="H106" i="61"/>
  <c r="G106" i="67"/>
  <c r="D106" i="67"/>
  <c r="F106" i="59"/>
  <c r="I106" i="67"/>
  <c r="C106" i="67"/>
  <c r="F106" i="67"/>
  <c r="F106" i="63"/>
  <c r="E106" i="67"/>
  <c r="H106" i="67"/>
  <c r="M106" i="59"/>
  <c r="M106" i="67"/>
  <c r="K106" i="59"/>
  <c r="G106" i="59"/>
  <c r="B106" i="67"/>
  <c r="N106" i="67"/>
  <c r="J106" i="63"/>
  <c r="M148" i="81"/>
  <c r="H106" i="64"/>
  <c r="G106" i="64"/>
  <c r="I106" i="64"/>
  <c r="E106" i="64"/>
  <c r="N106" i="64"/>
  <c r="J106" i="64"/>
  <c r="D106" i="64"/>
  <c r="M106" i="64"/>
  <c r="B106" i="64"/>
  <c r="C106" i="64"/>
  <c r="F106" i="64"/>
  <c r="K106" i="64"/>
  <c r="M106" i="63"/>
  <c r="K106" i="63"/>
  <c r="C106" i="63"/>
  <c r="H106" i="63"/>
  <c r="N106" i="63"/>
  <c r="G106" i="63"/>
  <c r="D106" i="63"/>
  <c r="E106" i="63"/>
  <c r="B106" i="63"/>
  <c r="C106" i="62"/>
  <c r="M106" i="62"/>
  <c r="G106" i="62"/>
  <c r="H106" i="62"/>
  <c r="M106" i="58"/>
  <c r="B106" i="59"/>
  <c r="E106" i="62"/>
  <c r="K106" i="62"/>
  <c r="B106" i="62"/>
  <c r="F106" i="62"/>
  <c r="N106" i="62"/>
  <c r="I106" i="62"/>
  <c r="D106" i="62"/>
  <c r="J106" i="62"/>
  <c r="G106" i="58"/>
  <c r="I100" i="37"/>
  <c r="G144" i="81"/>
  <c r="G145" i="81"/>
  <c r="G146" i="81"/>
  <c r="G148" i="80"/>
  <c r="G152" i="81"/>
  <c r="M153" i="81"/>
  <c r="M135" i="80"/>
  <c r="G142" i="80"/>
  <c r="M143" i="81"/>
  <c r="N106" i="66"/>
  <c r="K106" i="66"/>
  <c r="J106" i="66"/>
  <c r="F106" i="66"/>
  <c r="I106" i="66"/>
  <c r="E106" i="66"/>
  <c r="B106" i="66"/>
  <c r="D106" i="66"/>
  <c r="C106" i="66"/>
  <c r="H106" i="66"/>
  <c r="N106" i="65"/>
  <c r="K106" i="65"/>
  <c r="J106" i="65"/>
  <c r="F106" i="65"/>
  <c r="I106" i="65"/>
  <c r="D106" i="65"/>
  <c r="E106" i="65"/>
  <c r="B106" i="65"/>
  <c r="H106" i="65"/>
  <c r="C106" i="65"/>
  <c r="M140" i="80"/>
  <c r="M149" i="80"/>
  <c r="M106" i="43"/>
  <c r="B106" i="60"/>
  <c r="N106" i="60"/>
  <c r="E106" i="60"/>
  <c r="D106" i="60"/>
  <c r="I106" i="60"/>
  <c r="H106" i="60"/>
  <c r="J106" i="60"/>
  <c r="C106" i="60"/>
  <c r="K106" i="60"/>
  <c r="F106" i="60"/>
  <c r="K106" i="58"/>
  <c r="J106" i="58"/>
  <c r="F106" i="58"/>
  <c r="N106" i="58"/>
  <c r="D106" i="58"/>
  <c r="I106" i="58"/>
  <c r="H106" i="58"/>
  <c r="C106" i="58"/>
  <c r="B106" i="58"/>
  <c r="E106" i="58"/>
  <c r="G106" i="43"/>
  <c r="G149" i="81"/>
  <c r="G126" i="80"/>
  <c r="M147" i="80"/>
  <c r="G130" i="80"/>
  <c r="M106" i="66"/>
  <c r="N106" i="43"/>
  <c r="K106" i="43"/>
  <c r="D106" i="43"/>
  <c r="E106" i="43"/>
  <c r="B106" i="43"/>
  <c r="F106" i="43"/>
  <c r="J106" i="43"/>
  <c r="C106" i="43"/>
  <c r="H106" i="43"/>
  <c r="I106" i="43"/>
  <c r="M129" i="80"/>
  <c r="M148" i="80"/>
  <c r="M140" i="81"/>
  <c r="G106" i="60"/>
  <c r="G106" i="66"/>
  <c r="M152" i="81"/>
  <c r="M106" i="65"/>
  <c r="M146" i="81"/>
  <c r="M134" i="81"/>
  <c r="G106" i="65"/>
  <c r="M147" i="81"/>
  <c r="M106" i="60"/>
  <c r="M133" i="80"/>
  <c r="G141" i="80"/>
  <c r="G128" i="80"/>
  <c r="G138" i="81"/>
  <c r="G128" i="81"/>
  <c r="M133" i="81"/>
  <c r="G144" i="80"/>
  <c r="G134" i="80"/>
  <c r="G147" i="81"/>
  <c r="M127" i="81"/>
  <c r="G131" i="81"/>
  <c r="M150" i="81"/>
  <c r="M144" i="81"/>
  <c r="G135" i="81"/>
  <c r="M154" i="81"/>
  <c r="G130" i="81"/>
  <c r="M142" i="80"/>
  <c r="M154" i="80"/>
  <c r="G126" i="81"/>
  <c r="G145" i="80"/>
  <c r="G143" i="81"/>
  <c r="G134" i="81"/>
  <c r="G135" i="80"/>
  <c r="M128" i="80"/>
  <c r="G148" i="81"/>
  <c r="M126" i="80"/>
  <c r="G152" i="80"/>
  <c r="M131" i="80"/>
  <c r="G140" i="80"/>
  <c r="M132" i="81"/>
  <c r="G131" i="80"/>
  <c r="G127" i="81"/>
  <c r="M139" i="81"/>
  <c r="M141" i="80"/>
  <c r="M135" i="81"/>
  <c r="M144" i="80"/>
  <c r="G153" i="80"/>
  <c r="M151" i="81"/>
  <c r="M149" i="81"/>
  <c r="G151" i="80"/>
  <c r="G154" i="81"/>
  <c r="M153" i="80"/>
  <c r="M126" i="81"/>
  <c r="M130" i="80"/>
  <c r="M138" i="80"/>
  <c r="M142" i="81"/>
  <c r="M141" i="81"/>
  <c r="M129" i="81"/>
  <c r="M145" i="80"/>
  <c r="M151" i="80"/>
  <c r="G139" i="80"/>
  <c r="M138" i="81"/>
  <c r="G133" i="80"/>
  <c r="M134" i="80"/>
  <c r="M143" i="80"/>
  <c r="G129" i="81"/>
  <c r="G142" i="81"/>
  <c r="G137" i="80"/>
  <c r="M136" i="80"/>
  <c r="G141" i="81"/>
  <c r="M131" i="81"/>
  <c r="G127" i="80"/>
  <c r="M127" i="80"/>
  <c r="G153" i="81"/>
  <c r="M145" i="81"/>
  <c r="G132" i="81"/>
  <c r="M136" i="81"/>
  <c r="G147" i="80"/>
  <c r="M150" i="80"/>
  <c r="G140" i="81"/>
  <c r="G137" i="81"/>
  <c r="G132" i="80"/>
  <c r="G143" i="80"/>
  <c r="M137" i="81"/>
  <c r="G149" i="80"/>
  <c r="M137" i="80"/>
  <c r="G139" i="81"/>
  <c r="G150" i="81"/>
  <c r="M130" i="81"/>
  <c r="M139" i="80"/>
  <c r="M152" i="80"/>
  <c r="G136" i="81"/>
  <c r="G151" i="81"/>
  <c r="G136" i="80"/>
  <c r="G146" i="80"/>
  <c r="M146" i="80"/>
  <c r="G129" i="80"/>
  <c r="G154" i="80"/>
  <c r="M132" i="80"/>
  <c r="G150" i="80"/>
  <c r="G133" i="81"/>
  <c r="M128" i="81"/>
  <c r="G138" i="80"/>
  <c r="R7" i="86" l="1"/>
  <c r="N135" i="80"/>
  <c r="M42" i="56" s="1"/>
  <c r="N138" i="80"/>
  <c r="M45" i="56" s="1"/>
  <c r="N133" i="80"/>
  <c r="M40" i="56" s="1"/>
  <c r="N149" i="80"/>
  <c r="M56" i="56" s="1"/>
  <c r="N139" i="81"/>
  <c r="N143" i="81"/>
  <c r="N132" i="81"/>
  <c r="N147" i="80"/>
  <c r="M54" i="56" s="1"/>
  <c r="N129" i="81"/>
  <c r="N148" i="81"/>
  <c r="N154" i="81"/>
  <c r="N147" i="81"/>
  <c r="N136" i="80"/>
  <c r="M43" i="56" s="1"/>
  <c r="N141" i="81"/>
  <c r="N136" i="81"/>
  <c r="N140" i="81"/>
  <c r="N154" i="80"/>
  <c r="M61" i="56" s="1"/>
  <c r="N153" i="81"/>
  <c r="N127" i="81"/>
  <c r="N150" i="80"/>
  <c r="M57" i="56" s="1"/>
  <c r="N150" i="81"/>
  <c r="N134" i="81"/>
  <c r="N143" i="80"/>
  <c r="M50" i="56" s="1"/>
  <c r="N127" i="80"/>
  <c r="M34" i="56" s="1"/>
  <c r="N146" i="80"/>
  <c r="M53" i="56" s="1"/>
  <c r="N142" i="81"/>
  <c r="N153" i="80"/>
  <c r="M60" i="56" s="1"/>
  <c r="N140" i="80"/>
  <c r="M47" i="56" s="1"/>
  <c r="N151" i="80"/>
  <c r="M58" i="56" s="1"/>
  <c r="N133" i="81"/>
  <c r="N129" i="80"/>
  <c r="M36" i="56" s="1"/>
  <c r="N151" i="81"/>
  <c r="N137" i="81"/>
  <c r="N139" i="80"/>
  <c r="M46" i="56" s="1"/>
  <c r="N131" i="80"/>
  <c r="M38" i="56" s="1"/>
  <c r="N152" i="80"/>
  <c r="M59" i="56" s="1"/>
  <c r="N126" i="81"/>
  <c r="N131" i="81"/>
  <c r="N144" i="80"/>
  <c r="M51" i="56" s="1"/>
  <c r="N128" i="80"/>
  <c r="M35" i="56" s="1"/>
  <c r="N152" i="81"/>
  <c r="N146" i="81"/>
  <c r="N144" i="81"/>
  <c r="N137" i="80"/>
  <c r="M44" i="56" s="1"/>
  <c r="N135" i="81"/>
  <c r="N141" i="80"/>
  <c r="M48" i="56" s="1"/>
  <c r="N126" i="80"/>
  <c r="M33" i="56" s="1"/>
  <c r="N142" i="80"/>
  <c r="M49" i="56" s="1"/>
  <c r="N148" i="80"/>
  <c r="M55" i="56" s="1"/>
  <c r="N128" i="81"/>
  <c r="N149" i="81"/>
  <c r="N145" i="81"/>
  <c r="N132" i="80"/>
  <c r="M39" i="56" s="1"/>
  <c r="N145" i="80"/>
  <c r="M52" i="56" s="1"/>
  <c r="N130" i="81"/>
  <c r="N134" i="80"/>
  <c r="M41" i="56" s="1"/>
  <c r="N138" i="81"/>
  <c r="N130" i="80"/>
  <c r="M37" i="56" s="1"/>
  <c r="F102" i="82"/>
  <c r="E102" i="82"/>
  <c r="D102" i="82"/>
  <c r="C102" i="82"/>
  <c r="B102" i="82"/>
  <c r="F101" i="82"/>
  <c r="E101" i="82"/>
  <c r="D101" i="82"/>
  <c r="C101" i="82"/>
  <c r="B101" i="82"/>
  <c r="F100" i="82"/>
  <c r="E100" i="82"/>
  <c r="D100" i="82"/>
  <c r="C100" i="82"/>
  <c r="B100" i="82"/>
  <c r="F99" i="82"/>
  <c r="E99" i="82"/>
  <c r="D99" i="82"/>
  <c r="C99" i="82"/>
  <c r="B99" i="82"/>
  <c r="F98" i="82"/>
  <c r="E98" i="82"/>
  <c r="D98" i="82"/>
  <c r="C98" i="82"/>
  <c r="B98" i="82"/>
  <c r="F97" i="82"/>
  <c r="E97" i="82"/>
  <c r="D97" i="82"/>
  <c r="C97" i="82"/>
  <c r="B97" i="82"/>
  <c r="F96" i="82"/>
  <c r="E96" i="82"/>
  <c r="D96" i="82"/>
  <c r="C96" i="82"/>
  <c r="B96" i="82"/>
  <c r="F95" i="82"/>
  <c r="E95" i="82"/>
  <c r="D95" i="82"/>
  <c r="C95" i="82"/>
  <c r="B95" i="82"/>
  <c r="F94" i="82"/>
  <c r="E94" i="82"/>
  <c r="D94" i="82"/>
  <c r="C94" i="82"/>
  <c r="B94" i="82"/>
  <c r="F93" i="82"/>
  <c r="E93" i="82"/>
  <c r="D93" i="82"/>
  <c r="C93" i="82"/>
  <c r="B93" i="82"/>
  <c r="F92" i="82"/>
  <c r="E92" i="82"/>
  <c r="D92" i="82"/>
  <c r="C92" i="82"/>
  <c r="B92" i="82"/>
  <c r="F91" i="82"/>
  <c r="E91" i="82"/>
  <c r="D91" i="82"/>
  <c r="C91" i="82"/>
  <c r="B91" i="82"/>
  <c r="F90" i="82"/>
  <c r="E90" i="82"/>
  <c r="D90" i="82"/>
  <c r="C90" i="82"/>
  <c r="B90" i="82"/>
  <c r="F89" i="82"/>
  <c r="E89" i="82"/>
  <c r="D89" i="82"/>
  <c r="C89" i="82"/>
  <c r="B89" i="82"/>
  <c r="F88" i="82"/>
  <c r="E88" i="82"/>
  <c r="D88" i="82"/>
  <c r="C88" i="82"/>
  <c r="B88" i="82"/>
  <c r="F87" i="82"/>
  <c r="E87" i="82"/>
  <c r="D87" i="82"/>
  <c r="C87" i="82"/>
  <c r="B87" i="82"/>
  <c r="F86" i="82"/>
  <c r="E86" i="82"/>
  <c r="D86" i="82"/>
  <c r="C86" i="82"/>
  <c r="B86" i="82"/>
  <c r="F85" i="82"/>
  <c r="E85" i="82"/>
  <c r="D85" i="82"/>
  <c r="C85" i="82"/>
  <c r="B85" i="82"/>
  <c r="F84" i="82"/>
  <c r="E84" i="82"/>
  <c r="D84" i="82"/>
  <c r="C84" i="82"/>
  <c r="B84" i="82"/>
  <c r="F83" i="82"/>
  <c r="E83" i="82"/>
  <c r="D83" i="82"/>
  <c r="C83" i="82"/>
  <c r="B83" i="82"/>
  <c r="F82" i="82"/>
  <c r="E82" i="82"/>
  <c r="D82" i="82"/>
  <c r="C82" i="82"/>
  <c r="B82" i="82"/>
  <c r="F81" i="82"/>
  <c r="E81" i="82"/>
  <c r="D81" i="82"/>
  <c r="C81" i="82"/>
  <c r="B81" i="82"/>
  <c r="F80" i="82"/>
  <c r="E80" i="82"/>
  <c r="D80" i="82"/>
  <c r="C80" i="82"/>
  <c r="B80" i="82"/>
  <c r="F79" i="82"/>
  <c r="E79" i="82"/>
  <c r="D79" i="82"/>
  <c r="C79" i="82"/>
  <c r="B79" i="82"/>
  <c r="F78" i="82"/>
  <c r="E78" i="82"/>
  <c r="D78" i="82"/>
  <c r="C78" i="82"/>
  <c r="B78" i="82"/>
  <c r="F77" i="82"/>
  <c r="E77" i="82"/>
  <c r="D77" i="82"/>
  <c r="C77" i="82"/>
  <c r="B77" i="82"/>
  <c r="F76" i="82"/>
  <c r="E76" i="82"/>
  <c r="D76" i="82"/>
  <c r="C76" i="82"/>
  <c r="B76" i="82"/>
  <c r="F75" i="82"/>
  <c r="E75" i="82"/>
  <c r="D75" i="82"/>
  <c r="C75" i="82"/>
  <c r="B75" i="82"/>
  <c r="F74" i="82"/>
  <c r="E74" i="82"/>
  <c r="D74" i="82"/>
  <c r="C74" i="82"/>
  <c r="B74" i="82"/>
  <c r="F73" i="82"/>
  <c r="E73" i="82"/>
  <c r="D73" i="82"/>
  <c r="C73" i="82"/>
  <c r="B73" i="82"/>
  <c r="F72" i="82"/>
  <c r="E72" i="82"/>
  <c r="D72" i="82"/>
  <c r="C72" i="82"/>
  <c r="B72" i="82"/>
  <c r="F71" i="82"/>
  <c r="E71" i="82"/>
  <c r="D71" i="82"/>
  <c r="C71" i="82"/>
  <c r="B71" i="82"/>
  <c r="F70" i="82"/>
  <c r="E70" i="82"/>
  <c r="D70" i="82"/>
  <c r="C70" i="82"/>
  <c r="B70" i="82"/>
  <c r="F69" i="82"/>
  <c r="E69" i="82"/>
  <c r="D69" i="82"/>
  <c r="C69" i="82"/>
  <c r="B69" i="82"/>
  <c r="F68" i="82"/>
  <c r="E68" i="82"/>
  <c r="D68" i="82"/>
  <c r="C68" i="82"/>
  <c r="B68" i="82"/>
  <c r="F67" i="82"/>
  <c r="E67" i="82"/>
  <c r="D67" i="82"/>
  <c r="C67" i="82"/>
  <c r="B67" i="82"/>
  <c r="F66" i="82"/>
  <c r="E66" i="82"/>
  <c r="D66" i="82"/>
  <c r="C66" i="82"/>
  <c r="B66" i="82"/>
  <c r="F65" i="82"/>
  <c r="E65" i="82"/>
  <c r="D65" i="82"/>
  <c r="C65" i="82"/>
  <c r="B65" i="82"/>
  <c r="F64" i="82"/>
  <c r="E64" i="82"/>
  <c r="D64" i="82"/>
  <c r="C64" i="82"/>
  <c r="B64" i="82"/>
  <c r="F63" i="82"/>
  <c r="E63" i="82"/>
  <c r="D63" i="82"/>
  <c r="C63" i="82"/>
  <c r="B63" i="82"/>
  <c r="F62" i="82"/>
  <c r="E62" i="82"/>
  <c r="D62" i="82"/>
  <c r="C62" i="82"/>
  <c r="B62" i="82"/>
  <c r="F61" i="82"/>
  <c r="E61" i="82"/>
  <c r="D61" i="82"/>
  <c r="C61" i="82"/>
  <c r="B61" i="82"/>
  <c r="F60" i="82"/>
  <c r="E60" i="82"/>
  <c r="D60" i="82"/>
  <c r="C60" i="82"/>
  <c r="B60" i="82"/>
  <c r="F59" i="82"/>
  <c r="E59" i="82"/>
  <c r="D59" i="82"/>
  <c r="C59" i="82"/>
  <c r="B59" i="82"/>
  <c r="F58" i="82"/>
  <c r="E58" i="82"/>
  <c r="D58" i="82"/>
  <c r="C58" i="82"/>
  <c r="B58" i="82"/>
  <c r="F57" i="82"/>
  <c r="E57" i="82"/>
  <c r="D57" i="82"/>
  <c r="C57" i="82"/>
  <c r="B57" i="82"/>
  <c r="F56" i="82"/>
  <c r="E56" i="82"/>
  <c r="D56" i="82"/>
  <c r="C56" i="82"/>
  <c r="B56" i="82"/>
  <c r="F55" i="82"/>
  <c r="E55" i="82"/>
  <c r="D55" i="82"/>
  <c r="C55" i="82"/>
  <c r="B55" i="82"/>
  <c r="F54" i="82"/>
  <c r="E54" i="82"/>
  <c r="D54" i="82"/>
  <c r="C54" i="82"/>
  <c r="B54" i="82"/>
  <c r="F53" i="82"/>
  <c r="E53" i="82"/>
  <c r="D53" i="82"/>
  <c r="C53" i="82"/>
  <c r="B53" i="82"/>
  <c r="F52" i="82"/>
  <c r="E52" i="82"/>
  <c r="D52" i="82"/>
  <c r="C52" i="82"/>
  <c r="B52" i="82"/>
  <c r="F19" i="82"/>
  <c r="F125" i="82" s="1"/>
  <c r="E19" i="82"/>
  <c r="E125" i="82" s="1"/>
  <c r="D19" i="82"/>
  <c r="D125" i="82" s="1"/>
  <c r="C19" i="82"/>
  <c r="C125" i="82" s="1"/>
  <c r="B19" i="82"/>
  <c r="F18" i="82"/>
  <c r="E18" i="82"/>
  <c r="D18" i="82"/>
  <c r="C18" i="82"/>
  <c r="B18" i="82"/>
  <c r="F17" i="82"/>
  <c r="E17" i="82"/>
  <c r="D17" i="82"/>
  <c r="C17" i="82"/>
  <c r="B17" i="82"/>
  <c r="F16" i="82"/>
  <c r="E16" i="82"/>
  <c r="D16" i="82"/>
  <c r="C16" i="82"/>
  <c r="B16" i="82"/>
  <c r="F15" i="82"/>
  <c r="E15" i="82"/>
  <c r="D15" i="82"/>
  <c r="C15" i="82"/>
  <c r="B15" i="82"/>
  <c r="F14" i="82"/>
  <c r="E14" i="82"/>
  <c r="D14" i="82"/>
  <c r="C14" i="82"/>
  <c r="B14" i="82"/>
  <c r="F13" i="82"/>
  <c r="E13" i="82"/>
  <c r="D13" i="82"/>
  <c r="C13" i="82"/>
  <c r="B13" i="82"/>
  <c r="F12" i="82"/>
  <c r="E12" i="82"/>
  <c r="D12" i="82"/>
  <c r="C12" i="82"/>
  <c r="B12" i="82"/>
  <c r="F11" i="82"/>
  <c r="E11" i="82"/>
  <c r="D11" i="82"/>
  <c r="C11" i="82"/>
  <c r="B11" i="82"/>
  <c r="F10" i="82"/>
  <c r="E10" i="82"/>
  <c r="D10" i="82"/>
  <c r="C10" i="82"/>
  <c r="B10" i="82"/>
  <c r="F9" i="82"/>
  <c r="E9" i="82"/>
  <c r="D9" i="82"/>
  <c r="C9" i="82"/>
  <c r="B9" i="82"/>
  <c r="F8" i="82"/>
  <c r="E8" i="82"/>
  <c r="D8" i="82"/>
  <c r="C8" i="82"/>
  <c r="B8" i="82"/>
  <c r="F102" i="83"/>
  <c r="E102" i="83"/>
  <c r="D102" i="83"/>
  <c r="C102" i="83"/>
  <c r="B102" i="83"/>
  <c r="F101" i="83"/>
  <c r="E101" i="83"/>
  <c r="D101" i="83"/>
  <c r="C101" i="83"/>
  <c r="B101" i="83"/>
  <c r="F100" i="83"/>
  <c r="E100" i="83"/>
  <c r="D100" i="83"/>
  <c r="C100" i="83"/>
  <c r="B100" i="83"/>
  <c r="F99" i="83"/>
  <c r="E99" i="83"/>
  <c r="D99" i="83"/>
  <c r="C99" i="83"/>
  <c r="B99" i="83"/>
  <c r="F98" i="83"/>
  <c r="E98" i="83"/>
  <c r="D98" i="83"/>
  <c r="C98" i="83"/>
  <c r="B98" i="83"/>
  <c r="F97" i="83"/>
  <c r="E97" i="83"/>
  <c r="D97" i="83"/>
  <c r="C97" i="83"/>
  <c r="B97" i="83"/>
  <c r="F96" i="83"/>
  <c r="E96" i="83"/>
  <c r="D96" i="83"/>
  <c r="C96" i="83"/>
  <c r="B96" i="83"/>
  <c r="F95" i="83"/>
  <c r="E95" i="83"/>
  <c r="D95" i="83"/>
  <c r="C95" i="83"/>
  <c r="B95" i="83"/>
  <c r="F94" i="83"/>
  <c r="E94" i="83"/>
  <c r="D94" i="83"/>
  <c r="C94" i="83"/>
  <c r="B94" i="83"/>
  <c r="F93" i="83"/>
  <c r="E93" i="83"/>
  <c r="D93" i="83"/>
  <c r="C93" i="83"/>
  <c r="B93" i="83"/>
  <c r="F92" i="83"/>
  <c r="E92" i="83"/>
  <c r="D92" i="83"/>
  <c r="C92" i="83"/>
  <c r="B92" i="83"/>
  <c r="F91" i="83"/>
  <c r="E91" i="83"/>
  <c r="D91" i="83"/>
  <c r="C91" i="83"/>
  <c r="B91" i="83"/>
  <c r="F90" i="83"/>
  <c r="E90" i="83"/>
  <c r="D90" i="83"/>
  <c r="C90" i="83"/>
  <c r="B90" i="83"/>
  <c r="F89" i="83"/>
  <c r="E89" i="83"/>
  <c r="D89" i="83"/>
  <c r="C89" i="83"/>
  <c r="B89" i="83"/>
  <c r="F88" i="83"/>
  <c r="E88" i="83"/>
  <c r="D88" i="83"/>
  <c r="C88" i="83"/>
  <c r="B88" i="83"/>
  <c r="F87" i="83"/>
  <c r="E87" i="83"/>
  <c r="D87" i="83"/>
  <c r="C87" i="83"/>
  <c r="B87" i="83"/>
  <c r="F86" i="83"/>
  <c r="E86" i="83"/>
  <c r="D86" i="83"/>
  <c r="C86" i="83"/>
  <c r="B86" i="83"/>
  <c r="F85" i="83"/>
  <c r="E85" i="83"/>
  <c r="D85" i="83"/>
  <c r="C85" i="83"/>
  <c r="B85" i="83"/>
  <c r="F84" i="83"/>
  <c r="E84" i="83"/>
  <c r="D84" i="83"/>
  <c r="C84" i="83"/>
  <c r="B84" i="83"/>
  <c r="F83" i="83"/>
  <c r="E83" i="83"/>
  <c r="D83" i="83"/>
  <c r="C83" i="83"/>
  <c r="B83" i="83"/>
  <c r="F82" i="83"/>
  <c r="E82" i="83"/>
  <c r="D82" i="83"/>
  <c r="C82" i="83"/>
  <c r="B82" i="83"/>
  <c r="F81" i="83"/>
  <c r="E81" i="83"/>
  <c r="D81" i="83"/>
  <c r="C81" i="83"/>
  <c r="B81" i="83"/>
  <c r="F80" i="83"/>
  <c r="E80" i="83"/>
  <c r="D80" i="83"/>
  <c r="C80" i="83"/>
  <c r="B80" i="83"/>
  <c r="F79" i="83"/>
  <c r="E79" i="83"/>
  <c r="D79" i="83"/>
  <c r="C79" i="83"/>
  <c r="B79" i="83"/>
  <c r="F78" i="83"/>
  <c r="E78" i="83"/>
  <c r="D78" i="83"/>
  <c r="C78" i="83"/>
  <c r="B78" i="83"/>
  <c r="F77" i="83"/>
  <c r="E77" i="83"/>
  <c r="D77" i="83"/>
  <c r="C77" i="83"/>
  <c r="B77" i="83"/>
  <c r="F76" i="83"/>
  <c r="E76" i="83"/>
  <c r="D76" i="83"/>
  <c r="C76" i="83"/>
  <c r="B76" i="83"/>
  <c r="F75" i="83"/>
  <c r="E75" i="83"/>
  <c r="D75" i="83"/>
  <c r="C75" i="83"/>
  <c r="B75" i="83"/>
  <c r="F74" i="83"/>
  <c r="E74" i="83"/>
  <c r="D74" i="83"/>
  <c r="C74" i="83"/>
  <c r="B74" i="83"/>
  <c r="F73" i="83"/>
  <c r="E73" i="83"/>
  <c r="D73" i="83"/>
  <c r="C73" i="83"/>
  <c r="B73" i="83"/>
  <c r="F72" i="83"/>
  <c r="E72" i="83"/>
  <c r="D72" i="83"/>
  <c r="C72" i="83"/>
  <c r="B72" i="83"/>
  <c r="F71" i="83"/>
  <c r="E71" i="83"/>
  <c r="D71" i="83"/>
  <c r="C71" i="83"/>
  <c r="B71" i="83"/>
  <c r="F70" i="83"/>
  <c r="E70" i="83"/>
  <c r="D70" i="83"/>
  <c r="C70" i="83"/>
  <c r="B70" i="83"/>
  <c r="F69" i="83"/>
  <c r="E69" i="83"/>
  <c r="D69" i="83"/>
  <c r="C69" i="83"/>
  <c r="B69" i="83"/>
  <c r="F68" i="83"/>
  <c r="E68" i="83"/>
  <c r="D68" i="83"/>
  <c r="C68" i="83"/>
  <c r="B68" i="83"/>
  <c r="F67" i="83"/>
  <c r="E67" i="83"/>
  <c r="D67" i="83"/>
  <c r="C67" i="83"/>
  <c r="B67" i="83"/>
  <c r="F66" i="83"/>
  <c r="E66" i="83"/>
  <c r="D66" i="83"/>
  <c r="C66" i="83"/>
  <c r="B66" i="83"/>
  <c r="F65" i="83"/>
  <c r="E65" i="83"/>
  <c r="D65" i="83"/>
  <c r="C65" i="83"/>
  <c r="B65" i="83"/>
  <c r="F64" i="83"/>
  <c r="E64" i="83"/>
  <c r="D64" i="83"/>
  <c r="C64" i="83"/>
  <c r="B64" i="83"/>
  <c r="F63" i="83"/>
  <c r="E63" i="83"/>
  <c r="D63" i="83"/>
  <c r="C63" i="83"/>
  <c r="B63" i="83"/>
  <c r="F62" i="83"/>
  <c r="E62" i="83"/>
  <c r="D62" i="83"/>
  <c r="C62" i="83"/>
  <c r="B62" i="83"/>
  <c r="F61" i="83"/>
  <c r="E61" i="83"/>
  <c r="D61" i="83"/>
  <c r="C61" i="83"/>
  <c r="B61" i="83"/>
  <c r="F60" i="83"/>
  <c r="E60" i="83"/>
  <c r="D60" i="83"/>
  <c r="C60" i="83"/>
  <c r="B60" i="83"/>
  <c r="F59" i="83"/>
  <c r="E59" i="83"/>
  <c r="D59" i="83"/>
  <c r="C59" i="83"/>
  <c r="B59" i="83"/>
  <c r="F58" i="83"/>
  <c r="E58" i="83"/>
  <c r="D58" i="83"/>
  <c r="C58" i="83"/>
  <c r="B58" i="83"/>
  <c r="F57" i="83"/>
  <c r="E57" i="83"/>
  <c r="D57" i="83"/>
  <c r="C57" i="83"/>
  <c r="B57" i="83"/>
  <c r="F56" i="83"/>
  <c r="E56" i="83"/>
  <c r="D56" i="83"/>
  <c r="C56" i="83"/>
  <c r="B56" i="83"/>
  <c r="F55" i="83"/>
  <c r="E55" i="83"/>
  <c r="D55" i="83"/>
  <c r="C55" i="83"/>
  <c r="B55" i="83"/>
  <c r="F54" i="83"/>
  <c r="E54" i="83"/>
  <c r="D54" i="83"/>
  <c r="C54" i="83"/>
  <c r="B54" i="83"/>
  <c r="F53" i="83"/>
  <c r="E53" i="83"/>
  <c r="D53" i="83"/>
  <c r="C53" i="83"/>
  <c r="B53" i="83"/>
  <c r="F52" i="83"/>
  <c r="E52" i="83"/>
  <c r="D52" i="83"/>
  <c r="C52" i="83"/>
  <c r="B52" i="83"/>
  <c r="F19" i="83"/>
  <c r="F125" i="83" s="1"/>
  <c r="E19" i="83"/>
  <c r="E125" i="83" s="1"/>
  <c r="D19" i="83"/>
  <c r="D125" i="83" s="1"/>
  <c r="C19" i="83"/>
  <c r="C125" i="83" s="1"/>
  <c r="B19" i="83"/>
  <c r="F18" i="83"/>
  <c r="E18" i="83"/>
  <c r="D18" i="83"/>
  <c r="C18" i="83"/>
  <c r="B18" i="83"/>
  <c r="F17" i="83"/>
  <c r="E17" i="83"/>
  <c r="D17" i="83"/>
  <c r="C17" i="83"/>
  <c r="B17" i="83"/>
  <c r="F16" i="83"/>
  <c r="E16" i="83"/>
  <c r="D16" i="83"/>
  <c r="C16" i="83"/>
  <c r="B16" i="83"/>
  <c r="F15" i="83"/>
  <c r="E15" i="83"/>
  <c r="D15" i="83"/>
  <c r="C15" i="83"/>
  <c r="B15" i="83"/>
  <c r="F14" i="83"/>
  <c r="E14" i="83"/>
  <c r="D14" i="83"/>
  <c r="C14" i="83"/>
  <c r="B14" i="83"/>
  <c r="F13" i="83"/>
  <c r="E13" i="83"/>
  <c r="D13" i="83"/>
  <c r="C13" i="83"/>
  <c r="B13" i="83"/>
  <c r="F12" i="83"/>
  <c r="E12" i="83"/>
  <c r="D12" i="83"/>
  <c r="C12" i="83"/>
  <c r="B12" i="83"/>
  <c r="F11" i="83"/>
  <c r="E11" i="83"/>
  <c r="D11" i="83"/>
  <c r="C11" i="83"/>
  <c r="B11" i="83"/>
  <c r="F10" i="83"/>
  <c r="E10" i="83"/>
  <c r="D10" i="83"/>
  <c r="C10" i="83"/>
  <c r="B10" i="83"/>
  <c r="F9" i="83"/>
  <c r="E9" i="83"/>
  <c r="D9" i="83"/>
  <c r="C9" i="83"/>
  <c r="B9" i="83"/>
  <c r="F8" i="83"/>
  <c r="E8" i="83"/>
  <c r="D8" i="83"/>
  <c r="C8" i="83"/>
  <c r="B8" i="83"/>
  <c r="F125" i="84"/>
  <c r="E125" i="84"/>
  <c r="D125" i="84"/>
  <c r="C125" i="84"/>
  <c r="B8" i="84"/>
  <c r="O8" i="84" s="1"/>
  <c r="O104" i="84" s="1"/>
  <c r="F102" i="85"/>
  <c r="E102" i="85"/>
  <c r="D102" i="85"/>
  <c r="C102" i="85"/>
  <c r="B102" i="85"/>
  <c r="F101" i="85"/>
  <c r="E101" i="85"/>
  <c r="D101" i="85"/>
  <c r="C101" i="85"/>
  <c r="B101" i="85"/>
  <c r="F100" i="85"/>
  <c r="E100" i="85"/>
  <c r="D100" i="85"/>
  <c r="C100" i="85"/>
  <c r="B100" i="85"/>
  <c r="F99" i="85"/>
  <c r="E99" i="85"/>
  <c r="D99" i="85"/>
  <c r="C99" i="85"/>
  <c r="B99" i="85"/>
  <c r="F98" i="85"/>
  <c r="E98" i="85"/>
  <c r="D98" i="85"/>
  <c r="C98" i="85"/>
  <c r="B98" i="85"/>
  <c r="F97" i="85"/>
  <c r="E97" i="85"/>
  <c r="D97" i="85"/>
  <c r="C97" i="85"/>
  <c r="B97" i="85"/>
  <c r="F96" i="85"/>
  <c r="E96" i="85"/>
  <c r="D96" i="85"/>
  <c r="C96" i="85"/>
  <c r="B96" i="85"/>
  <c r="F95" i="85"/>
  <c r="E95" i="85"/>
  <c r="D95" i="85"/>
  <c r="C95" i="85"/>
  <c r="B95" i="85"/>
  <c r="F94" i="85"/>
  <c r="E94" i="85"/>
  <c r="D94" i="85"/>
  <c r="C94" i="85"/>
  <c r="B94" i="85"/>
  <c r="F93" i="85"/>
  <c r="E93" i="85"/>
  <c r="D93" i="85"/>
  <c r="C93" i="85"/>
  <c r="B93" i="85"/>
  <c r="F92" i="85"/>
  <c r="E92" i="85"/>
  <c r="D92" i="85"/>
  <c r="C92" i="85"/>
  <c r="B92" i="85"/>
  <c r="F91" i="85"/>
  <c r="E91" i="85"/>
  <c r="D91" i="85"/>
  <c r="C91" i="85"/>
  <c r="B91" i="85"/>
  <c r="F90" i="85"/>
  <c r="E90" i="85"/>
  <c r="D90" i="85"/>
  <c r="C90" i="85"/>
  <c r="B90" i="85"/>
  <c r="F89" i="85"/>
  <c r="E89" i="85"/>
  <c r="D89" i="85"/>
  <c r="C89" i="85"/>
  <c r="B89" i="85"/>
  <c r="F88" i="85"/>
  <c r="E88" i="85"/>
  <c r="D88" i="85"/>
  <c r="C88" i="85"/>
  <c r="B88" i="85"/>
  <c r="F87" i="85"/>
  <c r="E87" i="85"/>
  <c r="D87" i="85"/>
  <c r="C87" i="85"/>
  <c r="B87" i="85"/>
  <c r="F86" i="85"/>
  <c r="E86" i="85"/>
  <c r="D86" i="85"/>
  <c r="C86" i="85"/>
  <c r="B86" i="85"/>
  <c r="F85" i="85"/>
  <c r="E85" i="85"/>
  <c r="D85" i="85"/>
  <c r="C85" i="85"/>
  <c r="B85" i="85"/>
  <c r="F84" i="85"/>
  <c r="E84" i="85"/>
  <c r="D84" i="85"/>
  <c r="C84" i="85"/>
  <c r="B84" i="85"/>
  <c r="F83" i="85"/>
  <c r="E83" i="85"/>
  <c r="D83" i="85"/>
  <c r="C83" i="85"/>
  <c r="B83" i="85"/>
  <c r="F82" i="85"/>
  <c r="E82" i="85"/>
  <c r="D82" i="85"/>
  <c r="C82" i="85"/>
  <c r="B82" i="85"/>
  <c r="F81" i="85"/>
  <c r="E81" i="85"/>
  <c r="D81" i="85"/>
  <c r="C81" i="85"/>
  <c r="B81" i="85"/>
  <c r="F80" i="85"/>
  <c r="E80" i="85"/>
  <c r="D80" i="85"/>
  <c r="C80" i="85"/>
  <c r="B80" i="85"/>
  <c r="F79" i="85"/>
  <c r="E79" i="85"/>
  <c r="D79" i="85"/>
  <c r="C79" i="85"/>
  <c r="B79" i="85"/>
  <c r="F78" i="85"/>
  <c r="E78" i="85"/>
  <c r="D78" i="85"/>
  <c r="C78" i="85"/>
  <c r="B78" i="85"/>
  <c r="F77" i="85"/>
  <c r="E77" i="85"/>
  <c r="D77" i="85"/>
  <c r="C77" i="85"/>
  <c r="B77" i="85"/>
  <c r="F76" i="85"/>
  <c r="E76" i="85"/>
  <c r="D76" i="85"/>
  <c r="C76" i="85"/>
  <c r="B76" i="85"/>
  <c r="F75" i="85"/>
  <c r="E75" i="85"/>
  <c r="D75" i="85"/>
  <c r="C75" i="85"/>
  <c r="B75" i="85"/>
  <c r="F74" i="85"/>
  <c r="E74" i="85"/>
  <c r="D74" i="85"/>
  <c r="C74" i="85"/>
  <c r="B74" i="85"/>
  <c r="F73" i="85"/>
  <c r="E73" i="85"/>
  <c r="D73" i="85"/>
  <c r="C73" i="85"/>
  <c r="B73" i="85"/>
  <c r="F72" i="85"/>
  <c r="E72" i="85"/>
  <c r="D72" i="85"/>
  <c r="C72" i="85"/>
  <c r="B72" i="85"/>
  <c r="F71" i="85"/>
  <c r="E71" i="85"/>
  <c r="D71" i="85"/>
  <c r="C71" i="85"/>
  <c r="B71" i="85"/>
  <c r="F70" i="85"/>
  <c r="E70" i="85"/>
  <c r="D70" i="85"/>
  <c r="C70" i="85"/>
  <c r="B70" i="85"/>
  <c r="F69" i="85"/>
  <c r="E69" i="85"/>
  <c r="D69" i="85"/>
  <c r="C69" i="85"/>
  <c r="B69" i="85"/>
  <c r="F68" i="85"/>
  <c r="E68" i="85"/>
  <c r="D68" i="85"/>
  <c r="C68" i="85"/>
  <c r="B68" i="85"/>
  <c r="F67" i="85"/>
  <c r="E67" i="85"/>
  <c r="D67" i="85"/>
  <c r="C67" i="85"/>
  <c r="B67" i="85"/>
  <c r="F66" i="85"/>
  <c r="E66" i="85"/>
  <c r="D66" i="85"/>
  <c r="C66" i="85"/>
  <c r="B66" i="85"/>
  <c r="F65" i="85"/>
  <c r="E65" i="85"/>
  <c r="D65" i="85"/>
  <c r="C65" i="85"/>
  <c r="B65" i="85"/>
  <c r="F64" i="85"/>
  <c r="E64" i="85"/>
  <c r="D64" i="85"/>
  <c r="C64" i="85"/>
  <c r="B64" i="85"/>
  <c r="F63" i="85"/>
  <c r="E63" i="85"/>
  <c r="D63" i="85"/>
  <c r="C63" i="85"/>
  <c r="B63" i="85"/>
  <c r="F62" i="85"/>
  <c r="E62" i="85"/>
  <c r="D62" i="85"/>
  <c r="C62" i="85"/>
  <c r="B62" i="85"/>
  <c r="F61" i="85"/>
  <c r="E61" i="85"/>
  <c r="D61" i="85"/>
  <c r="C61" i="85"/>
  <c r="B61" i="85"/>
  <c r="F60" i="85"/>
  <c r="E60" i="85"/>
  <c r="D60" i="85"/>
  <c r="C60" i="85"/>
  <c r="B60" i="85"/>
  <c r="F59" i="85"/>
  <c r="E59" i="85"/>
  <c r="D59" i="85"/>
  <c r="C59" i="85"/>
  <c r="B59" i="85"/>
  <c r="F58" i="85"/>
  <c r="E58" i="85"/>
  <c r="D58" i="85"/>
  <c r="C58" i="85"/>
  <c r="B58" i="85"/>
  <c r="F57" i="85"/>
  <c r="E57" i="85"/>
  <c r="D57" i="85"/>
  <c r="C57" i="85"/>
  <c r="B57" i="85"/>
  <c r="F56" i="85"/>
  <c r="E56" i="85"/>
  <c r="D56" i="85"/>
  <c r="C56" i="85"/>
  <c r="B56" i="85"/>
  <c r="F55" i="85"/>
  <c r="E55" i="85"/>
  <c r="D55" i="85"/>
  <c r="C55" i="85"/>
  <c r="B55" i="85"/>
  <c r="F54" i="85"/>
  <c r="E54" i="85"/>
  <c r="D54" i="85"/>
  <c r="C54" i="85"/>
  <c r="B54" i="85"/>
  <c r="F53" i="85"/>
  <c r="E53" i="85"/>
  <c r="D53" i="85"/>
  <c r="C53" i="85"/>
  <c r="B53" i="85"/>
  <c r="F52" i="85"/>
  <c r="E52" i="85"/>
  <c r="D52" i="85"/>
  <c r="C52" i="85"/>
  <c r="B52" i="85"/>
  <c r="F19" i="85"/>
  <c r="F125" i="85" s="1"/>
  <c r="E19" i="85"/>
  <c r="E125" i="85" s="1"/>
  <c r="D19" i="85"/>
  <c r="D125" i="85" s="1"/>
  <c r="C19" i="85"/>
  <c r="C125" i="85" s="1"/>
  <c r="B19" i="85"/>
  <c r="F18" i="85"/>
  <c r="E18" i="85"/>
  <c r="D18" i="85"/>
  <c r="C18" i="85"/>
  <c r="B18" i="85"/>
  <c r="F17" i="85"/>
  <c r="E17" i="85"/>
  <c r="D17" i="85"/>
  <c r="C17" i="85"/>
  <c r="B17" i="85"/>
  <c r="F16" i="85"/>
  <c r="E16" i="85"/>
  <c r="D16" i="85"/>
  <c r="C16" i="85"/>
  <c r="B16" i="85"/>
  <c r="F15" i="85"/>
  <c r="E15" i="85"/>
  <c r="D15" i="85"/>
  <c r="C15" i="85"/>
  <c r="B15" i="85"/>
  <c r="F14" i="85"/>
  <c r="E14" i="85"/>
  <c r="D14" i="85"/>
  <c r="C14" i="85"/>
  <c r="B14" i="85"/>
  <c r="F13" i="85"/>
  <c r="E13" i="85"/>
  <c r="D13" i="85"/>
  <c r="C13" i="85"/>
  <c r="B13" i="85"/>
  <c r="F12" i="85"/>
  <c r="E12" i="85"/>
  <c r="D12" i="85"/>
  <c r="C12" i="85"/>
  <c r="B12" i="85"/>
  <c r="F11" i="85"/>
  <c r="E11" i="85"/>
  <c r="D11" i="85"/>
  <c r="C11" i="85"/>
  <c r="B11" i="85"/>
  <c r="F10" i="85"/>
  <c r="E10" i="85"/>
  <c r="D10" i="85"/>
  <c r="C10" i="85"/>
  <c r="B10" i="85"/>
  <c r="F9" i="85"/>
  <c r="E9" i="85"/>
  <c r="D9" i="85"/>
  <c r="C9" i="85"/>
  <c r="B9" i="85"/>
  <c r="F8" i="85"/>
  <c r="E8" i="85"/>
  <c r="D8" i="85"/>
  <c r="C8" i="85"/>
  <c r="B8" i="85"/>
  <c r="B110" i="81"/>
  <c r="B110" i="80"/>
  <c r="F102" i="79"/>
  <c r="E102" i="79"/>
  <c r="D102" i="79"/>
  <c r="C102" i="79"/>
  <c r="B102" i="79"/>
  <c r="F101" i="79"/>
  <c r="E101" i="79"/>
  <c r="D101" i="79"/>
  <c r="C101" i="79"/>
  <c r="B101" i="79"/>
  <c r="F100" i="79"/>
  <c r="E100" i="79"/>
  <c r="D100" i="79"/>
  <c r="C100" i="79"/>
  <c r="B100" i="79"/>
  <c r="F99" i="79"/>
  <c r="E99" i="79"/>
  <c r="D99" i="79"/>
  <c r="C99" i="79"/>
  <c r="B99" i="79"/>
  <c r="F98" i="79"/>
  <c r="E98" i="79"/>
  <c r="D98" i="79"/>
  <c r="C98" i="79"/>
  <c r="B98" i="79"/>
  <c r="F97" i="79"/>
  <c r="E97" i="79"/>
  <c r="D97" i="79"/>
  <c r="C97" i="79"/>
  <c r="B97" i="79"/>
  <c r="F96" i="79"/>
  <c r="E96" i="79"/>
  <c r="D96" i="79"/>
  <c r="C96" i="79"/>
  <c r="B96" i="79"/>
  <c r="F95" i="79"/>
  <c r="E95" i="79"/>
  <c r="D95" i="79"/>
  <c r="C95" i="79"/>
  <c r="B95" i="79"/>
  <c r="F94" i="79"/>
  <c r="E94" i="79"/>
  <c r="D94" i="79"/>
  <c r="C94" i="79"/>
  <c r="B94" i="79"/>
  <c r="F93" i="79"/>
  <c r="E93" i="79"/>
  <c r="D93" i="79"/>
  <c r="C93" i="79"/>
  <c r="B93" i="79"/>
  <c r="F92" i="79"/>
  <c r="E92" i="79"/>
  <c r="D92" i="79"/>
  <c r="C92" i="79"/>
  <c r="B92" i="79"/>
  <c r="F91" i="79"/>
  <c r="E91" i="79"/>
  <c r="D91" i="79"/>
  <c r="C91" i="79"/>
  <c r="B91" i="79"/>
  <c r="F90" i="79"/>
  <c r="E90" i="79"/>
  <c r="D90" i="79"/>
  <c r="C90" i="79"/>
  <c r="B90" i="79"/>
  <c r="F89" i="79"/>
  <c r="E89" i="79"/>
  <c r="D89" i="79"/>
  <c r="C89" i="79"/>
  <c r="B89" i="79"/>
  <c r="F88" i="79"/>
  <c r="E88" i="79"/>
  <c r="D88" i="79"/>
  <c r="C88" i="79"/>
  <c r="B88" i="79"/>
  <c r="F87" i="79"/>
  <c r="E87" i="79"/>
  <c r="D87" i="79"/>
  <c r="C87" i="79"/>
  <c r="B87" i="79"/>
  <c r="F86" i="79"/>
  <c r="E86" i="79"/>
  <c r="D86" i="79"/>
  <c r="C86" i="79"/>
  <c r="B86" i="79"/>
  <c r="F85" i="79"/>
  <c r="E85" i="79"/>
  <c r="D85" i="79"/>
  <c r="C85" i="79"/>
  <c r="B85" i="79"/>
  <c r="F84" i="79"/>
  <c r="E84" i="79"/>
  <c r="D84" i="79"/>
  <c r="C84" i="79"/>
  <c r="B84" i="79"/>
  <c r="F83" i="79"/>
  <c r="E83" i="79"/>
  <c r="D83" i="79"/>
  <c r="C83" i="79"/>
  <c r="B83" i="79"/>
  <c r="F82" i="79"/>
  <c r="E82" i="79"/>
  <c r="D82" i="79"/>
  <c r="C82" i="79"/>
  <c r="B82" i="79"/>
  <c r="F81" i="79"/>
  <c r="E81" i="79"/>
  <c r="D81" i="79"/>
  <c r="C81" i="79"/>
  <c r="B81" i="79"/>
  <c r="F80" i="79"/>
  <c r="E80" i="79"/>
  <c r="D80" i="79"/>
  <c r="C80" i="79"/>
  <c r="B80" i="79"/>
  <c r="F79" i="79"/>
  <c r="E79" i="79"/>
  <c r="D79" i="79"/>
  <c r="C79" i="79"/>
  <c r="B79" i="79"/>
  <c r="F78" i="79"/>
  <c r="E78" i="79"/>
  <c r="D78" i="79"/>
  <c r="C78" i="79"/>
  <c r="B78" i="79"/>
  <c r="F77" i="79"/>
  <c r="E77" i="79"/>
  <c r="D77" i="79"/>
  <c r="C77" i="79"/>
  <c r="B77" i="79"/>
  <c r="F76" i="79"/>
  <c r="E76" i="79"/>
  <c r="D76" i="79"/>
  <c r="C76" i="79"/>
  <c r="B76" i="79"/>
  <c r="F75" i="79"/>
  <c r="E75" i="79"/>
  <c r="D75" i="79"/>
  <c r="C75" i="79"/>
  <c r="B75" i="79"/>
  <c r="F74" i="79"/>
  <c r="E74" i="79"/>
  <c r="D74" i="79"/>
  <c r="C74" i="79"/>
  <c r="B74" i="79"/>
  <c r="F73" i="79"/>
  <c r="E73" i="79"/>
  <c r="D73" i="79"/>
  <c r="C73" i="79"/>
  <c r="B73" i="79"/>
  <c r="F72" i="79"/>
  <c r="E72" i="79"/>
  <c r="D72" i="79"/>
  <c r="C72" i="79"/>
  <c r="B72" i="79"/>
  <c r="F71" i="79"/>
  <c r="E71" i="79"/>
  <c r="D71" i="79"/>
  <c r="C71" i="79"/>
  <c r="B71" i="79"/>
  <c r="F70" i="79"/>
  <c r="E70" i="79"/>
  <c r="D70" i="79"/>
  <c r="C70" i="79"/>
  <c r="B70" i="79"/>
  <c r="F69" i="79"/>
  <c r="E69" i="79"/>
  <c r="D69" i="79"/>
  <c r="C69" i="79"/>
  <c r="B69" i="79"/>
  <c r="F68" i="79"/>
  <c r="E68" i="79"/>
  <c r="D68" i="79"/>
  <c r="C68" i="79"/>
  <c r="B68" i="79"/>
  <c r="F67" i="79"/>
  <c r="E67" i="79"/>
  <c r="D67" i="79"/>
  <c r="C67" i="79"/>
  <c r="B67" i="79"/>
  <c r="F66" i="79"/>
  <c r="E66" i="79"/>
  <c r="D66" i="79"/>
  <c r="C66" i="79"/>
  <c r="B66" i="79"/>
  <c r="F65" i="79"/>
  <c r="E65" i="79"/>
  <c r="D65" i="79"/>
  <c r="C65" i="79"/>
  <c r="B65" i="79"/>
  <c r="F64" i="79"/>
  <c r="E64" i="79"/>
  <c r="D64" i="79"/>
  <c r="C64" i="79"/>
  <c r="B64" i="79"/>
  <c r="F63" i="79"/>
  <c r="E63" i="79"/>
  <c r="D63" i="79"/>
  <c r="C63" i="79"/>
  <c r="B63" i="79"/>
  <c r="F62" i="79"/>
  <c r="E62" i="79"/>
  <c r="D62" i="79"/>
  <c r="C62" i="79"/>
  <c r="B62" i="79"/>
  <c r="F61" i="79"/>
  <c r="E61" i="79"/>
  <c r="D61" i="79"/>
  <c r="C61" i="79"/>
  <c r="B61" i="79"/>
  <c r="F60" i="79"/>
  <c r="E60" i="79"/>
  <c r="D60" i="79"/>
  <c r="C60" i="79"/>
  <c r="B60" i="79"/>
  <c r="F59" i="79"/>
  <c r="E59" i="79"/>
  <c r="D59" i="79"/>
  <c r="C59" i="79"/>
  <c r="B59" i="79"/>
  <c r="F58" i="79"/>
  <c r="E58" i="79"/>
  <c r="D58" i="79"/>
  <c r="C58" i="79"/>
  <c r="B58" i="79"/>
  <c r="F57" i="79"/>
  <c r="E57" i="79"/>
  <c r="D57" i="79"/>
  <c r="C57" i="79"/>
  <c r="B57" i="79"/>
  <c r="F56" i="79"/>
  <c r="E56" i="79"/>
  <c r="D56" i="79"/>
  <c r="C56" i="79"/>
  <c r="B56" i="79"/>
  <c r="F55" i="79"/>
  <c r="E55" i="79"/>
  <c r="D55" i="79"/>
  <c r="C55" i="79"/>
  <c r="B55" i="79"/>
  <c r="F54" i="79"/>
  <c r="E54" i="79"/>
  <c r="D54" i="79"/>
  <c r="C54" i="79"/>
  <c r="B54" i="79"/>
  <c r="F53" i="79"/>
  <c r="E53" i="79"/>
  <c r="D53" i="79"/>
  <c r="C53" i="79"/>
  <c r="B53" i="79"/>
  <c r="F52" i="79"/>
  <c r="E52" i="79"/>
  <c r="D52" i="79"/>
  <c r="C52" i="79"/>
  <c r="B52" i="79"/>
  <c r="F19" i="79"/>
  <c r="F125" i="79" s="1"/>
  <c r="E19" i="79"/>
  <c r="E125" i="79" s="1"/>
  <c r="D19" i="79"/>
  <c r="D125" i="79" s="1"/>
  <c r="C19" i="79"/>
  <c r="C125" i="79" s="1"/>
  <c r="B19" i="79"/>
  <c r="F18" i="79"/>
  <c r="E18" i="79"/>
  <c r="D18" i="79"/>
  <c r="C18" i="79"/>
  <c r="B18" i="79"/>
  <c r="F17" i="79"/>
  <c r="E17" i="79"/>
  <c r="D17" i="79"/>
  <c r="C17" i="79"/>
  <c r="B17" i="79"/>
  <c r="F16" i="79"/>
  <c r="E16" i="79"/>
  <c r="D16" i="79"/>
  <c r="C16" i="79"/>
  <c r="B16" i="79"/>
  <c r="F15" i="79"/>
  <c r="E15" i="79"/>
  <c r="D15" i="79"/>
  <c r="C15" i="79"/>
  <c r="B15" i="79"/>
  <c r="F14" i="79"/>
  <c r="E14" i="79"/>
  <c r="D14" i="79"/>
  <c r="C14" i="79"/>
  <c r="B14" i="79"/>
  <c r="F13" i="79"/>
  <c r="E13" i="79"/>
  <c r="D13" i="79"/>
  <c r="C13" i="79"/>
  <c r="B13" i="79"/>
  <c r="F12" i="79"/>
  <c r="E12" i="79"/>
  <c r="D12" i="79"/>
  <c r="C12" i="79"/>
  <c r="B12" i="79"/>
  <c r="F11" i="79"/>
  <c r="E11" i="79"/>
  <c r="D11" i="79"/>
  <c r="C11" i="79"/>
  <c r="B11" i="79"/>
  <c r="F10" i="79"/>
  <c r="E10" i="79"/>
  <c r="D10" i="79"/>
  <c r="C10" i="79"/>
  <c r="B10" i="79"/>
  <c r="F9" i="79"/>
  <c r="E9" i="79"/>
  <c r="D9" i="79"/>
  <c r="C9" i="79"/>
  <c r="B9" i="79"/>
  <c r="F8" i="79"/>
  <c r="E8" i="79"/>
  <c r="D8" i="79"/>
  <c r="C8" i="79"/>
  <c r="B8" i="79"/>
  <c r="F102" i="78"/>
  <c r="E102" i="78"/>
  <c r="D102" i="78"/>
  <c r="C102" i="78"/>
  <c r="F101" i="78"/>
  <c r="E101" i="78"/>
  <c r="D101" i="78"/>
  <c r="C101" i="78"/>
  <c r="F100" i="78"/>
  <c r="E100" i="78"/>
  <c r="D100" i="78"/>
  <c r="C100" i="78"/>
  <c r="F99" i="78"/>
  <c r="E99" i="78"/>
  <c r="D99" i="78"/>
  <c r="C99" i="78"/>
  <c r="F98" i="78"/>
  <c r="E98" i="78"/>
  <c r="D98" i="78"/>
  <c r="C98" i="78"/>
  <c r="F97" i="78"/>
  <c r="E97" i="78"/>
  <c r="D97" i="78"/>
  <c r="C97" i="78"/>
  <c r="F96" i="78"/>
  <c r="E96" i="78"/>
  <c r="D96" i="78"/>
  <c r="C96" i="78"/>
  <c r="F95" i="78"/>
  <c r="E95" i="78"/>
  <c r="D95" i="78"/>
  <c r="C95" i="78"/>
  <c r="F94" i="78"/>
  <c r="E94" i="78"/>
  <c r="D94" i="78"/>
  <c r="C94" i="78"/>
  <c r="F93" i="78"/>
  <c r="E93" i="78"/>
  <c r="D93" i="78"/>
  <c r="C93" i="78"/>
  <c r="F92" i="78"/>
  <c r="E92" i="78"/>
  <c r="D92" i="78"/>
  <c r="C92" i="78"/>
  <c r="F91" i="78"/>
  <c r="E91" i="78"/>
  <c r="D91" i="78"/>
  <c r="C91" i="78"/>
  <c r="F90" i="78"/>
  <c r="E90" i="78"/>
  <c r="D90" i="78"/>
  <c r="C90" i="78"/>
  <c r="F89" i="78"/>
  <c r="E89" i="78"/>
  <c r="D89" i="78"/>
  <c r="C89" i="78"/>
  <c r="F88" i="78"/>
  <c r="E88" i="78"/>
  <c r="D88" i="78"/>
  <c r="C88" i="78"/>
  <c r="F87" i="78"/>
  <c r="E87" i="78"/>
  <c r="D87" i="78"/>
  <c r="C87" i="78"/>
  <c r="F86" i="78"/>
  <c r="E86" i="78"/>
  <c r="D86" i="78"/>
  <c r="C86" i="78"/>
  <c r="F85" i="78"/>
  <c r="E85" i="78"/>
  <c r="D85" i="78"/>
  <c r="C85" i="78"/>
  <c r="F84" i="78"/>
  <c r="E84" i="78"/>
  <c r="D84" i="78"/>
  <c r="C84" i="78"/>
  <c r="F83" i="78"/>
  <c r="E83" i="78"/>
  <c r="D83" i="78"/>
  <c r="C83" i="78"/>
  <c r="F82" i="78"/>
  <c r="E82" i="78"/>
  <c r="D82" i="78"/>
  <c r="C82" i="78"/>
  <c r="F81" i="78"/>
  <c r="E81" i="78"/>
  <c r="D81" i="78"/>
  <c r="C81" i="78"/>
  <c r="F80" i="78"/>
  <c r="E80" i="78"/>
  <c r="D80" i="78"/>
  <c r="C80" i="78"/>
  <c r="F79" i="78"/>
  <c r="E79" i="78"/>
  <c r="D79" i="78"/>
  <c r="C79" i="78"/>
  <c r="F78" i="78"/>
  <c r="E78" i="78"/>
  <c r="D78" i="78"/>
  <c r="C78" i="78"/>
  <c r="F77" i="78"/>
  <c r="E77" i="78"/>
  <c r="D77" i="78"/>
  <c r="C77" i="78"/>
  <c r="F76" i="78"/>
  <c r="E76" i="78"/>
  <c r="D76" i="78"/>
  <c r="C76" i="78"/>
  <c r="F75" i="78"/>
  <c r="E75" i="78"/>
  <c r="D75" i="78"/>
  <c r="C75" i="78"/>
  <c r="F74" i="78"/>
  <c r="E74" i="78"/>
  <c r="D74" i="78"/>
  <c r="C74" i="78"/>
  <c r="F73" i="78"/>
  <c r="E73" i="78"/>
  <c r="D73" i="78"/>
  <c r="C73" i="78"/>
  <c r="F72" i="78"/>
  <c r="E72" i="78"/>
  <c r="D72" i="78"/>
  <c r="C72" i="78"/>
  <c r="F71" i="78"/>
  <c r="E71" i="78"/>
  <c r="D71" i="78"/>
  <c r="C71" i="78"/>
  <c r="F70" i="78"/>
  <c r="E70" i="78"/>
  <c r="D70" i="78"/>
  <c r="C70" i="78"/>
  <c r="F69" i="78"/>
  <c r="E69" i="78"/>
  <c r="D69" i="78"/>
  <c r="C69" i="78"/>
  <c r="F68" i="78"/>
  <c r="E68" i="78"/>
  <c r="D68" i="78"/>
  <c r="C68" i="78"/>
  <c r="F67" i="78"/>
  <c r="E67" i="78"/>
  <c r="D67" i="78"/>
  <c r="C67" i="78"/>
  <c r="F66" i="78"/>
  <c r="E66" i="78"/>
  <c r="D66" i="78"/>
  <c r="C66" i="78"/>
  <c r="F65" i="78"/>
  <c r="E65" i="78"/>
  <c r="D65" i="78"/>
  <c r="C65" i="78"/>
  <c r="F64" i="78"/>
  <c r="E64" i="78"/>
  <c r="D64" i="78"/>
  <c r="C64" i="78"/>
  <c r="F63" i="78"/>
  <c r="E63" i="78"/>
  <c r="D63" i="78"/>
  <c r="C63" i="78"/>
  <c r="F62" i="78"/>
  <c r="E62" i="78"/>
  <c r="D62" i="78"/>
  <c r="C62" i="78"/>
  <c r="F61" i="78"/>
  <c r="E61" i="78"/>
  <c r="D61" i="78"/>
  <c r="C61" i="78"/>
  <c r="F60" i="78"/>
  <c r="E60" i="78"/>
  <c r="D60" i="78"/>
  <c r="C60" i="78"/>
  <c r="F59" i="78"/>
  <c r="E59" i="78"/>
  <c r="D59" i="78"/>
  <c r="C59" i="78"/>
  <c r="F58" i="78"/>
  <c r="E58" i="78"/>
  <c r="D58" i="78"/>
  <c r="C58" i="78"/>
  <c r="F57" i="78"/>
  <c r="E57" i="78"/>
  <c r="D57" i="78"/>
  <c r="C57" i="78"/>
  <c r="F56" i="78"/>
  <c r="E56" i="78"/>
  <c r="D56" i="78"/>
  <c r="C56" i="78"/>
  <c r="F55" i="78"/>
  <c r="E55" i="78"/>
  <c r="D55" i="78"/>
  <c r="C55" i="78"/>
  <c r="F54" i="78"/>
  <c r="E54" i="78"/>
  <c r="D54" i="78"/>
  <c r="C54" i="78"/>
  <c r="F53" i="78"/>
  <c r="E53" i="78"/>
  <c r="D53" i="78"/>
  <c r="C53" i="78"/>
  <c r="F52" i="78"/>
  <c r="E52" i="78"/>
  <c r="D52" i="78"/>
  <c r="C52" i="78"/>
  <c r="F19" i="78"/>
  <c r="F125" i="78" s="1"/>
  <c r="E19" i="78"/>
  <c r="E125" i="78" s="1"/>
  <c r="D19" i="78"/>
  <c r="D125" i="78" s="1"/>
  <c r="C19" i="78"/>
  <c r="C125" i="78" s="1"/>
  <c r="F18" i="78"/>
  <c r="E18" i="78"/>
  <c r="D18" i="78"/>
  <c r="C18" i="78"/>
  <c r="F17" i="78"/>
  <c r="E17" i="78"/>
  <c r="D17" i="78"/>
  <c r="C17" i="78"/>
  <c r="F16" i="78"/>
  <c r="E16" i="78"/>
  <c r="D16" i="78"/>
  <c r="C16" i="78"/>
  <c r="F15" i="78"/>
  <c r="E15" i="78"/>
  <c r="D15" i="78"/>
  <c r="C15" i="78"/>
  <c r="F14" i="78"/>
  <c r="E14" i="78"/>
  <c r="D14" i="78"/>
  <c r="C14" i="78"/>
  <c r="F13" i="78"/>
  <c r="E13" i="78"/>
  <c r="D13" i="78"/>
  <c r="C13" i="78"/>
  <c r="F12" i="78"/>
  <c r="E12" i="78"/>
  <c r="D12" i="78"/>
  <c r="C12" i="78"/>
  <c r="F11" i="78"/>
  <c r="E11" i="78"/>
  <c r="D11" i="78"/>
  <c r="C11" i="78"/>
  <c r="F10" i="78"/>
  <c r="E10" i="78"/>
  <c r="D10" i="78"/>
  <c r="C10" i="78"/>
  <c r="F9" i="78"/>
  <c r="E9" i="78"/>
  <c r="D9" i="78"/>
  <c r="C9" i="78"/>
  <c r="F8" i="78"/>
  <c r="E8" i="78"/>
  <c r="D8" i="78"/>
  <c r="C8" i="78"/>
  <c r="B102" i="78"/>
  <c r="B101" i="78"/>
  <c r="B100" i="78"/>
  <c r="B99" i="78"/>
  <c r="B98" i="78"/>
  <c r="B97" i="78"/>
  <c r="B96" i="78"/>
  <c r="B95" i="78"/>
  <c r="B94" i="78"/>
  <c r="B93" i="78"/>
  <c r="B92" i="78"/>
  <c r="B91" i="78"/>
  <c r="B90" i="78"/>
  <c r="B89" i="78"/>
  <c r="B88" i="78"/>
  <c r="B87" i="78"/>
  <c r="B86" i="78"/>
  <c r="B85" i="78"/>
  <c r="B84" i="78"/>
  <c r="B83" i="78"/>
  <c r="B82" i="78"/>
  <c r="B81" i="78"/>
  <c r="B80" i="78"/>
  <c r="B79" i="78"/>
  <c r="B78" i="78"/>
  <c r="B77" i="78"/>
  <c r="B76" i="78"/>
  <c r="B75" i="78"/>
  <c r="B74" i="78"/>
  <c r="B73" i="78"/>
  <c r="B72" i="78"/>
  <c r="B71" i="78"/>
  <c r="B70" i="78"/>
  <c r="B69" i="78"/>
  <c r="B68" i="78"/>
  <c r="B67" i="78"/>
  <c r="B66" i="78"/>
  <c r="B65" i="78"/>
  <c r="B64" i="78"/>
  <c r="B63" i="78"/>
  <c r="B62" i="78"/>
  <c r="B61" i="78"/>
  <c r="B60" i="78"/>
  <c r="B59" i="78"/>
  <c r="B58" i="78"/>
  <c r="B57" i="78"/>
  <c r="B56" i="78"/>
  <c r="B55" i="78"/>
  <c r="B54" i="78"/>
  <c r="B53" i="78"/>
  <c r="B52" i="78"/>
  <c r="B19" i="78"/>
  <c r="B18" i="78"/>
  <c r="B17" i="78"/>
  <c r="B16" i="78"/>
  <c r="B15" i="78"/>
  <c r="B14" i="78"/>
  <c r="B13" i="78"/>
  <c r="B12" i="78"/>
  <c r="B11" i="78"/>
  <c r="B10" i="78"/>
  <c r="B9" i="78"/>
  <c r="B8" i="78"/>
  <c r="F102" i="68"/>
  <c r="E102" i="68"/>
  <c r="D102" i="68"/>
  <c r="C102" i="68"/>
  <c r="F101" i="68"/>
  <c r="E101" i="68"/>
  <c r="D101" i="68"/>
  <c r="C101" i="68"/>
  <c r="F100" i="68"/>
  <c r="E100" i="68"/>
  <c r="D100" i="68"/>
  <c r="C100" i="68"/>
  <c r="F99" i="68"/>
  <c r="E99" i="68"/>
  <c r="D99" i="68"/>
  <c r="C99" i="68"/>
  <c r="F98" i="68"/>
  <c r="E98" i="68"/>
  <c r="D98" i="68"/>
  <c r="C98" i="68"/>
  <c r="F97" i="68"/>
  <c r="E97" i="68"/>
  <c r="D97" i="68"/>
  <c r="C97" i="68"/>
  <c r="F96" i="68"/>
  <c r="E96" i="68"/>
  <c r="D96" i="68"/>
  <c r="C96" i="68"/>
  <c r="F95" i="68"/>
  <c r="E95" i="68"/>
  <c r="D95" i="68"/>
  <c r="C95" i="68"/>
  <c r="F94" i="68"/>
  <c r="E94" i="68"/>
  <c r="D94" i="68"/>
  <c r="C94" i="68"/>
  <c r="F93" i="68"/>
  <c r="E93" i="68"/>
  <c r="D93" i="68"/>
  <c r="C93" i="68"/>
  <c r="F92" i="68"/>
  <c r="E92" i="68"/>
  <c r="D92" i="68"/>
  <c r="C92" i="68"/>
  <c r="F91" i="68"/>
  <c r="E91" i="68"/>
  <c r="D91" i="68"/>
  <c r="C91" i="68"/>
  <c r="F90" i="68"/>
  <c r="E90" i="68"/>
  <c r="D90" i="68"/>
  <c r="C90" i="68"/>
  <c r="F89" i="68"/>
  <c r="E89" i="68"/>
  <c r="D89" i="68"/>
  <c r="C89" i="68"/>
  <c r="F88" i="68"/>
  <c r="E88" i="68"/>
  <c r="D88" i="68"/>
  <c r="C88" i="68"/>
  <c r="F87" i="68"/>
  <c r="E87" i="68"/>
  <c r="D87" i="68"/>
  <c r="C87" i="68"/>
  <c r="F86" i="68"/>
  <c r="E86" i="68"/>
  <c r="D86" i="68"/>
  <c r="C86" i="68"/>
  <c r="F85" i="68"/>
  <c r="E85" i="68"/>
  <c r="D85" i="68"/>
  <c r="C85" i="68"/>
  <c r="F84" i="68"/>
  <c r="E84" i="68"/>
  <c r="D84" i="68"/>
  <c r="C84" i="68"/>
  <c r="F83" i="68"/>
  <c r="E83" i="68"/>
  <c r="D83" i="68"/>
  <c r="C83" i="68"/>
  <c r="F82" i="68"/>
  <c r="E82" i="68"/>
  <c r="D82" i="68"/>
  <c r="C82" i="68"/>
  <c r="F81" i="68"/>
  <c r="E81" i="68"/>
  <c r="D81" i="68"/>
  <c r="C81" i="68"/>
  <c r="F80" i="68"/>
  <c r="E80" i="68"/>
  <c r="D80" i="68"/>
  <c r="C80" i="68"/>
  <c r="F79" i="68"/>
  <c r="E79" i="68"/>
  <c r="D79" i="68"/>
  <c r="C79" i="68"/>
  <c r="F78" i="68"/>
  <c r="E78" i="68"/>
  <c r="D78" i="68"/>
  <c r="C78" i="68"/>
  <c r="F77" i="68"/>
  <c r="E77" i="68"/>
  <c r="D77" i="68"/>
  <c r="C77" i="68"/>
  <c r="F76" i="68"/>
  <c r="E76" i="68"/>
  <c r="D76" i="68"/>
  <c r="C76" i="68"/>
  <c r="F75" i="68"/>
  <c r="E75" i="68"/>
  <c r="D75" i="68"/>
  <c r="C75" i="68"/>
  <c r="F74" i="68"/>
  <c r="E74" i="68"/>
  <c r="D74" i="68"/>
  <c r="C74" i="68"/>
  <c r="F73" i="68"/>
  <c r="E73" i="68"/>
  <c r="D73" i="68"/>
  <c r="C73" i="68"/>
  <c r="F72" i="68"/>
  <c r="E72" i="68"/>
  <c r="D72" i="68"/>
  <c r="C72" i="68"/>
  <c r="F71" i="68"/>
  <c r="E71" i="68"/>
  <c r="D71" i="68"/>
  <c r="C71" i="68"/>
  <c r="F70" i="68"/>
  <c r="E70" i="68"/>
  <c r="D70" i="68"/>
  <c r="C70" i="68"/>
  <c r="F69" i="68"/>
  <c r="E69" i="68"/>
  <c r="D69" i="68"/>
  <c r="C69" i="68"/>
  <c r="F68" i="68"/>
  <c r="E68" i="68"/>
  <c r="D68" i="68"/>
  <c r="C68" i="68"/>
  <c r="F67" i="68"/>
  <c r="E67" i="68"/>
  <c r="D67" i="68"/>
  <c r="C67" i="68"/>
  <c r="F66" i="68"/>
  <c r="E66" i="68"/>
  <c r="D66" i="68"/>
  <c r="C66" i="68"/>
  <c r="F65" i="68"/>
  <c r="E65" i="68"/>
  <c r="D65" i="68"/>
  <c r="C65" i="68"/>
  <c r="F64" i="68"/>
  <c r="E64" i="68"/>
  <c r="D64" i="68"/>
  <c r="C64" i="68"/>
  <c r="F63" i="68"/>
  <c r="E63" i="68"/>
  <c r="D63" i="68"/>
  <c r="C63" i="68"/>
  <c r="F62" i="68"/>
  <c r="E62" i="68"/>
  <c r="D62" i="68"/>
  <c r="C62" i="68"/>
  <c r="F61" i="68"/>
  <c r="E61" i="68"/>
  <c r="D61" i="68"/>
  <c r="C61" i="68"/>
  <c r="F60" i="68"/>
  <c r="E60" i="68"/>
  <c r="D60" i="68"/>
  <c r="C60" i="68"/>
  <c r="F59" i="68"/>
  <c r="E59" i="68"/>
  <c r="D59" i="68"/>
  <c r="C59" i="68"/>
  <c r="F58" i="68"/>
  <c r="E58" i="68"/>
  <c r="D58" i="68"/>
  <c r="C58" i="68"/>
  <c r="F57" i="68"/>
  <c r="E57" i="68"/>
  <c r="D57" i="68"/>
  <c r="C57" i="68"/>
  <c r="F56" i="68"/>
  <c r="E56" i="68"/>
  <c r="D56" i="68"/>
  <c r="C56" i="68"/>
  <c r="F55" i="68"/>
  <c r="E55" i="68"/>
  <c r="D55" i="68"/>
  <c r="C55" i="68"/>
  <c r="F54" i="68"/>
  <c r="E54" i="68"/>
  <c r="D54" i="68"/>
  <c r="C54" i="68"/>
  <c r="F53" i="68"/>
  <c r="E53" i="68"/>
  <c r="D53" i="68"/>
  <c r="C53" i="68"/>
  <c r="F52" i="68"/>
  <c r="E52" i="68"/>
  <c r="D52" i="68"/>
  <c r="C52" i="68"/>
  <c r="F19" i="68"/>
  <c r="F125" i="68" s="1"/>
  <c r="E19" i="68"/>
  <c r="E125" i="68" s="1"/>
  <c r="D19" i="68"/>
  <c r="D125" i="68" s="1"/>
  <c r="C19" i="68"/>
  <c r="C125" i="68" s="1"/>
  <c r="F18" i="68"/>
  <c r="E18" i="68"/>
  <c r="D18" i="68"/>
  <c r="C18" i="68"/>
  <c r="F17" i="68"/>
  <c r="E17" i="68"/>
  <c r="D17" i="68"/>
  <c r="C17" i="68"/>
  <c r="F16" i="68"/>
  <c r="E16" i="68"/>
  <c r="D16" i="68"/>
  <c r="C16" i="68"/>
  <c r="F15" i="68"/>
  <c r="E15" i="68"/>
  <c r="D15" i="68"/>
  <c r="C15" i="68"/>
  <c r="F14" i="68"/>
  <c r="E14" i="68"/>
  <c r="D14" i="68"/>
  <c r="C14" i="68"/>
  <c r="F13" i="68"/>
  <c r="E13" i="68"/>
  <c r="D13" i="68"/>
  <c r="C13" i="68"/>
  <c r="F12" i="68"/>
  <c r="E12" i="68"/>
  <c r="D12" i="68"/>
  <c r="C12" i="68"/>
  <c r="F11" i="68"/>
  <c r="E11" i="68"/>
  <c r="D11" i="68"/>
  <c r="C11" i="68"/>
  <c r="F10" i="68"/>
  <c r="E10" i="68"/>
  <c r="D10" i="68"/>
  <c r="C10" i="68"/>
  <c r="F9" i="68"/>
  <c r="E9" i="68"/>
  <c r="D9" i="68"/>
  <c r="C9" i="68"/>
  <c r="F8" i="68"/>
  <c r="E8" i="68"/>
  <c r="D8" i="68"/>
  <c r="C8" i="68"/>
  <c r="B102" i="68"/>
  <c r="B101" i="68"/>
  <c r="B100" i="68"/>
  <c r="B99" i="68"/>
  <c r="B98" i="68"/>
  <c r="B97" i="68"/>
  <c r="B96" i="68"/>
  <c r="B95" i="68"/>
  <c r="B94" i="68"/>
  <c r="B93" i="68"/>
  <c r="B92" i="68"/>
  <c r="B91" i="68"/>
  <c r="B90" i="68"/>
  <c r="B89" i="68"/>
  <c r="B88" i="68"/>
  <c r="B87" i="68"/>
  <c r="B86" i="68"/>
  <c r="B85" i="68"/>
  <c r="B84" i="68"/>
  <c r="B83" i="68"/>
  <c r="B82" i="68"/>
  <c r="B81" i="68"/>
  <c r="B80" i="68"/>
  <c r="B79" i="68"/>
  <c r="B78" i="68"/>
  <c r="B77" i="68"/>
  <c r="B76" i="68"/>
  <c r="B75" i="68"/>
  <c r="B74" i="68"/>
  <c r="B73" i="68"/>
  <c r="B72" i="68"/>
  <c r="B71" i="68"/>
  <c r="B70" i="68"/>
  <c r="B69" i="68"/>
  <c r="B68" i="68"/>
  <c r="B67" i="68"/>
  <c r="B66" i="68"/>
  <c r="B65" i="68"/>
  <c r="B64" i="68"/>
  <c r="B63" i="68"/>
  <c r="B62" i="68"/>
  <c r="B61" i="68"/>
  <c r="B60" i="68"/>
  <c r="B59" i="68"/>
  <c r="B58" i="68"/>
  <c r="B57" i="68"/>
  <c r="B56" i="68"/>
  <c r="B55" i="68"/>
  <c r="B54" i="68"/>
  <c r="B53" i="68"/>
  <c r="B52" i="68"/>
  <c r="B19" i="68"/>
  <c r="B18" i="68"/>
  <c r="B17" i="68"/>
  <c r="B16" i="68"/>
  <c r="B15" i="68"/>
  <c r="B14" i="68"/>
  <c r="B13" i="68"/>
  <c r="B12" i="68"/>
  <c r="B11" i="68"/>
  <c r="B10" i="68"/>
  <c r="B9" i="68"/>
  <c r="B8" i="68"/>
  <c r="C125" i="77"/>
  <c r="D125" i="77"/>
  <c r="E125" i="77"/>
  <c r="F125" i="77"/>
  <c r="D110" i="43"/>
  <c r="B3" i="43"/>
  <c r="B109" i="43" s="1"/>
  <c r="B2" i="43"/>
  <c r="B108" i="43" s="1"/>
  <c r="D110" i="58"/>
  <c r="B3" i="58"/>
  <c r="B109" i="58" s="1"/>
  <c r="B2" i="58"/>
  <c r="B108" i="58" s="1"/>
  <c r="D110" i="59"/>
  <c r="B3" i="59"/>
  <c r="B109" i="59" s="1"/>
  <c r="B2" i="59"/>
  <c r="B108" i="59" s="1"/>
  <c r="D110" i="60"/>
  <c r="B3" i="60"/>
  <c r="B109" i="60" s="1"/>
  <c r="B2" i="60"/>
  <c r="B108" i="60" s="1"/>
  <c r="D110" i="61"/>
  <c r="B3" i="61"/>
  <c r="B109" i="61" s="1"/>
  <c r="B2" i="61"/>
  <c r="B108" i="61" s="1"/>
  <c r="D110" i="62"/>
  <c r="B3" i="62"/>
  <c r="B109" i="62" s="1"/>
  <c r="B2" i="62"/>
  <c r="B108" i="62" s="1"/>
  <c r="D110" i="63"/>
  <c r="B3" i="63"/>
  <c r="B109" i="63" s="1"/>
  <c r="B2" i="63"/>
  <c r="B108" i="63" s="1"/>
  <c r="D110" i="64"/>
  <c r="B3" i="64"/>
  <c r="B109" i="64" s="1"/>
  <c r="B2" i="64"/>
  <c r="B108" i="64" s="1"/>
  <c r="D110" i="65"/>
  <c r="B3" i="65"/>
  <c r="B109" i="65" s="1"/>
  <c r="B2" i="65"/>
  <c r="B108" i="65" s="1"/>
  <c r="D110" i="66"/>
  <c r="B4" i="66"/>
  <c r="B3" i="66"/>
  <c r="B109" i="66" s="1"/>
  <c r="B2" i="66"/>
  <c r="B108" i="66" s="1"/>
  <c r="D110" i="57"/>
  <c r="D110" i="67"/>
  <c r="O64" i="78" l="1"/>
  <c r="O72" i="68"/>
  <c r="O76" i="68"/>
  <c r="O80" i="68"/>
  <c r="O84" i="68"/>
  <c r="O88" i="68"/>
  <c r="O92" i="68"/>
  <c r="O96" i="68"/>
  <c r="O100" i="68"/>
  <c r="O61" i="68"/>
  <c r="O65" i="68"/>
  <c r="O73" i="68"/>
  <c r="O77" i="68"/>
  <c r="O81" i="68"/>
  <c r="O85" i="68"/>
  <c r="O89" i="68"/>
  <c r="O93" i="68"/>
  <c r="O97" i="68"/>
  <c r="O101" i="68"/>
  <c r="O9" i="78"/>
  <c r="O13" i="78"/>
  <c r="O17" i="78"/>
  <c r="O53" i="78"/>
  <c r="O57" i="78"/>
  <c r="O61" i="78"/>
  <c r="O65" i="78"/>
  <c r="O9" i="68"/>
  <c r="O13" i="68"/>
  <c r="O17" i="68"/>
  <c r="O53" i="68"/>
  <c r="O57" i="68"/>
  <c r="O8" i="78"/>
  <c r="O12" i="78"/>
  <c r="O16" i="78"/>
  <c r="O52" i="78"/>
  <c r="O56" i="78"/>
  <c r="O60" i="78"/>
  <c r="O8" i="79"/>
  <c r="O8" i="68"/>
  <c r="O12" i="68"/>
  <c r="O16" i="68"/>
  <c r="O52" i="68"/>
  <c r="O56" i="68"/>
  <c r="O60" i="68"/>
  <c r="O64" i="68"/>
  <c r="O88" i="78"/>
  <c r="O92" i="78"/>
  <c r="O96" i="78"/>
  <c r="O100" i="78"/>
  <c r="O73" i="78"/>
  <c r="O77" i="78"/>
  <c r="O81" i="78"/>
  <c r="O85" i="78"/>
  <c r="O89" i="78"/>
  <c r="O93" i="78"/>
  <c r="O97" i="78"/>
  <c r="O101" i="78"/>
  <c r="O12" i="79"/>
  <c r="O16" i="79"/>
  <c r="O52" i="79"/>
  <c r="O56" i="79"/>
  <c r="O60" i="79"/>
  <c r="O64" i="79"/>
  <c r="O68" i="79"/>
  <c r="O72" i="79"/>
  <c r="O76" i="79"/>
  <c r="O80" i="79"/>
  <c r="O84" i="79"/>
  <c r="O88" i="79"/>
  <c r="O92" i="79"/>
  <c r="O96" i="79"/>
  <c r="O100" i="79"/>
  <c r="O11" i="85"/>
  <c r="O15" i="85"/>
  <c r="O19" i="85"/>
  <c r="O8" i="83"/>
  <c r="O12" i="83"/>
  <c r="O16" i="83"/>
  <c r="O72" i="78"/>
  <c r="O76" i="78"/>
  <c r="O80" i="78"/>
  <c r="O84" i="78"/>
  <c r="O55" i="85"/>
  <c r="O59" i="85"/>
  <c r="O63" i="85"/>
  <c r="O71" i="85"/>
  <c r="O75" i="85"/>
  <c r="O79" i="85"/>
  <c r="O83" i="85"/>
  <c r="O87" i="85"/>
  <c r="O91" i="85"/>
  <c r="O95" i="85"/>
  <c r="O99" i="85"/>
  <c r="O69" i="68"/>
  <c r="O68" i="68"/>
  <c r="O67" i="85"/>
  <c r="O69" i="78"/>
  <c r="O68" i="78"/>
  <c r="O19" i="83"/>
  <c r="O52" i="83"/>
  <c r="O56" i="83"/>
  <c r="O60" i="83"/>
  <c r="O64" i="83"/>
  <c r="O68" i="83"/>
  <c r="O72" i="83"/>
  <c r="O76" i="83"/>
  <c r="O80" i="83"/>
  <c r="O84" i="83"/>
  <c r="O88" i="83"/>
  <c r="O92" i="83"/>
  <c r="O96" i="83"/>
  <c r="O100" i="83"/>
  <c r="O9" i="82"/>
  <c r="O13" i="82"/>
  <c r="O17" i="82"/>
  <c r="O53" i="82"/>
  <c r="O57" i="82"/>
  <c r="O61" i="82"/>
  <c r="O65" i="82"/>
  <c r="O69" i="82"/>
  <c r="O73" i="82"/>
  <c r="O77" i="82"/>
  <c r="O81" i="82"/>
  <c r="O85" i="82"/>
  <c r="O89" i="82"/>
  <c r="O93" i="82"/>
  <c r="O97" i="82"/>
  <c r="O101" i="82"/>
  <c r="O10" i="68"/>
  <c r="O14" i="68"/>
  <c r="O18" i="68"/>
  <c r="O54" i="68"/>
  <c r="O58" i="68"/>
  <c r="O62" i="68"/>
  <c r="O66" i="68"/>
  <c r="O70" i="68"/>
  <c r="O74" i="68"/>
  <c r="O78" i="68"/>
  <c r="O82" i="68"/>
  <c r="O86" i="68"/>
  <c r="O90" i="68"/>
  <c r="O94" i="68"/>
  <c r="O98" i="68"/>
  <c r="O102" i="68"/>
  <c r="O10" i="78"/>
  <c r="O14" i="78"/>
  <c r="O18" i="78"/>
  <c r="O54" i="78"/>
  <c r="O58" i="78"/>
  <c r="O62" i="78"/>
  <c r="O66" i="78"/>
  <c r="O70" i="78"/>
  <c r="O74" i="78"/>
  <c r="O78" i="78"/>
  <c r="O82" i="78"/>
  <c r="O86" i="78"/>
  <c r="O90" i="78"/>
  <c r="O94" i="78"/>
  <c r="O98" i="78"/>
  <c r="O102" i="78"/>
  <c r="O10" i="79"/>
  <c r="O14" i="79"/>
  <c r="O18" i="79"/>
  <c r="O54" i="79"/>
  <c r="O58" i="79"/>
  <c r="O62" i="79"/>
  <c r="O66" i="79"/>
  <c r="O70" i="79"/>
  <c r="O74" i="79"/>
  <c r="O78" i="79"/>
  <c r="O82" i="79"/>
  <c r="O86" i="79"/>
  <c r="O90" i="79"/>
  <c r="O94" i="79"/>
  <c r="O98" i="79"/>
  <c r="O102" i="79"/>
  <c r="O9" i="85"/>
  <c r="O13" i="85"/>
  <c r="O17" i="85"/>
  <c r="O53" i="85"/>
  <c r="O57" i="85"/>
  <c r="O61" i="85"/>
  <c r="O65" i="85"/>
  <c r="O69" i="85"/>
  <c r="O73" i="85"/>
  <c r="O77" i="85"/>
  <c r="O81" i="85"/>
  <c r="O85" i="85"/>
  <c r="O89" i="85"/>
  <c r="O93" i="85"/>
  <c r="O97" i="85"/>
  <c r="O101" i="85"/>
  <c r="O9" i="83"/>
  <c r="O13" i="83"/>
  <c r="O17" i="83"/>
  <c r="O53" i="83"/>
  <c r="O57" i="83"/>
  <c r="O61" i="83"/>
  <c r="O65" i="83"/>
  <c r="O69" i="83"/>
  <c r="O73" i="83"/>
  <c r="O77" i="83"/>
  <c r="O81" i="83"/>
  <c r="O85" i="83"/>
  <c r="O89" i="83"/>
  <c r="O93" i="83"/>
  <c r="O97" i="83"/>
  <c r="O101" i="83"/>
  <c r="O10" i="82"/>
  <c r="O14" i="82"/>
  <c r="O18" i="82"/>
  <c r="O54" i="82"/>
  <c r="O58" i="82"/>
  <c r="O62" i="82"/>
  <c r="O66" i="82"/>
  <c r="O70" i="82"/>
  <c r="O74" i="82"/>
  <c r="O78" i="82"/>
  <c r="O82" i="82"/>
  <c r="O86" i="82"/>
  <c r="O90" i="82"/>
  <c r="O94" i="82"/>
  <c r="O98" i="82"/>
  <c r="O102" i="82"/>
  <c r="O11" i="68"/>
  <c r="O15" i="68"/>
  <c r="O19" i="68"/>
  <c r="O55" i="68"/>
  <c r="O59" i="68"/>
  <c r="O63" i="68"/>
  <c r="O67" i="68"/>
  <c r="O71" i="68"/>
  <c r="O75" i="68"/>
  <c r="O79" i="68"/>
  <c r="O83" i="68"/>
  <c r="O87" i="68"/>
  <c r="O91" i="68"/>
  <c r="O95" i="68"/>
  <c r="O99" i="68"/>
  <c r="O11" i="78"/>
  <c r="O15" i="78"/>
  <c r="O19" i="78"/>
  <c r="O55" i="78"/>
  <c r="O59" i="78"/>
  <c r="O63" i="78"/>
  <c r="O67" i="78"/>
  <c r="O71" i="78"/>
  <c r="O75" i="78"/>
  <c r="O79" i="78"/>
  <c r="O83" i="78"/>
  <c r="O87" i="78"/>
  <c r="O91" i="78"/>
  <c r="O95" i="78"/>
  <c r="O99" i="78"/>
  <c r="O11" i="79"/>
  <c r="O15" i="79"/>
  <c r="O19" i="79"/>
  <c r="O55" i="79"/>
  <c r="O59" i="79"/>
  <c r="O63" i="79"/>
  <c r="O67" i="79"/>
  <c r="O71" i="79"/>
  <c r="O75" i="79"/>
  <c r="O79" i="79"/>
  <c r="O83" i="79"/>
  <c r="O87" i="79"/>
  <c r="O91" i="79"/>
  <c r="O95" i="79"/>
  <c r="O99" i="79"/>
  <c r="O10" i="85"/>
  <c r="O14" i="85"/>
  <c r="O18" i="85"/>
  <c r="O54" i="85"/>
  <c r="O58" i="85"/>
  <c r="O62" i="85"/>
  <c r="O66" i="85"/>
  <c r="O70" i="85"/>
  <c r="O74" i="85"/>
  <c r="O78" i="85"/>
  <c r="O82" i="85"/>
  <c r="O86" i="85"/>
  <c r="O90" i="85"/>
  <c r="O94" i="85"/>
  <c r="O98" i="85"/>
  <c r="O102" i="85"/>
  <c r="O10" i="83"/>
  <c r="O14" i="83"/>
  <c r="O18" i="83"/>
  <c r="O54" i="83"/>
  <c r="O58" i="83"/>
  <c r="O62" i="83"/>
  <c r="O66" i="83"/>
  <c r="O70" i="83"/>
  <c r="O74" i="83"/>
  <c r="O78" i="83"/>
  <c r="O82" i="83"/>
  <c r="O86" i="83"/>
  <c r="O90" i="83"/>
  <c r="O94" i="83"/>
  <c r="O98" i="83"/>
  <c r="O102" i="83"/>
  <c r="O11" i="82"/>
  <c r="O15" i="82"/>
  <c r="O19" i="82"/>
  <c r="O55" i="82"/>
  <c r="O59" i="82"/>
  <c r="O63" i="82"/>
  <c r="O67" i="82"/>
  <c r="O71" i="82"/>
  <c r="O75" i="82"/>
  <c r="O79" i="82"/>
  <c r="O83" i="82"/>
  <c r="O87" i="82"/>
  <c r="O91" i="82"/>
  <c r="O95" i="82"/>
  <c r="O99" i="82"/>
  <c r="O11" i="83"/>
  <c r="O15" i="83"/>
  <c r="O55" i="83"/>
  <c r="O59" i="83"/>
  <c r="O63" i="83"/>
  <c r="O67" i="83"/>
  <c r="O71" i="83"/>
  <c r="O75" i="83"/>
  <c r="O79" i="83"/>
  <c r="O83" i="83"/>
  <c r="O87" i="83"/>
  <c r="O91" i="83"/>
  <c r="O95" i="83"/>
  <c r="O99" i="83"/>
  <c r="O8" i="82"/>
  <c r="O12" i="82"/>
  <c r="O16" i="82"/>
  <c r="O52" i="82"/>
  <c r="O56" i="82"/>
  <c r="O60" i="82"/>
  <c r="O64" i="82"/>
  <c r="O68" i="82"/>
  <c r="O72" i="82"/>
  <c r="O76" i="82"/>
  <c r="O80" i="82"/>
  <c r="O84" i="82"/>
  <c r="O88" i="82"/>
  <c r="O92" i="82"/>
  <c r="O96" i="82"/>
  <c r="O100" i="82"/>
  <c r="O9" i="79"/>
  <c r="O13" i="79"/>
  <c r="O17" i="79"/>
  <c r="O53" i="79"/>
  <c r="O57" i="79"/>
  <c r="O61" i="79"/>
  <c r="O65" i="79"/>
  <c r="O69" i="79"/>
  <c r="O73" i="79"/>
  <c r="O77" i="79"/>
  <c r="O81" i="79"/>
  <c r="O85" i="79"/>
  <c r="O89" i="79"/>
  <c r="O93" i="79"/>
  <c r="O97" i="79"/>
  <c r="O101" i="79"/>
  <c r="O8" i="85"/>
  <c r="O12" i="85"/>
  <c r="O16" i="85"/>
  <c r="O52" i="85"/>
  <c r="O56" i="85"/>
  <c r="O60" i="85"/>
  <c r="O64" i="85"/>
  <c r="O68" i="85"/>
  <c r="O72" i="85"/>
  <c r="O76" i="85"/>
  <c r="O80" i="85"/>
  <c r="O84" i="85"/>
  <c r="O88" i="85"/>
  <c r="O92" i="85"/>
  <c r="O96" i="85"/>
  <c r="O100" i="85"/>
  <c r="D174" i="85"/>
  <c r="D178" i="85"/>
  <c r="D182" i="85"/>
  <c r="D186" i="85"/>
  <c r="D206" i="85"/>
  <c r="D172" i="85"/>
  <c r="D176" i="85"/>
  <c r="D180" i="85"/>
  <c r="D184" i="85"/>
  <c r="E117" i="79"/>
  <c r="E119" i="79"/>
  <c r="E121" i="79"/>
  <c r="E123" i="79"/>
  <c r="E159" i="79"/>
  <c r="E161" i="79"/>
  <c r="E163" i="79"/>
  <c r="E165" i="79"/>
  <c r="E167" i="79"/>
  <c r="E169" i="79"/>
  <c r="E171" i="79"/>
  <c r="E173" i="79"/>
  <c r="E175" i="79"/>
  <c r="E177" i="79"/>
  <c r="E179" i="79"/>
  <c r="E181" i="79"/>
  <c r="E183" i="79"/>
  <c r="E185" i="79"/>
  <c r="E187" i="79"/>
  <c r="E189" i="79"/>
  <c r="E191" i="79"/>
  <c r="E193" i="79"/>
  <c r="E195" i="79"/>
  <c r="E197" i="79"/>
  <c r="E199" i="79"/>
  <c r="E201" i="79"/>
  <c r="E203" i="79"/>
  <c r="E205" i="79"/>
  <c r="F116" i="79"/>
  <c r="F118" i="79"/>
  <c r="F120" i="79"/>
  <c r="H16" i="41" s="1"/>
  <c r="F122" i="79"/>
  <c r="F124" i="79"/>
  <c r="F160" i="79"/>
  <c r="F162" i="79"/>
  <c r="F164" i="79"/>
  <c r="F166" i="79"/>
  <c r="F168" i="79"/>
  <c r="F170" i="79"/>
  <c r="F172" i="79"/>
  <c r="F174" i="79"/>
  <c r="F176" i="79"/>
  <c r="F178" i="79"/>
  <c r="F180" i="79"/>
  <c r="F182" i="79"/>
  <c r="F184" i="79"/>
  <c r="F186" i="79"/>
  <c r="F188" i="79"/>
  <c r="F190" i="79"/>
  <c r="F192" i="79"/>
  <c r="D188" i="85"/>
  <c r="D190" i="85"/>
  <c r="D192" i="85"/>
  <c r="D194" i="85"/>
  <c r="D196" i="85"/>
  <c r="D198" i="85"/>
  <c r="D124" i="78"/>
  <c r="F206" i="78"/>
  <c r="D116" i="85"/>
  <c r="D118" i="85"/>
  <c r="D120" i="85"/>
  <c r="D122" i="85"/>
  <c r="D124" i="85"/>
  <c r="D160" i="85"/>
  <c r="D162" i="85"/>
  <c r="D164" i="85"/>
  <c r="D166" i="85"/>
  <c r="D168" i="85"/>
  <c r="D170" i="85"/>
  <c r="D200" i="85"/>
  <c r="D202" i="85"/>
  <c r="D204" i="85"/>
  <c r="B110" i="66"/>
  <c r="E123" i="68"/>
  <c r="C115" i="85"/>
  <c r="C117" i="85"/>
  <c r="C121" i="85"/>
  <c r="C123" i="85"/>
  <c r="C159" i="85"/>
  <c r="C161" i="85"/>
  <c r="C163" i="85"/>
  <c r="C165" i="85"/>
  <c r="C167" i="85"/>
  <c r="C169" i="85"/>
  <c r="C173" i="85"/>
  <c r="C175" i="85"/>
  <c r="C177" i="85"/>
  <c r="C179" i="85"/>
  <c r="C181" i="85"/>
  <c r="C183" i="85"/>
  <c r="C185" i="85"/>
  <c r="C187" i="85"/>
  <c r="C189" i="85"/>
  <c r="C191" i="85"/>
  <c r="C193" i="85"/>
  <c r="C195" i="85"/>
  <c r="C197" i="85"/>
  <c r="C199" i="85"/>
  <c r="C201" i="85"/>
  <c r="C203" i="85"/>
  <c r="C205" i="85"/>
  <c r="C115" i="83"/>
  <c r="C117" i="83"/>
  <c r="C119" i="83"/>
  <c r="C121" i="83"/>
  <c r="C123" i="83"/>
  <c r="C159" i="83"/>
  <c r="C161" i="83"/>
  <c r="C163" i="83"/>
  <c r="C165" i="83"/>
  <c r="C167" i="83"/>
  <c r="C169" i="83"/>
  <c r="C171" i="83"/>
  <c r="C173" i="83"/>
  <c r="C175" i="83"/>
  <c r="C177" i="83"/>
  <c r="C179" i="83"/>
  <c r="C181" i="83"/>
  <c r="C183" i="83"/>
  <c r="C185" i="83"/>
  <c r="C187" i="83"/>
  <c r="C189" i="83"/>
  <c r="C191" i="83"/>
  <c r="C193" i="83"/>
  <c r="C195" i="83"/>
  <c r="C197" i="83"/>
  <c r="C199" i="83"/>
  <c r="C201" i="83"/>
  <c r="C203" i="83"/>
  <c r="C205" i="83"/>
  <c r="C171" i="85"/>
  <c r="G13" i="68"/>
  <c r="N13" i="68" s="1"/>
  <c r="G61" i="68"/>
  <c r="N61" i="68" s="1"/>
  <c r="G77" i="68"/>
  <c r="N77" i="68" s="1"/>
  <c r="G89" i="68"/>
  <c r="N89" i="68" s="1"/>
  <c r="G101" i="68"/>
  <c r="N101" i="68" s="1"/>
  <c r="G10" i="78"/>
  <c r="N10" i="78" s="1"/>
  <c r="G58" i="78"/>
  <c r="N58" i="78" s="1"/>
  <c r="G70" i="78"/>
  <c r="N70" i="78" s="1"/>
  <c r="G86" i="78"/>
  <c r="N86" i="78" s="1"/>
  <c r="G98" i="78"/>
  <c r="N98" i="78" s="1"/>
  <c r="G11" i="68"/>
  <c r="N11" i="68" s="1"/>
  <c r="G15" i="68"/>
  <c r="N15" i="68" s="1"/>
  <c r="G19" i="68"/>
  <c r="G55" i="68"/>
  <c r="N55" i="68" s="1"/>
  <c r="G59" i="68"/>
  <c r="N59" i="68" s="1"/>
  <c r="G63" i="68"/>
  <c r="N63" i="68" s="1"/>
  <c r="G67" i="68"/>
  <c r="N67" i="68" s="1"/>
  <c r="G71" i="68"/>
  <c r="N71" i="68" s="1"/>
  <c r="G75" i="68"/>
  <c r="N75" i="68" s="1"/>
  <c r="G79" i="68"/>
  <c r="N79" i="68" s="1"/>
  <c r="G83" i="68"/>
  <c r="N83" i="68" s="1"/>
  <c r="G87" i="68"/>
  <c r="N87" i="68" s="1"/>
  <c r="G91" i="68"/>
  <c r="N91" i="68" s="1"/>
  <c r="G95" i="68"/>
  <c r="N95" i="68" s="1"/>
  <c r="G99" i="68"/>
  <c r="N99" i="68" s="1"/>
  <c r="G8" i="78"/>
  <c r="N8" i="78" s="1"/>
  <c r="G12" i="78"/>
  <c r="N12" i="78" s="1"/>
  <c r="G16" i="78"/>
  <c r="N16" i="78" s="1"/>
  <c r="G52" i="78"/>
  <c r="N52" i="78" s="1"/>
  <c r="G56" i="78"/>
  <c r="N56" i="78" s="1"/>
  <c r="G60" i="78"/>
  <c r="N60" i="78" s="1"/>
  <c r="G64" i="78"/>
  <c r="N64" i="78" s="1"/>
  <c r="G68" i="78"/>
  <c r="N68" i="78" s="1"/>
  <c r="G72" i="78"/>
  <c r="N72" i="78" s="1"/>
  <c r="G76" i="78"/>
  <c r="N76" i="78" s="1"/>
  <c r="G80" i="78"/>
  <c r="N80" i="78" s="1"/>
  <c r="G84" i="78"/>
  <c r="N84" i="78" s="1"/>
  <c r="G88" i="78"/>
  <c r="N88" i="78" s="1"/>
  <c r="G92" i="78"/>
  <c r="N92" i="78" s="1"/>
  <c r="G96" i="78"/>
  <c r="N96" i="78" s="1"/>
  <c r="G100" i="78"/>
  <c r="N100" i="78" s="1"/>
  <c r="C117" i="79"/>
  <c r="C119" i="79"/>
  <c r="C121" i="79"/>
  <c r="C123" i="79"/>
  <c r="C159" i="79"/>
  <c r="C161" i="79"/>
  <c r="C163" i="79"/>
  <c r="C167" i="79"/>
  <c r="C169" i="79"/>
  <c r="C173" i="79"/>
  <c r="C177" i="79"/>
  <c r="C179" i="79"/>
  <c r="C183" i="79"/>
  <c r="C187" i="79"/>
  <c r="G8" i="85"/>
  <c r="N8" i="85" s="1"/>
  <c r="G10" i="85"/>
  <c r="N10" i="85" s="1"/>
  <c r="G12" i="85"/>
  <c r="N12" i="85" s="1"/>
  <c r="G14" i="85"/>
  <c r="N14" i="85" s="1"/>
  <c r="G16" i="85"/>
  <c r="N16" i="85" s="1"/>
  <c r="G18" i="85"/>
  <c r="N18" i="85" s="1"/>
  <c r="G52" i="85"/>
  <c r="N52" i="85" s="1"/>
  <c r="G54" i="85"/>
  <c r="N54" i="85" s="1"/>
  <c r="G56" i="85"/>
  <c r="N56" i="85" s="1"/>
  <c r="G58" i="85"/>
  <c r="N58" i="85" s="1"/>
  <c r="G60" i="85"/>
  <c r="N60" i="85" s="1"/>
  <c r="G62" i="85"/>
  <c r="N62" i="85" s="1"/>
  <c r="G64" i="85"/>
  <c r="N64" i="85" s="1"/>
  <c r="G66" i="85"/>
  <c r="N66" i="85" s="1"/>
  <c r="G68" i="85"/>
  <c r="N68" i="85" s="1"/>
  <c r="G70" i="85"/>
  <c r="N70" i="85" s="1"/>
  <c r="G72" i="85"/>
  <c r="N72" i="85" s="1"/>
  <c r="G74" i="85"/>
  <c r="N74" i="85" s="1"/>
  <c r="G76" i="85"/>
  <c r="N76" i="85" s="1"/>
  <c r="G78" i="85"/>
  <c r="N78" i="85" s="1"/>
  <c r="G80" i="85"/>
  <c r="N80" i="85" s="1"/>
  <c r="G82" i="85"/>
  <c r="N82" i="85" s="1"/>
  <c r="G84" i="85"/>
  <c r="N84" i="85" s="1"/>
  <c r="G86" i="85"/>
  <c r="N86" i="85" s="1"/>
  <c r="G88" i="85"/>
  <c r="N88" i="85" s="1"/>
  <c r="G90" i="85"/>
  <c r="N90" i="85" s="1"/>
  <c r="G92" i="85"/>
  <c r="N92" i="85" s="1"/>
  <c r="G94" i="85"/>
  <c r="N94" i="85" s="1"/>
  <c r="G96" i="85"/>
  <c r="N96" i="85" s="1"/>
  <c r="G98" i="85"/>
  <c r="N98" i="85" s="1"/>
  <c r="G100" i="85"/>
  <c r="N100" i="85" s="1"/>
  <c r="G102" i="85"/>
  <c r="N102" i="85" s="1"/>
  <c r="G8" i="83"/>
  <c r="N8" i="83" s="1"/>
  <c r="G10" i="83"/>
  <c r="N10" i="83" s="1"/>
  <c r="G12" i="83"/>
  <c r="N12" i="83" s="1"/>
  <c r="G14" i="83"/>
  <c r="N14" i="83" s="1"/>
  <c r="G16" i="83"/>
  <c r="N16" i="83" s="1"/>
  <c r="G18" i="83"/>
  <c r="N18" i="83" s="1"/>
  <c r="G52" i="83"/>
  <c r="N52" i="83" s="1"/>
  <c r="G54" i="83"/>
  <c r="N54" i="83" s="1"/>
  <c r="G56" i="83"/>
  <c r="N56" i="83" s="1"/>
  <c r="G58" i="83"/>
  <c r="N58" i="83" s="1"/>
  <c r="G60" i="83"/>
  <c r="N60" i="83" s="1"/>
  <c r="G62" i="83"/>
  <c r="N62" i="83" s="1"/>
  <c r="G64" i="83"/>
  <c r="N64" i="83" s="1"/>
  <c r="G66" i="83"/>
  <c r="N66" i="83" s="1"/>
  <c r="G68" i="83"/>
  <c r="N68" i="83" s="1"/>
  <c r="G70" i="83"/>
  <c r="N70" i="83" s="1"/>
  <c r="G72" i="83"/>
  <c r="N72" i="83" s="1"/>
  <c r="G74" i="83"/>
  <c r="N74" i="83" s="1"/>
  <c r="G76" i="83"/>
  <c r="N76" i="83" s="1"/>
  <c r="G78" i="83"/>
  <c r="N78" i="83" s="1"/>
  <c r="G80" i="83"/>
  <c r="N80" i="83" s="1"/>
  <c r="G82" i="83"/>
  <c r="N82" i="83" s="1"/>
  <c r="G84" i="83"/>
  <c r="N84" i="83" s="1"/>
  <c r="G86" i="83"/>
  <c r="N86" i="83" s="1"/>
  <c r="G88" i="83"/>
  <c r="N88" i="83" s="1"/>
  <c r="G90" i="83"/>
  <c r="N90" i="83" s="1"/>
  <c r="G92" i="83"/>
  <c r="N92" i="83" s="1"/>
  <c r="G94" i="83"/>
  <c r="N94" i="83" s="1"/>
  <c r="G96" i="83"/>
  <c r="N96" i="83" s="1"/>
  <c r="G98" i="83"/>
  <c r="N98" i="83" s="1"/>
  <c r="G100" i="83"/>
  <c r="N100" i="83" s="1"/>
  <c r="G102" i="83"/>
  <c r="N102" i="83" s="1"/>
  <c r="G8" i="82"/>
  <c r="N8" i="82" s="1"/>
  <c r="G10" i="82"/>
  <c r="N10" i="82" s="1"/>
  <c r="G12" i="82"/>
  <c r="N12" i="82" s="1"/>
  <c r="G14" i="82"/>
  <c r="N14" i="82" s="1"/>
  <c r="G16" i="82"/>
  <c r="N16" i="82" s="1"/>
  <c r="G18" i="82"/>
  <c r="N18" i="82" s="1"/>
  <c r="G52" i="82"/>
  <c r="N52" i="82" s="1"/>
  <c r="G54" i="82"/>
  <c r="N54" i="82" s="1"/>
  <c r="G56" i="82"/>
  <c r="N56" i="82" s="1"/>
  <c r="G58" i="82"/>
  <c r="N58" i="82" s="1"/>
  <c r="G60" i="82"/>
  <c r="N60" i="82" s="1"/>
  <c r="G62" i="82"/>
  <c r="N62" i="82" s="1"/>
  <c r="G64" i="82"/>
  <c r="N64" i="82" s="1"/>
  <c r="G66" i="82"/>
  <c r="N66" i="82" s="1"/>
  <c r="G68" i="82"/>
  <c r="N68" i="82" s="1"/>
  <c r="G70" i="82"/>
  <c r="N70" i="82" s="1"/>
  <c r="G72" i="82"/>
  <c r="N72" i="82" s="1"/>
  <c r="G74" i="82"/>
  <c r="N74" i="82" s="1"/>
  <c r="G76" i="82"/>
  <c r="N76" i="82" s="1"/>
  <c r="G78" i="82"/>
  <c r="N78" i="82" s="1"/>
  <c r="G80" i="82"/>
  <c r="N80" i="82" s="1"/>
  <c r="G82" i="82"/>
  <c r="N82" i="82" s="1"/>
  <c r="G84" i="82"/>
  <c r="N84" i="82" s="1"/>
  <c r="G86" i="82"/>
  <c r="N86" i="82" s="1"/>
  <c r="G88" i="82"/>
  <c r="N88" i="82" s="1"/>
  <c r="G90" i="82"/>
  <c r="N90" i="82" s="1"/>
  <c r="G92" i="82"/>
  <c r="N92" i="82" s="1"/>
  <c r="G94" i="82"/>
  <c r="N94" i="82" s="1"/>
  <c r="G96" i="82"/>
  <c r="N96" i="82" s="1"/>
  <c r="G98" i="82"/>
  <c r="N98" i="82" s="1"/>
  <c r="G100" i="82"/>
  <c r="N100" i="82" s="1"/>
  <c r="G102" i="82"/>
  <c r="N102" i="82" s="1"/>
  <c r="G57" i="68"/>
  <c r="N57" i="68" s="1"/>
  <c r="G73" i="68"/>
  <c r="N73" i="68" s="1"/>
  <c r="G93" i="68"/>
  <c r="N93" i="68" s="1"/>
  <c r="G18" i="78"/>
  <c r="N18" i="78" s="1"/>
  <c r="G62" i="78"/>
  <c r="N62" i="78" s="1"/>
  <c r="G82" i="78"/>
  <c r="N82" i="78" s="1"/>
  <c r="G94" i="78"/>
  <c r="N94" i="78" s="1"/>
  <c r="G8" i="68"/>
  <c r="N8" i="68" s="1"/>
  <c r="G12" i="68"/>
  <c r="N12" i="68" s="1"/>
  <c r="G16" i="68"/>
  <c r="N16" i="68" s="1"/>
  <c r="G52" i="68"/>
  <c r="N52" i="68" s="1"/>
  <c r="G56" i="68"/>
  <c r="N56" i="68" s="1"/>
  <c r="G60" i="68"/>
  <c r="N60" i="68" s="1"/>
  <c r="G64" i="68"/>
  <c r="N64" i="68" s="1"/>
  <c r="G68" i="68"/>
  <c r="N68" i="68" s="1"/>
  <c r="G72" i="68"/>
  <c r="N72" i="68" s="1"/>
  <c r="G76" i="68"/>
  <c r="N76" i="68" s="1"/>
  <c r="G80" i="68"/>
  <c r="N80" i="68" s="1"/>
  <c r="G84" i="68"/>
  <c r="N84" i="68" s="1"/>
  <c r="G88" i="68"/>
  <c r="N88" i="68" s="1"/>
  <c r="G92" i="68"/>
  <c r="N92" i="68" s="1"/>
  <c r="G96" i="68"/>
  <c r="N96" i="68" s="1"/>
  <c r="G100" i="68"/>
  <c r="N100" i="68" s="1"/>
  <c r="G9" i="78"/>
  <c r="N9" i="78" s="1"/>
  <c r="G13" i="78"/>
  <c r="N13" i="78" s="1"/>
  <c r="G17" i="78"/>
  <c r="N17" i="78" s="1"/>
  <c r="G53" i="78"/>
  <c r="N53" i="78" s="1"/>
  <c r="G57" i="78"/>
  <c r="N57" i="78" s="1"/>
  <c r="G61" i="78"/>
  <c r="N61" i="78" s="1"/>
  <c r="G65" i="78"/>
  <c r="N65" i="78" s="1"/>
  <c r="G69" i="78"/>
  <c r="N69" i="78" s="1"/>
  <c r="G73" i="78"/>
  <c r="N73" i="78" s="1"/>
  <c r="G77" i="78"/>
  <c r="N77" i="78" s="1"/>
  <c r="G81" i="78"/>
  <c r="N81" i="78" s="1"/>
  <c r="G85" i="78"/>
  <c r="N85" i="78" s="1"/>
  <c r="G89" i="78"/>
  <c r="N89" i="78" s="1"/>
  <c r="G93" i="78"/>
  <c r="N93" i="78" s="1"/>
  <c r="G97" i="78"/>
  <c r="N97" i="78" s="1"/>
  <c r="G101" i="78"/>
  <c r="N101" i="78" s="1"/>
  <c r="G8" i="79"/>
  <c r="N8" i="79" s="1"/>
  <c r="G10" i="79"/>
  <c r="N10" i="79" s="1"/>
  <c r="G12" i="79"/>
  <c r="N12" i="79" s="1"/>
  <c r="G14" i="79"/>
  <c r="N14" i="79" s="1"/>
  <c r="G16" i="79"/>
  <c r="N16" i="79" s="1"/>
  <c r="G18" i="79"/>
  <c r="N18" i="79" s="1"/>
  <c r="G52" i="79"/>
  <c r="N52" i="79" s="1"/>
  <c r="G54" i="79"/>
  <c r="N54" i="79" s="1"/>
  <c r="G56" i="79"/>
  <c r="N56" i="79" s="1"/>
  <c r="G58" i="79"/>
  <c r="N58" i="79" s="1"/>
  <c r="G60" i="79"/>
  <c r="N60" i="79" s="1"/>
  <c r="G62" i="79"/>
  <c r="N62" i="79" s="1"/>
  <c r="G64" i="79"/>
  <c r="N64" i="79" s="1"/>
  <c r="G66" i="79"/>
  <c r="N66" i="79" s="1"/>
  <c r="G68" i="79"/>
  <c r="N68" i="79" s="1"/>
  <c r="G70" i="79"/>
  <c r="N70" i="79" s="1"/>
  <c r="G72" i="79"/>
  <c r="N72" i="79" s="1"/>
  <c r="G74" i="79"/>
  <c r="N74" i="79" s="1"/>
  <c r="G76" i="79"/>
  <c r="N76" i="79" s="1"/>
  <c r="G78" i="79"/>
  <c r="N78" i="79" s="1"/>
  <c r="G80" i="79"/>
  <c r="N80" i="79" s="1"/>
  <c r="G82" i="79"/>
  <c r="N82" i="79" s="1"/>
  <c r="G84" i="79"/>
  <c r="N84" i="79" s="1"/>
  <c r="G86" i="79"/>
  <c r="N86" i="79" s="1"/>
  <c r="G88" i="79"/>
  <c r="N88" i="79" s="1"/>
  <c r="G90" i="79"/>
  <c r="N90" i="79" s="1"/>
  <c r="G92" i="79"/>
  <c r="N92" i="79" s="1"/>
  <c r="G94" i="79"/>
  <c r="N94" i="79" s="1"/>
  <c r="G96" i="79"/>
  <c r="N96" i="79" s="1"/>
  <c r="G98" i="79"/>
  <c r="N98" i="79" s="1"/>
  <c r="G100" i="79"/>
  <c r="N100" i="79" s="1"/>
  <c r="G102" i="79"/>
  <c r="N102" i="79" s="1"/>
  <c r="G17" i="68"/>
  <c r="N17" i="68" s="1"/>
  <c r="G69" i="68"/>
  <c r="N69" i="68" s="1"/>
  <c r="G85" i="68"/>
  <c r="N85" i="68" s="1"/>
  <c r="G54" i="78"/>
  <c r="N54" i="78" s="1"/>
  <c r="G74" i="78"/>
  <c r="N74" i="78" s="1"/>
  <c r="G102" i="78"/>
  <c r="N102" i="78" s="1"/>
  <c r="E115" i="79"/>
  <c r="G9" i="85"/>
  <c r="N9" i="85" s="1"/>
  <c r="G11" i="85"/>
  <c r="N11" i="85" s="1"/>
  <c r="G13" i="85"/>
  <c r="N13" i="85" s="1"/>
  <c r="G15" i="85"/>
  <c r="N15" i="85" s="1"/>
  <c r="G17" i="85"/>
  <c r="N17" i="85" s="1"/>
  <c r="G19" i="85"/>
  <c r="G53" i="85"/>
  <c r="N53" i="85" s="1"/>
  <c r="G55" i="85"/>
  <c r="N55" i="85" s="1"/>
  <c r="G57" i="85"/>
  <c r="N57" i="85" s="1"/>
  <c r="G59" i="85"/>
  <c r="N59" i="85" s="1"/>
  <c r="G61" i="85"/>
  <c r="N61" i="85" s="1"/>
  <c r="G63" i="85"/>
  <c r="N63" i="85" s="1"/>
  <c r="G65" i="85"/>
  <c r="N65" i="85" s="1"/>
  <c r="G67" i="85"/>
  <c r="N67" i="85" s="1"/>
  <c r="G69" i="85"/>
  <c r="N69" i="85" s="1"/>
  <c r="G71" i="85"/>
  <c r="N71" i="85" s="1"/>
  <c r="G73" i="85"/>
  <c r="N73" i="85" s="1"/>
  <c r="G75" i="85"/>
  <c r="N75" i="85" s="1"/>
  <c r="G77" i="85"/>
  <c r="N77" i="85" s="1"/>
  <c r="G79" i="85"/>
  <c r="N79" i="85" s="1"/>
  <c r="G81" i="85"/>
  <c r="N81" i="85" s="1"/>
  <c r="G83" i="85"/>
  <c r="N83" i="85" s="1"/>
  <c r="G85" i="85"/>
  <c r="N85" i="85" s="1"/>
  <c r="G87" i="85"/>
  <c r="N87" i="85" s="1"/>
  <c r="G89" i="85"/>
  <c r="N89" i="85" s="1"/>
  <c r="G91" i="85"/>
  <c r="N91" i="85" s="1"/>
  <c r="G93" i="85"/>
  <c r="N93" i="85" s="1"/>
  <c r="G95" i="85"/>
  <c r="N95" i="85" s="1"/>
  <c r="G97" i="85"/>
  <c r="N97" i="85" s="1"/>
  <c r="G99" i="85"/>
  <c r="N99" i="85" s="1"/>
  <c r="G101" i="85"/>
  <c r="N101" i="85" s="1"/>
  <c r="G9" i="83"/>
  <c r="N9" i="83" s="1"/>
  <c r="G11" i="83"/>
  <c r="N11" i="83" s="1"/>
  <c r="G13" i="83"/>
  <c r="N13" i="83" s="1"/>
  <c r="G15" i="83"/>
  <c r="N15" i="83" s="1"/>
  <c r="G17" i="83"/>
  <c r="N17" i="83" s="1"/>
  <c r="G19" i="83"/>
  <c r="N19" i="83" s="1"/>
  <c r="G53" i="83"/>
  <c r="N53" i="83" s="1"/>
  <c r="G55" i="83"/>
  <c r="N55" i="83" s="1"/>
  <c r="G57" i="83"/>
  <c r="N57" i="83" s="1"/>
  <c r="G59" i="83"/>
  <c r="N59" i="83" s="1"/>
  <c r="G61" i="83"/>
  <c r="N61" i="83" s="1"/>
  <c r="G63" i="83"/>
  <c r="N63" i="83" s="1"/>
  <c r="G65" i="83"/>
  <c r="N65" i="83" s="1"/>
  <c r="G67" i="83"/>
  <c r="N67" i="83" s="1"/>
  <c r="G69" i="83"/>
  <c r="N69" i="83" s="1"/>
  <c r="G71" i="83"/>
  <c r="N71" i="83" s="1"/>
  <c r="G73" i="83"/>
  <c r="N73" i="83" s="1"/>
  <c r="G75" i="83"/>
  <c r="N75" i="83" s="1"/>
  <c r="G77" i="83"/>
  <c r="N77" i="83" s="1"/>
  <c r="G79" i="83"/>
  <c r="N79" i="83" s="1"/>
  <c r="G81" i="83"/>
  <c r="N81" i="83" s="1"/>
  <c r="G83" i="83"/>
  <c r="N83" i="83" s="1"/>
  <c r="G85" i="83"/>
  <c r="N85" i="83" s="1"/>
  <c r="G87" i="83"/>
  <c r="N87" i="83" s="1"/>
  <c r="G89" i="83"/>
  <c r="N89" i="83" s="1"/>
  <c r="G91" i="83"/>
  <c r="N91" i="83" s="1"/>
  <c r="G93" i="83"/>
  <c r="N93" i="83" s="1"/>
  <c r="G95" i="83"/>
  <c r="N95" i="83" s="1"/>
  <c r="G97" i="83"/>
  <c r="N97" i="83" s="1"/>
  <c r="G99" i="83"/>
  <c r="N99" i="83" s="1"/>
  <c r="G101" i="83"/>
  <c r="N101" i="83" s="1"/>
  <c r="G9" i="82"/>
  <c r="N9" i="82" s="1"/>
  <c r="G11" i="82"/>
  <c r="N11" i="82" s="1"/>
  <c r="G13" i="82"/>
  <c r="N13" i="82" s="1"/>
  <c r="G15" i="82"/>
  <c r="N15" i="82" s="1"/>
  <c r="G17" i="82"/>
  <c r="N17" i="82" s="1"/>
  <c r="G19" i="82"/>
  <c r="G53" i="82"/>
  <c r="N53" i="82" s="1"/>
  <c r="G55" i="82"/>
  <c r="N55" i="82" s="1"/>
  <c r="G57" i="82"/>
  <c r="N57" i="82" s="1"/>
  <c r="G59" i="82"/>
  <c r="N59" i="82" s="1"/>
  <c r="G61" i="82"/>
  <c r="N61" i="82" s="1"/>
  <c r="G63" i="82"/>
  <c r="N63" i="82" s="1"/>
  <c r="G65" i="82"/>
  <c r="N65" i="82" s="1"/>
  <c r="G67" i="82"/>
  <c r="N67" i="82" s="1"/>
  <c r="G69" i="82"/>
  <c r="N69" i="82" s="1"/>
  <c r="G71" i="82"/>
  <c r="N71" i="82" s="1"/>
  <c r="G73" i="82"/>
  <c r="N73" i="82" s="1"/>
  <c r="G75" i="82"/>
  <c r="N75" i="82" s="1"/>
  <c r="G77" i="82"/>
  <c r="N77" i="82" s="1"/>
  <c r="G79" i="82"/>
  <c r="N79" i="82" s="1"/>
  <c r="G81" i="82"/>
  <c r="N81" i="82" s="1"/>
  <c r="G83" i="82"/>
  <c r="N83" i="82" s="1"/>
  <c r="G85" i="82"/>
  <c r="N85" i="82" s="1"/>
  <c r="G87" i="82"/>
  <c r="N87" i="82" s="1"/>
  <c r="G89" i="82"/>
  <c r="N89" i="82" s="1"/>
  <c r="G91" i="82"/>
  <c r="N91" i="82" s="1"/>
  <c r="G93" i="82"/>
  <c r="N93" i="82" s="1"/>
  <c r="G95" i="82"/>
  <c r="N95" i="82" s="1"/>
  <c r="G97" i="82"/>
  <c r="N97" i="82" s="1"/>
  <c r="G99" i="82"/>
  <c r="N99" i="82" s="1"/>
  <c r="G101" i="82"/>
  <c r="N101" i="82" s="1"/>
  <c r="G9" i="68"/>
  <c r="N9" i="68" s="1"/>
  <c r="G53" i="68"/>
  <c r="N53" i="68" s="1"/>
  <c r="G65" i="68"/>
  <c r="N65" i="68" s="1"/>
  <c r="G81" i="68"/>
  <c r="N81" i="68" s="1"/>
  <c r="G97" i="68"/>
  <c r="N97" i="68" s="1"/>
  <c r="G14" i="78"/>
  <c r="N14" i="78" s="1"/>
  <c r="G66" i="78"/>
  <c r="N66" i="78" s="1"/>
  <c r="G78" i="78"/>
  <c r="N78" i="78" s="1"/>
  <c r="G90" i="78"/>
  <c r="N90" i="78" s="1"/>
  <c r="G10" i="68"/>
  <c r="N10" i="68" s="1"/>
  <c r="G14" i="68"/>
  <c r="N14" i="68" s="1"/>
  <c r="G18" i="68"/>
  <c r="N18" i="68" s="1"/>
  <c r="G54" i="68"/>
  <c r="N54" i="68" s="1"/>
  <c r="G58" i="68"/>
  <c r="N58" i="68" s="1"/>
  <c r="G62" i="68"/>
  <c r="N62" i="68" s="1"/>
  <c r="G66" i="68"/>
  <c r="N66" i="68" s="1"/>
  <c r="G70" i="68"/>
  <c r="N70" i="68" s="1"/>
  <c r="G74" i="68"/>
  <c r="N74" i="68" s="1"/>
  <c r="G78" i="68"/>
  <c r="N78" i="68" s="1"/>
  <c r="G82" i="68"/>
  <c r="N82" i="68" s="1"/>
  <c r="G86" i="68"/>
  <c r="N86" i="68" s="1"/>
  <c r="G90" i="68"/>
  <c r="N90" i="68" s="1"/>
  <c r="G94" i="68"/>
  <c r="N94" i="68" s="1"/>
  <c r="G98" i="68"/>
  <c r="N98" i="68" s="1"/>
  <c r="G102" i="68"/>
  <c r="N102" i="68" s="1"/>
  <c r="G11" i="78"/>
  <c r="N11" i="78" s="1"/>
  <c r="G15" i="78"/>
  <c r="N15" i="78" s="1"/>
  <c r="G19" i="78"/>
  <c r="G55" i="78"/>
  <c r="N55" i="78" s="1"/>
  <c r="G59" i="78"/>
  <c r="N59" i="78" s="1"/>
  <c r="G63" i="78"/>
  <c r="N63" i="78" s="1"/>
  <c r="G67" i="78"/>
  <c r="N67" i="78" s="1"/>
  <c r="G71" i="78"/>
  <c r="N71" i="78" s="1"/>
  <c r="G75" i="78"/>
  <c r="N75" i="78" s="1"/>
  <c r="G79" i="78"/>
  <c r="N79" i="78" s="1"/>
  <c r="G83" i="78"/>
  <c r="N83" i="78" s="1"/>
  <c r="G87" i="78"/>
  <c r="N87" i="78" s="1"/>
  <c r="G91" i="78"/>
  <c r="N91" i="78" s="1"/>
  <c r="G95" i="78"/>
  <c r="N95" i="78" s="1"/>
  <c r="G99" i="78"/>
  <c r="N99" i="78" s="1"/>
  <c r="G9" i="79"/>
  <c r="N9" i="79" s="1"/>
  <c r="G11" i="79"/>
  <c r="N11" i="79" s="1"/>
  <c r="G13" i="79"/>
  <c r="N13" i="79" s="1"/>
  <c r="G15" i="79"/>
  <c r="N15" i="79" s="1"/>
  <c r="G17" i="79"/>
  <c r="N17" i="79" s="1"/>
  <c r="G19" i="79"/>
  <c r="N19" i="79" s="1"/>
  <c r="G53" i="79"/>
  <c r="N53" i="79" s="1"/>
  <c r="G55" i="79"/>
  <c r="N55" i="79" s="1"/>
  <c r="G57" i="79"/>
  <c r="N57" i="79" s="1"/>
  <c r="G59" i="79"/>
  <c r="N59" i="79" s="1"/>
  <c r="G61" i="79"/>
  <c r="N61" i="79" s="1"/>
  <c r="G63" i="79"/>
  <c r="N63" i="79" s="1"/>
  <c r="G65" i="79"/>
  <c r="N65" i="79" s="1"/>
  <c r="G67" i="79"/>
  <c r="N67" i="79" s="1"/>
  <c r="G69" i="79"/>
  <c r="N69" i="79" s="1"/>
  <c r="G71" i="79"/>
  <c r="N71" i="79" s="1"/>
  <c r="G73" i="79"/>
  <c r="N73" i="79" s="1"/>
  <c r="G75" i="79"/>
  <c r="N75" i="79" s="1"/>
  <c r="G77" i="79"/>
  <c r="N77" i="79" s="1"/>
  <c r="G79" i="79"/>
  <c r="N79" i="79" s="1"/>
  <c r="G81" i="79"/>
  <c r="N81" i="79" s="1"/>
  <c r="G83" i="79"/>
  <c r="N83" i="79" s="1"/>
  <c r="G85" i="79"/>
  <c r="N85" i="79" s="1"/>
  <c r="G87" i="79"/>
  <c r="N87" i="79" s="1"/>
  <c r="G89" i="79"/>
  <c r="N89" i="79" s="1"/>
  <c r="G91" i="79"/>
  <c r="N91" i="79" s="1"/>
  <c r="G93" i="79"/>
  <c r="N93" i="79" s="1"/>
  <c r="G95" i="79"/>
  <c r="N95" i="79" s="1"/>
  <c r="G97" i="79"/>
  <c r="N97" i="79" s="1"/>
  <c r="G99" i="79"/>
  <c r="N99" i="79" s="1"/>
  <c r="G101" i="79"/>
  <c r="N101" i="79" s="1"/>
  <c r="C119" i="85"/>
  <c r="E104" i="77"/>
  <c r="M125" i="77"/>
  <c r="E116" i="84"/>
  <c r="E118" i="84"/>
  <c r="E120" i="84"/>
  <c r="E122" i="84"/>
  <c r="E124" i="84"/>
  <c r="E160" i="84"/>
  <c r="E162" i="84"/>
  <c r="E166" i="84"/>
  <c r="E168" i="84"/>
  <c r="E172" i="84"/>
  <c r="E174" i="84"/>
  <c r="E176" i="84"/>
  <c r="E178" i="84"/>
  <c r="E180" i="84"/>
  <c r="E182" i="84"/>
  <c r="E184" i="84"/>
  <c r="E186" i="84"/>
  <c r="E190" i="84"/>
  <c r="E194" i="84"/>
  <c r="E196" i="84"/>
  <c r="D104" i="77"/>
  <c r="G8" i="84"/>
  <c r="N8" i="84" s="1"/>
  <c r="G10" i="84"/>
  <c r="N10" i="84" s="1"/>
  <c r="G12" i="84"/>
  <c r="N12" i="84" s="1"/>
  <c r="G14" i="84"/>
  <c r="N14" i="84" s="1"/>
  <c r="G16" i="84"/>
  <c r="N16" i="84" s="1"/>
  <c r="G18" i="84"/>
  <c r="N18" i="84" s="1"/>
  <c r="G52" i="84"/>
  <c r="N52" i="84" s="1"/>
  <c r="G54" i="84"/>
  <c r="N54" i="84" s="1"/>
  <c r="G56" i="84"/>
  <c r="N56" i="84" s="1"/>
  <c r="G58" i="84"/>
  <c r="N58" i="84" s="1"/>
  <c r="G60" i="84"/>
  <c r="N60" i="84" s="1"/>
  <c r="G62" i="84"/>
  <c r="N62" i="84" s="1"/>
  <c r="G64" i="84"/>
  <c r="N64" i="84" s="1"/>
  <c r="G66" i="84"/>
  <c r="N66" i="84" s="1"/>
  <c r="G68" i="84"/>
  <c r="N68" i="84" s="1"/>
  <c r="G70" i="84"/>
  <c r="N70" i="84" s="1"/>
  <c r="G72" i="84"/>
  <c r="N72" i="84" s="1"/>
  <c r="G74" i="84"/>
  <c r="N74" i="84" s="1"/>
  <c r="G76" i="84"/>
  <c r="N76" i="84" s="1"/>
  <c r="G78" i="84"/>
  <c r="N78" i="84" s="1"/>
  <c r="G80" i="84"/>
  <c r="N80" i="84" s="1"/>
  <c r="G82" i="84"/>
  <c r="N82" i="84" s="1"/>
  <c r="G84" i="84"/>
  <c r="N84" i="84" s="1"/>
  <c r="G86" i="84"/>
  <c r="N86" i="84" s="1"/>
  <c r="G88" i="84"/>
  <c r="N88" i="84" s="1"/>
  <c r="G90" i="84"/>
  <c r="N90" i="84" s="1"/>
  <c r="G92" i="84"/>
  <c r="N92" i="84" s="1"/>
  <c r="G94" i="84"/>
  <c r="N94" i="84" s="1"/>
  <c r="G96" i="84"/>
  <c r="N96" i="84" s="1"/>
  <c r="G98" i="84"/>
  <c r="N98" i="84" s="1"/>
  <c r="G100" i="84"/>
  <c r="N100" i="84" s="1"/>
  <c r="G102" i="84"/>
  <c r="N102" i="84" s="1"/>
  <c r="C104" i="77"/>
  <c r="F104" i="77"/>
  <c r="G9" i="84"/>
  <c r="N9" i="84" s="1"/>
  <c r="G11" i="84"/>
  <c r="N11" i="84" s="1"/>
  <c r="G13" i="84"/>
  <c r="N13" i="84" s="1"/>
  <c r="G15" i="84"/>
  <c r="N15" i="84" s="1"/>
  <c r="G17" i="84"/>
  <c r="N17" i="84" s="1"/>
  <c r="G19" i="84"/>
  <c r="G53" i="84"/>
  <c r="N53" i="84" s="1"/>
  <c r="G55" i="84"/>
  <c r="N55" i="84" s="1"/>
  <c r="G57" i="84"/>
  <c r="N57" i="84" s="1"/>
  <c r="G59" i="84"/>
  <c r="N59" i="84" s="1"/>
  <c r="G61" i="84"/>
  <c r="N61" i="84" s="1"/>
  <c r="G63" i="84"/>
  <c r="N63" i="84" s="1"/>
  <c r="G65" i="84"/>
  <c r="N65" i="84" s="1"/>
  <c r="G67" i="84"/>
  <c r="N67" i="84" s="1"/>
  <c r="G69" i="84"/>
  <c r="N69" i="84" s="1"/>
  <c r="G71" i="84"/>
  <c r="N71" i="84" s="1"/>
  <c r="G73" i="84"/>
  <c r="N73" i="84" s="1"/>
  <c r="G75" i="84"/>
  <c r="N75" i="84" s="1"/>
  <c r="G77" i="84"/>
  <c r="N77" i="84" s="1"/>
  <c r="G79" i="84"/>
  <c r="N79" i="84" s="1"/>
  <c r="G81" i="84"/>
  <c r="N81" i="84" s="1"/>
  <c r="G83" i="84"/>
  <c r="N83" i="84" s="1"/>
  <c r="G85" i="84"/>
  <c r="N85" i="84" s="1"/>
  <c r="G87" i="84"/>
  <c r="N87" i="84" s="1"/>
  <c r="G89" i="84"/>
  <c r="N89" i="84" s="1"/>
  <c r="G91" i="84"/>
  <c r="N91" i="84" s="1"/>
  <c r="G93" i="84"/>
  <c r="N93" i="84" s="1"/>
  <c r="G95" i="84"/>
  <c r="N95" i="84" s="1"/>
  <c r="G97" i="84"/>
  <c r="N97" i="84" s="1"/>
  <c r="G99" i="84"/>
  <c r="N99" i="84" s="1"/>
  <c r="G101" i="84"/>
  <c r="N101" i="84" s="1"/>
  <c r="C116" i="82"/>
  <c r="C118" i="82"/>
  <c r="C120" i="82"/>
  <c r="C122" i="82"/>
  <c r="C124" i="82"/>
  <c r="C160" i="82"/>
  <c r="C162" i="82"/>
  <c r="C164" i="82"/>
  <c r="C166" i="82"/>
  <c r="C168" i="82"/>
  <c r="C170" i="82"/>
  <c r="C172" i="82"/>
  <c r="C174" i="82"/>
  <c r="C176" i="82"/>
  <c r="C178" i="82"/>
  <c r="C180" i="82"/>
  <c r="C182" i="82"/>
  <c r="C184" i="82"/>
  <c r="C186" i="82"/>
  <c r="C188" i="82"/>
  <c r="C190" i="82"/>
  <c r="C192" i="82"/>
  <c r="C194" i="82"/>
  <c r="C196" i="82"/>
  <c r="C198" i="82"/>
  <c r="C200" i="82"/>
  <c r="C202" i="82"/>
  <c r="C204" i="82"/>
  <c r="C206" i="82"/>
  <c r="F194" i="79"/>
  <c r="F196" i="79"/>
  <c r="F198" i="79"/>
  <c r="F200" i="79"/>
  <c r="F202" i="79"/>
  <c r="F204" i="79"/>
  <c r="E115" i="82"/>
  <c r="E117" i="82"/>
  <c r="E119" i="82"/>
  <c r="E121" i="82"/>
  <c r="E123" i="82"/>
  <c r="E159" i="82"/>
  <c r="E161" i="82"/>
  <c r="E163" i="82"/>
  <c r="E165" i="82"/>
  <c r="E167" i="82"/>
  <c r="E169" i="82"/>
  <c r="E171" i="82"/>
  <c r="E173" i="82"/>
  <c r="E175" i="82"/>
  <c r="E177" i="82"/>
  <c r="E179" i="82"/>
  <c r="E181" i="82"/>
  <c r="E183" i="82"/>
  <c r="E185" i="82"/>
  <c r="E187" i="82"/>
  <c r="E189" i="82"/>
  <c r="E191" i="82"/>
  <c r="E193" i="82"/>
  <c r="E195" i="82"/>
  <c r="E197" i="82"/>
  <c r="E199" i="82"/>
  <c r="E201" i="82"/>
  <c r="E203" i="82"/>
  <c r="E205" i="82"/>
  <c r="C191" i="79"/>
  <c r="C193" i="79"/>
  <c r="C195" i="79"/>
  <c r="C197" i="79"/>
  <c r="C199" i="79"/>
  <c r="C205" i="79"/>
  <c r="E188" i="84"/>
  <c r="E170" i="84"/>
  <c r="E192" i="84"/>
  <c r="E164" i="84"/>
  <c r="C115" i="68"/>
  <c r="E117" i="68"/>
  <c r="D122" i="68"/>
  <c r="F124" i="68"/>
  <c r="D115" i="68"/>
  <c r="F117" i="68"/>
  <c r="C120" i="68"/>
  <c r="E14" i="41" s="1"/>
  <c r="E122" i="68"/>
  <c r="C124" i="68"/>
  <c r="E206" i="68"/>
  <c r="E124" i="68"/>
  <c r="C159" i="68"/>
  <c r="E161" i="68"/>
  <c r="D166" i="68"/>
  <c r="F168" i="68"/>
  <c r="C171" i="68"/>
  <c r="E173" i="68"/>
  <c r="D178" i="68"/>
  <c r="F180" i="68"/>
  <c r="C183" i="68"/>
  <c r="E185" i="68"/>
  <c r="D190" i="68"/>
  <c r="F192" i="68"/>
  <c r="C195" i="68"/>
  <c r="E197" i="68"/>
  <c r="D202" i="68"/>
  <c r="F204" i="68"/>
  <c r="D118" i="78"/>
  <c r="F120" i="78"/>
  <c r="H15" i="41" s="1"/>
  <c r="C123" i="78"/>
  <c r="D162" i="78"/>
  <c r="F164" i="78"/>
  <c r="C167" i="78"/>
  <c r="E169" i="78"/>
  <c r="D174" i="78"/>
  <c r="F176" i="78"/>
  <c r="C179" i="78"/>
  <c r="E181" i="78"/>
  <c r="D186" i="78"/>
  <c r="F188" i="78"/>
  <c r="C191" i="78"/>
  <c r="E193" i="78"/>
  <c r="D198" i="78"/>
  <c r="F200" i="78"/>
  <c r="C203" i="78"/>
  <c r="E205" i="78"/>
  <c r="D159" i="68"/>
  <c r="F161" i="68"/>
  <c r="C164" i="68"/>
  <c r="E166" i="68"/>
  <c r="D171" i="68"/>
  <c r="F173" i="68"/>
  <c r="C176" i="68"/>
  <c r="E178" i="68"/>
  <c r="D183" i="68"/>
  <c r="F185" i="68"/>
  <c r="C188" i="68"/>
  <c r="E190" i="68"/>
  <c r="D195" i="68"/>
  <c r="F197" i="68"/>
  <c r="C200" i="68"/>
  <c r="E202" i="68"/>
  <c r="C116" i="78"/>
  <c r="E118" i="78"/>
  <c r="D123" i="78"/>
  <c r="C160" i="78"/>
  <c r="E162" i="78"/>
  <c r="D167" i="78"/>
  <c r="F169" i="78"/>
  <c r="C172" i="78"/>
  <c r="E174" i="78"/>
  <c r="D179" i="78"/>
  <c r="F181" i="78"/>
  <c r="C184" i="78"/>
  <c r="E186" i="78"/>
  <c r="D191" i="78"/>
  <c r="F193" i="78"/>
  <c r="C196" i="78"/>
  <c r="E198" i="78"/>
  <c r="D203" i="78"/>
  <c r="F205" i="78"/>
  <c r="D116" i="79"/>
  <c r="D118" i="79"/>
  <c r="D120" i="79"/>
  <c r="F16" i="41" s="1"/>
  <c r="D122" i="79"/>
  <c r="D124" i="79"/>
  <c r="D160" i="79"/>
  <c r="D162" i="79"/>
  <c r="D164" i="79"/>
  <c r="D166" i="79"/>
  <c r="D168" i="79"/>
  <c r="D170" i="79"/>
  <c r="D172" i="79"/>
  <c r="D174" i="79"/>
  <c r="D176" i="79"/>
  <c r="D178" i="79"/>
  <c r="D180" i="79"/>
  <c r="D182" i="79"/>
  <c r="D184" i="79"/>
  <c r="D186" i="79"/>
  <c r="D188" i="79"/>
  <c r="D190" i="79"/>
  <c r="D192" i="79"/>
  <c r="D194" i="79"/>
  <c r="D196" i="79"/>
  <c r="D198" i="79"/>
  <c r="D200" i="79"/>
  <c r="D202" i="79"/>
  <c r="D204" i="79"/>
  <c r="D206" i="79"/>
  <c r="F206" i="79"/>
  <c r="D116" i="83"/>
  <c r="D118" i="83"/>
  <c r="D120" i="83"/>
  <c r="D122" i="83"/>
  <c r="D124" i="83"/>
  <c r="D160" i="83"/>
  <c r="D162" i="83"/>
  <c r="D164" i="83"/>
  <c r="D166" i="83"/>
  <c r="D168" i="83"/>
  <c r="D170" i="83"/>
  <c r="D172" i="83"/>
  <c r="D174" i="83"/>
  <c r="D176" i="83"/>
  <c r="D178" i="83"/>
  <c r="D180" i="83"/>
  <c r="D182" i="83"/>
  <c r="D184" i="83"/>
  <c r="D186" i="83"/>
  <c r="D188" i="83"/>
  <c r="D190" i="83"/>
  <c r="D192" i="83"/>
  <c r="D194" i="83"/>
  <c r="D196" i="83"/>
  <c r="D198" i="83"/>
  <c r="D200" i="83"/>
  <c r="D202" i="83"/>
  <c r="D204" i="83"/>
  <c r="D206" i="83"/>
  <c r="E116" i="85"/>
  <c r="E118" i="85"/>
  <c r="E120" i="85"/>
  <c r="E122" i="85"/>
  <c r="E124" i="85"/>
  <c r="E160" i="85"/>
  <c r="E162" i="85"/>
  <c r="E164" i="85"/>
  <c r="E166" i="85"/>
  <c r="E168" i="85"/>
  <c r="E170" i="85"/>
  <c r="E172" i="85"/>
  <c r="E174" i="85"/>
  <c r="E176" i="85"/>
  <c r="E178" i="85"/>
  <c r="E180" i="85"/>
  <c r="E182" i="85"/>
  <c r="E184" i="85"/>
  <c r="E186" i="85"/>
  <c r="E188" i="85"/>
  <c r="E190" i="85"/>
  <c r="E192" i="85"/>
  <c r="E194" i="85"/>
  <c r="E196" i="85"/>
  <c r="E198" i="85"/>
  <c r="E200" i="85"/>
  <c r="E202" i="85"/>
  <c r="E204" i="85"/>
  <c r="E206" i="85"/>
  <c r="E116" i="83"/>
  <c r="E118" i="83"/>
  <c r="E120" i="83"/>
  <c r="E122" i="83"/>
  <c r="E124" i="83"/>
  <c r="E160" i="83"/>
  <c r="E162" i="83"/>
  <c r="E164" i="83"/>
  <c r="E166" i="83"/>
  <c r="E168" i="83"/>
  <c r="E170" i="83"/>
  <c r="E172" i="83"/>
  <c r="E174" i="83"/>
  <c r="E176" i="83"/>
  <c r="E178" i="83"/>
  <c r="E180" i="83"/>
  <c r="E182" i="83"/>
  <c r="E184" i="83"/>
  <c r="E186" i="83"/>
  <c r="E188" i="83"/>
  <c r="E190" i="83"/>
  <c r="E192" i="83"/>
  <c r="E194" i="83"/>
  <c r="E196" i="83"/>
  <c r="E198" i="83"/>
  <c r="E200" i="83"/>
  <c r="E202" i="83"/>
  <c r="E204" i="83"/>
  <c r="E206" i="83"/>
  <c r="F118" i="85"/>
  <c r="F120" i="85"/>
  <c r="F124" i="85"/>
  <c r="F160" i="85"/>
  <c r="F166" i="85"/>
  <c r="F168" i="85"/>
  <c r="F172" i="85"/>
  <c r="F174" i="85"/>
  <c r="F176" i="85"/>
  <c r="F178" i="85"/>
  <c r="F184" i="85"/>
  <c r="F188" i="85"/>
  <c r="F190" i="85"/>
  <c r="F194" i="85"/>
  <c r="F198" i="85"/>
  <c r="F202" i="85"/>
  <c r="F116" i="83"/>
  <c r="F120" i="83"/>
  <c r="F122" i="83"/>
  <c r="F124" i="83"/>
  <c r="F160" i="83"/>
  <c r="F164" i="83"/>
  <c r="F168" i="83"/>
  <c r="F170" i="83"/>
  <c r="F172" i="83"/>
  <c r="F176" i="83"/>
  <c r="F178" i="83"/>
  <c r="F180" i="83"/>
  <c r="F182" i="83"/>
  <c r="F186" i="83"/>
  <c r="F188" i="83"/>
  <c r="F192" i="83"/>
  <c r="F196" i="83"/>
  <c r="F198" i="83"/>
  <c r="F200" i="83"/>
  <c r="F206" i="83"/>
  <c r="D115" i="82"/>
  <c r="D117" i="82"/>
  <c r="D119" i="82"/>
  <c r="D121" i="82"/>
  <c r="D123" i="82"/>
  <c r="D159" i="82"/>
  <c r="D161" i="82"/>
  <c r="D163" i="82"/>
  <c r="D165" i="82"/>
  <c r="D167" i="82"/>
  <c r="D169" i="82"/>
  <c r="D171" i="82"/>
  <c r="D173" i="82"/>
  <c r="D175" i="82"/>
  <c r="D177" i="82"/>
  <c r="D179" i="82"/>
  <c r="D181" i="82"/>
  <c r="D183" i="82"/>
  <c r="D185" i="82"/>
  <c r="D187" i="82"/>
  <c r="D189" i="82"/>
  <c r="D191" i="82"/>
  <c r="D193" i="82"/>
  <c r="D195" i="82"/>
  <c r="D197" i="82"/>
  <c r="D199" i="82"/>
  <c r="D201" i="82"/>
  <c r="D203" i="82"/>
  <c r="D205" i="82"/>
  <c r="F115" i="82"/>
  <c r="F117" i="82"/>
  <c r="F119" i="82"/>
  <c r="F123" i="82"/>
  <c r="F159" i="82"/>
  <c r="F161" i="82"/>
  <c r="F165" i="82"/>
  <c r="F167" i="82"/>
  <c r="F173" i="82"/>
  <c r="F179" i="82"/>
  <c r="F181" i="82"/>
  <c r="F187" i="82"/>
  <c r="F189" i="82"/>
  <c r="F193" i="82"/>
  <c r="F195" i="82"/>
  <c r="F201" i="82"/>
  <c r="F203" i="82"/>
  <c r="B166" i="68"/>
  <c r="B178" i="68"/>
  <c r="B202" i="68"/>
  <c r="B122" i="68"/>
  <c r="B190" i="68"/>
  <c r="B170" i="78"/>
  <c r="B115" i="79"/>
  <c r="B167" i="79"/>
  <c r="B183" i="79"/>
  <c r="B197" i="79"/>
  <c r="B191" i="68"/>
  <c r="C181" i="79"/>
  <c r="B124" i="68"/>
  <c r="B168" i="68"/>
  <c r="B180" i="68"/>
  <c r="B192" i="68"/>
  <c r="B204" i="68"/>
  <c r="E115" i="68"/>
  <c r="D120" i="68"/>
  <c r="F14" i="41" s="1"/>
  <c r="F122" i="68"/>
  <c r="E159" i="68"/>
  <c r="D164" i="68"/>
  <c r="F166" i="68"/>
  <c r="C169" i="68"/>
  <c r="E171" i="68"/>
  <c r="D176" i="68"/>
  <c r="F178" i="68"/>
  <c r="C181" i="68"/>
  <c r="E183" i="68"/>
  <c r="D188" i="68"/>
  <c r="F190" i="68"/>
  <c r="C193" i="68"/>
  <c r="E195" i="68"/>
  <c r="D200" i="68"/>
  <c r="F202" i="68"/>
  <c r="C205" i="68"/>
  <c r="B116" i="78"/>
  <c r="B160" i="78"/>
  <c r="B172" i="78"/>
  <c r="B184" i="78"/>
  <c r="B196" i="78"/>
  <c r="D116" i="78"/>
  <c r="F118" i="78"/>
  <c r="C121" i="78"/>
  <c r="E123" i="78"/>
  <c r="D160" i="78"/>
  <c r="F162" i="78"/>
  <c r="C165" i="78"/>
  <c r="E167" i="78"/>
  <c r="D172" i="78"/>
  <c r="F174" i="78"/>
  <c r="C177" i="78"/>
  <c r="E179" i="78"/>
  <c r="D184" i="78"/>
  <c r="F186" i="78"/>
  <c r="C189" i="78"/>
  <c r="E191" i="78"/>
  <c r="D196" i="78"/>
  <c r="F198" i="78"/>
  <c r="C201" i="78"/>
  <c r="E203" i="78"/>
  <c r="D115" i="79"/>
  <c r="D117" i="79"/>
  <c r="D119" i="79"/>
  <c r="D121" i="79"/>
  <c r="D123" i="79"/>
  <c r="D159" i="79"/>
  <c r="D161" i="79"/>
  <c r="D163" i="79"/>
  <c r="D165" i="79"/>
  <c r="D167" i="79"/>
  <c r="D169" i="79"/>
  <c r="D171" i="79"/>
  <c r="D173" i="79"/>
  <c r="D175" i="79"/>
  <c r="D177" i="79"/>
  <c r="D179" i="79"/>
  <c r="D181" i="79"/>
  <c r="D183" i="79"/>
  <c r="D185" i="79"/>
  <c r="D187" i="79"/>
  <c r="D189" i="79"/>
  <c r="D191" i="79"/>
  <c r="D193" i="79"/>
  <c r="D195" i="79"/>
  <c r="D197" i="79"/>
  <c r="D199" i="79"/>
  <c r="D201" i="79"/>
  <c r="D203" i="79"/>
  <c r="D205" i="79"/>
  <c r="B115" i="85"/>
  <c r="B117" i="85"/>
  <c r="B119" i="85"/>
  <c r="B121" i="85"/>
  <c r="B123" i="85"/>
  <c r="B125" i="85"/>
  <c r="O125" i="85" s="1"/>
  <c r="B159" i="85"/>
  <c r="B161" i="85"/>
  <c r="B163" i="85"/>
  <c r="B165" i="85"/>
  <c r="B167" i="85"/>
  <c r="B169" i="85"/>
  <c r="B171" i="85"/>
  <c r="B173" i="85"/>
  <c r="B175" i="85"/>
  <c r="B177" i="85"/>
  <c r="B179" i="85"/>
  <c r="B181" i="85"/>
  <c r="B183" i="85"/>
  <c r="B185" i="85"/>
  <c r="B187" i="85"/>
  <c r="B189" i="85"/>
  <c r="B191" i="85"/>
  <c r="B193" i="85"/>
  <c r="B195" i="85"/>
  <c r="B197" i="85"/>
  <c r="B199" i="85"/>
  <c r="B201" i="85"/>
  <c r="B203" i="85"/>
  <c r="B205" i="85"/>
  <c r="B158" i="78"/>
  <c r="B156" i="78"/>
  <c r="B155" i="78"/>
  <c r="B157" i="78"/>
  <c r="B194" i="78"/>
  <c r="B117" i="79"/>
  <c r="B121" i="79"/>
  <c r="B163" i="79"/>
  <c r="B173" i="79"/>
  <c r="B177" i="79"/>
  <c r="B187" i="79"/>
  <c r="B199" i="79"/>
  <c r="F122" i="85"/>
  <c r="F162" i="85"/>
  <c r="F170" i="85"/>
  <c r="F180" i="85"/>
  <c r="F186" i="85"/>
  <c r="F192" i="85"/>
  <c r="F200" i="85"/>
  <c r="F118" i="83"/>
  <c r="F162" i="83"/>
  <c r="F166" i="83"/>
  <c r="F174" i="83"/>
  <c r="F184" i="83"/>
  <c r="F190" i="83"/>
  <c r="F194" i="83"/>
  <c r="F202" i="83"/>
  <c r="F121" i="82"/>
  <c r="F163" i="82"/>
  <c r="F169" i="82"/>
  <c r="F175" i="82"/>
  <c r="F183" i="82"/>
  <c r="F191" i="82"/>
  <c r="F197" i="82"/>
  <c r="F205" i="82"/>
  <c r="B123" i="68"/>
  <c r="B203" i="68"/>
  <c r="B115" i="78"/>
  <c r="C115" i="79"/>
  <c r="C165" i="79"/>
  <c r="C171" i="79"/>
  <c r="C175" i="79"/>
  <c r="C185" i="79"/>
  <c r="C201" i="79"/>
  <c r="B125" i="68"/>
  <c r="O125" i="68" s="1"/>
  <c r="B169" i="68"/>
  <c r="B181" i="68"/>
  <c r="B193" i="68"/>
  <c r="B205" i="68"/>
  <c r="F115" i="68"/>
  <c r="C118" i="68"/>
  <c r="E120" i="68"/>
  <c r="G14" i="41" s="1"/>
  <c r="F159" i="68"/>
  <c r="C162" i="68"/>
  <c r="E164" i="68"/>
  <c r="D169" i="68"/>
  <c r="F171" i="68"/>
  <c r="C174" i="68"/>
  <c r="E176" i="68"/>
  <c r="D181" i="68"/>
  <c r="F183" i="68"/>
  <c r="C186" i="68"/>
  <c r="E188" i="68"/>
  <c r="D193" i="68"/>
  <c r="F195" i="68"/>
  <c r="C198" i="68"/>
  <c r="E200" i="68"/>
  <c r="D205" i="68"/>
  <c r="B117" i="78"/>
  <c r="B161" i="78"/>
  <c r="B173" i="78"/>
  <c r="B185" i="78"/>
  <c r="B197" i="78"/>
  <c r="E116" i="78"/>
  <c r="D121" i="78"/>
  <c r="F123" i="78"/>
  <c r="C158" i="78"/>
  <c r="C156" i="78"/>
  <c r="C155" i="78"/>
  <c r="C157" i="78"/>
  <c r="E160" i="78"/>
  <c r="D165" i="78"/>
  <c r="F167" i="78"/>
  <c r="C170" i="78"/>
  <c r="E172" i="78"/>
  <c r="D177" i="78"/>
  <c r="F179" i="78"/>
  <c r="C182" i="78"/>
  <c r="E184" i="78"/>
  <c r="D189" i="78"/>
  <c r="F191" i="78"/>
  <c r="C194" i="78"/>
  <c r="E196" i="78"/>
  <c r="D201" i="78"/>
  <c r="F203" i="78"/>
  <c r="C206" i="78"/>
  <c r="C158" i="82"/>
  <c r="C155" i="82"/>
  <c r="C156" i="82"/>
  <c r="C157" i="82"/>
  <c r="B125" i="79"/>
  <c r="O125" i="79" s="1"/>
  <c r="B181" i="79"/>
  <c r="B203" i="79"/>
  <c r="D123" i="77"/>
  <c r="B158" i="68"/>
  <c r="B157" i="68"/>
  <c r="B155" i="68"/>
  <c r="B156" i="68"/>
  <c r="B170" i="68"/>
  <c r="B182" i="68"/>
  <c r="B194" i="68"/>
  <c r="B206" i="68"/>
  <c r="D118" i="68"/>
  <c r="F120" i="68"/>
  <c r="H14" i="41" s="1"/>
  <c r="C123" i="68"/>
  <c r="D162" i="68"/>
  <c r="F164" i="68"/>
  <c r="C167" i="68"/>
  <c r="E169" i="68"/>
  <c r="D174" i="68"/>
  <c r="F176" i="68"/>
  <c r="C179" i="68"/>
  <c r="E181" i="68"/>
  <c r="D186" i="68"/>
  <c r="F188" i="68"/>
  <c r="C191" i="68"/>
  <c r="E193" i="68"/>
  <c r="D198" i="68"/>
  <c r="F200" i="68"/>
  <c r="C203" i="68"/>
  <c r="E205" i="68"/>
  <c r="B118" i="78"/>
  <c r="B162" i="78"/>
  <c r="B174" i="78"/>
  <c r="B186" i="78"/>
  <c r="B198" i="78"/>
  <c r="F116" i="78"/>
  <c r="C119" i="78"/>
  <c r="E121" i="78"/>
  <c r="D158" i="78"/>
  <c r="D155" i="78"/>
  <c r="D157" i="78"/>
  <c r="D156" i="78"/>
  <c r="F160" i="78"/>
  <c r="C163" i="78"/>
  <c r="E165" i="78"/>
  <c r="D170" i="78"/>
  <c r="F172" i="78"/>
  <c r="C175" i="78"/>
  <c r="E177" i="78"/>
  <c r="D182" i="78"/>
  <c r="F184" i="78"/>
  <c r="C187" i="78"/>
  <c r="E189" i="78"/>
  <c r="D194" i="78"/>
  <c r="F196" i="78"/>
  <c r="C199" i="78"/>
  <c r="E201" i="78"/>
  <c r="D206" i="78"/>
  <c r="F115" i="79"/>
  <c r="F117" i="79"/>
  <c r="F119" i="79"/>
  <c r="F121" i="79"/>
  <c r="F123" i="79"/>
  <c r="F159" i="79"/>
  <c r="F161" i="79"/>
  <c r="F163" i="79"/>
  <c r="F165" i="79"/>
  <c r="F167" i="79"/>
  <c r="F169" i="79"/>
  <c r="F171" i="79"/>
  <c r="F173" i="79"/>
  <c r="F175" i="79"/>
  <c r="F177" i="79"/>
  <c r="F179" i="79"/>
  <c r="F181" i="79"/>
  <c r="F183" i="79"/>
  <c r="F185" i="79"/>
  <c r="F187" i="79"/>
  <c r="F189" i="79"/>
  <c r="F191" i="79"/>
  <c r="F193" i="79"/>
  <c r="F195" i="79"/>
  <c r="F197" i="79"/>
  <c r="F199" i="79"/>
  <c r="F201" i="79"/>
  <c r="F203" i="79"/>
  <c r="F205" i="79"/>
  <c r="D115" i="85"/>
  <c r="D117" i="85"/>
  <c r="D119" i="85"/>
  <c r="D121" i="85"/>
  <c r="D123" i="85"/>
  <c r="D159" i="85"/>
  <c r="D161" i="85"/>
  <c r="D163" i="85"/>
  <c r="D165" i="85"/>
  <c r="D167" i="85"/>
  <c r="D169" i="85"/>
  <c r="D171" i="85"/>
  <c r="D173" i="85"/>
  <c r="D175" i="85"/>
  <c r="D177" i="85"/>
  <c r="D179" i="85"/>
  <c r="D181" i="85"/>
  <c r="D183" i="85"/>
  <c r="D185" i="85"/>
  <c r="D187" i="85"/>
  <c r="D189" i="85"/>
  <c r="D191" i="85"/>
  <c r="D193" i="85"/>
  <c r="D195" i="85"/>
  <c r="D197" i="85"/>
  <c r="D199" i="85"/>
  <c r="D201" i="85"/>
  <c r="D203" i="85"/>
  <c r="D205" i="85"/>
  <c r="B182" i="78"/>
  <c r="B123" i="79"/>
  <c r="B169" i="79"/>
  <c r="B179" i="79"/>
  <c r="B189" i="79"/>
  <c r="B201" i="79"/>
  <c r="F204" i="83"/>
  <c r="F177" i="82"/>
  <c r="B159" i="78"/>
  <c r="B115" i="68"/>
  <c r="B159" i="68"/>
  <c r="B171" i="68"/>
  <c r="B183" i="68"/>
  <c r="B195" i="68"/>
  <c r="C116" i="68"/>
  <c r="E118" i="68"/>
  <c r="D123" i="68"/>
  <c r="C160" i="68"/>
  <c r="E162" i="68"/>
  <c r="D167" i="68"/>
  <c r="F169" i="68"/>
  <c r="C172" i="68"/>
  <c r="E174" i="68"/>
  <c r="D179" i="68"/>
  <c r="F181" i="68"/>
  <c r="C184" i="68"/>
  <c r="E186" i="68"/>
  <c r="D191" i="68"/>
  <c r="F193" i="68"/>
  <c r="C196" i="68"/>
  <c r="E198" i="68"/>
  <c r="D203" i="68"/>
  <c r="F205" i="68"/>
  <c r="B119" i="78"/>
  <c r="B163" i="78"/>
  <c r="B175" i="78"/>
  <c r="B187" i="78"/>
  <c r="B199" i="78"/>
  <c r="D119" i="78"/>
  <c r="F121" i="78"/>
  <c r="C124" i="78"/>
  <c r="E158" i="78"/>
  <c r="E155" i="78"/>
  <c r="E156" i="78"/>
  <c r="E157" i="78"/>
  <c r="D163" i="78"/>
  <c r="F165" i="78"/>
  <c r="C168" i="78"/>
  <c r="E170" i="78"/>
  <c r="D175" i="78"/>
  <c r="F177" i="78"/>
  <c r="C180" i="78"/>
  <c r="E182" i="78"/>
  <c r="D187" i="78"/>
  <c r="F189" i="78"/>
  <c r="C192" i="78"/>
  <c r="E194" i="78"/>
  <c r="D199" i="78"/>
  <c r="F201" i="78"/>
  <c r="C204" i="78"/>
  <c r="E206" i="78"/>
  <c r="E115" i="85"/>
  <c r="E117" i="85"/>
  <c r="E119" i="85"/>
  <c r="E121" i="85"/>
  <c r="E123" i="85"/>
  <c r="E159" i="85"/>
  <c r="E161" i="85"/>
  <c r="E163" i="85"/>
  <c r="E165" i="85"/>
  <c r="E167" i="85"/>
  <c r="E169" i="85"/>
  <c r="E171" i="85"/>
  <c r="E173" i="85"/>
  <c r="E175" i="85"/>
  <c r="E177" i="85"/>
  <c r="E179" i="85"/>
  <c r="E181" i="85"/>
  <c r="E183" i="85"/>
  <c r="E185" i="85"/>
  <c r="E187" i="85"/>
  <c r="E189" i="85"/>
  <c r="E191" i="85"/>
  <c r="E193" i="85"/>
  <c r="E195" i="85"/>
  <c r="E197" i="85"/>
  <c r="E199" i="85"/>
  <c r="E201" i="85"/>
  <c r="E203" i="85"/>
  <c r="E205" i="85"/>
  <c r="B161" i="79"/>
  <c r="B185" i="79"/>
  <c r="B205" i="79"/>
  <c r="F206" i="85"/>
  <c r="B116" i="68"/>
  <c r="B160" i="68"/>
  <c r="B172" i="68"/>
  <c r="B184" i="68"/>
  <c r="B196" i="68"/>
  <c r="D116" i="68"/>
  <c r="F118" i="68"/>
  <c r="C121" i="68"/>
  <c r="D160" i="68"/>
  <c r="F162" i="68"/>
  <c r="C165" i="68"/>
  <c r="E167" i="68"/>
  <c r="D172" i="68"/>
  <c r="F174" i="68"/>
  <c r="C177" i="68"/>
  <c r="E179" i="68"/>
  <c r="D184" i="68"/>
  <c r="F186" i="68"/>
  <c r="C189" i="68"/>
  <c r="E191" i="68"/>
  <c r="D196" i="68"/>
  <c r="F198" i="68"/>
  <c r="C201" i="68"/>
  <c r="E203" i="68"/>
  <c r="B120" i="78"/>
  <c r="D15" i="41" s="1"/>
  <c r="B164" i="78"/>
  <c r="B176" i="78"/>
  <c r="B188" i="78"/>
  <c r="B200" i="78"/>
  <c r="C117" i="78"/>
  <c r="E119" i="78"/>
  <c r="F158" i="78"/>
  <c r="F156" i="78"/>
  <c r="F155" i="78"/>
  <c r="F157" i="78"/>
  <c r="C161" i="78"/>
  <c r="E163" i="78"/>
  <c r="D168" i="78"/>
  <c r="F170" i="78"/>
  <c r="C173" i="78"/>
  <c r="E175" i="78"/>
  <c r="D180" i="78"/>
  <c r="F182" i="78"/>
  <c r="C185" i="78"/>
  <c r="E187" i="78"/>
  <c r="D192" i="78"/>
  <c r="F194" i="78"/>
  <c r="C197" i="78"/>
  <c r="E199" i="78"/>
  <c r="D204" i="78"/>
  <c r="B116" i="79"/>
  <c r="B118" i="79"/>
  <c r="B120" i="79"/>
  <c r="D16" i="41" s="1"/>
  <c r="B122" i="79"/>
  <c r="B124" i="79"/>
  <c r="B158" i="79"/>
  <c r="B155" i="79"/>
  <c r="B156" i="79"/>
  <c r="B157" i="79"/>
  <c r="B160" i="79"/>
  <c r="B162" i="79"/>
  <c r="B164" i="79"/>
  <c r="B166" i="79"/>
  <c r="B168" i="79"/>
  <c r="B170" i="79"/>
  <c r="B172" i="79"/>
  <c r="B174" i="79"/>
  <c r="B176" i="79"/>
  <c r="B178" i="79"/>
  <c r="B180" i="79"/>
  <c r="B182" i="79"/>
  <c r="B184" i="79"/>
  <c r="B186" i="79"/>
  <c r="B188" i="79"/>
  <c r="B190" i="79"/>
  <c r="B192" i="79"/>
  <c r="B194" i="79"/>
  <c r="B196" i="79"/>
  <c r="B198" i="79"/>
  <c r="B200" i="79"/>
  <c r="B202" i="79"/>
  <c r="B204" i="79"/>
  <c r="B206" i="79"/>
  <c r="F115" i="85"/>
  <c r="F117" i="85"/>
  <c r="F119" i="85"/>
  <c r="F121" i="85"/>
  <c r="F123" i="85"/>
  <c r="F159" i="85"/>
  <c r="F161" i="85"/>
  <c r="F163" i="85"/>
  <c r="F165" i="85"/>
  <c r="F167" i="85"/>
  <c r="F169" i="85"/>
  <c r="F171" i="85"/>
  <c r="F173" i="85"/>
  <c r="F175" i="85"/>
  <c r="F177" i="85"/>
  <c r="F179" i="85"/>
  <c r="F181" i="85"/>
  <c r="F183" i="85"/>
  <c r="F185" i="85"/>
  <c r="F187" i="85"/>
  <c r="F189" i="85"/>
  <c r="F191" i="85"/>
  <c r="F193" i="85"/>
  <c r="F195" i="85"/>
  <c r="F197" i="85"/>
  <c r="F199" i="85"/>
  <c r="F201" i="85"/>
  <c r="F203" i="85"/>
  <c r="F205" i="85"/>
  <c r="B206" i="78"/>
  <c r="B159" i="79"/>
  <c r="F158" i="85"/>
  <c r="F155" i="85"/>
  <c r="F157" i="85"/>
  <c r="F156" i="85"/>
  <c r="B179" i="68"/>
  <c r="B117" i="68"/>
  <c r="B161" i="68"/>
  <c r="B173" i="68"/>
  <c r="B185" i="68"/>
  <c r="B197" i="68"/>
  <c r="E116" i="68"/>
  <c r="D121" i="68"/>
  <c r="F123" i="68"/>
  <c r="C158" i="68"/>
  <c r="C157" i="68"/>
  <c r="C156" i="68"/>
  <c r="C155" i="68"/>
  <c r="E160" i="68"/>
  <c r="D165" i="68"/>
  <c r="F167" i="68"/>
  <c r="C170" i="68"/>
  <c r="E172" i="68"/>
  <c r="D177" i="68"/>
  <c r="F179" i="68"/>
  <c r="C182" i="68"/>
  <c r="E184" i="68"/>
  <c r="D189" i="68"/>
  <c r="F191" i="68"/>
  <c r="C194" i="68"/>
  <c r="E196" i="68"/>
  <c r="D201" i="68"/>
  <c r="F203" i="68"/>
  <c r="C206" i="68"/>
  <c r="B121" i="78"/>
  <c r="B165" i="78"/>
  <c r="B177" i="78"/>
  <c r="B189" i="78"/>
  <c r="B201" i="78"/>
  <c r="D117" i="78"/>
  <c r="F119" i="78"/>
  <c r="C122" i="78"/>
  <c r="E124" i="78"/>
  <c r="D161" i="78"/>
  <c r="F163" i="78"/>
  <c r="C166" i="78"/>
  <c r="E168" i="78"/>
  <c r="D173" i="78"/>
  <c r="F175" i="78"/>
  <c r="C178" i="78"/>
  <c r="E180" i="78"/>
  <c r="D185" i="78"/>
  <c r="F187" i="78"/>
  <c r="C190" i="78"/>
  <c r="E192" i="78"/>
  <c r="D197" i="78"/>
  <c r="F199" i="78"/>
  <c r="C202" i="78"/>
  <c r="E204" i="78"/>
  <c r="C116" i="79"/>
  <c r="C118" i="79"/>
  <c r="C120" i="79"/>
  <c r="E16" i="41" s="1"/>
  <c r="C122" i="79"/>
  <c r="C124" i="79"/>
  <c r="C158" i="79"/>
  <c r="C157" i="79"/>
  <c r="C156" i="79"/>
  <c r="C155" i="79"/>
  <c r="C160" i="79"/>
  <c r="C162" i="79"/>
  <c r="C164" i="79"/>
  <c r="C166" i="79"/>
  <c r="C168" i="79"/>
  <c r="C170" i="79"/>
  <c r="C172" i="79"/>
  <c r="C174" i="79"/>
  <c r="C176" i="79"/>
  <c r="C178" i="79"/>
  <c r="C180" i="79"/>
  <c r="C182" i="79"/>
  <c r="C184" i="79"/>
  <c r="C186" i="79"/>
  <c r="C188" i="79"/>
  <c r="C190" i="79"/>
  <c r="C192" i="79"/>
  <c r="C194" i="79"/>
  <c r="C196" i="79"/>
  <c r="C198" i="79"/>
  <c r="C200" i="79"/>
  <c r="C202" i="79"/>
  <c r="C204" i="79"/>
  <c r="C206" i="79"/>
  <c r="B119" i="79"/>
  <c r="B171" i="79"/>
  <c r="B191" i="79"/>
  <c r="F158" i="83"/>
  <c r="F157" i="83"/>
  <c r="F156" i="83"/>
  <c r="F155" i="83"/>
  <c r="B167" i="68"/>
  <c r="B195" i="78"/>
  <c r="B118" i="68"/>
  <c r="B162" i="68"/>
  <c r="B174" i="68"/>
  <c r="B186" i="68"/>
  <c r="B198" i="68"/>
  <c r="F116" i="68"/>
  <c r="C119" i="68"/>
  <c r="E121" i="68"/>
  <c r="D158" i="68"/>
  <c r="D156" i="68"/>
  <c r="D157" i="68"/>
  <c r="D155" i="68"/>
  <c r="F160" i="68"/>
  <c r="C163" i="68"/>
  <c r="E165" i="68"/>
  <c r="D170" i="68"/>
  <c r="F172" i="68"/>
  <c r="C175" i="68"/>
  <c r="E177" i="68"/>
  <c r="D182" i="68"/>
  <c r="F184" i="68"/>
  <c r="C187" i="68"/>
  <c r="E189" i="68"/>
  <c r="D194" i="68"/>
  <c r="F196" i="68"/>
  <c r="C199" i="68"/>
  <c r="E201" i="68"/>
  <c r="D206" i="68"/>
  <c r="B122" i="78"/>
  <c r="B166" i="78"/>
  <c r="B178" i="78"/>
  <c r="B190" i="78"/>
  <c r="B202" i="78"/>
  <c r="C115" i="78"/>
  <c r="E117" i="78"/>
  <c r="D122" i="78"/>
  <c r="F124" i="78"/>
  <c r="C159" i="78"/>
  <c r="E161" i="78"/>
  <c r="D166" i="78"/>
  <c r="F168" i="78"/>
  <c r="C171" i="78"/>
  <c r="E173" i="78"/>
  <c r="D178" i="78"/>
  <c r="F180" i="78"/>
  <c r="C183" i="78"/>
  <c r="E185" i="78"/>
  <c r="D190" i="78"/>
  <c r="F192" i="78"/>
  <c r="C195" i="78"/>
  <c r="E197" i="78"/>
  <c r="D202" i="78"/>
  <c r="F204" i="78"/>
  <c r="D158" i="79"/>
  <c r="D156" i="79"/>
  <c r="D157" i="79"/>
  <c r="D155" i="79"/>
  <c r="B116" i="85"/>
  <c r="B118" i="85"/>
  <c r="B120" i="85"/>
  <c r="B122" i="85"/>
  <c r="B124" i="85"/>
  <c r="B158" i="85"/>
  <c r="B157" i="85"/>
  <c r="B156" i="85"/>
  <c r="B155" i="85"/>
  <c r="B160" i="85"/>
  <c r="B162" i="85"/>
  <c r="B164" i="85"/>
  <c r="B166" i="85"/>
  <c r="B168" i="85"/>
  <c r="B170" i="85"/>
  <c r="B172" i="85"/>
  <c r="B174" i="85"/>
  <c r="B176" i="85"/>
  <c r="B178" i="85"/>
  <c r="B180" i="85"/>
  <c r="B182" i="85"/>
  <c r="B184" i="85"/>
  <c r="B186" i="85"/>
  <c r="B188" i="85"/>
  <c r="B190" i="85"/>
  <c r="B192" i="85"/>
  <c r="B194" i="85"/>
  <c r="B196" i="85"/>
  <c r="B198" i="85"/>
  <c r="B200" i="85"/>
  <c r="B202" i="85"/>
  <c r="B204" i="85"/>
  <c r="B206" i="85"/>
  <c r="B175" i="79"/>
  <c r="F199" i="82"/>
  <c r="B119" i="68"/>
  <c r="B163" i="68"/>
  <c r="B175" i="68"/>
  <c r="B187" i="68"/>
  <c r="B199" i="68"/>
  <c r="D119" i="68"/>
  <c r="F121" i="68"/>
  <c r="E158" i="68"/>
  <c r="E155" i="68"/>
  <c r="E156" i="68"/>
  <c r="E157" i="68"/>
  <c r="D163" i="68"/>
  <c r="F165" i="68"/>
  <c r="C168" i="68"/>
  <c r="E170" i="68"/>
  <c r="D175" i="68"/>
  <c r="F177" i="68"/>
  <c r="C180" i="68"/>
  <c r="E182" i="68"/>
  <c r="D187" i="68"/>
  <c r="F189" i="68"/>
  <c r="C192" i="68"/>
  <c r="E194" i="68"/>
  <c r="D199" i="68"/>
  <c r="F201" i="68"/>
  <c r="C204" i="68"/>
  <c r="B123" i="78"/>
  <c r="B167" i="78"/>
  <c r="B179" i="78"/>
  <c r="B191" i="78"/>
  <c r="B203" i="78"/>
  <c r="D115" i="78"/>
  <c r="F117" i="78"/>
  <c r="C120" i="78"/>
  <c r="E15" i="41" s="1"/>
  <c r="E122" i="78"/>
  <c r="D159" i="78"/>
  <c r="F161" i="78"/>
  <c r="C164" i="78"/>
  <c r="E166" i="78"/>
  <c r="D171" i="78"/>
  <c r="F173" i="78"/>
  <c r="C176" i="78"/>
  <c r="E178" i="78"/>
  <c r="D183" i="78"/>
  <c r="F185" i="78"/>
  <c r="C188" i="78"/>
  <c r="E190" i="78"/>
  <c r="D195" i="78"/>
  <c r="F197" i="78"/>
  <c r="C200" i="78"/>
  <c r="E202" i="78"/>
  <c r="E116" i="79"/>
  <c r="E118" i="79"/>
  <c r="E120" i="79"/>
  <c r="G16" i="41" s="1"/>
  <c r="E122" i="79"/>
  <c r="E124" i="79"/>
  <c r="E158" i="79"/>
  <c r="E156" i="79"/>
  <c r="E155" i="79"/>
  <c r="E157" i="79"/>
  <c r="E160" i="79"/>
  <c r="E162" i="79"/>
  <c r="E164" i="79"/>
  <c r="E166" i="79"/>
  <c r="E168" i="79"/>
  <c r="E170" i="79"/>
  <c r="E172" i="79"/>
  <c r="E174" i="79"/>
  <c r="E176" i="79"/>
  <c r="E178" i="79"/>
  <c r="E180" i="79"/>
  <c r="E182" i="79"/>
  <c r="E184" i="79"/>
  <c r="E186" i="79"/>
  <c r="E188" i="79"/>
  <c r="E190" i="79"/>
  <c r="E192" i="79"/>
  <c r="E194" i="79"/>
  <c r="E196" i="79"/>
  <c r="E198" i="79"/>
  <c r="E200" i="79"/>
  <c r="E202" i="79"/>
  <c r="E204" i="79"/>
  <c r="E206" i="79"/>
  <c r="C116" i="85"/>
  <c r="C118" i="85"/>
  <c r="C120" i="85"/>
  <c r="C122" i="85"/>
  <c r="C124" i="85"/>
  <c r="C158" i="85"/>
  <c r="C157" i="85"/>
  <c r="C155" i="85"/>
  <c r="C156" i="85"/>
  <c r="C160" i="85"/>
  <c r="C162" i="85"/>
  <c r="C164" i="85"/>
  <c r="C166" i="85"/>
  <c r="C168" i="85"/>
  <c r="C170" i="85"/>
  <c r="C172" i="85"/>
  <c r="C174" i="85"/>
  <c r="C176" i="85"/>
  <c r="C178" i="85"/>
  <c r="C180" i="85"/>
  <c r="C182" i="85"/>
  <c r="C184" i="85"/>
  <c r="C186" i="85"/>
  <c r="C188" i="85"/>
  <c r="C190" i="85"/>
  <c r="C192" i="85"/>
  <c r="C194" i="85"/>
  <c r="C196" i="85"/>
  <c r="C198" i="85"/>
  <c r="C200" i="85"/>
  <c r="C202" i="85"/>
  <c r="C204" i="85"/>
  <c r="C206" i="85"/>
  <c r="C115" i="84"/>
  <c r="C117" i="84"/>
  <c r="C119" i="84"/>
  <c r="C121" i="84"/>
  <c r="C123" i="84"/>
  <c r="C159" i="84"/>
  <c r="C161" i="84"/>
  <c r="C163" i="84"/>
  <c r="C165" i="84"/>
  <c r="C167" i="84"/>
  <c r="C169" i="84"/>
  <c r="C171" i="84"/>
  <c r="C173" i="84"/>
  <c r="C175" i="84"/>
  <c r="C177" i="84"/>
  <c r="C179" i="84"/>
  <c r="C181" i="84"/>
  <c r="C183" i="84"/>
  <c r="C185" i="84"/>
  <c r="C187" i="84"/>
  <c r="C189" i="84"/>
  <c r="C191" i="84"/>
  <c r="C193" i="84"/>
  <c r="C195" i="84"/>
  <c r="C197" i="84"/>
  <c r="C199" i="84"/>
  <c r="C201" i="84"/>
  <c r="C203" i="84"/>
  <c r="B165" i="79"/>
  <c r="B193" i="79"/>
  <c r="F116" i="85"/>
  <c r="F204" i="85"/>
  <c r="F185" i="82"/>
  <c r="B171" i="78"/>
  <c r="C189" i="79"/>
  <c r="C203" i="79"/>
  <c r="B120" i="68"/>
  <c r="D14" i="41" s="1"/>
  <c r="B164" i="68"/>
  <c r="B176" i="68"/>
  <c r="B188" i="68"/>
  <c r="B200" i="68"/>
  <c r="C117" i="68"/>
  <c r="E119" i="68"/>
  <c r="D124" i="68"/>
  <c r="F158" i="68"/>
  <c r="F157" i="68"/>
  <c r="F156" i="68"/>
  <c r="F155" i="68"/>
  <c r="C161" i="68"/>
  <c r="E163" i="68"/>
  <c r="D168" i="68"/>
  <c r="F170" i="68"/>
  <c r="C173" i="68"/>
  <c r="E175" i="68"/>
  <c r="D180" i="68"/>
  <c r="F182" i="68"/>
  <c r="C185" i="68"/>
  <c r="E187" i="68"/>
  <c r="D192" i="68"/>
  <c r="F194" i="68"/>
  <c r="C197" i="68"/>
  <c r="E199" i="68"/>
  <c r="D204" i="68"/>
  <c r="F206" i="68"/>
  <c r="B124" i="78"/>
  <c r="B168" i="78"/>
  <c r="B180" i="78"/>
  <c r="B192" i="78"/>
  <c r="B204" i="78"/>
  <c r="E115" i="78"/>
  <c r="D120" i="78"/>
  <c r="F15" i="41" s="1"/>
  <c r="F122" i="78"/>
  <c r="E159" i="78"/>
  <c r="D164" i="78"/>
  <c r="F166" i="78"/>
  <c r="C169" i="78"/>
  <c r="E171" i="78"/>
  <c r="D176" i="78"/>
  <c r="F178" i="78"/>
  <c r="C181" i="78"/>
  <c r="E183" i="78"/>
  <c r="D188" i="78"/>
  <c r="F190" i="78"/>
  <c r="C193" i="78"/>
  <c r="E195" i="78"/>
  <c r="D200" i="78"/>
  <c r="F202" i="78"/>
  <c r="C205" i="78"/>
  <c r="F158" i="79"/>
  <c r="F155" i="79"/>
  <c r="F157" i="79"/>
  <c r="F156" i="79"/>
  <c r="D158" i="85"/>
  <c r="D155" i="85"/>
  <c r="D157" i="85"/>
  <c r="D156" i="85"/>
  <c r="B195" i="79"/>
  <c r="F164" i="85"/>
  <c r="F182" i="85"/>
  <c r="F196" i="85"/>
  <c r="F171" i="82"/>
  <c r="B183" i="78"/>
  <c r="B121" i="68"/>
  <c r="B165" i="68"/>
  <c r="B177" i="68"/>
  <c r="B189" i="68"/>
  <c r="B201" i="68"/>
  <c r="D117" i="68"/>
  <c r="F119" i="68"/>
  <c r="C122" i="68"/>
  <c r="D161" i="68"/>
  <c r="F163" i="68"/>
  <c r="C166" i="68"/>
  <c r="E168" i="68"/>
  <c r="D173" i="68"/>
  <c r="F175" i="68"/>
  <c r="C178" i="68"/>
  <c r="E180" i="68"/>
  <c r="D185" i="68"/>
  <c r="F187" i="68"/>
  <c r="C190" i="68"/>
  <c r="E192" i="68"/>
  <c r="D197" i="68"/>
  <c r="F199" i="68"/>
  <c r="C202" i="68"/>
  <c r="E204" i="68"/>
  <c r="B125" i="78"/>
  <c r="O125" i="78" s="1"/>
  <c r="B169" i="78"/>
  <c r="B181" i="78"/>
  <c r="B193" i="78"/>
  <c r="B205" i="78"/>
  <c r="F115" i="78"/>
  <c r="C118" i="78"/>
  <c r="E120" i="78"/>
  <c r="G15" i="41" s="1"/>
  <c r="F159" i="78"/>
  <c r="C162" i="78"/>
  <c r="E164" i="78"/>
  <c r="D169" i="78"/>
  <c r="F171" i="78"/>
  <c r="C174" i="78"/>
  <c r="E176" i="78"/>
  <c r="D181" i="78"/>
  <c r="F183" i="78"/>
  <c r="C186" i="78"/>
  <c r="E188" i="78"/>
  <c r="D193" i="78"/>
  <c r="F195" i="78"/>
  <c r="C198" i="78"/>
  <c r="E200" i="78"/>
  <c r="D205" i="78"/>
  <c r="E158" i="85"/>
  <c r="E157" i="85"/>
  <c r="E156" i="85"/>
  <c r="E155" i="85"/>
  <c r="B115" i="83"/>
  <c r="B117" i="83"/>
  <c r="B119" i="83"/>
  <c r="B121" i="83"/>
  <c r="B123" i="83"/>
  <c r="B125" i="83"/>
  <c r="O125" i="83" s="1"/>
  <c r="B159" i="83"/>
  <c r="B161" i="83"/>
  <c r="B163" i="83"/>
  <c r="B165" i="83"/>
  <c r="B167" i="83"/>
  <c r="B169" i="83"/>
  <c r="B171" i="83"/>
  <c r="B173" i="83"/>
  <c r="B175" i="83"/>
  <c r="B177" i="83"/>
  <c r="B179" i="83"/>
  <c r="B181" i="83"/>
  <c r="B183" i="83"/>
  <c r="B185" i="83"/>
  <c r="B187" i="83"/>
  <c r="B189" i="83"/>
  <c r="B191" i="83"/>
  <c r="B193" i="83"/>
  <c r="B195" i="83"/>
  <c r="B197" i="83"/>
  <c r="B199" i="83"/>
  <c r="B201" i="83"/>
  <c r="B203" i="83"/>
  <c r="B205" i="83"/>
  <c r="B116" i="82"/>
  <c r="B118" i="82"/>
  <c r="B120" i="82"/>
  <c r="B122" i="82"/>
  <c r="B124" i="82"/>
  <c r="B158" i="82"/>
  <c r="B156" i="82"/>
  <c r="B155" i="82"/>
  <c r="B157" i="82"/>
  <c r="B160" i="82"/>
  <c r="B162" i="82"/>
  <c r="B164" i="82"/>
  <c r="B166" i="82"/>
  <c r="B168" i="82"/>
  <c r="B170" i="82"/>
  <c r="B172" i="82"/>
  <c r="B174" i="82"/>
  <c r="B176" i="82"/>
  <c r="B178" i="82"/>
  <c r="B180" i="82"/>
  <c r="B182" i="82"/>
  <c r="B184" i="82"/>
  <c r="B186" i="82"/>
  <c r="B188" i="82"/>
  <c r="B190" i="82"/>
  <c r="B192" i="82"/>
  <c r="B194" i="82"/>
  <c r="B196" i="82"/>
  <c r="B198" i="82"/>
  <c r="B200" i="82"/>
  <c r="B202" i="82"/>
  <c r="B204" i="82"/>
  <c r="B206" i="82"/>
  <c r="D116" i="84"/>
  <c r="D118" i="84"/>
  <c r="D120" i="84"/>
  <c r="D122" i="84"/>
  <c r="D124" i="84"/>
  <c r="D164" i="84"/>
  <c r="D166" i="84"/>
  <c r="D168" i="84"/>
  <c r="D172" i="84"/>
  <c r="D174" i="84"/>
  <c r="D176" i="84"/>
  <c r="D178" i="84"/>
  <c r="D180" i="84"/>
  <c r="D182" i="84"/>
  <c r="D184" i="84"/>
  <c r="D186" i="84"/>
  <c r="D188" i="84"/>
  <c r="D190" i="84"/>
  <c r="D194" i="84"/>
  <c r="D196" i="84"/>
  <c r="D198" i="84"/>
  <c r="D200" i="84"/>
  <c r="D115" i="83"/>
  <c r="D117" i="83"/>
  <c r="D119" i="83"/>
  <c r="D121" i="83"/>
  <c r="D123" i="83"/>
  <c r="D159" i="83"/>
  <c r="D161" i="83"/>
  <c r="D163" i="83"/>
  <c r="D165" i="83"/>
  <c r="D167" i="83"/>
  <c r="D169" i="83"/>
  <c r="D171" i="83"/>
  <c r="D173" i="83"/>
  <c r="D175" i="83"/>
  <c r="D177" i="83"/>
  <c r="D179" i="83"/>
  <c r="D181" i="83"/>
  <c r="D183" i="83"/>
  <c r="D185" i="83"/>
  <c r="D187" i="83"/>
  <c r="D189" i="83"/>
  <c r="D191" i="83"/>
  <c r="D193" i="83"/>
  <c r="D195" i="83"/>
  <c r="D197" i="83"/>
  <c r="D199" i="83"/>
  <c r="D201" i="83"/>
  <c r="D203" i="83"/>
  <c r="D205" i="83"/>
  <c r="D116" i="82"/>
  <c r="D118" i="82"/>
  <c r="D120" i="82"/>
  <c r="D122" i="82"/>
  <c r="D124" i="82"/>
  <c r="D158" i="82"/>
  <c r="D155" i="82"/>
  <c r="D157" i="82"/>
  <c r="D156" i="82"/>
  <c r="D160" i="82"/>
  <c r="D162" i="82"/>
  <c r="D164" i="82"/>
  <c r="D166" i="82"/>
  <c r="D168" i="82"/>
  <c r="D170" i="82"/>
  <c r="D172" i="82"/>
  <c r="D174" i="82"/>
  <c r="D176" i="82"/>
  <c r="D178" i="82"/>
  <c r="D180" i="82"/>
  <c r="D182" i="82"/>
  <c r="D184" i="82"/>
  <c r="D186" i="82"/>
  <c r="D188" i="82"/>
  <c r="D190" i="82"/>
  <c r="D192" i="82"/>
  <c r="D194" i="82"/>
  <c r="D196" i="82"/>
  <c r="D198" i="82"/>
  <c r="D200" i="82"/>
  <c r="D202" i="82"/>
  <c r="D204" i="82"/>
  <c r="D206" i="82"/>
  <c r="E198" i="84"/>
  <c r="E200" i="84"/>
  <c r="E202" i="84"/>
  <c r="E204" i="84"/>
  <c r="E206" i="84"/>
  <c r="E115" i="83"/>
  <c r="E117" i="83"/>
  <c r="E119" i="83"/>
  <c r="E121" i="83"/>
  <c r="E123" i="83"/>
  <c r="E159" i="83"/>
  <c r="E161" i="83"/>
  <c r="E163" i="83"/>
  <c r="E165" i="83"/>
  <c r="E167" i="83"/>
  <c r="E169" i="83"/>
  <c r="E171" i="83"/>
  <c r="E173" i="83"/>
  <c r="E175" i="83"/>
  <c r="E177" i="83"/>
  <c r="E179" i="83"/>
  <c r="E181" i="83"/>
  <c r="E183" i="83"/>
  <c r="E185" i="83"/>
  <c r="E187" i="83"/>
  <c r="E189" i="83"/>
  <c r="E191" i="83"/>
  <c r="E193" i="83"/>
  <c r="E195" i="83"/>
  <c r="E197" i="83"/>
  <c r="E199" i="83"/>
  <c r="E201" i="83"/>
  <c r="E203" i="83"/>
  <c r="E205" i="83"/>
  <c r="E116" i="82"/>
  <c r="E118" i="82"/>
  <c r="E120" i="82"/>
  <c r="E122" i="82"/>
  <c r="E124" i="82"/>
  <c r="E158" i="82"/>
  <c r="E157" i="82"/>
  <c r="E155" i="82"/>
  <c r="E156" i="82"/>
  <c r="E160" i="82"/>
  <c r="E162" i="82"/>
  <c r="E164" i="82"/>
  <c r="E166" i="82"/>
  <c r="E168" i="82"/>
  <c r="E170" i="82"/>
  <c r="E172" i="82"/>
  <c r="E174" i="82"/>
  <c r="E176" i="82"/>
  <c r="E178" i="82"/>
  <c r="E180" i="82"/>
  <c r="E182" i="82"/>
  <c r="E184" i="82"/>
  <c r="E186" i="82"/>
  <c r="E188" i="82"/>
  <c r="E190" i="82"/>
  <c r="E192" i="82"/>
  <c r="E194" i="82"/>
  <c r="E196" i="82"/>
  <c r="E198" i="82"/>
  <c r="E200" i="82"/>
  <c r="E202" i="82"/>
  <c r="E204" i="82"/>
  <c r="E206" i="82"/>
  <c r="F115" i="83"/>
  <c r="F117" i="83"/>
  <c r="F119" i="83"/>
  <c r="F121" i="83"/>
  <c r="F123" i="83"/>
  <c r="F159" i="83"/>
  <c r="F161" i="83"/>
  <c r="F163" i="83"/>
  <c r="F165" i="83"/>
  <c r="F167" i="83"/>
  <c r="F169" i="83"/>
  <c r="F171" i="83"/>
  <c r="F173" i="83"/>
  <c r="F175" i="83"/>
  <c r="F177" i="83"/>
  <c r="F179" i="83"/>
  <c r="F181" i="83"/>
  <c r="F183" i="83"/>
  <c r="F185" i="83"/>
  <c r="F187" i="83"/>
  <c r="F189" i="83"/>
  <c r="F191" i="83"/>
  <c r="F193" i="83"/>
  <c r="F195" i="83"/>
  <c r="F197" i="83"/>
  <c r="F199" i="83"/>
  <c r="F201" i="83"/>
  <c r="F203" i="83"/>
  <c r="F205" i="83"/>
  <c r="F116" i="82"/>
  <c r="F118" i="82"/>
  <c r="F120" i="82"/>
  <c r="F122" i="82"/>
  <c r="F124" i="82"/>
  <c r="F158" i="82"/>
  <c r="F155" i="82"/>
  <c r="F157" i="82"/>
  <c r="F156" i="82"/>
  <c r="F160" i="82"/>
  <c r="F162" i="82"/>
  <c r="F164" i="82"/>
  <c r="F166" i="82"/>
  <c r="F168" i="82"/>
  <c r="F170" i="82"/>
  <c r="F172" i="82"/>
  <c r="F174" i="82"/>
  <c r="F176" i="82"/>
  <c r="F178" i="82"/>
  <c r="F180" i="82"/>
  <c r="F182" i="82"/>
  <c r="F184" i="82"/>
  <c r="F186" i="82"/>
  <c r="F188" i="82"/>
  <c r="F190" i="82"/>
  <c r="F192" i="82"/>
  <c r="F194" i="82"/>
  <c r="F196" i="82"/>
  <c r="F198" i="82"/>
  <c r="F200" i="82"/>
  <c r="F202" i="82"/>
  <c r="F204" i="82"/>
  <c r="F206" i="82"/>
  <c r="B116" i="83"/>
  <c r="B118" i="83"/>
  <c r="B120" i="83"/>
  <c r="B122" i="83"/>
  <c r="B124" i="83"/>
  <c r="B158" i="83"/>
  <c r="B157" i="83"/>
  <c r="B155" i="83"/>
  <c r="B156" i="83"/>
  <c r="B160" i="83"/>
  <c r="B162" i="83"/>
  <c r="B164" i="83"/>
  <c r="B166" i="83"/>
  <c r="B168" i="83"/>
  <c r="B170" i="83"/>
  <c r="B172" i="83"/>
  <c r="B174" i="83"/>
  <c r="B176" i="83"/>
  <c r="B178" i="83"/>
  <c r="B180" i="83"/>
  <c r="B182" i="83"/>
  <c r="B184" i="83"/>
  <c r="B186" i="83"/>
  <c r="B188" i="83"/>
  <c r="B190" i="83"/>
  <c r="B192" i="83"/>
  <c r="B194" i="83"/>
  <c r="B196" i="83"/>
  <c r="B198" i="83"/>
  <c r="B200" i="83"/>
  <c r="B202" i="83"/>
  <c r="B204" i="83"/>
  <c r="B206" i="83"/>
  <c r="B115" i="82"/>
  <c r="B117" i="82"/>
  <c r="B119" i="82"/>
  <c r="B121" i="82"/>
  <c r="B123" i="82"/>
  <c r="B125" i="82"/>
  <c r="O125" i="82" s="1"/>
  <c r="B159" i="82"/>
  <c r="B161" i="82"/>
  <c r="B163" i="82"/>
  <c r="B165" i="82"/>
  <c r="B167" i="82"/>
  <c r="B169" i="82"/>
  <c r="B171" i="82"/>
  <c r="B173" i="82"/>
  <c r="B175" i="82"/>
  <c r="B177" i="82"/>
  <c r="B179" i="82"/>
  <c r="B181" i="82"/>
  <c r="B183" i="82"/>
  <c r="B185" i="82"/>
  <c r="B187" i="82"/>
  <c r="B189" i="82"/>
  <c r="B191" i="82"/>
  <c r="B193" i="82"/>
  <c r="B195" i="82"/>
  <c r="B197" i="82"/>
  <c r="B199" i="82"/>
  <c r="B201" i="82"/>
  <c r="B203" i="82"/>
  <c r="B205" i="82"/>
  <c r="C205" i="84"/>
  <c r="C116" i="83"/>
  <c r="C118" i="83"/>
  <c r="C120" i="83"/>
  <c r="C122" i="83"/>
  <c r="C124" i="83"/>
  <c r="C158" i="83"/>
  <c r="C157" i="83"/>
  <c r="C156" i="83"/>
  <c r="C155" i="83"/>
  <c r="C160" i="83"/>
  <c r="C162" i="83"/>
  <c r="C164" i="83"/>
  <c r="C166" i="83"/>
  <c r="C168" i="83"/>
  <c r="C170" i="83"/>
  <c r="C172" i="83"/>
  <c r="C174" i="83"/>
  <c r="C176" i="83"/>
  <c r="C178" i="83"/>
  <c r="C180" i="83"/>
  <c r="C182" i="83"/>
  <c r="C184" i="83"/>
  <c r="C186" i="83"/>
  <c r="C188" i="83"/>
  <c r="C190" i="83"/>
  <c r="C192" i="83"/>
  <c r="C194" i="83"/>
  <c r="C196" i="83"/>
  <c r="C198" i="83"/>
  <c r="C200" i="83"/>
  <c r="C202" i="83"/>
  <c r="C204" i="83"/>
  <c r="C206" i="83"/>
  <c r="C115" i="82"/>
  <c r="C117" i="82"/>
  <c r="C119" i="82"/>
  <c r="C121" i="82"/>
  <c r="C123" i="82"/>
  <c r="C159" i="82"/>
  <c r="C161" i="82"/>
  <c r="C163" i="82"/>
  <c r="C165" i="82"/>
  <c r="C167" i="82"/>
  <c r="C169" i="82"/>
  <c r="C171" i="82"/>
  <c r="C173" i="82"/>
  <c r="C175" i="82"/>
  <c r="C177" i="82"/>
  <c r="C179" i="82"/>
  <c r="C181" i="82"/>
  <c r="C183" i="82"/>
  <c r="C185" i="82"/>
  <c r="C187" i="82"/>
  <c r="C189" i="82"/>
  <c r="C191" i="82"/>
  <c r="C193" i="82"/>
  <c r="C195" i="82"/>
  <c r="C197" i="82"/>
  <c r="C199" i="82"/>
  <c r="C201" i="82"/>
  <c r="C203" i="82"/>
  <c r="C205" i="82"/>
  <c r="D158" i="83"/>
  <c r="D155" i="83"/>
  <c r="D157" i="83"/>
  <c r="D156" i="83"/>
  <c r="E158" i="83"/>
  <c r="E156" i="83"/>
  <c r="E155" i="83"/>
  <c r="E157" i="83"/>
  <c r="F205" i="77"/>
  <c r="D203" i="77"/>
  <c r="E198" i="77"/>
  <c r="C196" i="77"/>
  <c r="F193" i="77"/>
  <c r="D191" i="77"/>
  <c r="E205" i="77"/>
  <c r="C203" i="77"/>
  <c r="F200" i="77"/>
  <c r="D198" i="77"/>
  <c r="E193" i="77"/>
  <c r="E186" i="77"/>
  <c r="C184" i="77"/>
  <c r="F181" i="77"/>
  <c r="D179" i="77"/>
  <c r="E174" i="77"/>
  <c r="C172" i="77"/>
  <c r="F169" i="77"/>
  <c r="D167" i="77"/>
  <c r="E162" i="77"/>
  <c r="C160" i="77"/>
  <c r="E118" i="77"/>
  <c r="C116" i="77"/>
  <c r="D204" i="84"/>
  <c r="D206" i="84"/>
  <c r="C191" i="77"/>
  <c r="F188" i="77"/>
  <c r="D186" i="77"/>
  <c r="E181" i="77"/>
  <c r="C179" i="77"/>
  <c r="F176" i="77"/>
  <c r="D174" i="77"/>
  <c r="E169" i="77"/>
  <c r="C167" i="77"/>
  <c r="F164" i="77"/>
  <c r="D162" i="77"/>
  <c r="C123" i="77"/>
  <c r="F120" i="77"/>
  <c r="H13" i="41" s="1"/>
  <c r="D118" i="77"/>
  <c r="F116" i="84"/>
  <c r="F118" i="84"/>
  <c r="F120" i="84"/>
  <c r="F122" i="84"/>
  <c r="F124" i="84"/>
  <c r="F160" i="84"/>
  <c r="F162" i="84"/>
  <c r="F164" i="84"/>
  <c r="F166" i="84"/>
  <c r="F168" i="84"/>
  <c r="F170" i="84"/>
  <c r="F172" i="84"/>
  <c r="F174" i="84"/>
  <c r="F176" i="84"/>
  <c r="F178" i="84"/>
  <c r="F180" i="84"/>
  <c r="F182" i="84"/>
  <c r="F184" i="84"/>
  <c r="F186" i="84"/>
  <c r="F188" i="84"/>
  <c r="F190" i="84"/>
  <c r="F192" i="84"/>
  <c r="F194" i="84"/>
  <c r="F196" i="84"/>
  <c r="F198" i="84"/>
  <c r="F200" i="84"/>
  <c r="F202" i="84"/>
  <c r="F204" i="84"/>
  <c r="F206" i="84"/>
  <c r="D162" i="84"/>
  <c r="D170" i="84"/>
  <c r="F202" i="77"/>
  <c r="F190" i="77"/>
  <c r="F178" i="77"/>
  <c r="F166" i="77"/>
  <c r="E159" i="77"/>
  <c r="D120" i="77"/>
  <c r="F13" i="41" s="1"/>
  <c r="E115" i="77"/>
  <c r="D158" i="84"/>
  <c r="D155" i="84"/>
  <c r="D157" i="84"/>
  <c r="D156" i="84"/>
  <c r="D192" i="84"/>
  <c r="D202" i="84"/>
  <c r="C205" i="77"/>
  <c r="D200" i="77"/>
  <c r="E195" i="77"/>
  <c r="D188" i="77"/>
  <c r="E183" i="77"/>
  <c r="D176" i="77"/>
  <c r="E171" i="77"/>
  <c r="F122" i="77"/>
  <c r="E202" i="77"/>
  <c r="C200" i="77"/>
  <c r="F197" i="77"/>
  <c r="D195" i="77"/>
  <c r="E190" i="77"/>
  <c r="C188" i="77"/>
  <c r="F185" i="77"/>
  <c r="D183" i="77"/>
  <c r="E178" i="77"/>
  <c r="C176" i="77"/>
  <c r="F173" i="77"/>
  <c r="D171" i="77"/>
  <c r="E166" i="77"/>
  <c r="C164" i="77"/>
  <c r="F161" i="77"/>
  <c r="D159" i="77"/>
  <c r="E122" i="77"/>
  <c r="C120" i="77"/>
  <c r="E13" i="41" s="1"/>
  <c r="F117" i="77"/>
  <c r="D115" i="77"/>
  <c r="B115" i="84"/>
  <c r="B117" i="84"/>
  <c r="B119" i="84"/>
  <c r="B121" i="84"/>
  <c r="B123" i="84"/>
  <c r="B125" i="84"/>
  <c r="O125" i="84" s="1"/>
  <c r="B159" i="84"/>
  <c r="B161" i="84"/>
  <c r="B163" i="84"/>
  <c r="B165" i="84"/>
  <c r="B167" i="84"/>
  <c r="B169" i="84"/>
  <c r="B171" i="84"/>
  <c r="B173" i="84"/>
  <c r="B175" i="84"/>
  <c r="B177" i="84"/>
  <c r="B179" i="84"/>
  <c r="B181" i="84"/>
  <c r="B183" i="84"/>
  <c r="B185" i="84"/>
  <c r="B187" i="84"/>
  <c r="B189" i="84"/>
  <c r="B191" i="84"/>
  <c r="B193" i="84"/>
  <c r="B195" i="84"/>
  <c r="B197" i="84"/>
  <c r="B199" i="84"/>
  <c r="B201" i="84"/>
  <c r="B203" i="84"/>
  <c r="B205" i="84"/>
  <c r="D160" i="84"/>
  <c r="C193" i="77"/>
  <c r="C181" i="77"/>
  <c r="C169" i="77"/>
  <c r="D164" i="77"/>
  <c r="F204" i="77"/>
  <c r="D202" i="77"/>
  <c r="E197" i="77"/>
  <c r="C195" i="77"/>
  <c r="F192" i="77"/>
  <c r="D190" i="77"/>
  <c r="E185" i="77"/>
  <c r="C183" i="77"/>
  <c r="F180" i="77"/>
  <c r="D178" i="77"/>
  <c r="E173" i="77"/>
  <c r="C171" i="77"/>
  <c r="F168" i="77"/>
  <c r="D166" i="77"/>
  <c r="E161" i="77"/>
  <c r="C159" i="77"/>
  <c r="F124" i="77"/>
  <c r="D122" i="77"/>
  <c r="E117" i="77"/>
  <c r="C115" i="77"/>
  <c r="E158" i="84"/>
  <c r="E157" i="84"/>
  <c r="E156" i="84"/>
  <c r="E155" i="84"/>
  <c r="D205" i="77"/>
  <c r="E200" i="77"/>
  <c r="C198" i="77"/>
  <c r="F195" i="77"/>
  <c r="D193" i="77"/>
  <c r="E188" i="77"/>
  <c r="C186" i="77"/>
  <c r="F183" i="77"/>
  <c r="D181" i="77"/>
  <c r="E176" i="77"/>
  <c r="C174" i="77"/>
  <c r="F171" i="77"/>
  <c r="D169" i="77"/>
  <c r="E164" i="77"/>
  <c r="C162" i="77"/>
  <c r="F159" i="77"/>
  <c r="E120" i="77"/>
  <c r="G13" i="41" s="1"/>
  <c r="C118" i="77"/>
  <c r="F115" i="77"/>
  <c r="F158" i="84"/>
  <c r="F156" i="84"/>
  <c r="F155" i="84"/>
  <c r="F157" i="84"/>
  <c r="C202" i="77"/>
  <c r="E192" i="77"/>
  <c r="E168" i="77"/>
  <c r="D117" i="84"/>
  <c r="D163" i="84"/>
  <c r="D167" i="84"/>
  <c r="D175" i="84"/>
  <c r="D179" i="84"/>
  <c r="D185" i="84"/>
  <c r="D189" i="84"/>
  <c r="D197" i="84"/>
  <c r="D205" i="84"/>
  <c r="F206" i="77"/>
  <c r="D204" i="77"/>
  <c r="E199" i="77"/>
  <c r="C197" i="77"/>
  <c r="F194" i="77"/>
  <c r="D192" i="77"/>
  <c r="E187" i="77"/>
  <c r="C185" i="77"/>
  <c r="F182" i="77"/>
  <c r="D180" i="77"/>
  <c r="E175" i="77"/>
  <c r="C173" i="77"/>
  <c r="F170" i="77"/>
  <c r="D168" i="77"/>
  <c r="E163" i="77"/>
  <c r="C161" i="77"/>
  <c r="F158" i="77"/>
  <c r="F155" i="77"/>
  <c r="F157" i="77"/>
  <c r="F156" i="77"/>
  <c r="D124" i="77"/>
  <c r="E119" i="77"/>
  <c r="C117" i="77"/>
  <c r="E115" i="84"/>
  <c r="E117" i="84"/>
  <c r="E119" i="84"/>
  <c r="E121" i="84"/>
  <c r="E123" i="84"/>
  <c r="E159" i="84"/>
  <c r="E161" i="84"/>
  <c r="E163" i="84"/>
  <c r="E165" i="84"/>
  <c r="E167" i="84"/>
  <c r="E169" i="84"/>
  <c r="E171" i="84"/>
  <c r="E173" i="84"/>
  <c r="E175" i="84"/>
  <c r="E177" i="84"/>
  <c r="E179" i="84"/>
  <c r="E181" i="84"/>
  <c r="E183" i="84"/>
  <c r="E185" i="84"/>
  <c r="E187" i="84"/>
  <c r="E189" i="84"/>
  <c r="E191" i="84"/>
  <c r="E193" i="84"/>
  <c r="E195" i="84"/>
  <c r="E197" i="84"/>
  <c r="E199" i="84"/>
  <c r="E201" i="84"/>
  <c r="E203" i="84"/>
  <c r="E205" i="84"/>
  <c r="C178" i="77"/>
  <c r="C166" i="77"/>
  <c r="C122" i="77"/>
  <c r="D121" i="84"/>
  <c r="D161" i="84"/>
  <c r="D169" i="84"/>
  <c r="D181" i="84"/>
  <c r="D191" i="84"/>
  <c r="D199" i="84"/>
  <c r="E206" i="77"/>
  <c r="C204" i="77"/>
  <c r="F201" i="77"/>
  <c r="D199" i="77"/>
  <c r="E194" i="77"/>
  <c r="C192" i="77"/>
  <c r="F189" i="77"/>
  <c r="D187" i="77"/>
  <c r="E182" i="77"/>
  <c r="C180" i="77"/>
  <c r="F177" i="77"/>
  <c r="D175" i="77"/>
  <c r="E170" i="77"/>
  <c r="C168" i="77"/>
  <c r="F165" i="77"/>
  <c r="D163" i="77"/>
  <c r="E158" i="77"/>
  <c r="E155" i="77"/>
  <c r="E156" i="77"/>
  <c r="E157" i="77"/>
  <c r="C124" i="77"/>
  <c r="F121" i="77"/>
  <c r="D119" i="77"/>
  <c r="F115" i="84"/>
  <c r="F117" i="84"/>
  <c r="F119" i="84"/>
  <c r="F121" i="84"/>
  <c r="F123" i="84"/>
  <c r="F159" i="84"/>
  <c r="F161" i="84"/>
  <c r="F163" i="84"/>
  <c r="F165" i="84"/>
  <c r="F167" i="84"/>
  <c r="F169" i="84"/>
  <c r="F171" i="84"/>
  <c r="F173" i="84"/>
  <c r="F175" i="84"/>
  <c r="F177" i="84"/>
  <c r="F179" i="84"/>
  <c r="F181" i="84"/>
  <c r="F183" i="84"/>
  <c r="F185" i="84"/>
  <c r="F187" i="84"/>
  <c r="F189" i="84"/>
  <c r="F191" i="84"/>
  <c r="F193" i="84"/>
  <c r="F195" i="84"/>
  <c r="F197" i="84"/>
  <c r="F199" i="84"/>
  <c r="F201" i="84"/>
  <c r="F203" i="84"/>
  <c r="F205" i="84"/>
  <c r="E204" i="77"/>
  <c r="C190" i="77"/>
  <c r="E180" i="77"/>
  <c r="E124" i="77"/>
  <c r="D115" i="84"/>
  <c r="D159" i="84"/>
  <c r="D171" i="84"/>
  <c r="D183" i="84"/>
  <c r="D193" i="84"/>
  <c r="D201" i="84"/>
  <c r="D206" i="77"/>
  <c r="E201" i="77"/>
  <c r="C199" i="77"/>
  <c r="F196" i="77"/>
  <c r="D194" i="77"/>
  <c r="E189" i="77"/>
  <c r="C187" i="77"/>
  <c r="F184" i="77"/>
  <c r="D182" i="77"/>
  <c r="E177" i="77"/>
  <c r="C175" i="77"/>
  <c r="F172" i="77"/>
  <c r="D170" i="77"/>
  <c r="E165" i="77"/>
  <c r="C163" i="77"/>
  <c r="F160" i="77"/>
  <c r="D158" i="77"/>
  <c r="D157" i="77"/>
  <c r="D156" i="77"/>
  <c r="D155" i="77"/>
  <c r="E121" i="77"/>
  <c r="C119" i="77"/>
  <c r="F116" i="77"/>
  <c r="F199" i="77"/>
  <c r="F187" i="77"/>
  <c r="F175" i="77"/>
  <c r="F163" i="77"/>
  <c r="F119" i="77"/>
  <c r="D123" i="84"/>
  <c r="D165" i="84"/>
  <c r="D177" i="84"/>
  <c r="D187" i="84"/>
  <c r="D195" i="84"/>
  <c r="D203" i="84"/>
  <c r="C206" i="77"/>
  <c r="F203" i="77"/>
  <c r="D201" i="77"/>
  <c r="E196" i="77"/>
  <c r="C194" i="77"/>
  <c r="F191" i="77"/>
  <c r="D189" i="77"/>
  <c r="E184" i="77"/>
  <c r="C182" i="77"/>
  <c r="F179" i="77"/>
  <c r="D177" i="77"/>
  <c r="E172" i="77"/>
  <c r="C170" i="77"/>
  <c r="F167" i="77"/>
  <c r="D165" i="77"/>
  <c r="E160" i="77"/>
  <c r="C158" i="77"/>
  <c r="C157" i="77"/>
  <c r="C156" i="77"/>
  <c r="C155" i="77"/>
  <c r="F123" i="77"/>
  <c r="D121" i="77"/>
  <c r="E116" i="77"/>
  <c r="B116" i="84"/>
  <c r="B118" i="84"/>
  <c r="B120" i="84"/>
  <c r="B122" i="84"/>
  <c r="B124" i="84"/>
  <c r="B158" i="84"/>
  <c r="B157" i="84"/>
  <c r="B156" i="84"/>
  <c r="B155" i="84"/>
  <c r="B160" i="84"/>
  <c r="B162" i="84"/>
  <c r="B164" i="84"/>
  <c r="B166" i="84"/>
  <c r="B168" i="84"/>
  <c r="B170" i="84"/>
  <c r="B172" i="84"/>
  <c r="B174" i="84"/>
  <c r="B176" i="84"/>
  <c r="B178" i="84"/>
  <c r="B180" i="84"/>
  <c r="B182" i="84"/>
  <c r="B184" i="84"/>
  <c r="B186" i="84"/>
  <c r="B188" i="84"/>
  <c r="B190" i="84"/>
  <c r="B192" i="84"/>
  <c r="B194" i="84"/>
  <c r="B196" i="84"/>
  <c r="B198" i="84"/>
  <c r="B200" i="84"/>
  <c r="B202" i="84"/>
  <c r="B204" i="84"/>
  <c r="B206" i="84"/>
  <c r="D197" i="77"/>
  <c r="D185" i="77"/>
  <c r="D173" i="77"/>
  <c r="D161" i="77"/>
  <c r="D117" i="77"/>
  <c r="D119" i="84"/>
  <c r="D173" i="84"/>
  <c r="E203" i="77"/>
  <c r="C201" i="77"/>
  <c r="F198" i="77"/>
  <c r="D196" i="77"/>
  <c r="E191" i="77"/>
  <c r="C189" i="77"/>
  <c r="F186" i="77"/>
  <c r="D184" i="77"/>
  <c r="E179" i="77"/>
  <c r="C177" i="77"/>
  <c r="F174" i="77"/>
  <c r="D172" i="77"/>
  <c r="E167" i="77"/>
  <c r="C165" i="77"/>
  <c r="F162" i="77"/>
  <c r="D160" i="77"/>
  <c r="E123" i="77"/>
  <c r="C121" i="77"/>
  <c r="F118" i="77"/>
  <c r="D116" i="77"/>
  <c r="C116" i="84"/>
  <c r="C118" i="84"/>
  <c r="C120" i="84"/>
  <c r="C122" i="84"/>
  <c r="C124" i="84"/>
  <c r="C158" i="84"/>
  <c r="C157" i="84"/>
  <c r="C156" i="84"/>
  <c r="C155" i="84"/>
  <c r="C160" i="84"/>
  <c r="C162" i="84"/>
  <c r="C164" i="84"/>
  <c r="C166" i="84"/>
  <c r="C168" i="84"/>
  <c r="C170" i="84"/>
  <c r="C172" i="84"/>
  <c r="C174" i="84"/>
  <c r="C176" i="84"/>
  <c r="C178" i="84"/>
  <c r="C180" i="84"/>
  <c r="C182" i="84"/>
  <c r="C184" i="84"/>
  <c r="C186" i="84"/>
  <c r="C188" i="84"/>
  <c r="C190" i="84"/>
  <c r="C192" i="84"/>
  <c r="C194" i="84"/>
  <c r="C196" i="84"/>
  <c r="C198" i="84"/>
  <c r="C200" i="84"/>
  <c r="C202" i="84"/>
  <c r="C204" i="84"/>
  <c r="C206" i="84"/>
  <c r="M125" i="78"/>
  <c r="B86" i="81"/>
  <c r="C16" i="81"/>
  <c r="E95" i="80"/>
  <c r="C8" i="81"/>
  <c r="C14" i="81"/>
  <c r="D102" i="80"/>
  <c r="F56" i="80"/>
  <c r="F102" i="80"/>
  <c r="E83" i="80"/>
  <c r="B92" i="81"/>
  <c r="C54" i="81"/>
  <c r="C70" i="81"/>
  <c r="C78" i="81"/>
  <c r="C90" i="81"/>
  <c r="E97" i="80"/>
  <c r="E85" i="80"/>
  <c r="E73" i="80"/>
  <c r="F101" i="80"/>
  <c r="D114" i="83"/>
  <c r="B9" i="81"/>
  <c r="B11" i="81"/>
  <c r="B53" i="81"/>
  <c r="B55" i="81"/>
  <c r="B65" i="81"/>
  <c r="B67" i="81"/>
  <c r="B73" i="81"/>
  <c r="B77" i="81"/>
  <c r="B85" i="81"/>
  <c r="B89" i="81"/>
  <c r="C11" i="81"/>
  <c r="C13" i="81"/>
  <c r="C17" i="81"/>
  <c r="C61" i="81"/>
  <c r="C69" i="81"/>
  <c r="C73" i="81"/>
  <c r="C83" i="81"/>
  <c r="C85" i="81"/>
  <c r="C91" i="81"/>
  <c r="E89" i="80"/>
  <c r="E77" i="80"/>
  <c r="D114" i="85"/>
  <c r="E101" i="80"/>
  <c r="D54" i="81"/>
  <c r="D56" i="81"/>
  <c r="D60" i="81"/>
  <c r="D68" i="81"/>
  <c r="D80" i="81"/>
  <c r="E14" i="81"/>
  <c r="E56" i="81"/>
  <c r="E80" i="81"/>
  <c r="E92" i="81"/>
  <c r="E94" i="81"/>
  <c r="F18" i="81"/>
  <c r="F54" i="81"/>
  <c r="F74" i="81"/>
  <c r="F86" i="81"/>
  <c r="F90" i="81"/>
  <c r="M125" i="79"/>
  <c r="E91" i="80"/>
  <c r="E79" i="80"/>
  <c r="D9" i="81"/>
  <c r="D53" i="81"/>
  <c r="D63" i="81"/>
  <c r="D71" i="81"/>
  <c r="D75" i="81"/>
  <c r="D83" i="81"/>
  <c r="D87" i="81"/>
  <c r="D101" i="81"/>
  <c r="E9" i="81"/>
  <c r="E15" i="81"/>
  <c r="E59" i="81"/>
  <c r="E61" i="81"/>
  <c r="E71" i="81"/>
  <c r="E83" i="81"/>
  <c r="F114" i="78"/>
  <c r="F59" i="81"/>
  <c r="F81" i="81"/>
  <c r="F87" i="81"/>
  <c r="C104" i="82"/>
  <c r="R22" i="37"/>
  <c r="E58" i="81"/>
  <c r="C60" i="81"/>
  <c r="E70" i="81"/>
  <c r="C72" i="81"/>
  <c r="D77" i="81"/>
  <c r="B79" i="81"/>
  <c r="E82" i="81"/>
  <c r="C84" i="81"/>
  <c r="D89" i="81"/>
  <c r="B18" i="81"/>
  <c r="F19" i="81"/>
  <c r="F125" i="81" s="1"/>
  <c r="E53" i="81"/>
  <c r="C55" i="81"/>
  <c r="B62" i="81"/>
  <c r="F63" i="81"/>
  <c r="E65" i="81"/>
  <c r="C67" i="81"/>
  <c r="D72" i="81"/>
  <c r="B74" i="81"/>
  <c r="F75" i="81"/>
  <c r="E77" i="81"/>
  <c r="C79" i="81"/>
  <c r="E89" i="81"/>
  <c r="D96" i="81"/>
  <c r="B98" i="81"/>
  <c r="F99" i="81"/>
  <c r="E101" i="81"/>
  <c r="C94" i="81"/>
  <c r="D99" i="81"/>
  <c r="F102" i="81"/>
  <c r="E68" i="81"/>
  <c r="B101" i="81"/>
  <c r="R56" i="37"/>
  <c r="R21" i="37"/>
  <c r="J28" i="37"/>
  <c r="F15" i="37"/>
  <c r="F18" i="80"/>
  <c r="M45" i="37"/>
  <c r="N16" i="87"/>
  <c r="N45" i="37"/>
  <c r="K64" i="37"/>
  <c r="C102" i="80"/>
  <c r="M125" i="68"/>
  <c r="R20" i="37"/>
  <c r="F51" i="37"/>
  <c r="F17" i="37"/>
  <c r="I64" i="37"/>
  <c r="J64" i="37"/>
  <c r="R58" i="37"/>
  <c r="F52" i="37"/>
  <c r="C101" i="80"/>
  <c r="C97" i="80"/>
  <c r="C91" i="80"/>
  <c r="C85" i="80"/>
  <c r="C79" i="80"/>
  <c r="C73" i="80"/>
  <c r="B12" i="81"/>
  <c r="D78" i="81"/>
  <c r="D90" i="81"/>
  <c r="F93" i="81"/>
  <c r="E95" i="81"/>
  <c r="C97" i="81"/>
  <c r="D102" i="81"/>
  <c r="M9" i="37"/>
  <c r="I28" i="37"/>
  <c r="B8" i="81"/>
  <c r="E102" i="80"/>
  <c r="D12" i="81"/>
  <c r="F71" i="81"/>
  <c r="F83" i="81"/>
  <c r="E85" i="81"/>
  <c r="C87" i="81"/>
  <c r="D92" i="81"/>
  <c r="F95" i="81"/>
  <c r="E97" i="81"/>
  <c r="C99" i="81"/>
  <c r="F9" i="81"/>
  <c r="D18" i="81"/>
  <c r="B52" i="81"/>
  <c r="F53" i="81"/>
  <c r="C57" i="81"/>
  <c r="D62" i="81"/>
  <c r="B64" i="81"/>
  <c r="F65" i="81"/>
  <c r="E67" i="81"/>
  <c r="B76" i="81"/>
  <c r="E79" i="81"/>
  <c r="C81" i="81"/>
  <c r="B88" i="81"/>
  <c r="E91" i="81"/>
  <c r="C93" i="81"/>
  <c r="B100" i="81"/>
  <c r="C10" i="81"/>
  <c r="D15" i="81"/>
  <c r="B17" i="81"/>
  <c r="D59" i="81"/>
  <c r="B61" i="81"/>
  <c r="F62" i="81"/>
  <c r="C66" i="81"/>
  <c r="D95" i="81"/>
  <c r="B97" i="81"/>
  <c r="F98" i="81"/>
  <c r="E100" i="81"/>
  <c r="C102" i="81"/>
  <c r="D13" i="81"/>
  <c r="B15" i="81"/>
  <c r="F16" i="81"/>
  <c r="C52" i="81"/>
  <c r="D57" i="81"/>
  <c r="B59" i="81"/>
  <c r="F60" i="81"/>
  <c r="C64" i="81"/>
  <c r="D69" i="81"/>
  <c r="B71" i="81"/>
  <c r="F72" i="81"/>
  <c r="C76" i="81"/>
  <c r="D81" i="81"/>
  <c r="B83" i="81"/>
  <c r="F84" i="81"/>
  <c r="C88" i="81"/>
  <c r="D93" i="81"/>
  <c r="B95" i="81"/>
  <c r="F96" i="81"/>
  <c r="N9" i="37"/>
  <c r="R57" i="37"/>
  <c r="F16" i="37"/>
  <c r="F53" i="37"/>
  <c r="D8" i="81"/>
  <c r="B10" i="81"/>
  <c r="B54" i="81"/>
  <c r="C59" i="81"/>
  <c r="D64" i="81"/>
  <c r="B66" i="81"/>
  <c r="E69" i="81"/>
  <c r="C71" i="81"/>
  <c r="D76" i="81"/>
  <c r="B78" i="81"/>
  <c r="F79" i="81"/>
  <c r="E81" i="81"/>
  <c r="D88" i="81"/>
  <c r="B90" i="81"/>
  <c r="E93" i="81"/>
  <c r="C95" i="81"/>
  <c r="D100" i="81"/>
  <c r="B102" i="81"/>
  <c r="Q16" i="87"/>
  <c r="K28" i="37"/>
  <c r="D101" i="80"/>
  <c r="F8" i="81"/>
  <c r="E10" i="81"/>
  <c r="C12" i="81"/>
  <c r="B19" i="81"/>
  <c r="F52" i="81"/>
  <c r="C56" i="81"/>
  <c r="D61" i="81"/>
  <c r="B63" i="81"/>
  <c r="F64" i="81"/>
  <c r="E66" i="81"/>
  <c r="C68" i="81"/>
  <c r="B75" i="81"/>
  <c r="F76" i="81"/>
  <c r="E78" i="81"/>
  <c r="C80" i="81"/>
  <c r="B87" i="81"/>
  <c r="E90" i="81"/>
  <c r="C92" i="81"/>
  <c r="D97" i="81"/>
  <c r="B99" i="81"/>
  <c r="F100" i="81"/>
  <c r="E102" i="81"/>
  <c r="F114" i="83"/>
  <c r="C9" i="81"/>
  <c r="D14" i="81"/>
  <c r="B16" i="81"/>
  <c r="F17" i="81"/>
  <c r="E19" i="81"/>
  <c r="E125" i="81" s="1"/>
  <c r="D58" i="81"/>
  <c r="F61" i="81"/>
  <c r="E63" i="81"/>
  <c r="C65" i="81"/>
  <c r="D70" i="81"/>
  <c r="B72" i="81"/>
  <c r="F73" i="81"/>
  <c r="C77" i="81"/>
  <c r="D82" i="81"/>
  <c r="B84" i="81"/>
  <c r="F85" i="81"/>
  <c r="E87" i="81"/>
  <c r="C89" i="81"/>
  <c r="D94" i="81"/>
  <c r="B96" i="81"/>
  <c r="F97" i="81"/>
  <c r="E99" i="81"/>
  <c r="C101" i="81"/>
  <c r="D11" i="81"/>
  <c r="B13" i="81"/>
  <c r="F14" i="81"/>
  <c r="E16" i="81"/>
  <c r="C18" i="81"/>
  <c r="D55" i="81"/>
  <c r="F58" i="81"/>
  <c r="E60" i="81"/>
  <c r="C62" i="81"/>
  <c r="D67" i="81"/>
  <c r="E72" i="81"/>
  <c r="C74" i="81"/>
  <c r="D79" i="81"/>
  <c r="B81" i="81"/>
  <c r="E84" i="81"/>
  <c r="C86" i="81"/>
  <c r="D91" i="81"/>
  <c r="B93" i="81"/>
  <c r="F94" i="81"/>
  <c r="E96" i="81"/>
  <c r="C98" i="81"/>
  <c r="E99" i="80"/>
  <c r="D98" i="80"/>
  <c r="E93" i="80"/>
  <c r="D92" i="80"/>
  <c r="E87" i="80"/>
  <c r="D86" i="80"/>
  <c r="E81" i="80"/>
  <c r="D80" i="80"/>
  <c r="E75" i="80"/>
  <c r="D74" i="80"/>
  <c r="E69" i="80"/>
  <c r="D68" i="80"/>
  <c r="C67" i="80"/>
  <c r="E63" i="80"/>
  <c r="D62" i="80"/>
  <c r="C61" i="80"/>
  <c r="E57" i="80"/>
  <c r="D56" i="80"/>
  <c r="C55" i="80"/>
  <c r="E19" i="80"/>
  <c r="E125" i="80" s="1"/>
  <c r="D18" i="80"/>
  <c r="C17" i="80"/>
  <c r="E13" i="80"/>
  <c r="D12" i="80"/>
  <c r="C11" i="80"/>
  <c r="F95" i="80"/>
  <c r="F89" i="80"/>
  <c r="F83" i="80"/>
  <c r="F77" i="80"/>
  <c r="F71" i="80"/>
  <c r="F65" i="80"/>
  <c r="F59" i="80"/>
  <c r="F53" i="80"/>
  <c r="F15" i="80"/>
  <c r="F9" i="80"/>
  <c r="E100" i="80"/>
  <c r="D99" i="80"/>
  <c r="C98" i="80"/>
  <c r="E94" i="80"/>
  <c r="D93" i="80"/>
  <c r="C92" i="80"/>
  <c r="E88" i="80"/>
  <c r="D87" i="80"/>
  <c r="C86" i="80"/>
  <c r="E82" i="80"/>
  <c r="D81" i="80"/>
  <c r="C80" i="80"/>
  <c r="E76" i="80"/>
  <c r="D75" i="80"/>
  <c r="C74" i="80"/>
  <c r="E70" i="80"/>
  <c r="D69" i="80"/>
  <c r="C68" i="80"/>
  <c r="E64" i="80"/>
  <c r="D63" i="80"/>
  <c r="C62" i="80"/>
  <c r="E58" i="80"/>
  <c r="D57" i="80"/>
  <c r="C56" i="80"/>
  <c r="E52" i="80"/>
  <c r="D19" i="80"/>
  <c r="D125" i="80" s="1"/>
  <c r="C18" i="80"/>
  <c r="E14" i="80"/>
  <c r="D13" i="80"/>
  <c r="C12" i="80"/>
  <c r="E8" i="80"/>
  <c r="E114" i="77"/>
  <c r="F96" i="80"/>
  <c r="F90" i="80"/>
  <c r="F84" i="80"/>
  <c r="F78" i="80"/>
  <c r="F72" i="80"/>
  <c r="F66" i="80"/>
  <c r="F60" i="80"/>
  <c r="F54" i="80"/>
  <c r="F16" i="80"/>
  <c r="F10" i="80"/>
  <c r="D100" i="80"/>
  <c r="C99" i="80"/>
  <c r="D94" i="80"/>
  <c r="C93" i="80"/>
  <c r="D88" i="80"/>
  <c r="C87" i="80"/>
  <c r="D82" i="80"/>
  <c r="C81" i="80"/>
  <c r="D76" i="80"/>
  <c r="C75" i="80"/>
  <c r="E71" i="80"/>
  <c r="D70" i="80"/>
  <c r="C69" i="80"/>
  <c r="E65" i="80"/>
  <c r="D64" i="80"/>
  <c r="C63" i="80"/>
  <c r="E59" i="80"/>
  <c r="D58" i="80"/>
  <c r="C57" i="80"/>
  <c r="E53" i="80"/>
  <c r="D52" i="80"/>
  <c r="C19" i="80"/>
  <c r="C125" i="80" s="1"/>
  <c r="E15" i="80"/>
  <c r="D14" i="80"/>
  <c r="C13" i="80"/>
  <c r="E9" i="80"/>
  <c r="D8" i="80"/>
  <c r="D114" i="77"/>
  <c r="F97" i="80"/>
  <c r="F91" i="80"/>
  <c r="F85" i="80"/>
  <c r="F79" i="80"/>
  <c r="F73" i="80"/>
  <c r="F67" i="80"/>
  <c r="F61" i="80"/>
  <c r="F55" i="80"/>
  <c r="F17" i="80"/>
  <c r="F11" i="80"/>
  <c r="C100" i="80"/>
  <c r="E96" i="80"/>
  <c r="D95" i="80"/>
  <c r="C94" i="80"/>
  <c r="E90" i="80"/>
  <c r="D89" i="80"/>
  <c r="C88" i="80"/>
  <c r="E84" i="80"/>
  <c r="D83" i="80"/>
  <c r="C82" i="80"/>
  <c r="E78" i="80"/>
  <c r="D77" i="80"/>
  <c r="C76" i="80"/>
  <c r="E72" i="80"/>
  <c r="D71" i="80"/>
  <c r="C70" i="80"/>
  <c r="E66" i="80"/>
  <c r="D65" i="80"/>
  <c r="C64" i="80"/>
  <c r="E60" i="80"/>
  <c r="D59" i="80"/>
  <c r="C58" i="80"/>
  <c r="E54" i="80"/>
  <c r="D53" i="80"/>
  <c r="C52" i="80"/>
  <c r="E16" i="80"/>
  <c r="D15" i="80"/>
  <c r="C14" i="80"/>
  <c r="E10" i="80"/>
  <c r="D9" i="80"/>
  <c r="C114" i="77"/>
  <c r="C8" i="80"/>
  <c r="F98" i="80"/>
  <c r="F92" i="80"/>
  <c r="F86" i="80"/>
  <c r="F80" i="80"/>
  <c r="F74" i="80"/>
  <c r="F68" i="80"/>
  <c r="F62" i="80"/>
  <c r="F12" i="80"/>
  <c r="D96" i="80"/>
  <c r="C95" i="80"/>
  <c r="D90" i="80"/>
  <c r="C89" i="80"/>
  <c r="D84" i="80"/>
  <c r="C83" i="80"/>
  <c r="D78" i="80"/>
  <c r="C77" i="80"/>
  <c r="D72" i="80"/>
  <c r="C71" i="80"/>
  <c r="E67" i="80"/>
  <c r="D66" i="80"/>
  <c r="C65" i="80"/>
  <c r="E61" i="80"/>
  <c r="D60" i="80"/>
  <c r="C59" i="80"/>
  <c r="E55" i="80"/>
  <c r="D54" i="80"/>
  <c r="C53" i="80"/>
  <c r="E17" i="80"/>
  <c r="D16" i="80"/>
  <c r="C15" i="80"/>
  <c r="E11" i="80"/>
  <c r="D10" i="80"/>
  <c r="C9" i="80"/>
  <c r="H114" i="77"/>
  <c r="F99" i="80"/>
  <c r="F93" i="80"/>
  <c r="F87" i="80"/>
  <c r="F81" i="80"/>
  <c r="F75" i="80"/>
  <c r="F69" i="80"/>
  <c r="F63" i="80"/>
  <c r="F57" i="80"/>
  <c r="F19" i="80"/>
  <c r="F125" i="80" s="1"/>
  <c r="F13" i="80"/>
  <c r="E98" i="80"/>
  <c r="D97" i="80"/>
  <c r="C96" i="80"/>
  <c r="E92" i="80"/>
  <c r="D91" i="80"/>
  <c r="C90" i="80"/>
  <c r="E86" i="80"/>
  <c r="D85" i="80"/>
  <c r="C84" i="80"/>
  <c r="E80" i="80"/>
  <c r="D79" i="80"/>
  <c r="C78" i="80"/>
  <c r="E74" i="80"/>
  <c r="D73" i="80"/>
  <c r="C72" i="80"/>
  <c r="E68" i="80"/>
  <c r="D67" i="80"/>
  <c r="C66" i="80"/>
  <c r="E62" i="80"/>
  <c r="D61" i="80"/>
  <c r="C60" i="80"/>
  <c r="E56" i="80"/>
  <c r="D55" i="80"/>
  <c r="C54" i="80"/>
  <c r="E18" i="80"/>
  <c r="D17" i="80"/>
  <c r="C16" i="80"/>
  <c r="E12" i="80"/>
  <c r="D11" i="80"/>
  <c r="C10" i="80"/>
  <c r="F100" i="80"/>
  <c r="F94" i="80"/>
  <c r="F88" i="80"/>
  <c r="F82" i="80"/>
  <c r="F76" i="80"/>
  <c r="F70" i="80"/>
  <c r="F64" i="80"/>
  <c r="F58" i="80"/>
  <c r="F52" i="80"/>
  <c r="F14" i="80"/>
  <c r="F8" i="80"/>
  <c r="F114" i="77"/>
  <c r="F13" i="81"/>
  <c r="E8" i="81"/>
  <c r="E114" i="84"/>
  <c r="F11" i="81"/>
  <c r="B14" i="81"/>
  <c r="E52" i="81"/>
  <c r="F55" i="81"/>
  <c r="B58" i="81"/>
  <c r="E64" i="81"/>
  <c r="F67" i="81"/>
  <c r="B70" i="81"/>
  <c r="D74" i="81"/>
  <c r="E76" i="81"/>
  <c r="D52" i="81"/>
  <c r="E54" i="81"/>
  <c r="F57" i="81"/>
  <c r="B60" i="81"/>
  <c r="F12" i="81"/>
  <c r="D19" i="81"/>
  <c r="D125" i="81" s="1"/>
  <c r="F56" i="81"/>
  <c r="F68" i="81"/>
  <c r="B82" i="81"/>
  <c r="D86" i="81"/>
  <c r="E88" i="81"/>
  <c r="F91" i="81"/>
  <c r="B94" i="81"/>
  <c r="C96" i="81"/>
  <c r="D98" i="81"/>
  <c r="D10" i="81"/>
  <c r="E12" i="81"/>
  <c r="E11" i="81"/>
  <c r="F10" i="81"/>
  <c r="C15" i="81"/>
  <c r="D17" i="81"/>
  <c r="F15" i="81"/>
  <c r="D66" i="81"/>
  <c r="C19" i="81"/>
  <c r="C125" i="81" s="1"/>
  <c r="E55" i="81"/>
  <c r="C63" i="81"/>
  <c r="D65" i="81"/>
  <c r="F70" i="81"/>
  <c r="C75" i="81"/>
  <c r="F69" i="81"/>
  <c r="F80" i="81"/>
  <c r="B57" i="81"/>
  <c r="F66" i="81"/>
  <c r="B69" i="81"/>
  <c r="D73" i="81"/>
  <c r="E75" i="81"/>
  <c r="F78" i="81"/>
  <c r="D85" i="81"/>
  <c r="E13" i="81"/>
  <c r="C53" i="81"/>
  <c r="F82" i="81"/>
  <c r="F92" i="81"/>
  <c r="E57" i="81"/>
  <c r="C100" i="81"/>
  <c r="D16" i="81"/>
  <c r="E18" i="81"/>
  <c r="B56" i="81"/>
  <c r="C58" i="81"/>
  <c r="E62" i="81"/>
  <c r="B68" i="81"/>
  <c r="E74" i="81"/>
  <c r="F77" i="81"/>
  <c r="B80" i="81"/>
  <c r="C82" i="81"/>
  <c r="D84" i="81"/>
  <c r="E86" i="81"/>
  <c r="F89" i="81"/>
  <c r="E98" i="81"/>
  <c r="F101" i="81"/>
  <c r="B91" i="81"/>
  <c r="E73" i="81"/>
  <c r="E17" i="81"/>
  <c r="F88" i="81"/>
  <c r="C104" i="85"/>
  <c r="D114" i="82"/>
  <c r="D104" i="82"/>
  <c r="H114" i="82"/>
  <c r="H104" i="82"/>
  <c r="S16" i="87" s="1"/>
  <c r="I104" i="82"/>
  <c r="T16" i="87" s="1"/>
  <c r="C114" i="82"/>
  <c r="O16" i="87"/>
  <c r="E114" i="82"/>
  <c r="E104" i="82"/>
  <c r="J104" i="82"/>
  <c r="K104" i="82"/>
  <c r="B114" i="82"/>
  <c r="L16" i="87"/>
  <c r="B104" i="82"/>
  <c r="M125" i="82"/>
  <c r="F104" i="82"/>
  <c r="F105" i="82" s="1"/>
  <c r="F114" i="82"/>
  <c r="H104" i="83"/>
  <c r="S13" i="87" s="1"/>
  <c r="H114" i="83"/>
  <c r="M125" i="83"/>
  <c r="K104" i="83"/>
  <c r="E104" i="83"/>
  <c r="E114" i="83"/>
  <c r="I104" i="83"/>
  <c r="T13" i="87" s="1"/>
  <c r="D104" i="83"/>
  <c r="J104" i="83"/>
  <c r="F104" i="83"/>
  <c r="F105" i="83" s="1"/>
  <c r="Q13" i="87"/>
  <c r="L13" i="87"/>
  <c r="B114" i="83"/>
  <c r="B104" i="83"/>
  <c r="N13" i="87"/>
  <c r="C114" i="83"/>
  <c r="O13" i="87"/>
  <c r="C104" i="83"/>
  <c r="B104" i="84"/>
  <c r="B114" i="84"/>
  <c r="C114" i="84"/>
  <c r="C104" i="84"/>
  <c r="N10" i="87"/>
  <c r="L10" i="87"/>
  <c r="M125" i="84"/>
  <c r="D114" i="84"/>
  <c r="D104" i="84"/>
  <c r="Q10" i="87"/>
  <c r="E104" i="84"/>
  <c r="H114" i="84"/>
  <c r="H104" i="84"/>
  <c r="S10" i="87" s="1"/>
  <c r="O10" i="87"/>
  <c r="K104" i="84"/>
  <c r="F104" i="84"/>
  <c r="F105" i="84" s="1"/>
  <c r="F114" i="84"/>
  <c r="I104" i="84"/>
  <c r="T10" i="87" s="1"/>
  <c r="J104" i="84"/>
  <c r="E114" i="85"/>
  <c r="E104" i="85"/>
  <c r="H114" i="85"/>
  <c r="H104" i="85"/>
  <c r="S7" i="87" s="1"/>
  <c r="O7" i="87"/>
  <c r="I104" i="85"/>
  <c r="T7" i="87" s="1"/>
  <c r="J104" i="85"/>
  <c r="Q7" i="87"/>
  <c r="F104" i="85"/>
  <c r="F105" i="85" s="1"/>
  <c r="K104" i="85"/>
  <c r="M125" i="85"/>
  <c r="B104" i="85"/>
  <c r="B114" i="85"/>
  <c r="D104" i="85"/>
  <c r="C114" i="85"/>
  <c r="L7" i="87"/>
  <c r="N7" i="87"/>
  <c r="F114" i="85"/>
  <c r="C114" i="79"/>
  <c r="B104" i="79"/>
  <c r="D104" i="79"/>
  <c r="F9" i="41" s="1"/>
  <c r="D114" i="79"/>
  <c r="E104" i="79"/>
  <c r="G9" i="41" s="1"/>
  <c r="E114" i="79"/>
  <c r="H104" i="79"/>
  <c r="J9" i="41" s="1"/>
  <c r="H114" i="79"/>
  <c r="C104" i="79"/>
  <c r="E9" i="41" s="1"/>
  <c r="F104" i="79"/>
  <c r="K104" i="79"/>
  <c r="M9" i="41" s="1"/>
  <c r="J104" i="79"/>
  <c r="L9" i="41" s="1"/>
  <c r="B114" i="79"/>
  <c r="I104" i="79"/>
  <c r="K9" i="41" s="1"/>
  <c r="F114" i="79"/>
  <c r="I104" i="78"/>
  <c r="K8" i="41" s="1"/>
  <c r="C104" i="78"/>
  <c r="E8" i="41" s="1"/>
  <c r="C114" i="78"/>
  <c r="J104" i="78"/>
  <c r="L8" i="41" s="1"/>
  <c r="D114" i="78"/>
  <c r="D104" i="78"/>
  <c r="F8" i="41" s="1"/>
  <c r="E114" i="78"/>
  <c r="E104" i="78"/>
  <c r="G8" i="41" s="1"/>
  <c r="H114" i="78"/>
  <c r="F104" i="78"/>
  <c r="K104" i="78"/>
  <c r="M8" i="41" s="1"/>
  <c r="B114" i="78"/>
  <c r="B104" i="78"/>
  <c r="D8" i="41" s="1"/>
  <c r="H104" i="78"/>
  <c r="J8" i="41" s="1"/>
  <c r="B104" i="68"/>
  <c r="F114" i="68"/>
  <c r="F104" i="68"/>
  <c r="K104" i="68"/>
  <c r="M7" i="41" s="1"/>
  <c r="B114" i="68"/>
  <c r="D104" i="68"/>
  <c r="F7" i="41" s="1"/>
  <c r="H104" i="68"/>
  <c r="J7" i="41" s="1"/>
  <c r="H114" i="68"/>
  <c r="D114" i="68"/>
  <c r="E104" i="68"/>
  <c r="G7" i="41" s="1"/>
  <c r="E114" i="68"/>
  <c r="I104" i="68"/>
  <c r="K7" i="41" s="1"/>
  <c r="J104" i="68"/>
  <c r="L7" i="41" s="1"/>
  <c r="C114" i="68"/>
  <c r="C104" i="68"/>
  <c r="E7" i="41" s="1"/>
  <c r="H104" i="57"/>
  <c r="I6" i="86" s="1"/>
  <c r="I104" i="57"/>
  <c r="J6" i="86" s="1"/>
  <c r="J104" i="57"/>
  <c r="K6" i="86" s="1"/>
  <c r="K104" i="57"/>
  <c r="L6" i="86" s="1"/>
  <c r="E18" i="41" l="1"/>
  <c r="F18" i="41"/>
  <c r="G125" i="79"/>
  <c r="N125" i="79" s="1"/>
  <c r="G18" i="41"/>
  <c r="G125" i="83"/>
  <c r="N125" i="83" s="1"/>
  <c r="O189" i="68"/>
  <c r="H18" i="41"/>
  <c r="O191" i="78"/>
  <c r="G25" i="41"/>
  <c r="O193" i="79"/>
  <c r="O159" i="79"/>
  <c r="O167" i="78"/>
  <c r="O195" i="79"/>
  <c r="O191" i="79"/>
  <c r="O179" i="79"/>
  <c r="O94" i="81"/>
  <c r="O200" i="68"/>
  <c r="O176" i="68"/>
  <c r="O119" i="79"/>
  <c r="O161" i="79"/>
  <c r="O169" i="79"/>
  <c r="O165" i="79"/>
  <c r="O165" i="78"/>
  <c r="K11" i="41"/>
  <c r="O168" i="78"/>
  <c r="O164" i="68"/>
  <c r="O203" i="78"/>
  <c r="O123" i="78"/>
  <c r="O175" i="79"/>
  <c r="O174" i="68"/>
  <c r="O206" i="78"/>
  <c r="O91" i="81"/>
  <c r="O14" i="81"/>
  <c r="E25" i="41"/>
  <c r="O192" i="78"/>
  <c r="O188" i="68"/>
  <c r="O179" i="78"/>
  <c r="O118" i="68"/>
  <c r="O171" i="79"/>
  <c r="O114" i="78"/>
  <c r="O83" i="81"/>
  <c r="O121" i="78"/>
  <c r="O195" i="68"/>
  <c r="O198" i="68"/>
  <c r="O189" i="78"/>
  <c r="O205" i="79"/>
  <c r="O183" i="68"/>
  <c r="O81" i="81"/>
  <c r="H25" i="41"/>
  <c r="O93" i="81"/>
  <c r="O171" i="68"/>
  <c r="O120" i="68"/>
  <c r="Q14" i="41" s="1"/>
  <c r="O56" i="81"/>
  <c r="O165" i="68"/>
  <c r="O80" i="81"/>
  <c r="M11" i="41"/>
  <c r="F25" i="41"/>
  <c r="O68" i="81"/>
  <c r="O167" i="68"/>
  <c r="O159" i="68"/>
  <c r="J11" i="41"/>
  <c r="L11" i="41"/>
  <c r="O95" i="81"/>
  <c r="O104" i="83"/>
  <c r="Y13" i="87" s="1"/>
  <c r="O71" i="81"/>
  <c r="O59" i="81"/>
  <c r="O104" i="78"/>
  <c r="Q8" i="41" s="1"/>
  <c r="F105" i="78"/>
  <c r="H8" i="41"/>
  <c r="O114" i="79"/>
  <c r="O69" i="81"/>
  <c r="O201" i="68"/>
  <c r="O121" i="68"/>
  <c r="O186" i="68"/>
  <c r="O177" i="78"/>
  <c r="O185" i="79"/>
  <c r="F105" i="79"/>
  <c r="H9" i="41"/>
  <c r="O114" i="82"/>
  <c r="O57" i="81"/>
  <c r="O60" i="81"/>
  <c r="O177" i="68"/>
  <c r="O204" i="78"/>
  <c r="O124" i="78"/>
  <c r="O162" i="68"/>
  <c r="O201" i="78"/>
  <c r="O115" i="68"/>
  <c r="O201" i="79"/>
  <c r="O123" i="79"/>
  <c r="F105" i="68"/>
  <c r="H7" i="41"/>
  <c r="F105" i="77"/>
  <c r="H6" i="41"/>
  <c r="E105" i="77"/>
  <c r="G6" i="41"/>
  <c r="G11" i="41" s="1"/>
  <c r="C105" i="77"/>
  <c r="E6" i="41"/>
  <c r="E11" i="41" s="1"/>
  <c r="D105" i="77"/>
  <c r="F6" i="41"/>
  <c r="F11" i="41" s="1"/>
  <c r="O104" i="79"/>
  <c r="Q9" i="41" s="1"/>
  <c r="O104" i="68"/>
  <c r="Q7" i="41" s="1"/>
  <c r="J105" i="78"/>
  <c r="C105" i="79"/>
  <c r="D105" i="79"/>
  <c r="E7" i="87"/>
  <c r="D105" i="85"/>
  <c r="V7" i="87"/>
  <c r="K105" i="85"/>
  <c r="F7" i="87"/>
  <c r="E105" i="85"/>
  <c r="E10" i="87"/>
  <c r="D105" i="84"/>
  <c r="E13" i="87"/>
  <c r="D105" i="83"/>
  <c r="V13" i="87"/>
  <c r="K105" i="83"/>
  <c r="F16" i="87"/>
  <c r="E105" i="82"/>
  <c r="O82" i="81"/>
  <c r="O84" i="81"/>
  <c r="O72" i="81"/>
  <c r="O16" i="81"/>
  <c r="O54" i="81"/>
  <c r="O15" i="81"/>
  <c r="O17" i="81"/>
  <c r="O64" i="81"/>
  <c r="O52" i="81"/>
  <c r="O74" i="81"/>
  <c r="D16" i="87"/>
  <c r="C105" i="82"/>
  <c r="O85" i="81"/>
  <c r="O65" i="81"/>
  <c r="O9" i="81"/>
  <c r="O200" i="84"/>
  <c r="O192" i="84"/>
  <c r="O184" i="84"/>
  <c r="O176" i="84"/>
  <c r="O168" i="84"/>
  <c r="O160" i="84"/>
  <c r="O158" i="84"/>
  <c r="O118" i="84"/>
  <c r="O203" i="84"/>
  <c r="O195" i="84"/>
  <c r="O187" i="84"/>
  <c r="O179" i="84"/>
  <c r="O171" i="84"/>
  <c r="O163" i="84"/>
  <c r="O123" i="84"/>
  <c r="O115" i="84"/>
  <c r="O199" i="82"/>
  <c r="O191" i="82"/>
  <c r="O183" i="82"/>
  <c r="O175" i="82"/>
  <c r="O167" i="82"/>
  <c r="O159" i="82"/>
  <c r="O119" i="82"/>
  <c r="O204" i="83"/>
  <c r="O196" i="83"/>
  <c r="O188" i="83"/>
  <c r="O180" i="83"/>
  <c r="O172" i="83"/>
  <c r="O164" i="83"/>
  <c r="O155" i="83"/>
  <c r="O122" i="83"/>
  <c r="O200" i="82"/>
  <c r="O192" i="82"/>
  <c r="O184" i="82"/>
  <c r="O176" i="82"/>
  <c r="O168" i="82"/>
  <c r="O160" i="82"/>
  <c r="O158" i="82"/>
  <c r="O118" i="82"/>
  <c r="O201" i="83"/>
  <c r="O193" i="83"/>
  <c r="O185" i="83"/>
  <c r="O177" i="83"/>
  <c r="O169" i="83"/>
  <c r="O161" i="83"/>
  <c r="O121" i="83"/>
  <c r="O205" i="78"/>
  <c r="O175" i="68"/>
  <c r="O202" i="85"/>
  <c r="O194" i="85"/>
  <c r="O186" i="85"/>
  <c r="O178" i="85"/>
  <c r="O170" i="85"/>
  <c r="O162" i="85"/>
  <c r="O157" i="85"/>
  <c r="O120" i="85"/>
  <c r="O190" i="78"/>
  <c r="O195" i="78"/>
  <c r="O185" i="68"/>
  <c r="O200" i="79"/>
  <c r="O192" i="79"/>
  <c r="O184" i="79"/>
  <c r="O176" i="79"/>
  <c r="O168" i="79"/>
  <c r="O160" i="79"/>
  <c r="O158" i="79"/>
  <c r="O118" i="79"/>
  <c r="O188" i="78"/>
  <c r="O184" i="68"/>
  <c r="O163" i="78"/>
  <c r="O186" i="78"/>
  <c r="O206" i="68"/>
  <c r="O156" i="68"/>
  <c r="O185" i="78"/>
  <c r="O193" i="68"/>
  <c r="O203" i="68"/>
  <c r="O173" i="79"/>
  <c r="O194" i="78"/>
  <c r="O158" i="78"/>
  <c r="O199" i="85"/>
  <c r="O191" i="85"/>
  <c r="O183" i="85"/>
  <c r="O175" i="85"/>
  <c r="O167" i="85"/>
  <c r="O159" i="85"/>
  <c r="O119" i="85"/>
  <c r="O196" i="78"/>
  <c r="O116" i="78"/>
  <c r="O180" i="68"/>
  <c r="O191" i="68"/>
  <c r="O115" i="79"/>
  <c r="O202" i="68"/>
  <c r="G125" i="78"/>
  <c r="N125" i="78" s="1"/>
  <c r="N19" i="78"/>
  <c r="F105" i="57"/>
  <c r="E105" i="57"/>
  <c r="C105" i="68"/>
  <c r="D105" i="78"/>
  <c r="J105" i="79"/>
  <c r="E105" i="79"/>
  <c r="O114" i="85"/>
  <c r="D10" i="87"/>
  <c r="C105" i="84"/>
  <c r="D13" i="87"/>
  <c r="C105" i="83"/>
  <c r="D7" i="87"/>
  <c r="C105" i="85"/>
  <c r="O102" i="81"/>
  <c r="O90" i="81"/>
  <c r="O78" i="81"/>
  <c r="O66" i="81"/>
  <c r="O10" i="81"/>
  <c r="O76" i="81"/>
  <c r="O8" i="81"/>
  <c r="O62" i="81"/>
  <c r="O18" i="81"/>
  <c r="O79" i="81"/>
  <c r="O77" i="81"/>
  <c r="O55" i="81"/>
  <c r="O206" i="84"/>
  <c r="O198" i="84"/>
  <c r="O190" i="84"/>
  <c r="O182" i="84"/>
  <c r="O174" i="84"/>
  <c r="O166" i="84"/>
  <c r="O155" i="84"/>
  <c r="O124" i="84"/>
  <c r="O116" i="84"/>
  <c r="O201" i="84"/>
  <c r="O193" i="84"/>
  <c r="O185" i="84"/>
  <c r="O177" i="84"/>
  <c r="O169" i="84"/>
  <c r="O161" i="84"/>
  <c r="O121" i="84"/>
  <c r="O205" i="82"/>
  <c r="O197" i="82"/>
  <c r="O189" i="82"/>
  <c r="O181" i="82"/>
  <c r="O173" i="82"/>
  <c r="O165" i="82"/>
  <c r="O117" i="82"/>
  <c r="O202" i="83"/>
  <c r="O194" i="83"/>
  <c r="O186" i="83"/>
  <c r="O178" i="83"/>
  <c r="O170" i="83"/>
  <c r="O162" i="83"/>
  <c r="O157" i="83"/>
  <c r="O120" i="83"/>
  <c r="O206" i="82"/>
  <c r="O198" i="82"/>
  <c r="O190" i="82"/>
  <c r="O182" i="82"/>
  <c r="O174" i="82"/>
  <c r="O166" i="82"/>
  <c r="O157" i="82"/>
  <c r="O124" i="82"/>
  <c r="O116" i="82"/>
  <c r="O199" i="83"/>
  <c r="O191" i="83"/>
  <c r="O183" i="83"/>
  <c r="O175" i="83"/>
  <c r="O167" i="83"/>
  <c r="O159" i="83"/>
  <c r="O119" i="83"/>
  <c r="O193" i="78"/>
  <c r="O183" i="78"/>
  <c r="O163" i="68"/>
  <c r="O200" i="85"/>
  <c r="O192" i="85"/>
  <c r="O184" i="85"/>
  <c r="O176" i="85"/>
  <c r="O168" i="85"/>
  <c r="O160" i="85"/>
  <c r="O158" i="85"/>
  <c r="O118" i="85"/>
  <c r="O178" i="78"/>
  <c r="O173" i="68"/>
  <c r="O179" i="68"/>
  <c r="O206" i="79"/>
  <c r="O198" i="79"/>
  <c r="O190" i="79"/>
  <c r="O182" i="79"/>
  <c r="O174" i="79"/>
  <c r="O166" i="79"/>
  <c r="O157" i="79"/>
  <c r="O124" i="79"/>
  <c r="O116" i="79"/>
  <c r="O176" i="78"/>
  <c r="O172" i="68"/>
  <c r="O199" i="78"/>
  <c r="O119" i="78"/>
  <c r="O174" i="78"/>
  <c r="O194" i="68"/>
  <c r="O155" i="68"/>
  <c r="O203" i="79"/>
  <c r="O173" i="78"/>
  <c r="O181" i="68"/>
  <c r="O123" i="68"/>
  <c r="O199" i="79"/>
  <c r="O163" i="79"/>
  <c r="O157" i="78"/>
  <c r="O205" i="85"/>
  <c r="O197" i="85"/>
  <c r="O189" i="85"/>
  <c r="O181" i="85"/>
  <c r="O173" i="85"/>
  <c r="O165" i="85"/>
  <c r="O117" i="85"/>
  <c r="O184" i="78"/>
  <c r="O168" i="68"/>
  <c r="O197" i="79"/>
  <c r="O170" i="78"/>
  <c r="O178" i="68"/>
  <c r="G125" i="84"/>
  <c r="N125" i="84" s="1"/>
  <c r="N19" i="84"/>
  <c r="G125" i="82"/>
  <c r="N125" i="82" s="1"/>
  <c r="N19" i="82"/>
  <c r="G125" i="68"/>
  <c r="N125" i="68" s="1"/>
  <c r="N19" i="68"/>
  <c r="D105" i="57"/>
  <c r="E105" i="68"/>
  <c r="O114" i="68"/>
  <c r="E105" i="78"/>
  <c r="K105" i="79"/>
  <c r="U10" i="87"/>
  <c r="J105" i="84"/>
  <c r="V10" i="87"/>
  <c r="K105" i="84"/>
  <c r="F10" i="87"/>
  <c r="E105" i="84"/>
  <c r="V16" i="87"/>
  <c r="K105" i="82"/>
  <c r="O58" i="81"/>
  <c r="O13" i="81"/>
  <c r="O99" i="81"/>
  <c r="O87" i="81"/>
  <c r="O75" i="81"/>
  <c r="O63" i="81"/>
  <c r="O19" i="81"/>
  <c r="O97" i="81"/>
  <c r="O61" i="81"/>
  <c r="O88" i="81"/>
  <c r="O101" i="81"/>
  <c r="O98" i="81"/>
  <c r="O73" i="81"/>
  <c r="O53" i="81"/>
  <c r="O92" i="81"/>
  <c r="O204" i="84"/>
  <c r="O196" i="84"/>
  <c r="O188" i="84"/>
  <c r="O180" i="84"/>
  <c r="O172" i="84"/>
  <c r="O164" i="84"/>
  <c r="O156" i="84"/>
  <c r="O122" i="84"/>
  <c r="O199" i="84"/>
  <c r="O191" i="84"/>
  <c r="O183" i="84"/>
  <c r="O175" i="84"/>
  <c r="O167" i="84"/>
  <c r="O159" i="84"/>
  <c r="O119" i="84"/>
  <c r="O203" i="82"/>
  <c r="O195" i="82"/>
  <c r="O187" i="82"/>
  <c r="O179" i="82"/>
  <c r="O171" i="82"/>
  <c r="O163" i="82"/>
  <c r="O123" i="82"/>
  <c r="O115" i="82"/>
  <c r="O200" i="83"/>
  <c r="O192" i="83"/>
  <c r="O184" i="83"/>
  <c r="O176" i="83"/>
  <c r="O168" i="83"/>
  <c r="O160" i="83"/>
  <c r="O158" i="83"/>
  <c r="O118" i="83"/>
  <c r="O204" i="82"/>
  <c r="O196" i="82"/>
  <c r="O188" i="82"/>
  <c r="O180" i="82"/>
  <c r="O172" i="82"/>
  <c r="O164" i="82"/>
  <c r="O155" i="82"/>
  <c r="O122" i="82"/>
  <c r="O205" i="83"/>
  <c r="O197" i="83"/>
  <c r="O189" i="83"/>
  <c r="O181" i="83"/>
  <c r="O173" i="83"/>
  <c r="O165" i="83"/>
  <c r="O117" i="83"/>
  <c r="O181" i="78"/>
  <c r="O180" i="78"/>
  <c r="O199" i="68"/>
  <c r="O119" i="68"/>
  <c r="O206" i="85"/>
  <c r="O198" i="85"/>
  <c r="O190" i="85"/>
  <c r="O182" i="85"/>
  <c r="O174" i="85"/>
  <c r="O166" i="85"/>
  <c r="O155" i="85"/>
  <c r="O124" i="85"/>
  <c r="O116" i="85"/>
  <c r="O166" i="78"/>
  <c r="O161" i="68"/>
  <c r="O204" i="79"/>
  <c r="O196" i="79"/>
  <c r="O188" i="79"/>
  <c r="O180" i="79"/>
  <c r="O172" i="79"/>
  <c r="O164" i="79"/>
  <c r="O156" i="79"/>
  <c r="O122" i="79"/>
  <c r="O164" i="78"/>
  <c r="O160" i="68"/>
  <c r="O187" i="78"/>
  <c r="O162" i="78"/>
  <c r="O182" i="68"/>
  <c r="O157" i="68"/>
  <c r="O181" i="79"/>
  <c r="O161" i="78"/>
  <c r="O169" i="68"/>
  <c r="O187" i="79"/>
  <c r="O121" i="79"/>
  <c r="O155" i="78"/>
  <c r="O203" i="85"/>
  <c r="O195" i="85"/>
  <c r="O187" i="85"/>
  <c r="O179" i="85"/>
  <c r="O171" i="85"/>
  <c r="O163" i="85"/>
  <c r="O123" i="85"/>
  <c r="O115" i="85"/>
  <c r="O172" i="78"/>
  <c r="O204" i="68"/>
  <c r="O124" i="68"/>
  <c r="O183" i="79"/>
  <c r="O190" i="68"/>
  <c r="O166" i="68"/>
  <c r="O104" i="85"/>
  <c r="Y7" i="87" s="1"/>
  <c r="O104" i="82"/>
  <c r="Y16" i="87" s="1"/>
  <c r="J105" i="57"/>
  <c r="K105" i="57"/>
  <c r="C105" i="57"/>
  <c r="J105" i="68"/>
  <c r="D105" i="68"/>
  <c r="K105" i="68"/>
  <c r="K105" i="78"/>
  <c r="C105" i="78"/>
  <c r="U7" i="87"/>
  <c r="J105" i="85"/>
  <c r="O114" i="84"/>
  <c r="O114" i="83"/>
  <c r="U13" i="87"/>
  <c r="J105" i="83"/>
  <c r="F13" i="87"/>
  <c r="E105" i="83"/>
  <c r="U16" i="87"/>
  <c r="J105" i="82"/>
  <c r="E16" i="87"/>
  <c r="D105" i="82"/>
  <c r="O70" i="81"/>
  <c r="O96" i="81"/>
  <c r="O100" i="81"/>
  <c r="O12" i="81"/>
  <c r="O89" i="81"/>
  <c r="O67" i="81"/>
  <c r="O11" i="81"/>
  <c r="O86" i="81"/>
  <c r="O202" i="84"/>
  <c r="O194" i="84"/>
  <c r="O186" i="84"/>
  <c r="O178" i="84"/>
  <c r="O170" i="84"/>
  <c r="O162" i="84"/>
  <c r="O157" i="84"/>
  <c r="O120" i="84"/>
  <c r="O205" i="84"/>
  <c r="O197" i="84"/>
  <c r="O189" i="84"/>
  <c r="O181" i="84"/>
  <c r="O173" i="84"/>
  <c r="O165" i="84"/>
  <c r="O117" i="84"/>
  <c r="O201" i="82"/>
  <c r="O193" i="82"/>
  <c r="O185" i="82"/>
  <c r="O177" i="82"/>
  <c r="O169" i="82"/>
  <c r="O161" i="82"/>
  <c r="O121" i="82"/>
  <c r="O206" i="83"/>
  <c r="O198" i="83"/>
  <c r="O190" i="83"/>
  <c r="O182" i="83"/>
  <c r="O174" i="83"/>
  <c r="O166" i="83"/>
  <c r="O156" i="83"/>
  <c r="O124" i="83"/>
  <c r="O116" i="83"/>
  <c r="O202" i="82"/>
  <c r="O194" i="82"/>
  <c r="O186" i="82"/>
  <c r="O178" i="82"/>
  <c r="O170" i="82"/>
  <c r="O162" i="82"/>
  <c r="O156" i="82"/>
  <c r="O120" i="82"/>
  <c r="O203" i="83"/>
  <c r="O195" i="83"/>
  <c r="O187" i="83"/>
  <c r="O179" i="83"/>
  <c r="O171" i="83"/>
  <c r="O163" i="83"/>
  <c r="O123" i="83"/>
  <c r="O115" i="83"/>
  <c r="O169" i="78"/>
  <c r="O171" i="78"/>
  <c r="O187" i="68"/>
  <c r="O204" i="85"/>
  <c r="O196" i="85"/>
  <c r="O188" i="85"/>
  <c r="O180" i="85"/>
  <c r="O172" i="85"/>
  <c r="O164" i="85"/>
  <c r="O156" i="85"/>
  <c r="O122" i="85"/>
  <c r="O202" i="78"/>
  <c r="O122" i="78"/>
  <c r="O197" i="68"/>
  <c r="O117" i="68"/>
  <c r="O202" i="79"/>
  <c r="O194" i="79"/>
  <c r="O186" i="79"/>
  <c r="O178" i="79"/>
  <c r="O170" i="79"/>
  <c r="O162" i="79"/>
  <c r="O155" i="79"/>
  <c r="O120" i="79"/>
  <c r="Q16" i="41" s="1"/>
  <c r="O200" i="78"/>
  <c r="O120" i="78"/>
  <c r="Q15" i="41" s="1"/>
  <c r="O196" i="68"/>
  <c r="O116" i="68"/>
  <c r="O175" i="78"/>
  <c r="O159" i="78"/>
  <c r="O189" i="79"/>
  <c r="O182" i="78"/>
  <c r="O198" i="78"/>
  <c r="O118" i="78"/>
  <c r="O170" i="68"/>
  <c r="O158" i="68"/>
  <c r="O197" i="78"/>
  <c r="O117" i="78"/>
  <c r="O205" i="68"/>
  <c r="O115" i="78"/>
  <c r="O177" i="79"/>
  <c r="O117" i="79"/>
  <c r="O156" i="78"/>
  <c r="O201" i="85"/>
  <c r="O193" i="85"/>
  <c r="O185" i="85"/>
  <c r="O177" i="85"/>
  <c r="O169" i="85"/>
  <c r="O161" i="85"/>
  <c r="O121" i="85"/>
  <c r="O160" i="78"/>
  <c r="O192" i="68"/>
  <c r="O167" i="79"/>
  <c r="O122" i="68"/>
  <c r="G125" i="85"/>
  <c r="N125" i="85" s="1"/>
  <c r="N19" i="85"/>
  <c r="M188" i="77"/>
  <c r="G184" i="68"/>
  <c r="G184" i="78"/>
  <c r="G197" i="85"/>
  <c r="G124" i="82"/>
  <c r="G124" i="83"/>
  <c r="G195" i="85"/>
  <c r="G191" i="82"/>
  <c r="M164" i="77"/>
  <c r="G184" i="83"/>
  <c r="M200" i="85"/>
  <c r="M178" i="77"/>
  <c r="M176" i="77"/>
  <c r="M187" i="77"/>
  <c r="G114" i="79"/>
  <c r="B105" i="68"/>
  <c r="D7" i="41"/>
  <c r="B105" i="79"/>
  <c r="D9" i="41"/>
  <c r="I7" i="87"/>
  <c r="I13" i="87"/>
  <c r="I16" i="87"/>
  <c r="G16" i="87"/>
  <c r="G7" i="87"/>
  <c r="M186" i="68"/>
  <c r="M169" i="85"/>
  <c r="M175" i="82"/>
  <c r="G114" i="78"/>
  <c r="G114" i="68"/>
  <c r="G13" i="87"/>
  <c r="G114" i="82"/>
  <c r="G114" i="83"/>
  <c r="G114" i="85"/>
  <c r="M124" i="77"/>
  <c r="M185" i="77"/>
  <c r="M162" i="77"/>
  <c r="M175" i="77"/>
  <c r="M165" i="77"/>
  <c r="M180" i="77"/>
  <c r="M117" i="77"/>
  <c r="M174" i="77"/>
  <c r="M123" i="77"/>
  <c r="M203" i="77"/>
  <c r="G14" i="81"/>
  <c r="N14" i="81" s="1"/>
  <c r="G80" i="81"/>
  <c r="N80" i="81" s="1"/>
  <c r="G68" i="81"/>
  <c r="N68" i="81" s="1"/>
  <c r="G69" i="81"/>
  <c r="N69" i="81" s="1"/>
  <c r="G82" i="81"/>
  <c r="N82" i="81" s="1"/>
  <c r="G93" i="81"/>
  <c r="N93" i="81" s="1"/>
  <c r="G13" i="81"/>
  <c r="N13" i="81" s="1"/>
  <c r="G19" i="81"/>
  <c r="G102" i="81"/>
  <c r="N102" i="81" s="1"/>
  <c r="G10" i="81"/>
  <c r="N10" i="81" s="1"/>
  <c r="G71" i="81"/>
  <c r="N71" i="81" s="1"/>
  <c r="G64" i="81"/>
  <c r="N64" i="81" s="1"/>
  <c r="G12" i="81"/>
  <c r="N12" i="81" s="1"/>
  <c r="G101" i="81"/>
  <c r="N101" i="81" s="1"/>
  <c r="G18" i="81"/>
  <c r="N18" i="81" s="1"/>
  <c r="G79" i="81"/>
  <c r="N79" i="81" s="1"/>
  <c r="G77" i="81"/>
  <c r="N77" i="81" s="1"/>
  <c r="G55" i="81"/>
  <c r="N55" i="81" s="1"/>
  <c r="G86" i="81"/>
  <c r="N86" i="81" s="1"/>
  <c r="M173" i="77"/>
  <c r="M118" i="77"/>
  <c r="M198" i="77"/>
  <c r="M163" i="77"/>
  <c r="M121" i="77"/>
  <c r="M201" i="77"/>
  <c r="M166" i="77"/>
  <c r="M155" i="77"/>
  <c r="M182" i="77"/>
  <c r="M159" i="77"/>
  <c r="M181" i="77"/>
  <c r="M179" i="77"/>
  <c r="M168" i="77"/>
  <c r="M193" i="77"/>
  <c r="M116" i="77"/>
  <c r="M196" i="77"/>
  <c r="G114" i="84"/>
  <c r="M114" i="77"/>
  <c r="G81" i="81"/>
  <c r="N81" i="81" s="1"/>
  <c r="G96" i="81"/>
  <c r="N96" i="81" s="1"/>
  <c r="G99" i="81"/>
  <c r="N99" i="81" s="1"/>
  <c r="G90" i="81"/>
  <c r="N90" i="81" s="1"/>
  <c r="G59" i="81"/>
  <c r="N59" i="81" s="1"/>
  <c r="G97" i="81"/>
  <c r="N97" i="81" s="1"/>
  <c r="G61" i="81"/>
  <c r="N61" i="81" s="1"/>
  <c r="G100" i="81"/>
  <c r="N100" i="81" s="1"/>
  <c r="G88" i="81"/>
  <c r="N88" i="81" s="1"/>
  <c r="G76" i="81"/>
  <c r="N76" i="81" s="1"/>
  <c r="G52" i="81"/>
  <c r="N52" i="81" s="1"/>
  <c r="G73" i="81"/>
  <c r="N73" i="81" s="1"/>
  <c r="G53" i="81"/>
  <c r="N53" i="81" s="1"/>
  <c r="M156" i="77"/>
  <c r="M194" i="77"/>
  <c r="M171" i="77"/>
  <c r="M191" i="77"/>
  <c r="M160" i="77"/>
  <c r="M197" i="77"/>
  <c r="G84" i="81"/>
  <c r="N84" i="81" s="1"/>
  <c r="G72" i="81"/>
  <c r="N72" i="81" s="1"/>
  <c r="G16" i="81"/>
  <c r="N16" i="81" s="1"/>
  <c r="G87" i="81"/>
  <c r="N87" i="81" s="1"/>
  <c r="G78" i="81"/>
  <c r="N78" i="81" s="1"/>
  <c r="G66" i="81"/>
  <c r="N66" i="81" s="1"/>
  <c r="G54" i="81"/>
  <c r="N54" i="81" s="1"/>
  <c r="G95" i="81"/>
  <c r="N95" i="81" s="1"/>
  <c r="G15" i="81"/>
  <c r="N15" i="81" s="1"/>
  <c r="G74" i="81"/>
  <c r="N74" i="81" s="1"/>
  <c r="G89" i="81"/>
  <c r="N89" i="81" s="1"/>
  <c r="G67" i="81"/>
  <c r="N67" i="81" s="1"/>
  <c r="G11" i="81"/>
  <c r="N11" i="81" s="1"/>
  <c r="M202" i="77"/>
  <c r="M122" i="77"/>
  <c r="M177" i="77"/>
  <c r="M158" i="77"/>
  <c r="M206" i="77"/>
  <c r="M183" i="77"/>
  <c r="M205" i="77"/>
  <c r="M192" i="77"/>
  <c r="M172" i="77"/>
  <c r="G91" i="81"/>
  <c r="N91" i="81" s="1"/>
  <c r="G56" i="81"/>
  <c r="N56" i="81" s="1"/>
  <c r="I10" i="87"/>
  <c r="G10" i="87"/>
  <c r="G57" i="81"/>
  <c r="N57" i="81" s="1"/>
  <c r="G94" i="81"/>
  <c r="N94" i="81" s="1"/>
  <c r="G60" i="81"/>
  <c r="N60" i="81" s="1"/>
  <c r="G70" i="81"/>
  <c r="N70" i="81" s="1"/>
  <c r="G58" i="81"/>
  <c r="N58" i="81" s="1"/>
  <c r="G75" i="81"/>
  <c r="N75" i="81" s="1"/>
  <c r="G63" i="81"/>
  <c r="N63" i="81" s="1"/>
  <c r="G83" i="81"/>
  <c r="N83" i="81" s="1"/>
  <c r="G17" i="81"/>
  <c r="N17" i="81" s="1"/>
  <c r="G8" i="81"/>
  <c r="N8" i="81" s="1"/>
  <c r="G98" i="81"/>
  <c r="N98" i="81" s="1"/>
  <c r="G62" i="81"/>
  <c r="N62" i="81" s="1"/>
  <c r="G85" i="81"/>
  <c r="N85" i="81" s="1"/>
  <c r="G65" i="81"/>
  <c r="N65" i="81" s="1"/>
  <c r="G9" i="81"/>
  <c r="N9" i="81" s="1"/>
  <c r="G92" i="81"/>
  <c r="N92" i="81" s="1"/>
  <c r="M161" i="77"/>
  <c r="M186" i="77"/>
  <c r="M119" i="77"/>
  <c r="M199" i="77"/>
  <c r="M120" i="77"/>
  <c r="O13" i="41" s="1"/>
  <c r="M200" i="77"/>
  <c r="M190" i="77"/>
  <c r="M189" i="77"/>
  <c r="M157" i="77"/>
  <c r="M170" i="77"/>
  <c r="M115" i="77"/>
  <c r="M195" i="77"/>
  <c r="M167" i="77"/>
  <c r="M204" i="77"/>
  <c r="M169" i="77"/>
  <c r="M184" i="77"/>
  <c r="M169" i="68"/>
  <c r="M124" i="78"/>
  <c r="M192" i="78"/>
  <c r="M124" i="85"/>
  <c r="M173" i="68"/>
  <c r="G180" i="78"/>
  <c r="G203" i="68"/>
  <c r="M192" i="79"/>
  <c r="M167" i="79"/>
  <c r="G180" i="79"/>
  <c r="M123" i="78"/>
  <c r="M206" i="79"/>
  <c r="G176" i="79"/>
  <c r="G159" i="79"/>
  <c r="G164" i="83"/>
  <c r="G189" i="83"/>
  <c r="M123" i="83"/>
  <c r="G190" i="83"/>
  <c r="G164" i="82"/>
  <c r="M183" i="82"/>
  <c r="M184" i="82"/>
  <c r="D203" i="80"/>
  <c r="G161" i="78"/>
  <c r="M166" i="83"/>
  <c r="G122" i="83"/>
  <c r="M115" i="83"/>
  <c r="G193" i="79"/>
  <c r="G189" i="79"/>
  <c r="G204" i="85"/>
  <c r="M178" i="85"/>
  <c r="M124" i="84"/>
  <c r="G203" i="78"/>
  <c r="M121" i="78"/>
  <c r="G167" i="79"/>
  <c r="M123" i="68"/>
  <c r="M181" i="78"/>
  <c r="M205" i="83"/>
  <c r="M124" i="68"/>
  <c r="G189" i="78"/>
  <c r="G159" i="82"/>
  <c r="M164" i="85"/>
  <c r="M191" i="68"/>
  <c r="G172" i="68"/>
  <c r="M206" i="78"/>
  <c r="M119" i="68"/>
  <c r="M164" i="78"/>
  <c r="M122" i="78"/>
  <c r="M180" i="78"/>
  <c r="M205" i="79"/>
  <c r="M166" i="85"/>
  <c r="M162" i="82"/>
  <c r="M124" i="82"/>
  <c r="M185" i="82"/>
  <c r="E163" i="81"/>
  <c r="M161" i="82"/>
  <c r="M184" i="79"/>
  <c r="M198" i="79"/>
  <c r="M172" i="79"/>
  <c r="M177" i="68"/>
  <c r="G188" i="79"/>
  <c r="G159" i="85"/>
  <c r="M199" i="83"/>
  <c r="M201" i="83"/>
  <c r="M185" i="83"/>
  <c r="G191" i="68"/>
  <c r="G117" i="68"/>
  <c r="M170" i="78"/>
  <c r="G164" i="68"/>
  <c r="M122" i="68"/>
  <c r="G165" i="83"/>
  <c r="M116" i="83"/>
  <c r="G206" i="82"/>
  <c r="M117" i="82"/>
  <c r="M122" i="82"/>
  <c r="E184" i="81"/>
  <c r="M194" i="85"/>
  <c r="M184" i="68"/>
  <c r="M204" i="85"/>
  <c r="G166" i="85"/>
  <c r="G196" i="78"/>
  <c r="M186" i="79"/>
  <c r="M116" i="79"/>
  <c r="M123" i="85"/>
  <c r="F164" i="81"/>
  <c r="G122" i="68"/>
  <c r="M116" i="68"/>
  <c r="M162" i="68"/>
  <c r="G182" i="68"/>
  <c r="G200" i="78"/>
  <c r="M116" i="78"/>
  <c r="G176" i="78"/>
  <c r="G173" i="78"/>
  <c r="M205" i="78"/>
  <c r="M120" i="79"/>
  <c r="O16" i="41" s="1"/>
  <c r="M122" i="79"/>
  <c r="G170" i="79"/>
  <c r="G116" i="78"/>
  <c r="M177" i="79"/>
  <c r="M175" i="85"/>
  <c r="M117" i="85"/>
  <c r="G191" i="85"/>
  <c r="G205" i="83"/>
  <c r="G181" i="83"/>
  <c r="G173" i="83"/>
  <c r="M122" i="83"/>
  <c r="M190" i="82"/>
  <c r="G205" i="82"/>
  <c r="M205" i="82"/>
  <c r="G183" i="82"/>
  <c r="G118" i="82"/>
  <c r="G188" i="82"/>
  <c r="M115" i="82"/>
  <c r="G196" i="82"/>
  <c r="M160" i="82"/>
  <c r="M174" i="82"/>
  <c r="M124" i="79"/>
  <c r="M187" i="83"/>
  <c r="G199" i="82"/>
  <c r="M199" i="78"/>
  <c r="G195" i="83"/>
  <c r="M196" i="78"/>
  <c r="M195" i="68"/>
  <c r="M203" i="79"/>
  <c r="G121" i="79"/>
  <c r="G200" i="83"/>
  <c r="M176" i="83"/>
  <c r="M188" i="83"/>
  <c r="M169" i="83"/>
  <c r="M180" i="82"/>
  <c r="G175" i="82"/>
  <c r="M171" i="82"/>
  <c r="G168" i="82"/>
  <c r="M198" i="82"/>
  <c r="G180" i="85"/>
  <c r="G170" i="82"/>
  <c r="D206" i="81"/>
  <c r="G117" i="79"/>
  <c r="G185" i="85"/>
  <c r="M203" i="68"/>
  <c r="M175" i="83"/>
  <c r="M194" i="83"/>
  <c r="G191" i="83"/>
  <c r="M172" i="82"/>
  <c r="M173" i="83"/>
  <c r="M120" i="68"/>
  <c r="O14" i="41" s="1"/>
  <c r="G174" i="85"/>
  <c r="G198" i="68"/>
  <c r="G176" i="68"/>
  <c r="G124" i="68"/>
  <c r="G198" i="79"/>
  <c r="M162" i="79"/>
  <c r="M188" i="85"/>
  <c r="G123" i="78"/>
  <c r="M166" i="78"/>
  <c r="G202" i="79"/>
  <c r="M179" i="79"/>
  <c r="M184" i="85"/>
  <c r="M165" i="85"/>
  <c r="G185" i="68"/>
  <c r="G160" i="68"/>
  <c r="G191" i="78"/>
  <c r="M185" i="78"/>
  <c r="M177" i="78"/>
  <c r="G198" i="85"/>
  <c r="G199" i="85"/>
  <c r="M192" i="83"/>
  <c r="D179" i="81"/>
  <c r="G167" i="85"/>
  <c r="D161" i="80"/>
  <c r="D179" i="80"/>
  <c r="E123" i="80"/>
  <c r="G175" i="68"/>
  <c r="M176" i="79"/>
  <c r="M202" i="83"/>
  <c r="G124" i="85"/>
  <c r="M159" i="82"/>
  <c r="G193" i="85"/>
  <c r="G189" i="85"/>
  <c r="G195" i="82"/>
  <c r="G158" i="82"/>
  <c r="G157" i="82"/>
  <c r="G156" i="82"/>
  <c r="G155" i="82"/>
  <c r="M163" i="83"/>
  <c r="M195" i="82"/>
  <c r="G123" i="85"/>
  <c r="M163" i="79"/>
  <c r="G201" i="68"/>
  <c r="G120" i="68"/>
  <c r="I14" i="41" s="1"/>
  <c r="M170" i="68"/>
  <c r="M193" i="68"/>
  <c r="G170" i="68"/>
  <c r="G187" i="68"/>
  <c r="G205" i="78"/>
  <c r="G188" i="78"/>
  <c r="M158" i="78"/>
  <c r="M155" i="78"/>
  <c r="M157" i="78"/>
  <c r="M156" i="78"/>
  <c r="M178" i="78"/>
  <c r="G183" i="78"/>
  <c r="M191" i="78"/>
  <c r="M195" i="78"/>
  <c r="G178" i="79"/>
  <c r="M168" i="79"/>
  <c r="G186" i="79"/>
  <c r="M202" i="79"/>
  <c r="M193" i="79"/>
  <c r="M200" i="79"/>
  <c r="M158" i="79"/>
  <c r="M155" i="79"/>
  <c r="M157" i="79"/>
  <c r="M156" i="79"/>
  <c r="G173" i="79"/>
  <c r="M159" i="79"/>
  <c r="G162" i="79"/>
  <c r="G192" i="85"/>
  <c r="G162" i="85"/>
  <c r="G205" i="85"/>
  <c r="M205" i="85"/>
  <c r="G164" i="85"/>
  <c r="G177" i="85"/>
  <c r="G162" i="84"/>
  <c r="M183" i="84"/>
  <c r="G174" i="83"/>
  <c r="G186" i="83"/>
  <c r="G176" i="83"/>
  <c r="G179" i="83"/>
  <c r="G118" i="83"/>
  <c r="G166" i="83"/>
  <c r="M186" i="82"/>
  <c r="G189" i="82"/>
  <c r="G179" i="82"/>
  <c r="G204" i="82"/>
  <c r="G182" i="82"/>
  <c r="G200" i="82"/>
  <c r="G167" i="82"/>
  <c r="M121" i="82"/>
  <c r="G203" i="83"/>
  <c r="M174" i="83"/>
  <c r="D181" i="80"/>
  <c r="C183" i="81"/>
  <c r="G197" i="68"/>
  <c r="M190" i="83"/>
  <c r="G201" i="79"/>
  <c r="M174" i="79"/>
  <c r="M159" i="85"/>
  <c r="M200" i="78"/>
  <c r="G180" i="68"/>
  <c r="M166" i="68"/>
  <c r="G187" i="79"/>
  <c r="M196" i="85"/>
  <c r="G206" i="68"/>
  <c r="M202" i="68"/>
  <c r="M198" i="68"/>
  <c r="M159" i="68"/>
  <c r="G195" i="78"/>
  <c r="M190" i="78"/>
  <c r="G182" i="78"/>
  <c r="G122" i="79"/>
  <c r="G166" i="79"/>
  <c r="G185" i="79"/>
  <c r="G183" i="79"/>
  <c r="M197" i="79"/>
  <c r="G199" i="79"/>
  <c r="M123" i="79"/>
  <c r="G119" i="79"/>
  <c r="G163" i="79"/>
  <c r="M187" i="85"/>
  <c r="M174" i="85"/>
  <c r="M202" i="85"/>
  <c r="M182" i="85"/>
  <c r="G206" i="85"/>
  <c r="G168" i="84"/>
  <c r="G191" i="84"/>
  <c r="M198" i="84"/>
  <c r="M204" i="84"/>
  <c r="G181" i="84"/>
  <c r="G171" i="83"/>
  <c r="M168" i="83"/>
  <c r="G123" i="83"/>
  <c r="M164" i="83"/>
  <c r="G197" i="83"/>
  <c r="M179" i="83"/>
  <c r="G188" i="83"/>
  <c r="M165" i="82"/>
  <c r="M179" i="82"/>
  <c r="G174" i="82"/>
  <c r="G181" i="82"/>
  <c r="G160" i="82"/>
  <c r="M119" i="82"/>
  <c r="G166" i="82"/>
  <c r="G193" i="82"/>
  <c r="G167" i="83"/>
  <c r="M165" i="83"/>
  <c r="G123" i="82"/>
  <c r="M171" i="84"/>
  <c r="E124" i="81"/>
  <c r="E194" i="81"/>
  <c r="C196" i="80"/>
  <c r="F119" i="80"/>
  <c r="M187" i="82"/>
  <c r="M201" i="78"/>
  <c r="M190" i="85"/>
  <c r="M117" i="83"/>
  <c r="M119" i="83"/>
  <c r="G162" i="78"/>
  <c r="M119" i="79"/>
  <c r="M118" i="79"/>
  <c r="G115" i="68"/>
  <c r="M187" i="78"/>
  <c r="G173" i="68"/>
  <c r="G116" i="79"/>
  <c r="G159" i="78"/>
  <c r="M186" i="78"/>
  <c r="M176" i="78"/>
  <c r="M188" i="78"/>
  <c r="G124" i="79"/>
  <c r="G184" i="79"/>
  <c r="G182" i="79"/>
  <c r="G165" i="79"/>
  <c r="G196" i="79"/>
  <c r="G198" i="78"/>
  <c r="G181" i="78"/>
  <c r="M171" i="79"/>
  <c r="M186" i="85"/>
  <c r="G118" i="85"/>
  <c r="G173" i="85"/>
  <c r="M195" i="85"/>
  <c r="G187" i="85"/>
  <c r="G181" i="85"/>
  <c r="G188" i="85"/>
  <c r="M121" i="85"/>
  <c r="G175" i="84"/>
  <c r="G170" i="83"/>
  <c r="M167" i="83"/>
  <c r="M186" i="83"/>
  <c r="G177" i="82"/>
  <c r="G173" i="82"/>
  <c r="G161" i="82"/>
  <c r="M118" i="82"/>
  <c r="G165" i="82"/>
  <c r="M201" i="82"/>
  <c r="M121" i="84"/>
  <c r="G177" i="83"/>
  <c r="M162" i="83"/>
  <c r="M181" i="82"/>
  <c r="M189" i="68"/>
  <c r="M183" i="78"/>
  <c r="M119" i="85"/>
  <c r="G122" i="82"/>
  <c r="G158" i="79"/>
  <c r="G156" i="79"/>
  <c r="G157" i="79"/>
  <c r="G155" i="79"/>
  <c r="G120" i="79"/>
  <c r="I16" i="41" s="1"/>
  <c r="M115" i="79"/>
  <c r="G119" i="85"/>
  <c r="M172" i="68"/>
  <c r="M184" i="78"/>
  <c r="G194" i="82"/>
  <c r="M160" i="79"/>
  <c r="G169" i="78"/>
  <c r="M193" i="85"/>
  <c r="G199" i="83"/>
  <c r="G119" i="83"/>
  <c r="M180" i="79"/>
  <c r="M170" i="83"/>
  <c r="G158" i="83"/>
  <c r="G157" i="83"/>
  <c r="G155" i="83"/>
  <c r="G156" i="83"/>
  <c r="G180" i="82"/>
  <c r="M197" i="82"/>
  <c r="G116" i="85"/>
  <c r="G182" i="85"/>
  <c r="M172" i="83"/>
  <c r="M171" i="68"/>
  <c r="M174" i="78"/>
  <c r="M116" i="85"/>
  <c r="M194" i="82"/>
  <c r="M160" i="85"/>
  <c r="M197" i="68"/>
  <c r="M188" i="79"/>
  <c r="G196" i="85"/>
  <c r="G120" i="83"/>
  <c r="G172" i="83"/>
  <c r="M204" i="83"/>
  <c r="M183" i="68"/>
  <c r="M161" i="68"/>
  <c r="M194" i="78"/>
  <c r="G178" i="85"/>
  <c r="M176" i="68"/>
  <c r="G158" i="68"/>
  <c r="G155" i="68"/>
  <c r="G156" i="68"/>
  <c r="G157" i="68"/>
  <c r="G190" i="68"/>
  <c r="G194" i="78"/>
  <c r="G186" i="78"/>
  <c r="M189" i="78"/>
  <c r="G163" i="68"/>
  <c r="M181" i="85"/>
  <c r="G169" i="83"/>
  <c r="G172" i="82"/>
  <c r="G203" i="82"/>
  <c r="M189" i="82"/>
  <c r="G162" i="82"/>
  <c r="M121" i="83"/>
  <c r="M168" i="82"/>
  <c r="E168" i="81"/>
  <c r="M206" i="68"/>
  <c r="G162" i="68"/>
  <c r="M117" i="68"/>
  <c r="M121" i="68"/>
  <c r="M175" i="68"/>
  <c r="G168" i="68"/>
  <c r="G174" i="68"/>
  <c r="G171" i="68"/>
  <c r="G206" i="78"/>
  <c r="G166" i="78"/>
  <c r="M167" i="78"/>
  <c r="M159" i="78"/>
  <c r="M171" i="78"/>
  <c r="M169" i="78"/>
  <c r="G163" i="78"/>
  <c r="M182" i="78"/>
  <c r="M169" i="79"/>
  <c r="G204" i="79"/>
  <c r="G175" i="79"/>
  <c r="G168" i="79"/>
  <c r="G179" i="79"/>
  <c r="M182" i="79"/>
  <c r="G206" i="79"/>
  <c r="G123" i="79"/>
  <c r="G124" i="78"/>
  <c r="M197" i="85"/>
  <c r="G202" i="85"/>
  <c r="G115" i="85"/>
  <c r="G161" i="85"/>
  <c r="M171" i="85"/>
  <c r="M170" i="85"/>
  <c r="M167" i="85"/>
  <c r="M177" i="83"/>
  <c r="G168" i="83"/>
  <c r="M200" i="83"/>
  <c r="M196" i="83"/>
  <c r="M197" i="83"/>
  <c r="M159" i="83"/>
  <c r="M120" i="83"/>
  <c r="G185" i="83"/>
  <c r="M163" i="82"/>
  <c r="M204" i="82"/>
  <c r="G171" i="82"/>
  <c r="M191" i="82"/>
  <c r="M178" i="82"/>
  <c r="M182" i="82"/>
  <c r="G117" i="82"/>
  <c r="G116" i="82"/>
  <c r="G121" i="82"/>
  <c r="M120" i="82"/>
  <c r="M193" i="82"/>
  <c r="M173" i="82"/>
  <c r="M201" i="85"/>
  <c r="G193" i="83"/>
  <c r="M118" i="83"/>
  <c r="M193" i="83"/>
  <c r="G160" i="85"/>
  <c r="G192" i="83"/>
  <c r="G187" i="82"/>
  <c r="M162" i="78"/>
  <c r="M190" i="68"/>
  <c r="M196" i="82"/>
  <c r="M188" i="82"/>
  <c r="M203" i="85"/>
  <c r="F124" i="81"/>
  <c r="M206" i="83"/>
  <c r="M185" i="79"/>
  <c r="M192" i="68"/>
  <c r="G195" i="79"/>
  <c r="G205" i="79"/>
  <c r="G181" i="79"/>
  <c r="G192" i="79"/>
  <c r="G120" i="85"/>
  <c r="M115" i="68"/>
  <c r="M163" i="78"/>
  <c r="M165" i="78"/>
  <c r="G158" i="78"/>
  <c r="G155" i="78"/>
  <c r="G156" i="78"/>
  <c r="G157" i="78"/>
  <c r="G179" i="78"/>
  <c r="G122" i="78"/>
  <c r="M179" i="78"/>
  <c r="M168" i="78"/>
  <c r="G165" i="78"/>
  <c r="M191" i="79"/>
  <c r="M173" i="79"/>
  <c r="M204" i="79"/>
  <c r="G120" i="78"/>
  <c r="I15" i="41" s="1"/>
  <c r="M185" i="85"/>
  <c r="G201" i="85"/>
  <c r="M118" i="85"/>
  <c r="M173" i="85"/>
  <c r="G170" i="85"/>
  <c r="G169" i="85"/>
  <c r="M168" i="85"/>
  <c r="M122" i="85"/>
  <c r="G163" i="83"/>
  <c r="G160" i="83"/>
  <c r="G198" i="83"/>
  <c r="G161" i="83"/>
  <c r="G116" i="83"/>
  <c r="M171" i="83"/>
  <c r="M203" i="82"/>
  <c r="G190" i="82"/>
  <c r="M200" i="82"/>
  <c r="G115" i="82"/>
  <c r="G186" i="82"/>
  <c r="G169" i="82"/>
  <c r="M198" i="85"/>
  <c r="E182" i="81"/>
  <c r="F120" i="80"/>
  <c r="G119" i="82"/>
  <c r="M163" i="68"/>
  <c r="M166" i="82"/>
  <c r="G196" i="83"/>
  <c r="M176" i="82"/>
  <c r="M191" i="85"/>
  <c r="M199" i="79"/>
  <c r="G189" i="68"/>
  <c r="G159" i="68"/>
  <c r="M203" i="83"/>
  <c r="M170" i="79"/>
  <c r="M183" i="83"/>
  <c r="G202" i="68"/>
  <c r="G197" i="78"/>
  <c r="M180" i="83"/>
  <c r="M183" i="79"/>
  <c r="G200" i="68"/>
  <c r="M201" i="68"/>
  <c r="G169" i="68"/>
  <c r="M164" i="68"/>
  <c r="G168" i="78"/>
  <c r="G123" i="68"/>
  <c r="G192" i="78"/>
  <c r="G167" i="78"/>
  <c r="G187" i="78"/>
  <c r="M198" i="78"/>
  <c r="G193" i="78"/>
  <c r="G121" i="78"/>
  <c r="M175" i="78"/>
  <c r="M172" i="78"/>
  <c r="G203" i="85"/>
  <c r="M162" i="85"/>
  <c r="M180" i="85"/>
  <c r="G165" i="85"/>
  <c r="M205" i="68"/>
  <c r="M174" i="68"/>
  <c r="G118" i="68"/>
  <c r="G192" i="68"/>
  <c r="G161" i="68"/>
  <c r="M194" i="68"/>
  <c r="M160" i="78"/>
  <c r="G118" i="78"/>
  <c r="M196" i="79"/>
  <c r="G115" i="79"/>
  <c r="G161" i="79"/>
  <c r="G172" i="79"/>
  <c r="M118" i="78"/>
  <c r="G117" i="85"/>
  <c r="G121" i="85"/>
  <c r="G175" i="83"/>
  <c r="M189" i="83"/>
  <c r="G183" i="83"/>
  <c r="M184" i="83"/>
  <c r="G117" i="83"/>
  <c r="G115" i="83"/>
  <c r="N115" i="83" s="1"/>
  <c r="M160" i="83"/>
  <c r="G201" i="82"/>
  <c r="G202" i="82"/>
  <c r="G185" i="82"/>
  <c r="M192" i="82"/>
  <c r="M116" i="82"/>
  <c r="M177" i="82"/>
  <c r="M167" i="82"/>
  <c r="G168" i="85"/>
  <c r="M189" i="85"/>
  <c r="M195" i="83"/>
  <c r="C159" i="81"/>
  <c r="E168" i="80"/>
  <c r="G179" i="68"/>
  <c r="M178" i="83"/>
  <c r="M123" i="82"/>
  <c r="M172" i="85"/>
  <c r="M170" i="82"/>
  <c r="M161" i="85"/>
  <c r="M190" i="79"/>
  <c r="M173" i="78"/>
  <c r="G205" i="68"/>
  <c r="G193" i="68"/>
  <c r="M191" i="83"/>
  <c r="M161" i="79"/>
  <c r="G171" i="78"/>
  <c r="N171" i="78" s="1"/>
  <c r="G174" i="79"/>
  <c r="M168" i="68"/>
  <c r="M193" i="78"/>
  <c r="M166" i="79"/>
  <c r="M119" i="78"/>
  <c r="M199" i="85"/>
  <c r="M163" i="85"/>
  <c r="M158" i="83"/>
  <c r="M157" i="83"/>
  <c r="M156" i="83"/>
  <c r="M155" i="83"/>
  <c r="G198" i="82"/>
  <c r="M158" i="82"/>
  <c r="M157" i="82"/>
  <c r="M156" i="82"/>
  <c r="M155" i="82"/>
  <c r="G166" i="68"/>
  <c r="M179" i="68"/>
  <c r="M196" i="68"/>
  <c r="G165" i="68"/>
  <c r="G178" i="68"/>
  <c r="G185" i="78"/>
  <c r="M181" i="79"/>
  <c r="G164" i="78"/>
  <c r="M179" i="85"/>
  <c r="M185" i="68"/>
  <c r="G119" i="68"/>
  <c r="G195" i="68"/>
  <c r="G199" i="68"/>
  <c r="M118" i="68"/>
  <c r="M180" i="68"/>
  <c r="G177" i="68"/>
  <c r="G194" i="68"/>
  <c r="M167" i="68"/>
  <c r="G167" i="68"/>
  <c r="G186" i="68"/>
  <c r="G202" i="78"/>
  <c r="M161" i="78"/>
  <c r="G178" i="78"/>
  <c r="G175" i="78"/>
  <c r="G119" i="78"/>
  <c r="G203" i="79"/>
  <c r="M165" i="79"/>
  <c r="G184" i="85"/>
  <c r="G186" i="85"/>
  <c r="G204" i="68"/>
  <c r="M204" i="68"/>
  <c r="M188" i="68"/>
  <c r="G116" i="68"/>
  <c r="M158" i="68"/>
  <c r="M157" i="68"/>
  <c r="M155" i="68"/>
  <c r="M156" i="68"/>
  <c r="M165" i="68"/>
  <c r="M199" i="68"/>
  <c r="G188" i="68"/>
  <c r="G190" i="78"/>
  <c r="G201" i="78"/>
  <c r="G177" i="78"/>
  <c r="G174" i="78"/>
  <c r="G117" i="78"/>
  <c r="G191" i="79"/>
  <c r="G190" i="79"/>
  <c r="M195" i="79"/>
  <c r="G194" i="79"/>
  <c r="G177" i="79"/>
  <c r="G160" i="79"/>
  <c r="G169" i="79"/>
  <c r="G171" i="79"/>
  <c r="N171" i="79" s="1"/>
  <c r="M194" i="79"/>
  <c r="M201" i="79"/>
  <c r="G197" i="79"/>
  <c r="G160" i="78"/>
  <c r="M206" i="85"/>
  <c r="G158" i="85"/>
  <c r="G155" i="85"/>
  <c r="G156" i="85"/>
  <c r="G157" i="85"/>
  <c r="M158" i="85"/>
  <c r="M155" i="85"/>
  <c r="M156" i="85"/>
  <c r="M157" i="85"/>
  <c r="M183" i="85"/>
  <c r="G206" i="83"/>
  <c r="G187" i="83"/>
  <c r="G182" i="83"/>
  <c r="M181" i="83"/>
  <c r="M124" i="83"/>
  <c r="G194" i="83"/>
  <c r="G178" i="82"/>
  <c r="G184" i="82"/>
  <c r="M199" i="82"/>
  <c r="G120" i="82"/>
  <c r="G192" i="82"/>
  <c r="G176" i="82"/>
  <c r="G163" i="82"/>
  <c r="G172" i="85"/>
  <c r="E204" i="80"/>
  <c r="M182" i="68"/>
  <c r="G159" i="83"/>
  <c r="G200" i="85"/>
  <c r="G163" i="85"/>
  <c r="M164" i="82"/>
  <c r="M120" i="85"/>
  <c r="G175" i="85"/>
  <c r="M187" i="79"/>
  <c r="G179" i="85"/>
  <c r="M117" i="78"/>
  <c r="G204" i="78"/>
  <c r="M187" i="68"/>
  <c r="M182" i="83"/>
  <c r="M200" i="68"/>
  <c r="M202" i="78"/>
  <c r="M117" i="79"/>
  <c r="M203" i="78"/>
  <c r="M181" i="68"/>
  <c r="G183" i="68"/>
  <c r="G121" i="68"/>
  <c r="G181" i="68"/>
  <c r="M197" i="78"/>
  <c r="G199" i="78"/>
  <c r="M115" i="78"/>
  <c r="G170" i="78"/>
  <c r="M204" i="78"/>
  <c r="G172" i="78"/>
  <c r="G200" i="79"/>
  <c r="G164" i="79"/>
  <c r="G118" i="79"/>
  <c r="M164" i="79"/>
  <c r="M178" i="79"/>
  <c r="G115" i="78"/>
  <c r="M121" i="79"/>
  <c r="G194" i="85"/>
  <c r="M192" i="85"/>
  <c r="G171" i="85"/>
  <c r="G183" i="85"/>
  <c r="M115" i="85"/>
  <c r="M177" i="85"/>
  <c r="G176" i="85"/>
  <c r="G190" i="85"/>
  <c r="G204" i="83"/>
  <c r="G180" i="83"/>
  <c r="G121" i="83"/>
  <c r="G202" i="83"/>
  <c r="G201" i="83"/>
  <c r="M202" i="82"/>
  <c r="G197" i="82"/>
  <c r="M169" i="82"/>
  <c r="M206" i="82"/>
  <c r="G122" i="85"/>
  <c r="M198" i="83"/>
  <c r="G162" i="83"/>
  <c r="G196" i="68"/>
  <c r="G178" i="83"/>
  <c r="M176" i="85"/>
  <c r="M160" i="68"/>
  <c r="M120" i="78"/>
  <c r="O15" i="41" s="1"/>
  <c r="M175" i="79"/>
  <c r="M189" i="79"/>
  <c r="M178" i="68"/>
  <c r="M161" i="83"/>
  <c r="F176" i="81"/>
  <c r="F186" i="80"/>
  <c r="M162" i="84"/>
  <c r="G195" i="84"/>
  <c r="D122" i="81"/>
  <c r="D171" i="81"/>
  <c r="D192" i="81"/>
  <c r="E180" i="80"/>
  <c r="F123" i="81"/>
  <c r="F116" i="81"/>
  <c r="M188" i="84"/>
  <c r="F198" i="81"/>
  <c r="F163" i="80"/>
  <c r="D118" i="81"/>
  <c r="M123" i="84"/>
  <c r="D116" i="81"/>
  <c r="C188" i="81"/>
  <c r="C122" i="80"/>
  <c r="C206" i="80"/>
  <c r="C118" i="80"/>
  <c r="E200" i="80"/>
  <c r="D124" i="80"/>
  <c r="E175" i="80"/>
  <c r="D198" i="80"/>
  <c r="E172" i="81"/>
  <c r="E199" i="81"/>
  <c r="F166" i="81"/>
  <c r="F204" i="81"/>
  <c r="D184" i="81"/>
  <c r="F169" i="81"/>
  <c r="M116" i="84"/>
  <c r="E189" i="81"/>
  <c r="D115" i="81"/>
  <c r="E162" i="81"/>
  <c r="C123" i="81"/>
  <c r="E179" i="80"/>
  <c r="E189" i="80"/>
  <c r="D172" i="81"/>
  <c r="F170" i="80"/>
  <c r="C172" i="80"/>
  <c r="C190" i="80"/>
  <c r="C205" i="80"/>
  <c r="F202" i="80"/>
  <c r="D119" i="80"/>
  <c r="C168" i="80"/>
  <c r="C192" i="81"/>
  <c r="D161" i="81"/>
  <c r="E205" i="81"/>
  <c r="D203" i="81"/>
  <c r="F170" i="81"/>
  <c r="C165" i="81"/>
  <c r="C194" i="81"/>
  <c r="D168" i="81"/>
  <c r="C179" i="80"/>
  <c r="D205" i="81"/>
  <c r="M117" i="84"/>
  <c r="E120" i="81"/>
  <c r="C119" i="81"/>
  <c r="E191" i="80"/>
  <c r="F186" i="81"/>
  <c r="F121" i="81"/>
  <c r="D173" i="80"/>
  <c r="D191" i="80"/>
  <c r="C121" i="80"/>
  <c r="D190" i="80"/>
  <c r="C204" i="80"/>
  <c r="C161" i="80"/>
  <c r="D180" i="80"/>
  <c r="E190" i="81"/>
  <c r="C171" i="81"/>
  <c r="D194" i="81"/>
  <c r="F190" i="81"/>
  <c r="D163" i="81"/>
  <c r="M172" i="84"/>
  <c r="F124" i="80"/>
  <c r="C200" i="81"/>
  <c r="C178" i="81"/>
  <c r="E167" i="81"/>
  <c r="E203" i="80"/>
  <c r="E173" i="81"/>
  <c r="M164" i="84"/>
  <c r="F183" i="81"/>
  <c r="D123" i="81"/>
  <c r="C171" i="80"/>
  <c r="D159" i="80"/>
  <c r="F179" i="80"/>
  <c r="E115" i="80"/>
  <c r="E165" i="80"/>
  <c r="C172" i="81"/>
  <c r="G169" i="84"/>
  <c r="F184" i="81"/>
  <c r="C181" i="81"/>
  <c r="E192" i="80"/>
  <c r="D172" i="80"/>
  <c r="C195" i="80"/>
  <c r="F174" i="80"/>
  <c r="E160" i="80"/>
  <c r="F185" i="80"/>
  <c r="C187" i="80"/>
  <c r="F175" i="80"/>
  <c r="G159" i="84"/>
  <c r="M178" i="84"/>
  <c r="M193" i="84"/>
  <c r="G200" i="84"/>
  <c r="G122" i="84"/>
  <c r="G206" i="84"/>
  <c r="E180" i="81"/>
  <c r="E181" i="81"/>
  <c r="F197" i="81"/>
  <c r="E160" i="81"/>
  <c r="F161" i="81"/>
  <c r="F194" i="80"/>
  <c r="C160" i="80"/>
  <c r="C178" i="80"/>
  <c r="F180" i="80"/>
  <c r="C119" i="80"/>
  <c r="C169" i="80"/>
  <c r="D188" i="80"/>
  <c r="F205" i="81"/>
  <c r="D158" i="81"/>
  <c r="D155" i="81"/>
  <c r="D157" i="81"/>
  <c r="D156" i="81"/>
  <c r="B179" i="81"/>
  <c r="D201" i="81"/>
  <c r="G202" i="84"/>
  <c r="M166" i="84"/>
  <c r="G176" i="84"/>
  <c r="M167" i="84"/>
  <c r="G121" i="84"/>
  <c r="G192" i="84"/>
  <c r="G124" i="84"/>
  <c r="C164" i="81"/>
  <c r="D191" i="81"/>
  <c r="C202" i="81"/>
  <c r="F118" i="81"/>
  <c r="F173" i="81"/>
  <c r="F176" i="80"/>
  <c r="E124" i="80"/>
  <c r="F193" i="80"/>
  <c r="E167" i="80"/>
  <c r="C189" i="80"/>
  <c r="E122" i="80"/>
  <c r="D171" i="80"/>
  <c r="D189" i="80"/>
  <c r="F161" i="80"/>
  <c r="F184" i="80"/>
  <c r="C162" i="80"/>
  <c r="C180" i="80"/>
  <c r="F189" i="80"/>
  <c r="E119" i="80"/>
  <c r="D192" i="80"/>
  <c r="F200" i="81"/>
  <c r="D188" i="81"/>
  <c r="D120" i="81"/>
  <c r="F182" i="81"/>
  <c r="E116" i="81"/>
  <c r="E175" i="81"/>
  <c r="F202" i="81"/>
  <c r="D175" i="81"/>
  <c r="C116" i="81"/>
  <c r="B182" i="81"/>
  <c r="F177" i="81"/>
  <c r="E201" i="81"/>
  <c r="D178" i="81"/>
  <c r="C190" i="81"/>
  <c r="D177" i="81"/>
  <c r="F160" i="81"/>
  <c r="E200" i="81"/>
  <c r="D162" i="81"/>
  <c r="E183" i="80"/>
  <c r="C179" i="81"/>
  <c r="E201" i="80"/>
  <c r="B170" i="81"/>
  <c r="D196" i="80"/>
  <c r="B168" i="81"/>
  <c r="G188" i="84"/>
  <c r="B120" i="81"/>
  <c r="B169" i="81"/>
  <c r="G178" i="84"/>
  <c r="M185" i="84"/>
  <c r="G198" i="84"/>
  <c r="M115" i="84"/>
  <c r="G164" i="84"/>
  <c r="F175" i="81"/>
  <c r="B200" i="81"/>
  <c r="B166" i="81"/>
  <c r="E170" i="81"/>
  <c r="F182" i="80"/>
  <c r="E174" i="80"/>
  <c r="F199" i="80"/>
  <c r="F118" i="80"/>
  <c r="E172" i="80"/>
  <c r="E190" i="80"/>
  <c r="F167" i="80"/>
  <c r="C163" i="80"/>
  <c r="C181" i="80"/>
  <c r="F190" i="80"/>
  <c r="D163" i="80"/>
  <c r="C198" i="80"/>
  <c r="F195" i="80"/>
  <c r="C173" i="80"/>
  <c r="E193" i="80"/>
  <c r="B199" i="81"/>
  <c r="C168" i="81"/>
  <c r="B181" i="81"/>
  <c r="B172" i="81"/>
  <c r="B201" i="81"/>
  <c r="F199" i="81"/>
  <c r="E174" i="81"/>
  <c r="C173" i="81"/>
  <c r="E188" i="81"/>
  <c r="D169" i="81"/>
  <c r="E198" i="81"/>
  <c r="D160" i="81"/>
  <c r="E195" i="80"/>
  <c r="C175" i="81"/>
  <c r="B195" i="81"/>
  <c r="D183" i="81"/>
  <c r="E158" i="81"/>
  <c r="E157" i="81"/>
  <c r="E156" i="81"/>
  <c r="E155" i="81"/>
  <c r="D177" i="80"/>
  <c r="B197" i="81"/>
  <c r="F206" i="80"/>
  <c r="G177" i="84"/>
  <c r="M192" i="84"/>
  <c r="G163" i="84"/>
  <c r="M163" i="84"/>
  <c r="G190" i="84"/>
  <c r="G201" i="84"/>
  <c r="M199" i="84"/>
  <c r="M184" i="84"/>
  <c r="M174" i="84"/>
  <c r="E204" i="81"/>
  <c r="G182" i="84"/>
  <c r="B162" i="81"/>
  <c r="C121" i="81"/>
  <c r="F163" i="81"/>
  <c r="B164" i="81"/>
  <c r="F119" i="81"/>
  <c r="F188" i="80"/>
  <c r="F205" i="80"/>
  <c r="D122" i="80"/>
  <c r="F168" i="80"/>
  <c r="C158" i="80"/>
  <c r="C157" i="80"/>
  <c r="C155" i="80"/>
  <c r="C156" i="80"/>
  <c r="F173" i="80"/>
  <c r="D164" i="80"/>
  <c r="D182" i="80"/>
  <c r="D206" i="80"/>
  <c r="F196" i="80"/>
  <c r="E164" i="80"/>
  <c r="E182" i="80"/>
  <c r="D199" i="80"/>
  <c r="F201" i="80"/>
  <c r="C123" i="80"/>
  <c r="D174" i="80"/>
  <c r="D197" i="81"/>
  <c r="E166" i="81"/>
  <c r="F179" i="81"/>
  <c r="C115" i="81"/>
  <c r="F206" i="81"/>
  <c r="C174" i="81"/>
  <c r="C201" i="81"/>
  <c r="D170" i="81"/>
  <c r="D199" i="81"/>
  <c r="C170" i="81"/>
  <c r="E206" i="81"/>
  <c r="F171" i="81"/>
  <c r="D196" i="81"/>
  <c r="E171" i="81"/>
  <c r="B185" i="81"/>
  <c r="D159" i="81"/>
  <c r="E186" i="81"/>
  <c r="C167" i="81"/>
  <c r="B191" i="81"/>
  <c r="F162" i="80"/>
  <c r="B205" i="81"/>
  <c r="M176" i="84"/>
  <c r="E199" i="80"/>
  <c r="B196" i="81"/>
  <c r="B203" i="81"/>
  <c r="B206" i="81"/>
  <c r="C205" i="81"/>
  <c r="B118" i="81"/>
  <c r="G160" i="84"/>
  <c r="M205" i="84"/>
  <c r="D195" i="80"/>
  <c r="F115" i="80"/>
  <c r="B160" i="81"/>
  <c r="B173" i="81"/>
  <c r="M201" i="84"/>
  <c r="G165" i="84"/>
  <c r="M168" i="84"/>
  <c r="G119" i="84"/>
  <c r="C169" i="81"/>
  <c r="C116" i="80"/>
  <c r="E198" i="80"/>
  <c r="D160" i="80"/>
  <c r="E196" i="80"/>
  <c r="F197" i="80"/>
  <c r="D120" i="80"/>
  <c r="D170" i="80"/>
  <c r="F122" i="80"/>
  <c r="E170" i="80"/>
  <c r="E188" i="80"/>
  <c r="D205" i="80"/>
  <c r="F121" i="80"/>
  <c r="D162" i="80"/>
  <c r="E181" i="80"/>
  <c r="D204" i="80"/>
  <c r="B187" i="81"/>
  <c r="C124" i="81"/>
  <c r="B202" i="81"/>
  <c r="E169" i="81"/>
  <c r="C198" i="81"/>
  <c r="D167" i="81"/>
  <c r="B189" i="81"/>
  <c r="C199" i="81"/>
  <c r="C163" i="81"/>
  <c r="F201" i="81"/>
  <c r="C191" i="80"/>
  <c r="M190" i="84"/>
  <c r="E195" i="81"/>
  <c r="C161" i="81"/>
  <c r="E176" i="81"/>
  <c r="E165" i="81"/>
  <c r="B171" i="81"/>
  <c r="C120" i="81"/>
  <c r="B178" i="81"/>
  <c r="F200" i="80"/>
  <c r="C194" i="80"/>
  <c r="M197" i="84"/>
  <c r="E162" i="80"/>
  <c r="E178" i="80"/>
  <c r="F191" i="80"/>
  <c r="E120" i="80"/>
  <c r="M196" i="84"/>
  <c r="B188" i="81"/>
  <c r="C201" i="80"/>
  <c r="M195" i="84"/>
  <c r="G199" i="84"/>
  <c r="M160" i="84"/>
  <c r="G173" i="84"/>
  <c r="G187" i="84"/>
  <c r="M187" i="84"/>
  <c r="G115" i="84"/>
  <c r="N115" i="84" s="1"/>
  <c r="G166" i="84"/>
  <c r="M120" i="84"/>
  <c r="M165" i="84"/>
  <c r="F194" i="81"/>
  <c r="M159" i="84"/>
  <c r="E192" i="81"/>
  <c r="M158" i="84"/>
  <c r="M156" i="84"/>
  <c r="M157" i="84"/>
  <c r="M155" i="84"/>
  <c r="F172" i="81"/>
  <c r="E117" i="81"/>
  <c r="F117" i="81"/>
  <c r="D117" i="80"/>
  <c r="C166" i="80"/>
  <c r="C184" i="80"/>
  <c r="D178" i="80"/>
  <c r="D202" i="80"/>
  <c r="F192" i="80"/>
  <c r="D115" i="80"/>
  <c r="C164" i="80"/>
  <c r="C182" i="80"/>
  <c r="F203" i="80"/>
  <c r="E121" i="80"/>
  <c r="E171" i="80"/>
  <c r="C193" i="80"/>
  <c r="C124" i="80"/>
  <c r="E206" i="80"/>
  <c r="F159" i="80"/>
  <c r="E163" i="80"/>
  <c r="E205" i="80"/>
  <c r="D185" i="81"/>
  <c r="E122" i="81"/>
  <c r="D200" i="81"/>
  <c r="F167" i="81"/>
  <c r="E196" i="81"/>
  <c r="E187" i="81"/>
  <c r="B116" i="81"/>
  <c r="D187" i="81"/>
  <c r="C158" i="81"/>
  <c r="C156" i="81"/>
  <c r="C157" i="81"/>
  <c r="C155" i="81"/>
  <c r="F168" i="81"/>
  <c r="E197" i="81"/>
  <c r="F159" i="81"/>
  <c r="D198" i="81"/>
  <c r="C197" i="80"/>
  <c r="E159" i="81"/>
  <c r="M173" i="84"/>
  <c r="C166" i="81"/>
  <c r="E121" i="81"/>
  <c r="B161" i="81"/>
  <c r="C196" i="81"/>
  <c r="M182" i="84"/>
  <c r="F195" i="81"/>
  <c r="E177" i="81"/>
  <c r="B175" i="81"/>
  <c r="D202" i="81"/>
  <c r="M161" i="84"/>
  <c r="G197" i="84"/>
  <c r="G193" i="84"/>
  <c r="C177" i="80"/>
  <c r="G205" i="84"/>
  <c r="G194" i="84"/>
  <c r="G158" i="84"/>
  <c r="G156" i="84"/>
  <c r="G155" i="84"/>
  <c r="G157" i="84"/>
  <c r="G172" i="84"/>
  <c r="G186" i="84"/>
  <c r="G196" i="84"/>
  <c r="G183" i="84"/>
  <c r="G123" i="84"/>
  <c r="G118" i="84"/>
  <c r="E123" i="81"/>
  <c r="M189" i="84"/>
  <c r="D190" i="81"/>
  <c r="F188" i="81"/>
  <c r="B163" i="81"/>
  <c r="E161" i="81"/>
  <c r="E118" i="81"/>
  <c r="F174" i="81"/>
  <c r="E118" i="80"/>
  <c r="D167" i="80"/>
  <c r="D185" i="80"/>
  <c r="C202" i="80"/>
  <c r="F169" i="80"/>
  <c r="E161" i="80"/>
  <c r="F198" i="80"/>
  <c r="E116" i="80"/>
  <c r="D165" i="80"/>
  <c r="D183" i="80"/>
  <c r="C200" i="80"/>
  <c r="D194" i="80"/>
  <c r="F160" i="80"/>
  <c r="C174" i="80"/>
  <c r="F165" i="80"/>
  <c r="D186" i="80"/>
  <c r="F120" i="81"/>
  <c r="C195" i="81"/>
  <c r="D164" i="81"/>
  <c r="B193" i="81"/>
  <c r="C162" i="81"/>
  <c r="F185" i="81"/>
  <c r="F122" i="81"/>
  <c r="B167" i="81"/>
  <c r="B194" i="81"/>
  <c r="B158" i="81"/>
  <c r="B156" i="81"/>
  <c r="B155" i="81"/>
  <c r="B157" i="81"/>
  <c r="C203" i="80"/>
  <c r="C185" i="81"/>
  <c r="E164" i="81"/>
  <c r="F193" i="81"/>
  <c r="E115" i="81"/>
  <c r="M203" i="84"/>
  <c r="B159" i="81"/>
  <c r="C184" i="81"/>
  <c r="C176" i="80"/>
  <c r="E173" i="80"/>
  <c r="C186" i="80"/>
  <c r="F116" i="80"/>
  <c r="D169" i="80"/>
  <c r="D187" i="80"/>
  <c r="F203" i="81"/>
  <c r="C185" i="80"/>
  <c r="G117" i="84"/>
  <c r="G189" i="84"/>
  <c r="D180" i="81"/>
  <c r="F158" i="80"/>
  <c r="F155" i="80"/>
  <c r="F156" i="80"/>
  <c r="F157" i="80"/>
  <c r="E186" i="80"/>
  <c r="C115" i="80"/>
  <c r="C183" i="80"/>
  <c r="F204" i="80"/>
  <c r="E166" i="80"/>
  <c r="E184" i="80"/>
  <c r="D201" i="80"/>
  <c r="C175" i="80"/>
  <c r="F166" i="80"/>
  <c r="E158" i="80"/>
  <c r="E156" i="80"/>
  <c r="E155" i="80"/>
  <c r="E157" i="80"/>
  <c r="D175" i="80"/>
  <c r="C192" i="80"/>
  <c r="F171" i="80"/>
  <c r="C167" i="80"/>
  <c r="E187" i="80"/>
  <c r="C180" i="81"/>
  <c r="B119" i="81"/>
  <c r="E193" i="81"/>
  <c r="F158" i="81"/>
  <c r="F156" i="81"/>
  <c r="F157" i="81"/>
  <c r="F155" i="81"/>
  <c r="B184" i="81"/>
  <c r="C182" i="81"/>
  <c r="B121" i="81"/>
  <c r="D165" i="81"/>
  <c r="D124" i="81"/>
  <c r="C193" i="81"/>
  <c r="M175" i="84"/>
  <c r="E183" i="81"/>
  <c r="B124" i="81"/>
  <c r="F187" i="81"/>
  <c r="D193" i="81"/>
  <c r="E185" i="80"/>
  <c r="F196" i="81"/>
  <c r="D186" i="81"/>
  <c r="C197" i="81"/>
  <c r="B117" i="81"/>
  <c r="C176" i="81"/>
  <c r="C122" i="81"/>
  <c r="B183" i="81"/>
  <c r="G161" i="84"/>
  <c r="N161" i="84" s="1"/>
  <c r="M179" i="84"/>
  <c r="B174" i="81"/>
  <c r="D176" i="81"/>
  <c r="B165" i="81"/>
  <c r="B204" i="81"/>
  <c r="G203" i="84"/>
  <c r="C159" i="80"/>
  <c r="E203" i="81"/>
  <c r="G174" i="84"/>
  <c r="G204" i="84"/>
  <c r="M191" i="84"/>
  <c r="G180" i="84"/>
  <c r="G185" i="84"/>
  <c r="G120" i="84"/>
  <c r="E179" i="81"/>
  <c r="F162" i="81"/>
  <c r="G167" i="84"/>
  <c r="G179" i="84"/>
  <c r="G171" i="84"/>
  <c r="G170" i="84"/>
  <c r="G184" i="84"/>
  <c r="M169" i="84"/>
  <c r="M200" i="84"/>
  <c r="G116" i="84"/>
  <c r="M186" i="84"/>
  <c r="B176" i="81"/>
  <c r="F164" i="80"/>
  <c r="F181" i="80"/>
  <c r="D116" i="80"/>
  <c r="C165" i="80"/>
  <c r="D184" i="80"/>
  <c r="C120" i="80"/>
  <c r="E202" i="80"/>
  <c r="F117" i="80"/>
  <c r="D158" i="80"/>
  <c r="D157" i="80"/>
  <c r="D156" i="80"/>
  <c r="D155" i="80"/>
  <c r="D176" i="80"/>
  <c r="C199" i="80"/>
  <c r="F172" i="80"/>
  <c r="E176" i="80"/>
  <c r="D193" i="80"/>
  <c r="F177" i="80"/>
  <c r="C117" i="80"/>
  <c r="D168" i="80"/>
  <c r="C204" i="81"/>
  <c r="E178" i="81"/>
  <c r="D117" i="81"/>
  <c r="F191" i="81"/>
  <c r="C186" i="81"/>
  <c r="B125" i="81"/>
  <c r="O125" i="81" s="1"/>
  <c r="D182" i="81"/>
  <c r="F178" i="81"/>
  <c r="D119" i="81"/>
  <c r="B123" i="81"/>
  <c r="C187" i="81"/>
  <c r="F115" i="81"/>
  <c r="E191" i="81"/>
  <c r="F181" i="81"/>
  <c r="D195" i="81"/>
  <c r="F165" i="81"/>
  <c r="D189" i="81"/>
  <c r="E197" i="80"/>
  <c r="F192" i="81"/>
  <c r="D174" i="81"/>
  <c r="C191" i="81"/>
  <c r="B115" i="81"/>
  <c r="C160" i="81"/>
  <c r="B192" i="81"/>
  <c r="C206" i="81"/>
  <c r="D197" i="80"/>
  <c r="C117" i="81"/>
  <c r="M180" i="84"/>
  <c r="M181" i="84"/>
  <c r="M177" i="84"/>
  <c r="M206" i="84"/>
  <c r="M170" i="84"/>
  <c r="M119" i="84"/>
  <c r="M202" i="84"/>
  <c r="M118" i="84"/>
  <c r="B186" i="81"/>
  <c r="E119" i="81"/>
  <c r="D204" i="81"/>
  <c r="D123" i="80"/>
  <c r="F187" i="80"/>
  <c r="E117" i="80"/>
  <c r="D166" i="80"/>
  <c r="D121" i="80"/>
  <c r="C170" i="80"/>
  <c r="C188" i="80"/>
  <c r="F123" i="80"/>
  <c r="E159" i="80"/>
  <c r="E177" i="80"/>
  <c r="D200" i="80"/>
  <c r="F178" i="80"/>
  <c r="E194" i="80"/>
  <c r="F183" i="80"/>
  <c r="D118" i="80"/>
  <c r="E169" i="80"/>
  <c r="E202" i="81"/>
  <c r="D173" i="81"/>
  <c r="B190" i="81"/>
  <c r="B122" i="81"/>
  <c r="C118" i="81"/>
  <c r="C177" i="81"/>
  <c r="B177" i="81"/>
  <c r="D121" i="81"/>
  <c r="E185" i="81"/>
  <c r="F189" i="81"/>
  <c r="C203" i="81"/>
  <c r="B180" i="81"/>
  <c r="M194" i="84"/>
  <c r="D181" i="81"/>
  <c r="F180" i="81"/>
  <c r="D166" i="81"/>
  <c r="C189" i="81"/>
  <c r="B198" i="81"/>
  <c r="M122" i="84"/>
  <c r="Y10" i="87"/>
  <c r="M114" i="79"/>
  <c r="M125" i="80"/>
  <c r="F114" i="81"/>
  <c r="C104" i="80"/>
  <c r="C105" i="80" s="1"/>
  <c r="E114" i="80"/>
  <c r="D114" i="81"/>
  <c r="M125" i="81"/>
  <c r="S9" i="87"/>
  <c r="J104" i="80"/>
  <c r="J105" i="80" s="1"/>
  <c r="E104" i="80"/>
  <c r="E105" i="80" s="1"/>
  <c r="D12" i="87"/>
  <c r="I12" i="87"/>
  <c r="T12" i="87"/>
  <c r="F104" i="80"/>
  <c r="F105" i="80" s="1"/>
  <c r="J104" i="81"/>
  <c r="J105" i="81" s="1"/>
  <c r="I104" i="80"/>
  <c r="I105" i="80" s="1"/>
  <c r="D114" i="80"/>
  <c r="D104" i="80"/>
  <c r="D105" i="80" s="1"/>
  <c r="O15" i="87"/>
  <c r="V9" i="87"/>
  <c r="V12" i="87"/>
  <c r="G15" i="87"/>
  <c r="G12" i="87"/>
  <c r="T15" i="87"/>
  <c r="F9" i="87"/>
  <c r="D15" i="87"/>
  <c r="I9" i="87"/>
  <c r="O9" i="87"/>
  <c r="T9" i="87"/>
  <c r="U12" i="87"/>
  <c r="B104" i="81"/>
  <c r="B105" i="81" s="1"/>
  <c r="F114" i="80"/>
  <c r="H114" i="80"/>
  <c r="C114" i="81"/>
  <c r="B114" i="81"/>
  <c r="Q15" i="87"/>
  <c r="N15" i="87"/>
  <c r="O12" i="87"/>
  <c r="V15" i="87"/>
  <c r="F15" i="87"/>
  <c r="E12" i="87"/>
  <c r="D9" i="87"/>
  <c r="U9" i="87"/>
  <c r="G9" i="87"/>
  <c r="S12" i="87"/>
  <c r="U15" i="87"/>
  <c r="E15" i="87"/>
  <c r="E9" i="87"/>
  <c r="N12" i="87"/>
  <c r="L15" i="87"/>
  <c r="I15" i="87"/>
  <c r="N9" i="87"/>
  <c r="Q12" i="87"/>
  <c r="Q9" i="87"/>
  <c r="S15" i="87"/>
  <c r="L9" i="87"/>
  <c r="L12" i="87"/>
  <c r="F12" i="87"/>
  <c r="H104" i="81"/>
  <c r="H105" i="81" s="1"/>
  <c r="K104" i="80"/>
  <c r="K105" i="80" s="1"/>
  <c r="H114" i="81"/>
  <c r="E114" i="81"/>
  <c r="H104" i="80"/>
  <c r="H105" i="80" s="1"/>
  <c r="F104" i="81"/>
  <c r="F105" i="81" s="1"/>
  <c r="I104" i="81"/>
  <c r="I105" i="81" s="1"/>
  <c r="E104" i="81"/>
  <c r="E105" i="81" s="1"/>
  <c r="C114" i="80"/>
  <c r="U6" i="87"/>
  <c r="G6" i="87"/>
  <c r="D104" i="81"/>
  <c r="D105" i="81" s="1"/>
  <c r="T6" i="87"/>
  <c r="C104" i="81"/>
  <c r="C105" i="81" s="1"/>
  <c r="V6" i="87"/>
  <c r="D6" i="87"/>
  <c r="L6" i="87"/>
  <c r="E6" i="87"/>
  <c r="S6" i="87"/>
  <c r="Q6" i="87"/>
  <c r="N6" i="87"/>
  <c r="F6" i="87"/>
  <c r="K104" i="81"/>
  <c r="K105" i="81" s="1"/>
  <c r="O6" i="87"/>
  <c r="I6" i="87"/>
  <c r="G104" i="84"/>
  <c r="K10" i="87" s="1"/>
  <c r="G104" i="82"/>
  <c r="K16" i="87" s="1"/>
  <c r="B105" i="82"/>
  <c r="M114" i="82"/>
  <c r="W16" i="87"/>
  <c r="H105" i="82"/>
  <c r="I105" i="82"/>
  <c r="R16" i="87"/>
  <c r="I105" i="83"/>
  <c r="H105" i="83"/>
  <c r="G104" i="83"/>
  <c r="K13" i="87" s="1"/>
  <c r="B105" i="83"/>
  <c r="R13" i="87"/>
  <c r="M114" i="83"/>
  <c r="W13" i="87"/>
  <c r="R10" i="87"/>
  <c r="H105" i="84"/>
  <c r="B105" i="84"/>
  <c r="I105" i="84"/>
  <c r="M114" i="84"/>
  <c r="W10" i="87"/>
  <c r="I105" i="85"/>
  <c r="H105" i="85"/>
  <c r="B105" i="85"/>
  <c r="W7" i="87"/>
  <c r="M114" i="85"/>
  <c r="G104" i="85"/>
  <c r="K7" i="87" s="1"/>
  <c r="R7" i="87"/>
  <c r="G104" i="79"/>
  <c r="I9" i="41" s="1"/>
  <c r="H105" i="79"/>
  <c r="I105" i="79"/>
  <c r="M114" i="78"/>
  <c r="H105" i="78"/>
  <c r="G104" i="78"/>
  <c r="I8" i="41" s="1"/>
  <c r="B105" i="78"/>
  <c r="I105" i="78"/>
  <c r="H105" i="68"/>
  <c r="G104" i="68"/>
  <c r="I7" i="41" s="1"/>
  <c r="M114" i="68"/>
  <c r="I105" i="68"/>
  <c r="I105" i="57"/>
  <c r="B105" i="57"/>
  <c r="H105" i="57"/>
  <c r="N205" i="79" l="1"/>
  <c r="N194" i="83"/>
  <c r="N187" i="82"/>
  <c r="N120" i="84"/>
  <c r="N200" i="85"/>
  <c r="N164" i="85"/>
  <c r="N121" i="84"/>
  <c r="N163" i="82"/>
  <c r="N122" i="68"/>
  <c r="N171" i="85"/>
  <c r="N182" i="85"/>
  <c r="N165" i="82"/>
  <c r="N120" i="82"/>
  <c r="N183" i="83"/>
  <c r="N197" i="79"/>
  <c r="N160" i="82"/>
  <c r="N187" i="83"/>
  <c r="N180" i="83"/>
  <c r="N190" i="85"/>
  <c r="N168" i="85"/>
  <c r="N168" i="79"/>
  <c r="N117" i="84"/>
  <c r="N172" i="78"/>
  <c r="N175" i="78"/>
  <c r="N171" i="84"/>
  <c r="N119" i="78"/>
  <c r="N194" i="85"/>
  <c r="N120" i="68"/>
  <c r="P14" i="41" s="1"/>
  <c r="N204" i="83"/>
  <c r="N205" i="84"/>
  <c r="N116" i="84"/>
  <c r="N169" i="79"/>
  <c r="N119" i="83"/>
  <c r="N194" i="78"/>
  <c r="N201" i="83"/>
  <c r="O18" i="41"/>
  <c r="N200" i="79"/>
  <c r="N203" i="79"/>
  <c r="N184" i="85"/>
  <c r="N123" i="68"/>
  <c r="N193" i="68"/>
  <c r="N199" i="78"/>
  <c r="N175" i="85"/>
  <c r="N119" i="68"/>
  <c r="N184" i="82"/>
  <c r="N188" i="68"/>
  <c r="N201" i="78"/>
  <c r="N192" i="78"/>
  <c r="N185" i="83"/>
  <c r="N116" i="83"/>
  <c r="N184" i="79"/>
  <c r="N115" i="82"/>
  <c r="N123" i="84"/>
  <c r="N124" i="84"/>
  <c r="N183" i="84"/>
  <c r="N198" i="84"/>
  <c r="N186" i="85"/>
  <c r="N166" i="68"/>
  <c r="N174" i="79"/>
  <c r="N172" i="79"/>
  <c r="N192" i="83"/>
  <c r="N166" i="78"/>
  <c r="N199" i="83"/>
  <c r="N116" i="79"/>
  <c r="N164" i="78"/>
  <c r="N121" i="82"/>
  <c r="N124" i="78"/>
  <c r="N157" i="78"/>
  <c r="N121" i="85"/>
  <c r="N169" i="85"/>
  <c r="N173" i="68"/>
  <c r="N171" i="82"/>
  <c r="N175" i="82"/>
  <c r="N190" i="78"/>
  <c r="N122" i="82"/>
  <c r="N190" i="82"/>
  <c r="N204" i="84"/>
  <c r="N121" i="68"/>
  <c r="N159" i="83"/>
  <c r="N157" i="79"/>
  <c r="N124" i="79"/>
  <c r="N124" i="85"/>
  <c r="N156" i="79"/>
  <c r="N167" i="79"/>
  <c r="N177" i="79"/>
  <c r="N206" i="79"/>
  <c r="N118" i="79"/>
  <c r="N120" i="79"/>
  <c r="P16" i="41" s="1"/>
  <c r="N158" i="79"/>
  <c r="N115" i="79"/>
  <c r="N170" i="85"/>
  <c r="N196" i="85"/>
  <c r="N178" i="85"/>
  <c r="N160" i="78"/>
  <c r="N122" i="78"/>
  <c r="N155" i="78"/>
  <c r="N121" i="78"/>
  <c r="N168" i="83"/>
  <c r="N123" i="83"/>
  <c r="N202" i="83"/>
  <c r="N206" i="83"/>
  <c r="M105" i="82"/>
  <c r="N176" i="82"/>
  <c r="N117" i="82"/>
  <c r="N198" i="82"/>
  <c r="N180" i="82"/>
  <c r="N178" i="82"/>
  <c r="N185" i="82"/>
  <c r="N196" i="84"/>
  <c r="N116" i="78"/>
  <c r="O122" i="81"/>
  <c r="O123" i="81"/>
  <c r="O194" i="81"/>
  <c r="O190" i="81"/>
  <c r="N189" i="84"/>
  <c r="N158" i="84"/>
  <c r="O116" i="81"/>
  <c r="N192" i="82"/>
  <c r="N191" i="79"/>
  <c r="N156" i="78"/>
  <c r="N123" i="79"/>
  <c r="N155" i="79"/>
  <c r="N162" i="79"/>
  <c r="N156" i="84"/>
  <c r="N161" i="68"/>
  <c r="N122" i="85"/>
  <c r="N169" i="68"/>
  <c r="N201" i="85"/>
  <c r="N163" i="85"/>
  <c r="N172" i="85"/>
  <c r="N165" i="85"/>
  <c r="O184" i="81"/>
  <c r="N168" i="78"/>
  <c r="N172" i="84"/>
  <c r="N193" i="84"/>
  <c r="N188" i="84"/>
  <c r="N184" i="84"/>
  <c r="N174" i="84"/>
  <c r="N166" i="84"/>
  <c r="N178" i="84"/>
  <c r="N165" i="78"/>
  <c r="O183" i="81"/>
  <c r="O198" i="81"/>
  <c r="O175" i="81"/>
  <c r="N121" i="83"/>
  <c r="N117" i="83"/>
  <c r="N163" i="83"/>
  <c r="N175" i="83"/>
  <c r="N176" i="83"/>
  <c r="N178" i="83"/>
  <c r="O167" i="81"/>
  <c r="O124" i="81"/>
  <c r="N167" i="84"/>
  <c r="N157" i="84"/>
  <c r="N164" i="84"/>
  <c r="N155" i="84"/>
  <c r="N162" i="83"/>
  <c r="N174" i="78"/>
  <c r="N186" i="68"/>
  <c r="N177" i="68"/>
  <c r="N201" i="82"/>
  <c r="N202" i="68"/>
  <c r="N119" i="82"/>
  <c r="N158" i="78"/>
  <c r="N162" i="68"/>
  <c r="N172" i="82"/>
  <c r="N188" i="83"/>
  <c r="N195" i="78"/>
  <c r="N166" i="83"/>
  <c r="N123" i="85"/>
  <c r="N203" i="84"/>
  <c r="N185" i="84"/>
  <c r="N197" i="84"/>
  <c r="N199" i="84"/>
  <c r="N197" i="82"/>
  <c r="N170" i="78"/>
  <c r="N179" i="85"/>
  <c r="N160" i="79"/>
  <c r="N190" i="79"/>
  <c r="N177" i="78"/>
  <c r="N178" i="78"/>
  <c r="N117" i="85"/>
  <c r="N167" i="78"/>
  <c r="N186" i="82"/>
  <c r="N192" i="79"/>
  <c r="N160" i="85"/>
  <c r="N179" i="79"/>
  <c r="N206" i="78"/>
  <c r="N162" i="82"/>
  <c r="N169" i="83"/>
  <c r="N161" i="82"/>
  <c r="N174" i="82"/>
  <c r="N163" i="79"/>
  <c r="N122" i="79"/>
  <c r="N123" i="78"/>
  <c r="N183" i="82"/>
  <c r="N119" i="85"/>
  <c r="N185" i="78"/>
  <c r="O163" i="81"/>
  <c r="O159" i="81"/>
  <c r="O171" i="81"/>
  <c r="N189" i="68"/>
  <c r="N196" i="83"/>
  <c r="O186" i="81"/>
  <c r="O192" i="81"/>
  <c r="N115" i="78"/>
  <c r="N203" i="85"/>
  <c r="N186" i="78"/>
  <c r="N188" i="85"/>
  <c r="N181" i="78"/>
  <c r="N183" i="85"/>
  <c r="N187" i="78"/>
  <c r="N202" i="85"/>
  <c r="N187" i="85"/>
  <c r="O205" i="81"/>
  <c r="O177" i="81"/>
  <c r="N167" i="68"/>
  <c r="N179" i="84"/>
  <c r="N194" i="79"/>
  <c r="O155" i="81"/>
  <c r="H11" i="41"/>
  <c r="O176" i="81"/>
  <c r="O25" i="41"/>
  <c r="N196" i="68"/>
  <c r="N183" i="68"/>
  <c r="N116" i="68"/>
  <c r="N194" i="68"/>
  <c r="N192" i="68"/>
  <c r="N170" i="68"/>
  <c r="N124" i="68"/>
  <c r="N191" i="68"/>
  <c r="M105" i="80"/>
  <c r="N195" i="68"/>
  <c r="N165" i="68"/>
  <c r="N205" i="68"/>
  <c r="N159" i="68"/>
  <c r="M105" i="85"/>
  <c r="N118" i="78"/>
  <c r="N164" i="79"/>
  <c r="N181" i="68"/>
  <c r="N179" i="68"/>
  <c r="N179" i="78"/>
  <c r="N166" i="85"/>
  <c r="N171" i="68"/>
  <c r="N186" i="79"/>
  <c r="N205" i="78"/>
  <c r="N198" i="79"/>
  <c r="N205" i="83"/>
  <c r="M105" i="57"/>
  <c r="M105" i="78"/>
  <c r="M105" i="79"/>
  <c r="M105" i="81"/>
  <c r="O204" i="81"/>
  <c r="O158" i="81"/>
  <c r="N194" i="84"/>
  <c r="O161" i="81"/>
  <c r="N187" i="84"/>
  <c r="N165" i="84"/>
  <c r="O118" i="81"/>
  <c r="O196" i="81"/>
  <c r="O164" i="81"/>
  <c r="N182" i="84"/>
  <c r="N163" i="84"/>
  <c r="O197" i="81"/>
  <c r="N122" i="84"/>
  <c r="N159" i="84"/>
  <c r="N182" i="83"/>
  <c r="N157" i="85"/>
  <c r="N204" i="68"/>
  <c r="N198" i="83"/>
  <c r="N175" i="79"/>
  <c r="N163" i="78"/>
  <c r="N155" i="68"/>
  <c r="N172" i="83"/>
  <c r="N116" i="85"/>
  <c r="N155" i="83"/>
  <c r="N169" i="78"/>
  <c r="N173" i="85"/>
  <c r="N182" i="79"/>
  <c r="N123" i="82"/>
  <c r="N166" i="82"/>
  <c r="N204" i="82"/>
  <c r="N186" i="83"/>
  <c r="N177" i="85"/>
  <c r="N162" i="85"/>
  <c r="N173" i="79"/>
  <c r="N156" i="82"/>
  <c r="N189" i="85"/>
  <c r="N174" i="85"/>
  <c r="N191" i="83"/>
  <c r="N185" i="85"/>
  <c r="N180" i="85"/>
  <c r="N199" i="82"/>
  <c r="N118" i="82"/>
  <c r="N165" i="83"/>
  <c r="N117" i="68"/>
  <c r="N172" i="68"/>
  <c r="N189" i="78"/>
  <c r="N193" i="79"/>
  <c r="N161" i="78"/>
  <c r="N164" i="82"/>
  <c r="N164" i="83"/>
  <c r="N203" i="68"/>
  <c r="N114" i="82"/>
  <c r="N195" i="85"/>
  <c r="N184" i="78"/>
  <c r="O104" i="81"/>
  <c r="O180" i="81"/>
  <c r="O115" i="81"/>
  <c r="N170" i="84"/>
  <c r="N180" i="84"/>
  <c r="O165" i="81"/>
  <c r="O117" i="81"/>
  <c r="O157" i="81"/>
  <c r="N173" i="84"/>
  <c r="O187" i="81"/>
  <c r="O191" i="81"/>
  <c r="O185" i="81"/>
  <c r="N201" i="84"/>
  <c r="O201" i="81"/>
  <c r="O199" i="81"/>
  <c r="O168" i="81"/>
  <c r="N176" i="84"/>
  <c r="O179" i="81"/>
  <c r="N200" i="84"/>
  <c r="N195" i="84"/>
  <c r="N204" i="78"/>
  <c r="N156" i="85"/>
  <c r="N117" i="78"/>
  <c r="N202" i="78"/>
  <c r="N199" i="68"/>
  <c r="N178" i="68"/>
  <c r="N193" i="78"/>
  <c r="N160" i="83"/>
  <c r="N181" i="79"/>
  <c r="N193" i="83"/>
  <c r="N204" i="79"/>
  <c r="N174" i="68"/>
  <c r="N203" i="82"/>
  <c r="N163" i="68"/>
  <c r="N190" i="68"/>
  <c r="N158" i="68"/>
  <c r="N120" i="83"/>
  <c r="N157" i="83"/>
  <c r="N173" i="82"/>
  <c r="N170" i="83"/>
  <c r="N181" i="85"/>
  <c r="N118" i="85"/>
  <c r="N198" i="78"/>
  <c r="N162" i="78"/>
  <c r="N197" i="83"/>
  <c r="N171" i="83"/>
  <c r="N191" i="84"/>
  <c r="N119" i="79"/>
  <c r="N183" i="79"/>
  <c r="N182" i="78"/>
  <c r="N187" i="79"/>
  <c r="N201" i="79"/>
  <c r="N167" i="82"/>
  <c r="N179" i="82"/>
  <c r="N118" i="83"/>
  <c r="N174" i="83"/>
  <c r="N192" i="85"/>
  <c r="N183" i="78"/>
  <c r="N187" i="68"/>
  <c r="N157" i="82"/>
  <c r="N193" i="85"/>
  <c r="N199" i="85"/>
  <c r="N191" i="78"/>
  <c r="N117" i="79"/>
  <c r="N200" i="83"/>
  <c r="N196" i="82"/>
  <c r="N191" i="85"/>
  <c r="N200" i="78"/>
  <c r="N159" i="85"/>
  <c r="N190" i="83"/>
  <c r="N159" i="79"/>
  <c r="N180" i="79"/>
  <c r="N180" i="78"/>
  <c r="N114" i="85"/>
  <c r="N114" i="79"/>
  <c r="N184" i="83"/>
  <c r="N124" i="83"/>
  <c r="N184" i="68"/>
  <c r="M105" i="83"/>
  <c r="O121" i="81"/>
  <c r="O119" i="81"/>
  <c r="O193" i="81"/>
  <c r="N118" i="84"/>
  <c r="N186" i="84"/>
  <c r="O188" i="81"/>
  <c r="N119" i="84"/>
  <c r="O173" i="81"/>
  <c r="O206" i="81"/>
  <c r="N190" i="84"/>
  <c r="N177" i="84"/>
  <c r="O172" i="81"/>
  <c r="O166" i="81"/>
  <c r="O169" i="81"/>
  <c r="N192" i="84"/>
  <c r="N155" i="85"/>
  <c r="N202" i="82"/>
  <c r="N197" i="78"/>
  <c r="N161" i="85"/>
  <c r="N168" i="68"/>
  <c r="N157" i="68"/>
  <c r="N158" i="83"/>
  <c r="N194" i="82"/>
  <c r="N177" i="82"/>
  <c r="N175" i="84"/>
  <c r="N196" i="79"/>
  <c r="N159" i="78"/>
  <c r="N115" i="68"/>
  <c r="N167" i="83"/>
  <c r="N181" i="84"/>
  <c r="N168" i="84"/>
  <c r="N185" i="79"/>
  <c r="N200" i="82"/>
  <c r="N189" i="82"/>
  <c r="N179" i="83"/>
  <c r="N178" i="79"/>
  <c r="N201" i="68"/>
  <c r="N158" i="82"/>
  <c r="N175" i="68"/>
  <c r="N167" i="85"/>
  <c r="N198" i="85"/>
  <c r="N160" i="68"/>
  <c r="N176" i="68"/>
  <c r="N168" i="82"/>
  <c r="N121" i="79"/>
  <c r="N195" i="83"/>
  <c r="N173" i="83"/>
  <c r="N170" i="79"/>
  <c r="N173" i="78"/>
  <c r="N182" i="68"/>
  <c r="N196" i="78"/>
  <c r="N206" i="82"/>
  <c r="N164" i="68"/>
  <c r="N188" i="79"/>
  <c r="N204" i="85"/>
  <c r="N122" i="83"/>
  <c r="N176" i="79"/>
  <c r="N114" i="84"/>
  <c r="N114" i="83"/>
  <c r="N114" i="68"/>
  <c r="N124" i="82"/>
  <c r="M105" i="68"/>
  <c r="M105" i="84"/>
  <c r="O114" i="81"/>
  <c r="O174" i="81"/>
  <c r="O156" i="81"/>
  <c r="O178" i="81"/>
  <c r="O189" i="81"/>
  <c r="O202" i="81"/>
  <c r="O160" i="81"/>
  <c r="N160" i="84"/>
  <c r="O203" i="81"/>
  <c r="O162" i="81"/>
  <c r="O195" i="81"/>
  <c r="O181" i="81"/>
  <c r="O200" i="81"/>
  <c r="O120" i="81"/>
  <c r="O170" i="81"/>
  <c r="O182" i="81"/>
  <c r="N202" i="84"/>
  <c r="N206" i="84"/>
  <c r="N169" i="84"/>
  <c r="N176" i="85"/>
  <c r="N158" i="85"/>
  <c r="N161" i="79"/>
  <c r="N118" i="68"/>
  <c r="N200" i="68"/>
  <c r="N169" i="82"/>
  <c r="N161" i="83"/>
  <c r="N120" i="78"/>
  <c r="P15" i="41" s="1"/>
  <c r="N120" i="85"/>
  <c r="N195" i="79"/>
  <c r="N116" i="82"/>
  <c r="N115" i="85"/>
  <c r="N156" i="68"/>
  <c r="N156" i="83"/>
  <c r="N177" i="83"/>
  <c r="N165" i="79"/>
  <c r="N193" i="82"/>
  <c r="N181" i="82"/>
  <c r="N206" i="85"/>
  <c r="N199" i="79"/>
  <c r="N166" i="79"/>
  <c r="N206" i="68"/>
  <c r="N180" i="68"/>
  <c r="N197" i="68"/>
  <c r="N203" i="83"/>
  <c r="N182" i="82"/>
  <c r="N162" i="84"/>
  <c r="N205" i="85"/>
  <c r="N188" i="78"/>
  <c r="N155" i="82"/>
  <c r="N195" i="82"/>
  <c r="N185" i="68"/>
  <c r="N202" i="79"/>
  <c r="N198" i="68"/>
  <c r="N170" i="82"/>
  <c r="N188" i="82"/>
  <c r="N205" i="82"/>
  <c r="N181" i="83"/>
  <c r="N176" i="78"/>
  <c r="N159" i="82"/>
  <c r="N203" i="78"/>
  <c r="N189" i="79"/>
  <c r="N189" i="83"/>
  <c r="G125" i="81"/>
  <c r="N125" i="81" s="1"/>
  <c r="N19" i="81"/>
  <c r="N114" i="78"/>
  <c r="N191" i="82"/>
  <c r="N197" i="85"/>
  <c r="G105" i="82"/>
  <c r="G105" i="79"/>
  <c r="G105" i="85"/>
  <c r="G105" i="83"/>
  <c r="G105" i="68"/>
  <c r="G105" i="78"/>
  <c r="G105" i="84"/>
  <c r="G105" i="57"/>
  <c r="G105" i="81"/>
  <c r="G114" i="81"/>
  <c r="M115" i="81"/>
  <c r="G123" i="81"/>
  <c r="G198" i="81"/>
  <c r="M182" i="80"/>
  <c r="M190" i="81"/>
  <c r="M176" i="80"/>
  <c r="M168" i="80"/>
  <c r="M184" i="80"/>
  <c r="M167" i="81"/>
  <c r="G166" i="81"/>
  <c r="G181" i="81"/>
  <c r="M119" i="80"/>
  <c r="G165" i="81"/>
  <c r="M159" i="81"/>
  <c r="G204" i="81"/>
  <c r="G188" i="81"/>
  <c r="G120" i="81"/>
  <c r="G197" i="81"/>
  <c r="M199" i="81"/>
  <c r="M121" i="80"/>
  <c r="G191" i="81"/>
  <c r="M201" i="80"/>
  <c r="M172" i="80"/>
  <c r="M176" i="81"/>
  <c r="M164" i="80"/>
  <c r="G175" i="81"/>
  <c r="M200" i="80"/>
  <c r="G196" i="81"/>
  <c r="M204" i="81"/>
  <c r="G177" i="81"/>
  <c r="G162" i="81"/>
  <c r="M198" i="81"/>
  <c r="G118" i="81"/>
  <c r="M117" i="81"/>
  <c r="M170" i="80"/>
  <c r="M120" i="80"/>
  <c r="M119" i="81"/>
  <c r="M175" i="81"/>
  <c r="M205" i="80"/>
  <c r="M170" i="81"/>
  <c r="M206" i="80"/>
  <c r="M193" i="81"/>
  <c r="M183" i="81"/>
  <c r="M195" i="80"/>
  <c r="G173" i="81"/>
  <c r="M180" i="80"/>
  <c r="M191" i="80"/>
  <c r="M116" i="80"/>
  <c r="M193" i="80"/>
  <c r="M188" i="80"/>
  <c r="M169" i="80"/>
  <c r="M178" i="80"/>
  <c r="M187" i="80"/>
  <c r="M175" i="80"/>
  <c r="G186" i="81"/>
  <c r="M189" i="81"/>
  <c r="M124" i="80"/>
  <c r="G203" i="81"/>
  <c r="M122" i="81"/>
  <c r="G176" i="81"/>
  <c r="M203" i="81"/>
  <c r="M179" i="81"/>
  <c r="M201" i="81"/>
  <c r="G180" i="81"/>
  <c r="M174" i="80"/>
  <c r="G202" i="81"/>
  <c r="M124" i="81"/>
  <c r="M195" i="81"/>
  <c r="G119" i="81"/>
  <c r="G124" i="81"/>
  <c r="M159" i="80"/>
  <c r="M180" i="81"/>
  <c r="G200" i="81"/>
  <c r="M179" i="80"/>
  <c r="G178" i="81"/>
  <c r="G182" i="81"/>
  <c r="M183" i="80"/>
  <c r="M206" i="81"/>
  <c r="M116" i="81"/>
  <c r="M184" i="81"/>
  <c r="M171" i="81"/>
  <c r="M158" i="81"/>
  <c r="M155" i="81"/>
  <c r="M157" i="81"/>
  <c r="M156" i="81"/>
  <c r="M187" i="81"/>
  <c r="G122" i="81"/>
  <c r="G189" i="81"/>
  <c r="G179" i="81"/>
  <c r="G163" i="81"/>
  <c r="M168" i="81"/>
  <c r="M182" i="81"/>
  <c r="M122" i="80"/>
  <c r="G169" i="81"/>
  <c r="G193" i="81"/>
  <c r="M169" i="81"/>
  <c r="M186" i="80"/>
  <c r="G195" i="81"/>
  <c r="G168" i="81"/>
  <c r="M160" i="80"/>
  <c r="M121" i="81"/>
  <c r="G116" i="81"/>
  <c r="M194" i="81"/>
  <c r="G171" i="81"/>
  <c r="M192" i="80"/>
  <c r="M118" i="80"/>
  <c r="M160" i="81"/>
  <c r="G167" i="81"/>
  <c r="G183" i="81"/>
  <c r="M120" i="81"/>
  <c r="G170" i="81"/>
  <c r="M199" i="80"/>
  <c r="M196" i="80"/>
  <c r="M165" i="81"/>
  <c r="G115" i="81"/>
  <c r="G161" i="81"/>
  <c r="M202" i="81"/>
  <c r="M205" i="81"/>
  <c r="G185" i="81"/>
  <c r="M186" i="81"/>
  <c r="M166" i="80"/>
  <c r="M196" i="81"/>
  <c r="M173" i="80"/>
  <c r="M167" i="80"/>
  <c r="G206" i="81"/>
  <c r="M197" i="81"/>
  <c r="M162" i="80"/>
  <c r="G158" i="81"/>
  <c r="G156" i="81"/>
  <c r="G157" i="81"/>
  <c r="G155" i="81"/>
  <c r="M178" i="81"/>
  <c r="M194" i="80"/>
  <c r="M181" i="81"/>
  <c r="G159" i="81"/>
  <c r="M190" i="80"/>
  <c r="M164" i="81"/>
  <c r="M204" i="80"/>
  <c r="M197" i="80"/>
  <c r="G172" i="81"/>
  <c r="M163" i="80"/>
  <c r="M173" i="81"/>
  <c r="M203" i="80"/>
  <c r="M185" i="81"/>
  <c r="G174" i="81"/>
  <c r="M165" i="80"/>
  <c r="G201" i="81"/>
  <c r="M161" i="81"/>
  <c r="M200" i="81"/>
  <c r="M162" i="81"/>
  <c r="M115" i="80"/>
  <c r="M202" i="80"/>
  <c r="M174" i="81"/>
  <c r="M166" i="81"/>
  <c r="M185" i="80"/>
  <c r="M158" i="80"/>
  <c r="M156" i="80"/>
  <c r="M157" i="80"/>
  <c r="M155" i="80"/>
  <c r="M163" i="81"/>
  <c r="M123" i="81"/>
  <c r="M192" i="81"/>
  <c r="M189" i="80"/>
  <c r="M118" i="81"/>
  <c r="G190" i="81"/>
  <c r="G121" i="81"/>
  <c r="G117" i="81"/>
  <c r="G194" i="81"/>
  <c r="G184" i="81"/>
  <c r="G187" i="81"/>
  <c r="M161" i="80"/>
  <c r="G192" i="81"/>
  <c r="G160" i="81"/>
  <c r="G199" i="81"/>
  <c r="M198" i="80"/>
  <c r="G164" i="81"/>
  <c r="M177" i="81"/>
  <c r="G205" i="81"/>
  <c r="M188" i="81"/>
  <c r="M177" i="80"/>
  <c r="M123" i="80"/>
  <c r="M191" i="81"/>
  <c r="M172" i="81"/>
  <c r="M181" i="80"/>
  <c r="M117" i="80"/>
  <c r="M171" i="80"/>
  <c r="M114" i="80"/>
  <c r="M114" i="81"/>
  <c r="R9" i="87"/>
  <c r="K15" i="87"/>
  <c r="Y9" i="87"/>
  <c r="W12" i="87"/>
  <c r="W15" i="87"/>
  <c r="K12" i="87"/>
  <c r="R15" i="87"/>
  <c r="K9" i="87"/>
  <c r="Y15" i="87"/>
  <c r="Y12" i="87"/>
  <c r="W9" i="87"/>
  <c r="R12" i="87"/>
  <c r="G104" i="81"/>
  <c r="W6" i="87"/>
  <c r="R6" i="87"/>
  <c r="N104" i="82"/>
  <c r="L106" i="82" s="1"/>
  <c r="N104" i="83"/>
  <c r="L106" i="83" s="1"/>
  <c r="N104" i="84"/>
  <c r="L106" i="84" s="1"/>
  <c r="N104" i="85"/>
  <c r="L106" i="85" s="1"/>
  <c r="N104" i="79"/>
  <c r="N104" i="78"/>
  <c r="N104" i="68"/>
  <c r="N189" i="81" l="1"/>
  <c r="N155" i="81"/>
  <c r="N119" i="81"/>
  <c r="N201" i="81"/>
  <c r="N156" i="81"/>
  <c r="N176" i="81"/>
  <c r="N122" i="81"/>
  <c r="N187" i="81"/>
  <c r="N205" i="81"/>
  <c r="N168" i="81"/>
  <c r="N194" i="81"/>
  <c r="N121" i="81"/>
  <c r="N164" i="81"/>
  <c r="N158" i="81"/>
  <c r="N167" i="81"/>
  <c r="N171" i="81"/>
  <c r="N117" i="81"/>
  <c r="N159" i="81"/>
  <c r="N115" i="81"/>
  <c r="N193" i="81"/>
  <c r="N170" i="81"/>
  <c r="N206" i="81"/>
  <c r="N179" i="81"/>
  <c r="N192" i="81"/>
  <c r="L106" i="79"/>
  <c r="P9" i="41"/>
  <c r="L106" i="78"/>
  <c r="P8" i="41"/>
  <c r="L106" i="68"/>
  <c r="P7" i="41"/>
  <c r="N199" i="81"/>
  <c r="N157" i="81"/>
  <c r="N116" i="81"/>
  <c r="N195" i="81"/>
  <c r="N169" i="81"/>
  <c r="N124" i="81"/>
  <c r="N203" i="81"/>
  <c r="N160" i="81"/>
  <c r="N184" i="81"/>
  <c r="N190" i="81"/>
  <c r="N183" i="81"/>
  <c r="N185" i="81"/>
  <c r="N178" i="81"/>
  <c r="N186" i="81"/>
  <c r="N162" i="81"/>
  <c r="N204" i="81"/>
  <c r="N163" i="81"/>
  <c r="N202" i="81"/>
  <c r="N177" i="81"/>
  <c r="N175" i="81"/>
  <c r="N197" i="81"/>
  <c r="N174" i="81"/>
  <c r="N200" i="81"/>
  <c r="N173" i="81"/>
  <c r="N118" i="81"/>
  <c r="N191" i="81"/>
  <c r="N120" i="81"/>
  <c r="N181" i="81"/>
  <c r="N198" i="81"/>
  <c r="N172" i="81"/>
  <c r="N161" i="81"/>
  <c r="N182" i="81"/>
  <c r="N180" i="81"/>
  <c r="N196" i="81"/>
  <c r="N188" i="81"/>
  <c r="N165" i="81"/>
  <c r="N166" i="81"/>
  <c r="N123" i="81"/>
  <c r="N114" i="81"/>
  <c r="O105" i="84"/>
  <c r="T87" i="37" s="1"/>
  <c r="O105" i="83"/>
  <c r="M102" i="37" s="1"/>
  <c r="O105" i="85"/>
  <c r="I79" i="37" s="1"/>
  <c r="O105" i="81"/>
  <c r="O105" i="78"/>
  <c r="I102" i="37" s="1"/>
  <c r="O105" i="79"/>
  <c r="D87" i="37" s="1"/>
  <c r="O105" i="57"/>
  <c r="O105" i="68"/>
  <c r="T92" i="37" s="1"/>
  <c r="O105" i="82"/>
  <c r="D92" i="37" s="1"/>
  <c r="G106" i="68"/>
  <c r="X10" i="87"/>
  <c r="X13" i="87"/>
  <c r="G106" i="83"/>
  <c r="X15" i="87"/>
  <c r="X9" i="87"/>
  <c r="G106" i="82"/>
  <c r="X16" i="87"/>
  <c r="X12" i="87"/>
  <c r="X7" i="87"/>
  <c r="N104" i="81"/>
  <c r="L106" i="81" s="1"/>
  <c r="M106" i="82"/>
  <c r="M106" i="85"/>
  <c r="N106" i="82"/>
  <c r="C106" i="82"/>
  <c r="D106" i="82"/>
  <c r="J106" i="82"/>
  <c r="K106" i="82"/>
  <c r="H106" i="82"/>
  <c r="I106" i="82"/>
  <c r="E106" i="82"/>
  <c r="F106" i="82"/>
  <c r="B106" i="82"/>
  <c r="N106" i="83"/>
  <c r="F106" i="83"/>
  <c r="I106" i="83"/>
  <c r="H106" i="83"/>
  <c r="E106" i="83"/>
  <c r="J106" i="83"/>
  <c r="K106" i="83"/>
  <c r="D106" i="83"/>
  <c r="C106" i="83"/>
  <c r="B106" i="83"/>
  <c r="M106" i="83"/>
  <c r="N106" i="84"/>
  <c r="G106" i="84"/>
  <c r="B106" i="84"/>
  <c r="I106" i="84"/>
  <c r="J106" i="84"/>
  <c r="D106" i="84"/>
  <c r="E106" i="84"/>
  <c r="K106" i="84"/>
  <c r="C106" i="84"/>
  <c r="H106" i="84"/>
  <c r="F106" i="84"/>
  <c r="M106" i="84"/>
  <c r="N106" i="85"/>
  <c r="C106" i="85"/>
  <c r="I106" i="85"/>
  <c r="B106" i="85"/>
  <c r="H106" i="85"/>
  <c r="D106" i="85"/>
  <c r="E106" i="85"/>
  <c r="K106" i="85"/>
  <c r="F106" i="85"/>
  <c r="J106" i="85"/>
  <c r="G106" i="85"/>
  <c r="G106" i="78"/>
  <c r="M106" i="78"/>
  <c r="N106" i="79"/>
  <c r="B106" i="79"/>
  <c r="F106" i="79"/>
  <c r="C106" i="79"/>
  <c r="D106" i="79"/>
  <c r="E106" i="79"/>
  <c r="K106" i="79"/>
  <c r="J106" i="79"/>
  <c r="H106" i="79"/>
  <c r="I106" i="79"/>
  <c r="G106" i="79"/>
  <c r="M106" i="79"/>
  <c r="N106" i="78"/>
  <c r="J106" i="78"/>
  <c r="F106" i="78"/>
  <c r="H106" i="78"/>
  <c r="B106" i="78"/>
  <c r="C106" i="78"/>
  <c r="D106" i="78"/>
  <c r="E106" i="78"/>
  <c r="I106" i="78"/>
  <c r="K106" i="78"/>
  <c r="M106" i="68"/>
  <c r="N106" i="68"/>
  <c r="B106" i="68"/>
  <c r="C106" i="68"/>
  <c r="F106" i="68"/>
  <c r="H106" i="68"/>
  <c r="E106" i="68"/>
  <c r="J106" i="68"/>
  <c r="D106" i="68"/>
  <c r="I106" i="68"/>
  <c r="K106" i="68"/>
  <c r="K106" i="81" l="1"/>
  <c r="E106" i="81"/>
  <c r="D106" i="81"/>
  <c r="C106" i="81"/>
  <c r="N106" i="81"/>
  <c r="H106" i="81"/>
  <c r="B106" i="81"/>
  <c r="M106" i="81"/>
  <c r="I106" i="81"/>
  <c r="F106" i="81"/>
  <c r="J106" i="81"/>
  <c r="G106" i="81"/>
  <c r="G104" i="57" l="1"/>
  <c r="H6" i="86" s="1"/>
  <c r="N104" i="57" l="1"/>
  <c r="L106" i="57" l="1"/>
  <c r="O6" i="86"/>
  <c r="R6" i="86" s="1"/>
  <c r="E4" i="62"/>
  <c r="E4" i="64"/>
  <c r="E4" i="66"/>
  <c r="B12" i="86" s="1"/>
  <c r="B4" i="43"/>
  <c r="B110" i="43" s="1"/>
  <c r="B4" i="58"/>
  <c r="B110" i="58" s="1"/>
  <c r="B4" i="59"/>
  <c r="B110" i="59" s="1"/>
  <c r="E4" i="57"/>
  <c r="E4" i="58"/>
  <c r="E4" i="60"/>
  <c r="B4" i="64"/>
  <c r="B4" i="63"/>
  <c r="B4" i="65"/>
  <c r="G106" i="57"/>
  <c r="K106" i="57"/>
  <c r="N106" i="57"/>
  <c r="I106" i="57"/>
  <c r="F106" i="57"/>
  <c r="C106" i="57"/>
  <c r="E106" i="57"/>
  <c r="J106" i="57"/>
  <c r="D106" i="57"/>
  <c r="B106" i="57"/>
  <c r="H106" i="57"/>
  <c r="M106" i="57"/>
  <c r="B19" i="86" l="1"/>
  <c r="B110" i="65"/>
  <c r="B110" i="64"/>
  <c r="B18" i="86"/>
  <c r="B110" i="63"/>
  <c r="G100" i="77"/>
  <c r="N100" i="77" s="1"/>
  <c r="G92" i="77"/>
  <c r="N92" i="77" s="1"/>
  <c r="G88" i="77"/>
  <c r="N88" i="77" s="1"/>
  <c r="G84" i="77"/>
  <c r="N84" i="77" s="1"/>
  <c r="G80" i="77"/>
  <c r="N80" i="77" s="1"/>
  <c r="G76" i="77"/>
  <c r="N76" i="77" s="1"/>
  <c r="G72" i="77"/>
  <c r="N72" i="77" s="1"/>
  <c r="G68" i="77"/>
  <c r="N68" i="77" s="1"/>
  <c r="G64" i="77"/>
  <c r="N64" i="77" s="1"/>
  <c r="G60" i="77"/>
  <c r="N60" i="77" s="1"/>
  <c r="G56" i="77"/>
  <c r="N56" i="77" s="1"/>
  <c r="G52" i="77"/>
  <c r="N52" i="77" s="1"/>
  <c r="G16" i="77"/>
  <c r="N16" i="77" s="1"/>
  <c r="G12" i="77"/>
  <c r="N12" i="77" s="1"/>
  <c r="G99" i="77"/>
  <c r="N99" i="77" s="1"/>
  <c r="G95" i="77"/>
  <c r="N95" i="77" s="1"/>
  <c r="G91" i="77"/>
  <c r="N91" i="77" s="1"/>
  <c r="G87" i="77"/>
  <c r="N87" i="77" s="1"/>
  <c r="G83" i="77"/>
  <c r="N83" i="77" s="1"/>
  <c r="G79" i="77"/>
  <c r="N79" i="77" s="1"/>
  <c r="G75" i="77"/>
  <c r="N75" i="77" s="1"/>
  <c r="G71" i="77"/>
  <c r="N71" i="77" s="1"/>
  <c r="G67" i="77"/>
  <c r="N67" i="77" s="1"/>
  <c r="G63" i="77"/>
  <c r="N63" i="77" s="1"/>
  <c r="G59" i="77"/>
  <c r="N59" i="77" s="1"/>
  <c r="G55" i="77"/>
  <c r="N55" i="77" s="1"/>
  <c r="G19" i="77"/>
  <c r="G15" i="77"/>
  <c r="N15" i="77" s="1"/>
  <c r="G11" i="77"/>
  <c r="N11" i="77" s="1"/>
  <c r="G102" i="77"/>
  <c r="N102" i="77" s="1"/>
  <c r="G94" i="77"/>
  <c r="N94" i="77" s="1"/>
  <c r="G82" i="77"/>
  <c r="N82" i="77" s="1"/>
  <c r="G66" i="77"/>
  <c r="N66" i="77" s="1"/>
  <c r="G10" i="77"/>
  <c r="N10" i="77" s="1"/>
  <c r="G96" i="77"/>
  <c r="N96" i="77" s="1"/>
  <c r="G98" i="77"/>
  <c r="N98" i="77" s="1"/>
  <c r="G90" i="77"/>
  <c r="N90" i="77" s="1"/>
  <c r="G86" i="77"/>
  <c r="N86" i="77" s="1"/>
  <c r="G78" i="77"/>
  <c r="N78" i="77" s="1"/>
  <c r="G74" i="77"/>
  <c r="N74" i="77" s="1"/>
  <c r="G70" i="77"/>
  <c r="N70" i="77" s="1"/>
  <c r="G62" i="77"/>
  <c r="N62" i="77" s="1"/>
  <c r="G58" i="77"/>
  <c r="N58" i="77" s="1"/>
  <c r="G54" i="77"/>
  <c r="N54" i="77" s="1"/>
  <c r="G18" i="77"/>
  <c r="N18" i="77" s="1"/>
  <c r="G14" i="77"/>
  <c r="N14" i="77" s="1"/>
  <c r="G101" i="77"/>
  <c r="N101" i="77" s="1"/>
  <c r="G97" i="77"/>
  <c r="N97" i="77" s="1"/>
  <c r="G93" i="77"/>
  <c r="N93" i="77" s="1"/>
  <c r="G89" i="77"/>
  <c r="N89" i="77" s="1"/>
  <c r="G85" i="77"/>
  <c r="N85" i="77" s="1"/>
  <c r="G81" i="77"/>
  <c r="N81" i="77" s="1"/>
  <c r="G77" i="77"/>
  <c r="N77" i="77" s="1"/>
  <c r="G73" i="77"/>
  <c r="N73" i="77" s="1"/>
  <c r="G69" i="77"/>
  <c r="N69" i="77" s="1"/>
  <c r="G65" i="77"/>
  <c r="N65" i="77" s="1"/>
  <c r="G61" i="77"/>
  <c r="N61" i="77" s="1"/>
  <c r="G57" i="77"/>
  <c r="N57" i="77" s="1"/>
  <c r="G53" i="77"/>
  <c r="N53" i="77" s="1"/>
  <c r="G17" i="77"/>
  <c r="N17" i="77" s="1"/>
  <c r="G13" i="77"/>
  <c r="N13" i="77" s="1"/>
  <c r="G9" i="77"/>
  <c r="N9" i="77" s="1"/>
  <c r="B195" i="77"/>
  <c r="O195" i="77" s="1"/>
  <c r="B182" i="77"/>
  <c r="O182" i="77" s="1"/>
  <c r="B169" i="77"/>
  <c r="O169" i="77" s="1"/>
  <c r="B175" i="77"/>
  <c r="O175" i="77" s="1"/>
  <c r="B163" i="77"/>
  <c r="O163" i="77" s="1"/>
  <c r="B119" i="77"/>
  <c r="O119" i="77" s="1"/>
  <c r="B183" i="77"/>
  <c r="O183" i="77" s="1"/>
  <c r="B205" i="77"/>
  <c r="O205" i="77" s="1"/>
  <c r="B187" i="77"/>
  <c r="B186" i="77"/>
  <c r="O186" i="77" s="1"/>
  <c r="B174" i="77"/>
  <c r="O174" i="77" s="1"/>
  <c r="B162" i="77"/>
  <c r="O162" i="77" s="1"/>
  <c r="B118" i="77"/>
  <c r="B194" i="77"/>
  <c r="O194" i="77" s="1"/>
  <c r="B199" i="77"/>
  <c r="O199" i="77" s="1"/>
  <c r="B198" i="77"/>
  <c r="O198" i="77" s="1"/>
  <c r="B197" i="77"/>
  <c r="O197" i="77" s="1"/>
  <c r="B185" i="77"/>
  <c r="B173" i="77"/>
  <c r="O173" i="77" s="1"/>
  <c r="B161" i="77"/>
  <c r="O161" i="77" s="1"/>
  <c r="B117" i="77"/>
  <c r="O117" i="77" s="1"/>
  <c r="B160" i="77"/>
  <c r="O160" i="77" s="1"/>
  <c r="B171" i="77"/>
  <c r="O171" i="77" s="1"/>
  <c r="B206" i="77"/>
  <c r="O206" i="77" s="1"/>
  <c r="B192" i="77"/>
  <c r="O192" i="77" s="1"/>
  <c r="B168" i="77"/>
  <c r="O168" i="77" s="1"/>
  <c r="B124" i="77"/>
  <c r="O124" i="77" s="1"/>
  <c r="B184" i="77"/>
  <c r="O184" i="77" s="1"/>
  <c r="B159" i="77"/>
  <c r="B193" i="77"/>
  <c r="O193" i="77" s="1"/>
  <c r="B203" i="77"/>
  <c r="O203" i="77" s="1"/>
  <c r="B191" i="77"/>
  <c r="O191" i="77" s="1"/>
  <c r="B179" i="77"/>
  <c r="O179" i="77" s="1"/>
  <c r="B167" i="77"/>
  <c r="O167" i="77" s="1"/>
  <c r="B123" i="77"/>
  <c r="O123" i="77" s="1"/>
  <c r="B170" i="77"/>
  <c r="O170" i="77" s="1"/>
  <c r="B181" i="77"/>
  <c r="O181" i="77" s="1"/>
  <c r="B202" i="77"/>
  <c r="O202" i="77" s="1"/>
  <c r="B190" i="77"/>
  <c r="O190" i="77" s="1"/>
  <c r="B178" i="77"/>
  <c r="O178" i="77" s="1"/>
  <c r="B166" i="77"/>
  <c r="O166" i="77" s="1"/>
  <c r="B122" i="77"/>
  <c r="O122" i="77" s="1"/>
  <c r="B196" i="77"/>
  <c r="O196" i="77" s="1"/>
  <c r="B172" i="77"/>
  <c r="O172" i="77" s="1"/>
  <c r="B115" i="77"/>
  <c r="O115" i="77" s="1"/>
  <c r="B125" i="77"/>
  <c r="O125" i="77" s="1"/>
  <c r="B204" i="77"/>
  <c r="O204" i="77" s="1"/>
  <c r="B201" i="77"/>
  <c r="O201" i="77" s="1"/>
  <c r="B189" i="77"/>
  <c r="B177" i="77"/>
  <c r="O177" i="77" s="1"/>
  <c r="B165" i="77"/>
  <c r="O165" i="77" s="1"/>
  <c r="B121" i="77"/>
  <c r="O121" i="77" s="1"/>
  <c r="B116" i="77"/>
  <c r="O116" i="77" s="1"/>
  <c r="B158" i="77"/>
  <c r="O158" i="77" s="1"/>
  <c r="B155" i="77"/>
  <c r="B157" i="77"/>
  <c r="O157" i="77" s="1"/>
  <c r="B156" i="77"/>
  <c r="O156" i="77" s="1"/>
  <c r="B180" i="77"/>
  <c r="O180" i="77" s="1"/>
  <c r="B200" i="77"/>
  <c r="O200" i="77" s="1"/>
  <c r="B188" i="77"/>
  <c r="O188" i="77" s="1"/>
  <c r="B176" i="77"/>
  <c r="O176" i="77" s="1"/>
  <c r="B164" i="77"/>
  <c r="O164" i="77" s="1"/>
  <c r="B120" i="77"/>
  <c r="B88" i="80"/>
  <c r="O88" i="80" s="1"/>
  <c r="B76" i="80"/>
  <c r="O76" i="80" s="1"/>
  <c r="B87" i="80"/>
  <c r="O87" i="80" s="1"/>
  <c r="B98" i="80"/>
  <c r="O98" i="80" s="1"/>
  <c r="B71" i="80"/>
  <c r="O71" i="80" s="1"/>
  <c r="B64" i="80"/>
  <c r="O64" i="80" s="1"/>
  <c r="B63" i="80"/>
  <c r="O63" i="80" s="1"/>
  <c r="B18" i="80"/>
  <c r="O18" i="80" s="1"/>
  <c r="B14" i="80"/>
  <c r="O14" i="80" s="1"/>
  <c r="B62" i="80"/>
  <c r="O62" i="80" s="1"/>
  <c r="B99" i="80"/>
  <c r="O99" i="80" s="1"/>
  <c r="B19" i="80"/>
  <c r="O19" i="80" s="1"/>
  <c r="B86" i="80"/>
  <c r="O86" i="80" s="1"/>
  <c r="B97" i="80"/>
  <c r="O97" i="80" s="1"/>
  <c r="B73" i="80"/>
  <c r="O73" i="80" s="1"/>
  <c r="B17" i="80"/>
  <c r="O17" i="80" s="1"/>
  <c r="B72" i="80"/>
  <c r="O72" i="80" s="1"/>
  <c r="B16" i="80"/>
  <c r="O16" i="80" s="1"/>
  <c r="B83" i="80"/>
  <c r="O83" i="80" s="1"/>
  <c r="B15" i="80"/>
  <c r="O15" i="80" s="1"/>
  <c r="B82" i="80"/>
  <c r="O82" i="80" s="1"/>
  <c r="B58" i="80"/>
  <c r="O58" i="80" s="1"/>
  <c r="B81" i="80"/>
  <c r="O81" i="80" s="1"/>
  <c r="B57" i="80"/>
  <c r="O57" i="80" s="1"/>
  <c r="B92" i="80"/>
  <c r="O92" i="80" s="1"/>
  <c r="B80" i="80"/>
  <c r="O80" i="80" s="1"/>
  <c r="B12" i="80"/>
  <c r="O12" i="80" s="1"/>
  <c r="B79" i="80"/>
  <c r="O79" i="80" s="1"/>
  <c r="B11" i="80"/>
  <c r="O11" i="80" s="1"/>
  <c r="B102" i="80"/>
  <c r="O102" i="80" s="1"/>
  <c r="B90" i="80"/>
  <c r="O90" i="80" s="1"/>
  <c r="B78" i="80"/>
  <c r="O78" i="80" s="1"/>
  <c r="B66" i="80"/>
  <c r="O66" i="80" s="1"/>
  <c r="B54" i="80"/>
  <c r="O54" i="80" s="1"/>
  <c r="B10" i="80"/>
  <c r="O10" i="80" s="1"/>
  <c r="B100" i="80"/>
  <c r="O100" i="80" s="1"/>
  <c r="B52" i="80"/>
  <c r="O52" i="80" s="1"/>
  <c r="B75" i="80"/>
  <c r="O75" i="80" s="1"/>
  <c r="B74" i="80"/>
  <c r="O74" i="80" s="1"/>
  <c r="B85" i="80"/>
  <c r="O85" i="80" s="1"/>
  <c r="B61" i="80"/>
  <c r="O61" i="80" s="1"/>
  <c r="B96" i="80"/>
  <c r="O96" i="80" s="1"/>
  <c r="B84" i="80"/>
  <c r="O84" i="80" s="1"/>
  <c r="B60" i="80"/>
  <c r="O60" i="80" s="1"/>
  <c r="B95" i="80"/>
  <c r="O95" i="80" s="1"/>
  <c r="B59" i="80"/>
  <c r="O59" i="80" s="1"/>
  <c r="B94" i="80"/>
  <c r="O94" i="80" s="1"/>
  <c r="B70" i="80"/>
  <c r="O70" i="80" s="1"/>
  <c r="B93" i="80"/>
  <c r="O93" i="80" s="1"/>
  <c r="B69" i="80"/>
  <c r="O69" i="80" s="1"/>
  <c r="B13" i="80"/>
  <c r="O13" i="80" s="1"/>
  <c r="B68" i="80"/>
  <c r="O68" i="80" s="1"/>
  <c r="B56" i="80"/>
  <c r="O56" i="80" s="1"/>
  <c r="B91" i="80"/>
  <c r="O91" i="80" s="1"/>
  <c r="B67" i="80"/>
  <c r="O67" i="80" s="1"/>
  <c r="B55" i="80"/>
  <c r="O55" i="80" s="1"/>
  <c r="B101" i="80"/>
  <c r="O101" i="80" s="1"/>
  <c r="B89" i="80"/>
  <c r="O89" i="80" s="1"/>
  <c r="B77" i="80"/>
  <c r="O77" i="80" s="1"/>
  <c r="B65" i="80"/>
  <c r="O65" i="80" s="1"/>
  <c r="B53" i="80"/>
  <c r="O53" i="80" s="1"/>
  <c r="B9" i="80"/>
  <c r="O9" i="80" s="1"/>
  <c r="C1" i="87"/>
  <c r="A1" i="87"/>
  <c r="O120" i="77" l="1"/>
  <c r="Q13" i="41" s="1"/>
  <c r="D13" i="41"/>
  <c r="O118" i="77"/>
  <c r="O155" i="77"/>
  <c r="O189" i="77"/>
  <c r="O159" i="77"/>
  <c r="O187" i="77"/>
  <c r="O185" i="77"/>
  <c r="G125" i="77"/>
  <c r="N125" i="77" s="1"/>
  <c r="N19" i="77"/>
  <c r="G65" i="80"/>
  <c r="N65" i="80" s="1"/>
  <c r="G60" i="80"/>
  <c r="N60" i="80" s="1"/>
  <c r="G78" i="80"/>
  <c r="N78" i="80" s="1"/>
  <c r="G15" i="80"/>
  <c r="N15" i="80" s="1"/>
  <c r="G77" i="80"/>
  <c r="N77" i="80" s="1"/>
  <c r="G94" i="80"/>
  <c r="N94" i="80" s="1"/>
  <c r="G10" i="80"/>
  <c r="N10" i="80" s="1"/>
  <c r="G81" i="80"/>
  <c r="N81" i="80" s="1"/>
  <c r="G99" i="80"/>
  <c r="N99" i="80" s="1"/>
  <c r="G89" i="80"/>
  <c r="N89" i="80" s="1"/>
  <c r="G69" i="80"/>
  <c r="N69" i="80" s="1"/>
  <c r="G59" i="80"/>
  <c r="N59" i="80" s="1"/>
  <c r="G75" i="80"/>
  <c r="N75" i="80" s="1"/>
  <c r="G102" i="80"/>
  <c r="N102" i="80" s="1"/>
  <c r="G80" i="80"/>
  <c r="N80" i="80" s="1"/>
  <c r="G16" i="80"/>
  <c r="N16" i="80" s="1"/>
  <c r="G97" i="80"/>
  <c r="N97" i="80" s="1"/>
  <c r="G62" i="80"/>
  <c r="N62" i="80" s="1"/>
  <c r="G76" i="80"/>
  <c r="N76" i="80" s="1"/>
  <c r="G53" i="80"/>
  <c r="N53" i="80" s="1"/>
  <c r="G101" i="80"/>
  <c r="N101" i="80" s="1"/>
  <c r="G56" i="80"/>
  <c r="N56" i="80" s="1"/>
  <c r="G93" i="80"/>
  <c r="N93" i="80" s="1"/>
  <c r="G95" i="80"/>
  <c r="N95" i="80" s="1"/>
  <c r="G61" i="80"/>
  <c r="N61" i="80" s="1"/>
  <c r="G52" i="80"/>
  <c r="N52" i="80" s="1"/>
  <c r="G66" i="80"/>
  <c r="N66" i="80" s="1"/>
  <c r="G11" i="80"/>
  <c r="N11" i="80" s="1"/>
  <c r="G92" i="80"/>
  <c r="N92" i="80" s="1"/>
  <c r="G82" i="80"/>
  <c r="N82" i="80" s="1"/>
  <c r="G72" i="80"/>
  <c r="N72" i="80" s="1"/>
  <c r="G86" i="80"/>
  <c r="N86" i="80" s="1"/>
  <c r="G14" i="80"/>
  <c r="N14" i="80" s="1"/>
  <c r="G71" i="80"/>
  <c r="N71" i="80" s="1"/>
  <c r="G88" i="80"/>
  <c r="N88" i="80" s="1"/>
  <c r="G68" i="80"/>
  <c r="N68" i="80" s="1"/>
  <c r="G79" i="80"/>
  <c r="N79" i="80" s="1"/>
  <c r="G17" i="80"/>
  <c r="N17" i="80" s="1"/>
  <c r="G18" i="80"/>
  <c r="N18" i="80" s="1"/>
  <c r="G98" i="80"/>
  <c r="N98" i="80" s="1"/>
  <c r="G55" i="80"/>
  <c r="N55" i="80" s="1"/>
  <c r="G85" i="80"/>
  <c r="N85" i="80" s="1"/>
  <c r="G57" i="80"/>
  <c r="N57" i="80" s="1"/>
  <c r="G84" i="80"/>
  <c r="N84" i="80" s="1"/>
  <c r="G90" i="80"/>
  <c r="N90" i="80" s="1"/>
  <c r="G83" i="80"/>
  <c r="N83" i="80" s="1"/>
  <c r="G87" i="80"/>
  <c r="N87" i="80" s="1"/>
  <c r="G70" i="80"/>
  <c r="N70" i="80" s="1"/>
  <c r="G100" i="80"/>
  <c r="N100" i="80" s="1"/>
  <c r="G19" i="80"/>
  <c r="G67" i="80"/>
  <c r="N67" i="80" s="1"/>
  <c r="G13" i="80"/>
  <c r="N13" i="80" s="1"/>
  <c r="G74" i="80"/>
  <c r="N74" i="80" s="1"/>
  <c r="G12" i="80"/>
  <c r="N12" i="80" s="1"/>
  <c r="G73" i="80"/>
  <c r="N73" i="80" s="1"/>
  <c r="G63" i="80"/>
  <c r="N63" i="80" s="1"/>
  <c r="G9" i="80"/>
  <c r="N9" i="80" s="1"/>
  <c r="G91" i="80"/>
  <c r="N91" i="80" s="1"/>
  <c r="G96" i="80"/>
  <c r="N96" i="80" s="1"/>
  <c r="G54" i="80"/>
  <c r="N54" i="80" s="1"/>
  <c r="G58" i="80"/>
  <c r="N58" i="80" s="1"/>
  <c r="G64" i="80"/>
  <c r="N64" i="80" s="1"/>
  <c r="G123" i="77"/>
  <c r="N123" i="77" s="1"/>
  <c r="G124" i="77"/>
  <c r="N124" i="77" s="1"/>
  <c r="G180" i="77"/>
  <c r="G167" i="77"/>
  <c r="N167" i="77" s="1"/>
  <c r="G203" i="77"/>
  <c r="N203" i="77" s="1"/>
  <c r="G168" i="77"/>
  <c r="N168" i="77" s="1"/>
  <c r="G186" i="77"/>
  <c r="N186" i="77" s="1"/>
  <c r="G182" i="77"/>
  <c r="N182" i="77" s="1"/>
  <c r="G191" i="77"/>
  <c r="N191" i="77" s="1"/>
  <c r="G188" i="77"/>
  <c r="N188" i="77" s="1"/>
  <c r="G181" i="77"/>
  <c r="N181" i="77" s="1"/>
  <c r="G122" i="77"/>
  <c r="N122" i="77" s="1"/>
  <c r="G166" i="77"/>
  <c r="N166" i="77" s="1"/>
  <c r="G178" i="77"/>
  <c r="N178" i="77" s="1"/>
  <c r="G198" i="77"/>
  <c r="N198" i="77" s="1"/>
  <c r="G179" i="77"/>
  <c r="N179" i="77" s="1"/>
  <c r="G169" i="77"/>
  <c r="N169" i="77" s="1"/>
  <c r="B117" i="80"/>
  <c r="O117" i="80" s="1"/>
  <c r="G175" i="77"/>
  <c r="N175" i="77" s="1"/>
  <c r="B201" i="80"/>
  <c r="O201" i="80" s="1"/>
  <c r="B172" i="80"/>
  <c r="O172" i="80" s="1"/>
  <c r="B188" i="80"/>
  <c r="O188" i="80" s="1"/>
  <c r="B120" i="80"/>
  <c r="O120" i="80" s="1"/>
  <c r="G119" i="77"/>
  <c r="N119" i="77" s="1"/>
  <c r="G201" i="77"/>
  <c r="N201" i="77" s="1"/>
  <c r="G176" i="77"/>
  <c r="N176" i="77" s="1"/>
  <c r="B161" i="80"/>
  <c r="O161" i="80" s="1"/>
  <c r="B166" i="80"/>
  <c r="O166" i="80" s="1"/>
  <c r="B184" i="80"/>
  <c r="O184" i="80" s="1"/>
  <c r="B121" i="80"/>
  <c r="O121" i="80" s="1"/>
  <c r="B124" i="80"/>
  <c r="O124" i="80" s="1"/>
  <c r="B122" i="80"/>
  <c r="O122" i="80" s="1"/>
  <c r="G163" i="77"/>
  <c r="N163" i="77" s="1"/>
  <c r="G120" i="77"/>
  <c r="G164" i="77"/>
  <c r="N164" i="77" s="1"/>
  <c r="G205" i="77"/>
  <c r="N205" i="77" s="1"/>
  <c r="G121" i="77"/>
  <c r="N121" i="77" s="1"/>
  <c r="G165" i="77"/>
  <c r="N165" i="77" s="1"/>
  <c r="G177" i="77"/>
  <c r="N177" i="77" s="1"/>
  <c r="G187" i="77"/>
  <c r="G199" i="77"/>
  <c r="N199" i="77" s="1"/>
  <c r="B173" i="80"/>
  <c r="O173" i="80" s="1"/>
  <c r="B190" i="80"/>
  <c r="O190" i="80" s="1"/>
  <c r="B196" i="80"/>
  <c r="O196" i="80" s="1"/>
  <c r="B189" i="80"/>
  <c r="O189" i="80" s="1"/>
  <c r="B169" i="80"/>
  <c r="O169" i="80" s="1"/>
  <c r="B177" i="80"/>
  <c r="O177" i="80" s="1"/>
  <c r="B191" i="80"/>
  <c r="O191" i="80" s="1"/>
  <c r="G202" i="77"/>
  <c r="N202" i="77" s="1"/>
  <c r="B193" i="80"/>
  <c r="O193" i="80" s="1"/>
  <c r="B162" i="80"/>
  <c r="O162" i="80" s="1"/>
  <c r="B174" i="80"/>
  <c r="O174" i="80" s="1"/>
  <c r="B115" i="80"/>
  <c r="O115" i="80" s="1"/>
  <c r="B175" i="80"/>
  <c r="O175" i="80" s="1"/>
  <c r="B181" i="80"/>
  <c r="O181" i="80" s="1"/>
  <c r="B186" i="80"/>
  <c r="O186" i="80" s="1"/>
  <c r="B203" i="80"/>
  <c r="O203" i="80" s="1"/>
  <c r="B182" i="80"/>
  <c r="O182" i="80" s="1"/>
  <c r="B197" i="80"/>
  <c r="O197" i="80" s="1"/>
  <c r="B167" i="80"/>
  <c r="O167" i="80" s="1"/>
  <c r="B185" i="80"/>
  <c r="O185" i="80" s="1"/>
  <c r="B119" i="80"/>
  <c r="O119" i="80" s="1"/>
  <c r="B179" i="80"/>
  <c r="O179" i="80" s="1"/>
  <c r="G206" i="77"/>
  <c r="N206" i="77" s="1"/>
  <c r="G158" i="77"/>
  <c r="N158" i="77" s="1"/>
  <c r="G157" i="77"/>
  <c r="N157" i="77" s="1"/>
  <c r="G156" i="77"/>
  <c r="N156" i="77" s="1"/>
  <c r="G155" i="77"/>
  <c r="G170" i="77"/>
  <c r="N170" i="77" s="1"/>
  <c r="G183" i="77"/>
  <c r="N183" i="77" s="1"/>
  <c r="G115" i="77"/>
  <c r="N115" i="77" s="1"/>
  <c r="G159" i="77"/>
  <c r="G171" i="77"/>
  <c r="N171" i="77" s="1"/>
  <c r="G184" i="77"/>
  <c r="N184" i="77" s="1"/>
  <c r="G193" i="77"/>
  <c r="N193" i="77" s="1"/>
  <c r="B159" i="80"/>
  <c r="O159" i="80" s="1"/>
  <c r="B199" i="80"/>
  <c r="O199" i="80" s="1"/>
  <c r="B158" i="80"/>
  <c r="O158" i="80" s="1"/>
  <c r="B157" i="80"/>
  <c r="O157" i="80" s="1"/>
  <c r="B156" i="80"/>
  <c r="O156" i="80" s="1"/>
  <c r="B155" i="80"/>
  <c r="O155" i="80" s="1"/>
  <c r="B198" i="80"/>
  <c r="O198" i="80" s="1"/>
  <c r="B192" i="80"/>
  <c r="O192" i="80" s="1"/>
  <c r="B194" i="80"/>
  <c r="O194" i="80" s="1"/>
  <c r="B202" i="80"/>
  <c r="O202" i="80" s="1"/>
  <c r="G197" i="77"/>
  <c r="N197" i="77" s="1"/>
  <c r="G200" i="77"/>
  <c r="N200" i="77" s="1"/>
  <c r="B180" i="80"/>
  <c r="O180" i="80" s="1"/>
  <c r="G160" i="77"/>
  <c r="N160" i="77" s="1"/>
  <c r="G172" i="77"/>
  <c r="N172" i="77" s="1"/>
  <c r="G185" i="77"/>
  <c r="G196" i="77"/>
  <c r="N196" i="77" s="1"/>
  <c r="B171" i="80"/>
  <c r="O171" i="80" s="1"/>
  <c r="B176" i="80"/>
  <c r="O176" i="80" s="1"/>
  <c r="B206" i="80"/>
  <c r="O206" i="80" s="1"/>
  <c r="B163" i="80"/>
  <c r="O163" i="80" s="1"/>
  <c r="B125" i="80"/>
  <c r="O125" i="80" s="1"/>
  <c r="G195" i="77"/>
  <c r="N195" i="77" s="1"/>
  <c r="B178" i="80"/>
  <c r="O178" i="80" s="1"/>
  <c r="B123" i="80"/>
  <c r="O123" i="80" s="1"/>
  <c r="B118" i="80"/>
  <c r="O118" i="80" s="1"/>
  <c r="G116" i="77"/>
  <c r="N116" i="77" s="1"/>
  <c r="G117" i="77"/>
  <c r="N117" i="77" s="1"/>
  <c r="G161" i="77"/>
  <c r="N161" i="77" s="1"/>
  <c r="G173" i="77"/>
  <c r="N173" i="77" s="1"/>
  <c r="G204" i="77"/>
  <c r="N204" i="77" s="1"/>
  <c r="B116" i="80"/>
  <c r="O116" i="80" s="1"/>
  <c r="B205" i="80"/>
  <c r="O205" i="80" s="1"/>
  <c r="B170" i="80"/>
  <c r="O170" i="80" s="1"/>
  <c r="B204" i="80"/>
  <c r="O204" i="80" s="1"/>
  <c r="G190" i="77"/>
  <c r="N190" i="77" s="1"/>
  <c r="G189" i="77"/>
  <c r="G192" i="77"/>
  <c r="N192" i="77" s="1"/>
  <c r="B183" i="80"/>
  <c r="O183" i="80" s="1"/>
  <c r="B200" i="80"/>
  <c r="O200" i="80" s="1"/>
  <c r="B187" i="80"/>
  <c r="O187" i="80" s="1"/>
  <c r="G118" i="77"/>
  <c r="G162" i="77"/>
  <c r="N162" i="77" s="1"/>
  <c r="G174" i="77"/>
  <c r="N174" i="77" s="1"/>
  <c r="G194" i="77"/>
  <c r="N194" i="77" s="1"/>
  <c r="B195" i="80"/>
  <c r="O195" i="80" s="1"/>
  <c r="B165" i="80"/>
  <c r="O165" i="80" s="1"/>
  <c r="B160" i="80"/>
  <c r="O160" i="80" s="1"/>
  <c r="B164" i="80"/>
  <c r="O164" i="80" s="1"/>
  <c r="B168" i="80"/>
  <c r="O168" i="80" s="1"/>
  <c r="A42" i="37"/>
  <c r="A6" i="37"/>
  <c r="N120" i="77" l="1"/>
  <c r="P13" i="41" s="1"/>
  <c r="I13" i="41"/>
  <c r="I18" i="41" s="1"/>
  <c r="Q18" i="41"/>
  <c r="N155" i="77"/>
  <c r="I25" i="41"/>
  <c r="N118" i="77"/>
  <c r="N189" i="77"/>
  <c r="N159" i="77"/>
  <c r="Q25" i="41"/>
  <c r="N187" i="77"/>
  <c r="N185" i="77"/>
  <c r="N180" i="77"/>
  <c r="G125" i="80"/>
  <c r="N125" i="80" s="1"/>
  <c r="M32" i="56" s="1"/>
  <c r="N19" i="80"/>
  <c r="N67" i="56"/>
  <c r="N85" i="56"/>
  <c r="N104" i="56"/>
  <c r="N84" i="56"/>
  <c r="N97" i="56"/>
  <c r="N68" i="56"/>
  <c r="N71" i="56"/>
  <c r="N94" i="56"/>
  <c r="N112" i="56"/>
  <c r="N30" i="56"/>
  <c r="N70" i="56"/>
  <c r="N87" i="56"/>
  <c r="N101" i="56"/>
  <c r="N63" i="56"/>
  <c r="N66" i="56"/>
  <c r="N74" i="56"/>
  <c r="N93" i="56"/>
  <c r="N81" i="56"/>
  <c r="N98" i="56"/>
  <c r="N103" i="56"/>
  <c r="N29" i="56"/>
  <c r="N73" i="56"/>
  <c r="N108" i="56"/>
  <c r="N107" i="56"/>
  <c r="N23" i="56"/>
  <c r="N113" i="56"/>
  <c r="N64" i="56"/>
  <c r="N88" i="56"/>
  <c r="N27" i="56"/>
  <c r="N72" i="56"/>
  <c r="N90" i="56"/>
  <c r="N105" i="56"/>
  <c r="N26" i="56"/>
  <c r="N89" i="56"/>
  <c r="N82" i="56"/>
  <c r="N100" i="56"/>
  <c r="N76" i="56"/>
  <c r="N80" i="56"/>
  <c r="N28" i="56"/>
  <c r="N95" i="56"/>
  <c r="N24" i="56"/>
  <c r="N99" i="56"/>
  <c r="N86" i="56"/>
  <c r="N69" i="56"/>
  <c r="N31" i="56"/>
  <c r="N111" i="56"/>
  <c r="N83" i="56"/>
  <c r="N65" i="56"/>
  <c r="N75" i="56"/>
  <c r="N102" i="56"/>
  <c r="N77" i="56"/>
  <c r="N25" i="56"/>
  <c r="N32" i="56"/>
  <c r="N78" i="56"/>
  <c r="N109" i="56"/>
  <c r="N62" i="56"/>
  <c r="N106" i="56"/>
  <c r="N92" i="56"/>
  <c r="N110" i="56"/>
  <c r="N22" i="56"/>
  <c r="N96" i="56"/>
  <c r="N91" i="56"/>
  <c r="N79" i="56"/>
  <c r="G171" i="80"/>
  <c r="N171" i="80" s="1"/>
  <c r="G200" i="80"/>
  <c r="N200" i="80" s="1"/>
  <c r="G185" i="80"/>
  <c r="N185" i="80" s="1"/>
  <c r="G205" i="80"/>
  <c r="N205" i="80" s="1"/>
  <c r="G194" i="80"/>
  <c r="N194" i="80" s="1"/>
  <c r="G175" i="80"/>
  <c r="N175" i="80" s="1"/>
  <c r="G189" i="80"/>
  <c r="N189" i="80" s="1"/>
  <c r="G177" i="80"/>
  <c r="N177" i="80" s="1"/>
  <c r="G118" i="80"/>
  <c r="N118" i="80" s="1"/>
  <c r="G123" i="80"/>
  <c r="N123" i="80" s="1"/>
  <c r="G165" i="80"/>
  <c r="N165" i="80" s="1"/>
  <c r="G117" i="80"/>
  <c r="N117" i="80" s="1"/>
  <c r="G160" i="80"/>
  <c r="N160" i="80" s="1"/>
  <c r="G166" i="80"/>
  <c r="N166" i="80" s="1"/>
  <c r="G204" i="80"/>
  <c r="N204" i="80" s="1"/>
  <c r="G202" i="80"/>
  <c r="N202" i="80" s="1"/>
  <c r="G203" i="80"/>
  <c r="N203" i="80" s="1"/>
  <c r="G161" i="80"/>
  <c r="N161" i="80" s="1"/>
  <c r="G176" i="80"/>
  <c r="N176" i="80" s="1"/>
  <c r="G201" i="80"/>
  <c r="N201" i="80" s="1"/>
  <c r="G162" i="80"/>
  <c r="N162" i="80" s="1"/>
  <c r="G196" i="80"/>
  <c r="N196" i="80" s="1"/>
  <c r="G197" i="80"/>
  <c r="N197" i="80" s="1"/>
  <c r="G124" i="80"/>
  <c r="N124" i="80" s="1"/>
  <c r="G164" i="80"/>
  <c r="N164" i="80" s="1"/>
  <c r="G174" i="80"/>
  <c r="N174" i="80" s="1"/>
  <c r="G158" i="80"/>
  <c r="N158" i="80" s="1"/>
  <c r="G155" i="80"/>
  <c r="N155" i="80" s="1"/>
  <c r="G156" i="80"/>
  <c r="N156" i="80" s="1"/>
  <c r="G157" i="80"/>
  <c r="N157" i="80" s="1"/>
  <c r="G180" i="80"/>
  <c r="N180" i="80" s="1"/>
  <c r="G190" i="80"/>
  <c r="N190" i="80" s="1"/>
  <c r="G119" i="80"/>
  <c r="N119" i="80" s="1"/>
  <c r="G188" i="80"/>
  <c r="N188" i="80" s="1"/>
  <c r="G121" i="80"/>
  <c r="N121" i="80" s="1"/>
  <c r="G183" i="80"/>
  <c r="N183" i="80" s="1"/>
  <c r="G170" i="80"/>
  <c r="N170" i="80" s="1"/>
  <c r="G116" i="80"/>
  <c r="N116" i="80" s="1"/>
  <c r="G179" i="80"/>
  <c r="N179" i="80" s="1"/>
  <c r="G199" i="80"/>
  <c r="N199" i="80" s="1"/>
  <c r="G115" i="80"/>
  <c r="N115" i="80" s="1"/>
  <c r="G186" i="80"/>
  <c r="N186" i="80" s="1"/>
  <c r="G178" i="80"/>
  <c r="N178" i="80" s="1"/>
  <c r="G169" i="80"/>
  <c r="N169" i="80" s="1"/>
  <c r="G191" i="80"/>
  <c r="N191" i="80" s="1"/>
  <c r="G173" i="80"/>
  <c r="N173" i="80" s="1"/>
  <c r="G193" i="80"/>
  <c r="N193" i="80" s="1"/>
  <c r="G167" i="80"/>
  <c r="N167" i="80" s="1"/>
  <c r="G195" i="80"/>
  <c r="N195" i="80" s="1"/>
  <c r="G187" i="80"/>
  <c r="N187" i="80" s="1"/>
  <c r="G122" i="80"/>
  <c r="N122" i="80" s="1"/>
  <c r="G168" i="80"/>
  <c r="N168" i="80" s="1"/>
  <c r="G192" i="80"/>
  <c r="N192" i="80" s="1"/>
  <c r="G159" i="80"/>
  <c r="N159" i="80" s="1"/>
  <c r="G172" i="80"/>
  <c r="N172" i="80" s="1"/>
  <c r="G163" i="80"/>
  <c r="N163" i="80" s="1"/>
  <c r="G181" i="80"/>
  <c r="N181" i="80" s="1"/>
  <c r="G198" i="80"/>
  <c r="N198" i="80" s="1"/>
  <c r="G120" i="80"/>
  <c r="N120" i="80" s="1"/>
  <c r="G182" i="80"/>
  <c r="N182" i="80" s="1"/>
  <c r="G206" i="80"/>
  <c r="N206" i="80" s="1"/>
  <c r="M113" i="56" s="1"/>
  <c r="G184" i="80"/>
  <c r="N184" i="80" s="1"/>
  <c r="C1" i="86"/>
  <c r="D1" i="86"/>
  <c r="P18" i="41" l="1"/>
  <c r="P19" i="41" s="1"/>
  <c r="P25" i="41"/>
  <c r="I26" i="41" s="1"/>
  <c r="M31" i="56"/>
  <c r="M70" i="56"/>
  <c r="M99" i="56"/>
  <c r="M26" i="56"/>
  <c r="M100" i="56"/>
  <c r="M78" i="56"/>
  <c r="M107" i="56"/>
  <c r="M69" i="56"/>
  <c r="M106" i="56"/>
  <c r="M22" i="56"/>
  <c r="M80" i="56"/>
  <c r="M94" i="56"/>
  <c r="M85" i="56"/>
  <c r="M102" i="56"/>
  <c r="M86" i="56"/>
  <c r="M109" i="56"/>
  <c r="M74" i="56"/>
  <c r="M93" i="56"/>
  <c r="M84" i="56"/>
  <c r="M75" i="56"/>
  <c r="M76" i="56"/>
  <c r="M89" i="56"/>
  <c r="M65" i="56"/>
  <c r="M64" i="56"/>
  <c r="M62" i="56"/>
  <c r="M63" i="56"/>
  <c r="M91" i="56"/>
  <c r="M25" i="56"/>
  <c r="M30" i="56"/>
  <c r="M98" i="56"/>
  <c r="M68" i="56"/>
  <c r="M97" i="56"/>
  <c r="M103" i="56"/>
  <c r="M66" i="56"/>
  <c r="M111" i="56"/>
  <c r="M27" i="56"/>
  <c r="M92" i="56"/>
  <c r="M88" i="56"/>
  <c r="M67" i="56"/>
  <c r="M110" i="56"/>
  <c r="M95" i="56"/>
  <c r="M82" i="56"/>
  <c r="M108" i="56"/>
  <c r="M96" i="56"/>
  <c r="M79" i="56"/>
  <c r="M105" i="56"/>
  <c r="M24" i="56"/>
  <c r="M101" i="56"/>
  <c r="M73" i="56"/>
  <c r="M72" i="56"/>
  <c r="M87" i="56"/>
  <c r="M71" i="56"/>
  <c r="M104" i="56"/>
  <c r="M83" i="56"/>
  <c r="M23" i="56"/>
  <c r="M112" i="56"/>
  <c r="M77" i="56"/>
  <c r="M90" i="56"/>
  <c r="M81" i="56"/>
  <c r="M29" i="56"/>
  <c r="M28" i="56"/>
  <c r="B5" i="41"/>
  <c r="C19" i="86"/>
  <c r="C10" i="86"/>
  <c r="C21" i="86"/>
  <c r="C7" i="86"/>
  <c r="C15" i="86"/>
  <c r="C12" i="86"/>
  <c r="B115" i="57"/>
  <c r="O115" i="57" s="1"/>
  <c r="J19" i="41" l="1"/>
  <c r="I19" i="41"/>
  <c r="E19" i="41"/>
  <c r="O19" i="41"/>
  <c r="K19" i="41"/>
  <c r="H19" i="41"/>
  <c r="N19" i="41"/>
  <c r="F19" i="41"/>
  <c r="L19" i="41"/>
  <c r="G19" i="41"/>
  <c r="M19" i="41"/>
  <c r="O26" i="41"/>
  <c r="G26" i="41"/>
  <c r="N26" i="41"/>
  <c r="H26" i="41"/>
  <c r="M26" i="41"/>
  <c r="J26" i="41"/>
  <c r="L26" i="41"/>
  <c r="E26" i="41"/>
  <c r="P26" i="41"/>
  <c r="F26" i="41"/>
  <c r="K26" i="41"/>
  <c r="G115" i="57"/>
  <c r="N115" i="57" s="1"/>
  <c r="C22" i="86"/>
  <c r="C6" i="86"/>
  <c r="C9" i="86"/>
  <c r="C16" i="86"/>
  <c r="C13" i="86"/>
  <c r="C12" i="87"/>
  <c r="C13" i="87"/>
  <c r="C7" i="87"/>
  <c r="C15" i="87"/>
  <c r="O45" i="37" l="1"/>
  <c r="I7" i="37"/>
  <c r="I43" i="37"/>
  <c r="M43" i="37"/>
  <c r="D51" i="37"/>
  <c r="T15" i="37"/>
  <c r="T51" i="37"/>
  <c r="I66" i="37"/>
  <c r="D20" i="37"/>
  <c r="M66" i="37"/>
  <c r="M30" i="37"/>
  <c r="O9" i="37"/>
  <c r="C10" i="87"/>
  <c r="O81" i="37" l="1"/>
  <c r="T20" i="37"/>
  <c r="I30" i="37"/>
  <c r="M7" i="37"/>
  <c r="D15" i="37"/>
  <c r="C44" i="37" l="1"/>
  <c r="C8" i="37"/>
  <c r="C43" i="37"/>
  <c r="B8" i="77"/>
  <c r="O8" i="77" s="1"/>
  <c r="O104" i="77" s="1"/>
  <c r="Q6" i="41" s="1"/>
  <c r="Q11" i="41" s="1"/>
  <c r="G8" i="77" l="1"/>
  <c r="N8" i="77" s="1"/>
  <c r="B104" i="77"/>
  <c r="B8" i="80"/>
  <c r="O8" i="80" s="1"/>
  <c r="O104" i="80" s="1"/>
  <c r="C7" i="37"/>
  <c r="B114" i="77"/>
  <c r="O114" i="77" s="1"/>
  <c r="G8" i="80" l="1"/>
  <c r="B105" i="77"/>
  <c r="G105" i="77" s="1"/>
  <c r="C6" i="87"/>
  <c r="G104" i="77"/>
  <c r="I6" i="41" s="1"/>
  <c r="I11" i="41" s="1"/>
  <c r="N104" i="77"/>
  <c r="G114" i="77"/>
  <c r="N114" i="77" s="1"/>
  <c r="B104" i="80"/>
  <c r="B114" i="80"/>
  <c r="O114" i="80" s="1"/>
  <c r="B3" i="81"/>
  <c r="B109" i="81" s="1"/>
  <c r="B2" i="81"/>
  <c r="B108" i="81" s="1"/>
  <c r="B4" i="82"/>
  <c r="B3" i="82"/>
  <c r="B109" i="82" s="1"/>
  <c r="H2" i="82"/>
  <c r="B2" i="82"/>
  <c r="B108" i="82" s="1"/>
  <c r="B4" i="83"/>
  <c r="B3" i="83"/>
  <c r="B109" i="83" s="1"/>
  <c r="H2" i="83"/>
  <c r="B2" i="83"/>
  <c r="B108" i="83" s="1"/>
  <c r="B4" i="84"/>
  <c r="B3" i="84"/>
  <c r="B109" i="84" s="1"/>
  <c r="H2" i="84"/>
  <c r="B2" i="84"/>
  <c r="B108" i="84" s="1"/>
  <c r="B4" i="85"/>
  <c r="B3" i="85"/>
  <c r="B109" i="85" s="1"/>
  <c r="H2" i="85"/>
  <c r="B2" i="85"/>
  <c r="B108" i="85" s="1"/>
  <c r="B3" i="80"/>
  <c r="B109" i="80" s="1"/>
  <c r="B2" i="80"/>
  <c r="B108" i="80" s="1"/>
  <c r="B4" i="79"/>
  <c r="B3" i="79"/>
  <c r="B109" i="79" s="1"/>
  <c r="H2" i="79"/>
  <c r="B2" i="79"/>
  <c r="B108" i="79" s="1"/>
  <c r="B4" i="78"/>
  <c r="B3" i="78"/>
  <c r="B109" i="78" s="1"/>
  <c r="H2" i="78"/>
  <c r="B2" i="78"/>
  <c r="B108" i="78" s="1"/>
  <c r="B4" i="68"/>
  <c r="B3" i="68"/>
  <c r="B109" i="68" s="1"/>
  <c r="H2" i="68"/>
  <c r="B2" i="68"/>
  <c r="B108" i="68" s="1"/>
  <c r="B4" i="77"/>
  <c r="B3" i="77"/>
  <c r="B109" i="77" s="1"/>
  <c r="H2" i="77"/>
  <c r="B2" i="77"/>
  <c r="B108" i="77" s="1"/>
  <c r="L106" i="77" l="1"/>
  <c r="P6" i="41"/>
  <c r="P11" i="41" s="1"/>
  <c r="G114" i="80"/>
  <c r="N114" i="80" s="1"/>
  <c r="N8" i="80"/>
  <c r="O105" i="77"/>
  <c r="M79" i="37" s="1"/>
  <c r="N106" i="77"/>
  <c r="I106" i="77"/>
  <c r="H106" i="77"/>
  <c r="J106" i="77"/>
  <c r="K106" i="77"/>
  <c r="C106" i="77"/>
  <c r="F106" i="77"/>
  <c r="D106" i="77"/>
  <c r="E106" i="77"/>
  <c r="M106" i="77"/>
  <c r="N21" i="56"/>
  <c r="G106" i="77"/>
  <c r="B106" i="77"/>
  <c r="B105" i="80"/>
  <c r="G104" i="80"/>
  <c r="C80" i="37"/>
  <c r="Y6" i="87"/>
  <c r="K6" i="87"/>
  <c r="B16" i="87"/>
  <c r="B110" i="82"/>
  <c r="B13" i="87"/>
  <c r="B110" i="83"/>
  <c r="B10" i="87"/>
  <c r="B110" i="84"/>
  <c r="B7" i="87"/>
  <c r="B110" i="85"/>
  <c r="B15" i="87"/>
  <c r="B110" i="79"/>
  <c r="B12" i="87"/>
  <c r="B110" i="78"/>
  <c r="B9" i="87"/>
  <c r="B110" i="68"/>
  <c r="B110" i="77"/>
  <c r="B6" i="87"/>
  <c r="P12" i="41" l="1"/>
  <c r="N12" i="41"/>
  <c r="N13" i="56" s="1"/>
  <c r="O12" i="41"/>
  <c r="K12" i="41"/>
  <c r="N10" i="56" s="1"/>
  <c r="J12" i="41"/>
  <c r="N9" i="56" s="1"/>
  <c r="L12" i="41"/>
  <c r="N11" i="56" s="1"/>
  <c r="M12" i="41"/>
  <c r="N12" i="56" s="1"/>
  <c r="F12" i="41"/>
  <c r="N6" i="56" s="1"/>
  <c r="G12" i="41"/>
  <c r="N7" i="56" s="1"/>
  <c r="E12" i="41"/>
  <c r="N5" i="56" s="1"/>
  <c r="H12" i="41"/>
  <c r="N8" i="56" s="1"/>
  <c r="I12" i="41"/>
  <c r="G105" i="80"/>
  <c r="O105" i="80" s="1"/>
  <c r="X6" i="87"/>
  <c r="M21" i="56"/>
  <c r="N104" i="80"/>
  <c r="L106" i="80" s="1"/>
  <c r="B4" i="67"/>
  <c r="B3" i="67"/>
  <c r="B109" i="67" s="1"/>
  <c r="B2" i="67"/>
  <c r="B108" i="67" s="1"/>
  <c r="B110" i="67" l="1"/>
  <c r="C79" i="37"/>
  <c r="M106" i="80"/>
  <c r="E106" i="80"/>
  <c r="I106" i="80"/>
  <c r="H106" i="80"/>
  <c r="N106" i="80"/>
  <c r="D106" i="80"/>
  <c r="K106" i="80"/>
  <c r="F106" i="80"/>
  <c r="J106" i="80"/>
  <c r="C106" i="80"/>
  <c r="B106" i="80"/>
  <c r="G106" i="80"/>
  <c r="D6" i="41" l="1"/>
  <c r="K45" i="37" l="1"/>
  <c r="J45" i="37"/>
  <c r="B4" i="57"/>
  <c r="B6" i="86" s="1"/>
  <c r="B3" i="57"/>
  <c r="B109" i="57" s="1"/>
  <c r="B2" i="57"/>
  <c r="B108" i="57" s="1"/>
  <c r="B110" i="57" l="1"/>
  <c r="I45" i="37"/>
  <c r="I9" i="37" l="1"/>
  <c r="C5" i="37" l="1"/>
  <c r="C41" i="37" s="1"/>
  <c r="C77" i="37" s="1"/>
  <c r="C9" i="41"/>
  <c r="C8" i="41"/>
  <c r="C7" i="41"/>
  <c r="C6" i="41"/>
  <c r="H3" i="82" l="1"/>
  <c r="H3" i="83"/>
  <c r="H3" i="78"/>
  <c r="H3" i="68"/>
  <c r="H3" i="85"/>
  <c r="H3" i="79"/>
  <c r="H3" i="77"/>
  <c r="H3" i="84"/>
  <c r="C13" i="41" l="1"/>
  <c r="B16" i="37" l="1"/>
  <c r="K32" i="37"/>
  <c r="V17" i="37"/>
  <c r="K4" i="37"/>
  <c r="C23" i="41"/>
  <c r="C22" i="41"/>
  <c r="C21" i="41"/>
  <c r="C16" i="41"/>
  <c r="C15" i="41"/>
  <c r="C14" i="41"/>
  <c r="C20" i="41"/>
  <c r="C4" i="37" l="1"/>
  <c r="C40" i="37" s="1"/>
  <c r="C76" i="37" s="1"/>
  <c r="K68" i="37" l="1"/>
  <c r="K104" i="37" s="1"/>
  <c r="V53" i="37"/>
  <c r="V89" i="37" s="1"/>
  <c r="K40" i="37"/>
  <c r="K76" i="37" s="1"/>
  <c r="B52" i="37"/>
  <c r="B88" i="37" s="1"/>
  <c r="R53" i="37" l="1"/>
  <c r="F56" i="37"/>
  <c r="E4" i="65" l="1"/>
  <c r="B15" i="86" s="1"/>
  <c r="E4" i="43"/>
  <c r="B22" i="86" s="1"/>
  <c r="E4" i="67"/>
  <c r="B4" i="61"/>
  <c r="B4" i="60"/>
  <c r="B16" i="86" s="1"/>
  <c r="B4" i="62"/>
  <c r="B21" i="86" s="1"/>
  <c r="E4" i="59"/>
  <c r="B13" i="86" s="1"/>
  <c r="E4" i="63"/>
  <c r="B7" i="86" s="1"/>
  <c r="E4" i="61"/>
  <c r="M64" i="37"/>
  <c r="R52" i="37"/>
  <c r="F58" i="37"/>
  <c r="N64" i="37"/>
  <c r="R51" i="37"/>
  <c r="R15" i="37"/>
  <c r="F22" i="37"/>
  <c r="R17" i="37"/>
  <c r="R16" i="37"/>
  <c r="F20" i="37"/>
  <c r="F21" i="37"/>
  <c r="K9" i="37"/>
  <c r="M28" i="37"/>
  <c r="J9" i="37"/>
  <c r="B9" i="86" l="1"/>
  <c r="B10" i="86"/>
  <c r="B110" i="61"/>
  <c r="B110" i="62"/>
  <c r="B110" i="60"/>
  <c r="O64" i="37"/>
  <c r="D25" i="41"/>
  <c r="D26" i="41" s="1"/>
  <c r="D18" i="41"/>
  <c r="D19" i="41" s="1"/>
  <c r="O28" i="37"/>
  <c r="N28" i="37"/>
  <c r="R88" i="37"/>
  <c r="M100" i="37"/>
  <c r="R89" i="37"/>
  <c r="F92" i="37"/>
  <c r="O100" i="37"/>
  <c r="N100" i="37"/>
  <c r="I81" i="37"/>
  <c r="K81" i="37" l="1"/>
  <c r="J81" i="37"/>
  <c r="R87" i="37"/>
  <c r="F94" i="37" l="1"/>
  <c r="C18" i="86"/>
  <c r="F57" i="37" l="1"/>
  <c r="C16" i="87"/>
  <c r="C9" i="87"/>
  <c r="D56" i="37" l="1"/>
  <c r="T56" i="37"/>
  <c r="D11" i="41"/>
  <c r="D12" i="41" s="1"/>
  <c r="N4" i="56" s="1"/>
  <c r="N14" i="56" s="1"/>
  <c r="F93" i="37" l="1"/>
</calcChain>
</file>

<file path=xl/sharedStrings.xml><?xml version="1.0" encoding="utf-8"?>
<sst xmlns="http://schemas.openxmlformats.org/spreadsheetml/2006/main" count="5447" uniqueCount="304">
  <si>
    <t>Date:</t>
  </si>
  <si>
    <t>To:</t>
  </si>
  <si>
    <t>Approach</t>
  </si>
  <si>
    <t>Left</t>
  </si>
  <si>
    <t>Straight</t>
  </si>
  <si>
    <t>Right</t>
  </si>
  <si>
    <t>Total</t>
  </si>
  <si>
    <t>Vehicles</t>
  </si>
  <si>
    <t xml:space="preserve">     </t>
  </si>
  <si>
    <t xml:space="preserve">  </t>
  </si>
  <si>
    <t>Day:</t>
  </si>
  <si>
    <t>Total (Veh.)</t>
  </si>
  <si>
    <t>Composition</t>
  </si>
  <si>
    <t>Location Name:</t>
  </si>
  <si>
    <t>Location Code:</t>
  </si>
  <si>
    <t>0800 - 0900</t>
  </si>
  <si>
    <t>0815 - 0915</t>
  </si>
  <si>
    <t>0830 - 0930</t>
  </si>
  <si>
    <t>0845 - 0945</t>
  </si>
  <si>
    <t>0900 - 1000</t>
  </si>
  <si>
    <t>0915 - 1015</t>
  </si>
  <si>
    <t>0930 - 1030</t>
  </si>
  <si>
    <t>0945 - 1045</t>
  </si>
  <si>
    <t>1000 - 1100</t>
  </si>
  <si>
    <t>1015 - 1115</t>
  </si>
  <si>
    <t>1030 - 1130</t>
  </si>
  <si>
    <t>1045 - 1145</t>
  </si>
  <si>
    <t>1100 - 1200</t>
  </si>
  <si>
    <t>1115 - 1215</t>
  </si>
  <si>
    <t>1130 - 1230</t>
  </si>
  <si>
    <t>1145 - 1245</t>
  </si>
  <si>
    <t>1200 - 1300</t>
  </si>
  <si>
    <t>1215 - 1315</t>
  </si>
  <si>
    <t>1230 - 1330</t>
  </si>
  <si>
    <t>1245 - 1345</t>
  </si>
  <si>
    <t>1300 - 1400</t>
  </si>
  <si>
    <t>1315 - 1415</t>
  </si>
  <si>
    <t>1330 - 1430</t>
  </si>
  <si>
    <t>1345 - 1445</t>
  </si>
  <si>
    <t>1400 - 1500</t>
  </si>
  <si>
    <t>1415 - 1515</t>
  </si>
  <si>
    <t>1430 - 1530</t>
  </si>
  <si>
    <t>1445 - 1545</t>
  </si>
  <si>
    <t>1500 - 1600</t>
  </si>
  <si>
    <t>1515 - 1615</t>
  </si>
  <si>
    <t>1530 - 1630</t>
  </si>
  <si>
    <t>1545 - 1645</t>
  </si>
  <si>
    <t>1600 - 1700</t>
  </si>
  <si>
    <t>1615 - 1715</t>
  </si>
  <si>
    <t>1630 - 1730</t>
  </si>
  <si>
    <t>1645 - 1745</t>
  </si>
  <si>
    <t>1700 - 1800</t>
  </si>
  <si>
    <t>1715 - 1815</t>
  </si>
  <si>
    <t>1730 - 1830</t>
  </si>
  <si>
    <t>1745 - 1845</t>
  </si>
  <si>
    <t>1800 - 1900</t>
  </si>
  <si>
    <t>1815 - 1915</t>
  </si>
  <si>
    <t>1830 - 1930</t>
  </si>
  <si>
    <t>1845 - 1945</t>
  </si>
  <si>
    <t>1900 - 2000</t>
  </si>
  <si>
    <t>Nos.</t>
  </si>
  <si>
    <t>Location</t>
  </si>
  <si>
    <t>0600 - 0700</t>
  </si>
  <si>
    <t>0615 - 0715</t>
  </si>
  <si>
    <t>0630 - 0730</t>
  </si>
  <si>
    <t>0645 - 0745</t>
  </si>
  <si>
    <t>0700 - 0800</t>
  </si>
  <si>
    <t>0715 - 0815</t>
  </si>
  <si>
    <t>0730 - 0830</t>
  </si>
  <si>
    <t>0745 - 0845</t>
  </si>
  <si>
    <t>2000 - 2100</t>
  </si>
  <si>
    <t>2015 - 2115</t>
  </si>
  <si>
    <t>2030 - 2130</t>
  </si>
  <si>
    <t>2045 - 2145</t>
  </si>
  <si>
    <t>2100 - 2200</t>
  </si>
  <si>
    <t>1930 - 2030</t>
  </si>
  <si>
    <t>1945 - 2045</t>
  </si>
  <si>
    <t>1915 - 2015</t>
  </si>
  <si>
    <t>Total Slow</t>
  </si>
  <si>
    <t>Goods Vehicles</t>
  </si>
  <si>
    <t>PCU's</t>
  </si>
  <si>
    <t>V3  V2  V1</t>
  </si>
  <si>
    <t>V4</t>
  </si>
  <si>
    <t>V5</t>
  </si>
  <si>
    <t>V6</t>
  </si>
  <si>
    <t>V7  V8  V9</t>
  </si>
  <si>
    <t>V10</t>
  </si>
  <si>
    <t>V11</t>
  </si>
  <si>
    <t>V12</t>
  </si>
  <si>
    <t>DIRECTIONWISE MORNING PEAK HOUR TRAFFIC FLOW DIAGRAM</t>
  </si>
  <si>
    <t>DIRECTIONWISE EVENING PEAK HOUR TRAFFIC FLOW DIAGRAM</t>
  </si>
  <si>
    <t>DIRECTIONWISE TOTAL TRAFFIC FLOW DIAGRAM</t>
  </si>
  <si>
    <t>COMPOSITION</t>
  </si>
  <si>
    <t>Sr. No.</t>
  </si>
  <si>
    <t>All Direction</t>
  </si>
  <si>
    <t>Time</t>
  </si>
  <si>
    <t>LCV</t>
  </si>
  <si>
    <t>Total Inflow</t>
  </si>
  <si>
    <t>Total Outflow</t>
  </si>
  <si>
    <t>CLASSIFIED TRAFFIC VOLUME COUNT AT INTERSECTION</t>
  </si>
  <si>
    <t>Total Vehicle :</t>
  </si>
  <si>
    <t>Total PCU's:</t>
  </si>
  <si>
    <t>Location Code   :</t>
  </si>
  <si>
    <t>Location Name   :</t>
  </si>
  <si>
    <t>Direction From   :</t>
  </si>
  <si>
    <t>MAV</t>
  </si>
  <si>
    <t>V-4</t>
  </si>
  <si>
    <t>V-9</t>
  </si>
  <si>
    <t>V-5</t>
  </si>
  <si>
    <t>V-11</t>
  </si>
  <si>
    <t>V-7</t>
  </si>
  <si>
    <t>V-12</t>
  </si>
  <si>
    <t>IN-2</t>
  </si>
  <si>
    <t>OUT-2</t>
  </si>
  <si>
    <t>IN-3</t>
  </si>
  <si>
    <t>OUT-3</t>
  </si>
  <si>
    <t>IN-4</t>
  </si>
  <si>
    <t>OUT-4</t>
  </si>
  <si>
    <t>V-1</t>
  </si>
  <si>
    <t>V-6</t>
  </si>
  <si>
    <t>V-2</t>
  </si>
  <si>
    <t>V-8</t>
  </si>
  <si>
    <t>V-3</t>
  </si>
  <si>
    <t>V-10</t>
  </si>
  <si>
    <t>IN-1</t>
  </si>
  <si>
    <t>OUT-1</t>
  </si>
  <si>
    <t>Car</t>
  </si>
  <si>
    <t>24 Hrs.</t>
  </si>
  <si>
    <t>Taxi</t>
  </si>
  <si>
    <t>Total Fast Vehicle</t>
  </si>
  <si>
    <t>Total Goods</t>
  </si>
  <si>
    <t>Grand Total (Nos.)</t>
  </si>
  <si>
    <t>Grand Total (PCU's)</t>
  </si>
  <si>
    <t>Truck</t>
  </si>
  <si>
    <t>Others</t>
  </si>
  <si>
    <t>0600-0615</t>
  </si>
  <si>
    <t>0615-0630</t>
  </si>
  <si>
    <t>0630-0645</t>
  </si>
  <si>
    <t>0645-0700</t>
  </si>
  <si>
    <t>0700-0715</t>
  </si>
  <si>
    <t>0715-0730</t>
  </si>
  <si>
    <t>0730-0745</t>
  </si>
  <si>
    <t>0745-0800</t>
  </si>
  <si>
    <t>Total (PCUs)</t>
  </si>
  <si>
    <t>Comp.(%)</t>
  </si>
  <si>
    <t>Seet No</t>
  </si>
  <si>
    <t>Direction</t>
  </si>
  <si>
    <t>TW</t>
  </si>
  <si>
    <t>Goods Auto / Pickup</t>
  </si>
  <si>
    <t>Three Wheeler (Auto)</t>
  </si>
  <si>
    <t>Cycle</t>
  </si>
  <si>
    <t>Cycle Rickshaw</t>
  </si>
  <si>
    <t>E-Rickshaw</t>
  </si>
  <si>
    <t>0000-0015</t>
  </si>
  <si>
    <t>0015-0030</t>
  </si>
  <si>
    <t>0030-0045</t>
  </si>
  <si>
    <t>0045-0100</t>
  </si>
  <si>
    <t>0100-0115</t>
  </si>
  <si>
    <t>0115-0130</t>
  </si>
  <si>
    <t>0130-0145</t>
  </si>
  <si>
    <t>0145-0200</t>
  </si>
  <si>
    <t>0200-0215</t>
  </si>
  <si>
    <t>0215-0230</t>
  </si>
  <si>
    <t>0230-0245</t>
  </si>
  <si>
    <t>0245-0300</t>
  </si>
  <si>
    <t>0300-0315</t>
  </si>
  <si>
    <t>0315-0330</t>
  </si>
  <si>
    <t>0330-0345</t>
  </si>
  <si>
    <t>0345-0400</t>
  </si>
  <si>
    <t>0400-0415</t>
  </si>
  <si>
    <t>0415-0430</t>
  </si>
  <si>
    <t>0430-0445</t>
  </si>
  <si>
    <t>0445-0500</t>
  </si>
  <si>
    <t>0500-0515</t>
  </si>
  <si>
    <t>0515-0530</t>
  </si>
  <si>
    <t>0530-0545</t>
  </si>
  <si>
    <t>0545-0600</t>
  </si>
  <si>
    <t>0800-0815</t>
  </si>
  <si>
    <t>0815-0830</t>
  </si>
  <si>
    <t>0830-0845</t>
  </si>
  <si>
    <t>0845-0900</t>
  </si>
  <si>
    <t>0900-0915</t>
  </si>
  <si>
    <t>0915-0930</t>
  </si>
  <si>
    <t>0930-0945</t>
  </si>
  <si>
    <t>0945-1000</t>
  </si>
  <si>
    <t>1000-1015</t>
  </si>
  <si>
    <t>1015-1030</t>
  </si>
  <si>
    <t>1030-1045</t>
  </si>
  <si>
    <t>1045-1100</t>
  </si>
  <si>
    <t>1100-1115</t>
  </si>
  <si>
    <t>1115-1130</t>
  </si>
  <si>
    <t>1130-1145</t>
  </si>
  <si>
    <t>1145-1200</t>
  </si>
  <si>
    <t>1200-1215</t>
  </si>
  <si>
    <t>1215-1230</t>
  </si>
  <si>
    <t>1230-1245</t>
  </si>
  <si>
    <t>1245-1300</t>
  </si>
  <si>
    <t>1300-1315</t>
  </si>
  <si>
    <t>1315-1330</t>
  </si>
  <si>
    <t>1330-1345</t>
  </si>
  <si>
    <t>1345-1400</t>
  </si>
  <si>
    <t>1400-1415</t>
  </si>
  <si>
    <t>1415-1430</t>
  </si>
  <si>
    <t>1430-1445</t>
  </si>
  <si>
    <t>1445-1500</t>
  </si>
  <si>
    <t>1500-1515</t>
  </si>
  <si>
    <t>1515-1530</t>
  </si>
  <si>
    <t>1530-1545</t>
  </si>
  <si>
    <t>1545-1600</t>
  </si>
  <si>
    <t>1600-1615</t>
  </si>
  <si>
    <t>1615-1630</t>
  </si>
  <si>
    <t>1630-1645</t>
  </si>
  <si>
    <t>1645-1700</t>
  </si>
  <si>
    <t>1700-1715</t>
  </si>
  <si>
    <t>1715-1730</t>
  </si>
  <si>
    <t>1730-1745</t>
  </si>
  <si>
    <t>1745-1800</t>
  </si>
  <si>
    <t>1800-1815</t>
  </si>
  <si>
    <t>1815-1830</t>
  </si>
  <si>
    <t>1830-1845</t>
  </si>
  <si>
    <t>1845-1900</t>
  </si>
  <si>
    <t>1900-1915</t>
  </si>
  <si>
    <t>1915-1930</t>
  </si>
  <si>
    <t>1930-1945</t>
  </si>
  <si>
    <t>1945-2000</t>
  </si>
  <si>
    <t>2000-2015</t>
  </si>
  <si>
    <t>2015-2030</t>
  </si>
  <si>
    <t>2030-2045</t>
  </si>
  <si>
    <t>2045-2100</t>
  </si>
  <si>
    <t>2100-2115</t>
  </si>
  <si>
    <t>2115-2130</t>
  </si>
  <si>
    <t>2130-2145</t>
  </si>
  <si>
    <t>2145-2200</t>
  </si>
  <si>
    <t>2200-2215</t>
  </si>
  <si>
    <t>2215-2230</t>
  </si>
  <si>
    <t>2230-2245</t>
  </si>
  <si>
    <t>2245-2300</t>
  </si>
  <si>
    <t>2300-2315</t>
  </si>
  <si>
    <t>2315-2330</t>
  </si>
  <si>
    <t>2330-2345</t>
  </si>
  <si>
    <t>2345-2400</t>
  </si>
  <si>
    <t>0000 - 0100</t>
  </si>
  <si>
    <t>0015 - 0115</t>
  </si>
  <si>
    <t>0030 - 0130</t>
  </si>
  <si>
    <t>0045 - 0145</t>
  </si>
  <si>
    <t>0100 - 0200</t>
  </si>
  <si>
    <t xml:space="preserve">0115 - 0215 </t>
  </si>
  <si>
    <t>0130 - 0230</t>
  </si>
  <si>
    <t>0145 - 0245</t>
  </si>
  <si>
    <t>0200 - 0300</t>
  </si>
  <si>
    <t>0215 - 0315</t>
  </si>
  <si>
    <t>0230 - 0330</t>
  </si>
  <si>
    <t>0245 - 0345</t>
  </si>
  <si>
    <t>0300 - 0400</t>
  </si>
  <si>
    <t>0315 - 0415</t>
  </si>
  <si>
    <t>0330 - 0430</t>
  </si>
  <si>
    <t>0345 - 0445</t>
  </si>
  <si>
    <t>0400 - 0500</t>
  </si>
  <si>
    <t>0415 - 0530</t>
  </si>
  <si>
    <t>0430 - 0530</t>
  </si>
  <si>
    <t>0445 - 0545</t>
  </si>
  <si>
    <t>0500 - 0600</t>
  </si>
  <si>
    <t>2115 - 2215</t>
  </si>
  <si>
    <t>2130 - 2230</t>
  </si>
  <si>
    <t>2145 - 2245</t>
  </si>
  <si>
    <t>2200 - 2300</t>
  </si>
  <si>
    <t>2215 - 2315</t>
  </si>
  <si>
    <t>2230 - 2330</t>
  </si>
  <si>
    <t>2245 - 2345</t>
  </si>
  <si>
    <t>2300 - 2400</t>
  </si>
  <si>
    <t>0515-0615</t>
  </si>
  <si>
    <t>0530-0630</t>
  </si>
  <si>
    <t>Mini LCV</t>
  </si>
  <si>
    <t>School Bus</t>
  </si>
  <si>
    <t>Govt./Roadways Bus</t>
  </si>
  <si>
    <t>PVT Bus</t>
  </si>
  <si>
    <t>Mini /Feeder Bus</t>
  </si>
  <si>
    <t>Tractor/Tractor with Trailor</t>
  </si>
  <si>
    <t>24-HOUR</t>
  </si>
  <si>
    <t>0545-0645</t>
  </si>
  <si>
    <t>Car, Taxi, Tempo, Auto Rickshaw &amp; Pick up</t>
  </si>
  <si>
    <t>Motar Cycle, Scooter</t>
  </si>
  <si>
    <t>Agriculture Tractor, LCV Mini Bus</t>
  </si>
  <si>
    <t>Three Wheeler (Auto) Axle Truck, Buses</t>
  </si>
  <si>
    <t>Tractor Trailor, Truck Trailor Units (3 Axle &amp; MAV)</t>
  </si>
  <si>
    <t>Hand Cart</t>
  </si>
  <si>
    <t>Horse Drawn</t>
  </si>
  <si>
    <t>Bullock Corts</t>
  </si>
  <si>
    <t>24 Hrs. Volume Count</t>
  </si>
  <si>
    <t>Morning Peak</t>
  </si>
  <si>
    <t>Evening Peak</t>
  </si>
  <si>
    <t>0930-1030</t>
  </si>
  <si>
    <t>Nindar</t>
  </si>
  <si>
    <t>Delhi</t>
  </si>
  <si>
    <t>Chomu Pulia</t>
  </si>
  <si>
    <t>Mansarover</t>
  </si>
  <si>
    <t>Flyover</t>
  </si>
  <si>
    <t>Under Flyver</t>
  </si>
  <si>
    <t>Under Flyover</t>
  </si>
  <si>
    <t>V5+V13</t>
  </si>
  <si>
    <t>V11+V14</t>
  </si>
  <si>
    <t>D2</t>
  </si>
  <si>
    <t>TMC-14 Number (D2)</t>
  </si>
  <si>
    <t>1745-1845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</si>
</sst>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9" x14ac:knownFonts="1">
    <font>
      <sz val="12"/>
      <name val="Times New Roman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indexed="10"/>
      <name val="Times New Roman"/>
      <family val="1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.5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sz val="11.5"/>
      <color theme="1"/>
      <name val="Calibri"/>
      <family val="2"/>
      <scheme val="minor"/>
    </font>
    <font>
      <b/>
      <sz val="10"/>
      <name val="Arial"/>
      <family val="2"/>
    </font>
    <font>
      <b/>
      <u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9"/>
      <color indexed="8"/>
      <name val="Verdana"/>
      <family val="2"/>
    </font>
    <font>
      <sz val="9"/>
      <color indexed="8"/>
      <name val="Verdana"/>
      <family val="2"/>
    </font>
    <font>
      <sz val="9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Times New Roman"/>
      <family val="1"/>
    </font>
    <font>
      <sz val="14"/>
      <color indexed="10"/>
      <name val="Times New Roman"/>
      <family val="1"/>
    </font>
    <font>
      <sz val="8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sz val="16"/>
      <name val="Times New Roman"/>
      <family val="1"/>
    </font>
    <font>
      <sz val="12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00CC0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3" fillId="0" borderId="0"/>
    <xf numFmtId="0" fontId="1" fillId="0" borderId="0"/>
    <xf numFmtId="0" fontId="5" fillId="0" borderId="0"/>
    <xf numFmtId="0" fontId="3" fillId="0" borderId="0"/>
  </cellStyleXfs>
  <cellXfs count="322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15" fontId="4" fillId="0" borderId="0" xfId="0" applyNumberFormat="1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5" fillId="2" borderId="0" xfId="0" applyFont="1" applyFill="1"/>
    <xf numFmtId="15" fontId="4" fillId="0" borderId="0" xfId="0" quotePrefix="1" applyNumberFormat="1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0" xfId="2"/>
    <xf numFmtId="0" fontId="1" fillId="0" borderId="0" xfId="2" applyAlignment="1">
      <alignment horizontal="center"/>
    </xf>
    <xf numFmtId="0" fontId="4" fillId="0" borderId="0" xfId="3" applyFont="1" applyAlignment="1">
      <alignment horizontal="left"/>
    </xf>
    <xf numFmtId="0" fontId="8" fillId="0" borderId="0" xfId="2" applyFont="1"/>
    <xf numFmtId="0" fontId="1" fillId="0" borderId="26" xfId="2" applyBorder="1"/>
    <xf numFmtId="0" fontId="1" fillId="0" borderId="27" xfId="2" applyBorder="1"/>
    <xf numFmtId="0" fontId="7" fillId="0" borderId="0" xfId="2" applyFont="1"/>
    <xf numFmtId="0" fontId="7" fillId="0" borderId="28" xfId="2" applyFont="1" applyBorder="1" applyAlignment="1">
      <alignment horizontal="center"/>
    </xf>
    <xf numFmtId="0" fontId="7" fillId="0" borderId="0" xfId="2" applyFont="1" applyAlignment="1">
      <alignment horizontal="center"/>
    </xf>
    <xf numFmtId="0" fontId="1" fillId="0" borderId="29" xfId="2" applyBorder="1"/>
    <xf numFmtId="0" fontId="1" fillId="0" borderId="29" xfId="2" applyBorder="1" applyAlignment="1">
      <alignment horizontal="center"/>
    </xf>
    <xf numFmtId="0" fontId="7" fillId="0" borderId="0" xfId="2" applyFont="1" applyAlignment="1">
      <alignment vertical="center"/>
    </xf>
    <xf numFmtId="0" fontId="7" fillId="0" borderId="0" xfId="2" applyFont="1" applyAlignment="1">
      <alignment horizontal="center" vertical="center"/>
    </xf>
    <xf numFmtId="0" fontId="3" fillId="0" borderId="0" xfId="4"/>
    <xf numFmtId="0" fontId="12" fillId="0" borderId="0" xfId="4" applyFont="1"/>
    <xf numFmtId="1" fontId="7" fillId="0" borderId="28" xfId="2" applyNumberFormat="1" applyFont="1" applyBorder="1" applyAlignment="1">
      <alignment horizontal="center"/>
    </xf>
    <xf numFmtId="0" fontId="10" fillId="0" borderId="0" xfId="2" applyFont="1"/>
    <xf numFmtId="0" fontId="10" fillId="0" borderId="0" xfId="2" applyFont="1" applyAlignment="1">
      <alignment horizontal="center"/>
    </xf>
    <xf numFmtId="1" fontId="10" fillId="0" borderId="0" xfId="2" applyNumberFormat="1" applyFont="1" applyAlignment="1">
      <alignment horizontal="center"/>
    </xf>
    <xf numFmtId="1" fontId="11" fillId="0" borderId="0" xfId="2" applyNumberFormat="1" applyFont="1" applyAlignment="1">
      <alignment horizontal="center"/>
    </xf>
    <xf numFmtId="0" fontId="4" fillId="0" borderId="0" xfId="0" applyFont="1" applyAlignment="1">
      <alignment vertical="center"/>
    </xf>
    <xf numFmtId="1" fontId="8" fillId="0" borderId="0" xfId="2" applyNumberFormat="1" applyFont="1"/>
    <xf numFmtId="0" fontId="4" fillId="0" borderId="30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0" borderId="0" xfId="0" applyFont="1"/>
    <xf numFmtId="0" fontId="0" fillId="0" borderId="8" xfId="0" applyBorder="1" applyAlignment="1">
      <alignment horizontal="center" vertical="center"/>
    </xf>
    <xf numFmtId="1" fontId="14" fillId="0" borderId="34" xfId="0" applyNumberFormat="1" applyFont="1" applyBorder="1" applyAlignment="1">
      <alignment horizontal="center" vertical="center" wrapText="1"/>
    </xf>
    <xf numFmtId="0" fontId="14" fillId="0" borderId="39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/>
    </xf>
    <xf numFmtId="1" fontId="14" fillId="0" borderId="40" xfId="0" applyNumberFormat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15" fontId="4" fillId="0" borderId="0" xfId="0" applyNumberFormat="1" applyFont="1"/>
    <xf numFmtId="0" fontId="4" fillId="0" borderId="34" xfId="0" applyFont="1" applyBorder="1" applyAlignment="1">
      <alignment horizontal="center" vertical="center"/>
    </xf>
    <xf numFmtId="0" fontId="15" fillId="0" borderId="5" xfId="4" applyFont="1" applyBorder="1" applyAlignment="1">
      <alignment horizontal="left"/>
    </xf>
    <xf numFmtId="1" fontId="15" fillId="0" borderId="5" xfId="4" applyNumberFormat="1" applyFont="1" applyBorder="1" applyAlignment="1">
      <alignment horizontal="center"/>
    </xf>
    <xf numFmtId="2" fontId="15" fillId="6" borderId="6" xfId="4" applyNumberFormat="1" applyFont="1" applyFill="1" applyBorder="1" applyAlignment="1">
      <alignment horizontal="center"/>
    </xf>
    <xf numFmtId="0" fontId="15" fillId="0" borderId="5" xfId="4" applyFont="1" applyBorder="1"/>
    <xf numFmtId="0" fontId="15" fillId="0" borderId="31" xfId="4" applyFont="1" applyBorder="1"/>
    <xf numFmtId="0" fontId="15" fillId="0" borderId="5" xfId="4" applyFont="1" applyBorder="1" applyAlignment="1">
      <alignment horizontal="center"/>
    </xf>
    <xf numFmtId="0" fontId="15" fillId="6" borderId="5" xfId="4" applyFont="1" applyFill="1" applyBorder="1" applyAlignment="1">
      <alignment horizontal="left"/>
    </xf>
    <xf numFmtId="0" fontId="13" fillId="0" borderId="31" xfId="4" applyFont="1" applyBorder="1" applyAlignment="1">
      <alignment vertical="center"/>
    </xf>
    <xf numFmtId="20" fontId="4" fillId="0" borderId="0" xfId="3" applyNumberFormat="1" applyFont="1" applyAlignment="1">
      <alignment horizontal="left"/>
    </xf>
    <xf numFmtId="1" fontId="19" fillId="0" borderId="0" xfId="2" applyNumberFormat="1" applyFont="1"/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2" fillId="0" borderId="30" xfId="0" applyNumberFormat="1" applyFont="1" applyBorder="1" applyAlignment="1">
      <alignment horizontal="center" vertical="center"/>
    </xf>
    <xf numFmtId="1" fontId="2" fillId="0" borderId="20" xfId="0" applyNumberFormat="1" applyFont="1" applyBorder="1" applyAlignment="1">
      <alignment horizontal="center" vertical="center"/>
    </xf>
    <xf numFmtId="1" fontId="2" fillId="0" borderId="44" xfId="0" applyNumberFormat="1" applyFont="1" applyBorder="1" applyAlignment="1">
      <alignment horizontal="center" vertical="center"/>
    </xf>
    <xf numFmtId="1" fontId="2" fillId="0" borderId="45" xfId="0" applyNumberFormat="1" applyFont="1" applyBorder="1" applyAlignment="1">
      <alignment horizontal="center" vertical="center"/>
    </xf>
    <xf numFmtId="0" fontId="0" fillId="0" borderId="17" xfId="0" applyBorder="1"/>
    <xf numFmtId="0" fontId="4" fillId="0" borderId="20" xfId="0" applyFont="1" applyBorder="1" applyAlignment="1">
      <alignment horizontal="center" vertical="center"/>
    </xf>
    <xf numFmtId="0" fontId="0" fillId="0" borderId="21" xfId="0" applyBorder="1"/>
    <xf numFmtId="0" fontId="4" fillId="0" borderId="30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0" fillId="0" borderId="11" xfId="0" applyBorder="1"/>
    <xf numFmtId="0" fontId="0" fillId="0" borderId="13" xfId="0" applyBorder="1"/>
    <xf numFmtId="1" fontId="14" fillId="0" borderId="7" xfId="0" applyNumberFormat="1" applyFont="1" applyBorder="1" applyAlignment="1">
      <alignment horizontal="center" vertical="center" wrapText="1"/>
    </xf>
    <xf numFmtId="1" fontId="14" fillId="0" borderId="3" xfId="0" applyNumberFormat="1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" fontId="20" fillId="0" borderId="7" xfId="0" applyNumberFormat="1" applyFont="1" applyBorder="1" applyAlignment="1">
      <alignment horizontal="center" vertical="center"/>
    </xf>
    <xf numFmtId="164" fontId="21" fillId="0" borderId="41" xfId="0" applyNumberFormat="1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164" fontId="21" fillId="0" borderId="16" xfId="0" applyNumberFormat="1" applyFont="1" applyBorder="1" applyAlignment="1">
      <alignment horizontal="center" vertical="center"/>
    </xf>
    <xf numFmtId="164" fontId="20" fillId="0" borderId="39" xfId="0" applyNumberFormat="1" applyFont="1" applyBorder="1" applyAlignment="1">
      <alignment horizontal="center" vertical="center"/>
    </xf>
    <xf numFmtId="164" fontId="20" fillId="0" borderId="16" xfId="0" applyNumberFormat="1" applyFont="1" applyBorder="1" applyAlignment="1">
      <alignment horizontal="center" vertical="center"/>
    </xf>
    <xf numFmtId="1" fontId="14" fillId="0" borderId="12" xfId="0" applyNumberFormat="1" applyFont="1" applyBorder="1" applyAlignment="1">
      <alignment horizontal="center" vertical="center" wrapText="1"/>
    </xf>
    <xf numFmtId="1" fontId="14" fillId="0" borderId="13" xfId="0" applyNumberFormat="1" applyFont="1" applyBorder="1" applyAlignment="1">
      <alignment horizontal="center" vertical="center" wrapText="1"/>
    </xf>
    <xf numFmtId="0" fontId="15" fillId="0" borderId="48" xfId="4" applyFont="1" applyBorder="1" applyAlignment="1">
      <alignment horizontal="center"/>
    </xf>
    <xf numFmtId="1" fontId="15" fillId="2" borderId="23" xfId="4" applyNumberFormat="1" applyFont="1" applyFill="1" applyBorder="1" applyAlignment="1">
      <alignment horizontal="center"/>
    </xf>
    <xf numFmtId="0" fontId="3" fillId="0" borderId="4" xfId="4" applyBorder="1"/>
    <xf numFmtId="2" fontId="15" fillId="0" borderId="6" xfId="4" applyNumberFormat="1" applyFont="1" applyBorder="1" applyAlignment="1">
      <alignment horizontal="center"/>
    </xf>
    <xf numFmtId="2" fontId="15" fillId="0" borderId="48" xfId="4" applyNumberFormat="1" applyFont="1" applyBorder="1" applyAlignment="1">
      <alignment horizontal="center"/>
    </xf>
    <xf numFmtId="1" fontId="4" fillId="0" borderId="30" xfId="0" applyNumberFormat="1" applyFont="1" applyBorder="1" applyAlignment="1">
      <alignment horizontal="center" vertical="center"/>
    </xf>
    <xf numFmtId="1" fontId="4" fillId="0" borderId="20" xfId="0" applyNumberFormat="1" applyFont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3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0" fillId="0" borderId="4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1" fontId="14" fillId="0" borderId="40" xfId="0" applyNumberFormat="1" applyFont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 wrapText="1"/>
    </xf>
    <xf numFmtId="0" fontId="20" fillId="0" borderId="52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1" fontId="14" fillId="4" borderId="34" xfId="0" applyNumberFormat="1" applyFont="1" applyFill="1" applyBorder="1" applyAlignment="1">
      <alignment horizontal="center" vertical="center" wrapText="1"/>
    </xf>
    <xf numFmtId="1" fontId="14" fillId="4" borderId="40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3" borderId="0" xfId="1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quotePrefix="1" applyFont="1" applyBorder="1" applyAlignment="1">
      <alignment horizontal="center"/>
    </xf>
    <xf numFmtId="0" fontId="2" fillId="0" borderId="0" xfId="0" quotePrefix="1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quotePrefix="1" applyFont="1" applyBorder="1" applyAlignment="1">
      <alignment horizontal="center"/>
    </xf>
    <xf numFmtId="0" fontId="2" fillId="0" borderId="0" xfId="0" applyFont="1" applyProtection="1">
      <protection locked="0"/>
    </xf>
    <xf numFmtId="0" fontId="0" fillId="4" borderId="0" xfId="0" applyFill="1"/>
    <xf numFmtId="0" fontId="0" fillId="0" borderId="3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1" fontId="20" fillId="0" borderId="39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21" fillId="0" borderId="39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0" fillId="0" borderId="54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" fontId="15" fillId="0" borderId="23" xfId="4" applyNumberFormat="1" applyFont="1" applyBorder="1" applyAlignment="1">
      <alignment horizontal="center"/>
    </xf>
    <xf numFmtId="1" fontId="15" fillId="0" borderId="39" xfId="4" applyNumberFormat="1" applyFont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16" fillId="0" borderId="39" xfId="0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0" fontId="17" fillId="0" borderId="40" xfId="0" applyFont="1" applyBorder="1" applyAlignment="1">
      <alignment horizontal="left"/>
    </xf>
    <xf numFmtId="2" fontId="18" fillId="0" borderId="11" xfId="0" applyNumberFormat="1" applyFont="1" applyBorder="1" applyAlignment="1">
      <alignment horizontal="center"/>
    </xf>
    <xf numFmtId="1" fontId="17" fillId="0" borderId="12" xfId="0" applyNumberFormat="1" applyFont="1" applyBorder="1" applyAlignment="1">
      <alignment horizontal="left"/>
    </xf>
    <xf numFmtId="0" fontId="17" fillId="0" borderId="12" xfId="0" applyFont="1" applyBorder="1" applyAlignment="1">
      <alignment horizontal="left"/>
    </xf>
    <xf numFmtId="2" fontId="18" fillId="0" borderId="12" xfId="0" applyNumberFormat="1" applyFont="1" applyBorder="1" applyAlignment="1">
      <alignment horizontal="center"/>
    </xf>
    <xf numFmtId="0" fontId="17" fillId="0" borderId="13" xfId="0" applyFont="1" applyBorder="1" applyAlignment="1">
      <alignment horizontal="left"/>
    </xf>
    <xf numFmtId="2" fontId="18" fillId="0" borderId="13" xfId="0" applyNumberFormat="1" applyFont="1" applyBorder="1" applyAlignment="1">
      <alignment horizontal="center"/>
    </xf>
    <xf numFmtId="2" fontId="0" fillId="0" borderId="0" xfId="0" applyNumberFormat="1"/>
    <xf numFmtId="0" fontId="12" fillId="0" borderId="39" xfId="4" applyFont="1" applyBorder="1" applyAlignment="1">
      <alignment horizontal="center"/>
    </xf>
    <xf numFmtId="0" fontId="12" fillId="0" borderId="22" xfId="4" applyFont="1" applyBorder="1" applyAlignment="1">
      <alignment horizontal="center"/>
    </xf>
    <xf numFmtId="0" fontId="12" fillId="0" borderId="15" xfId="4" applyFont="1" applyBorder="1" applyAlignment="1">
      <alignment horizontal="center"/>
    </xf>
    <xf numFmtId="20" fontId="12" fillId="0" borderId="33" xfId="4" applyNumberFormat="1" applyFont="1" applyBorder="1" applyAlignment="1">
      <alignment horizontal="center"/>
    </xf>
    <xf numFmtId="1" fontId="3" fillId="0" borderId="11" xfId="4" applyNumberFormat="1" applyBorder="1" applyAlignment="1">
      <alignment horizontal="center"/>
    </xf>
    <xf numFmtId="1" fontId="3" fillId="0" borderId="42" xfId="4" applyNumberFormat="1" applyBorder="1" applyAlignment="1">
      <alignment horizontal="center"/>
    </xf>
    <xf numFmtId="20" fontId="12" fillId="0" borderId="35" xfId="4" applyNumberFormat="1" applyFont="1" applyBorder="1" applyAlignment="1">
      <alignment horizontal="center"/>
    </xf>
    <xf numFmtId="1" fontId="3" fillId="0" borderId="12" xfId="4" applyNumberFormat="1" applyBorder="1" applyAlignment="1">
      <alignment horizontal="center"/>
    </xf>
    <xf numFmtId="1" fontId="3" fillId="0" borderId="43" xfId="4" applyNumberFormat="1" applyBorder="1" applyAlignment="1">
      <alignment horizontal="center"/>
    </xf>
    <xf numFmtId="2" fontId="12" fillId="0" borderId="35" xfId="4" applyNumberFormat="1" applyFont="1" applyBorder="1" applyAlignment="1">
      <alignment horizontal="center"/>
    </xf>
    <xf numFmtId="2" fontId="12" fillId="0" borderId="37" xfId="4" applyNumberFormat="1" applyFont="1" applyBorder="1" applyAlignment="1">
      <alignment horizontal="center"/>
    </xf>
    <xf numFmtId="1" fontId="3" fillId="0" borderId="13" xfId="4" applyNumberFormat="1" applyBorder="1" applyAlignment="1">
      <alignment horizontal="center"/>
    </xf>
    <xf numFmtId="1" fontId="3" fillId="0" borderId="51" xfId="4" applyNumberFormat="1" applyBorder="1" applyAlignment="1">
      <alignment horizontal="center"/>
    </xf>
    <xf numFmtId="15" fontId="4" fillId="0" borderId="0" xfId="0" applyNumberFormat="1" applyFont="1" applyAlignment="1">
      <alignment horizontal="center"/>
    </xf>
    <xf numFmtId="0" fontId="4" fillId="4" borderId="35" xfId="0" applyFont="1" applyFill="1" applyBorder="1" applyAlignment="1">
      <alignment horizontal="center" vertical="center"/>
    </xf>
    <xf numFmtId="0" fontId="14" fillId="4" borderId="12" xfId="0" applyFont="1" applyFill="1" applyBorder="1" applyAlignment="1">
      <alignment horizontal="center"/>
    </xf>
    <xf numFmtId="0" fontId="0" fillId="4" borderId="53" xfId="0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  <xf numFmtId="1" fontId="14" fillId="4" borderId="12" xfId="0" applyNumberFormat="1" applyFont="1" applyFill="1" applyBorder="1" applyAlignment="1">
      <alignment horizontal="center" vertical="center" wrapText="1"/>
    </xf>
    <xf numFmtId="0" fontId="25" fillId="0" borderId="0" xfId="0" applyFont="1"/>
    <xf numFmtId="0" fontId="14" fillId="0" borderId="33" xfId="0" applyFont="1" applyBorder="1" applyAlignment="1">
      <alignment horizontal="center"/>
    </xf>
    <xf numFmtId="0" fontId="14" fillId="0" borderId="35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4" fillId="0" borderId="36" xfId="0" applyFont="1" applyBorder="1" applyAlignment="1">
      <alignment horizontal="center"/>
    </xf>
    <xf numFmtId="0" fontId="14" fillId="0" borderId="46" xfId="0" applyFont="1" applyBorder="1" applyAlignment="1">
      <alignment horizontal="center"/>
    </xf>
    <xf numFmtId="0" fontId="14" fillId="0" borderId="58" xfId="0" applyFont="1" applyBorder="1" applyAlignment="1">
      <alignment horizontal="center"/>
    </xf>
    <xf numFmtId="0" fontId="20" fillId="0" borderId="6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1" fontId="0" fillId="0" borderId="0" xfId="0" applyNumberFormat="1"/>
    <xf numFmtId="20" fontId="12" fillId="4" borderId="35" xfId="4" applyNumberFormat="1" applyFont="1" applyFill="1" applyBorder="1" applyAlignment="1">
      <alignment horizontal="center"/>
    </xf>
    <xf numFmtId="1" fontId="3" fillId="4" borderId="12" xfId="4" applyNumberFormat="1" applyFill="1" applyBorder="1" applyAlignment="1">
      <alignment horizontal="center"/>
    </xf>
    <xf numFmtId="1" fontId="3" fillId="4" borderId="43" xfId="4" applyNumberFormat="1" applyFill="1" applyBorder="1" applyAlignment="1">
      <alignment horizontal="center"/>
    </xf>
    <xf numFmtId="0" fontId="26" fillId="0" borderId="0" xfId="0" applyFont="1"/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 wrapText="1"/>
    </xf>
    <xf numFmtId="0" fontId="1" fillId="0" borderId="60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0" fontId="20" fillId="0" borderId="62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164" fontId="21" fillId="0" borderId="62" xfId="0" applyNumberFormat="1" applyFont="1" applyBorder="1" applyAlignment="1">
      <alignment horizontal="center" vertical="center"/>
    </xf>
    <xf numFmtId="164" fontId="21" fillId="0" borderId="24" xfId="0" applyNumberFormat="1" applyFont="1" applyBorder="1" applyAlignment="1">
      <alignment horizontal="center" vertical="center"/>
    </xf>
    <xf numFmtId="0" fontId="4" fillId="4" borderId="0" xfId="0" applyFont="1" applyFill="1"/>
    <xf numFmtId="0" fontId="27" fillId="4" borderId="0" xfId="0" applyFont="1" applyFill="1"/>
    <xf numFmtId="0" fontId="27" fillId="0" borderId="0" xfId="0" applyFont="1"/>
    <xf numFmtId="0" fontId="1" fillId="0" borderId="44" xfId="0" applyFont="1" applyBorder="1" applyAlignment="1">
      <alignment horizontal="center"/>
    </xf>
    <xf numFmtId="0" fontId="1" fillId="0" borderId="65" xfId="0" applyFont="1" applyBorder="1" applyAlignment="1">
      <alignment horizontal="center"/>
    </xf>
    <xf numFmtId="0" fontId="1" fillId="0" borderId="66" xfId="0" applyFont="1" applyBorder="1" applyAlignment="1">
      <alignment horizontal="center"/>
    </xf>
    <xf numFmtId="0" fontId="25" fillId="0" borderId="18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/>
    </xf>
    <xf numFmtId="0" fontId="28" fillId="0" borderId="21" xfId="0" applyFont="1" applyBorder="1" applyAlignment="1">
      <alignment horizontal="center"/>
    </xf>
    <xf numFmtId="1" fontId="25" fillId="0" borderId="44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2" fillId="0" borderId="22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1" fontId="12" fillId="0" borderId="22" xfId="0" applyNumberFormat="1" applyFont="1" applyBorder="1" applyAlignment="1">
      <alignment horizontal="center" vertical="center" wrapText="1"/>
    </xf>
    <xf numFmtId="1" fontId="12" fillId="0" borderId="6" xfId="0" applyNumberFormat="1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 wrapText="1"/>
    </xf>
    <xf numFmtId="1" fontId="12" fillId="0" borderId="7" xfId="0" applyNumberFormat="1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20" fillId="0" borderId="56" xfId="0" applyFont="1" applyBorder="1" applyAlignment="1">
      <alignment horizontal="center" vertical="center" wrapText="1"/>
    </xf>
    <xf numFmtId="0" fontId="12" fillId="0" borderId="5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20" fillId="0" borderId="2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4" fillId="0" borderId="7" xfId="4" applyFont="1" applyBorder="1" applyAlignment="1">
      <alignment horizontal="center" vertical="center" wrapText="1"/>
    </xf>
    <xf numFmtId="0" fontId="14" fillId="0" borderId="6" xfId="4" applyFont="1" applyBorder="1" applyAlignment="1">
      <alignment horizontal="center" vertical="center" wrapText="1"/>
    </xf>
    <xf numFmtId="0" fontId="13" fillId="0" borderId="0" xfId="4" applyFont="1" applyAlignment="1">
      <alignment horizontal="center" vertical="center"/>
    </xf>
    <xf numFmtId="0" fontId="14" fillId="0" borderId="22" xfId="4" applyFont="1" applyBorder="1" applyAlignment="1">
      <alignment horizontal="center" vertical="center"/>
    </xf>
    <xf numFmtId="0" fontId="14" fillId="0" borderId="7" xfId="4" applyFont="1" applyBorder="1" applyAlignment="1">
      <alignment horizontal="center" vertical="center"/>
    </xf>
    <xf numFmtId="0" fontId="14" fillId="0" borderId="6" xfId="4" applyFont="1" applyBorder="1" applyAlignment="1">
      <alignment horizontal="center" vertical="center"/>
    </xf>
    <xf numFmtId="0" fontId="14" fillId="0" borderId="22" xfId="4" applyFont="1" applyBorder="1" applyAlignment="1">
      <alignment horizontal="center" vertical="center" wrapText="1"/>
    </xf>
    <xf numFmtId="0" fontId="14" fillId="0" borderId="14" xfId="4" applyFont="1" applyBorder="1" applyAlignment="1">
      <alignment horizontal="center" vertical="center"/>
    </xf>
    <xf numFmtId="0" fontId="14" fillId="0" borderId="15" xfId="4" applyFont="1" applyBorder="1" applyAlignment="1">
      <alignment horizontal="center" vertical="center"/>
    </xf>
    <xf numFmtId="0" fontId="14" fillId="0" borderId="5" xfId="4" applyFont="1" applyBorder="1" applyAlignment="1">
      <alignment horizontal="center" vertical="center"/>
    </xf>
    <xf numFmtId="0" fontId="14" fillId="0" borderId="4" xfId="4" applyFont="1" applyBorder="1" applyAlignment="1">
      <alignment horizontal="center" vertical="center"/>
    </xf>
    <xf numFmtId="0" fontId="14" fillId="0" borderId="23" xfId="4" applyFont="1" applyBorder="1" applyAlignment="1">
      <alignment horizontal="left" wrapText="1"/>
    </xf>
    <xf numFmtId="0" fontId="14" fillId="0" borderId="24" xfId="4" applyFont="1" applyBorder="1" applyAlignment="1">
      <alignment horizontal="left" wrapText="1"/>
    </xf>
    <xf numFmtId="0" fontId="12" fillId="0" borderId="22" xfId="4" applyFont="1" applyBorder="1" applyAlignment="1">
      <alignment horizontal="center" vertical="center" wrapText="1"/>
    </xf>
    <xf numFmtId="0" fontId="12" fillId="0" borderId="6" xfId="4" applyFont="1" applyBorder="1" applyAlignment="1">
      <alignment horizontal="center" vertical="center" wrapText="1"/>
    </xf>
    <xf numFmtId="0" fontId="4" fillId="4" borderId="0" xfId="3" applyFont="1" applyFill="1" applyAlignment="1">
      <alignment horizontal="center" vertical="center"/>
    </xf>
    <xf numFmtId="0" fontId="8" fillId="0" borderId="0" xfId="2" applyFont="1" applyAlignment="1">
      <alignment horizontal="center"/>
    </xf>
    <xf numFmtId="0" fontId="9" fillId="0" borderId="0" xfId="2" applyFont="1" applyAlignment="1">
      <alignment horizontal="left"/>
    </xf>
    <xf numFmtId="1" fontId="7" fillId="0" borderId="28" xfId="2" applyNumberFormat="1" applyFont="1" applyBorder="1" applyAlignment="1">
      <alignment horizontal="center"/>
    </xf>
    <xf numFmtId="0" fontId="7" fillId="0" borderId="28" xfId="2" applyFont="1" applyBorder="1" applyAlignment="1">
      <alignment horizontal="center"/>
    </xf>
    <xf numFmtId="0" fontId="8" fillId="0" borderId="0" xfId="2" applyFont="1" applyAlignment="1">
      <alignment horizontal="center" vertical="center" wrapText="1"/>
    </xf>
    <xf numFmtId="1" fontId="7" fillId="0" borderId="28" xfId="2" applyNumberFormat="1" applyFont="1" applyBorder="1" applyAlignment="1">
      <alignment horizontal="center" vertical="center"/>
    </xf>
    <xf numFmtId="0" fontId="7" fillId="0" borderId="28" xfId="2" applyFont="1" applyBorder="1" applyAlignment="1">
      <alignment horizontal="center" vertical="center"/>
    </xf>
    <xf numFmtId="0" fontId="4" fillId="5" borderId="0" xfId="3" applyFont="1" applyFill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" fontId="12" fillId="0" borderId="22" xfId="0" applyNumberFormat="1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 vertical="center"/>
    </xf>
    <xf numFmtId="1" fontId="12" fillId="0" borderId="14" xfId="0" applyNumberFormat="1" applyFont="1" applyBorder="1" applyAlignment="1">
      <alignment horizontal="center" vertical="center"/>
    </xf>
    <xf numFmtId="1" fontId="12" fillId="0" borderId="47" xfId="0" applyNumberFormat="1" applyFont="1" applyBorder="1" applyAlignment="1">
      <alignment horizontal="center" vertical="center"/>
    </xf>
    <xf numFmtId="1" fontId="12" fillId="0" borderId="15" xfId="0" applyNumberFormat="1" applyFont="1" applyBorder="1" applyAlignment="1">
      <alignment horizontal="center" vertical="center"/>
    </xf>
    <xf numFmtId="0" fontId="4" fillId="0" borderId="35" xfId="0" applyFont="1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4" fillId="0" borderId="36" xfId="0" applyFont="1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1" fontId="14" fillId="0" borderId="34" xfId="0" applyNumberFormat="1" applyFont="1" applyFill="1" applyBorder="1" applyAlignment="1">
      <alignment horizontal="center" vertical="center" wrapText="1"/>
    </xf>
    <xf numFmtId="1" fontId="14" fillId="0" borderId="40" xfId="0" applyNumberFormat="1" applyFont="1" applyFill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center"/>
    </xf>
    <xf numFmtId="0" fontId="0" fillId="0" borderId="53" xfId="0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1" fontId="14" fillId="0" borderId="12" xfId="0" applyNumberFormat="1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00000000-0005-0000-0000-000001000000}"/>
    <cellStyle name="Normal 2 2" xfId="3" xr:uid="{00000000-0005-0000-0000-000002000000}"/>
    <cellStyle name="Normal 3" xfId="4" xr:uid="{00000000-0005-0000-0000-000003000000}"/>
    <cellStyle name="Normal_Man power estimation" xfId="1" xr:uid="{00000000-0005-0000-0000-000004000000}"/>
  </cellStyles>
  <dxfs count="0"/>
  <tableStyles count="0" defaultTableStyle="TableStyleMedium9" defaultPivotStyle="PivotStyleLight16"/>
  <colors>
    <mruColors>
      <color rgb="FF99FFCC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IN"/>
            </a:pPr>
            <a:r>
              <a:rPr lang="en-US" sz="1400"/>
              <a:t>Composition % At_TMC-14 Number (D2)</a:t>
            </a:r>
            <a:endParaRPr lang="en-US"/>
          </a:p>
        </c:rich>
      </c:tx>
      <c:overlay val="0"/>
    </c:title>
    <c:autoTitleDeleted val="0"/>
    <c:view3D>
      <c:rotX val="5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5125187894936105"/>
          <c:y val="0.4516639728698757"/>
          <c:w val="0.36120549079781611"/>
          <c:h val="0.51897347815237349"/>
        </c:manualLayout>
      </c:layout>
      <c:pie3DChart>
        <c:varyColors val="1"/>
        <c:ser>
          <c:idx val="0"/>
          <c:order val="0"/>
          <c:tx>
            <c:strRef>
              <c:f>'Pie Chart'!$N$3</c:f>
              <c:strCache>
                <c:ptCount val="1"/>
                <c:pt idx="0">
                  <c:v>Comp.(%)</c:v>
                </c:pt>
              </c:strCache>
            </c:strRef>
          </c:tx>
          <c:dLbls>
            <c:dLbl>
              <c:idx val="0"/>
              <c:layout>
                <c:manualLayout>
                  <c:x val="7.9933868269065247E-2"/>
                  <c:y val="-5.8450301657980382E-2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DB0-4647-A51E-4D8AB21D50A0}"/>
                </c:ext>
              </c:extLst>
            </c:dLbl>
            <c:dLbl>
              <c:idx val="1"/>
              <c:layout>
                <c:manualLayout>
                  <c:x val="-7.4107948771741733E-2"/>
                  <c:y val="7.0927315742007196E-2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B0-4647-A51E-4D8AB21D50A0}"/>
                </c:ext>
              </c:extLst>
            </c:dLbl>
            <c:dLbl>
              <c:idx val="2"/>
              <c:layout>
                <c:manualLayout>
                  <c:x val="-0.26942835916373203"/>
                  <c:y val="-5.1202038014942296E-2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B0-4647-A51E-4D8AB21D50A0}"/>
                </c:ext>
              </c:extLst>
            </c:dLbl>
            <c:dLbl>
              <c:idx val="3"/>
              <c:layout>
                <c:manualLayout>
                  <c:x val="-0.28340466587474583"/>
                  <c:y val="-0.23230608021103227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DB0-4647-A51E-4D8AB21D50A0}"/>
                </c:ext>
              </c:extLst>
            </c:dLbl>
            <c:dLbl>
              <c:idx val="4"/>
              <c:layout>
                <c:manualLayout>
                  <c:x val="-8.5635301357361512E-2"/>
                  <c:y val="-0.31229127458698042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DB0-4647-A51E-4D8AB21D50A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DB0-4647-A51E-4D8AB21D50A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DB0-4647-A51E-4D8AB21D50A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DB0-4647-A51E-4D8AB21D50A0}"/>
                </c:ext>
              </c:extLst>
            </c:dLbl>
            <c:dLbl>
              <c:idx val="8"/>
              <c:layout>
                <c:manualLayout>
                  <c:x val="0.32760755362690736"/>
                  <c:y val="-0.1401882750767688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DB0-4647-A51E-4D8AB21D50A0}"/>
                </c:ext>
              </c:extLst>
            </c:dLbl>
            <c:dLbl>
              <c:idx val="9"/>
              <c:layout>
                <c:manualLayout>
                  <c:x val="0.21705840774576182"/>
                  <c:y val="-0.2890468618854232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B2E-4CB8-A100-E28A337F2373}"/>
                </c:ext>
              </c:extLst>
            </c:dLbl>
            <c:dLbl>
              <c:idx val="10"/>
              <c:layout>
                <c:manualLayout>
                  <c:x val="-8.8269708892261697E-2"/>
                  <c:y val="-0.27070447998439567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DB0-4647-A51E-4D8AB21D50A0}"/>
                </c:ext>
              </c:extLst>
            </c:dLbl>
            <c:dLbl>
              <c:idx val="11"/>
              <c:layout>
                <c:manualLayout>
                  <c:x val="4.0851569755738934E-2"/>
                  <c:y val="-0.29197244372596526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DB0-4647-A51E-4D8AB21D50A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DB0-4647-A51E-4D8AB21D50A0}"/>
                </c:ext>
              </c:extLst>
            </c:dLbl>
            <c:dLbl>
              <c:idx val="13"/>
              <c:layout>
                <c:manualLayout>
                  <c:x val="0.17965063306665471"/>
                  <c:y val="-0.245453711777044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027039261578594"/>
                      <c:h val="7.885798961638604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8DB0-4647-A51E-4D8AB21D50A0}"/>
                </c:ext>
              </c:extLst>
            </c:dLbl>
            <c:dLbl>
              <c:idx val="14"/>
              <c:layout>
                <c:manualLayout>
                  <c:x val="0.24754586670609513"/>
                  <c:y val="-0.2030390172602056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DB0-4647-A51E-4D8AB21D50A0}"/>
                </c:ext>
              </c:extLst>
            </c:dLbl>
            <c:dLbl>
              <c:idx val="15"/>
              <c:layout>
                <c:manualLayout>
                  <c:x val="0.32688724542911685"/>
                  <c:y val="-0.1304936677089652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DB0-4647-A51E-4D8AB21D50A0}"/>
                </c:ext>
              </c:extLst>
            </c:dLbl>
            <c:dLbl>
              <c:idx val="16"/>
              <c:layout>
                <c:manualLayout>
                  <c:x val="0.3344176160212331"/>
                  <c:y val="-6.6816000173011716E-2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DB0-4647-A51E-4D8AB21D50A0}"/>
                </c:ext>
              </c:extLst>
            </c:dLbl>
            <c:dLbl>
              <c:idx val="17"/>
              <c:layout>
                <c:manualLayout>
                  <c:x val="0.30957586370949142"/>
                  <c:y val="9.8575086355093995E-3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3C4-4E68-94C0-C23173EF8FC0}"/>
                </c:ext>
              </c:extLst>
            </c:dLbl>
            <c:dLbl>
              <c:idx val="18"/>
              <c:layout>
                <c:manualLayout>
                  <c:x val="-8.4396914536212606E-2"/>
                  <c:y val="-6.9158688385578496E-2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268-434B-B4BC-625EFF95FF25}"/>
                </c:ext>
              </c:extLst>
            </c:dLbl>
            <c:dLbl>
              <c:idx val="19"/>
              <c:layout>
                <c:manualLayout>
                  <c:x val="-0.10991325330160032"/>
                  <c:y val="-9.6446658115576761E-2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268-434B-B4BC-625EFF95FF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 sz="1100"/>
                </a:pPr>
                <a:endParaRPr lang="en-US"/>
              </a:p>
            </c:txPr>
            <c:dLblPos val="bestFit"/>
            <c:showLegendKey val="1"/>
            <c:showVal val="0"/>
            <c:showCatName val="1"/>
            <c:showSerName val="0"/>
            <c:showPercent val="1"/>
            <c:showBubbleSize val="0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'Pie Chart'!$M$4:$M$13</c:f>
              <c:strCache>
                <c:ptCount val="10"/>
                <c:pt idx="0">
                  <c:v>Car, Taxi, Tempo, Auto Rickshaw &amp; Pick up</c:v>
                </c:pt>
                <c:pt idx="1">
                  <c:v>Motar Cycle, Scooter</c:v>
                </c:pt>
                <c:pt idx="2">
                  <c:v>Agriculture Tractor, LCV Mini Bus</c:v>
                </c:pt>
                <c:pt idx="3">
                  <c:v>Three Wheeler (Auto) Axle Truck, Buses</c:v>
                </c:pt>
                <c:pt idx="4">
                  <c:v>Tractor Trailor, Truck Trailor Units (3 Axle &amp; MAV)</c:v>
                </c:pt>
                <c:pt idx="5">
                  <c:v>Cycle</c:v>
                </c:pt>
                <c:pt idx="6">
                  <c:v>Cycle Rickshaw</c:v>
                </c:pt>
                <c:pt idx="7">
                  <c:v>Hand Cart</c:v>
                </c:pt>
                <c:pt idx="8">
                  <c:v>Horse Drawn</c:v>
                </c:pt>
                <c:pt idx="9">
                  <c:v>Bullock Corts</c:v>
                </c:pt>
              </c:strCache>
            </c:strRef>
          </c:cat>
          <c:val>
            <c:numRef>
              <c:f>'Pie Chart'!$N$4:$N$13</c:f>
              <c:numCache>
                <c:formatCode>0.00</c:formatCode>
                <c:ptCount val="10"/>
                <c:pt idx="0">
                  <c:v>52.877255836676682</c:v>
                </c:pt>
                <c:pt idx="1">
                  <c:v>33.086591558470396</c:v>
                </c:pt>
                <c:pt idx="2">
                  <c:v>4.4213658637689317</c:v>
                </c:pt>
                <c:pt idx="3">
                  <c:v>2.8328423172013562</c:v>
                </c:pt>
                <c:pt idx="4">
                  <c:v>6.0565236057856016</c:v>
                </c:pt>
                <c:pt idx="5">
                  <c:v>9.4748841547367013E-2</c:v>
                </c:pt>
                <c:pt idx="6">
                  <c:v>1.4804506491776096E-3</c:v>
                </c:pt>
                <c:pt idx="7">
                  <c:v>8.8827038950656575E-3</c:v>
                </c:pt>
                <c:pt idx="8">
                  <c:v>7.4022532458880479E-4</c:v>
                </c:pt>
                <c:pt idx="9">
                  <c:v>0.61956859668082964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DB0-4647-A51E-4D8AB21D5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zero"/>
    <c:showDLblsOverMax val="0"/>
  </c:chart>
  <c:printSettings>
    <c:headerFooter/>
    <c:pageMargins b="0.75000000000000633" l="0.70000000000000062" r="0.70000000000000062" t="0.75000000000000633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508192607921892E-2"/>
          <c:y val="3.4592727926656609E-2"/>
          <c:w val="0.8110510333368175"/>
          <c:h val="0.79243013901418013"/>
        </c:manualLayout>
      </c:layout>
      <c:lineChart>
        <c:grouping val="stacked"/>
        <c:varyColors val="0"/>
        <c:ser>
          <c:idx val="0"/>
          <c:order val="0"/>
          <c:tx>
            <c:strRef>
              <c:f>'Pie Chart'!$M$20</c:f>
              <c:strCache>
                <c:ptCount val="1"/>
                <c:pt idx="0">
                  <c:v>Nos.</c:v>
                </c:pt>
              </c:strCache>
            </c:strRef>
          </c:tx>
          <c:cat>
            <c:strRef>
              <c:f>'Pie Chart'!$L$21:$L$113</c:f>
              <c:strCache>
                <c:ptCount val="93"/>
                <c:pt idx="0">
                  <c:v>0800 - 0900</c:v>
                </c:pt>
                <c:pt idx="1">
                  <c:v>0815 - 0915</c:v>
                </c:pt>
                <c:pt idx="2">
                  <c:v>0830 - 0930</c:v>
                </c:pt>
                <c:pt idx="3">
                  <c:v>0845 - 0945</c:v>
                </c:pt>
                <c:pt idx="4">
                  <c:v>0900 - 1000</c:v>
                </c:pt>
                <c:pt idx="5">
                  <c:v>0915 - 1015</c:v>
                </c:pt>
                <c:pt idx="6">
                  <c:v>0930 - 1030</c:v>
                </c:pt>
                <c:pt idx="7">
                  <c:v>0945 - 1045</c:v>
                </c:pt>
                <c:pt idx="8">
                  <c:v>1000 - 1100</c:v>
                </c:pt>
                <c:pt idx="9">
                  <c:v>1015 - 1115</c:v>
                </c:pt>
                <c:pt idx="10">
                  <c:v>1030 - 1130</c:v>
                </c:pt>
                <c:pt idx="11">
                  <c:v>1045 - 1145</c:v>
                </c:pt>
                <c:pt idx="12">
                  <c:v>1100 - 1200</c:v>
                </c:pt>
                <c:pt idx="13">
                  <c:v>1115 - 1215</c:v>
                </c:pt>
                <c:pt idx="14">
                  <c:v>1130 - 1230</c:v>
                </c:pt>
                <c:pt idx="15">
                  <c:v>1145 - 1245</c:v>
                </c:pt>
                <c:pt idx="16">
                  <c:v>1200 - 1300</c:v>
                </c:pt>
                <c:pt idx="17">
                  <c:v>1215 - 1315</c:v>
                </c:pt>
                <c:pt idx="18">
                  <c:v>1230 - 1330</c:v>
                </c:pt>
                <c:pt idx="19">
                  <c:v>1245 - 1345</c:v>
                </c:pt>
                <c:pt idx="20">
                  <c:v>1300 - 1400</c:v>
                </c:pt>
                <c:pt idx="21">
                  <c:v>1315 - 1415</c:v>
                </c:pt>
                <c:pt idx="22">
                  <c:v>1330 - 1430</c:v>
                </c:pt>
                <c:pt idx="23">
                  <c:v>1345 - 1445</c:v>
                </c:pt>
                <c:pt idx="24">
                  <c:v>1400 - 1500</c:v>
                </c:pt>
                <c:pt idx="25">
                  <c:v>1415 - 1515</c:v>
                </c:pt>
                <c:pt idx="26">
                  <c:v>1430 - 1530</c:v>
                </c:pt>
                <c:pt idx="27">
                  <c:v>1445 - 1545</c:v>
                </c:pt>
                <c:pt idx="28">
                  <c:v>1500 - 1600</c:v>
                </c:pt>
                <c:pt idx="29">
                  <c:v>1515 - 1615</c:v>
                </c:pt>
                <c:pt idx="30">
                  <c:v>1530 - 1630</c:v>
                </c:pt>
                <c:pt idx="31">
                  <c:v>1545 - 1645</c:v>
                </c:pt>
                <c:pt idx="32">
                  <c:v>1600 - 1700</c:v>
                </c:pt>
                <c:pt idx="33">
                  <c:v>1615 - 1715</c:v>
                </c:pt>
                <c:pt idx="34">
                  <c:v>1630 - 1730</c:v>
                </c:pt>
                <c:pt idx="35">
                  <c:v>1645 - 1745</c:v>
                </c:pt>
                <c:pt idx="36">
                  <c:v>1700 - 1800</c:v>
                </c:pt>
                <c:pt idx="37">
                  <c:v>1715 - 1815</c:v>
                </c:pt>
                <c:pt idx="38">
                  <c:v>1730 - 1830</c:v>
                </c:pt>
                <c:pt idx="39">
                  <c:v>1745 - 1845</c:v>
                </c:pt>
                <c:pt idx="40">
                  <c:v>1800 - 1900</c:v>
                </c:pt>
                <c:pt idx="41">
                  <c:v>1815 - 1915</c:v>
                </c:pt>
                <c:pt idx="42">
                  <c:v>1830 - 1930</c:v>
                </c:pt>
                <c:pt idx="43">
                  <c:v>1845 - 1945</c:v>
                </c:pt>
                <c:pt idx="44">
                  <c:v>1900 - 2000</c:v>
                </c:pt>
                <c:pt idx="45">
                  <c:v>1915 - 2015</c:v>
                </c:pt>
                <c:pt idx="46">
                  <c:v>1930 - 2030</c:v>
                </c:pt>
                <c:pt idx="47">
                  <c:v>1945 - 2045</c:v>
                </c:pt>
                <c:pt idx="48">
                  <c:v>2000 - 2100</c:v>
                </c:pt>
                <c:pt idx="49">
                  <c:v>2015 - 2115</c:v>
                </c:pt>
                <c:pt idx="50">
                  <c:v>2030 - 2130</c:v>
                </c:pt>
                <c:pt idx="51">
                  <c:v>2045 - 2145</c:v>
                </c:pt>
                <c:pt idx="52">
                  <c:v>2100 - 2200</c:v>
                </c:pt>
                <c:pt idx="53">
                  <c:v>2115 - 2215</c:v>
                </c:pt>
                <c:pt idx="54">
                  <c:v>2130 - 2230</c:v>
                </c:pt>
                <c:pt idx="55">
                  <c:v>2145 - 2245</c:v>
                </c:pt>
                <c:pt idx="56">
                  <c:v>2200 - 2300</c:v>
                </c:pt>
                <c:pt idx="57">
                  <c:v>2215 - 2315</c:v>
                </c:pt>
                <c:pt idx="58">
                  <c:v>2230 - 2330</c:v>
                </c:pt>
                <c:pt idx="59">
                  <c:v>2245 - 2345</c:v>
                </c:pt>
                <c:pt idx="60">
                  <c:v>2300 - 2400</c:v>
                </c:pt>
                <c:pt idx="61">
                  <c:v>0000 - 0100</c:v>
                </c:pt>
                <c:pt idx="62">
                  <c:v>0015 - 0115</c:v>
                </c:pt>
                <c:pt idx="63">
                  <c:v>0030 - 0130</c:v>
                </c:pt>
                <c:pt idx="64">
                  <c:v>0045 - 0145</c:v>
                </c:pt>
                <c:pt idx="65">
                  <c:v>0100 - 0200</c:v>
                </c:pt>
                <c:pt idx="66">
                  <c:v>0115 - 0215 </c:v>
                </c:pt>
                <c:pt idx="67">
                  <c:v>0130 - 0230</c:v>
                </c:pt>
                <c:pt idx="68">
                  <c:v>0145 - 0245</c:v>
                </c:pt>
                <c:pt idx="69">
                  <c:v>0200 - 0300</c:v>
                </c:pt>
                <c:pt idx="70">
                  <c:v>0215 - 0315</c:v>
                </c:pt>
                <c:pt idx="71">
                  <c:v>0230 - 0330</c:v>
                </c:pt>
                <c:pt idx="72">
                  <c:v>0245 - 0345</c:v>
                </c:pt>
                <c:pt idx="73">
                  <c:v>0300 - 0400</c:v>
                </c:pt>
                <c:pt idx="74">
                  <c:v>0315 - 0415</c:v>
                </c:pt>
                <c:pt idx="75">
                  <c:v>0330 - 0430</c:v>
                </c:pt>
                <c:pt idx="76">
                  <c:v>0345 - 0445</c:v>
                </c:pt>
                <c:pt idx="77">
                  <c:v>0400 - 0500</c:v>
                </c:pt>
                <c:pt idx="78">
                  <c:v>0415 - 0530</c:v>
                </c:pt>
                <c:pt idx="79">
                  <c:v>0430 - 0530</c:v>
                </c:pt>
                <c:pt idx="80">
                  <c:v>0445 - 0545</c:v>
                </c:pt>
                <c:pt idx="81">
                  <c:v>0500 - 0600</c:v>
                </c:pt>
                <c:pt idx="82">
                  <c:v>0515-0615</c:v>
                </c:pt>
                <c:pt idx="83">
                  <c:v>0530-0630</c:v>
                </c:pt>
                <c:pt idx="84">
                  <c:v>0545-0645</c:v>
                </c:pt>
                <c:pt idx="85">
                  <c:v>0600 - 0700</c:v>
                </c:pt>
                <c:pt idx="86">
                  <c:v>0615 - 0715</c:v>
                </c:pt>
                <c:pt idx="87">
                  <c:v>0630 - 0730</c:v>
                </c:pt>
                <c:pt idx="88">
                  <c:v>0645 - 0745</c:v>
                </c:pt>
                <c:pt idx="89">
                  <c:v>0700 - 0800</c:v>
                </c:pt>
                <c:pt idx="90">
                  <c:v>0715 - 0815</c:v>
                </c:pt>
                <c:pt idx="91">
                  <c:v>0730 - 0830</c:v>
                </c:pt>
                <c:pt idx="92">
                  <c:v>0745 - 0845</c:v>
                </c:pt>
              </c:strCache>
            </c:strRef>
          </c:cat>
          <c:val>
            <c:numRef>
              <c:f>'Pie Chart'!$M$21:$M$113</c:f>
              <c:numCache>
                <c:formatCode>0</c:formatCode>
                <c:ptCount val="93"/>
                <c:pt idx="0">
                  <c:v>8180</c:v>
                </c:pt>
                <c:pt idx="1">
                  <c:v>8739</c:v>
                </c:pt>
                <c:pt idx="2">
                  <c:v>9120</c:v>
                </c:pt>
                <c:pt idx="3">
                  <c:v>9743</c:v>
                </c:pt>
                <c:pt idx="4">
                  <c:v>10032</c:v>
                </c:pt>
                <c:pt idx="5">
                  <c:v>10161</c:v>
                </c:pt>
                <c:pt idx="6">
                  <c:v>10207</c:v>
                </c:pt>
                <c:pt idx="7">
                  <c:v>9615</c:v>
                </c:pt>
                <c:pt idx="8">
                  <c:v>9271</c:v>
                </c:pt>
                <c:pt idx="9">
                  <c:v>8817</c:v>
                </c:pt>
                <c:pt idx="10">
                  <c:v>8913</c:v>
                </c:pt>
                <c:pt idx="11">
                  <c:v>8665</c:v>
                </c:pt>
                <c:pt idx="12">
                  <c:v>8475</c:v>
                </c:pt>
                <c:pt idx="13">
                  <c:v>8284</c:v>
                </c:pt>
                <c:pt idx="14">
                  <c:v>7617</c:v>
                </c:pt>
                <c:pt idx="15">
                  <c:v>7547</c:v>
                </c:pt>
                <c:pt idx="16">
                  <c:v>7283</c:v>
                </c:pt>
                <c:pt idx="17">
                  <c:v>7261</c:v>
                </c:pt>
                <c:pt idx="18">
                  <c:v>7281</c:v>
                </c:pt>
                <c:pt idx="19">
                  <c:v>7307</c:v>
                </c:pt>
                <c:pt idx="20">
                  <c:v>7522</c:v>
                </c:pt>
                <c:pt idx="21">
                  <c:v>7324</c:v>
                </c:pt>
                <c:pt idx="22">
                  <c:v>7109</c:v>
                </c:pt>
                <c:pt idx="23">
                  <c:v>6901</c:v>
                </c:pt>
                <c:pt idx="24">
                  <c:v>6640</c:v>
                </c:pt>
                <c:pt idx="25">
                  <c:v>6636</c:v>
                </c:pt>
                <c:pt idx="26">
                  <c:v>6800</c:v>
                </c:pt>
                <c:pt idx="27">
                  <c:v>6792</c:v>
                </c:pt>
                <c:pt idx="28">
                  <c:v>6904</c:v>
                </c:pt>
                <c:pt idx="29">
                  <c:v>7151</c:v>
                </c:pt>
                <c:pt idx="30">
                  <c:v>7339</c:v>
                </c:pt>
                <c:pt idx="31">
                  <c:v>7758</c:v>
                </c:pt>
                <c:pt idx="32">
                  <c:v>7955</c:v>
                </c:pt>
                <c:pt idx="33">
                  <c:v>8332</c:v>
                </c:pt>
                <c:pt idx="34">
                  <c:v>8561</c:v>
                </c:pt>
                <c:pt idx="35">
                  <c:v>8617</c:v>
                </c:pt>
                <c:pt idx="36">
                  <c:v>8863</c:v>
                </c:pt>
                <c:pt idx="37">
                  <c:v>8716</c:v>
                </c:pt>
                <c:pt idx="38">
                  <c:v>8781</c:v>
                </c:pt>
                <c:pt idx="39">
                  <c:v>8957</c:v>
                </c:pt>
                <c:pt idx="40">
                  <c:v>8817</c:v>
                </c:pt>
                <c:pt idx="41">
                  <c:v>8544</c:v>
                </c:pt>
                <c:pt idx="42">
                  <c:v>8253</c:v>
                </c:pt>
                <c:pt idx="43">
                  <c:v>7972</c:v>
                </c:pt>
                <c:pt idx="44">
                  <c:v>7826</c:v>
                </c:pt>
                <c:pt idx="45">
                  <c:v>7987</c:v>
                </c:pt>
                <c:pt idx="46">
                  <c:v>7901</c:v>
                </c:pt>
                <c:pt idx="47">
                  <c:v>7461</c:v>
                </c:pt>
                <c:pt idx="48">
                  <c:v>7058</c:v>
                </c:pt>
                <c:pt idx="49">
                  <c:v>6499</c:v>
                </c:pt>
                <c:pt idx="50">
                  <c:v>5998</c:v>
                </c:pt>
                <c:pt idx="51">
                  <c:v>5655</c:v>
                </c:pt>
                <c:pt idx="52">
                  <c:v>5218</c:v>
                </c:pt>
                <c:pt idx="53">
                  <c:v>4708</c:v>
                </c:pt>
                <c:pt idx="54">
                  <c:v>4214</c:v>
                </c:pt>
                <c:pt idx="55">
                  <c:v>3761</c:v>
                </c:pt>
                <c:pt idx="56">
                  <c:v>3371</c:v>
                </c:pt>
                <c:pt idx="57">
                  <c:v>3108</c:v>
                </c:pt>
                <c:pt idx="58">
                  <c:v>2856</c:v>
                </c:pt>
                <c:pt idx="59">
                  <c:v>2607</c:v>
                </c:pt>
                <c:pt idx="60">
                  <c:v>2352</c:v>
                </c:pt>
                <c:pt idx="61">
                  <c:v>2122</c:v>
                </c:pt>
                <c:pt idx="62">
                  <c:v>1901</c:v>
                </c:pt>
                <c:pt idx="63">
                  <c:v>1715</c:v>
                </c:pt>
                <c:pt idx="64">
                  <c:v>1601</c:v>
                </c:pt>
                <c:pt idx="65">
                  <c:v>1464</c:v>
                </c:pt>
                <c:pt idx="66">
                  <c:v>1344</c:v>
                </c:pt>
                <c:pt idx="67">
                  <c:v>1219</c:v>
                </c:pt>
                <c:pt idx="68">
                  <c:v>1111</c:v>
                </c:pt>
                <c:pt idx="69">
                  <c:v>1006</c:v>
                </c:pt>
                <c:pt idx="70">
                  <c:v>925</c:v>
                </c:pt>
                <c:pt idx="71">
                  <c:v>891</c:v>
                </c:pt>
                <c:pt idx="72">
                  <c:v>816</c:v>
                </c:pt>
                <c:pt idx="73">
                  <c:v>803</c:v>
                </c:pt>
                <c:pt idx="74">
                  <c:v>809</c:v>
                </c:pt>
                <c:pt idx="75">
                  <c:v>809</c:v>
                </c:pt>
                <c:pt idx="76">
                  <c:v>846</c:v>
                </c:pt>
                <c:pt idx="77">
                  <c:v>932</c:v>
                </c:pt>
                <c:pt idx="78">
                  <c:v>1001</c:v>
                </c:pt>
                <c:pt idx="79">
                  <c:v>1095</c:v>
                </c:pt>
                <c:pt idx="80">
                  <c:v>1152</c:v>
                </c:pt>
                <c:pt idx="81">
                  <c:v>1219</c:v>
                </c:pt>
                <c:pt idx="82">
                  <c:v>1325</c:v>
                </c:pt>
                <c:pt idx="83">
                  <c:v>1639</c:v>
                </c:pt>
                <c:pt idx="84">
                  <c:v>2110</c:v>
                </c:pt>
                <c:pt idx="85">
                  <c:v>2610</c:v>
                </c:pt>
                <c:pt idx="86">
                  <c:v>3201</c:v>
                </c:pt>
                <c:pt idx="87">
                  <c:v>3830</c:v>
                </c:pt>
                <c:pt idx="88">
                  <c:v>4422</c:v>
                </c:pt>
                <c:pt idx="89">
                  <c:v>5114</c:v>
                </c:pt>
                <c:pt idx="90">
                  <c:v>5909</c:v>
                </c:pt>
                <c:pt idx="91">
                  <c:v>6549</c:v>
                </c:pt>
                <c:pt idx="92">
                  <c:v>7269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E8-42D9-9BF1-A57E4428D473}"/>
            </c:ext>
          </c:extLst>
        </c:ser>
        <c:ser>
          <c:idx val="1"/>
          <c:order val="1"/>
          <c:tx>
            <c:strRef>
              <c:f>'Pie Chart'!$N$20</c:f>
              <c:strCache>
                <c:ptCount val="1"/>
                <c:pt idx="0">
                  <c:v>PCU's</c:v>
                </c:pt>
              </c:strCache>
            </c:strRef>
          </c:tx>
          <c:cat>
            <c:strRef>
              <c:f>'Pie Chart'!$L$21:$L$113</c:f>
              <c:strCache>
                <c:ptCount val="93"/>
                <c:pt idx="0">
                  <c:v>0800 - 0900</c:v>
                </c:pt>
                <c:pt idx="1">
                  <c:v>0815 - 0915</c:v>
                </c:pt>
                <c:pt idx="2">
                  <c:v>0830 - 0930</c:v>
                </c:pt>
                <c:pt idx="3">
                  <c:v>0845 - 0945</c:v>
                </c:pt>
                <c:pt idx="4">
                  <c:v>0900 - 1000</c:v>
                </c:pt>
                <c:pt idx="5">
                  <c:v>0915 - 1015</c:v>
                </c:pt>
                <c:pt idx="6">
                  <c:v>0930 - 1030</c:v>
                </c:pt>
                <c:pt idx="7">
                  <c:v>0945 - 1045</c:v>
                </c:pt>
                <c:pt idx="8">
                  <c:v>1000 - 1100</c:v>
                </c:pt>
                <c:pt idx="9">
                  <c:v>1015 - 1115</c:v>
                </c:pt>
                <c:pt idx="10">
                  <c:v>1030 - 1130</c:v>
                </c:pt>
                <c:pt idx="11">
                  <c:v>1045 - 1145</c:v>
                </c:pt>
                <c:pt idx="12">
                  <c:v>1100 - 1200</c:v>
                </c:pt>
                <c:pt idx="13">
                  <c:v>1115 - 1215</c:v>
                </c:pt>
                <c:pt idx="14">
                  <c:v>1130 - 1230</c:v>
                </c:pt>
                <c:pt idx="15">
                  <c:v>1145 - 1245</c:v>
                </c:pt>
                <c:pt idx="16">
                  <c:v>1200 - 1300</c:v>
                </c:pt>
                <c:pt idx="17">
                  <c:v>1215 - 1315</c:v>
                </c:pt>
                <c:pt idx="18">
                  <c:v>1230 - 1330</c:v>
                </c:pt>
                <c:pt idx="19">
                  <c:v>1245 - 1345</c:v>
                </c:pt>
                <c:pt idx="20">
                  <c:v>1300 - 1400</c:v>
                </c:pt>
                <c:pt idx="21">
                  <c:v>1315 - 1415</c:v>
                </c:pt>
                <c:pt idx="22">
                  <c:v>1330 - 1430</c:v>
                </c:pt>
                <c:pt idx="23">
                  <c:v>1345 - 1445</c:v>
                </c:pt>
                <c:pt idx="24">
                  <c:v>1400 - 1500</c:v>
                </c:pt>
                <c:pt idx="25">
                  <c:v>1415 - 1515</c:v>
                </c:pt>
                <c:pt idx="26">
                  <c:v>1430 - 1530</c:v>
                </c:pt>
                <c:pt idx="27">
                  <c:v>1445 - 1545</c:v>
                </c:pt>
                <c:pt idx="28">
                  <c:v>1500 - 1600</c:v>
                </c:pt>
                <c:pt idx="29">
                  <c:v>1515 - 1615</c:v>
                </c:pt>
                <c:pt idx="30">
                  <c:v>1530 - 1630</c:v>
                </c:pt>
                <c:pt idx="31">
                  <c:v>1545 - 1645</c:v>
                </c:pt>
                <c:pt idx="32">
                  <c:v>1600 - 1700</c:v>
                </c:pt>
                <c:pt idx="33">
                  <c:v>1615 - 1715</c:v>
                </c:pt>
                <c:pt idx="34">
                  <c:v>1630 - 1730</c:v>
                </c:pt>
                <c:pt idx="35">
                  <c:v>1645 - 1745</c:v>
                </c:pt>
                <c:pt idx="36">
                  <c:v>1700 - 1800</c:v>
                </c:pt>
                <c:pt idx="37">
                  <c:v>1715 - 1815</c:v>
                </c:pt>
                <c:pt idx="38">
                  <c:v>1730 - 1830</c:v>
                </c:pt>
                <c:pt idx="39">
                  <c:v>1745 - 1845</c:v>
                </c:pt>
                <c:pt idx="40">
                  <c:v>1800 - 1900</c:v>
                </c:pt>
                <c:pt idx="41">
                  <c:v>1815 - 1915</c:v>
                </c:pt>
                <c:pt idx="42">
                  <c:v>1830 - 1930</c:v>
                </c:pt>
                <c:pt idx="43">
                  <c:v>1845 - 1945</c:v>
                </c:pt>
                <c:pt idx="44">
                  <c:v>1900 - 2000</c:v>
                </c:pt>
                <c:pt idx="45">
                  <c:v>1915 - 2015</c:v>
                </c:pt>
                <c:pt idx="46">
                  <c:v>1930 - 2030</c:v>
                </c:pt>
                <c:pt idx="47">
                  <c:v>1945 - 2045</c:v>
                </c:pt>
                <c:pt idx="48">
                  <c:v>2000 - 2100</c:v>
                </c:pt>
                <c:pt idx="49">
                  <c:v>2015 - 2115</c:v>
                </c:pt>
                <c:pt idx="50">
                  <c:v>2030 - 2130</c:v>
                </c:pt>
                <c:pt idx="51">
                  <c:v>2045 - 2145</c:v>
                </c:pt>
                <c:pt idx="52">
                  <c:v>2100 - 2200</c:v>
                </c:pt>
                <c:pt idx="53">
                  <c:v>2115 - 2215</c:v>
                </c:pt>
                <c:pt idx="54">
                  <c:v>2130 - 2230</c:v>
                </c:pt>
                <c:pt idx="55">
                  <c:v>2145 - 2245</c:v>
                </c:pt>
                <c:pt idx="56">
                  <c:v>2200 - 2300</c:v>
                </c:pt>
                <c:pt idx="57">
                  <c:v>2215 - 2315</c:v>
                </c:pt>
                <c:pt idx="58">
                  <c:v>2230 - 2330</c:v>
                </c:pt>
                <c:pt idx="59">
                  <c:v>2245 - 2345</c:v>
                </c:pt>
                <c:pt idx="60">
                  <c:v>2300 - 2400</c:v>
                </c:pt>
                <c:pt idx="61">
                  <c:v>0000 - 0100</c:v>
                </c:pt>
                <c:pt idx="62">
                  <c:v>0015 - 0115</c:v>
                </c:pt>
                <c:pt idx="63">
                  <c:v>0030 - 0130</c:v>
                </c:pt>
                <c:pt idx="64">
                  <c:v>0045 - 0145</c:v>
                </c:pt>
                <c:pt idx="65">
                  <c:v>0100 - 0200</c:v>
                </c:pt>
                <c:pt idx="66">
                  <c:v>0115 - 0215 </c:v>
                </c:pt>
                <c:pt idx="67">
                  <c:v>0130 - 0230</c:v>
                </c:pt>
                <c:pt idx="68">
                  <c:v>0145 - 0245</c:v>
                </c:pt>
                <c:pt idx="69">
                  <c:v>0200 - 0300</c:v>
                </c:pt>
                <c:pt idx="70">
                  <c:v>0215 - 0315</c:v>
                </c:pt>
                <c:pt idx="71">
                  <c:v>0230 - 0330</c:v>
                </c:pt>
                <c:pt idx="72">
                  <c:v>0245 - 0345</c:v>
                </c:pt>
                <c:pt idx="73">
                  <c:v>0300 - 0400</c:v>
                </c:pt>
                <c:pt idx="74">
                  <c:v>0315 - 0415</c:v>
                </c:pt>
                <c:pt idx="75">
                  <c:v>0330 - 0430</c:v>
                </c:pt>
                <c:pt idx="76">
                  <c:v>0345 - 0445</c:v>
                </c:pt>
                <c:pt idx="77">
                  <c:v>0400 - 0500</c:v>
                </c:pt>
                <c:pt idx="78">
                  <c:v>0415 - 0530</c:v>
                </c:pt>
                <c:pt idx="79">
                  <c:v>0430 - 0530</c:v>
                </c:pt>
                <c:pt idx="80">
                  <c:v>0445 - 0545</c:v>
                </c:pt>
                <c:pt idx="81">
                  <c:v>0500 - 0600</c:v>
                </c:pt>
                <c:pt idx="82">
                  <c:v>0515-0615</c:v>
                </c:pt>
                <c:pt idx="83">
                  <c:v>0530-0630</c:v>
                </c:pt>
                <c:pt idx="84">
                  <c:v>0545-0645</c:v>
                </c:pt>
                <c:pt idx="85">
                  <c:v>0600 - 0700</c:v>
                </c:pt>
                <c:pt idx="86">
                  <c:v>0615 - 0715</c:v>
                </c:pt>
                <c:pt idx="87">
                  <c:v>0630 - 0730</c:v>
                </c:pt>
                <c:pt idx="88">
                  <c:v>0645 - 0745</c:v>
                </c:pt>
                <c:pt idx="89">
                  <c:v>0700 - 0800</c:v>
                </c:pt>
                <c:pt idx="90">
                  <c:v>0715 - 0815</c:v>
                </c:pt>
                <c:pt idx="91">
                  <c:v>0730 - 0830</c:v>
                </c:pt>
                <c:pt idx="92">
                  <c:v>0745 - 0845</c:v>
                </c:pt>
              </c:strCache>
            </c:strRef>
          </c:cat>
          <c:val>
            <c:numRef>
              <c:f>'Pie Chart'!$N$21:$N$113</c:f>
              <c:numCache>
                <c:formatCode>0</c:formatCode>
                <c:ptCount val="93"/>
                <c:pt idx="0">
                  <c:v>8670.5</c:v>
                </c:pt>
                <c:pt idx="1">
                  <c:v>9105</c:v>
                </c:pt>
                <c:pt idx="2">
                  <c:v>9261.5</c:v>
                </c:pt>
                <c:pt idx="3">
                  <c:v>9792</c:v>
                </c:pt>
                <c:pt idx="4">
                  <c:v>10038.5</c:v>
                </c:pt>
                <c:pt idx="5">
                  <c:v>10086</c:v>
                </c:pt>
                <c:pt idx="6">
                  <c:v>10288</c:v>
                </c:pt>
                <c:pt idx="7">
                  <c:v>9886.5</c:v>
                </c:pt>
                <c:pt idx="8">
                  <c:v>9754.5</c:v>
                </c:pt>
                <c:pt idx="9">
                  <c:v>9440.5</c:v>
                </c:pt>
                <c:pt idx="10">
                  <c:v>9657</c:v>
                </c:pt>
                <c:pt idx="11">
                  <c:v>9515</c:v>
                </c:pt>
                <c:pt idx="12">
                  <c:v>9485</c:v>
                </c:pt>
                <c:pt idx="13">
                  <c:v>9358.5</c:v>
                </c:pt>
                <c:pt idx="14">
                  <c:v>8777.5</c:v>
                </c:pt>
                <c:pt idx="15">
                  <c:v>8827.5</c:v>
                </c:pt>
                <c:pt idx="16">
                  <c:v>8546</c:v>
                </c:pt>
                <c:pt idx="17">
                  <c:v>8566.5</c:v>
                </c:pt>
                <c:pt idx="18">
                  <c:v>8517.5</c:v>
                </c:pt>
                <c:pt idx="19">
                  <c:v>8358.5</c:v>
                </c:pt>
                <c:pt idx="20">
                  <c:v>8540.5</c:v>
                </c:pt>
                <c:pt idx="21">
                  <c:v>8361.5</c:v>
                </c:pt>
                <c:pt idx="22">
                  <c:v>8290</c:v>
                </c:pt>
                <c:pt idx="23">
                  <c:v>8173.5</c:v>
                </c:pt>
                <c:pt idx="24">
                  <c:v>7850.5</c:v>
                </c:pt>
                <c:pt idx="25">
                  <c:v>7918</c:v>
                </c:pt>
                <c:pt idx="26">
                  <c:v>8110.5</c:v>
                </c:pt>
                <c:pt idx="27">
                  <c:v>8210.5</c:v>
                </c:pt>
                <c:pt idx="28">
                  <c:v>8442.5</c:v>
                </c:pt>
                <c:pt idx="29">
                  <c:v>8594.5</c:v>
                </c:pt>
                <c:pt idx="30">
                  <c:v>8628</c:v>
                </c:pt>
                <c:pt idx="31">
                  <c:v>8894</c:v>
                </c:pt>
                <c:pt idx="32">
                  <c:v>9049</c:v>
                </c:pt>
                <c:pt idx="33">
                  <c:v>9369.5</c:v>
                </c:pt>
                <c:pt idx="34">
                  <c:v>9534</c:v>
                </c:pt>
                <c:pt idx="35">
                  <c:v>9645.5</c:v>
                </c:pt>
                <c:pt idx="36">
                  <c:v>9851</c:v>
                </c:pt>
                <c:pt idx="37">
                  <c:v>9665</c:v>
                </c:pt>
                <c:pt idx="38">
                  <c:v>9817.5</c:v>
                </c:pt>
                <c:pt idx="39">
                  <c:v>9909.5</c:v>
                </c:pt>
                <c:pt idx="40">
                  <c:v>9758.5</c:v>
                </c:pt>
                <c:pt idx="41">
                  <c:v>9424.5</c:v>
                </c:pt>
                <c:pt idx="42">
                  <c:v>9128.5</c:v>
                </c:pt>
                <c:pt idx="43">
                  <c:v>8882.5</c:v>
                </c:pt>
                <c:pt idx="44">
                  <c:v>8745</c:v>
                </c:pt>
                <c:pt idx="45">
                  <c:v>8846</c:v>
                </c:pt>
                <c:pt idx="46">
                  <c:v>8577</c:v>
                </c:pt>
                <c:pt idx="47">
                  <c:v>8166</c:v>
                </c:pt>
                <c:pt idx="48">
                  <c:v>7825.5</c:v>
                </c:pt>
                <c:pt idx="49">
                  <c:v>7532.5</c:v>
                </c:pt>
                <c:pt idx="50">
                  <c:v>7301</c:v>
                </c:pt>
                <c:pt idx="51">
                  <c:v>7134</c:v>
                </c:pt>
                <c:pt idx="52">
                  <c:v>6699.5</c:v>
                </c:pt>
                <c:pt idx="53">
                  <c:v>6229.5</c:v>
                </c:pt>
                <c:pt idx="54">
                  <c:v>5871.5</c:v>
                </c:pt>
                <c:pt idx="55">
                  <c:v>5427.5</c:v>
                </c:pt>
                <c:pt idx="56">
                  <c:v>5069.5</c:v>
                </c:pt>
                <c:pt idx="57">
                  <c:v>4845.5</c:v>
                </c:pt>
                <c:pt idx="58">
                  <c:v>4494</c:v>
                </c:pt>
                <c:pt idx="59">
                  <c:v>4264.5</c:v>
                </c:pt>
                <c:pt idx="60">
                  <c:v>4135.5</c:v>
                </c:pt>
                <c:pt idx="61">
                  <c:v>3817</c:v>
                </c:pt>
                <c:pt idx="62">
                  <c:v>3471</c:v>
                </c:pt>
                <c:pt idx="63">
                  <c:v>3073</c:v>
                </c:pt>
                <c:pt idx="64">
                  <c:v>2798.5</c:v>
                </c:pt>
                <c:pt idx="65">
                  <c:v>2535.5</c:v>
                </c:pt>
                <c:pt idx="66">
                  <c:v>2387</c:v>
                </c:pt>
                <c:pt idx="67">
                  <c:v>2206.5</c:v>
                </c:pt>
                <c:pt idx="68">
                  <c:v>2074.5</c:v>
                </c:pt>
                <c:pt idx="69">
                  <c:v>1952.5</c:v>
                </c:pt>
                <c:pt idx="70">
                  <c:v>1798</c:v>
                </c:pt>
                <c:pt idx="71">
                  <c:v>1692</c:v>
                </c:pt>
                <c:pt idx="72">
                  <c:v>1500.5</c:v>
                </c:pt>
                <c:pt idx="73">
                  <c:v>1430</c:v>
                </c:pt>
                <c:pt idx="74">
                  <c:v>1473</c:v>
                </c:pt>
                <c:pt idx="75">
                  <c:v>1520</c:v>
                </c:pt>
                <c:pt idx="76">
                  <c:v>1623.5</c:v>
                </c:pt>
                <c:pt idx="77">
                  <c:v>1768</c:v>
                </c:pt>
                <c:pt idx="78">
                  <c:v>1844.5</c:v>
                </c:pt>
                <c:pt idx="79">
                  <c:v>1925.5</c:v>
                </c:pt>
                <c:pt idx="80">
                  <c:v>1926.5</c:v>
                </c:pt>
                <c:pt idx="81">
                  <c:v>1984.5</c:v>
                </c:pt>
                <c:pt idx="82">
                  <c:v>2120</c:v>
                </c:pt>
                <c:pt idx="83">
                  <c:v>2488.5</c:v>
                </c:pt>
                <c:pt idx="84">
                  <c:v>3023</c:v>
                </c:pt>
                <c:pt idx="85">
                  <c:v>3502</c:v>
                </c:pt>
                <c:pt idx="86">
                  <c:v>3978</c:v>
                </c:pt>
                <c:pt idx="87">
                  <c:v>4469.5</c:v>
                </c:pt>
                <c:pt idx="88">
                  <c:v>4888</c:v>
                </c:pt>
                <c:pt idx="89">
                  <c:v>5531.5</c:v>
                </c:pt>
                <c:pt idx="90">
                  <c:v>6321.5</c:v>
                </c:pt>
                <c:pt idx="91">
                  <c:v>6942</c:v>
                </c:pt>
                <c:pt idx="92">
                  <c:v>7549.5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E8-42D9-9BF1-A57E4428D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390912"/>
        <c:axId val="94392704"/>
      </c:lineChart>
      <c:catAx>
        <c:axId val="943909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9439270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9439270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9439091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457201</xdr:colOff>
      <xdr:row>10</xdr:row>
      <xdr:rowOff>13253</xdr:rowOff>
    </xdr:from>
    <xdr:to>
      <xdr:col>8</xdr:col>
      <xdr:colOff>298174</xdr:colOff>
      <xdr:row>10</xdr:row>
      <xdr:rowOff>178905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D7C1684-2503-3522-8ACE-A415233770D0}"/>
            </a:ext>
          </a:extLst>
        </xdr:cNvPr>
        <xdr:cNvSpPr/>
      </xdr:nvSpPr>
      <xdr:spPr bwMode="auto">
        <a:xfrm>
          <a:off x="9707218" y="2001079"/>
          <a:ext cx="1987826" cy="165652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IN" sz="800"/>
            <a:t>Flyover</a:t>
          </a:r>
        </a:p>
      </xdr:txBody>
    </xdr:sp>
    <xdr:clientData/>
  </xdr:twoCellAnchor>
  <xdr:twoCellAnchor>
    <xdr:from>
      <xdr:col>8</xdr:col>
      <xdr:colOff>695740</xdr:colOff>
      <xdr:row>10</xdr:row>
      <xdr:rowOff>13253</xdr:rowOff>
    </xdr:from>
    <xdr:to>
      <xdr:col>9</xdr:col>
      <xdr:colOff>265044</xdr:colOff>
      <xdr:row>10</xdr:row>
      <xdr:rowOff>178905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9AA1492-A7C1-437A-B8F6-837E61194BBE}"/>
            </a:ext>
          </a:extLst>
        </xdr:cNvPr>
        <xdr:cNvSpPr/>
      </xdr:nvSpPr>
      <xdr:spPr bwMode="auto">
        <a:xfrm>
          <a:off x="12092610" y="2001079"/>
          <a:ext cx="642730" cy="165652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IN" sz="800"/>
            <a:t>V13</a:t>
          </a:r>
        </a:p>
      </xdr:txBody>
    </xdr:sp>
    <xdr:clientData/>
  </xdr:twoCellAnchor>
  <xdr:twoCellAnchor>
    <xdr:from>
      <xdr:col>5</xdr:col>
      <xdr:colOff>1172819</xdr:colOff>
      <xdr:row>10</xdr:row>
      <xdr:rowOff>19879</xdr:rowOff>
    </xdr:from>
    <xdr:to>
      <xdr:col>6</xdr:col>
      <xdr:colOff>6626</xdr:colOff>
      <xdr:row>10</xdr:row>
      <xdr:rowOff>185531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147CFEF-3F47-4B17-BBC0-B1AAF06C5331}"/>
            </a:ext>
          </a:extLst>
        </xdr:cNvPr>
        <xdr:cNvSpPr/>
      </xdr:nvSpPr>
      <xdr:spPr bwMode="auto">
        <a:xfrm>
          <a:off x="8865706" y="2007705"/>
          <a:ext cx="390937" cy="165652"/>
        </a:xfrm>
        <a:prstGeom prst="rect">
          <a:avLst/>
        </a:prstGeom>
        <a:solidFill>
          <a:schemeClr val="bg1">
            <a:lumMod val="75000"/>
          </a:scheme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IN" sz="800"/>
            <a:t>V14</a:t>
          </a:r>
        </a:p>
      </xdr:txBody>
    </xdr:sp>
    <xdr:clientData/>
  </xdr:twoCellAnchor>
  <xdr:twoCellAnchor>
    <xdr:from>
      <xdr:col>9</xdr:col>
      <xdr:colOff>53008</xdr:colOff>
      <xdr:row>10</xdr:row>
      <xdr:rowOff>96079</xdr:rowOff>
    </xdr:from>
    <xdr:to>
      <xdr:col>9</xdr:col>
      <xdr:colOff>265044</xdr:colOff>
      <xdr:row>10</xdr:row>
      <xdr:rowOff>106018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5A8E470C-550C-3D3F-CF29-9EA47CF451AA}"/>
            </a:ext>
          </a:extLst>
        </xdr:cNvPr>
        <xdr:cNvCxnSpPr>
          <a:stCxn id="3" idx="3"/>
        </xdr:cNvCxnSpPr>
      </xdr:nvCxnSpPr>
      <xdr:spPr bwMode="auto">
        <a:xfrm flipH="1">
          <a:off x="12523304" y="2083905"/>
          <a:ext cx="212036" cy="9939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</xdr:col>
      <xdr:colOff>1464366</xdr:colOff>
      <xdr:row>10</xdr:row>
      <xdr:rowOff>96079</xdr:rowOff>
    </xdr:from>
    <xdr:to>
      <xdr:col>6</xdr:col>
      <xdr:colOff>125896</xdr:colOff>
      <xdr:row>10</xdr:row>
      <xdr:rowOff>106017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3417BED6-42B3-4EE4-ACA2-48088F60D712}"/>
            </a:ext>
          </a:extLst>
        </xdr:cNvPr>
        <xdr:cNvCxnSpPr/>
      </xdr:nvCxnSpPr>
      <xdr:spPr bwMode="auto">
        <a:xfrm>
          <a:off x="9157253" y="2083905"/>
          <a:ext cx="218660" cy="993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" name="Text Box 21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" name="Text Box 22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" name="Text Box 23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5" name="Text Box 24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6" name="Text Box 25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7" name="Text Box 26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8" name="Text Box 27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9" name="Text Box 28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0" name="Text Box 29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1" name="Text Box 30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2" name="Text Box 31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3" name="Text Box 32"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4" name="Text Box 33"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5" name="Text Box 34">
          <a:extLst>
            <a:ext uri="{FF2B5EF4-FFF2-40B4-BE49-F238E27FC236}">
              <a16:creationId xmlns:a16="http://schemas.microsoft.com/office/drawing/2014/main" id="{00000000-0008-0000-0D00-00002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6" name="Text Box 35">
          <a:extLst>
            <a:ext uri="{FF2B5EF4-FFF2-40B4-BE49-F238E27FC236}">
              <a16:creationId xmlns:a16="http://schemas.microsoft.com/office/drawing/2014/main" id="{00000000-0008-0000-0D00-00002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7" name="Text Box 36">
          <a:extLst>
            <a:ext uri="{FF2B5EF4-FFF2-40B4-BE49-F238E27FC236}">
              <a16:creationId xmlns:a16="http://schemas.microsoft.com/office/drawing/2014/main" id="{00000000-0008-0000-0D00-00002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8" name="Text Box 37">
          <a:extLst>
            <a:ext uri="{FF2B5EF4-FFF2-40B4-BE49-F238E27FC236}">
              <a16:creationId xmlns:a16="http://schemas.microsoft.com/office/drawing/2014/main" id="{00000000-0008-0000-0D00-00002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39" name="Text Box 38">
          <a:extLst>
            <a:ext uri="{FF2B5EF4-FFF2-40B4-BE49-F238E27FC236}">
              <a16:creationId xmlns:a16="http://schemas.microsoft.com/office/drawing/2014/main" id="{00000000-0008-0000-0D00-000027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0" name="Text Box 39">
          <a:extLst>
            <a:ext uri="{FF2B5EF4-FFF2-40B4-BE49-F238E27FC236}">
              <a16:creationId xmlns:a16="http://schemas.microsoft.com/office/drawing/2014/main" id="{00000000-0008-0000-0D00-00002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1" name="Text Box 40">
          <a:extLst>
            <a:ext uri="{FF2B5EF4-FFF2-40B4-BE49-F238E27FC236}">
              <a16:creationId xmlns:a16="http://schemas.microsoft.com/office/drawing/2014/main" id="{00000000-0008-0000-0D00-00002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2" name="Text Box 41">
          <a:extLst>
            <a:ext uri="{FF2B5EF4-FFF2-40B4-BE49-F238E27FC236}">
              <a16:creationId xmlns:a16="http://schemas.microsoft.com/office/drawing/2014/main" id="{00000000-0008-0000-0D00-00002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3" name="Text Box 42">
          <a:extLst>
            <a:ext uri="{FF2B5EF4-FFF2-40B4-BE49-F238E27FC236}">
              <a16:creationId xmlns:a16="http://schemas.microsoft.com/office/drawing/2014/main" id="{00000000-0008-0000-0D00-00002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SpPr txBox="1">
          <a:spLocks noChangeArrowheads="1"/>
        </xdr:cNvSpPr>
      </xdr:nvSpPr>
      <xdr:spPr bwMode="auto">
        <a:xfrm>
          <a:off x="3419475" y="0"/>
          <a:ext cx="114300" cy="2779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00000000-0008-0000-0E00-00002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00000000-0008-0000-0E00-00002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7" name="Text Box 4">
          <a:extLst>
            <a:ext uri="{FF2B5EF4-FFF2-40B4-BE49-F238E27FC236}">
              <a16:creationId xmlns:a16="http://schemas.microsoft.com/office/drawing/2014/main" id="{00000000-0008-0000-0E00-00002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8" name="Text Box 5">
          <a:extLst>
            <a:ext uri="{FF2B5EF4-FFF2-40B4-BE49-F238E27FC236}">
              <a16:creationId xmlns:a16="http://schemas.microsoft.com/office/drawing/2014/main" id="{00000000-0008-0000-0E00-00003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9" name="Text Box 6">
          <a:extLst>
            <a:ext uri="{FF2B5EF4-FFF2-40B4-BE49-F238E27FC236}">
              <a16:creationId xmlns:a16="http://schemas.microsoft.com/office/drawing/2014/main" id="{00000000-0008-0000-0E00-00003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0" name="Text Box 7">
          <a:extLst>
            <a:ext uri="{FF2B5EF4-FFF2-40B4-BE49-F238E27FC236}">
              <a16:creationId xmlns:a16="http://schemas.microsoft.com/office/drawing/2014/main" id="{00000000-0008-0000-0E00-00003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1" name="Text Box 8">
          <a:extLst>
            <a:ext uri="{FF2B5EF4-FFF2-40B4-BE49-F238E27FC236}">
              <a16:creationId xmlns:a16="http://schemas.microsoft.com/office/drawing/2014/main" id="{00000000-0008-0000-0E00-00003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2" name="Text Box 9">
          <a:extLst>
            <a:ext uri="{FF2B5EF4-FFF2-40B4-BE49-F238E27FC236}">
              <a16:creationId xmlns:a16="http://schemas.microsoft.com/office/drawing/2014/main" id="{00000000-0008-0000-0E00-00003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3" name="Text Box 10">
          <a:extLst>
            <a:ext uri="{FF2B5EF4-FFF2-40B4-BE49-F238E27FC236}">
              <a16:creationId xmlns:a16="http://schemas.microsoft.com/office/drawing/2014/main" id="{00000000-0008-0000-0E00-00003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4" name="Text Box 11">
          <a:extLst>
            <a:ext uri="{FF2B5EF4-FFF2-40B4-BE49-F238E27FC236}">
              <a16:creationId xmlns:a16="http://schemas.microsoft.com/office/drawing/2014/main" id="{00000000-0008-0000-0E00-00003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5" name="Text Box 12">
          <a:extLst>
            <a:ext uri="{FF2B5EF4-FFF2-40B4-BE49-F238E27FC236}">
              <a16:creationId xmlns:a16="http://schemas.microsoft.com/office/drawing/2014/main" id="{00000000-0008-0000-0E00-00003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6" name="Text Box 13">
          <a:extLst>
            <a:ext uri="{FF2B5EF4-FFF2-40B4-BE49-F238E27FC236}">
              <a16:creationId xmlns:a16="http://schemas.microsoft.com/office/drawing/2014/main" id="{00000000-0008-0000-0E00-00003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7" name="Text Box 14">
          <a:extLst>
            <a:ext uri="{FF2B5EF4-FFF2-40B4-BE49-F238E27FC236}">
              <a16:creationId xmlns:a16="http://schemas.microsoft.com/office/drawing/2014/main" id="{00000000-0008-0000-0E00-00003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8" name="Text Box 15">
          <a:extLst>
            <a:ext uri="{FF2B5EF4-FFF2-40B4-BE49-F238E27FC236}">
              <a16:creationId xmlns:a16="http://schemas.microsoft.com/office/drawing/2014/main" id="{00000000-0008-0000-0E00-00003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9" name="Text Box 16">
          <a:extLst>
            <a:ext uri="{FF2B5EF4-FFF2-40B4-BE49-F238E27FC236}">
              <a16:creationId xmlns:a16="http://schemas.microsoft.com/office/drawing/2014/main" id="{00000000-0008-0000-0E00-00003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0" name="Text Box 17">
          <a:extLst>
            <a:ext uri="{FF2B5EF4-FFF2-40B4-BE49-F238E27FC236}">
              <a16:creationId xmlns:a16="http://schemas.microsoft.com/office/drawing/2014/main" id="{00000000-0008-0000-0E00-00003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1" name="Text Box 18">
          <a:extLst>
            <a:ext uri="{FF2B5EF4-FFF2-40B4-BE49-F238E27FC236}">
              <a16:creationId xmlns:a16="http://schemas.microsoft.com/office/drawing/2014/main" id="{00000000-0008-0000-0E00-00003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2" name="Text Box 19">
          <a:extLst>
            <a:ext uri="{FF2B5EF4-FFF2-40B4-BE49-F238E27FC236}">
              <a16:creationId xmlns:a16="http://schemas.microsoft.com/office/drawing/2014/main" id="{00000000-0008-0000-0E00-00003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3" name="Text Box 20">
          <a:extLst>
            <a:ext uri="{FF2B5EF4-FFF2-40B4-BE49-F238E27FC236}">
              <a16:creationId xmlns:a16="http://schemas.microsoft.com/office/drawing/2014/main" id="{00000000-0008-0000-0E00-00003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4" name="Text Box 21">
          <a:extLst>
            <a:ext uri="{FF2B5EF4-FFF2-40B4-BE49-F238E27FC236}">
              <a16:creationId xmlns:a16="http://schemas.microsoft.com/office/drawing/2014/main" id="{00000000-0008-0000-0E00-00004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5" name="Text Box 22">
          <a:extLst>
            <a:ext uri="{FF2B5EF4-FFF2-40B4-BE49-F238E27FC236}">
              <a16:creationId xmlns:a16="http://schemas.microsoft.com/office/drawing/2014/main" id="{00000000-0008-0000-0E00-00004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6" name="Text Box 23">
          <a:extLst>
            <a:ext uri="{FF2B5EF4-FFF2-40B4-BE49-F238E27FC236}">
              <a16:creationId xmlns:a16="http://schemas.microsoft.com/office/drawing/2014/main" id="{00000000-0008-0000-0E00-00004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7" name="Text Box 24">
          <a:extLst>
            <a:ext uri="{FF2B5EF4-FFF2-40B4-BE49-F238E27FC236}">
              <a16:creationId xmlns:a16="http://schemas.microsoft.com/office/drawing/2014/main" id="{00000000-0008-0000-0E00-00004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8" name="Text Box 25">
          <a:extLst>
            <a:ext uri="{FF2B5EF4-FFF2-40B4-BE49-F238E27FC236}">
              <a16:creationId xmlns:a16="http://schemas.microsoft.com/office/drawing/2014/main" id="{00000000-0008-0000-0E00-00004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9" name="Text Box 26">
          <a:extLst>
            <a:ext uri="{FF2B5EF4-FFF2-40B4-BE49-F238E27FC236}">
              <a16:creationId xmlns:a16="http://schemas.microsoft.com/office/drawing/2014/main" id="{00000000-0008-0000-0E00-00004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0" name="Text Box 27">
          <a:extLst>
            <a:ext uri="{FF2B5EF4-FFF2-40B4-BE49-F238E27FC236}">
              <a16:creationId xmlns:a16="http://schemas.microsoft.com/office/drawing/2014/main" id="{00000000-0008-0000-0E00-00004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1" name="Text Box 28">
          <a:extLst>
            <a:ext uri="{FF2B5EF4-FFF2-40B4-BE49-F238E27FC236}">
              <a16:creationId xmlns:a16="http://schemas.microsoft.com/office/drawing/2014/main" id="{00000000-0008-0000-0E00-00004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2" name="Text Box 29">
          <a:extLst>
            <a:ext uri="{FF2B5EF4-FFF2-40B4-BE49-F238E27FC236}">
              <a16:creationId xmlns:a16="http://schemas.microsoft.com/office/drawing/2014/main" id="{00000000-0008-0000-0E00-00004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3" name="Text Box 30">
          <a:extLst>
            <a:ext uri="{FF2B5EF4-FFF2-40B4-BE49-F238E27FC236}">
              <a16:creationId xmlns:a16="http://schemas.microsoft.com/office/drawing/2014/main" id="{00000000-0008-0000-0E00-00004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4" name="Text Box 31">
          <a:extLst>
            <a:ext uri="{FF2B5EF4-FFF2-40B4-BE49-F238E27FC236}">
              <a16:creationId xmlns:a16="http://schemas.microsoft.com/office/drawing/2014/main" id="{00000000-0008-0000-0E00-00004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5" name="Text Box 32">
          <a:extLst>
            <a:ext uri="{FF2B5EF4-FFF2-40B4-BE49-F238E27FC236}">
              <a16:creationId xmlns:a16="http://schemas.microsoft.com/office/drawing/2014/main" id="{00000000-0008-0000-0E00-00004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6" name="Text Box 33">
          <a:extLst>
            <a:ext uri="{FF2B5EF4-FFF2-40B4-BE49-F238E27FC236}">
              <a16:creationId xmlns:a16="http://schemas.microsoft.com/office/drawing/2014/main" id="{00000000-0008-0000-0E00-00004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7" name="Text Box 34">
          <a:extLst>
            <a:ext uri="{FF2B5EF4-FFF2-40B4-BE49-F238E27FC236}">
              <a16:creationId xmlns:a16="http://schemas.microsoft.com/office/drawing/2014/main" id="{00000000-0008-0000-0E00-00004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8" name="Text Box 35">
          <a:extLst>
            <a:ext uri="{FF2B5EF4-FFF2-40B4-BE49-F238E27FC236}">
              <a16:creationId xmlns:a16="http://schemas.microsoft.com/office/drawing/2014/main" id="{00000000-0008-0000-0E00-00004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9" name="Text Box 36">
          <a:extLst>
            <a:ext uri="{FF2B5EF4-FFF2-40B4-BE49-F238E27FC236}">
              <a16:creationId xmlns:a16="http://schemas.microsoft.com/office/drawing/2014/main" id="{00000000-0008-0000-0E00-00004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0" name="Text Box 37">
          <a:extLst>
            <a:ext uri="{FF2B5EF4-FFF2-40B4-BE49-F238E27FC236}">
              <a16:creationId xmlns:a16="http://schemas.microsoft.com/office/drawing/2014/main" id="{00000000-0008-0000-0E00-00005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1" name="Text Box 38">
          <a:extLst>
            <a:ext uri="{FF2B5EF4-FFF2-40B4-BE49-F238E27FC236}">
              <a16:creationId xmlns:a16="http://schemas.microsoft.com/office/drawing/2014/main" id="{00000000-0008-0000-0E00-000051000000}"/>
            </a:ext>
          </a:extLst>
        </xdr:cNvPr>
        <xdr:cNvSpPr txBox="1">
          <a:spLocks noChangeArrowheads="1"/>
        </xdr:cNvSpPr>
      </xdr:nvSpPr>
      <xdr:spPr bwMode="auto">
        <a:xfrm>
          <a:off x="3419475" y="0"/>
          <a:ext cx="114300" cy="2779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2" name="Text Box 39">
          <a:extLst>
            <a:ext uri="{FF2B5EF4-FFF2-40B4-BE49-F238E27FC236}">
              <a16:creationId xmlns:a16="http://schemas.microsoft.com/office/drawing/2014/main" id="{00000000-0008-0000-0E00-00005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3" name="Text Box 40">
          <a:extLst>
            <a:ext uri="{FF2B5EF4-FFF2-40B4-BE49-F238E27FC236}">
              <a16:creationId xmlns:a16="http://schemas.microsoft.com/office/drawing/2014/main" id="{00000000-0008-0000-0E00-00005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4" name="Text Box 41">
          <a:extLst>
            <a:ext uri="{FF2B5EF4-FFF2-40B4-BE49-F238E27FC236}">
              <a16:creationId xmlns:a16="http://schemas.microsoft.com/office/drawing/2014/main" id="{00000000-0008-0000-0E00-00005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5" name="Text Box 42">
          <a:extLst>
            <a:ext uri="{FF2B5EF4-FFF2-40B4-BE49-F238E27FC236}">
              <a16:creationId xmlns:a16="http://schemas.microsoft.com/office/drawing/2014/main" id="{00000000-0008-0000-0E00-00005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301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6" name="Text Box 1">
          <a:extLst>
            <a:ext uri="{FF2B5EF4-FFF2-40B4-BE49-F238E27FC236}">
              <a16:creationId xmlns:a16="http://schemas.microsoft.com/office/drawing/2014/main" id="{00000000-0008-0000-0E00-000056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7" name="Text Box 2">
          <a:extLst>
            <a:ext uri="{FF2B5EF4-FFF2-40B4-BE49-F238E27FC236}">
              <a16:creationId xmlns:a16="http://schemas.microsoft.com/office/drawing/2014/main" id="{00000000-0008-0000-0E00-00005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8" name="Text Box 3">
          <a:extLst>
            <a:ext uri="{FF2B5EF4-FFF2-40B4-BE49-F238E27FC236}">
              <a16:creationId xmlns:a16="http://schemas.microsoft.com/office/drawing/2014/main" id="{00000000-0008-0000-0E00-00005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9" name="Text Box 4">
          <a:extLst>
            <a:ext uri="{FF2B5EF4-FFF2-40B4-BE49-F238E27FC236}">
              <a16:creationId xmlns:a16="http://schemas.microsoft.com/office/drawing/2014/main" id="{00000000-0008-0000-0E00-00005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0" name="Text Box 5">
          <a:extLst>
            <a:ext uri="{FF2B5EF4-FFF2-40B4-BE49-F238E27FC236}">
              <a16:creationId xmlns:a16="http://schemas.microsoft.com/office/drawing/2014/main" id="{00000000-0008-0000-0E00-00005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1" name="Text Box 6">
          <a:extLst>
            <a:ext uri="{FF2B5EF4-FFF2-40B4-BE49-F238E27FC236}">
              <a16:creationId xmlns:a16="http://schemas.microsoft.com/office/drawing/2014/main" id="{00000000-0008-0000-0E00-00005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2" name="Text Box 7">
          <a:extLst>
            <a:ext uri="{FF2B5EF4-FFF2-40B4-BE49-F238E27FC236}">
              <a16:creationId xmlns:a16="http://schemas.microsoft.com/office/drawing/2014/main" id="{00000000-0008-0000-0E00-00005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3" name="Text Box 8">
          <a:extLst>
            <a:ext uri="{FF2B5EF4-FFF2-40B4-BE49-F238E27FC236}">
              <a16:creationId xmlns:a16="http://schemas.microsoft.com/office/drawing/2014/main" id="{00000000-0008-0000-0E00-00005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4" name="Text Box 9">
          <a:extLst>
            <a:ext uri="{FF2B5EF4-FFF2-40B4-BE49-F238E27FC236}">
              <a16:creationId xmlns:a16="http://schemas.microsoft.com/office/drawing/2014/main" id="{00000000-0008-0000-0E00-00005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5" name="Text Box 10">
          <a:extLst>
            <a:ext uri="{FF2B5EF4-FFF2-40B4-BE49-F238E27FC236}">
              <a16:creationId xmlns:a16="http://schemas.microsoft.com/office/drawing/2014/main" id="{00000000-0008-0000-0E00-00005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6" name="Text Box 11">
          <a:extLst>
            <a:ext uri="{FF2B5EF4-FFF2-40B4-BE49-F238E27FC236}">
              <a16:creationId xmlns:a16="http://schemas.microsoft.com/office/drawing/2014/main" id="{00000000-0008-0000-0E00-00006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7" name="Text Box 12">
          <a:extLst>
            <a:ext uri="{FF2B5EF4-FFF2-40B4-BE49-F238E27FC236}">
              <a16:creationId xmlns:a16="http://schemas.microsoft.com/office/drawing/2014/main" id="{00000000-0008-0000-0E00-00006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8" name="Text Box 13">
          <a:extLst>
            <a:ext uri="{FF2B5EF4-FFF2-40B4-BE49-F238E27FC236}">
              <a16:creationId xmlns:a16="http://schemas.microsoft.com/office/drawing/2014/main" id="{00000000-0008-0000-0E00-00006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9" name="Text Box 14">
          <a:extLst>
            <a:ext uri="{FF2B5EF4-FFF2-40B4-BE49-F238E27FC236}">
              <a16:creationId xmlns:a16="http://schemas.microsoft.com/office/drawing/2014/main" id="{00000000-0008-0000-0E00-00006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0" name="Text Box 15">
          <a:extLst>
            <a:ext uri="{FF2B5EF4-FFF2-40B4-BE49-F238E27FC236}">
              <a16:creationId xmlns:a16="http://schemas.microsoft.com/office/drawing/2014/main" id="{00000000-0008-0000-0E00-00006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1" name="Text Box 16">
          <a:extLst>
            <a:ext uri="{FF2B5EF4-FFF2-40B4-BE49-F238E27FC236}">
              <a16:creationId xmlns:a16="http://schemas.microsoft.com/office/drawing/2014/main" id="{00000000-0008-0000-0E00-00006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2" name="Text Box 17">
          <a:extLst>
            <a:ext uri="{FF2B5EF4-FFF2-40B4-BE49-F238E27FC236}">
              <a16:creationId xmlns:a16="http://schemas.microsoft.com/office/drawing/2014/main" id="{00000000-0008-0000-0E00-00006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3" name="Text Box 18">
          <a:extLst>
            <a:ext uri="{FF2B5EF4-FFF2-40B4-BE49-F238E27FC236}">
              <a16:creationId xmlns:a16="http://schemas.microsoft.com/office/drawing/2014/main" id="{00000000-0008-0000-0E00-00006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4" name="Text Box 19">
          <a:extLst>
            <a:ext uri="{FF2B5EF4-FFF2-40B4-BE49-F238E27FC236}">
              <a16:creationId xmlns:a16="http://schemas.microsoft.com/office/drawing/2014/main" id="{00000000-0008-0000-0E00-00006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5" name="Text Box 20">
          <a:extLst>
            <a:ext uri="{FF2B5EF4-FFF2-40B4-BE49-F238E27FC236}">
              <a16:creationId xmlns:a16="http://schemas.microsoft.com/office/drawing/2014/main" id="{00000000-0008-0000-0E00-00006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6" name="Text Box 21">
          <a:extLst>
            <a:ext uri="{FF2B5EF4-FFF2-40B4-BE49-F238E27FC236}">
              <a16:creationId xmlns:a16="http://schemas.microsoft.com/office/drawing/2014/main" id="{00000000-0008-0000-0E00-00006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7" name="Text Box 22">
          <a:extLst>
            <a:ext uri="{FF2B5EF4-FFF2-40B4-BE49-F238E27FC236}">
              <a16:creationId xmlns:a16="http://schemas.microsoft.com/office/drawing/2014/main" id="{00000000-0008-0000-0E00-00006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8" name="Text Box 23">
          <a:extLst>
            <a:ext uri="{FF2B5EF4-FFF2-40B4-BE49-F238E27FC236}">
              <a16:creationId xmlns:a16="http://schemas.microsoft.com/office/drawing/2014/main" id="{00000000-0008-0000-0E00-00006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9" name="Text Box 24">
          <a:extLst>
            <a:ext uri="{FF2B5EF4-FFF2-40B4-BE49-F238E27FC236}">
              <a16:creationId xmlns:a16="http://schemas.microsoft.com/office/drawing/2014/main" id="{00000000-0008-0000-0E00-00006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0" name="Text Box 25">
          <a:extLst>
            <a:ext uri="{FF2B5EF4-FFF2-40B4-BE49-F238E27FC236}">
              <a16:creationId xmlns:a16="http://schemas.microsoft.com/office/drawing/2014/main" id="{00000000-0008-0000-0E00-00006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1" name="Text Box 26">
          <a:extLst>
            <a:ext uri="{FF2B5EF4-FFF2-40B4-BE49-F238E27FC236}">
              <a16:creationId xmlns:a16="http://schemas.microsoft.com/office/drawing/2014/main" id="{00000000-0008-0000-0E00-00006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2" name="Text Box 27">
          <a:extLst>
            <a:ext uri="{FF2B5EF4-FFF2-40B4-BE49-F238E27FC236}">
              <a16:creationId xmlns:a16="http://schemas.microsoft.com/office/drawing/2014/main" id="{00000000-0008-0000-0E00-00007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3" name="Text Box 28">
          <a:extLst>
            <a:ext uri="{FF2B5EF4-FFF2-40B4-BE49-F238E27FC236}">
              <a16:creationId xmlns:a16="http://schemas.microsoft.com/office/drawing/2014/main" id="{00000000-0008-0000-0E00-00007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4" name="Text Box 29">
          <a:extLst>
            <a:ext uri="{FF2B5EF4-FFF2-40B4-BE49-F238E27FC236}">
              <a16:creationId xmlns:a16="http://schemas.microsoft.com/office/drawing/2014/main" id="{00000000-0008-0000-0E00-00007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5" name="Text Box 30">
          <a:extLst>
            <a:ext uri="{FF2B5EF4-FFF2-40B4-BE49-F238E27FC236}">
              <a16:creationId xmlns:a16="http://schemas.microsoft.com/office/drawing/2014/main" id="{00000000-0008-0000-0E00-00007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6" name="Text Box 31">
          <a:extLst>
            <a:ext uri="{FF2B5EF4-FFF2-40B4-BE49-F238E27FC236}">
              <a16:creationId xmlns:a16="http://schemas.microsoft.com/office/drawing/2014/main" id="{00000000-0008-0000-0E00-00007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7" name="Text Box 32">
          <a:extLst>
            <a:ext uri="{FF2B5EF4-FFF2-40B4-BE49-F238E27FC236}">
              <a16:creationId xmlns:a16="http://schemas.microsoft.com/office/drawing/2014/main" id="{00000000-0008-0000-0E00-00007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8" name="Text Box 33">
          <a:extLst>
            <a:ext uri="{FF2B5EF4-FFF2-40B4-BE49-F238E27FC236}">
              <a16:creationId xmlns:a16="http://schemas.microsoft.com/office/drawing/2014/main" id="{00000000-0008-0000-0E00-00007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9" name="Text Box 34">
          <a:extLst>
            <a:ext uri="{FF2B5EF4-FFF2-40B4-BE49-F238E27FC236}">
              <a16:creationId xmlns:a16="http://schemas.microsoft.com/office/drawing/2014/main" id="{00000000-0008-0000-0E00-00007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0" name="Text Box 35">
          <a:extLst>
            <a:ext uri="{FF2B5EF4-FFF2-40B4-BE49-F238E27FC236}">
              <a16:creationId xmlns:a16="http://schemas.microsoft.com/office/drawing/2014/main" id="{00000000-0008-0000-0E00-00007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1" name="Text Box 36">
          <a:extLst>
            <a:ext uri="{FF2B5EF4-FFF2-40B4-BE49-F238E27FC236}">
              <a16:creationId xmlns:a16="http://schemas.microsoft.com/office/drawing/2014/main" id="{00000000-0008-0000-0E00-00007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2" name="Text Box 37">
          <a:extLst>
            <a:ext uri="{FF2B5EF4-FFF2-40B4-BE49-F238E27FC236}">
              <a16:creationId xmlns:a16="http://schemas.microsoft.com/office/drawing/2014/main" id="{00000000-0008-0000-0E00-00007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23" name="Text Box 38">
          <a:extLst>
            <a:ext uri="{FF2B5EF4-FFF2-40B4-BE49-F238E27FC236}">
              <a16:creationId xmlns:a16="http://schemas.microsoft.com/office/drawing/2014/main" id="{00000000-0008-0000-0E00-00007B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4" name="Text Box 39">
          <a:extLst>
            <a:ext uri="{FF2B5EF4-FFF2-40B4-BE49-F238E27FC236}">
              <a16:creationId xmlns:a16="http://schemas.microsoft.com/office/drawing/2014/main" id="{00000000-0008-0000-0E00-00007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5" name="Text Box 40">
          <a:extLst>
            <a:ext uri="{FF2B5EF4-FFF2-40B4-BE49-F238E27FC236}">
              <a16:creationId xmlns:a16="http://schemas.microsoft.com/office/drawing/2014/main" id="{00000000-0008-0000-0E00-00007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6" name="Text Box 41">
          <a:extLst>
            <a:ext uri="{FF2B5EF4-FFF2-40B4-BE49-F238E27FC236}">
              <a16:creationId xmlns:a16="http://schemas.microsoft.com/office/drawing/2014/main" id="{00000000-0008-0000-0E00-00007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7" name="Text Box 42">
          <a:extLst>
            <a:ext uri="{FF2B5EF4-FFF2-40B4-BE49-F238E27FC236}">
              <a16:creationId xmlns:a16="http://schemas.microsoft.com/office/drawing/2014/main" id="{00000000-0008-0000-0E00-00007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" name="Text Box 21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" name="Text Box 22"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" name="Text Box 23"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5" name="Text Box 24">
          <a:extLst>
            <a:ext uri="{FF2B5EF4-FFF2-40B4-BE49-F238E27FC236}">
              <a16:creationId xmlns:a16="http://schemas.microsoft.com/office/drawing/2014/main" id="{00000000-0008-0000-0F00-00001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6" name="Text Box 25">
          <a:extLst>
            <a:ext uri="{FF2B5EF4-FFF2-40B4-BE49-F238E27FC236}">
              <a16:creationId xmlns:a16="http://schemas.microsoft.com/office/drawing/2014/main" id="{00000000-0008-0000-0F00-00001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7" name="Text Box 26">
          <a:extLst>
            <a:ext uri="{FF2B5EF4-FFF2-40B4-BE49-F238E27FC236}">
              <a16:creationId xmlns:a16="http://schemas.microsoft.com/office/drawing/2014/main" id="{00000000-0008-0000-0F00-00001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8" name="Text Box 27"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9" name="Text Box 28"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0" name="Text Box 29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1" name="Text Box 30">
          <a:extLst>
            <a:ext uri="{FF2B5EF4-FFF2-40B4-BE49-F238E27FC236}">
              <a16:creationId xmlns:a16="http://schemas.microsoft.com/office/drawing/2014/main" id="{00000000-0008-0000-0F00-00001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2" name="Text Box 31">
          <a:extLst>
            <a:ext uri="{FF2B5EF4-FFF2-40B4-BE49-F238E27FC236}">
              <a16:creationId xmlns:a16="http://schemas.microsoft.com/office/drawing/2014/main" id="{00000000-0008-0000-0F00-00002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3" name="Text Box 32">
          <a:extLst>
            <a:ext uri="{FF2B5EF4-FFF2-40B4-BE49-F238E27FC236}">
              <a16:creationId xmlns:a16="http://schemas.microsoft.com/office/drawing/2014/main" id="{00000000-0008-0000-0F00-00002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4" name="Text Box 33">
          <a:extLst>
            <a:ext uri="{FF2B5EF4-FFF2-40B4-BE49-F238E27FC236}">
              <a16:creationId xmlns:a16="http://schemas.microsoft.com/office/drawing/2014/main" id="{00000000-0008-0000-0F00-00002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5" name="Text Box 34">
          <a:extLst>
            <a:ext uri="{FF2B5EF4-FFF2-40B4-BE49-F238E27FC236}">
              <a16:creationId xmlns:a16="http://schemas.microsoft.com/office/drawing/2014/main" id="{00000000-0008-0000-0F00-00002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6" name="Text Box 35">
          <a:extLst>
            <a:ext uri="{FF2B5EF4-FFF2-40B4-BE49-F238E27FC236}">
              <a16:creationId xmlns:a16="http://schemas.microsoft.com/office/drawing/2014/main" id="{00000000-0008-0000-0F00-00002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7" name="Text Box 36">
          <a:extLst>
            <a:ext uri="{FF2B5EF4-FFF2-40B4-BE49-F238E27FC236}">
              <a16:creationId xmlns:a16="http://schemas.microsoft.com/office/drawing/2014/main" id="{00000000-0008-0000-0F00-00002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8" name="Text Box 37">
          <a:extLst>
            <a:ext uri="{FF2B5EF4-FFF2-40B4-BE49-F238E27FC236}">
              <a16:creationId xmlns:a16="http://schemas.microsoft.com/office/drawing/2014/main" id="{00000000-0008-0000-0F00-00002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39" name="Text Box 38">
          <a:extLst>
            <a:ext uri="{FF2B5EF4-FFF2-40B4-BE49-F238E27FC236}">
              <a16:creationId xmlns:a16="http://schemas.microsoft.com/office/drawing/2014/main" id="{00000000-0008-0000-0F00-000027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0" name="Text Box 39">
          <a:extLst>
            <a:ext uri="{FF2B5EF4-FFF2-40B4-BE49-F238E27FC236}">
              <a16:creationId xmlns:a16="http://schemas.microsoft.com/office/drawing/2014/main" id="{00000000-0008-0000-0F00-00002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1" name="Text Box 40">
          <a:extLst>
            <a:ext uri="{FF2B5EF4-FFF2-40B4-BE49-F238E27FC236}">
              <a16:creationId xmlns:a16="http://schemas.microsoft.com/office/drawing/2014/main" id="{00000000-0008-0000-0F00-00002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2" name="Text Box 41">
          <a:extLst>
            <a:ext uri="{FF2B5EF4-FFF2-40B4-BE49-F238E27FC236}">
              <a16:creationId xmlns:a16="http://schemas.microsoft.com/office/drawing/2014/main" id="{00000000-0008-0000-0F00-00002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3" name="Text Box 42">
          <a:extLst>
            <a:ext uri="{FF2B5EF4-FFF2-40B4-BE49-F238E27FC236}">
              <a16:creationId xmlns:a16="http://schemas.microsoft.com/office/drawing/2014/main" id="{00000000-0008-0000-0F00-00002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id="{00000000-0008-0000-0F00-00002C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00000000-0008-0000-0F00-00002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00000000-0008-0000-0F00-00002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7" name="Text Box 4">
          <a:extLst>
            <a:ext uri="{FF2B5EF4-FFF2-40B4-BE49-F238E27FC236}">
              <a16:creationId xmlns:a16="http://schemas.microsoft.com/office/drawing/2014/main" id="{00000000-0008-0000-0F00-00002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8" name="Text Box 5">
          <a:extLst>
            <a:ext uri="{FF2B5EF4-FFF2-40B4-BE49-F238E27FC236}">
              <a16:creationId xmlns:a16="http://schemas.microsoft.com/office/drawing/2014/main" id="{00000000-0008-0000-0F00-00003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9" name="Text Box 6">
          <a:extLst>
            <a:ext uri="{FF2B5EF4-FFF2-40B4-BE49-F238E27FC236}">
              <a16:creationId xmlns:a16="http://schemas.microsoft.com/office/drawing/2014/main" id="{00000000-0008-0000-0F00-00003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0" name="Text Box 7">
          <a:extLst>
            <a:ext uri="{FF2B5EF4-FFF2-40B4-BE49-F238E27FC236}">
              <a16:creationId xmlns:a16="http://schemas.microsoft.com/office/drawing/2014/main" id="{00000000-0008-0000-0F00-00003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1" name="Text Box 8">
          <a:extLst>
            <a:ext uri="{FF2B5EF4-FFF2-40B4-BE49-F238E27FC236}">
              <a16:creationId xmlns:a16="http://schemas.microsoft.com/office/drawing/2014/main" id="{00000000-0008-0000-0F00-00003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2" name="Text Box 9">
          <a:extLst>
            <a:ext uri="{FF2B5EF4-FFF2-40B4-BE49-F238E27FC236}">
              <a16:creationId xmlns:a16="http://schemas.microsoft.com/office/drawing/2014/main" id="{00000000-0008-0000-0F00-00003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3" name="Text Box 10">
          <a:extLst>
            <a:ext uri="{FF2B5EF4-FFF2-40B4-BE49-F238E27FC236}">
              <a16:creationId xmlns:a16="http://schemas.microsoft.com/office/drawing/2014/main" id="{00000000-0008-0000-0F00-00003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4" name="Text Box 11">
          <a:extLst>
            <a:ext uri="{FF2B5EF4-FFF2-40B4-BE49-F238E27FC236}">
              <a16:creationId xmlns:a16="http://schemas.microsoft.com/office/drawing/2014/main" id="{00000000-0008-0000-0F00-00003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5" name="Text Box 12">
          <a:extLst>
            <a:ext uri="{FF2B5EF4-FFF2-40B4-BE49-F238E27FC236}">
              <a16:creationId xmlns:a16="http://schemas.microsoft.com/office/drawing/2014/main" id="{00000000-0008-0000-0F00-00003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6" name="Text Box 13">
          <a:extLst>
            <a:ext uri="{FF2B5EF4-FFF2-40B4-BE49-F238E27FC236}">
              <a16:creationId xmlns:a16="http://schemas.microsoft.com/office/drawing/2014/main" id="{00000000-0008-0000-0F00-00003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7" name="Text Box 14">
          <a:extLst>
            <a:ext uri="{FF2B5EF4-FFF2-40B4-BE49-F238E27FC236}">
              <a16:creationId xmlns:a16="http://schemas.microsoft.com/office/drawing/2014/main" id="{00000000-0008-0000-0F00-00003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8" name="Text Box 15">
          <a:extLst>
            <a:ext uri="{FF2B5EF4-FFF2-40B4-BE49-F238E27FC236}">
              <a16:creationId xmlns:a16="http://schemas.microsoft.com/office/drawing/2014/main" id="{00000000-0008-0000-0F00-00003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9" name="Text Box 16">
          <a:extLst>
            <a:ext uri="{FF2B5EF4-FFF2-40B4-BE49-F238E27FC236}">
              <a16:creationId xmlns:a16="http://schemas.microsoft.com/office/drawing/2014/main" id="{00000000-0008-0000-0F00-00003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0" name="Text Box 17">
          <a:extLst>
            <a:ext uri="{FF2B5EF4-FFF2-40B4-BE49-F238E27FC236}">
              <a16:creationId xmlns:a16="http://schemas.microsoft.com/office/drawing/2014/main" id="{00000000-0008-0000-0F00-00003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1" name="Text Box 18">
          <a:extLst>
            <a:ext uri="{FF2B5EF4-FFF2-40B4-BE49-F238E27FC236}">
              <a16:creationId xmlns:a16="http://schemas.microsoft.com/office/drawing/2014/main" id="{00000000-0008-0000-0F00-00003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2" name="Text Box 19">
          <a:extLst>
            <a:ext uri="{FF2B5EF4-FFF2-40B4-BE49-F238E27FC236}">
              <a16:creationId xmlns:a16="http://schemas.microsoft.com/office/drawing/2014/main" id="{00000000-0008-0000-0F00-00003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3" name="Text Box 20">
          <a:extLst>
            <a:ext uri="{FF2B5EF4-FFF2-40B4-BE49-F238E27FC236}">
              <a16:creationId xmlns:a16="http://schemas.microsoft.com/office/drawing/2014/main" id="{00000000-0008-0000-0F00-00003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4" name="Text Box 21">
          <a:extLst>
            <a:ext uri="{FF2B5EF4-FFF2-40B4-BE49-F238E27FC236}">
              <a16:creationId xmlns:a16="http://schemas.microsoft.com/office/drawing/2014/main" id="{00000000-0008-0000-0F00-00004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5" name="Text Box 22">
          <a:extLst>
            <a:ext uri="{FF2B5EF4-FFF2-40B4-BE49-F238E27FC236}">
              <a16:creationId xmlns:a16="http://schemas.microsoft.com/office/drawing/2014/main" id="{00000000-0008-0000-0F00-00004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6" name="Text Box 23">
          <a:extLst>
            <a:ext uri="{FF2B5EF4-FFF2-40B4-BE49-F238E27FC236}">
              <a16:creationId xmlns:a16="http://schemas.microsoft.com/office/drawing/2014/main" id="{00000000-0008-0000-0F00-00004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7" name="Text Box 24">
          <a:extLst>
            <a:ext uri="{FF2B5EF4-FFF2-40B4-BE49-F238E27FC236}">
              <a16:creationId xmlns:a16="http://schemas.microsoft.com/office/drawing/2014/main" id="{00000000-0008-0000-0F00-00004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8" name="Text Box 25">
          <a:extLst>
            <a:ext uri="{FF2B5EF4-FFF2-40B4-BE49-F238E27FC236}">
              <a16:creationId xmlns:a16="http://schemas.microsoft.com/office/drawing/2014/main" id="{00000000-0008-0000-0F00-00004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9" name="Text Box 26">
          <a:extLst>
            <a:ext uri="{FF2B5EF4-FFF2-40B4-BE49-F238E27FC236}">
              <a16:creationId xmlns:a16="http://schemas.microsoft.com/office/drawing/2014/main" id="{00000000-0008-0000-0F00-00004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0" name="Text Box 27">
          <a:extLst>
            <a:ext uri="{FF2B5EF4-FFF2-40B4-BE49-F238E27FC236}">
              <a16:creationId xmlns:a16="http://schemas.microsoft.com/office/drawing/2014/main" id="{00000000-0008-0000-0F00-00004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1" name="Text Box 28">
          <a:extLst>
            <a:ext uri="{FF2B5EF4-FFF2-40B4-BE49-F238E27FC236}">
              <a16:creationId xmlns:a16="http://schemas.microsoft.com/office/drawing/2014/main" id="{00000000-0008-0000-0F00-00004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2" name="Text Box 29">
          <a:extLst>
            <a:ext uri="{FF2B5EF4-FFF2-40B4-BE49-F238E27FC236}">
              <a16:creationId xmlns:a16="http://schemas.microsoft.com/office/drawing/2014/main" id="{00000000-0008-0000-0F00-00004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3" name="Text Box 30">
          <a:extLst>
            <a:ext uri="{FF2B5EF4-FFF2-40B4-BE49-F238E27FC236}">
              <a16:creationId xmlns:a16="http://schemas.microsoft.com/office/drawing/2014/main" id="{00000000-0008-0000-0F00-00004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4" name="Text Box 31">
          <a:extLst>
            <a:ext uri="{FF2B5EF4-FFF2-40B4-BE49-F238E27FC236}">
              <a16:creationId xmlns:a16="http://schemas.microsoft.com/office/drawing/2014/main" id="{00000000-0008-0000-0F00-00004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5" name="Text Box 32">
          <a:extLst>
            <a:ext uri="{FF2B5EF4-FFF2-40B4-BE49-F238E27FC236}">
              <a16:creationId xmlns:a16="http://schemas.microsoft.com/office/drawing/2014/main" id="{00000000-0008-0000-0F00-00004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6" name="Text Box 33">
          <a:extLst>
            <a:ext uri="{FF2B5EF4-FFF2-40B4-BE49-F238E27FC236}">
              <a16:creationId xmlns:a16="http://schemas.microsoft.com/office/drawing/2014/main" id="{00000000-0008-0000-0F00-00004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7" name="Text Box 34">
          <a:extLst>
            <a:ext uri="{FF2B5EF4-FFF2-40B4-BE49-F238E27FC236}">
              <a16:creationId xmlns:a16="http://schemas.microsoft.com/office/drawing/2014/main" id="{00000000-0008-0000-0F00-00004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8" name="Text Box 35">
          <a:extLst>
            <a:ext uri="{FF2B5EF4-FFF2-40B4-BE49-F238E27FC236}">
              <a16:creationId xmlns:a16="http://schemas.microsoft.com/office/drawing/2014/main" id="{00000000-0008-0000-0F00-00004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9" name="Text Box 36">
          <a:extLst>
            <a:ext uri="{FF2B5EF4-FFF2-40B4-BE49-F238E27FC236}">
              <a16:creationId xmlns:a16="http://schemas.microsoft.com/office/drawing/2014/main" id="{00000000-0008-0000-0F00-00004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0" name="Text Box 37">
          <a:extLst>
            <a:ext uri="{FF2B5EF4-FFF2-40B4-BE49-F238E27FC236}">
              <a16:creationId xmlns:a16="http://schemas.microsoft.com/office/drawing/2014/main" id="{00000000-0008-0000-0F00-00005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1" name="Text Box 38">
          <a:extLst>
            <a:ext uri="{FF2B5EF4-FFF2-40B4-BE49-F238E27FC236}">
              <a16:creationId xmlns:a16="http://schemas.microsoft.com/office/drawing/2014/main" id="{00000000-0008-0000-0F00-000051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2" name="Text Box 39">
          <a:extLst>
            <a:ext uri="{FF2B5EF4-FFF2-40B4-BE49-F238E27FC236}">
              <a16:creationId xmlns:a16="http://schemas.microsoft.com/office/drawing/2014/main" id="{00000000-0008-0000-0F00-00005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3" name="Text Box 40">
          <a:extLst>
            <a:ext uri="{FF2B5EF4-FFF2-40B4-BE49-F238E27FC236}">
              <a16:creationId xmlns:a16="http://schemas.microsoft.com/office/drawing/2014/main" id="{00000000-0008-0000-0F00-00005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4" name="Text Box 41">
          <a:extLst>
            <a:ext uri="{FF2B5EF4-FFF2-40B4-BE49-F238E27FC236}">
              <a16:creationId xmlns:a16="http://schemas.microsoft.com/office/drawing/2014/main" id="{00000000-0008-0000-0F00-00005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5" name="Text Box 42">
          <a:extLst>
            <a:ext uri="{FF2B5EF4-FFF2-40B4-BE49-F238E27FC236}">
              <a16:creationId xmlns:a16="http://schemas.microsoft.com/office/drawing/2014/main" id="{00000000-0008-0000-0F00-00005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6" name="Text Box 1">
          <a:extLst>
            <a:ext uri="{FF2B5EF4-FFF2-40B4-BE49-F238E27FC236}">
              <a16:creationId xmlns:a16="http://schemas.microsoft.com/office/drawing/2014/main" id="{00000000-0008-0000-0F00-000056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7" name="Text Box 2">
          <a:extLst>
            <a:ext uri="{FF2B5EF4-FFF2-40B4-BE49-F238E27FC236}">
              <a16:creationId xmlns:a16="http://schemas.microsoft.com/office/drawing/2014/main" id="{00000000-0008-0000-0F00-00005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8" name="Text Box 3">
          <a:extLst>
            <a:ext uri="{FF2B5EF4-FFF2-40B4-BE49-F238E27FC236}">
              <a16:creationId xmlns:a16="http://schemas.microsoft.com/office/drawing/2014/main" id="{00000000-0008-0000-0F00-00005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9" name="Text Box 4">
          <a:extLst>
            <a:ext uri="{FF2B5EF4-FFF2-40B4-BE49-F238E27FC236}">
              <a16:creationId xmlns:a16="http://schemas.microsoft.com/office/drawing/2014/main" id="{00000000-0008-0000-0F00-00005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0" name="Text Box 5">
          <a:extLst>
            <a:ext uri="{FF2B5EF4-FFF2-40B4-BE49-F238E27FC236}">
              <a16:creationId xmlns:a16="http://schemas.microsoft.com/office/drawing/2014/main" id="{00000000-0008-0000-0F00-00005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1" name="Text Box 6">
          <a:extLst>
            <a:ext uri="{FF2B5EF4-FFF2-40B4-BE49-F238E27FC236}">
              <a16:creationId xmlns:a16="http://schemas.microsoft.com/office/drawing/2014/main" id="{00000000-0008-0000-0F00-00005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2" name="Text Box 7">
          <a:extLst>
            <a:ext uri="{FF2B5EF4-FFF2-40B4-BE49-F238E27FC236}">
              <a16:creationId xmlns:a16="http://schemas.microsoft.com/office/drawing/2014/main" id="{00000000-0008-0000-0F00-00005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3" name="Text Box 8">
          <a:extLst>
            <a:ext uri="{FF2B5EF4-FFF2-40B4-BE49-F238E27FC236}">
              <a16:creationId xmlns:a16="http://schemas.microsoft.com/office/drawing/2014/main" id="{00000000-0008-0000-0F00-00005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4" name="Text Box 9">
          <a:extLst>
            <a:ext uri="{FF2B5EF4-FFF2-40B4-BE49-F238E27FC236}">
              <a16:creationId xmlns:a16="http://schemas.microsoft.com/office/drawing/2014/main" id="{00000000-0008-0000-0F00-00005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5" name="Text Box 10">
          <a:extLst>
            <a:ext uri="{FF2B5EF4-FFF2-40B4-BE49-F238E27FC236}">
              <a16:creationId xmlns:a16="http://schemas.microsoft.com/office/drawing/2014/main" id="{00000000-0008-0000-0F00-00005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6" name="Text Box 11">
          <a:extLst>
            <a:ext uri="{FF2B5EF4-FFF2-40B4-BE49-F238E27FC236}">
              <a16:creationId xmlns:a16="http://schemas.microsoft.com/office/drawing/2014/main" id="{00000000-0008-0000-0F00-00006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7" name="Text Box 12">
          <a:extLst>
            <a:ext uri="{FF2B5EF4-FFF2-40B4-BE49-F238E27FC236}">
              <a16:creationId xmlns:a16="http://schemas.microsoft.com/office/drawing/2014/main" id="{00000000-0008-0000-0F00-00006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8" name="Text Box 13">
          <a:extLst>
            <a:ext uri="{FF2B5EF4-FFF2-40B4-BE49-F238E27FC236}">
              <a16:creationId xmlns:a16="http://schemas.microsoft.com/office/drawing/2014/main" id="{00000000-0008-0000-0F00-00006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9" name="Text Box 14">
          <a:extLst>
            <a:ext uri="{FF2B5EF4-FFF2-40B4-BE49-F238E27FC236}">
              <a16:creationId xmlns:a16="http://schemas.microsoft.com/office/drawing/2014/main" id="{00000000-0008-0000-0F00-00006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0" name="Text Box 15">
          <a:extLst>
            <a:ext uri="{FF2B5EF4-FFF2-40B4-BE49-F238E27FC236}">
              <a16:creationId xmlns:a16="http://schemas.microsoft.com/office/drawing/2014/main" id="{00000000-0008-0000-0F00-00006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1" name="Text Box 16">
          <a:extLst>
            <a:ext uri="{FF2B5EF4-FFF2-40B4-BE49-F238E27FC236}">
              <a16:creationId xmlns:a16="http://schemas.microsoft.com/office/drawing/2014/main" id="{00000000-0008-0000-0F00-00006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2" name="Text Box 17">
          <a:extLst>
            <a:ext uri="{FF2B5EF4-FFF2-40B4-BE49-F238E27FC236}">
              <a16:creationId xmlns:a16="http://schemas.microsoft.com/office/drawing/2014/main" id="{00000000-0008-0000-0F00-00006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3" name="Text Box 18">
          <a:extLst>
            <a:ext uri="{FF2B5EF4-FFF2-40B4-BE49-F238E27FC236}">
              <a16:creationId xmlns:a16="http://schemas.microsoft.com/office/drawing/2014/main" id="{00000000-0008-0000-0F00-00006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4" name="Text Box 19">
          <a:extLst>
            <a:ext uri="{FF2B5EF4-FFF2-40B4-BE49-F238E27FC236}">
              <a16:creationId xmlns:a16="http://schemas.microsoft.com/office/drawing/2014/main" id="{00000000-0008-0000-0F00-00006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5" name="Text Box 20">
          <a:extLst>
            <a:ext uri="{FF2B5EF4-FFF2-40B4-BE49-F238E27FC236}">
              <a16:creationId xmlns:a16="http://schemas.microsoft.com/office/drawing/2014/main" id="{00000000-0008-0000-0F00-00006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6" name="Text Box 21">
          <a:extLst>
            <a:ext uri="{FF2B5EF4-FFF2-40B4-BE49-F238E27FC236}">
              <a16:creationId xmlns:a16="http://schemas.microsoft.com/office/drawing/2014/main" id="{00000000-0008-0000-0F00-00006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7" name="Text Box 22">
          <a:extLst>
            <a:ext uri="{FF2B5EF4-FFF2-40B4-BE49-F238E27FC236}">
              <a16:creationId xmlns:a16="http://schemas.microsoft.com/office/drawing/2014/main" id="{00000000-0008-0000-0F00-00006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8" name="Text Box 23">
          <a:extLst>
            <a:ext uri="{FF2B5EF4-FFF2-40B4-BE49-F238E27FC236}">
              <a16:creationId xmlns:a16="http://schemas.microsoft.com/office/drawing/2014/main" id="{00000000-0008-0000-0F00-00006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9" name="Text Box 24">
          <a:extLst>
            <a:ext uri="{FF2B5EF4-FFF2-40B4-BE49-F238E27FC236}">
              <a16:creationId xmlns:a16="http://schemas.microsoft.com/office/drawing/2014/main" id="{00000000-0008-0000-0F00-00006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0" name="Text Box 25">
          <a:extLst>
            <a:ext uri="{FF2B5EF4-FFF2-40B4-BE49-F238E27FC236}">
              <a16:creationId xmlns:a16="http://schemas.microsoft.com/office/drawing/2014/main" id="{00000000-0008-0000-0F00-00006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1" name="Text Box 26">
          <a:extLst>
            <a:ext uri="{FF2B5EF4-FFF2-40B4-BE49-F238E27FC236}">
              <a16:creationId xmlns:a16="http://schemas.microsoft.com/office/drawing/2014/main" id="{00000000-0008-0000-0F00-00006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2" name="Text Box 27">
          <a:extLst>
            <a:ext uri="{FF2B5EF4-FFF2-40B4-BE49-F238E27FC236}">
              <a16:creationId xmlns:a16="http://schemas.microsoft.com/office/drawing/2014/main" id="{00000000-0008-0000-0F00-00007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3" name="Text Box 28">
          <a:extLst>
            <a:ext uri="{FF2B5EF4-FFF2-40B4-BE49-F238E27FC236}">
              <a16:creationId xmlns:a16="http://schemas.microsoft.com/office/drawing/2014/main" id="{00000000-0008-0000-0F00-00007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4" name="Text Box 29">
          <a:extLst>
            <a:ext uri="{FF2B5EF4-FFF2-40B4-BE49-F238E27FC236}">
              <a16:creationId xmlns:a16="http://schemas.microsoft.com/office/drawing/2014/main" id="{00000000-0008-0000-0F00-00007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5" name="Text Box 30">
          <a:extLst>
            <a:ext uri="{FF2B5EF4-FFF2-40B4-BE49-F238E27FC236}">
              <a16:creationId xmlns:a16="http://schemas.microsoft.com/office/drawing/2014/main" id="{00000000-0008-0000-0F00-00007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6" name="Text Box 31">
          <a:extLst>
            <a:ext uri="{FF2B5EF4-FFF2-40B4-BE49-F238E27FC236}">
              <a16:creationId xmlns:a16="http://schemas.microsoft.com/office/drawing/2014/main" id="{00000000-0008-0000-0F00-00007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7" name="Text Box 32">
          <a:extLst>
            <a:ext uri="{FF2B5EF4-FFF2-40B4-BE49-F238E27FC236}">
              <a16:creationId xmlns:a16="http://schemas.microsoft.com/office/drawing/2014/main" id="{00000000-0008-0000-0F00-00007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8" name="Text Box 33">
          <a:extLst>
            <a:ext uri="{FF2B5EF4-FFF2-40B4-BE49-F238E27FC236}">
              <a16:creationId xmlns:a16="http://schemas.microsoft.com/office/drawing/2014/main" id="{00000000-0008-0000-0F00-00007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9" name="Text Box 34">
          <a:extLst>
            <a:ext uri="{FF2B5EF4-FFF2-40B4-BE49-F238E27FC236}">
              <a16:creationId xmlns:a16="http://schemas.microsoft.com/office/drawing/2014/main" id="{00000000-0008-0000-0F00-00007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0" name="Text Box 35">
          <a:extLst>
            <a:ext uri="{FF2B5EF4-FFF2-40B4-BE49-F238E27FC236}">
              <a16:creationId xmlns:a16="http://schemas.microsoft.com/office/drawing/2014/main" id="{00000000-0008-0000-0F00-00007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1" name="Text Box 36">
          <a:extLst>
            <a:ext uri="{FF2B5EF4-FFF2-40B4-BE49-F238E27FC236}">
              <a16:creationId xmlns:a16="http://schemas.microsoft.com/office/drawing/2014/main" id="{00000000-0008-0000-0F00-00007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2" name="Text Box 37">
          <a:extLst>
            <a:ext uri="{FF2B5EF4-FFF2-40B4-BE49-F238E27FC236}">
              <a16:creationId xmlns:a16="http://schemas.microsoft.com/office/drawing/2014/main" id="{00000000-0008-0000-0F00-00007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23" name="Text Box 38">
          <a:extLst>
            <a:ext uri="{FF2B5EF4-FFF2-40B4-BE49-F238E27FC236}">
              <a16:creationId xmlns:a16="http://schemas.microsoft.com/office/drawing/2014/main" id="{00000000-0008-0000-0F00-00007B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4" name="Text Box 39">
          <a:extLst>
            <a:ext uri="{FF2B5EF4-FFF2-40B4-BE49-F238E27FC236}">
              <a16:creationId xmlns:a16="http://schemas.microsoft.com/office/drawing/2014/main" id="{00000000-0008-0000-0F00-00007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5" name="Text Box 40">
          <a:extLst>
            <a:ext uri="{FF2B5EF4-FFF2-40B4-BE49-F238E27FC236}">
              <a16:creationId xmlns:a16="http://schemas.microsoft.com/office/drawing/2014/main" id="{00000000-0008-0000-0F00-00007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6" name="Text Box 41">
          <a:extLst>
            <a:ext uri="{FF2B5EF4-FFF2-40B4-BE49-F238E27FC236}">
              <a16:creationId xmlns:a16="http://schemas.microsoft.com/office/drawing/2014/main" id="{00000000-0008-0000-0F00-00007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7" name="Text Box 42">
          <a:extLst>
            <a:ext uri="{FF2B5EF4-FFF2-40B4-BE49-F238E27FC236}">
              <a16:creationId xmlns:a16="http://schemas.microsoft.com/office/drawing/2014/main" id="{00000000-0008-0000-0F00-00007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" name="Text Box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" name="Text Box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" name="Text Box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5" name="Text Box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6" name="Text Box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7" name="Text Box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8" name="Text Box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9" name="Text Box 28">
          <a:extLst>
            <a:ext uri="{FF2B5EF4-FFF2-40B4-BE49-F238E27FC236}">
              <a16:creationId xmlns:a16="http://schemas.microsoft.com/office/drawing/2014/main" id="{00000000-0008-0000-1000-00001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0" name="Text Box 29">
          <a:extLst>
            <a:ext uri="{FF2B5EF4-FFF2-40B4-BE49-F238E27FC236}">
              <a16:creationId xmlns:a16="http://schemas.microsoft.com/office/drawing/2014/main" id="{00000000-0008-0000-1000-00001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1" name="Text Box 30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2" name="Text Box 31">
          <a:extLst>
            <a:ext uri="{FF2B5EF4-FFF2-40B4-BE49-F238E27FC236}">
              <a16:creationId xmlns:a16="http://schemas.microsoft.com/office/drawing/2014/main" id="{00000000-0008-0000-1000-00002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3" name="Text Box 32">
          <a:extLst>
            <a:ext uri="{FF2B5EF4-FFF2-40B4-BE49-F238E27FC236}">
              <a16:creationId xmlns:a16="http://schemas.microsoft.com/office/drawing/2014/main" id="{00000000-0008-0000-1000-00002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4" name="Text Box 33">
          <a:extLst>
            <a:ext uri="{FF2B5EF4-FFF2-40B4-BE49-F238E27FC236}">
              <a16:creationId xmlns:a16="http://schemas.microsoft.com/office/drawing/2014/main" id="{00000000-0008-0000-1000-00002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5" name="Text Box 34">
          <a:extLst>
            <a:ext uri="{FF2B5EF4-FFF2-40B4-BE49-F238E27FC236}">
              <a16:creationId xmlns:a16="http://schemas.microsoft.com/office/drawing/2014/main" id="{00000000-0008-0000-1000-00002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6" name="Text Box 35">
          <a:extLst>
            <a:ext uri="{FF2B5EF4-FFF2-40B4-BE49-F238E27FC236}">
              <a16:creationId xmlns:a16="http://schemas.microsoft.com/office/drawing/2014/main" id="{00000000-0008-0000-1000-00002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7" name="Text Box 36">
          <a:extLst>
            <a:ext uri="{FF2B5EF4-FFF2-40B4-BE49-F238E27FC236}">
              <a16:creationId xmlns:a16="http://schemas.microsoft.com/office/drawing/2014/main" id="{00000000-0008-0000-1000-00002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8" name="Text Box 37">
          <a:extLst>
            <a:ext uri="{FF2B5EF4-FFF2-40B4-BE49-F238E27FC236}">
              <a16:creationId xmlns:a16="http://schemas.microsoft.com/office/drawing/2014/main" id="{00000000-0008-0000-1000-00002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39" name="Text Box 38">
          <a:extLst>
            <a:ext uri="{FF2B5EF4-FFF2-40B4-BE49-F238E27FC236}">
              <a16:creationId xmlns:a16="http://schemas.microsoft.com/office/drawing/2014/main" id="{00000000-0008-0000-1000-000027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0" name="Text Box 39">
          <a:extLst>
            <a:ext uri="{FF2B5EF4-FFF2-40B4-BE49-F238E27FC236}">
              <a16:creationId xmlns:a16="http://schemas.microsoft.com/office/drawing/2014/main" id="{00000000-0008-0000-1000-00002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1" name="Text Box 40">
          <a:extLst>
            <a:ext uri="{FF2B5EF4-FFF2-40B4-BE49-F238E27FC236}">
              <a16:creationId xmlns:a16="http://schemas.microsoft.com/office/drawing/2014/main" id="{00000000-0008-0000-1000-00002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2" name="Text Box 41">
          <a:extLst>
            <a:ext uri="{FF2B5EF4-FFF2-40B4-BE49-F238E27FC236}">
              <a16:creationId xmlns:a16="http://schemas.microsoft.com/office/drawing/2014/main" id="{00000000-0008-0000-1000-00002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3" name="Text Box 42">
          <a:extLst>
            <a:ext uri="{FF2B5EF4-FFF2-40B4-BE49-F238E27FC236}">
              <a16:creationId xmlns:a16="http://schemas.microsoft.com/office/drawing/2014/main" id="{00000000-0008-0000-1000-00002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id="{00000000-0008-0000-1000-00002C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00000000-0008-0000-1000-00002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00000000-0008-0000-1000-00002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7" name="Text Box 4">
          <a:extLst>
            <a:ext uri="{FF2B5EF4-FFF2-40B4-BE49-F238E27FC236}">
              <a16:creationId xmlns:a16="http://schemas.microsoft.com/office/drawing/2014/main" id="{00000000-0008-0000-1000-00002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8" name="Text Box 5">
          <a:extLst>
            <a:ext uri="{FF2B5EF4-FFF2-40B4-BE49-F238E27FC236}">
              <a16:creationId xmlns:a16="http://schemas.microsoft.com/office/drawing/2014/main" id="{00000000-0008-0000-1000-00003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9" name="Text Box 6">
          <a:extLst>
            <a:ext uri="{FF2B5EF4-FFF2-40B4-BE49-F238E27FC236}">
              <a16:creationId xmlns:a16="http://schemas.microsoft.com/office/drawing/2014/main" id="{00000000-0008-0000-1000-00003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0" name="Text Box 7">
          <a:extLst>
            <a:ext uri="{FF2B5EF4-FFF2-40B4-BE49-F238E27FC236}">
              <a16:creationId xmlns:a16="http://schemas.microsoft.com/office/drawing/2014/main" id="{00000000-0008-0000-1000-00003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1" name="Text Box 8">
          <a:extLst>
            <a:ext uri="{FF2B5EF4-FFF2-40B4-BE49-F238E27FC236}">
              <a16:creationId xmlns:a16="http://schemas.microsoft.com/office/drawing/2014/main" id="{00000000-0008-0000-1000-00003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2" name="Text Box 9">
          <a:extLst>
            <a:ext uri="{FF2B5EF4-FFF2-40B4-BE49-F238E27FC236}">
              <a16:creationId xmlns:a16="http://schemas.microsoft.com/office/drawing/2014/main" id="{00000000-0008-0000-1000-00003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3" name="Text Box 10">
          <a:extLst>
            <a:ext uri="{FF2B5EF4-FFF2-40B4-BE49-F238E27FC236}">
              <a16:creationId xmlns:a16="http://schemas.microsoft.com/office/drawing/2014/main" id="{00000000-0008-0000-1000-00003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4" name="Text Box 11">
          <a:extLst>
            <a:ext uri="{FF2B5EF4-FFF2-40B4-BE49-F238E27FC236}">
              <a16:creationId xmlns:a16="http://schemas.microsoft.com/office/drawing/2014/main" id="{00000000-0008-0000-1000-00003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5" name="Text Box 12">
          <a:extLst>
            <a:ext uri="{FF2B5EF4-FFF2-40B4-BE49-F238E27FC236}">
              <a16:creationId xmlns:a16="http://schemas.microsoft.com/office/drawing/2014/main" id="{00000000-0008-0000-1000-00003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6" name="Text Box 13">
          <a:extLst>
            <a:ext uri="{FF2B5EF4-FFF2-40B4-BE49-F238E27FC236}">
              <a16:creationId xmlns:a16="http://schemas.microsoft.com/office/drawing/2014/main" id="{00000000-0008-0000-1000-00003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7" name="Text Box 14">
          <a:extLst>
            <a:ext uri="{FF2B5EF4-FFF2-40B4-BE49-F238E27FC236}">
              <a16:creationId xmlns:a16="http://schemas.microsoft.com/office/drawing/2014/main" id="{00000000-0008-0000-1000-00003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8" name="Text Box 15">
          <a:extLst>
            <a:ext uri="{FF2B5EF4-FFF2-40B4-BE49-F238E27FC236}">
              <a16:creationId xmlns:a16="http://schemas.microsoft.com/office/drawing/2014/main" id="{00000000-0008-0000-1000-00003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9" name="Text Box 16">
          <a:extLst>
            <a:ext uri="{FF2B5EF4-FFF2-40B4-BE49-F238E27FC236}">
              <a16:creationId xmlns:a16="http://schemas.microsoft.com/office/drawing/2014/main" id="{00000000-0008-0000-1000-00003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0" name="Text Box 17">
          <a:extLst>
            <a:ext uri="{FF2B5EF4-FFF2-40B4-BE49-F238E27FC236}">
              <a16:creationId xmlns:a16="http://schemas.microsoft.com/office/drawing/2014/main" id="{00000000-0008-0000-1000-00003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1" name="Text Box 18">
          <a:extLst>
            <a:ext uri="{FF2B5EF4-FFF2-40B4-BE49-F238E27FC236}">
              <a16:creationId xmlns:a16="http://schemas.microsoft.com/office/drawing/2014/main" id="{00000000-0008-0000-1000-00003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2" name="Text Box 19">
          <a:extLst>
            <a:ext uri="{FF2B5EF4-FFF2-40B4-BE49-F238E27FC236}">
              <a16:creationId xmlns:a16="http://schemas.microsoft.com/office/drawing/2014/main" id="{00000000-0008-0000-1000-00003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3" name="Text Box 20">
          <a:extLst>
            <a:ext uri="{FF2B5EF4-FFF2-40B4-BE49-F238E27FC236}">
              <a16:creationId xmlns:a16="http://schemas.microsoft.com/office/drawing/2014/main" id="{00000000-0008-0000-1000-00003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4" name="Text Box 21">
          <a:extLst>
            <a:ext uri="{FF2B5EF4-FFF2-40B4-BE49-F238E27FC236}">
              <a16:creationId xmlns:a16="http://schemas.microsoft.com/office/drawing/2014/main" id="{00000000-0008-0000-1000-00004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5" name="Text Box 22">
          <a:extLst>
            <a:ext uri="{FF2B5EF4-FFF2-40B4-BE49-F238E27FC236}">
              <a16:creationId xmlns:a16="http://schemas.microsoft.com/office/drawing/2014/main" id="{00000000-0008-0000-1000-00004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6" name="Text Box 23">
          <a:extLst>
            <a:ext uri="{FF2B5EF4-FFF2-40B4-BE49-F238E27FC236}">
              <a16:creationId xmlns:a16="http://schemas.microsoft.com/office/drawing/2014/main" id="{00000000-0008-0000-1000-00004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7" name="Text Box 24">
          <a:extLst>
            <a:ext uri="{FF2B5EF4-FFF2-40B4-BE49-F238E27FC236}">
              <a16:creationId xmlns:a16="http://schemas.microsoft.com/office/drawing/2014/main" id="{00000000-0008-0000-1000-00004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8" name="Text Box 25">
          <a:extLst>
            <a:ext uri="{FF2B5EF4-FFF2-40B4-BE49-F238E27FC236}">
              <a16:creationId xmlns:a16="http://schemas.microsoft.com/office/drawing/2014/main" id="{00000000-0008-0000-1000-00004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9" name="Text Box 26">
          <a:extLst>
            <a:ext uri="{FF2B5EF4-FFF2-40B4-BE49-F238E27FC236}">
              <a16:creationId xmlns:a16="http://schemas.microsoft.com/office/drawing/2014/main" id="{00000000-0008-0000-1000-00004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0" name="Text Box 27">
          <a:extLst>
            <a:ext uri="{FF2B5EF4-FFF2-40B4-BE49-F238E27FC236}">
              <a16:creationId xmlns:a16="http://schemas.microsoft.com/office/drawing/2014/main" id="{00000000-0008-0000-1000-00004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1" name="Text Box 28">
          <a:extLst>
            <a:ext uri="{FF2B5EF4-FFF2-40B4-BE49-F238E27FC236}">
              <a16:creationId xmlns:a16="http://schemas.microsoft.com/office/drawing/2014/main" id="{00000000-0008-0000-1000-00004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2" name="Text Box 29">
          <a:extLst>
            <a:ext uri="{FF2B5EF4-FFF2-40B4-BE49-F238E27FC236}">
              <a16:creationId xmlns:a16="http://schemas.microsoft.com/office/drawing/2014/main" id="{00000000-0008-0000-1000-00004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3" name="Text Box 30">
          <a:extLst>
            <a:ext uri="{FF2B5EF4-FFF2-40B4-BE49-F238E27FC236}">
              <a16:creationId xmlns:a16="http://schemas.microsoft.com/office/drawing/2014/main" id="{00000000-0008-0000-1000-00004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4" name="Text Box 31">
          <a:extLst>
            <a:ext uri="{FF2B5EF4-FFF2-40B4-BE49-F238E27FC236}">
              <a16:creationId xmlns:a16="http://schemas.microsoft.com/office/drawing/2014/main" id="{00000000-0008-0000-1000-00004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5" name="Text Box 32">
          <a:extLst>
            <a:ext uri="{FF2B5EF4-FFF2-40B4-BE49-F238E27FC236}">
              <a16:creationId xmlns:a16="http://schemas.microsoft.com/office/drawing/2014/main" id="{00000000-0008-0000-1000-00004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6" name="Text Box 33">
          <a:extLst>
            <a:ext uri="{FF2B5EF4-FFF2-40B4-BE49-F238E27FC236}">
              <a16:creationId xmlns:a16="http://schemas.microsoft.com/office/drawing/2014/main" id="{00000000-0008-0000-1000-00004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7" name="Text Box 34">
          <a:extLst>
            <a:ext uri="{FF2B5EF4-FFF2-40B4-BE49-F238E27FC236}">
              <a16:creationId xmlns:a16="http://schemas.microsoft.com/office/drawing/2014/main" id="{00000000-0008-0000-1000-00004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8" name="Text Box 35">
          <a:extLst>
            <a:ext uri="{FF2B5EF4-FFF2-40B4-BE49-F238E27FC236}">
              <a16:creationId xmlns:a16="http://schemas.microsoft.com/office/drawing/2014/main" id="{00000000-0008-0000-1000-00004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9" name="Text Box 36">
          <a:extLst>
            <a:ext uri="{FF2B5EF4-FFF2-40B4-BE49-F238E27FC236}">
              <a16:creationId xmlns:a16="http://schemas.microsoft.com/office/drawing/2014/main" id="{00000000-0008-0000-1000-00004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0" name="Text Box 37">
          <a:extLst>
            <a:ext uri="{FF2B5EF4-FFF2-40B4-BE49-F238E27FC236}">
              <a16:creationId xmlns:a16="http://schemas.microsoft.com/office/drawing/2014/main" id="{00000000-0008-0000-1000-00005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1" name="Text Box 38">
          <a:extLst>
            <a:ext uri="{FF2B5EF4-FFF2-40B4-BE49-F238E27FC236}">
              <a16:creationId xmlns:a16="http://schemas.microsoft.com/office/drawing/2014/main" id="{00000000-0008-0000-1000-000051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2" name="Text Box 39">
          <a:extLst>
            <a:ext uri="{FF2B5EF4-FFF2-40B4-BE49-F238E27FC236}">
              <a16:creationId xmlns:a16="http://schemas.microsoft.com/office/drawing/2014/main" id="{00000000-0008-0000-1000-00005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3" name="Text Box 40">
          <a:extLst>
            <a:ext uri="{FF2B5EF4-FFF2-40B4-BE49-F238E27FC236}">
              <a16:creationId xmlns:a16="http://schemas.microsoft.com/office/drawing/2014/main" id="{00000000-0008-0000-1000-00005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4" name="Text Box 41">
          <a:extLst>
            <a:ext uri="{FF2B5EF4-FFF2-40B4-BE49-F238E27FC236}">
              <a16:creationId xmlns:a16="http://schemas.microsoft.com/office/drawing/2014/main" id="{00000000-0008-0000-1000-00005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5" name="Text Box 42">
          <a:extLst>
            <a:ext uri="{FF2B5EF4-FFF2-40B4-BE49-F238E27FC236}">
              <a16:creationId xmlns:a16="http://schemas.microsoft.com/office/drawing/2014/main" id="{00000000-0008-0000-1000-00005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6" name="Text Box 1">
          <a:extLst>
            <a:ext uri="{FF2B5EF4-FFF2-40B4-BE49-F238E27FC236}">
              <a16:creationId xmlns:a16="http://schemas.microsoft.com/office/drawing/2014/main" id="{00000000-0008-0000-1000-000056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7" name="Text Box 2">
          <a:extLst>
            <a:ext uri="{FF2B5EF4-FFF2-40B4-BE49-F238E27FC236}">
              <a16:creationId xmlns:a16="http://schemas.microsoft.com/office/drawing/2014/main" id="{00000000-0008-0000-1000-00005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8" name="Text Box 3">
          <a:extLst>
            <a:ext uri="{FF2B5EF4-FFF2-40B4-BE49-F238E27FC236}">
              <a16:creationId xmlns:a16="http://schemas.microsoft.com/office/drawing/2014/main" id="{00000000-0008-0000-1000-00005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9" name="Text Box 4">
          <a:extLst>
            <a:ext uri="{FF2B5EF4-FFF2-40B4-BE49-F238E27FC236}">
              <a16:creationId xmlns:a16="http://schemas.microsoft.com/office/drawing/2014/main" id="{00000000-0008-0000-1000-00005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0" name="Text Box 5">
          <a:extLst>
            <a:ext uri="{FF2B5EF4-FFF2-40B4-BE49-F238E27FC236}">
              <a16:creationId xmlns:a16="http://schemas.microsoft.com/office/drawing/2014/main" id="{00000000-0008-0000-1000-00005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1" name="Text Box 6">
          <a:extLst>
            <a:ext uri="{FF2B5EF4-FFF2-40B4-BE49-F238E27FC236}">
              <a16:creationId xmlns:a16="http://schemas.microsoft.com/office/drawing/2014/main" id="{00000000-0008-0000-1000-00005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2" name="Text Box 7">
          <a:extLst>
            <a:ext uri="{FF2B5EF4-FFF2-40B4-BE49-F238E27FC236}">
              <a16:creationId xmlns:a16="http://schemas.microsoft.com/office/drawing/2014/main" id="{00000000-0008-0000-1000-00005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3" name="Text Box 8">
          <a:extLst>
            <a:ext uri="{FF2B5EF4-FFF2-40B4-BE49-F238E27FC236}">
              <a16:creationId xmlns:a16="http://schemas.microsoft.com/office/drawing/2014/main" id="{00000000-0008-0000-1000-00005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4" name="Text Box 9">
          <a:extLst>
            <a:ext uri="{FF2B5EF4-FFF2-40B4-BE49-F238E27FC236}">
              <a16:creationId xmlns:a16="http://schemas.microsoft.com/office/drawing/2014/main" id="{00000000-0008-0000-1000-00005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5" name="Text Box 10">
          <a:extLst>
            <a:ext uri="{FF2B5EF4-FFF2-40B4-BE49-F238E27FC236}">
              <a16:creationId xmlns:a16="http://schemas.microsoft.com/office/drawing/2014/main" id="{00000000-0008-0000-1000-00005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6" name="Text Box 11">
          <a:extLst>
            <a:ext uri="{FF2B5EF4-FFF2-40B4-BE49-F238E27FC236}">
              <a16:creationId xmlns:a16="http://schemas.microsoft.com/office/drawing/2014/main" id="{00000000-0008-0000-1000-00006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7" name="Text Box 12">
          <a:extLst>
            <a:ext uri="{FF2B5EF4-FFF2-40B4-BE49-F238E27FC236}">
              <a16:creationId xmlns:a16="http://schemas.microsoft.com/office/drawing/2014/main" id="{00000000-0008-0000-1000-00006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8" name="Text Box 13">
          <a:extLst>
            <a:ext uri="{FF2B5EF4-FFF2-40B4-BE49-F238E27FC236}">
              <a16:creationId xmlns:a16="http://schemas.microsoft.com/office/drawing/2014/main" id="{00000000-0008-0000-1000-00006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9" name="Text Box 14">
          <a:extLst>
            <a:ext uri="{FF2B5EF4-FFF2-40B4-BE49-F238E27FC236}">
              <a16:creationId xmlns:a16="http://schemas.microsoft.com/office/drawing/2014/main" id="{00000000-0008-0000-1000-00006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0" name="Text Box 15">
          <a:extLst>
            <a:ext uri="{FF2B5EF4-FFF2-40B4-BE49-F238E27FC236}">
              <a16:creationId xmlns:a16="http://schemas.microsoft.com/office/drawing/2014/main" id="{00000000-0008-0000-1000-00006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1" name="Text Box 16">
          <a:extLst>
            <a:ext uri="{FF2B5EF4-FFF2-40B4-BE49-F238E27FC236}">
              <a16:creationId xmlns:a16="http://schemas.microsoft.com/office/drawing/2014/main" id="{00000000-0008-0000-1000-00006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2" name="Text Box 17">
          <a:extLst>
            <a:ext uri="{FF2B5EF4-FFF2-40B4-BE49-F238E27FC236}">
              <a16:creationId xmlns:a16="http://schemas.microsoft.com/office/drawing/2014/main" id="{00000000-0008-0000-1000-00006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3" name="Text Box 18">
          <a:extLst>
            <a:ext uri="{FF2B5EF4-FFF2-40B4-BE49-F238E27FC236}">
              <a16:creationId xmlns:a16="http://schemas.microsoft.com/office/drawing/2014/main" id="{00000000-0008-0000-1000-00006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4" name="Text Box 19">
          <a:extLst>
            <a:ext uri="{FF2B5EF4-FFF2-40B4-BE49-F238E27FC236}">
              <a16:creationId xmlns:a16="http://schemas.microsoft.com/office/drawing/2014/main" id="{00000000-0008-0000-1000-00006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5" name="Text Box 20">
          <a:extLst>
            <a:ext uri="{FF2B5EF4-FFF2-40B4-BE49-F238E27FC236}">
              <a16:creationId xmlns:a16="http://schemas.microsoft.com/office/drawing/2014/main" id="{00000000-0008-0000-1000-00006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6" name="Text Box 21">
          <a:extLst>
            <a:ext uri="{FF2B5EF4-FFF2-40B4-BE49-F238E27FC236}">
              <a16:creationId xmlns:a16="http://schemas.microsoft.com/office/drawing/2014/main" id="{00000000-0008-0000-1000-00006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7" name="Text Box 22">
          <a:extLst>
            <a:ext uri="{FF2B5EF4-FFF2-40B4-BE49-F238E27FC236}">
              <a16:creationId xmlns:a16="http://schemas.microsoft.com/office/drawing/2014/main" id="{00000000-0008-0000-1000-00006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8" name="Text Box 23">
          <a:extLst>
            <a:ext uri="{FF2B5EF4-FFF2-40B4-BE49-F238E27FC236}">
              <a16:creationId xmlns:a16="http://schemas.microsoft.com/office/drawing/2014/main" id="{00000000-0008-0000-1000-00006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9" name="Text Box 24">
          <a:extLst>
            <a:ext uri="{FF2B5EF4-FFF2-40B4-BE49-F238E27FC236}">
              <a16:creationId xmlns:a16="http://schemas.microsoft.com/office/drawing/2014/main" id="{00000000-0008-0000-1000-00006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0" name="Text Box 25">
          <a:extLst>
            <a:ext uri="{FF2B5EF4-FFF2-40B4-BE49-F238E27FC236}">
              <a16:creationId xmlns:a16="http://schemas.microsoft.com/office/drawing/2014/main" id="{00000000-0008-0000-1000-00006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1" name="Text Box 26">
          <a:extLst>
            <a:ext uri="{FF2B5EF4-FFF2-40B4-BE49-F238E27FC236}">
              <a16:creationId xmlns:a16="http://schemas.microsoft.com/office/drawing/2014/main" id="{00000000-0008-0000-1000-00006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2" name="Text Box 27">
          <a:extLst>
            <a:ext uri="{FF2B5EF4-FFF2-40B4-BE49-F238E27FC236}">
              <a16:creationId xmlns:a16="http://schemas.microsoft.com/office/drawing/2014/main" id="{00000000-0008-0000-1000-00007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3" name="Text Box 28">
          <a:extLst>
            <a:ext uri="{FF2B5EF4-FFF2-40B4-BE49-F238E27FC236}">
              <a16:creationId xmlns:a16="http://schemas.microsoft.com/office/drawing/2014/main" id="{00000000-0008-0000-1000-00007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4" name="Text Box 29">
          <a:extLst>
            <a:ext uri="{FF2B5EF4-FFF2-40B4-BE49-F238E27FC236}">
              <a16:creationId xmlns:a16="http://schemas.microsoft.com/office/drawing/2014/main" id="{00000000-0008-0000-1000-00007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5" name="Text Box 30">
          <a:extLst>
            <a:ext uri="{FF2B5EF4-FFF2-40B4-BE49-F238E27FC236}">
              <a16:creationId xmlns:a16="http://schemas.microsoft.com/office/drawing/2014/main" id="{00000000-0008-0000-1000-00007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6" name="Text Box 31">
          <a:extLst>
            <a:ext uri="{FF2B5EF4-FFF2-40B4-BE49-F238E27FC236}">
              <a16:creationId xmlns:a16="http://schemas.microsoft.com/office/drawing/2014/main" id="{00000000-0008-0000-1000-00007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7" name="Text Box 32">
          <a:extLst>
            <a:ext uri="{FF2B5EF4-FFF2-40B4-BE49-F238E27FC236}">
              <a16:creationId xmlns:a16="http://schemas.microsoft.com/office/drawing/2014/main" id="{00000000-0008-0000-1000-00007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8" name="Text Box 33">
          <a:extLst>
            <a:ext uri="{FF2B5EF4-FFF2-40B4-BE49-F238E27FC236}">
              <a16:creationId xmlns:a16="http://schemas.microsoft.com/office/drawing/2014/main" id="{00000000-0008-0000-1000-00007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9" name="Text Box 34">
          <a:extLst>
            <a:ext uri="{FF2B5EF4-FFF2-40B4-BE49-F238E27FC236}">
              <a16:creationId xmlns:a16="http://schemas.microsoft.com/office/drawing/2014/main" id="{00000000-0008-0000-1000-00007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0" name="Text Box 35">
          <a:extLst>
            <a:ext uri="{FF2B5EF4-FFF2-40B4-BE49-F238E27FC236}">
              <a16:creationId xmlns:a16="http://schemas.microsoft.com/office/drawing/2014/main" id="{00000000-0008-0000-1000-00007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1" name="Text Box 36">
          <a:extLst>
            <a:ext uri="{FF2B5EF4-FFF2-40B4-BE49-F238E27FC236}">
              <a16:creationId xmlns:a16="http://schemas.microsoft.com/office/drawing/2014/main" id="{00000000-0008-0000-1000-00007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2" name="Text Box 37">
          <a:extLst>
            <a:ext uri="{FF2B5EF4-FFF2-40B4-BE49-F238E27FC236}">
              <a16:creationId xmlns:a16="http://schemas.microsoft.com/office/drawing/2014/main" id="{00000000-0008-0000-1000-00007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23" name="Text Box 38">
          <a:extLst>
            <a:ext uri="{FF2B5EF4-FFF2-40B4-BE49-F238E27FC236}">
              <a16:creationId xmlns:a16="http://schemas.microsoft.com/office/drawing/2014/main" id="{00000000-0008-0000-1000-00007B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4" name="Text Box 39">
          <a:extLst>
            <a:ext uri="{FF2B5EF4-FFF2-40B4-BE49-F238E27FC236}">
              <a16:creationId xmlns:a16="http://schemas.microsoft.com/office/drawing/2014/main" id="{00000000-0008-0000-1000-00007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5" name="Text Box 40">
          <a:extLst>
            <a:ext uri="{FF2B5EF4-FFF2-40B4-BE49-F238E27FC236}">
              <a16:creationId xmlns:a16="http://schemas.microsoft.com/office/drawing/2014/main" id="{00000000-0008-0000-1000-00007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6" name="Text Box 41">
          <a:extLst>
            <a:ext uri="{FF2B5EF4-FFF2-40B4-BE49-F238E27FC236}">
              <a16:creationId xmlns:a16="http://schemas.microsoft.com/office/drawing/2014/main" id="{00000000-0008-0000-1000-00007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7" name="Text Box 42">
          <a:extLst>
            <a:ext uri="{FF2B5EF4-FFF2-40B4-BE49-F238E27FC236}">
              <a16:creationId xmlns:a16="http://schemas.microsoft.com/office/drawing/2014/main" id="{00000000-0008-0000-1000-00007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28" name="Text Box 1">
          <a:extLst>
            <a:ext uri="{FF2B5EF4-FFF2-40B4-BE49-F238E27FC236}">
              <a16:creationId xmlns:a16="http://schemas.microsoft.com/office/drawing/2014/main" id="{00000000-0008-0000-1000-000080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9" name="Text Box 2">
          <a:extLst>
            <a:ext uri="{FF2B5EF4-FFF2-40B4-BE49-F238E27FC236}">
              <a16:creationId xmlns:a16="http://schemas.microsoft.com/office/drawing/2014/main" id="{00000000-0008-0000-1000-00008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0" name="Text Box 3">
          <a:extLst>
            <a:ext uri="{FF2B5EF4-FFF2-40B4-BE49-F238E27FC236}">
              <a16:creationId xmlns:a16="http://schemas.microsoft.com/office/drawing/2014/main" id="{00000000-0008-0000-1000-00008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1" name="Text Box 4">
          <a:extLst>
            <a:ext uri="{FF2B5EF4-FFF2-40B4-BE49-F238E27FC236}">
              <a16:creationId xmlns:a16="http://schemas.microsoft.com/office/drawing/2014/main" id="{00000000-0008-0000-1000-00008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2" name="Text Box 5">
          <a:extLst>
            <a:ext uri="{FF2B5EF4-FFF2-40B4-BE49-F238E27FC236}">
              <a16:creationId xmlns:a16="http://schemas.microsoft.com/office/drawing/2014/main" id="{00000000-0008-0000-1000-00008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3" name="Text Box 6">
          <a:extLst>
            <a:ext uri="{FF2B5EF4-FFF2-40B4-BE49-F238E27FC236}">
              <a16:creationId xmlns:a16="http://schemas.microsoft.com/office/drawing/2014/main" id="{00000000-0008-0000-1000-00008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4" name="Text Box 7">
          <a:extLst>
            <a:ext uri="{FF2B5EF4-FFF2-40B4-BE49-F238E27FC236}">
              <a16:creationId xmlns:a16="http://schemas.microsoft.com/office/drawing/2014/main" id="{00000000-0008-0000-1000-00008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5" name="Text Box 8">
          <a:extLst>
            <a:ext uri="{FF2B5EF4-FFF2-40B4-BE49-F238E27FC236}">
              <a16:creationId xmlns:a16="http://schemas.microsoft.com/office/drawing/2014/main" id="{00000000-0008-0000-1000-00008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6" name="Text Box 9">
          <a:extLst>
            <a:ext uri="{FF2B5EF4-FFF2-40B4-BE49-F238E27FC236}">
              <a16:creationId xmlns:a16="http://schemas.microsoft.com/office/drawing/2014/main" id="{00000000-0008-0000-1000-00008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7" name="Text Box 10">
          <a:extLst>
            <a:ext uri="{FF2B5EF4-FFF2-40B4-BE49-F238E27FC236}">
              <a16:creationId xmlns:a16="http://schemas.microsoft.com/office/drawing/2014/main" id="{00000000-0008-0000-1000-00008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8" name="Text Box 11">
          <a:extLst>
            <a:ext uri="{FF2B5EF4-FFF2-40B4-BE49-F238E27FC236}">
              <a16:creationId xmlns:a16="http://schemas.microsoft.com/office/drawing/2014/main" id="{00000000-0008-0000-1000-00008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9" name="Text Box 12">
          <a:extLst>
            <a:ext uri="{FF2B5EF4-FFF2-40B4-BE49-F238E27FC236}">
              <a16:creationId xmlns:a16="http://schemas.microsoft.com/office/drawing/2014/main" id="{00000000-0008-0000-1000-00008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0" name="Text Box 13">
          <a:extLst>
            <a:ext uri="{FF2B5EF4-FFF2-40B4-BE49-F238E27FC236}">
              <a16:creationId xmlns:a16="http://schemas.microsoft.com/office/drawing/2014/main" id="{00000000-0008-0000-1000-00008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1" name="Text Box 14">
          <a:extLst>
            <a:ext uri="{FF2B5EF4-FFF2-40B4-BE49-F238E27FC236}">
              <a16:creationId xmlns:a16="http://schemas.microsoft.com/office/drawing/2014/main" id="{00000000-0008-0000-1000-00008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2" name="Text Box 15">
          <a:extLst>
            <a:ext uri="{FF2B5EF4-FFF2-40B4-BE49-F238E27FC236}">
              <a16:creationId xmlns:a16="http://schemas.microsoft.com/office/drawing/2014/main" id="{00000000-0008-0000-1000-00008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3" name="Text Box 16">
          <a:extLst>
            <a:ext uri="{FF2B5EF4-FFF2-40B4-BE49-F238E27FC236}">
              <a16:creationId xmlns:a16="http://schemas.microsoft.com/office/drawing/2014/main" id="{00000000-0008-0000-1000-00008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4" name="Text Box 17">
          <a:extLst>
            <a:ext uri="{FF2B5EF4-FFF2-40B4-BE49-F238E27FC236}">
              <a16:creationId xmlns:a16="http://schemas.microsoft.com/office/drawing/2014/main" id="{00000000-0008-0000-1000-00009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5" name="Text Box 18">
          <a:extLst>
            <a:ext uri="{FF2B5EF4-FFF2-40B4-BE49-F238E27FC236}">
              <a16:creationId xmlns:a16="http://schemas.microsoft.com/office/drawing/2014/main" id="{00000000-0008-0000-1000-00009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6" name="Text Box 19">
          <a:extLst>
            <a:ext uri="{FF2B5EF4-FFF2-40B4-BE49-F238E27FC236}">
              <a16:creationId xmlns:a16="http://schemas.microsoft.com/office/drawing/2014/main" id="{00000000-0008-0000-1000-00009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7" name="Text Box 20">
          <a:extLst>
            <a:ext uri="{FF2B5EF4-FFF2-40B4-BE49-F238E27FC236}">
              <a16:creationId xmlns:a16="http://schemas.microsoft.com/office/drawing/2014/main" id="{00000000-0008-0000-1000-00009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8" name="Text Box 21">
          <a:extLst>
            <a:ext uri="{FF2B5EF4-FFF2-40B4-BE49-F238E27FC236}">
              <a16:creationId xmlns:a16="http://schemas.microsoft.com/office/drawing/2014/main" id="{00000000-0008-0000-1000-00009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9" name="Text Box 22">
          <a:extLst>
            <a:ext uri="{FF2B5EF4-FFF2-40B4-BE49-F238E27FC236}">
              <a16:creationId xmlns:a16="http://schemas.microsoft.com/office/drawing/2014/main" id="{00000000-0008-0000-1000-00009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0" name="Text Box 23">
          <a:extLst>
            <a:ext uri="{FF2B5EF4-FFF2-40B4-BE49-F238E27FC236}">
              <a16:creationId xmlns:a16="http://schemas.microsoft.com/office/drawing/2014/main" id="{00000000-0008-0000-1000-00009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1" name="Text Box 24">
          <a:extLst>
            <a:ext uri="{FF2B5EF4-FFF2-40B4-BE49-F238E27FC236}">
              <a16:creationId xmlns:a16="http://schemas.microsoft.com/office/drawing/2014/main" id="{00000000-0008-0000-1000-00009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2" name="Text Box 25">
          <a:extLst>
            <a:ext uri="{FF2B5EF4-FFF2-40B4-BE49-F238E27FC236}">
              <a16:creationId xmlns:a16="http://schemas.microsoft.com/office/drawing/2014/main" id="{00000000-0008-0000-1000-00009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3" name="Text Box 26">
          <a:extLst>
            <a:ext uri="{FF2B5EF4-FFF2-40B4-BE49-F238E27FC236}">
              <a16:creationId xmlns:a16="http://schemas.microsoft.com/office/drawing/2014/main" id="{00000000-0008-0000-1000-00009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4" name="Text Box 27">
          <a:extLst>
            <a:ext uri="{FF2B5EF4-FFF2-40B4-BE49-F238E27FC236}">
              <a16:creationId xmlns:a16="http://schemas.microsoft.com/office/drawing/2014/main" id="{00000000-0008-0000-1000-00009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5" name="Text Box 28">
          <a:extLst>
            <a:ext uri="{FF2B5EF4-FFF2-40B4-BE49-F238E27FC236}">
              <a16:creationId xmlns:a16="http://schemas.microsoft.com/office/drawing/2014/main" id="{00000000-0008-0000-1000-00009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6" name="Text Box 29">
          <a:extLst>
            <a:ext uri="{FF2B5EF4-FFF2-40B4-BE49-F238E27FC236}">
              <a16:creationId xmlns:a16="http://schemas.microsoft.com/office/drawing/2014/main" id="{00000000-0008-0000-1000-00009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7" name="Text Box 30">
          <a:extLst>
            <a:ext uri="{FF2B5EF4-FFF2-40B4-BE49-F238E27FC236}">
              <a16:creationId xmlns:a16="http://schemas.microsoft.com/office/drawing/2014/main" id="{00000000-0008-0000-1000-00009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8" name="Text Box 31">
          <a:extLst>
            <a:ext uri="{FF2B5EF4-FFF2-40B4-BE49-F238E27FC236}">
              <a16:creationId xmlns:a16="http://schemas.microsoft.com/office/drawing/2014/main" id="{00000000-0008-0000-1000-00009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9" name="Text Box 32">
          <a:extLst>
            <a:ext uri="{FF2B5EF4-FFF2-40B4-BE49-F238E27FC236}">
              <a16:creationId xmlns:a16="http://schemas.microsoft.com/office/drawing/2014/main" id="{00000000-0008-0000-1000-00009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0" name="Text Box 33">
          <a:extLst>
            <a:ext uri="{FF2B5EF4-FFF2-40B4-BE49-F238E27FC236}">
              <a16:creationId xmlns:a16="http://schemas.microsoft.com/office/drawing/2014/main" id="{00000000-0008-0000-1000-0000A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1" name="Text Box 34">
          <a:extLst>
            <a:ext uri="{FF2B5EF4-FFF2-40B4-BE49-F238E27FC236}">
              <a16:creationId xmlns:a16="http://schemas.microsoft.com/office/drawing/2014/main" id="{00000000-0008-0000-1000-0000A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2" name="Text Box 35">
          <a:extLst>
            <a:ext uri="{FF2B5EF4-FFF2-40B4-BE49-F238E27FC236}">
              <a16:creationId xmlns:a16="http://schemas.microsoft.com/office/drawing/2014/main" id="{00000000-0008-0000-1000-0000A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3" name="Text Box 36">
          <a:extLst>
            <a:ext uri="{FF2B5EF4-FFF2-40B4-BE49-F238E27FC236}">
              <a16:creationId xmlns:a16="http://schemas.microsoft.com/office/drawing/2014/main" id="{00000000-0008-0000-1000-0000A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4" name="Text Box 37">
          <a:extLst>
            <a:ext uri="{FF2B5EF4-FFF2-40B4-BE49-F238E27FC236}">
              <a16:creationId xmlns:a16="http://schemas.microsoft.com/office/drawing/2014/main" id="{00000000-0008-0000-1000-0000A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65" name="Text Box 38">
          <a:extLst>
            <a:ext uri="{FF2B5EF4-FFF2-40B4-BE49-F238E27FC236}">
              <a16:creationId xmlns:a16="http://schemas.microsoft.com/office/drawing/2014/main" id="{00000000-0008-0000-1000-0000A5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6" name="Text Box 39">
          <a:extLst>
            <a:ext uri="{FF2B5EF4-FFF2-40B4-BE49-F238E27FC236}">
              <a16:creationId xmlns:a16="http://schemas.microsoft.com/office/drawing/2014/main" id="{00000000-0008-0000-1000-0000A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7" name="Text Box 40">
          <a:extLst>
            <a:ext uri="{FF2B5EF4-FFF2-40B4-BE49-F238E27FC236}">
              <a16:creationId xmlns:a16="http://schemas.microsoft.com/office/drawing/2014/main" id="{00000000-0008-0000-1000-0000A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8" name="Text Box 41">
          <a:extLst>
            <a:ext uri="{FF2B5EF4-FFF2-40B4-BE49-F238E27FC236}">
              <a16:creationId xmlns:a16="http://schemas.microsoft.com/office/drawing/2014/main" id="{00000000-0008-0000-1000-0000A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9" name="Text Box 42">
          <a:extLst>
            <a:ext uri="{FF2B5EF4-FFF2-40B4-BE49-F238E27FC236}">
              <a16:creationId xmlns:a16="http://schemas.microsoft.com/office/drawing/2014/main" id="{00000000-0008-0000-1000-0000A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00000000-0008-0000-1100-00000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00000000-0008-0000-1100-00000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00000000-0008-0000-1100-00000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00000000-0008-0000-1100-00000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00000000-0008-0000-1100-00001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00000000-0008-0000-1100-00001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00000000-0008-0000-1100-00001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00000000-0008-0000-1100-00001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00000000-0008-0000-1100-00001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00000000-0008-0000-1100-00001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" name="Text Box 21">
          <a:extLst>
            <a:ext uri="{FF2B5EF4-FFF2-40B4-BE49-F238E27FC236}">
              <a16:creationId xmlns:a16="http://schemas.microsoft.com/office/drawing/2014/main" id="{00000000-0008-0000-1100-00001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" name="Text Box 22">
          <a:extLst>
            <a:ext uri="{FF2B5EF4-FFF2-40B4-BE49-F238E27FC236}">
              <a16:creationId xmlns:a16="http://schemas.microsoft.com/office/drawing/2014/main" id="{00000000-0008-0000-1100-00001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" name="Text Box 23">
          <a:extLst>
            <a:ext uri="{FF2B5EF4-FFF2-40B4-BE49-F238E27FC236}">
              <a16:creationId xmlns:a16="http://schemas.microsoft.com/office/drawing/2014/main" id="{00000000-0008-0000-1100-00001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5" name="Text Box 24">
          <a:extLst>
            <a:ext uri="{FF2B5EF4-FFF2-40B4-BE49-F238E27FC236}">
              <a16:creationId xmlns:a16="http://schemas.microsoft.com/office/drawing/2014/main" id="{00000000-0008-0000-1100-00001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6" name="Text Box 25">
          <a:extLst>
            <a:ext uri="{FF2B5EF4-FFF2-40B4-BE49-F238E27FC236}">
              <a16:creationId xmlns:a16="http://schemas.microsoft.com/office/drawing/2014/main" id="{00000000-0008-0000-1100-00001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7" name="Text Box 26">
          <a:extLst>
            <a:ext uri="{FF2B5EF4-FFF2-40B4-BE49-F238E27FC236}">
              <a16:creationId xmlns:a16="http://schemas.microsoft.com/office/drawing/2014/main" id="{00000000-0008-0000-1100-00001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8" name="Text Box 27">
          <a:extLst>
            <a:ext uri="{FF2B5EF4-FFF2-40B4-BE49-F238E27FC236}">
              <a16:creationId xmlns:a16="http://schemas.microsoft.com/office/drawing/2014/main" id="{00000000-0008-0000-1100-00001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9" name="Text Box 28">
          <a:extLst>
            <a:ext uri="{FF2B5EF4-FFF2-40B4-BE49-F238E27FC236}">
              <a16:creationId xmlns:a16="http://schemas.microsoft.com/office/drawing/2014/main" id="{00000000-0008-0000-1100-00001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0" name="Text Box 29">
          <a:extLst>
            <a:ext uri="{FF2B5EF4-FFF2-40B4-BE49-F238E27FC236}">
              <a16:creationId xmlns:a16="http://schemas.microsoft.com/office/drawing/2014/main" id="{00000000-0008-0000-1100-00001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1" name="Text Box 30">
          <a:extLst>
            <a:ext uri="{FF2B5EF4-FFF2-40B4-BE49-F238E27FC236}">
              <a16:creationId xmlns:a16="http://schemas.microsoft.com/office/drawing/2014/main" id="{00000000-0008-0000-1100-00001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2" name="Text Box 3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3" name="Text Box 32">
          <a:extLst>
            <a:ext uri="{FF2B5EF4-FFF2-40B4-BE49-F238E27FC236}">
              <a16:creationId xmlns:a16="http://schemas.microsoft.com/office/drawing/2014/main" id="{00000000-0008-0000-1100-00002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4" name="Text Box 33">
          <a:extLst>
            <a:ext uri="{FF2B5EF4-FFF2-40B4-BE49-F238E27FC236}">
              <a16:creationId xmlns:a16="http://schemas.microsoft.com/office/drawing/2014/main" id="{00000000-0008-0000-1100-00002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5" name="Text Box 34">
          <a:extLst>
            <a:ext uri="{FF2B5EF4-FFF2-40B4-BE49-F238E27FC236}">
              <a16:creationId xmlns:a16="http://schemas.microsoft.com/office/drawing/2014/main" id="{00000000-0008-0000-1100-00002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6" name="Text Box 35">
          <a:extLst>
            <a:ext uri="{FF2B5EF4-FFF2-40B4-BE49-F238E27FC236}">
              <a16:creationId xmlns:a16="http://schemas.microsoft.com/office/drawing/2014/main" id="{00000000-0008-0000-1100-00002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7" name="Text Box 36">
          <a:extLst>
            <a:ext uri="{FF2B5EF4-FFF2-40B4-BE49-F238E27FC236}">
              <a16:creationId xmlns:a16="http://schemas.microsoft.com/office/drawing/2014/main" id="{00000000-0008-0000-1100-00002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8" name="Text Box 37">
          <a:extLst>
            <a:ext uri="{FF2B5EF4-FFF2-40B4-BE49-F238E27FC236}">
              <a16:creationId xmlns:a16="http://schemas.microsoft.com/office/drawing/2014/main" id="{00000000-0008-0000-1100-00002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39" name="Text Box 38">
          <a:extLst>
            <a:ext uri="{FF2B5EF4-FFF2-40B4-BE49-F238E27FC236}">
              <a16:creationId xmlns:a16="http://schemas.microsoft.com/office/drawing/2014/main" id="{00000000-0008-0000-1100-000027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0" name="Text Box 39">
          <a:extLst>
            <a:ext uri="{FF2B5EF4-FFF2-40B4-BE49-F238E27FC236}">
              <a16:creationId xmlns:a16="http://schemas.microsoft.com/office/drawing/2014/main" id="{00000000-0008-0000-1100-00002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1" name="Text Box 40">
          <a:extLst>
            <a:ext uri="{FF2B5EF4-FFF2-40B4-BE49-F238E27FC236}">
              <a16:creationId xmlns:a16="http://schemas.microsoft.com/office/drawing/2014/main" id="{00000000-0008-0000-1100-00002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2" name="Text Box 41">
          <a:extLst>
            <a:ext uri="{FF2B5EF4-FFF2-40B4-BE49-F238E27FC236}">
              <a16:creationId xmlns:a16="http://schemas.microsoft.com/office/drawing/2014/main" id="{00000000-0008-0000-1100-00002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3" name="Text Box 42">
          <a:extLst>
            <a:ext uri="{FF2B5EF4-FFF2-40B4-BE49-F238E27FC236}">
              <a16:creationId xmlns:a16="http://schemas.microsoft.com/office/drawing/2014/main" id="{00000000-0008-0000-1100-00002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id="{00000000-0008-0000-1100-00002C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00000000-0008-0000-1100-00002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00000000-0008-0000-1100-00002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7" name="Text Box 4">
          <a:extLst>
            <a:ext uri="{FF2B5EF4-FFF2-40B4-BE49-F238E27FC236}">
              <a16:creationId xmlns:a16="http://schemas.microsoft.com/office/drawing/2014/main" id="{00000000-0008-0000-1100-00002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8" name="Text Box 5">
          <a:extLst>
            <a:ext uri="{FF2B5EF4-FFF2-40B4-BE49-F238E27FC236}">
              <a16:creationId xmlns:a16="http://schemas.microsoft.com/office/drawing/2014/main" id="{00000000-0008-0000-1100-00003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9" name="Text Box 6">
          <a:extLst>
            <a:ext uri="{FF2B5EF4-FFF2-40B4-BE49-F238E27FC236}">
              <a16:creationId xmlns:a16="http://schemas.microsoft.com/office/drawing/2014/main" id="{00000000-0008-0000-1100-00003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0" name="Text Box 7">
          <a:extLst>
            <a:ext uri="{FF2B5EF4-FFF2-40B4-BE49-F238E27FC236}">
              <a16:creationId xmlns:a16="http://schemas.microsoft.com/office/drawing/2014/main" id="{00000000-0008-0000-1100-00003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1" name="Text Box 8">
          <a:extLst>
            <a:ext uri="{FF2B5EF4-FFF2-40B4-BE49-F238E27FC236}">
              <a16:creationId xmlns:a16="http://schemas.microsoft.com/office/drawing/2014/main" id="{00000000-0008-0000-1100-00003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2" name="Text Box 9">
          <a:extLst>
            <a:ext uri="{FF2B5EF4-FFF2-40B4-BE49-F238E27FC236}">
              <a16:creationId xmlns:a16="http://schemas.microsoft.com/office/drawing/2014/main" id="{00000000-0008-0000-1100-00003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3" name="Text Box 10">
          <a:extLst>
            <a:ext uri="{FF2B5EF4-FFF2-40B4-BE49-F238E27FC236}">
              <a16:creationId xmlns:a16="http://schemas.microsoft.com/office/drawing/2014/main" id="{00000000-0008-0000-1100-00003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4" name="Text Box 11">
          <a:extLst>
            <a:ext uri="{FF2B5EF4-FFF2-40B4-BE49-F238E27FC236}">
              <a16:creationId xmlns:a16="http://schemas.microsoft.com/office/drawing/2014/main" id="{00000000-0008-0000-1100-00003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5" name="Text Box 12">
          <a:extLst>
            <a:ext uri="{FF2B5EF4-FFF2-40B4-BE49-F238E27FC236}">
              <a16:creationId xmlns:a16="http://schemas.microsoft.com/office/drawing/2014/main" id="{00000000-0008-0000-1100-00003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6" name="Text Box 13">
          <a:extLst>
            <a:ext uri="{FF2B5EF4-FFF2-40B4-BE49-F238E27FC236}">
              <a16:creationId xmlns:a16="http://schemas.microsoft.com/office/drawing/2014/main" id="{00000000-0008-0000-1100-00003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7" name="Text Box 14">
          <a:extLst>
            <a:ext uri="{FF2B5EF4-FFF2-40B4-BE49-F238E27FC236}">
              <a16:creationId xmlns:a16="http://schemas.microsoft.com/office/drawing/2014/main" id="{00000000-0008-0000-1100-00003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8" name="Text Box 15">
          <a:extLst>
            <a:ext uri="{FF2B5EF4-FFF2-40B4-BE49-F238E27FC236}">
              <a16:creationId xmlns:a16="http://schemas.microsoft.com/office/drawing/2014/main" id="{00000000-0008-0000-1100-00003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9" name="Text Box 16">
          <a:extLst>
            <a:ext uri="{FF2B5EF4-FFF2-40B4-BE49-F238E27FC236}">
              <a16:creationId xmlns:a16="http://schemas.microsoft.com/office/drawing/2014/main" id="{00000000-0008-0000-1100-00003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0" name="Text Box 17">
          <a:extLst>
            <a:ext uri="{FF2B5EF4-FFF2-40B4-BE49-F238E27FC236}">
              <a16:creationId xmlns:a16="http://schemas.microsoft.com/office/drawing/2014/main" id="{00000000-0008-0000-1100-00003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1" name="Text Box 18">
          <a:extLst>
            <a:ext uri="{FF2B5EF4-FFF2-40B4-BE49-F238E27FC236}">
              <a16:creationId xmlns:a16="http://schemas.microsoft.com/office/drawing/2014/main" id="{00000000-0008-0000-1100-00003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2" name="Text Box 19">
          <a:extLst>
            <a:ext uri="{FF2B5EF4-FFF2-40B4-BE49-F238E27FC236}">
              <a16:creationId xmlns:a16="http://schemas.microsoft.com/office/drawing/2014/main" id="{00000000-0008-0000-1100-00003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3" name="Text Box 20">
          <a:extLst>
            <a:ext uri="{FF2B5EF4-FFF2-40B4-BE49-F238E27FC236}">
              <a16:creationId xmlns:a16="http://schemas.microsoft.com/office/drawing/2014/main" id="{00000000-0008-0000-1100-00003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4" name="Text Box 21">
          <a:extLst>
            <a:ext uri="{FF2B5EF4-FFF2-40B4-BE49-F238E27FC236}">
              <a16:creationId xmlns:a16="http://schemas.microsoft.com/office/drawing/2014/main" id="{00000000-0008-0000-1100-00004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5" name="Text Box 22">
          <a:extLst>
            <a:ext uri="{FF2B5EF4-FFF2-40B4-BE49-F238E27FC236}">
              <a16:creationId xmlns:a16="http://schemas.microsoft.com/office/drawing/2014/main" id="{00000000-0008-0000-1100-00004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6" name="Text Box 23">
          <a:extLst>
            <a:ext uri="{FF2B5EF4-FFF2-40B4-BE49-F238E27FC236}">
              <a16:creationId xmlns:a16="http://schemas.microsoft.com/office/drawing/2014/main" id="{00000000-0008-0000-1100-00004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7" name="Text Box 24">
          <a:extLst>
            <a:ext uri="{FF2B5EF4-FFF2-40B4-BE49-F238E27FC236}">
              <a16:creationId xmlns:a16="http://schemas.microsoft.com/office/drawing/2014/main" id="{00000000-0008-0000-1100-00004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8" name="Text Box 25">
          <a:extLst>
            <a:ext uri="{FF2B5EF4-FFF2-40B4-BE49-F238E27FC236}">
              <a16:creationId xmlns:a16="http://schemas.microsoft.com/office/drawing/2014/main" id="{00000000-0008-0000-1100-00004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9" name="Text Box 26">
          <a:extLst>
            <a:ext uri="{FF2B5EF4-FFF2-40B4-BE49-F238E27FC236}">
              <a16:creationId xmlns:a16="http://schemas.microsoft.com/office/drawing/2014/main" id="{00000000-0008-0000-1100-00004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0" name="Text Box 27">
          <a:extLst>
            <a:ext uri="{FF2B5EF4-FFF2-40B4-BE49-F238E27FC236}">
              <a16:creationId xmlns:a16="http://schemas.microsoft.com/office/drawing/2014/main" id="{00000000-0008-0000-1100-00004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1" name="Text Box 28">
          <a:extLst>
            <a:ext uri="{FF2B5EF4-FFF2-40B4-BE49-F238E27FC236}">
              <a16:creationId xmlns:a16="http://schemas.microsoft.com/office/drawing/2014/main" id="{00000000-0008-0000-1100-00004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2" name="Text Box 29">
          <a:extLst>
            <a:ext uri="{FF2B5EF4-FFF2-40B4-BE49-F238E27FC236}">
              <a16:creationId xmlns:a16="http://schemas.microsoft.com/office/drawing/2014/main" id="{00000000-0008-0000-1100-00004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3" name="Text Box 30">
          <a:extLst>
            <a:ext uri="{FF2B5EF4-FFF2-40B4-BE49-F238E27FC236}">
              <a16:creationId xmlns:a16="http://schemas.microsoft.com/office/drawing/2014/main" id="{00000000-0008-0000-1100-00004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4" name="Text Box 31">
          <a:extLst>
            <a:ext uri="{FF2B5EF4-FFF2-40B4-BE49-F238E27FC236}">
              <a16:creationId xmlns:a16="http://schemas.microsoft.com/office/drawing/2014/main" id="{00000000-0008-0000-1100-00004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5" name="Text Box 32">
          <a:extLst>
            <a:ext uri="{FF2B5EF4-FFF2-40B4-BE49-F238E27FC236}">
              <a16:creationId xmlns:a16="http://schemas.microsoft.com/office/drawing/2014/main" id="{00000000-0008-0000-1100-00004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6" name="Text Box 33">
          <a:extLst>
            <a:ext uri="{FF2B5EF4-FFF2-40B4-BE49-F238E27FC236}">
              <a16:creationId xmlns:a16="http://schemas.microsoft.com/office/drawing/2014/main" id="{00000000-0008-0000-1100-00004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7" name="Text Box 34">
          <a:extLst>
            <a:ext uri="{FF2B5EF4-FFF2-40B4-BE49-F238E27FC236}">
              <a16:creationId xmlns:a16="http://schemas.microsoft.com/office/drawing/2014/main" id="{00000000-0008-0000-1100-00004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8" name="Text Box 35">
          <a:extLst>
            <a:ext uri="{FF2B5EF4-FFF2-40B4-BE49-F238E27FC236}">
              <a16:creationId xmlns:a16="http://schemas.microsoft.com/office/drawing/2014/main" id="{00000000-0008-0000-1100-00004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9" name="Text Box 36">
          <a:extLst>
            <a:ext uri="{FF2B5EF4-FFF2-40B4-BE49-F238E27FC236}">
              <a16:creationId xmlns:a16="http://schemas.microsoft.com/office/drawing/2014/main" id="{00000000-0008-0000-1100-00004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0" name="Text Box 37">
          <a:extLst>
            <a:ext uri="{FF2B5EF4-FFF2-40B4-BE49-F238E27FC236}">
              <a16:creationId xmlns:a16="http://schemas.microsoft.com/office/drawing/2014/main" id="{00000000-0008-0000-1100-00005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1" name="Text Box 38">
          <a:extLst>
            <a:ext uri="{FF2B5EF4-FFF2-40B4-BE49-F238E27FC236}">
              <a16:creationId xmlns:a16="http://schemas.microsoft.com/office/drawing/2014/main" id="{00000000-0008-0000-1100-000051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2" name="Text Box 39">
          <a:extLst>
            <a:ext uri="{FF2B5EF4-FFF2-40B4-BE49-F238E27FC236}">
              <a16:creationId xmlns:a16="http://schemas.microsoft.com/office/drawing/2014/main" id="{00000000-0008-0000-1100-00005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3" name="Text Box 40">
          <a:extLst>
            <a:ext uri="{FF2B5EF4-FFF2-40B4-BE49-F238E27FC236}">
              <a16:creationId xmlns:a16="http://schemas.microsoft.com/office/drawing/2014/main" id="{00000000-0008-0000-1100-00005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4" name="Text Box 41">
          <a:extLst>
            <a:ext uri="{FF2B5EF4-FFF2-40B4-BE49-F238E27FC236}">
              <a16:creationId xmlns:a16="http://schemas.microsoft.com/office/drawing/2014/main" id="{00000000-0008-0000-1100-00005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5" name="Text Box 42">
          <a:extLst>
            <a:ext uri="{FF2B5EF4-FFF2-40B4-BE49-F238E27FC236}">
              <a16:creationId xmlns:a16="http://schemas.microsoft.com/office/drawing/2014/main" id="{00000000-0008-0000-1100-00005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6" name="Text Box 1">
          <a:extLst>
            <a:ext uri="{FF2B5EF4-FFF2-40B4-BE49-F238E27FC236}">
              <a16:creationId xmlns:a16="http://schemas.microsoft.com/office/drawing/2014/main" id="{00000000-0008-0000-1100-000056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7" name="Text Box 2">
          <a:extLst>
            <a:ext uri="{FF2B5EF4-FFF2-40B4-BE49-F238E27FC236}">
              <a16:creationId xmlns:a16="http://schemas.microsoft.com/office/drawing/2014/main" id="{00000000-0008-0000-1100-00005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8" name="Text Box 3">
          <a:extLst>
            <a:ext uri="{FF2B5EF4-FFF2-40B4-BE49-F238E27FC236}">
              <a16:creationId xmlns:a16="http://schemas.microsoft.com/office/drawing/2014/main" id="{00000000-0008-0000-1100-00005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9" name="Text Box 4">
          <a:extLst>
            <a:ext uri="{FF2B5EF4-FFF2-40B4-BE49-F238E27FC236}">
              <a16:creationId xmlns:a16="http://schemas.microsoft.com/office/drawing/2014/main" id="{00000000-0008-0000-1100-00005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0" name="Text Box 5">
          <a:extLst>
            <a:ext uri="{FF2B5EF4-FFF2-40B4-BE49-F238E27FC236}">
              <a16:creationId xmlns:a16="http://schemas.microsoft.com/office/drawing/2014/main" id="{00000000-0008-0000-1100-00005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1" name="Text Box 6">
          <a:extLst>
            <a:ext uri="{FF2B5EF4-FFF2-40B4-BE49-F238E27FC236}">
              <a16:creationId xmlns:a16="http://schemas.microsoft.com/office/drawing/2014/main" id="{00000000-0008-0000-1100-00005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2" name="Text Box 7">
          <a:extLst>
            <a:ext uri="{FF2B5EF4-FFF2-40B4-BE49-F238E27FC236}">
              <a16:creationId xmlns:a16="http://schemas.microsoft.com/office/drawing/2014/main" id="{00000000-0008-0000-1100-00005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3" name="Text Box 8">
          <a:extLst>
            <a:ext uri="{FF2B5EF4-FFF2-40B4-BE49-F238E27FC236}">
              <a16:creationId xmlns:a16="http://schemas.microsoft.com/office/drawing/2014/main" id="{00000000-0008-0000-1100-00005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4" name="Text Box 9">
          <a:extLst>
            <a:ext uri="{FF2B5EF4-FFF2-40B4-BE49-F238E27FC236}">
              <a16:creationId xmlns:a16="http://schemas.microsoft.com/office/drawing/2014/main" id="{00000000-0008-0000-1100-00005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5" name="Text Box 10">
          <a:extLst>
            <a:ext uri="{FF2B5EF4-FFF2-40B4-BE49-F238E27FC236}">
              <a16:creationId xmlns:a16="http://schemas.microsoft.com/office/drawing/2014/main" id="{00000000-0008-0000-1100-00005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6" name="Text Box 11">
          <a:extLst>
            <a:ext uri="{FF2B5EF4-FFF2-40B4-BE49-F238E27FC236}">
              <a16:creationId xmlns:a16="http://schemas.microsoft.com/office/drawing/2014/main" id="{00000000-0008-0000-1100-00006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7" name="Text Box 12">
          <a:extLst>
            <a:ext uri="{FF2B5EF4-FFF2-40B4-BE49-F238E27FC236}">
              <a16:creationId xmlns:a16="http://schemas.microsoft.com/office/drawing/2014/main" id="{00000000-0008-0000-1100-00006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8" name="Text Box 13">
          <a:extLst>
            <a:ext uri="{FF2B5EF4-FFF2-40B4-BE49-F238E27FC236}">
              <a16:creationId xmlns:a16="http://schemas.microsoft.com/office/drawing/2014/main" id="{00000000-0008-0000-1100-00006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9" name="Text Box 14">
          <a:extLst>
            <a:ext uri="{FF2B5EF4-FFF2-40B4-BE49-F238E27FC236}">
              <a16:creationId xmlns:a16="http://schemas.microsoft.com/office/drawing/2014/main" id="{00000000-0008-0000-1100-00006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0" name="Text Box 15">
          <a:extLst>
            <a:ext uri="{FF2B5EF4-FFF2-40B4-BE49-F238E27FC236}">
              <a16:creationId xmlns:a16="http://schemas.microsoft.com/office/drawing/2014/main" id="{00000000-0008-0000-1100-00006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1" name="Text Box 16">
          <a:extLst>
            <a:ext uri="{FF2B5EF4-FFF2-40B4-BE49-F238E27FC236}">
              <a16:creationId xmlns:a16="http://schemas.microsoft.com/office/drawing/2014/main" id="{00000000-0008-0000-1100-00006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2" name="Text Box 17">
          <a:extLst>
            <a:ext uri="{FF2B5EF4-FFF2-40B4-BE49-F238E27FC236}">
              <a16:creationId xmlns:a16="http://schemas.microsoft.com/office/drawing/2014/main" id="{00000000-0008-0000-1100-00006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3" name="Text Box 18">
          <a:extLst>
            <a:ext uri="{FF2B5EF4-FFF2-40B4-BE49-F238E27FC236}">
              <a16:creationId xmlns:a16="http://schemas.microsoft.com/office/drawing/2014/main" id="{00000000-0008-0000-1100-00006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4" name="Text Box 19">
          <a:extLst>
            <a:ext uri="{FF2B5EF4-FFF2-40B4-BE49-F238E27FC236}">
              <a16:creationId xmlns:a16="http://schemas.microsoft.com/office/drawing/2014/main" id="{00000000-0008-0000-1100-00006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5" name="Text Box 20">
          <a:extLst>
            <a:ext uri="{FF2B5EF4-FFF2-40B4-BE49-F238E27FC236}">
              <a16:creationId xmlns:a16="http://schemas.microsoft.com/office/drawing/2014/main" id="{00000000-0008-0000-1100-00006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6" name="Text Box 21">
          <a:extLst>
            <a:ext uri="{FF2B5EF4-FFF2-40B4-BE49-F238E27FC236}">
              <a16:creationId xmlns:a16="http://schemas.microsoft.com/office/drawing/2014/main" id="{00000000-0008-0000-1100-00006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7" name="Text Box 22">
          <a:extLst>
            <a:ext uri="{FF2B5EF4-FFF2-40B4-BE49-F238E27FC236}">
              <a16:creationId xmlns:a16="http://schemas.microsoft.com/office/drawing/2014/main" id="{00000000-0008-0000-1100-00006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8" name="Text Box 23">
          <a:extLst>
            <a:ext uri="{FF2B5EF4-FFF2-40B4-BE49-F238E27FC236}">
              <a16:creationId xmlns:a16="http://schemas.microsoft.com/office/drawing/2014/main" id="{00000000-0008-0000-1100-00006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9" name="Text Box 24">
          <a:extLst>
            <a:ext uri="{FF2B5EF4-FFF2-40B4-BE49-F238E27FC236}">
              <a16:creationId xmlns:a16="http://schemas.microsoft.com/office/drawing/2014/main" id="{00000000-0008-0000-1100-00006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0" name="Text Box 25">
          <a:extLst>
            <a:ext uri="{FF2B5EF4-FFF2-40B4-BE49-F238E27FC236}">
              <a16:creationId xmlns:a16="http://schemas.microsoft.com/office/drawing/2014/main" id="{00000000-0008-0000-1100-00006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1" name="Text Box 26">
          <a:extLst>
            <a:ext uri="{FF2B5EF4-FFF2-40B4-BE49-F238E27FC236}">
              <a16:creationId xmlns:a16="http://schemas.microsoft.com/office/drawing/2014/main" id="{00000000-0008-0000-1100-00006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2" name="Text Box 27">
          <a:extLst>
            <a:ext uri="{FF2B5EF4-FFF2-40B4-BE49-F238E27FC236}">
              <a16:creationId xmlns:a16="http://schemas.microsoft.com/office/drawing/2014/main" id="{00000000-0008-0000-1100-00007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3" name="Text Box 28">
          <a:extLst>
            <a:ext uri="{FF2B5EF4-FFF2-40B4-BE49-F238E27FC236}">
              <a16:creationId xmlns:a16="http://schemas.microsoft.com/office/drawing/2014/main" id="{00000000-0008-0000-1100-00007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4" name="Text Box 29">
          <a:extLst>
            <a:ext uri="{FF2B5EF4-FFF2-40B4-BE49-F238E27FC236}">
              <a16:creationId xmlns:a16="http://schemas.microsoft.com/office/drawing/2014/main" id="{00000000-0008-0000-1100-00007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5" name="Text Box 30">
          <a:extLst>
            <a:ext uri="{FF2B5EF4-FFF2-40B4-BE49-F238E27FC236}">
              <a16:creationId xmlns:a16="http://schemas.microsoft.com/office/drawing/2014/main" id="{00000000-0008-0000-1100-00007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6" name="Text Box 31">
          <a:extLst>
            <a:ext uri="{FF2B5EF4-FFF2-40B4-BE49-F238E27FC236}">
              <a16:creationId xmlns:a16="http://schemas.microsoft.com/office/drawing/2014/main" id="{00000000-0008-0000-1100-00007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7" name="Text Box 32">
          <a:extLst>
            <a:ext uri="{FF2B5EF4-FFF2-40B4-BE49-F238E27FC236}">
              <a16:creationId xmlns:a16="http://schemas.microsoft.com/office/drawing/2014/main" id="{00000000-0008-0000-1100-00007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8" name="Text Box 33">
          <a:extLst>
            <a:ext uri="{FF2B5EF4-FFF2-40B4-BE49-F238E27FC236}">
              <a16:creationId xmlns:a16="http://schemas.microsoft.com/office/drawing/2014/main" id="{00000000-0008-0000-1100-00007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9" name="Text Box 34">
          <a:extLst>
            <a:ext uri="{FF2B5EF4-FFF2-40B4-BE49-F238E27FC236}">
              <a16:creationId xmlns:a16="http://schemas.microsoft.com/office/drawing/2014/main" id="{00000000-0008-0000-1100-00007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0" name="Text Box 35">
          <a:extLst>
            <a:ext uri="{FF2B5EF4-FFF2-40B4-BE49-F238E27FC236}">
              <a16:creationId xmlns:a16="http://schemas.microsoft.com/office/drawing/2014/main" id="{00000000-0008-0000-1100-00007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1" name="Text Box 36">
          <a:extLst>
            <a:ext uri="{FF2B5EF4-FFF2-40B4-BE49-F238E27FC236}">
              <a16:creationId xmlns:a16="http://schemas.microsoft.com/office/drawing/2014/main" id="{00000000-0008-0000-1100-00007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2" name="Text Box 37">
          <a:extLst>
            <a:ext uri="{FF2B5EF4-FFF2-40B4-BE49-F238E27FC236}">
              <a16:creationId xmlns:a16="http://schemas.microsoft.com/office/drawing/2014/main" id="{00000000-0008-0000-1100-00007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23" name="Text Box 38">
          <a:extLst>
            <a:ext uri="{FF2B5EF4-FFF2-40B4-BE49-F238E27FC236}">
              <a16:creationId xmlns:a16="http://schemas.microsoft.com/office/drawing/2014/main" id="{00000000-0008-0000-1100-00007B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4" name="Text Box 39">
          <a:extLst>
            <a:ext uri="{FF2B5EF4-FFF2-40B4-BE49-F238E27FC236}">
              <a16:creationId xmlns:a16="http://schemas.microsoft.com/office/drawing/2014/main" id="{00000000-0008-0000-1100-00007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5" name="Text Box 40">
          <a:extLst>
            <a:ext uri="{FF2B5EF4-FFF2-40B4-BE49-F238E27FC236}">
              <a16:creationId xmlns:a16="http://schemas.microsoft.com/office/drawing/2014/main" id="{00000000-0008-0000-1100-00007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6" name="Text Box 41">
          <a:extLst>
            <a:ext uri="{FF2B5EF4-FFF2-40B4-BE49-F238E27FC236}">
              <a16:creationId xmlns:a16="http://schemas.microsoft.com/office/drawing/2014/main" id="{00000000-0008-0000-1100-00007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7" name="Text Box 42">
          <a:extLst>
            <a:ext uri="{FF2B5EF4-FFF2-40B4-BE49-F238E27FC236}">
              <a16:creationId xmlns:a16="http://schemas.microsoft.com/office/drawing/2014/main" id="{00000000-0008-0000-1100-00007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28" name="Text Box 1">
          <a:extLst>
            <a:ext uri="{FF2B5EF4-FFF2-40B4-BE49-F238E27FC236}">
              <a16:creationId xmlns:a16="http://schemas.microsoft.com/office/drawing/2014/main" id="{00000000-0008-0000-1100-000080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9" name="Text Box 2">
          <a:extLst>
            <a:ext uri="{FF2B5EF4-FFF2-40B4-BE49-F238E27FC236}">
              <a16:creationId xmlns:a16="http://schemas.microsoft.com/office/drawing/2014/main" id="{00000000-0008-0000-1100-00008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0" name="Text Box 3">
          <a:extLst>
            <a:ext uri="{FF2B5EF4-FFF2-40B4-BE49-F238E27FC236}">
              <a16:creationId xmlns:a16="http://schemas.microsoft.com/office/drawing/2014/main" id="{00000000-0008-0000-1100-00008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1" name="Text Box 4">
          <a:extLst>
            <a:ext uri="{FF2B5EF4-FFF2-40B4-BE49-F238E27FC236}">
              <a16:creationId xmlns:a16="http://schemas.microsoft.com/office/drawing/2014/main" id="{00000000-0008-0000-1100-00008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2" name="Text Box 5">
          <a:extLst>
            <a:ext uri="{FF2B5EF4-FFF2-40B4-BE49-F238E27FC236}">
              <a16:creationId xmlns:a16="http://schemas.microsoft.com/office/drawing/2014/main" id="{00000000-0008-0000-1100-00008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3" name="Text Box 6">
          <a:extLst>
            <a:ext uri="{FF2B5EF4-FFF2-40B4-BE49-F238E27FC236}">
              <a16:creationId xmlns:a16="http://schemas.microsoft.com/office/drawing/2014/main" id="{00000000-0008-0000-1100-00008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4" name="Text Box 7">
          <a:extLst>
            <a:ext uri="{FF2B5EF4-FFF2-40B4-BE49-F238E27FC236}">
              <a16:creationId xmlns:a16="http://schemas.microsoft.com/office/drawing/2014/main" id="{00000000-0008-0000-1100-00008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5" name="Text Box 8">
          <a:extLst>
            <a:ext uri="{FF2B5EF4-FFF2-40B4-BE49-F238E27FC236}">
              <a16:creationId xmlns:a16="http://schemas.microsoft.com/office/drawing/2014/main" id="{00000000-0008-0000-1100-00008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6" name="Text Box 9">
          <a:extLst>
            <a:ext uri="{FF2B5EF4-FFF2-40B4-BE49-F238E27FC236}">
              <a16:creationId xmlns:a16="http://schemas.microsoft.com/office/drawing/2014/main" id="{00000000-0008-0000-1100-00008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7" name="Text Box 10">
          <a:extLst>
            <a:ext uri="{FF2B5EF4-FFF2-40B4-BE49-F238E27FC236}">
              <a16:creationId xmlns:a16="http://schemas.microsoft.com/office/drawing/2014/main" id="{00000000-0008-0000-1100-00008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8" name="Text Box 11">
          <a:extLst>
            <a:ext uri="{FF2B5EF4-FFF2-40B4-BE49-F238E27FC236}">
              <a16:creationId xmlns:a16="http://schemas.microsoft.com/office/drawing/2014/main" id="{00000000-0008-0000-1100-00008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9" name="Text Box 12">
          <a:extLst>
            <a:ext uri="{FF2B5EF4-FFF2-40B4-BE49-F238E27FC236}">
              <a16:creationId xmlns:a16="http://schemas.microsoft.com/office/drawing/2014/main" id="{00000000-0008-0000-1100-00008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0" name="Text Box 13">
          <a:extLst>
            <a:ext uri="{FF2B5EF4-FFF2-40B4-BE49-F238E27FC236}">
              <a16:creationId xmlns:a16="http://schemas.microsoft.com/office/drawing/2014/main" id="{00000000-0008-0000-1100-00008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1" name="Text Box 14">
          <a:extLst>
            <a:ext uri="{FF2B5EF4-FFF2-40B4-BE49-F238E27FC236}">
              <a16:creationId xmlns:a16="http://schemas.microsoft.com/office/drawing/2014/main" id="{00000000-0008-0000-1100-00008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2" name="Text Box 15">
          <a:extLst>
            <a:ext uri="{FF2B5EF4-FFF2-40B4-BE49-F238E27FC236}">
              <a16:creationId xmlns:a16="http://schemas.microsoft.com/office/drawing/2014/main" id="{00000000-0008-0000-1100-00008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3" name="Text Box 16">
          <a:extLst>
            <a:ext uri="{FF2B5EF4-FFF2-40B4-BE49-F238E27FC236}">
              <a16:creationId xmlns:a16="http://schemas.microsoft.com/office/drawing/2014/main" id="{00000000-0008-0000-1100-00008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4" name="Text Box 17">
          <a:extLst>
            <a:ext uri="{FF2B5EF4-FFF2-40B4-BE49-F238E27FC236}">
              <a16:creationId xmlns:a16="http://schemas.microsoft.com/office/drawing/2014/main" id="{00000000-0008-0000-1100-00009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5" name="Text Box 18">
          <a:extLst>
            <a:ext uri="{FF2B5EF4-FFF2-40B4-BE49-F238E27FC236}">
              <a16:creationId xmlns:a16="http://schemas.microsoft.com/office/drawing/2014/main" id="{00000000-0008-0000-1100-00009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6" name="Text Box 19">
          <a:extLst>
            <a:ext uri="{FF2B5EF4-FFF2-40B4-BE49-F238E27FC236}">
              <a16:creationId xmlns:a16="http://schemas.microsoft.com/office/drawing/2014/main" id="{00000000-0008-0000-1100-00009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7" name="Text Box 20">
          <a:extLst>
            <a:ext uri="{FF2B5EF4-FFF2-40B4-BE49-F238E27FC236}">
              <a16:creationId xmlns:a16="http://schemas.microsoft.com/office/drawing/2014/main" id="{00000000-0008-0000-1100-00009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8" name="Text Box 21">
          <a:extLst>
            <a:ext uri="{FF2B5EF4-FFF2-40B4-BE49-F238E27FC236}">
              <a16:creationId xmlns:a16="http://schemas.microsoft.com/office/drawing/2014/main" id="{00000000-0008-0000-1100-00009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9" name="Text Box 22">
          <a:extLst>
            <a:ext uri="{FF2B5EF4-FFF2-40B4-BE49-F238E27FC236}">
              <a16:creationId xmlns:a16="http://schemas.microsoft.com/office/drawing/2014/main" id="{00000000-0008-0000-1100-00009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0" name="Text Box 23">
          <a:extLst>
            <a:ext uri="{FF2B5EF4-FFF2-40B4-BE49-F238E27FC236}">
              <a16:creationId xmlns:a16="http://schemas.microsoft.com/office/drawing/2014/main" id="{00000000-0008-0000-1100-00009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1" name="Text Box 24">
          <a:extLst>
            <a:ext uri="{FF2B5EF4-FFF2-40B4-BE49-F238E27FC236}">
              <a16:creationId xmlns:a16="http://schemas.microsoft.com/office/drawing/2014/main" id="{00000000-0008-0000-1100-00009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2" name="Text Box 25">
          <a:extLst>
            <a:ext uri="{FF2B5EF4-FFF2-40B4-BE49-F238E27FC236}">
              <a16:creationId xmlns:a16="http://schemas.microsoft.com/office/drawing/2014/main" id="{00000000-0008-0000-1100-00009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3" name="Text Box 26">
          <a:extLst>
            <a:ext uri="{FF2B5EF4-FFF2-40B4-BE49-F238E27FC236}">
              <a16:creationId xmlns:a16="http://schemas.microsoft.com/office/drawing/2014/main" id="{00000000-0008-0000-1100-00009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4" name="Text Box 27">
          <a:extLst>
            <a:ext uri="{FF2B5EF4-FFF2-40B4-BE49-F238E27FC236}">
              <a16:creationId xmlns:a16="http://schemas.microsoft.com/office/drawing/2014/main" id="{00000000-0008-0000-1100-00009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5" name="Text Box 28">
          <a:extLst>
            <a:ext uri="{FF2B5EF4-FFF2-40B4-BE49-F238E27FC236}">
              <a16:creationId xmlns:a16="http://schemas.microsoft.com/office/drawing/2014/main" id="{00000000-0008-0000-1100-00009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6" name="Text Box 29">
          <a:extLst>
            <a:ext uri="{FF2B5EF4-FFF2-40B4-BE49-F238E27FC236}">
              <a16:creationId xmlns:a16="http://schemas.microsoft.com/office/drawing/2014/main" id="{00000000-0008-0000-1100-00009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7" name="Text Box 30">
          <a:extLst>
            <a:ext uri="{FF2B5EF4-FFF2-40B4-BE49-F238E27FC236}">
              <a16:creationId xmlns:a16="http://schemas.microsoft.com/office/drawing/2014/main" id="{00000000-0008-0000-1100-00009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8" name="Text Box 31">
          <a:extLst>
            <a:ext uri="{FF2B5EF4-FFF2-40B4-BE49-F238E27FC236}">
              <a16:creationId xmlns:a16="http://schemas.microsoft.com/office/drawing/2014/main" id="{00000000-0008-0000-1100-00009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9" name="Text Box 32">
          <a:extLst>
            <a:ext uri="{FF2B5EF4-FFF2-40B4-BE49-F238E27FC236}">
              <a16:creationId xmlns:a16="http://schemas.microsoft.com/office/drawing/2014/main" id="{00000000-0008-0000-1100-00009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0" name="Text Box 33">
          <a:extLst>
            <a:ext uri="{FF2B5EF4-FFF2-40B4-BE49-F238E27FC236}">
              <a16:creationId xmlns:a16="http://schemas.microsoft.com/office/drawing/2014/main" id="{00000000-0008-0000-1100-0000A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1" name="Text Box 34">
          <a:extLst>
            <a:ext uri="{FF2B5EF4-FFF2-40B4-BE49-F238E27FC236}">
              <a16:creationId xmlns:a16="http://schemas.microsoft.com/office/drawing/2014/main" id="{00000000-0008-0000-1100-0000A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2" name="Text Box 35">
          <a:extLst>
            <a:ext uri="{FF2B5EF4-FFF2-40B4-BE49-F238E27FC236}">
              <a16:creationId xmlns:a16="http://schemas.microsoft.com/office/drawing/2014/main" id="{00000000-0008-0000-1100-0000A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3" name="Text Box 36">
          <a:extLst>
            <a:ext uri="{FF2B5EF4-FFF2-40B4-BE49-F238E27FC236}">
              <a16:creationId xmlns:a16="http://schemas.microsoft.com/office/drawing/2014/main" id="{00000000-0008-0000-1100-0000A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4" name="Text Box 37">
          <a:extLst>
            <a:ext uri="{FF2B5EF4-FFF2-40B4-BE49-F238E27FC236}">
              <a16:creationId xmlns:a16="http://schemas.microsoft.com/office/drawing/2014/main" id="{00000000-0008-0000-1100-0000A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65" name="Text Box 38">
          <a:extLst>
            <a:ext uri="{FF2B5EF4-FFF2-40B4-BE49-F238E27FC236}">
              <a16:creationId xmlns:a16="http://schemas.microsoft.com/office/drawing/2014/main" id="{00000000-0008-0000-1100-0000A5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6" name="Text Box 39">
          <a:extLst>
            <a:ext uri="{FF2B5EF4-FFF2-40B4-BE49-F238E27FC236}">
              <a16:creationId xmlns:a16="http://schemas.microsoft.com/office/drawing/2014/main" id="{00000000-0008-0000-1100-0000A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7" name="Text Box 40">
          <a:extLst>
            <a:ext uri="{FF2B5EF4-FFF2-40B4-BE49-F238E27FC236}">
              <a16:creationId xmlns:a16="http://schemas.microsoft.com/office/drawing/2014/main" id="{00000000-0008-0000-1100-0000A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8" name="Text Box 41">
          <a:extLst>
            <a:ext uri="{FF2B5EF4-FFF2-40B4-BE49-F238E27FC236}">
              <a16:creationId xmlns:a16="http://schemas.microsoft.com/office/drawing/2014/main" id="{00000000-0008-0000-1100-0000A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9" name="Text Box 42">
          <a:extLst>
            <a:ext uri="{FF2B5EF4-FFF2-40B4-BE49-F238E27FC236}">
              <a16:creationId xmlns:a16="http://schemas.microsoft.com/office/drawing/2014/main" id="{00000000-0008-0000-1100-0000A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70" name="Text Box 1">
          <a:extLst>
            <a:ext uri="{FF2B5EF4-FFF2-40B4-BE49-F238E27FC236}">
              <a16:creationId xmlns:a16="http://schemas.microsoft.com/office/drawing/2014/main" id="{00000000-0008-0000-1100-0000AA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1" name="Text Box 2">
          <a:extLst>
            <a:ext uri="{FF2B5EF4-FFF2-40B4-BE49-F238E27FC236}">
              <a16:creationId xmlns:a16="http://schemas.microsoft.com/office/drawing/2014/main" id="{00000000-0008-0000-1100-0000A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2" name="Text Box 3">
          <a:extLst>
            <a:ext uri="{FF2B5EF4-FFF2-40B4-BE49-F238E27FC236}">
              <a16:creationId xmlns:a16="http://schemas.microsoft.com/office/drawing/2014/main" id="{00000000-0008-0000-1100-0000A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3" name="Text Box 4">
          <a:extLst>
            <a:ext uri="{FF2B5EF4-FFF2-40B4-BE49-F238E27FC236}">
              <a16:creationId xmlns:a16="http://schemas.microsoft.com/office/drawing/2014/main" id="{00000000-0008-0000-1100-0000A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4" name="Text Box 5">
          <a:extLst>
            <a:ext uri="{FF2B5EF4-FFF2-40B4-BE49-F238E27FC236}">
              <a16:creationId xmlns:a16="http://schemas.microsoft.com/office/drawing/2014/main" id="{00000000-0008-0000-1100-0000A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5" name="Text Box 6">
          <a:extLst>
            <a:ext uri="{FF2B5EF4-FFF2-40B4-BE49-F238E27FC236}">
              <a16:creationId xmlns:a16="http://schemas.microsoft.com/office/drawing/2014/main" id="{00000000-0008-0000-1100-0000A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6" name="Text Box 7">
          <a:extLst>
            <a:ext uri="{FF2B5EF4-FFF2-40B4-BE49-F238E27FC236}">
              <a16:creationId xmlns:a16="http://schemas.microsoft.com/office/drawing/2014/main" id="{00000000-0008-0000-1100-0000B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7" name="Text Box 8">
          <a:extLst>
            <a:ext uri="{FF2B5EF4-FFF2-40B4-BE49-F238E27FC236}">
              <a16:creationId xmlns:a16="http://schemas.microsoft.com/office/drawing/2014/main" id="{00000000-0008-0000-1100-0000B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8" name="Text Box 9">
          <a:extLst>
            <a:ext uri="{FF2B5EF4-FFF2-40B4-BE49-F238E27FC236}">
              <a16:creationId xmlns:a16="http://schemas.microsoft.com/office/drawing/2014/main" id="{00000000-0008-0000-1100-0000B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9" name="Text Box 10">
          <a:extLst>
            <a:ext uri="{FF2B5EF4-FFF2-40B4-BE49-F238E27FC236}">
              <a16:creationId xmlns:a16="http://schemas.microsoft.com/office/drawing/2014/main" id="{00000000-0008-0000-1100-0000B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0" name="Text Box 11">
          <a:extLst>
            <a:ext uri="{FF2B5EF4-FFF2-40B4-BE49-F238E27FC236}">
              <a16:creationId xmlns:a16="http://schemas.microsoft.com/office/drawing/2014/main" id="{00000000-0008-0000-1100-0000B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1" name="Text Box 12">
          <a:extLst>
            <a:ext uri="{FF2B5EF4-FFF2-40B4-BE49-F238E27FC236}">
              <a16:creationId xmlns:a16="http://schemas.microsoft.com/office/drawing/2014/main" id="{00000000-0008-0000-1100-0000B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2" name="Text Box 13">
          <a:extLst>
            <a:ext uri="{FF2B5EF4-FFF2-40B4-BE49-F238E27FC236}">
              <a16:creationId xmlns:a16="http://schemas.microsoft.com/office/drawing/2014/main" id="{00000000-0008-0000-1100-0000B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3" name="Text Box 14">
          <a:extLst>
            <a:ext uri="{FF2B5EF4-FFF2-40B4-BE49-F238E27FC236}">
              <a16:creationId xmlns:a16="http://schemas.microsoft.com/office/drawing/2014/main" id="{00000000-0008-0000-1100-0000B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4" name="Text Box 15">
          <a:extLst>
            <a:ext uri="{FF2B5EF4-FFF2-40B4-BE49-F238E27FC236}">
              <a16:creationId xmlns:a16="http://schemas.microsoft.com/office/drawing/2014/main" id="{00000000-0008-0000-1100-0000B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5" name="Text Box 16">
          <a:extLst>
            <a:ext uri="{FF2B5EF4-FFF2-40B4-BE49-F238E27FC236}">
              <a16:creationId xmlns:a16="http://schemas.microsoft.com/office/drawing/2014/main" id="{00000000-0008-0000-1100-0000B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6" name="Text Box 17">
          <a:extLst>
            <a:ext uri="{FF2B5EF4-FFF2-40B4-BE49-F238E27FC236}">
              <a16:creationId xmlns:a16="http://schemas.microsoft.com/office/drawing/2014/main" id="{00000000-0008-0000-1100-0000B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7" name="Text Box 18">
          <a:extLst>
            <a:ext uri="{FF2B5EF4-FFF2-40B4-BE49-F238E27FC236}">
              <a16:creationId xmlns:a16="http://schemas.microsoft.com/office/drawing/2014/main" id="{00000000-0008-0000-1100-0000B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8" name="Text Box 19">
          <a:extLst>
            <a:ext uri="{FF2B5EF4-FFF2-40B4-BE49-F238E27FC236}">
              <a16:creationId xmlns:a16="http://schemas.microsoft.com/office/drawing/2014/main" id="{00000000-0008-0000-1100-0000B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9" name="Text Box 20">
          <a:extLst>
            <a:ext uri="{FF2B5EF4-FFF2-40B4-BE49-F238E27FC236}">
              <a16:creationId xmlns:a16="http://schemas.microsoft.com/office/drawing/2014/main" id="{00000000-0008-0000-1100-0000B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0" name="Text Box 21">
          <a:extLst>
            <a:ext uri="{FF2B5EF4-FFF2-40B4-BE49-F238E27FC236}">
              <a16:creationId xmlns:a16="http://schemas.microsoft.com/office/drawing/2014/main" id="{00000000-0008-0000-1100-0000B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1" name="Text Box 22">
          <a:extLst>
            <a:ext uri="{FF2B5EF4-FFF2-40B4-BE49-F238E27FC236}">
              <a16:creationId xmlns:a16="http://schemas.microsoft.com/office/drawing/2014/main" id="{00000000-0008-0000-1100-0000B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2" name="Text Box 23">
          <a:extLst>
            <a:ext uri="{FF2B5EF4-FFF2-40B4-BE49-F238E27FC236}">
              <a16:creationId xmlns:a16="http://schemas.microsoft.com/office/drawing/2014/main" id="{00000000-0008-0000-1100-0000C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3" name="Text Box 24">
          <a:extLst>
            <a:ext uri="{FF2B5EF4-FFF2-40B4-BE49-F238E27FC236}">
              <a16:creationId xmlns:a16="http://schemas.microsoft.com/office/drawing/2014/main" id="{00000000-0008-0000-1100-0000C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4" name="Text Box 25">
          <a:extLst>
            <a:ext uri="{FF2B5EF4-FFF2-40B4-BE49-F238E27FC236}">
              <a16:creationId xmlns:a16="http://schemas.microsoft.com/office/drawing/2014/main" id="{00000000-0008-0000-1100-0000C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5" name="Text Box 26">
          <a:extLst>
            <a:ext uri="{FF2B5EF4-FFF2-40B4-BE49-F238E27FC236}">
              <a16:creationId xmlns:a16="http://schemas.microsoft.com/office/drawing/2014/main" id="{00000000-0008-0000-1100-0000C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6" name="Text Box 27">
          <a:extLst>
            <a:ext uri="{FF2B5EF4-FFF2-40B4-BE49-F238E27FC236}">
              <a16:creationId xmlns:a16="http://schemas.microsoft.com/office/drawing/2014/main" id="{00000000-0008-0000-1100-0000C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7" name="Text Box 28">
          <a:extLst>
            <a:ext uri="{FF2B5EF4-FFF2-40B4-BE49-F238E27FC236}">
              <a16:creationId xmlns:a16="http://schemas.microsoft.com/office/drawing/2014/main" id="{00000000-0008-0000-1100-0000C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8" name="Text Box 29">
          <a:extLst>
            <a:ext uri="{FF2B5EF4-FFF2-40B4-BE49-F238E27FC236}">
              <a16:creationId xmlns:a16="http://schemas.microsoft.com/office/drawing/2014/main" id="{00000000-0008-0000-1100-0000C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9" name="Text Box 30">
          <a:extLst>
            <a:ext uri="{FF2B5EF4-FFF2-40B4-BE49-F238E27FC236}">
              <a16:creationId xmlns:a16="http://schemas.microsoft.com/office/drawing/2014/main" id="{00000000-0008-0000-1100-0000C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0" name="Text Box 31">
          <a:extLst>
            <a:ext uri="{FF2B5EF4-FFF2-40B4-BE49-F238E27FC236}">
              <a16:creationId xmlns:a16="http://schemas.microsoft.com/office/drawing/2014/main" id="{00000000-0008-0000-1100-0000C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1" name="Text Box 32">
          <a:extLst>
            <a:ext uri="{FF2B5EF4-FFF2-40B4-BE49-F238E27FC236}">
              <a16:creationId xmlns:a16="http://schemas.microsoft.com/office/drawing/2014/main" id="{00000000-0008-0000-1100-0000C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2" name="Text Box 33">
          <a:extLst>
            <a:ext uri="{FF2B5EF4-FFF2-40B4-BE49-F238E27FC236}">
              <a16:creationId xmlns:a16="http://schemas.microsoft.com/office/drawing/2014/main" id="{00000000-0008-0000-1100-0000C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3" name="Text Box 34">
          <a:extLst>
            <a:ext uri="{FF2B5EF4-FFF2-40B4-BE49-F238E27FC236}">
              <a16:creationId xmlns:a16="http://schemas.microsoft.com/office/drawing/2014/main" id="{00000000-0008-0000-1100-0000C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4" name="Text Box 35">
          <a:extLst>
            <a:ext uri="{FF2B5EF4-FFF2-40B4-BE49-F238E27FC236}">
              <a16:creationId xmlns:a16="http://schemas.microsoft.com/office/drawing/2014/main" id="{00000000-0008-0000-1100-0000C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5" name="Text Box 36">
          <a:extLst>
            <a:ext uri="{FF2B5EF4-FFF2-40B4-BE49-F238E27FC236}">
              <a16:creationId xmlns:a16="http://schemas.microsoft.com/office/drawing/2014/main" id="{00000000-0008-0000-1100-0000C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6" name="Text Box 37">
          <a:extLst>
            <a:ext uri="{FF2B5EF4-FFF2-40B4-BE49-F238E27FC236}">
              <a16:creationId xmlns:a16="http://schemas.microsoft.com/office/drawing/2014/main" id="{00000000-0008-0000-1100-0000C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207" name="Text Box 38">
          <a:extLst>
            <a:ext uri="{FF2B5EF4-FFF2-40B4-BE49-F238E27FC236}">
              <a16:creationId xmlns:a16="http://schemas.microsoft.com/office/drawing/2014/main" id="{00000000-0008-0000-1100-0000CF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8" name="Text Box 39">
          <a:extLst>
            <a:ext uri="{FF2B5EF4-FFF2-40B4-BE49-F238E27FC236}">
              <a16:creationId xmlns:a16="http://schemas.microsoft.com/office/drawing/2014/main" id="{00000000-0008-0000-1100-0000D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9" name="Text Box 40">
          <a:extLst>
            <a:ext uri="{FF2B5EF4-FFF2-40B4-BE49-F238E27FC236}">
              <a16:creationId xmlns:a16="http://schemas.microsoft.com/office/drawing/2014/main" id="{00000000-0008-0000-1100-0000D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0" name="Text Box 41">
          <a:extLst>
            <a:ext uri="{FF2B5EF4-FFF2-40B4-BE49-F238E27FC236}">
              <a16:creationId xmlns:a16="http://schemas.microsoft.com/office/drawing/2014/main" id="{00000000-0008-0000-1100-0000D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1" name="Text Box 42">
          <a:extLst>
            <a:ext uri="{FF2B5EF4-FFF2-40B4-BE49-F238E27FC236}">
              <a16:creationId xmlns:a16="http://schemas.microsoft.com/office/drawing/2014/main" id="{00000000-0008-0000-1100-0000D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1200-00000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00000000-0008-0000-1200-00000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00000000-0008-0000-1200-00000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00000000-0008-0000-1200-00000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00000000-0008-0000-1200-00000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00000000-0008-0000-1200-00001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00000000-0008-0000-1200-00001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00000000-0008-0000-1200-00001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00000000-0008-0000-1200-00001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00000000-0008-0000-1200-00001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00000000-0008-0000-1200-00001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" name="Text Box 21">
          <a:extLst>
            <a:ext uri="{FF2B5EF4-FFF2-40B4-BE49-F238E27FC236}">
              <a16:creationId xmlns:a16="http://schemas.microsoft.com/office/drawing/2014/main" id="{00000000-0008-0000-1200-00001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" name="Text Box 22">
          <a:extLst>
            <a:ext uri="{FF2B5EF4-FFF2-40B4-BE49-F238E27FC236}">
              <a16:creationId xmlns:a16="http://schemas.microsoft.com/office/drawing/2014/main" id="{00000000-0008-0000-1200-00001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" name="Text Box 23">
          <a:extLst>
            <a:ext uri="{FF2B5EF4-FFF2-40B4-BE49-F238E27FC236}">
              <a16:creationId xmlns:a16="http://schemas.microsoft.com/office/drawing/2014/main" id="{00000000-0008-0000-1200-00001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5" name="Text Box 24">
          <a:extLst>
            <a:ext uri="{FF2B5EF4-FFF2-40B4-BE49-F238E27FC236}">
              <a16:creationId xmlns:a16="http://schemas.microsoft.com/office/drawing/2014/main" id="{00000000-0008-0000-1200-00001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6" name="Text Box 25">
          <a:extLst>
            <a:ext uri="{FF2B5EF4-FFF2-40B4-BE49-F238E27FC236}">
              <a16:creationId xmlns:a16="http://schemas.microsoft.com/office/drawing/2014/main" id="{00000000-0008-0000-1200-00001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7" name="Text Box 26">
          <a:extLst>
            <a:ext uri="{FF2B5EF4-FFF2-40B4-BE49-F238E27FC236}">
              <a16:creationId xmlns:a16="http://schemas.microsoft.com/office/drawing/2014/main" id="{00000000-0008-0000-1200-00001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8" name="Text Box 27">
          <a:extLst>
            <a:ext uri="{FF2B5EF4-FFF2-40B4-BE49-F238E27FC236}">
              <a16:creationId xmlns:a16="http://schemas.microsoft.com/office/drawing/2014/main" id="{00000000-0008-0000-1200-00001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9" name="Text Box 28">
          <a:extLst>
            <a:ext uri="{FF2B5EF4-FFF2-40B4-BE49-F238E27FC236}">
              <a16:creationId xmlns:a16="http://schemas.microsoft.com/office/drawing/2014/main" id="{00000000-0008-0000-1200-00001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0" name="Text Box 29">
          <a:extLst>
            <a:ext uri="{FF2B5EF4-FFF2-40B4-BE49-F238E27FC236}">
              <a16:creationId xmlns:a16="http://schemas.microsoft.com/office/drawing/2014/main" id="{00000000-0008-0000-1200-00001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1" name="Text Box 30">
          <a:extLst>
            <a:ext uri="{FF2B5EF4-FFF2-40B4-BE49-F238E27FC236}">
              <a16:creationId xmlns:a16="http://schemas.microsoft.com/office/drawing/2014/main" id="{00000000-0008-0000-1200-00001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2" name="Text Box 31">
          <a:extLst>
            <a:ext uri="{FF2B5EF4-FFF2-40B4-BE49-F238E27FC236}">
              <a16:creationId xmlns:a16="http://schemas.microsoft.com/office/drawing/2014/main" id="{00000000-0008-0000-1200-00002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3" name="Text Box 32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4" name="Text Box 33">
          <a:extLst>
            <a:ext uri="{FF2B5EF4-FFF2-40B4-BE49-F238E27FC236}">
              <a16:creationId xmlns:a16="http://schemas.microsoft.com/office/drawing/2014/main" id="{00000000-0008-0000-1200-00002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5" name="Text Box 34">
          <a:extLst>
            <a:ext uri="{FF2B5EF4-FFF2-40B4-BE49-F238E27FC236}">
              <a16:creationId xmlns:a16="http://schemas.microsoft.com/office/drawing/2014/main" id="{00000000-0008-0000-1200-00002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6" name="Text Box 35">
          <a:extLst>
            <a:ext uri="{FF2B5EF4-FFF2-40B4-BE49-F238E27FC236}">
              <a16:creationId xmlns:a16="http://schemas.microsoft.com/office/drawing/2014/main" id="{00000000-0008-0000-1200-00002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7" name="Text Box 36">
          <a:extLst>
            <a:ext uri="{FF2B5EF4-FFF2-40B4-BE49-F238E27FC236}">
              <a16:creationId xmlns:a16="http://schemas.microsoft.com/office/drawing/2014/main" id="{00000000-0008-0000-1200-00002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8" name="Text Box 37">
          <a:extLst>
            <a:ext uri="{FF2B5EF4-FFF2-40B4-BE49-F238E27FC236}">
              <a16:creationId xmlns:a16="http://schemas.microsoft.com/office/drawing/2014/main" id="{00000000-0008-0000-1200-00002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39" name="Text Box 38">
          <a:extLst>
            <a:ext uri="{FF2B5EF4-FFF2-40B4-BE49-F238E27FC236}">
              <a16:creationId xmlns:a16="http://schemas.microsoft.com/office/drawing/2014/main" id="{00000000-0008-0000-1200-000027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0" name="Text Box 39">
          <a:extLst>
            <a:ext uri="{FF2B5EF4-FFF2-40B4-BE49-F238E27FC236}">
              <a16:creationId xmlns:a16="http://schemas.microsoft.com/office/drawing/2014/main" id="{00000000-0008-0000-1200-00002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1" name="Text Box 40">
          <a:extLst>
            <a:ext uri="{FF2B5EF4-FFF2-40B4-BE49-F238E27FC236}">
              <a16:creationId xmlns:a16="http://schemas.microsoft.com/office/drawing/2014/main" id="{00000000-0008-0000-1200-00002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2" name="Text Box 41">
          <a:extLst>
            <a:ext uri="{FF2B5EF4-FFF2-40B4-BE49-F238E27FC236}">
              <a16:creationId xmlns:a16="http://schemas.microsoft.com/office/drawing/2014/main" id="{00000000-0008-0000-1200-00002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3" name="Text Box 42">
          <a:extLst>
            <a:ext uri="{FF2B5EF4-FFF2-40B4-BE49-F238E27FC236}">
              <a16:creationId xmlns:a16="http://schemas.microsoft.com/office/drawing/2014/main" id="{00000000-0008-0000-1200-00002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id="{00000000-0008-0000-1200-00002C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00000000-0008-0000-1200-00002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00000000-0008-0000-1200-00002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7" name="Text Box 4">
          <a:extLst>
            <a:ext uri="{FF2B5EF4-FFF2-40B4-BE49-F238E27FC236}">
              <a16:creationId xmlns:a16="http://schemas.microsoft.com/office/drawing/2014/main" id="{00000000-0008-0000-1200-00002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8" name="Text Box 5">
          <a:extLst>
            <a:ext uri="{FF2B5EF4-FFF2-40B4-BE49-F238E27FC236}">
              <a16:creationId xmlns:a16="http://schemas.microsoft.com/office/drawing/2014/main" id="{00000000-0008-0000-1200-00003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9" name="Text Box 6">
          <a:extLst>
            <a:ext uri="{FF2B5EF4-FFF2-40B4-BE49-F238E27FC236}">
              <a16:creationId xmlns:a16="http://schemas.microsoft.com/office/drawing/2014/main" id="{00000000-0008-0000-1200-00003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0" name="Text Box 7">
          <a:extLst>
            <a:ext uri="{FF2B5EF4-FFF2-40B4-BE49-F238E27FC236}">
              <a16:creationId xmlns:a16="http://schemas.microsoft.com/office/drawing/2014/main" id="{00000000-0008-0000-1200-00003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1" name="Text Box 8">
          <a:extLst>
            <a:ext uri="{FF2B5EF4-FFF2-40B4-BE49-F238E27FC236}">
              <a16:creationId xmlns:a16="http://schemas.microsoft.com/office/drawing/2014/main" id="{00000000-0008-0000-1200-00003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2" name="Text Box 9">
          <a:extLst>
            <a:ext uri="{FF2B5EF4-FFF2-40B4-BE49-F238E27FC236}">
              <a16:creationId xmlns:a16="http://schemas.microsoft.com/office/drawing/2014/main" id="{00000000-0008-0000-1200-00003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3" name="Text Box 10">
          <a:extLst>
            <a:ext uri="{FF2B5EF4-FFF2-40B4-BE49-F238E27FC236}">
              <a16:creationId xmlns:a16="http://schemas.microsoft.com/office/drawing/2014/main" id="{00000000-0008-0000-1200-00003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4" name="Text Box 11">
          <a:extLst>
            <a:ext uri="{FF2B5EF4-FFF2-40B4-BE49-F238E27FC236}">
              <a16:creationId xmlns:a16="http://schemas.microsoft.com/office/drawing/2014/main" id="{00000000-0008-0000-1200-00003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5" name="Text Box 12">
          <a:extLst>
            <a:ext uri="{FF2B5EF4-FFF2-40B4-BE49-F238E27FC236}">
              <a16:creationId xmlns:a16="http://schemas.microsoft.com/office/drawing/2014/main" id="{00000000-0008-0000-1200-00003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6" name="Text Box 13">
          <a:extLst>
            <a:ext uri="{FF2B5EF4-FFF2-40B4-BE49-F238E27FC236}">
              <a16:creationId xmlns:a16="http://schemas.microsoft.com/office/drawing/2014/main" id="{00000000-0008-0000-1200-00003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7" name="Text Box 14">
          <a:extLst>
            <a:ext uri="{FF2B5EF4-FFF2-40B4-BE49-F238E27FC236}">
              <a16:creationId xmlns:a16="http://schemas.microsoft.com/office/drawing/2014/main" id="{00000000-0008-0000-1200-00003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8" name="Text Box 15">
          <a:extLst>
            <a:ext uri="{FF2B5EF4-FFF2-40B4-BE49-F238E27FC236}">
              <a16:creationId xmlns:a16="http://schemas.microsoft.com/office/drawing/2014/main" id="{00000000-0008-0000-1200-00003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9" name="Text Box 16">
          <a:extLst>
            <a:ext uri="{FF2B5EF4-FFF2-40B4-BE49-F238E27FC236}">
              <a16:creationId xmlns:a16="http://schemas.microsoft.com/office/drawing/2014/main" id="{00000000-0008-0000-1200-00003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0" name="Text Box 17">
          <a:extLst>
            <a:ext uri="{FF2B5EF4-FFF2-40B4-BE49-F238E27FC236}">
              <a16:creationId xmlns:a16="http://schemas.microsoft.com/office/drawing/2014/main" id="{00000000-0008-0000-1200-00003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1" name="Text Box 18">
          <a:extLst>
            <a:ext uri="{FF2B5EF4-FFF2-40B4-BE49-F238E27FC236}">
              <a16:creationId xmlns:a16="http://schemas.microsoft.com/office/drawing/2014/main" id="{00000000-0008-0000-1200-00003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2" name="Text Box 19">
          <a:extLst>
            <a:ext uri="{FF2B5EF4-FFF2-40B4-BE49-F238E27FC236}">
              <a16:creationId xmlns:a16="http://schemas.microsoft.com/office/drawing/2014/main" id="{00000000-0008-0000-1200-00003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3" name="Text Box 20">
          <a:extLst>
            <a:ext uri="{FF2B5EF4-FFF2-40B4-BE49-F238E27FC236}">
              <a16:creationId xmlns:a16="http://schemas.microsoft.com/office/drawing/2014/main" id="{00000000-0008-0000-1200-00003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4" name="Text Box 21">
          <a:extLst>
            <a:ext uri="{FF2B5EF4-FFF2-40B4-BE49-F238E27FC236}">
              <a16:creationId xmlns:a16="http://schemas.microsoft.com/office/drawing/2014/main" id="{00000000-0008-0000-1200-00004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5" name="Text Box 22">
          <a:extLst>
            <a:ext uri="{FF2B5EF4-FFF2-40B4-BE49-F238E27FC236}">
              <a16:creationId xmlns:a16="http://schemas.microsoft.com/office/drawing/2014/main" id="{00000000-0008-0000-1200-00004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6" name="Text Box 23">
          <a:extLst>
            <a:ext uri="{FF2B5EF4-FFF2-40B4-BE49-F238E27FC236}">
              <a16:creationId xmlns:a16="http://schemas.microsoft.com/office/drawing/2014/main" id="{00000000-0008-0000-1200-00004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7" name="Text Box 24">
          <a:extLst>
            <a:ext uri="{FF2B5EF4-FFF2-40B4-BE49-F238E27FC236}">
              <a16:creationId xmlns:a16="http://schemas.microsoft.com/office/drawing/2014/main" id="{00000000-0008-0000-1200-00004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8" name="Text Box 25">
          <a:extLst>
            <a:ext uri="{FF2B5EF4-FFF2-40B4-BE49-F238E27FC236}">
              <a16:creationId xmlns:a16="http://schemas.microsoft.com/office/drawing/2014/main" id="{00000000-0008-0000-1200-00004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9" name="Text Box 26">
          <a:extLst>
            <a:ext uri="{FF2B5EF4-FFF2-40B4-BE49-F238E27FC236}">
              <a16:creationId xmlns:a16="http://schemas.microsoft.com/office/drawing/2014/main" id="{00000000-0008-0000-1200-00004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0" name="Text Box 27">
          <a:extLst>
            <a:ext uri="{FF2B5EF4-FFF2-40B4-BE49-F238E27FC236}">
              <a16:creationId xmlns:a16="http://schemas.microsoft.com/office/drawing/2014/main" id="{00000000-0008-0000-1200-00004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1" name="Text Box 28">
          <a:extLst>
            <a:ext uri="{FF2B5EF4-FFF2-40B4-BE49-F238E27FC236}">
              <a16:creationId xmlns:a16="http://schemas.microsoft.com/office/drawing/2014/main" id="{00000000-0008-0000-1200-00004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2" name="Text Box 29">
          <a:extLst>
            <a:ext uri="{FF2B5EF4-FFF2-40B4-BE49-F238E27FC236}">
              <a16:creationId xmlns:a16="http://schemas.microsoft.com/office/drawing/2014/main" id="{00000000-0008-0000-1200-00004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3" name="Text Box 30">
          <a:extLst>
            <a:ext uri="{FF2B5EF4-FFF2-40B4-BE49-F238E27FC236}">
              <a16:creationId xmlns:a16="http://schemas.microsoft.com/office/drawing/2014/main" id="{00000000-0008-0000-1200-00004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4" name="Text Box 31">
          <a:extLst>
            <a:ext uri="{FF2B5EF4-FFF2-40B4-BE49-F238E27FC236}">
              <a16:creationId xmlns:a16="http://schemas.microsoft.com/office/drawing/2014/main" id="{00000000-0008-0000-1200-00004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5" name="Text Box 32">
          <a:extLst>
            <a:ext uri="{FF2B5EF4-FFF2-40B4-BE49-F238E27FC236}">
              <a16:creationId xmlns:a16="http://schemas.microsoft.com/office/drawing/2014/main" id="{00000000-0008-0000-1200-00004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6" name="Text Box 33">
          <a:extLst>
            <a:ext uri="{FF2B5EF4-FFF2-40B4-BE49-F238E27FC236}">
              <a16:creationId xmlns:a16="http://schemas.microsoft.com/office/drawing/2014/main" id="{00000000-0008-0000-1200-00004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7" name="Text Box 34">
          <a:extLst>
            <a:ext uri="{FF2B5EF4-FFF2-40B4-BE49-F238E27FC236}">
              <a16:creationId xmlns:a16="http://schemas.microsoft.com/office/drawing/2014/main" id="{00000000-0008-0000-1200-00004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8" name="Text Box 35">
          <a:extLst>
            <a:ext uri="{FF2B5EF4-FFF2-40B4-BE49-F238E27FC236}">
              <a16:creationId xmlns:a16="http://schemas.microsoft.com/office/drawing/2014/main" id="{00000000-0008-0000-1200-00004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9" name="Text Box 36">
          <a:extLst>
            <a:ext uri="{FF2B5EF4-FFF2-40B4-BE49-F238E27FC236}">
              <a16:creationId xmlns:a16="http://schemas.microsoft.com/office/drawing/2014/main" id="{00000000-0008-0000-1200-00004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0" name="Text Box 37">
          <a:extLst>
            <a:ext uri="{FF2B5EF4-FFF2-40B4-BE49-F238E27FC236}">
              <a16:creationId xmlns:a16="http://schemas.microsoft.com/office/drawing/2014/main" id="{00000000-0008-0000-1200-00005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1" name="Text Box 38">
          <a:extLst>
            <a:ext uri="{FF2B5EF4-FFF2-40B4-BE49-F238E27FC236}">
              <a16:creationId xmlns:a16="http://schemas.microsoft.com/office/drawing/2014/main" id="{00000000-0008-0000-1200-000051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2" name="Text Box 39">
          <a:extLst>
            <a:ext uri="{FF2B5EF4-FFF2-40B4-BE49-F238E27FC236}">
              <a16:creationId xmlns:a16="http://schemas.microsoft.com/office/drawing/2014/main" id="{00000000-0008-0000-1200-00005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3" name="Text Box 40">
          <a:extLst>
            <a:ext uri="{FF2B5EF4-FFF2-40B4-BE49-F238E27FC236}">
              <a16:creationId xmlns:a16="http://schemas.microsoft.com/office/drawing/2014/main" id="{00000000-0008-0000-1200-00005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4" name="Text Box 41">
          <a:extLst>
            <a:ext uri="{FF2B5EF4-FFF2-40B4-BE49-F238E27FC236}">
              <a16:creationId xmlns:a16="http://schemas.microsoft.com/office/drawing/2014/main" id="{00000000-0008-0000-1200-00005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5" name="Text Box 42">
          <a:extLst>
            <a:ext uri="{FF2B5EF4-FFF2-40B4-BE49-F238E27FC236}">
              <a16:creationId xmlns:a16="http://schemas.microsoft.com/office/drawing/2014/main" id="{00000000-0008-0000-1200-00005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00000000-0008-0000-1300-00000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00000000-0008-0000-1300-00000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00000000-0008-0000-1300-00000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00000000-0008-0000-1300-00000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" name="Text Box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" name="Text Box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" name="Text Box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5" name="Text Box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6" name="Text Box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7" name="Text Box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8" name="Text Box 27">
          <a:extLst>
            <a:ext uri="{FF2B5EF4-FFF2-40B4-BE49-F238E27FC236}">
              <a16:creationId xmlns:a16="http://schemas.microsoft.com/office/drawing/2014/main" id="{00000000-0008-0000-1300-00001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9" name="Text Box 28">
          <a:extLst>
            <a:ext uri="{FF2B5EF4-FFF2-40B4-BE49-F238E27FC236}">
              <a16:creationId xmlns:a16="http://schemas.microsoft.com/office/drawing/2014/main" id="{00000000-0008-0000-1300-00001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0" name="Text Box 29">
          <a:extLst>
            <a:ext uri="{FF2B5EF4-FFF2-40B4-BE49-F238E27FC236}">
              <a16:creationId xmlns:a16="http://schemas.microsoft.com/office/drawing/2014/main" id="{00000000-0008-0000-1300-00001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1" name="Text Box 30">
          <a:extLst>
            <a:ext uri="{FF2B5EF4-FFF2-40B4-BE49-F238E27FC236}">
              <a16:creationId xmlns:a16="http://schemas.microsoft.com/office/drawing/2014/main" id="{00000000-0008-0000-1300-00001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2" name="Text Box 31">
          <a:extLst>
            <a:ext uri="{FF2B5EF4-FFF2-40B4-BE49-F238E27FC236}">
              <a16:creationId xmlns:a16="http://schemas.microsoft.com/office/drawing/2014/main" id="{00000000-0008-0000-1300-00002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3" name="Text Box 32">
          <a:extLst>
            <a:ext uri="{FF2B5EF4-FFF2-40B4-BE49-F238E27FC236}">
              <a16:creationId xmlns:a16="http://schemas.microsoft.com/office/drawing/2014/main" id="{00000000-0008-0000-1300-00002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4" name="Text Box 33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5" name="Text Box 34">
          <a:extLst>
            <a:ext uri="{FF2B5EF4-FFF2-40B4-BE49-F238E27FC236}">
              <a16:creationId xmlns:a16="http://schemas.microsoft.com/office/drawing/2014/main" id="{00000000-0008-0000-1300-00002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6" name="Text Box 35">
          <a:extLst>
            <a:ext uri="{FF2B5EF4-FFF2-40B4-BE49-F238E27FC236}">
              <a16:creationId xmlns:a16="http://schemas.microsoft.com/office/drawing/2014/main" id="{00000000-0008-0000-1300-00002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7" name="Text Box 36">
          <a:extLst>
            <a:ext uri="{FF2B5EF4-FFF2-40B4-BE49-F238E27FC236}">
              <a16:creationId xmlns:a16="http://schemas.microsoft.com/office/drawing/2014/main" id="{00000000-0008-0000-1300-00002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8" name="Text Box 37">
          <a:extLst>
            <a:ext uri="{FF2B5EF4-FFF2-40B4-BE49-F238E27FC236}">
              <a16:creationId xmlns:a16="http://schemas.microsoft.com/office/drawing/2014/main" id="{00000000-0008-0000-1300-00002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39" name="Text Box 38">
          <a:extLst>
            <a:ext uri="{FF2B5EF4-FFF2-40B4-BE49-F238E27FC236}">
              <a16:creationId xmlns:a16="http://schemas.microsoft.com/office/drawing/2014/main" id="{00000000-0008-0000-1300-000027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0" name="Text Box 39">
          <a:extLst>
            <a:ext uri="{FF2B5EF4-FFF2-40B4-BE49-F238E27FC236}">
              <a16:creationId xmlns:a16="http://schemas.microsoft.com/office/drawing/2014/main" id="{00000000-0008-0000-1300-00002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1" name="Text Box 40">
          <a:extLst>
            <a:ext uri="{FF2B5EF4-FFF2-40B4-BE49-F238E27FC236}">
              <a16:creationId xmlns:a16="http://schemas.microsoft.com/office/drawing/2014/main" id="{00000000-0008-0000-1300-00002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2" name="Text Box 41">
          <a:extLst>
            <a:ext uri="{FF2B5EF4-FFF2-40B4-BE49-F238E27FC236}">
              <a16:creationId xmlns:a16="http://schemas.microsoft.com/office/drawing/2014/main" id="{00000000-0008-0000-1300-00002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3" name="Text Box 42">
          <a:extLst>
            <a:ext uri="{FF2B5EF4-FFF2-40B4-BE49-F238E27FC236}">
              <a16:creationId xmlns:a16="http://schemas.microsoft.com/office/drawing/2014/main" id="{00000000-0008-0000-1300-00002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id="{00000000-0008-0000-1300-00002C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00000000-0008-0000-1300-00002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00000000-0008-0000-1300-00002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7" name="Text Box 4">
          <a:extLst>
            <a:ext uri="{FF2B5EF4-FFF2-40B4-BE49-F238E27FC236}">
              <a16:creationId xmlns:a16="http://schemas.microsoft.com/office/drawing/2014/main" id="{00000000-0008-0000-1300-00002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8" name="Text Box 5">
          <a:extLst>
            <a:ext uri="{FF2B5EF4-FFF2-40B4-BE49-F238E27FC236}">
              <a16:creationId xmlns:a16="http://schemas.microsoft.com/office/drawing/2014/main" id="{00000000-0008-0000-1300-00003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9" name="Text Box 6">
          <a:extLst>
            <a:ext uri="{FF2B5EF4-FFF2-40B4-BE49-F238E27FC236}">
              <a16:creationId xmlns:a16="http://schemas.microsoft.com/office/drawing/2014/main" id="{00000000-0008-0000-1300-00003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0" name="Text Box 7">
          <a:extLst>
            <a:ext uri="{FF2B5EF4-FFF2-40B4-BE49-F238E27FC236}">
              <a16:creationId xmlns:a16="http://schemas.microsoft.com/office/drawing/2014/main" id="{00000000-0008-0000-1300-00003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1" name="Text Box 8">
          <a:extLst>
            <a:ext uri="{FF2B5EF4-FFF2-40B4-BE49-F238E27FC236}">
              <a16:creationId xmlns:a16="http://schemas.microsoft.com/office/drawing/2014/main" id="{00000000-0008-0000-1300-00003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2" name="Text Box 9">
          <a:extLst>
            <a:ext uri="{FF2B5EF4-FFF2-40B4-BE49-F238E27FC236}">
              <a16:creationId xmlns:a16="http://schemas.microsoft.com/office/drawing/2014/main" id="{00000000-0008-0000-1300-00003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3" name="Text Box 10">
          <a:extLst>
            <a:ext uri="{FF2B5EF4-FFF2-40B4-BE49-F238E27FC236}">
              <a16:creationId xmlns:a16="http://schemas.microsoft.com/office/drawing/2014/main" id="{00000000-0008-0000-1300-00003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4" name="Text Box 11">
          <a:extLst>
            <a:ext uri="{FF2B5EF4-FFF2-40B4-BE49-F238E27FC236}">
              <a16:creationId xmlns:a16="http://schemas.microsoft.com/office/drawing/2014/main" id="{00000000-0008-0000-1300-00003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5" name="Text Box 12">
          <a:extLst>
            <a:ext uri="{FF2B5EF4-FFF2-40B4-BE49-F238E27FC236}">
              <a16:creationId xmlns:a16="http://schemas.microsoft.com/office/drawing/2014/main" id="{00000000-0008-0000-1300-00003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6" name="Text Box 13">
          <a:extLst>
            <a:ext uri="{FF2B5EF4-FFF2-40B4-BE49-F238E27FC236}">
              <a16:creationId xmlns:a16="http://schemas.microsoft.com/office/drawing/2014/main" id="{00000000-0008-0000-1300-00003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7" name="Text Box 14">
          <a:extLst>
            <a:ext uri="{FF2B5EF4-FFF2-40B4-BE49-F238E27FC236}">
              <a16:creationId xmlns:a16="http://schemas.microsoft.com/office/drawing/2014/main" id="{00000000-0008-0000-1300-00003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8" name="Text Box 15">
          <a:extLst>
            <a:ext uri="{FF2B5EF4-FFF2-40B4-BE49-F238E27FC236}">
              <a16:creationId xmlns:a16="http://schemas.microsoft.com/office/drawing/2014/main" id="{00000000-0008-0000-1300-00003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9" name="Text Box 16">
          <a:extLst>
            <a:ext uri="{FF2B5EF4-FFF2-40B4-BE49-F238E27FC236}">
              <a16:creationId xmlns:a16="http://schemas.microsoft.com/office/drawing/2014/main" id="{00000000-0008-0000-1300-00003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0" name="Text Box 17">
          <a:extLst>
            <a:ext uri="{FF2B5EF4-FFF2-40B4-BE49-F238E27FC236}">
              <a16:creationId xmlns:a16="http://schemas.microsoft.com/office/drawing/2014/main" id="{00000000-0008-0000-1300-00003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1" name="Text Box 18">
          <a:extLst>
            <a:ext uri="{FF2B5EF4-FFF2-40B4-BE49-F238E27FC236}">
              <a16:creationId xmlns:a16="http://schemas.microsoft.com/office/drawing/2014/main" id="{00000000-0008-0000-1300-00003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2" name="Text Box 19">
          <a:extLst>
            <a:ext uri="{FF2B5EF4-FFF2-40B4-BE49-F238E27FC236}">
              <a16:creationId xmlns:a16="http://schemas.microsoft.com/office/drawing/2014/main" id="{00000000-0008-0000-1300-00003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3" name="Text Box 20">
          <a:extLst>
            <a:ext uri="{FF2B5EF4-FFF2-40B4-BE49-F238E27FC236}">
              <a16:creationId xmlns:a16="http://schemas.microsoft.com/office/drawing/2014/main" id="{00000000-0008-0000-1300-00003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4" name="Text Box 21">
          <a:extLst>
            <a:ext uri="{FF2B5EF4-FFF2-40B4-BE49-F238E27FC236}">
              <a16:creationId xmlns:a16="http://schemas.microsoft.com/office/drawing/2014/main" id="{00000000-0008-0000-1300-00004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5" name="Text Box 22">
          <a:extLst>
            <a:ext uri="{FF2B5EF4-FFF2-40B4-BE49-F238E27FC236}">
              <a16:creationId xmlns:a16="http://schemas.microsoft.com/office/drawing/2014/main" id="{00000000-0008-0000-1300-00004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6" name="Text Box 23">
          <a:extLst>
            <a:ext uri="{FF2B5EF4-FFF2-40B4-BE49-F238E27FC236}">
              <a16:creationId xmlns:a16="http://schemas.microsoft.com/office/drawing/2014/main" id="{00000000-0008-0000-1300-00004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7" name="Text Box 24">
          <a:extLst>
            <a:ext uri="{FF2B5EF4-FFF2-40B4-BE49-F238E27FC236}">
              <a16:creationId xmlns:a16="http://schemas.microsoft.com/office/drawing/2014/main" id="{00000000-0008-0000-1300-00004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8" name="Text Box 25">
          <a:extLst>
            <a:ext uri="{FF2B5EF4-FFF2-40B4-BE49-F238E27FC236}">
              <a16:creationId xmlns:a16="http://schemas.microsoft.com/office/drawing/2014/main" id="{00000000-0008-0000-1300-00004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9" name="Text Box 26">
          <a:extLst>
            <a:ext uri="{FF2B5EF4-FFF2-40B4-BE49-F238E27FC236}">
              <a16:creationId xmlns:a16="http://schemas.microsoft.com/office/drawing/2014/main" id="{00000000-0008-0000-1300-00004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0" name="Text Box 27">
          <a:extLst>
            <a:ext uri="{FF2B5EF4-FFF2-40B4-BE49-F238E27FC236}">
              <a16:creationId xmlns:a16="http://schemas.microsoft.com/office/drawing/2014/main" id="{00000000-0008-0000-1300-00004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1" name="Text Box 28">
          <a:extLst>
            <a:ext uri="{FF2B5EF4-FFF2-40B4-BE49-F238E27FC236}">
              <a16:creationId xmlns:a16="http://schemas.microsoft.com/office/drawing/2014/main" id="{00000000-0008-0000-1300-00004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2" name="Text Box 29">
          <a:extLst>
            <a:ext uri="{FF2B5EF4-FFF2-40B4-BE49-F238E27FC236}">
              <a16:creationId xmlns:a16="http://schemas.microsoft.com/office/drawing/2014/main" id="{00000000-0008-0000-1300-00004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3" name="Text Box 30">
          <a:extLst>
            <a:ext uri="{FF2B5EF4-FFF2-40B4-BE49-F238E27FC236}">
              <a16:creationId xmlns:a16="http://schemas.microsoft.com/office/drawing/2014/main" id="{00000000-0008-0000-1300-00004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4" name="Text Box 31">
          <a:extLst>
            <a:ext uri="{FF2B5EF4-FFF2-40B4-BE49-F238E27FC236}">
              <a16:creationId xmlns:a16="http://schemas.microsoft.com/office/drawing/2014/main" id="{00000000-0008-0000-1300-00004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5" name="Text Box 32">
          <a:extLst>
            <a:ext uri="{FF2B5EF4-FFF2-40B4-BE49-F238E27FC236}">
              <a16:creationId xmlns:a16="http://schemas.microsoft.com/office/drawing/2014/main" id="{00000000-0008-0000-1300-00004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6" name="Text Box 33">
          <a:extLst>
            <a:ext uri="{FF2B5EF4-FFF2-40B4-BE49-F238E27FC236}">
              <a16:creationId xmlns:a16="http://schemas.microsoft.com/office/drawing/2014/main" id="{00000000-0008-0000-1300-00004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7" name="Text Box 34">
          <a:extLst>
            <a:ext uri="{FF2B5EF4-FFF2-40B4-BE49-F238E27FC236}">
              <a16:creationId xmlns:a16="http://schemas.microsoft.com/office/drawing/2014/main" id="{00000000-0008-0000-1300-00004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8" name="Text Box 35">
          <a:extLst>
            <a:ext uri="{FF2B5EF4-FFF2-40B4-BE49-F238E27FC236}">
              <a16:creationId xmlns:a16="http://schemas.microsoft.com/office/drawing/2014/main" id="{00000000-0008-0000-1300-00004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9" name="Text Box 36">
          <a:extLst>
            <a:ext uri="{FF2B5EF4-FFF2-40B4-BE49-F238E27FC236}">
              <a16:creationId xmlns:a16="http://schemas.microsoft.com/office/drawing/2014/main" id="{00000000-0008-0000-1300-00004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0" name="Text Box 37">
          <a:extLst>
            <a:ext uri="{FF2B5EF4-FFF2-40B4-BE49-F238E27FC236}">
              <a16:creationId xmlns:a16="http://schemas.microsoft.com/office/drawing/2014/main" id="{00000000-0008-0000-1300-00005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1" name="Text Box 38">
          <a:extLst>
            <a:ext uri="{FF2B5EF4-FFF2-40B4-BE49-F238E27FC236}">
              <a16:creationId xmlns:a16="http://schemas.microsoft.com/office/drawing/2014/main" id="{00000000-0008-0000-1300-000051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2" name="Text Box 39">
          <a:extLst>
            <a:ext uri="{FF2B5EF4-FFF2-40B4-BE49-F238E27FC236}">
              <a16:creationId xmlns:a16="http://schemas.microsoft.com/office/drawing/2014/main" id="{00000000-0008-0000-1300-00005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3" name="Text Box 40">
          <a:extLst>
            <a:ext uri="{FF2B5EF4-FFF2-40B4-BE49-F238E27FC236}">
              <a16:creationId xmlns:a16="http://schemas.microsoft.com/office/drawing/2014/main" id="{00000000-0008-0000-1300-00005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4" name="Text Box 41">
          <a:extLst>
            <a:ext uri="{FF2B5EF4-FFF2-40B4-BE49-F238E27FC236}">
              <a16:creationId xmlns:a16="http://schemas.microsoft.com/office/drawing/2014/main" id="{00000000-0008-0000-1300-00005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5" name="Text Box 42">
          <a:extLst>
            <a:ext uri="{FF2B5EF4-FFF2-40B4-BE49-F238E27FC236}">
              <a16:creationId xmlns:a16="http://schemas.microsoft.com/office/drawing/2014/main" id="{00000000-0008-0000-1300-00005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6" name="Text Box 1">
          <a:extLst>
            <a:ext uri="{FF2B5EF4-FFF2-40B4-BE49-F238E27FC236}">
              <a16:creationId xmlns:a16="http://schemas.microsoft.com/office/drawing/2014/main" id="{00000000-0008-0000-1300-000056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7" name="Text Box 2">
          <a:extLst>
            <a:ext uri="{FF2B5EF4-FFF2-40B4-BE49-F238E27FC236}">
              <a16:creationId xmlns:a16="http://schemas.microsoft.com/office/drawing/2014/main" id="{00000000-0008-0000-1300-00005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8" name="Text Box 3">
          <a:extLst>
            <a:ext uri="{FF2B5EF4-FFF2-40B4-BE49-F238E27FC236}">
              <a16:creationId xmlns:a16="http://schemas.microsoft.com/office/drawing/2014/main" id="{00000000-0008-0000-1300-00005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9" name="Text Box 4">
          <a:extLst>
            <a:ext uri="{FF2B5EF4-FFF2-40B4-BE49-F238E27FC236}">
              <a16:creationId xmlns:a16="http://schemas.microsoft.com/office/drawing/2014/main" id="{00000000-0008-0000-1300-00005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0" name="Text Box 5">
          <a:extLst>
            <a:ext uri="{FF2B5EF4-FFF2-40B4-BE49-F238E27FC236}">
              <a16:creationId xmlns:a16="http://schemas.microsoft.com/office/drawing/2014/main" id="{00000000-0008-0000-1300-00005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1" name="Text Box 6">
          <a:extLst>
            <a:ext uri="{FF2B5EF4-FFF2-40B4-BE49-F238E27FC236}">
              <a16:creationId xmlns:a16="http://schemas.microsoft.com/office/drawing/2014/main" id="{00000000-0008-0000-1300-00005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2" name="Text Box 7">
          <a:extLst>
            <a:ext uri="{FF2B5EF4-FFF2-40B4-BE49-F238E27FC236}">
              <a16:creationId xmlns:a16="http://schemas.microsoft.com/office/drawing/2014/main" id="{00000000-0008-0000-1300-00005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3" name="Text Box 8">
          <a:extLst>
            <a:ext uri="{FF2B5EF4-FFF2-40B4-BE49-F238E27FC236}">
              <a16:creationId xmlns:a16="http://schemas.microsoft.com/office/drawing/2014/main" id="{00000000-0008-0000-1300-00005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4" name="Text Box 9">
          <a:extLst>
            <a:ext uri="{FF2B5EF4-FFF2-40B4-BE49-F238E27FC236}">
              <a16:creationId xmlns:a16="http://schemas.microsoft.com/office/drawing/2014/main" id="{00000000-0008-0000-1300-00005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5" name="Text Box 10">
          <a:extLst>
            <a:ext uri="{FF2B5EF4-FFF2-40B4-BE49-F238E27FC236}">
              <a16:creationId xmlns:a16="http://schemas.microsoft.com/office/drawing/2014/main" id="{00000000-0008-0000-1300-00005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6" name="Text Box 11">
          <a:extLst>
            <a:ext uri="{FF2B5EF4-FFF2-40B4-BE49-F238E27FC236}">
              <a16:creationId xmlns:a16="http://schemas.microsoft.com/office/drawing/2014/main" id="{00000000-0008-0000-1300-00006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7" name="Text Box 12">
          <a:extLst>
            <a:ext uri="{FF2B5EF4-FFF2-40B4-BE49-F238E27FC236}">
              <a16:creationId xmlns:a16="http://schemas.microsoft.com/office/drawing/2014/main" id="{00000000-0008-0000-1300-00006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8" name="Text Box 13">
          <a:extLst>
            <a:ext uri="{FF2B5EF4-FFF2-40B4-BE49-F238E27FC236}">
              <a16:creationId xmlns:a16="http://schemas.microsoft.com/office/drawing/2014/main" id="{00000000-0008-0000-1300-00006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9" name="Text Box 14">
          <a:extLst>
            <a:ext uri="{FF2B5EF4-FFF2-40B4-BE49-F238E27FC236}">
              <a16:creationId xmlns:a16="http://schemas.microsoft.com/office/drawing/2014/main" id="{00000000-0008-0000-1300-00006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0" name="Text Box 15">
          <a:extLst>
            <a:ext uri="{FF2B5EF4-FFF2-40B4-BE49-F238E27FC236}">
              <a16:creationId xmlns:a16="http://schemas.microsoft.com/office/drawing/2014/main" id="{00000000-0008-0000-1300-00006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1" name="Text Box 16">
          <a:extLst>
            <a:ext uri="{FF2B5EF4-FFF2-40B4-BE49-F238E27FC236}">
              <a16:creationId xmlns:a16="http://schemas.microsoft.com/office/drawing/2014/main" id="{00000000-0008-0000-1300-00006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2" name="Text Box 17">
          <a:extLst>
            <a:ext uri="{FF2B5EF4-FFF2-40B4-BE49-F238E27FC236}">
              <a16:creationId xmlns:a16="http://schemas.microsoft.com/office/drawing/2014/main" id="{00000000-0008-0000-1300-00006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3" name="Text Box 18">
          <a:extLst>
            <a:ext uri="{FF2B5EF4-FFF2-40B4-BE49-F238E27FC236}">
              <a16:creationId xmlns:a16="http://schemas.microsoft.com/office/drawing/2014/main" id="{00000000-0008-0000-1300-00006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4" name="Text Box 19">
          <a:extLst>
            <a:ext uri="{FF2B5EF4-FFF2-40B4-BE49-F238E27FC236}">
              <a16:creationId xmlns:a16="http://schemas.microsoft.com/office/drawing/2014/main" id="{00000000-0008-0000-1300-00006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5" name="Text Box 20">
          <a:extLst>
            <a:ext uri="{FF2B5EF4-FFF2-40B4-BE49-F238E27FC236}">
              <a16:creationId xmlns:a16="http://schemas.microsoft.com/office/drawing/2014/main" id="{00000000-0008-0000-1300-00006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6" name="Text Box 21">
          <a:extLst>
            <a:ext uri="{FF2B5EF4-FFF2-40B4-BE49-F238E27FC236}">
              <a16:creationId xmlns:a16="http://schemas.microsoft.com/office/drawing/2014/main" id="{00000000-0008-0000-1300-00006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7" name="Text Box 22">
          <a:extLst>
            <a:ext uri="{FF2B5EF4-FFF2-40B4-BE49-F238E27FC236}">
              <a16:creationId xmlns:a16="http://schemas.microsoft.com/office/drawing/2014/main" id="{00000000-0008-0000-1300-00006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8" name="Text Box 23">
          <a:extLst>
            <a:ext uri="{FF2B5EF4-FFF2-40B4-BE49-F238E27FC236}">
              <a16:creationId xmlns:a16="http://schemas.microsoft.com/office/drawing/2014/main" id="{00000000-0008-0000-1300-00006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9" name="Text Box 24">
          <a:extLst>
            <a:ext uri="{FF2B5EF4-FFF2-40B4-BE49-F238E27FC236}">
              <a16:creationId xmlns:a16="http://schemas.microsoft.com/office/drawing/2014/main" id="{00000000-0008-0000-1300-00006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0" name="Text Box 25">
          <a:extLst>
            <a:ext uri="{FF2B5EF4-FFF2-40B4-BE49-F238E27FC236}">
              <a16:creationId xmlns:a16="http://schemas.microsoft.com/office/drawing/2014/main" id="{00000000-0008-0000-1300-00006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1" name="Text Box 26">
          <a:extLst>
            <a:ext uri="{FF2B5EF4-FFF2-40B4-BE49-F238E27FC236}">
              <a16:creationId xmlns:a16="http://schemas.microsoft.com/office/drawing/2014/main" id="{00000000-0008-0000-1300-00006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2" name="Text Box 27">
          <a:extLst>
            <a:ext uri="{FF2B5EF4-FFF2-40B4-BE49-F238E27FC236}">
              <a16:creationId xmlns:a16="http://schemas.microsoft.com/office/drawing/2014/main" id="{00000000-0008-0000-1300-00007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3" name="Text Box 28">
          <a:extLst>
            <a:ext uri="{FF2B5EF4-FFF2-40B4-BE49-F238E27FC236}">
              <a16:creationId xmlns:a16="http://schemas.microsoft.com/office/drawing/2014/main" id="{00000000-0008-0000-1300-00007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4" name="Text Box 29">
          <a:extLst>
            <a:ext uri="{FF2B5EF4-FFF2-40B4-BE49-F238E27FC236}">
              <a16:creationId xmlns:a16="http://schemas.microsoft.com/office/drawing/2014/main" id="{00000000-0008-0000-1300-00007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5" name="Text Box 30">
          <a:extLst>
            <a:ext uri="{FF2B5EF4-FFF2-40B4-BE49-F238E27FC236}">
              <a16:creationId xmlns:a16="http://schemas.microsoft.com/office/drawing/2014/main" id="{00000000-0008-0000-1300-00007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6" name="Text Box 31">
          <a:extLst>
            <a:ext uri="{FF2B5EF4-FFF2-40B4-BE49-F238E27FC236}">
              <a16:creationId xmlns:a16="http://schemas.microsoft.com/office/drawing/2014/main" id="{00000000-0008-0000-1300-00007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7" name="Text Box 32">
          <a:extLst>
            <a:ext uri="{FF2B5EF4-FFF2-40B4-BE49-F238E27FC236}">
              <a16:creationId xmlns:a16="http://schemas.microsoft.com/office/drawing/2014/main" id="{00000000-0008-0000-1300-00007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8" name="Text Box 33">
          <a:extLst>
            <a:ext uri="{FF2B5EF4-FFF2-40B4-BE49-F238E27FC236}">
              <a16:creationId xmlns:a16="http://schemas.microsoft.com/office/drawing/2014/main" id="{00000000-0008-0000-1300-00007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9" name="Text Box 34">
          <a:extLst>
            <a:ext uri="{FF2B5EF4-FFF2-40B4-BE49-F238E27FC236}">
              <a16:creationId xmlns:a16="http://schemas.microsoft.com/office/drawing/2014/main" id="{00000000-0008-0000-1300-00007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0" name="Text Box 35">
          <a:extLst>
            <a:ext uri="{FF2B5EF4-FFF2-40B4-BE49-F238E27FC236}">
              <a16:creationId xmlns:a16="http://schemas.microsoft.com/office/drawing/2014/main" id="{00000000-0008-0000-1300-00007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1" name="Text Box 36">
          <a:extLst>
            <a:ext uri="{FF2B5EF4-FFF2-40B4-BE49-F238E27FC236}">
              <a16:creationId xmlns:a16="http://schemas.microsoft.com/office/drawing/2014/main" id="{00000000-0008-0000-1300-00007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2" name="Text Box 37">
          <a:extLst>
            <a:ext uri="{FF2B5EF4-FFF2-40B4-BE49-F238E27FC236}">
              <a16:creationId xmlns:a16="http://schemas.microsoft.com/office/drawing/2014/main" id="{00000000-0008-0000-1300-00007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23" name="Text Box 38">
          <a:extLst>
            <a:ext uri="{FF2B5EF4-FFF2-40B4-BE49-F238E27FC236}">
              <a16:creationId xmlns:a16="http://schemas.microsoft.com/office/drawing/2014/main" id="{00000000-0008-0000-1300-00007B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4" name="Text Box 39">
          <a:extLst>
            <a:ext uri="{FF2B5EF4-FFF2-40B4-BE49-F238E27FC236}">
              <a16:creationId xmlns:a16="http://schemas.microsoft.com/office/drawing/2014/main" id="{00000000-0008-0000-1300-00007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5" name="Text Box 40">
          <a:extLst>
            <a:ext uri="{FF2B5EF4-FFF2-40B4-BE49-F238E27FC236}">
              <a16:creationId xmlns:a16="http://schemas.microsoft.com/office/drawing/2014/main" id="{00000000-0008-0000-1300-00007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6" name="Text Box 41">
          <a:extLst>
            <a:ext uri="{FF2B5EF4-FFF2-40B4-BE49-F238E27FC236}">
              <a16:creationId xmlns:a16="http://schemas.microsoft.com/office/drawing/2014/main" id="{00000000-0008-0000-1300-00007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7" name="Text Box 42">
          <a:extLst>
            <a:ext uri="{FF2B5EF4-FFF2-40B4-BE49-F238E27FC236}">
              <a16:creationId xmlns:a16="http://schemas.microsoft.com/office/drawing/2014/main" id="{00000000-0008-0000-1300-00007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00000000-0008-0000-1400-00000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00000000-0008-0000-1400-00000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00000000-0008-0000-1400-00001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00000000-0008-0000-1400-00001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00000000-0008-0000-1400-00001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00000000-0008-0000-1400-00001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00000000-0008-0000-1400-00001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" name="Text Box 21">
          <a:extLst>
            <a:ext uri="{FF2B5EF4-FFF2-40B4-BE49-F238E27FC236}">
              <a16:creationId xmlns:a16="http://schemas.microsoft.com/office/drawing/2014/main" id="{00000000-0008-0000-1400-00001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" name="Text Box 22">
          <a:extLst>
            <a:ext uri="{FF2B5EF4-FFF2-40B4-BE49-F238E27FC236}">
              <a16:creationId xmlns:a16="http://schemas.microsoft.com/office/drawing/2014/main" id="{00000000-0008-0000-1400-00001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" name="Text Box 23">
          <a:extLst>
            <a:ext uri="{FF2B5EF4-FFF2-40B4-BE49-F238E27FC236}">
              <a16:creationId xmlns:a16="http://schemas.microsoft.com/office/drawing/2014/main" id="{00000000-0008-0000-1400-00001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5" name="Text Box 24">
          <a:extLst>
            <a:ext uri="{FF2B5EF4-FFF2-40B4-BE49-F238E27FC236}">
              <a16:creationId xmlns:a16="http://schemas.microsoft.com/office/drawing/2014/main" id="{00000000-0008-0000-1400-00001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6" name="Text Box 25">
          <a:extLst>
            <a:ext uri="{FF2B5EF4-FFF2-40B4-BE49-F238E27FC236}">
              <a16:creationId xmlns:a16="http://schemas.microsoft.com/office/drawing/2014/main" id="{00000000-0008-0000-1400-00001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7" name="Text Box 26">
          <a:extLst>
            <a:ext uri="{FF2B5EF4-FFF2-40B4-BE49-F238E27FC236}">
              <a16:creationId xmlns:a16="http://schemas.microsoft.com/office/drawing/2014/main" id="{00000000-0008-0000-1400-00001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8" name="Text Box 27">
          <a:extLst>
            <a:ext uri="{FF2B5EF4-FFF2-40B4-BE49-F238E27FC236}">
              <a16:creationId xmlns:a16="http://schemas.microsoft.com/office/drawing/2014/main" id="{00000000-0008-0000-1400-00001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9" name="Text Box 28">
          <a:extLst>
            <a:ext uri="{FF2B5EF4-FFF2-40B4-BE49-F238E27FC236}">
              <a16:creationId xmlns:a16="http://schemas.microsoft.com/office/drawing/2014/main" id="{00000000-0008-0000-1400-00001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0" name="Text Box 29">
          <a:extLst>
            <a:ext uri="{FF2B5EF4-FFF2-40B4-BE49-F238E27FC236}">
              <a16:creationId xmlns:a16="http://schemas.microsoft.com/office/drawing/2014/main" id="{00000000-0008-0000-1400-00001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1" name="Text Box 30">
          <a:extLst>
            <a:ext uri="{FF2B5EF4-FFF2-40B4-BE49-F238E27FC236}">
              <a16:creationId xmlns:a16="http://schemas.microsoft.com/office/drawing/2014/main" id="{00000000-0008-0000-1400-00001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2" name="Text Box 31">
          <a:extLst>
            <a:ext uri="{FF2B5EF4-FFF2-40B4-BE49-F238E27FC236}">
              <a16:creationId xmlns:a16="http://schemas.microsoft.com/office/drawing/2014/main" id="{00000000-0008-0000-1400-00002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3" name="Text Box 32">
          <a:extLst>
            <a:ext uri="{FF2B5EF4-FFF2-40B4-BE49-F238E27FC236}">
              <a16:creationId xmlns:a16="http://schemas.microsoft.com/office/drawing/2014/main" id="{00000000-0008-0000-1400-00002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4" name="Text Box 33">
          <a:extLst>
            <a:ext uri="{FF2B5EF4-FFF2-40B4-BE49-F238E27FC236}">
              <a16:creationId xmlns:a16="http://schemas.microsoft.com/office/drawing/2014/main" id="{00000000-0008-0000-1400-00002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5" name="Text Box 34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6" name="Text Box 35">
          <a:extLst>
            <a:ext uri="{FF2B5EF4-FFF2-40B4-BE49-F238E27FC236}">
              <a16:creationId xmlns:a16="http://schemas.microsoft.com/office/drawing/2014/main" id="{00000000-0008-0000-1400-00002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7" name="Text Box 36">
          <a:extLst>
            <a:ext uri="{FF2B5EF4-FFF2-40B4-BE49-F238E27FC236}">
              <a16:creationId xmlns:a16="http://schemas.microsoft.com/office/drawing/2014/main" id="{00000000-0008-0000-1400-00002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8" name="Text Box 37">
          <a:extLst>
            <a:ext uri="{FF2B5EF4-FFF2-40B4-BE49-F238E27FC236}">
              <a16:creationId xmlns:a16="http://schemas.microsoft.com/office/drawing/2014/main" id="{00000000-0008-0000-1400-00002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39" name="Text Box 38">
          <a:extLst>
            <a:ext uri="{FF2B5EF4-FFF2-40B4-BE49-F238E27FC236}">
              <a16:creationId xmlns:a16="http://schemas.microsoft.com/office/drawing/2014/main" id="{00000000-0008-0000-1400-000027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0" name="Text Box 39">
          <a:extLst>
            <a:ext uri="{FF2B5EF4-FFF2-40B4-BE49-F238E27FC236}">
              <a16:creationId xmlns:a16="http://schemas.microsoft.com/office/drawing/2014/main" id="{00000000-0008-0000-1400-00002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1" name="Text Box 40">
          <a:extLst>
            <a:ext uri="{FF2B5EF4-FFF2-40B4-BE49-F238E27FC236}">
              <a16:creationId xmlns:a16="http://schemas.microsoft.com/office/drawing/2014/main" id="{00000000-0008-0000-1400-00002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2" name="Text Box 41">
          <a:extLst>
            <a:ext uri="{FF2B5EF4-FFF2-40B4-BE49-F238E27FC236}">
              <a16:creationId xmlns:a16="http://schemas.microsoft.com/office/drawing/2014/main" id="{00000000-0008-0000-1400-00002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3" name="Text Box 42">
          <a:extLst>
            <a:ext uri="{FF2B5EF4-FFF2-40B4-BE49-F238E27FC236}">
              <a16:creationId xmlns:a16="http://schemas.microsoft.com/office/drawing/2014/main" id="{00000000-0008-0000-1400-00002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id="{00000000-0008-0000-1400-00002C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00000000-0008-0000-1400-00002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00000000-0008-0000-1400-00002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7" name="Text Box 4">
          <a:extLst>
            <a:ext uri="{FF2B5EF4-FFF2-40B4-BE49-F238E27FC236}">
              <a16:creationId xmlns:a16="http://schemas.microsoft.com/office/drawing/2014/main" id="{00000000-0008-0000-1400-00002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8" name="Text Box 5">
          <a:extLst>
            <a:ext uri="{FF2B5EF4-FFF2-40B4-BE49-F238E27FC236}">
              <a16:creationId xmlns:a16="http://schemas.microsoft.com/office/drawing/2014/main" id="{00000000-0008-0000-1400-00003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9" name="Text Box 6">
          <a:extLst>
            <a:ext uri="{FF2B5EF4-FFF2-40B4-BE49-F238E27FC236}">
              <a16:creationId xmlns:a16="http://schemas.microsoft.com/office/drawing/2014/main" id="{00000000-0008-0000-1400-00003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0" name="Text Box 7">
          <a:extLst>
            <a:ext uri="{FF2B5EF4-FFF2-40B4-BE49-F238E27FC236}">
              <a16:creationId xmlns:a16="http://schemas.microsoft.com/office/drawing/2014/main" id="{00000000-0008-0000-1400-00003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1" name="Text Box 8">
          <a:extLst>
            <a:ext uri="{FF2B5EF4-FFF2-40B4-BE49-F238E27FC236}">
              <a16:creationId xmlns:a16="http://schemas.microsoft.com/office/drawing/2014/main" id="{00000000-0008-0000-1400-00003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2" name="Text Box 9">
          <a:extLst>
            <a:ext uri="{FF2B5EF4-FFF2-40B4-BE49-F238E27FC236}">
              <a16:creationId xmlns:a16="http://schemas.microsoft.com/office/drawing/2014/main" id="{00000000-0008-0000-1400-00003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3" name="Text Box 10">
          <a:extLst>
            <a:ext uri="{FF2B5EF4-FFF2-40B4-BE49-F238E27FC236}">
              <a16:creationId xmlns:a16="http://schemas.microsoft.com/office/drawing/2014/main" id="{00000000-0008-0000-1400-00003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4" name="Text Box 11">
          <a:extLst>
            <a:ext uri="{FF2B5EF4-FFF2-40B4-BE49-F238E27FC236}">
              <a16:creationId xmlns:a16="http://schemas.microsoft.com/office/drawing/2014/main" id="{00000000-0008-0000-1400-00003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5" name="Text Box 12">
          <a:extLst>
            <a:ext uri="{FF2B5EF4-FFF2-40B4-BE49-F238E27FC236}">
              <a16:creationId xmlns:a16="http://schemas.microsoft.com/office/drawing/2014/main" id="{00000000-0008-0000-1400-00003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6" name="Text Box 13">
          <a:extLst>
            <a:ext uri="{FF2B5EF4-FFF2-40B4-BE49-F238E27FC236}">
              <a16:creationId xmlns:a16="http://schemas.microsoft.com/office/drawing/2014/main" id="{00000000-0008-0000-1400-00003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7" name="Text Box 14">
          <a:extLst>
            <a:ext uri="{FF2B5EF4-FFF2-40B4-BE49-F238E27FC236}">
              <a16:creationId xmlns:a16="http://schemas.microsoft.com/office/drawing/2014/main" id="{00000000-0008-0000-1400-00003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8" name="Text Box 15">
          <a:extLst>
            <a:ext uri="{FF2B5EF4-FFF2-40B4-BE49-F238E27FC236}">
              <a16:creationId xmlns:a16="http://schemas.microsoft.com/office/drawing/2014/main" id="{00000000-0008-0000-1400-00003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9" name="Text Box 16">
          <a:extLst>
            <a:ext uri="{FF2B5EF4-FFF2-40B4-BE49-F238E27FC236}">
              <a16:creationId xmlns:a16="http://schemas.microsoft.com/office/drawing/2014/main" id="{00000000-0008-0000-1400-00003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0" name="Text Box 17">
          <a:extLst>
            <a:ext uri="{FF2B5EF4-FFF2-40B4-BE49-F238E27FC236}">
              <a16:creationId xmlns:a16="http://schemas.microsoft.com/office/drawing/2014/main" id="{00000000-0008-0000-1400-00003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1" name="Text Box 18">
          <a:extLst>
            <a:ext uri="{FF2B5EF4-FFF2-40B4-BE49-F238E27FC236}">
              <a16:creationId xmlns:a16="http://schemas.microsoft.com/office/drawing/2014/main" id="{00000000-0008-0000-1400-00003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2" name="Text Box 19">
          <a:extLst>
            <a:ext uri="{FF2B5EF4-FFF2-40B4-BE49-F238E27FC236}">
              <a16:creationId xmlns:a16="http://schemas.microsoft.com/office/drawing/2014/main" id="{00000000-0008-0000-1400-00003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3" name="Text Box 20">
          <a:extLst>
            <a:ext uri="{FF2B5EF4-FFF2-40B4-BE49-F238E27FC236}">
              <a16:creationId xmlns:a16="http://schemas.microsoft.com/office/drawing/2014/main" id="{00000000-0008-0000-1400-00003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4" name="Text Box 21">
          <a:extLst>
            <a:ext uri="{FF2B5EF4-FFF2-40B4-BE49-F238E27FC236}">
              <a16:creationId xmlns:a16="http://schemas.microsoft.com/office/drawing/2014/main" id="{00000000-0008-0000-1400-00004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5" name="Text Box 22">
          <a:extLst>
            <a:ext uri="{FF2B5EF4-FFF2-40B4-BE49-F238E27FC236}">
              <a16:creationId xmlns:a16="http://schemas.microsoft.com/office/drawing/2014/main" id="{00000000-0008-0000-1400-00004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6" name="Text Box 23">
          <a:extLst>
            <a:ext uri="{FF2B5EF4-FFF2-40B4-BE49-F238E27FC236}">
              <a16:creationId xmlns:a16="http://schemas.microsoft.com/office/drawing/2014/main" id="{00000000-0008-0000-1400-00004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7" name="Text Box 24">
          <a:extLst>
            <a:ext uri="{FF2B5EF4-FFF2-40B4-BE49-F238E27FC236}">
              <a16:creationId xmlns:a16="http://schemas.microsoft.com/office/drawing/2014/main" id="{00000000-0008-0000-1400-00004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8" name="Text Box 25">
          <a:extLst>
            <a:ext uri="{FF2B5EF4-FFF2-40B4-BE49-F238E27FC236}">
              <a16:creationId xmlns:a16="http://schemas.microsoft.com/office/drawing/2014/main" id="{00000000-0008-0000-1400-00004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9" name="Text Box 26">
          <a:extLst>
            <a:ext uri="{FF2B5EF4-FFF2-40B4-BE49-F238E27FC236}">
              <a16:creationId xmlns:a16="http://schemas.microsoft.com/office/drawing/2014/main" id="{00000000-0008-0000-1400-00004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0" name="Text Box 27">
          <a:extLst>
            <a:ext uri="{FF2B5EF4-FFF2-40B4-BE49-F238E27FC236}">
              <a16:creationId xmlns:a16="http://schemas.microsoft.com/office/drawing/2014/main" id="{00000000-0008-0000-1400-00004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1" name="Text Box 28">
          <a:extLst>
            <a:ext uri="{FF2B5EF4-FFF2-40B4-BE49-F238E27FC236}">
              <a16:creationId xmlns:a16="http://schemas.microsoft.com/office/drawing/2014/main" id="{00000000-0008-0000-1400-00004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2" name="Text Box 29">
          <a:extLst>
            <a:ext uri="{FF2B5EF4-FFF2-40B4-BE49-F238E27FC236}">
              <a16:creationId xmlns:a16="http://schemas.microsoft.com/office/drawing/2014/main" id="{00000000-0008-0000-1400-00004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3" name="Text Box 30">
          <a:extLst>
            <a:ext uri="{FF2B5EF4-FFF2-40B4-BE49-F238E27FC236}">
              <a16:creationId xmlns:a16="http://schemas.microsoft.com/office/drawing/2014/main" id="{00000000-0008-0000-1400-00004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4" name="Text Box 31">
          <a:extLst>
            <a:ext uri="{FF2B5EF4-FFF2-40B4-BE49-F238E27FC236}">
              <a16:creationId xmlns:a16="http://schemas.microsoft.com/office/drawing/2014/main" id="{00000000-0008-0000-1400-00004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5" name="Text Box 32">
          <a:extLst>
            <a:ext uri="{FF2B5EF4-FFF2-40B4-BE49-F238E27FC236}">
              <a16:creationId xmlns:a16="http://schemas.microsoft.com/office/drawing/2014/main" id="{00000000-0008-0000-1400-00004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6" name="Text Box 33">
          <a:extLst>
            <a:ext uri="{FF2B5EF4-FFF2-40B4-BE49-F238E27FC236}">
              <a16:creationId xmlns:a16="http://schemas.microsoft.com/office/drawing/2014/main" id="{00000000-0008-0000-1400-00004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7" name="Text Box 34">
          <a:extLst>
            <a:ext uri="{FF2B5EF4-FFF2-40B4-BE49-F238E27FC236}">
              <a16:creationId xmlns:a16="http://schemas.microsoft.com/office/drawing/2014/main" id="{00000000-0008-0000-1400-00004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8" name="Text Box 35">
          <a:extLst>
            <a:ext uri="{FF2B5EF4-FFF2-40B4-BE49-F238E27FC236}">
              <a16:creationId xmlns:a16="http://schemas.microsoft.com/office/drawing/2014/main" id="{00000000-0008-0000-1400-00004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9" name="Text Box 36">
          <a:extLst>
            <a:ext uri="{FF2B5EF4-FFF2-40B4-BE49-F238E27FC236}">
              <a16:creationId xmlns:a16="http://schemas.microsoft.com/office/drawing/2014/main" id="{00000000-0008-0000-1400-00004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0" name="Text Box 37">
          <a:extLst>
            <a:ext uri="{FF2B5EF4-FFF2-40B4-BE49-F238E27FC236}">
              <a16:creationId xmlns:a16="http://schemas.microsoft.com/office/drawing/2014/main" id="{00000000-0008-0000-1400-00005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1" name="Text Box 38">
          <a:extLst>
            <a:ext uri="{FF2B5EF4-FFF2-40B4-BE49-F238E27FC236}">
              <a16:creationId xmlns:a16="http://schemas.microsoft.com/office/drawing/2014/main" id="{00000000-0008-0000-1400-000051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2" name="Text Box 39">
          <a:extLst>
            <a:ext uri="{FF2B5EF4-FFF2-40B4-BE49-F238E27FC236}">
              <a16:creationId xmlns:a16="http://schemas.microsoft.com/office/drawing/2014/main" id="{00000000-0008-0000-1400-00005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3" name="Text Box 40">
          <a:extLst>
            <a:ext uri="{FF2B5EF4-FFF2-40B4-BE49-F238E27FC236}">
              <a16:creationId xmlns:a16="http://schemas.microsoft.com/office/drawing/2014/main" id="{00000000-0008-0000-1400-00005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4" name="Text Box 41">
          <a:extLst>
            <a:ext uri="{FF2B5EF4-FFF2-40B4-BE49-F238E27FC236}">
              <a16:creationId xmlns:a16="http://schemas.microsoft.com/office/drawing/2014/main" id="{00000000-0008-0000-1400-00005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5" name="Text Box 42">
          <a:extLst>
            <a:ext uri="{FF2B5EF4-FFF2-40B4-BE49-F238E27FC236}">
              <a16:creationId xmlns:a16="http://schemas.microsoft.com/office/drawing/2014/main" id="{00000000-0008-0000-1400-00005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6" name="Text Box 1">
          <a:extLst>
            <a:ext uri="{FF2B5EF4-FFF2-40B4-BE49-F238E27FC236}">
              <a16:creationId xmlns:a16="http://schemas.microsoft.com/office/drawing/2014/main" id="{00000000-0008-0000-1400-000056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7" name="Text Box 2">
          <a:extLst>
            <a:ext uri="{FF2B5EF4-FFF2-40B4-BE49-F238E27FC236}">
              <a16:creationId xmlns:a16="http://schemas.microsoft.com/office/drawing/2014/main" id="{00000000-0008-0000-1400-00005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8" name="Text Box 3">
          <a:extLst>
            <a:ext uri="{FF2B5EF4-FFF2-40B4-BE49-F238E27FC236}">
              <a16:creationId xmlns:a16="http://schemas.microsoft.com/office/drawing/2014/main" id="{00000000-0008-0000-1400-00005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9" name="Text Box 4">
          <a:extLst>
            <a:ext uri="{FF2B5EF4-FFF2-40B4-BE49-F238E27FC236}">
              <a16:creationId xmlns:a16="http://schemas.microsoft.com/office/drawing/2014/main" id="{00000000-0008-0000-1400-00005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0" name="Text Box 5">
          <a:extLst>
            <a:ext uri="{FF2B5EF4-FFF2-40B4-BE49-F238E27FC236}">
              <a16:creationId xmlns:a16="http://schemas.microsoft.com/office/drawing/2014/main" id="{00000000-0008-0000-1400-00005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1" name="Text Box 6">
          <a:extLst>
            <a:ext uri="{FF2B5EF4-FFF2-40B4-BE49-F238E27FC236}">
              <a16:creationId xmlns:a16="http://schemas.microsoft.com/office/drawing/2014/main" id="{00000000-0008-0000-1400-00005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2" name="Text Box 7">
          <a:extLst>
            <a:ext uri="{FF2B5EF4-FFF2-40B4-BE49-F238E27FC236}">
              <a16:creationId xmlns:a16="http://schemas.microsoft.com/office/drawing/2014/main" id="{00000000-0008-0000-1400-00005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3" name="Text Box 8">
          <a:extLst>
            <a:ext uri="{FF2B5EF4-FFF2-40B4-BE49-F238E27FC236}">
              <a16:creationId xmlns:a16="http://schemas.microsoft.com/office/drawing/2014/main" id="{00000000-0008-0000-1400-00005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4" name="Text Box 9">
          <a:extLst>
            <a:ext uri="{FF2B5EF4-FFF2-40B4-BE49-F238E27FC236}">
              <a16:creationId xmlns:a16="http://schemas.microsoft.com/office/drawing/2014/main" id="{00000000-0008-0000-1400-00005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5" name="Text Box 10">
          <a:extLst>
            <a:ext uri="{FF2B5EF4-FFF2-40B4-BE49-F238E27FC236}">
              <a16:creationId xmlns:a16="http://schemas.microsoft.com/office/drawing/2014/main" id="{00000000-0008-0000-1400-00005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6" name="Text Box 11">
          <a:extLst>
            <a:ext uri="{FF2B5EF4-FFF2-40B4-BE49-F238E27FC236}">
              <a16:creationId xmlns:a16="http://schemas.microsoft.com/office/drawing/2014/main" id="{00000000-0008-0000-1400-00006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7" name="Text Box 12">
          <a:extLst>
            <a:ext uri="{FF2B5EF4-FFF2-40B4-BE49-F238E27FC236}">
              <a16:creationId xmlns:a16="http://schemas.microsoft.com/office/drawing/2014/main" id="{00000000-0008-0000-1400-00006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8" name="Text Box 13">
          <a:extLst>
            <a:ext uri="{FF2B5EF4-FFF2-40B4-BE49-F238E27FC236}">
              <a16:creationId xmlns:a16="http://schemas.microsoft.com/office/drawing/2014/main" id="{00000000-0008-0000-1400-00006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9" name="Text Box 14">
          <a:extLst>
            <a:ext uri="{FF2B5EF4-FFF2-40B4-BE49-F238E27FC236}">
              <a16:creationId xmlns:a16="http://schemas.microsoft.com/office/drawing/2014/main" id="{00000000-0008-0000-1400-00006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0" name="Text Box 15">
          <a:extLst>
            <a:ext uri="{FF2B5EF4-FFF2-40B4-BE49-F238E27FC236}">
              <a16:creationId xmlns:a16="http://schemas.microsoft.com/office/drawing/2014/main" id="{00000000-0008-0000-1400-00006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1" name="Text Box 16">
          <a:extLst>
            <a:ext uri="{FF2B5EF4-FFF2-40B4-BE49-F238E27FC236}">
              <a16:creationId xmlns:a16="http://schemas.microsoft.com/office/drawing/2014/main" id="{00000000-0008-0000-1400-00006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2" name="Text Box 17">
          <a:extLst>
            <a:ext uri="{FF2B5EF4-FFF2-40B4-BE49-F238E27FC236}">
              <a16:creationId xmlns:a16="http://schemas.microsoft.com/office/drawing/2014/main" id="{00000000-0008-0000-1400-00006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3" name="Text Box 18">
          <a:extLst>
            <a:ext uri="{FF2B5EF4-FFF2-40B4-BE49-F238E27FC236}">
              <a16:creationId xmlns:a16="http://schemas.microsoft.com/office/drawing/2014/main" id="{00000000-0008-0000-1400-00006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4" name="Text Box 19">
          <a:extLst>
            <a:ext uri="{FF2B5EF4-FFF2-40B4-BE49-F238E27FC236}">
              <a16:creationId xmlns:a16="http://schemas.microsoft.com/office/drawing/2014/main" id="{00000000-0008-0000-1400-00006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5" name="Text Box 20">
          <a:extLst>
            <a:ext uri="{FF2B5EF4-FFF2-40B4-BE49-F238E27FC236}">
              <a16:creationId xmlns:a16="http://schemas.microsoft.com/office/drawing/2014/main" id="{00000000-0008-0000-1400-00006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6" name="Text Box 21">
          <a:extLst>
            <a:ext uri="{FF2B5EF4-FFF2-40B4-BE49-F238E27FC236}">
              <a16:creationId xmlns:a16="http://schemas.microsoft.com/office/drawing/2014/main" id="{00000000-0008-0000-1400-00006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7" name="Text Box 22">
          <a:extLst>
            <a:ext uri="{FF2B5EF4-FFF2-40B4-BE49-F238E27FC236}">
              <a16:creationId xmlns:a16="http://schemas.microsoft.com/office/drawing/2014/main" id="{00000000-0008-0000-1400-00006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8" name="Text Box 23">
          <a:extLst>
            <a:ext uri="{FF2B5EF4-FFF2-40B4-BE49-F238E27FC236}">
              <a16:creationId xmlns:a16="http://schemas.microsoft.com/office/drawing/2014/main" id="{00000000-0008-0000-1400-00006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9" name="Text Box 24">
          <a:extLst>
            <a:ext uri="{FF2B5EF4-FFF2-40B4-BE49-F238E27FC236}">
              <a16:creationId xmlns:a16="http://schemas.microsoft.com/office/drawing/2014/main" id="{00000000-0008-0000-1400-00006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0" name="Text Box 25">
          <a:extLst>
            <a:ext uri="{FF2B5EF4-FFF2-40B4-BE49-F238E27FC236}">
              <a16:creationId xmlns:a16="http://schemas.microsoft.com/office/drawing/2014/main" id="{00000000-0008-0000-1400-00006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1" name="Text Box 26">
          <a:extLst>
            <a:ext uri="{FF2B5EF4-FFF2-40B4-BE49-F238E27FC236}">
              <a16:creationId xmlns:a16="http://schemas.microsoft.com/office/drawing/2014/main" id="{00000000-0008-0000-1400-00006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2" name="Text Box 27">
          <a:extLst>
            <a:ext uri="{FF2B5EF4-FFF2-40B4-BE49-F238E27FC236}">
              <a16:creationId xmlns:a16="http://schemas.microsoft.com/office/drawing/2014/main" id="{00000000-0008-0000-1400-00007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3" name="Text Box 28">
          <a:extLst>
            <a:ext uri="{FF2B5EF4-FFF2-40B4-BE49-F238E27FC236}">
              <a16:creationId xmlns:a16="http://schemas.microsoft.com/office/drawing/2014/main" id="{00000000-0008-0000-1400-00007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4" name="Text Box 29">
          <a:extLst>
            <a:ext uri="{FF2B5EF4-FFF2-40B4-BE49-F238E27FC236}">
              <a16:creationId xmlns:a16="http://schemas.microsoft.com/office/drawing/2014/main" id="{00000000-0008-0000-1400-00007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5" name="Text Box 30">
          <a:extLst>
            <a:ext uri="{FF2B5EF4-FFF2-40B4-BE49-F238E27FC236}">
              <a16:creationId xmlns:a16="http://schemas.microsoft.com/office/drawing/2014/main" id="{00000000-0008-0000-1400-00007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6" name="Text Box 31">
          <a:extLst>
            <a:ext uri="{FF2B5EF4-FFF2-40B4-BE49-F238E27FC236}">
              <a16:creationId xmlns:a16="http://schemas.microsoft.com/office/drawing/2014/main" id="{00000000-0008-0000-1400-00007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7" name="Text Box 32">
          <a:extLst>
            <a:ext uri="{FF2B5EF4-FFF2-40B4-BE49-F238E27FC236}">
              <a16:creationId xmlns:a16="http://schemas.microsoft.com/office/drawing/2014/main" id="{00000000-0008-0000-1400-00007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8" name="Text Box 33">
          <a:extLst>
            <a:ext uri="{FF2B5EF4-FFF2-40B4-BE49-F238E27FC236}">
              <a16:creationId xmlns:a16="http://schemas.microsoft.com/office/drawing/2014/main" id="{00000000-0008-0000-1400-00007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9" name="Text Box 34">
          <a:extLst>
            <a:ext uri="{FF2B5EF4-FFF2-40B4-BE49-F238E27FC236}">
              <a16:creationId xmlns:a16="http://schemas.microsoft.com/office/drawing/2014/main" id="{00000000-0008-0000-1400-00007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0" name="Text Box 35">
          <a:extLst>
            <a:ext uri="{FF2B5EF4-FFF2-40B4-BE49-F238E27FC236}">
              <a16:creationId xmlns:a16="http://schemas.microsoft.com/office/drawing/2014/main" id="{00000000-0008-0000-1400-00007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1" name="Text Box 36">
          <a:extLst>
            <a:ext uri="{FF2B5EF4-FFF2-40B4-BE49-F238E27FC236}">
              <a16:creationId xmlns:a16="http://schemas.microsoft.com/office/drawing/2014/main" id="{00000000-0008-0000-1400-00007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2" name="Text Box 37">
          <a:extLst>
            <a:ext uri="{FF2B5EF4-FFF2-40B4-BE49-F238E27FC236}">
              <a16:creationId xmlns:a16="http://schemas.microsoft.com/office/drawing/2014/main" id="{00000000-0008-0000-1400-00007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23" name="Text Box 38">
          <a:extLst>
            <a:ext uri="{FF2B5EF4-FFF2-40B4-BE49-F238E27FC236}">
              <a16:creationId xmlns:a16="http://schemas.microsoft.com/office/drawing/2014/main" id="{00000000-0008-0000-1400-00007B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4" name="Text Box 39">
          <a:extLst>
            <a:ext uri="{FF2B5EF4-FFF2-40B4-BE49-F238E27FC236}">
              <a16:creationId xmlns:a16="http://schemas.microsoft.com/office/drawing/2014/main" id="{00000000-0008-0000-1400-00007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5" name="Text Box 40">
          <a:extLst>
            <a:ext uri="{FF2B5EF4-FFF2-40B4-BE49-F238E27FC236}">
              <a16:creationId xmlns:a16="http://schemas.microsoft.com/office/drawing/2014/main" id="{00000000-0008-0000-1400-00007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6" name="Text Box 41">
          <a:extLst>
            <a:ext uri="{FF2B5EF4-FFF2-40B4-BE49-F238E27FC236}">
              <a16:creationId xmlns:a16="http://schemas.microsoft.com/office/drawing/2014/main" id="{00000000-0008-0000-1400-00007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7" name="Text Box 42">
          <a:extLst>
            <a:ext uri="{FF2B5EF4-FFF2-40B4-BE49-F238E27FC236}">
              <a16:creationId xmlns:a16="http://schemas.microsoft.com/office/drawing/2014/main" id="{00000000-0008-0000-1400-00007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28" name="Text Box 1">
          <a:extLst>
            <a:ext uri="{FF2B5EF4-FFF2-40B4-BE49-F238E27FC236}">
              <a16:creationId xmlns:a16="http://schemas.microsoft.com/office/drawing/2014/main" id="{00000000-0008-0000-1400-000080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9" name="Text Box 2">
          <a:extLst>
            <a:ext uri="{FF2B5EF4-FFF2-40B4-BE49-F238E27FC236}">
              <a16:creationId xmlns:a16="http://schemas.microsoft.com/office/drawing/2014/main" id="{00000000-0008-0000-1400-00008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0" name="Text Box 3">
          <a:extLst>
            <a:ext uri="{FF2B5EF4-FFF2-40B4-BE49-F238E27FC236}">
              <a16:creationId xmlns:a16="http://schemas.microsoft.com/office/drawing/2014/main" id="{00000000-0008-0000-1400-00008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1" name="Text Box 4">
          <a:extLst>
            <a:ext uri="{FF2B5EF4-FFF2-40B4-BE49-F238E27FC236}">
              <a16:creationId xmlns:a16="http://schemas.microsoft.com/office/drawing/2014/main" id="{00000000-0008-0000-1400-00008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2" name="Text Box 5">
          <a:extLst>
            <a:ext uri="{FF2B5EF4-FFF2-40B4-BE49-F238E27FC236}">
              <a16:creationId xmlns:a16="http://schemas.microsoft.com/office/drawing/2014/main" id="{00000000-0008-0000-1400-00008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3" name="Text Box 6">
          <a:extLst>
            <a:ext uri="{FF2B5EF4-FFF2-40B4-BE49-F238E27FC236}">
              <a16:creationId xmlns:a16="http://schemas.microsoft.com/office/drawing/2014/main" id="{00000000-0008-0000-1400-00008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4" name="Text Box 7">
          <a:extLst>
            <a:ext uri="{FF2B5EF4-FFF2-40B4-BE49-F238E27FC236}">
              <a16:creationId xmlns:a16="http://schemas.microsoft.com/office/drawing/2014/main" id="{00000000-0008-0000-1400-00008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5" name="Text Box 8">
          <a:extLst>
            <a:ext uri="{FF2B5EF4-FFF2-40B4-BE49-F238E27FC236}">
              <a16:creationId xmlns:a16="http://schemas.microsoft.com/office/drawing/2014/main" id="{00000000-0008-0000-1400-00008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6" name="Text Box 9">
          <a:extLst>
            <a:ext uri="{FF2B5EF4-FFF2-40B4-BE49-F238E27FC236}">
              <a16:creationId xmlns:a16="http://schemas.microsoft.com/office/drawing/2014/main" id="{00000000-0008-0000-1400-00008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7" name="Text Box 10">
          <a:extLst>
            <a:ext uri="{FF2B5EF4-FFF2-40B4-BE49-F238E27FC236}">
              <a16:creationId xmlns:a16="http://schemas.microsoft.com/office/drawing/2014/main" id="{00000000-0008-0000-1400-00008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8" name="Text Box 11">
          <a:extLst>
            <a:ext uri="{FF2B5EF4-FFF2-40B4-BE49-F238E27FC236}">
              <a16:creationId xmlns:a16="http://schemas.microsoft.com/office/drawing/2014/main" id="{00000000-0008-0000-1400-00008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9" name="Text Box 12">
          <a:extLst>
            <a:ext uri="{FF2B5EF4-FFF2-40B4-BE49-F238E27FC236}">
              <a16:creationId xmlns:a16="http://schemas.microsoft.com/office/drawing/2014/main" id="{00000000-0008-0000-1400-00008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0" name="Text Box 13">
          <a:extLst>
            <a:ext uri="{FF2B5EF4-FFF2-40B4-BE49-F238E27FC236}">
              <a16:creationId xmlns:a16="http://schemas.microsoft.com/office/drawing/2014/main" id="{00000000-0008-0000-1400-00008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1" name="Text Box 14">
          <a:extLst>
            <a:ext uri="{FF2B5EF4-FFF2-40B4-BE49-F238E27FC236}">
              <a16:creationId xmlns:a16="http://schemas.microsoft.com/office/drawing/2014/main" id="{00000000-0008-0000-1400-00008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2" name="Text Box 15">
          <a:extLst>
            <a:ext uri="{FF2B5EF4-FFF2-40B4-BE49-F238E27FC236}">
              <a16:creationId xmlns:a16="http://schemas.microsoft.com/office/drawing/2014/main" id="{00000000-0008-0000-1400-00008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3" name="Text Box 16">
          <a:extLst>
            <a:ext uri="{FF2B5EF4-FFF2-40B4-BE49-F238E27FC236}">
              <a16:creationId xmlns:a16="http://schemas.microsoft.com/office/drawing/2014/main" id="{00000000-0008-0000-1400-00008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4" name="Text Box 17">
          <a:extLst>
            <a:ext uri="{FF2B5EF4-FFF2-40B4-BE49-F238E27FC236}">
              <a16:creationId xmlns:a16="http://schemas.microsoft.com/office/drawing/2014/main" id="{00000000-0008-0000-1400-00009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5" name="Text Box 18">
          <a:extLst>
            <a:ext uri="{FF2B5EF4-FFF2-40B4-BE49-F238E27FC236}">
              <a16:creationId xmlns:a16="http://schemas.microsoft.com/office/drawing/2014/main" id="{00000000-0008-0000-1400-00009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6" name="Text Box 19">
          <a:extLst>
            <a:ext uri="{FF2B5EF4-FFF2-40B4-BE49-F238E27FC236}">
              <a16:creationId xmlns:a16="http://schemas.microsoft.com/office/drawing/2014/main" id="{00000000-0008-0000-1400-00009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7" name="Text Box 20">
          <a:extLst>
            <a:ext uri="{FF2B5EF4-FFF2-40B4-BE49-F238E27FC236}">
              <a16:creationId xmlns:a16="http://schemas.microsoft.com/office/drawing/2014/main" id="{00000000-0008-0000-1400-00009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8" name="Text Box 21">
          <a:extLst>
            <a:ext uri="{FF2B5EF4-FFF2-40B4-BE49-F238E27FC236}">
              <a16:creationId xmlns:a16="http://schemas.microsoft.com/office/drawing/2014/main" id="{00000000-0008-0000-1400-00009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9" name="Text Box 22">
          <a:extLst>
            <a:ext uri="{FF2B5EF4-FFF2-40B4-BE49-F238E27FC236}">
              <a16:creationId xmlns:a16="http://schemas.microsoft.com/office/drawing/2014/main" id="{00000000-0008-0000-1400-00009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0" name="Text Box 23">
          <a:extLst>
            <a:ext uri="{FF2B5EF4-FFF2-40B4-BE49-F238E27FC236}">
              <a16:creationId xmlns:a16="http://schemas.microsoft.com/office/drawing/2014/main" id="{00000000-0008-0000-1400-00009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1" name="Text Box 24">
          <a:extLst>
            <a:ext uri="{FF2B5EF4-FFF2-40B4-BE49-F238E27FC236}">
              <a16:creationId xmlns:a16="http://schemas.microsoft.com/office/drawing/2014/main" id="{00000000-0008-0000-1400-00009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2" name="Text Box 25">
          <a:extLst>
            <a:ext uri="{FF2B5EF4-FFF2-40B4-BE49-F238E27FC236}">
              <a16:creationId xmlns:a16="http://schemas.microsoft.com/office/drawing/2014/main" id="{00000000-0008-0000-1400-00009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3" name="Text Box 26">
          <a:extLst>
            <a:ext uri="{FF2B5EF4-FFF2-40B4-BE49-F238E27FC236}">
              <a16:creationId xmlns:a16="http://schemas.microsoft.com/office/drawing/2014/main" id="{00000000-0008-0000-1400-00009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4" name="Text Box 27">
          <a:extLst>
            <a:ext uri="{FF2B5EF4-FFF2-40B4-BE49-F238E27FC236}">
              <a16:creationId xmlns:a16="http://schemas.microsoft.com/office/drawing/2014/main" id="{00000000-0008-0000-1400-00009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5" name="Text Box 28">
          <a:extLst>
            <a:ext uri="{FF2B5EF4-FFF2-40B4-BE49-F238E27FC236}">
              <a16:creationId xmlns:a16="http://schemas.microsoft.com/office/drawing/2014/main" id="{00000000-0008-0000-1400-00009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6" name="Text Box 29">
          <a:extLst>
            <a:ext uri="{FF2B5EF4-FFF2-40B4-BE49-F238E27FC236}">
              <a16:creationId xmlns:a16="http://schemas.microsoft.com/office/drawing/2014/main" id="{00000000-0008-0000-1400-00009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7" name="Text Box 30">
          <a:extLst>
            <a:ext uri="{FF2B5EF4-FFF2-40B4-BE49-F238E27FC236}">
              <a16:creationId xmlns:a16="http://schemas.microsoft.com/office/drawing/2014/main" id="{00000000-0008-0000-1400-00009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8" name="Text Box 31">
          <a:extLst>
            <a:ext uri="{FF2B5EF4-FFF2-40B4-BE49-F238E27FC236}">
              <a16:creationId xmlns:a16="http://schemas.microsoft.com/office/drawing/2014/main" id="{00000000-0008-0000-1400-00009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9" name="Text Box 32">
          <a:extLst>
            <a:ext uri="{FF2B5EF4-FFF2-40B4-BE49-F238E27FC236}">
              <a16:creationId xmlns:a16="http://schemas.microsoft.com/office/drawing/2014/main" id="{00000000-0008-0000-1400-00009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0" name="Text Box 33">
          <a:extLst>
            <a:ext uri="{FF2B5EF4-FFF2-40B4-BE49-F238E27FC236}">
              <a16:creationId xmlns:a16="http://schemas.microsoft.com/office/drawing/2014/main" id="{00000000-0008-0000-1400-0000A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1" name="Text Box 34">
          <a:extLst>
            <a:ext uri="{FF2B5EF4-FFF2-40B4-BE49-F238E27FC236}">
              <a16:creationId xmlns:a16="http://schemas.microsoft.com/office/drawing/2014/main" id="{00000000-0008-0000-1400-0000A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2" name="Text Box 35">
          <a:extLst>
            <a:ext uri="{FF2B5EF4-FFF2-40B4-BE49-F238E27FC236}">
              <a16:creationId xmlns:a16="http://schemas.microsoft.com/office/drawing/2014/main" id="{00000000-0008-0000-1400-0000A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3" name="Text Box 36">
          <a:extLst>
            <a:ext uri="{FF2B5EF4-FFF2-40B4-BE49-F238E27FC236}">
              <a16:creationId xmlns:a16="http://schemas.microsoft.com/office/drawing/2014/main" id="{00000000-0008-0000-1400-0000A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4" name="Text Box 37">
          <a:extLst>
            <a:ext uri="{FF2B5EF4-FFF2-40B4-BE49-F238E27FC236}">
              <a16:creationId xmlns:a16="http://schemas.microsoft.com/office/drawing/2014/main" id="{00000000-0008-0000-1400-0000A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65" name="Text Box 38">
          <a:extLst>
            <a:ext uri="{FF2B5EF4-FFF2-40B4-BE49-F238E27FC236}">
              <a16:creationId xmlns:a16="http://schemas.microsoft.com/office/drawing/2014/main" id="{00000000-0008-0000-1400-0000A5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6" name="Text Box 39">
          <a:extLst>
            <a:ext uri="{FF2B5EF4-FFF2-40B4-BE49-F238E27FC236}">
              <a16:creationId xmlns:a16="http://schemas.microsoft.com/office/drawing/2014/main" id="{00000000-0008-0000-1400-0000A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7" name="Text Box 40">
          <a:extLst>
            <a:ext uri="{FF2B5EF4-FFF2-40B4-BE49-F238E27FC236}">
              <a16:creationId xmlns:a16="http://schemas.microsoft.com/office/drawing/2014/main" id="{00000000-0008-0000-1400-0000A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8" name="Text Box 41">
          <a:extLst>
            <a:ext uri="{FF2B5EF4-FFF2-40B4-BE49-F238E27FC236}">
              <a16:creationId xmlns:a16="http://schemas.microsoft.com/office/drawing/2014/main" id="{00000000-0008-0000-1400-0000A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9" name="Text Box 42">
          <a:extLst>
            <a:ext uri="{FF2B5EF4-FFF2-40B4-BE49-F238E27FC236}">
              <a16:creationId xmlns:a16="http://schemas.microsoft.com/office/drawing/2014/main" id="{00000000-0008-0000-1400-0000A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" name="Text Box 21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" name="Text Box 22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" name="Text Box 23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5" name="Text Box 24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6" name="Text Box 2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7" name="Text Box 26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8" name="Text Box 27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9" name="Text Box 28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0" name="Text Box 29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1" name="Text Box 30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2" name="Text Box 31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3" name="Text Box 32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4" name="Text Box 33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5" name="Text Box 34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6" name="Text Box 3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7" name="Text Box 36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8" name="Text Box 37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39" name="Text Box 38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0" name="Text Box 39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1" name="Text Box 40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2" name="Text Box 41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3" name="Text Box 42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7" name="Text Box 4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8" name="Text Box 5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9" name="Text Box 6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0" name="Text Box 7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1" name="Text Box 8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2" name="Text Box 9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3" name="Text Box 10"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4" name="Text Box 11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5" name="Text Box 12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6" name="Text Box 13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7" name="Text Box 14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8" name="Text Box 15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9" name="Text Box 16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0" name="Text Box 17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1" name="Text Box 18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2" name="Text Box 19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3" name="Text Box 20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4" name="Text Box 21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5" name="Text Box 22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6" name="Text Box 23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7" name="Text Box 24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8" name="Text Box 25">
          <a:extLst>
            <a:ext uri="{FF2B5EF4-FFF2-40B4-BE49-F238E27FC236}">
              <a16:creationId xmlns:a16="http://schemas.microsoft.com/office/drawing/2014/main" id="{00000000-0008-0000-1500-00004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9" name="Text Box 26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0" name="Text Box 27">
          <a:extLst>
            <a:ext uri="{FF2B5EF4-FFF2-40B4-BE49-F238E27FC236}">
              <a16:creationId xmlns:a16="http://schemas.microsoft.com/office/drawing/2014/main" id="{00000000-0008-0000-1500-00004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1" name="Text Box 28">
          <a:extLst>
            <a:ext uri="{FF2B5EF4-FFF2-40B4-BE49-F238E27FC236}">
              <a16:creationId xmlns:a16="http://schemas.microsoft.com/office/drawing/2014/main" id="{00000000-0008-0000-1500-00004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2" name="Text Box 29">
          <a:extLst>
            <a:ext uri="{FF2B5EF4-FFF2-40B4-BE49-F238E27FC236}">
              <a16:creationId xmlns:a16="http://schemas.microsoft.com/office/drawing/2014/main" id="{00000000-0008-0000-1500-00004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3" name="Text Box 30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4" name="Text Box 31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5" name="Text Box 32">
          <a:extLst>
            <a:ext uri="{FF2B5EF4-FFF2-40B4-BE49-F238E27FC236}">
              <a16:creationId xmlns:a16="http://schemas.microsoft.com/office/drawing/2014/main" id="{00000000-0008-0000-1500-00004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6" name="Text Box 33">
          <a:extLst>
            <a:ext uri="{FF2B5EF4-FFF2-40B4-BE49-F238E27FC236}">
              <a16:creationId xmlns:a16="http://schemas.microsoft.com/office/drawing/2014/main" id="{00000000-0008-0000-1500-00004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7" name="Text Box 34">
          <a:extLst>
            <a:ext uri="{FF2B5EF4-FFF2-40B4-BE49-F238E27FC236}">
              <a16:creationId xmlns:a16="http://schemas.microsoft.com/office/drawing/2014/main" id="{00000000-0008-0000-1500-00004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8" name="Text Box 35">
          <a:extLst>
            <a:ext uri="{FF2B5EF4-FFF2-40B4-BE49-F238E27FC236}">
              <a16:creationId xmlns:a16="http://schemas.microsoft.com/office/drawing/2014/main" id="{00000000-0008-0000-1500-00004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9" name="Text Box 36">
          <a:extLst>
            <a:ext uri="{FF2B5EF4-FFF2-40B4-BE49-F238E27FC236}">
              <a16:creationId xmlns:a16="http://schemas.microsoft.com/office/drawing/2014/main" id="{00000000-0008-0000-1500-00004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0" name="Text Box 37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1" name="Text Box 38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2" name="Text Box 39">
          <a:extLst>
            <a:ext uri="{FF2B5EF4-FFF2-40B4-BE49-F238E27FC236}">
              <a16:creationId xmlns:a16="http://schemas.microsoft.com/office/drawing/2014/main" id="{00000000-0008-0000-1500-00005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3" name="Text Box 40">
          <a:extLst>
            <a:ext uri="{FF2B5EF4-FFF2-40B4-BE49-F238E27FC236}">
              <a16:creationId xmlns:a16="http://schemas.microsoft.com/office/drawing/2014/main" id="{00000000-0008-0000-1500-00005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4" name="Text Box 41">
          <a:extLst>
            <a:ext uri="{FF2B5EF4-FFF2-40B4-BE49-F238E27FC236}">
              <a16:creationId xmlns:a16="http://schemas.microsoft.com/office/drawing/2014/main" id="{00000000-0008-0000-1500-00005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5" name="Text Box 42">
          <a:extLst>
            <a:ext uri="{FF2B5EF4-FFF2-40B4-BE49-F238E27FC236}">
              <a16:creationId xmlns:a16="http://schemas.microsoft.com/office/drawing/2014/main" id="{00000000-0008-0000-1500-00005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6" name="Text Box 1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7" name="Text Box 2">
          <a:extLst>
            <a:ext uri="{FF2B5EF4-FFF2-40B4-BE49-F238E27FC236}">
              <a16:creationId xmlns:a16="http://schemas.microsoft.com/office/drawing/2014/main" id="{00000000-0008-0000-1500-00005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8" name="Text Box 3">
          <a:extLst>
            <a:ext uri="{FF2B5EF4-FFF2-40B4-BE49-F238E27FC236}">
              <a16:creationId xmlns:a16="http://schemas.microsoft.com/office/drawing/2014/main" id="{00000000-0008-0000-1500-00005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9" name="Text Box 4">
          <a:extLst>
            <a:ext uri="{FF2B5EF4-FFF2-40B4-BE49-F238E27FC236}">
              <a16:creationId xmlns:a16="http://schemas.microsoft.com/office/drawing/2014/main" id="{00000000-0008-0000-1500-00005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0" name="Text Box 5">
          <a:extLst>
            <a:ext uri="{FF2B5EF4-FFF2-40B4-BE49-F238E27FC236}">
              <a16:creationId xmlns:a16="http://schemas.microsoft.com/office/drawing/2014/main" id="{00000000-0008-0000-1500-00005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1" name="Text Box 6">
          <a:extLst>
            <a:ext uri="{FF2B5EF4-FFF2-40B4-BE49-F238E27FC236}">
              <a16:creationId xmlns:a16="http://schemas.microsoft.com/office/drawing/2014/main" id="{00000000-0008-0000-1500-00005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2" name="Text Box 7">
          <a:extLst>
            <a:ext uri="{FF2B5EF4-FFF2-40B4-BE49-F238E27FC236}">
              <a16:creationId xmlns:a16="http://schemas.microsoft.com/office/drawing/2014/main" id="{00000000-0008-0000-1500-00005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3" name="Text Box 8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4" name="Text Box 9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5" name="Text Box 10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6" name="Text Box 11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7" name="Text Box 12">
          <a:extLst>
            <a:ext uri="{FF2B5EF4-FFF2-40B4-BE49-F238E27FC236}">
              <a16:creationId xmlns:a16="http://schemas.microsoft.com/office/drawing/2014/main" id="{00000000-0008-0000-1500-00006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8" name="Text Box 13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9" name="Text Box 14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0" name="Text Box 15">
          <a:extLst>
            <a:ext uri="{FF2B5EF4-FFF2-40B4-BE49-F238E27FC236}">
              <a16:creationId xmlns:a16="http://schemas.microsoft.com/office/drawing/2014/main" id="{00000000-0008-0000-1500-00006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1" name="Text Box 16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2" name="Text Box 17">
          <a:extLst>
            <a:ext uri="{FF2B5EF4-FFF2-40B4-BE49-F238E27FC236}">
              <a16:creationId xmlns:a16="http://schemas.microsoft.com/office/drawing/2014/main" id="{00000000-0008-0000-1500-00006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3" name="Text Box 18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4" name="Text Box 19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5" name="Text Box 20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6" name="Text Box 21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7" name="Text Box 22">
          <a:extLst>
            <a:ext uri="{FF2B5EF4-FFF2-40B4-BE49-F238E27FC236}">
              <a16:creationId xmlns:a16="http://schemas.microsoft.com/office/drawing/2014/main" id="{00000000-0008-0000-1500-00006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8" name="Text Box 23">
          <a:extLst>
            <a:ext uri="{FF2B5EF4-FFF2-40B4-BE49-F238E27FC236}">
              <a16:creationId xmlns:a16="http://schemas.microsoft.com/office/drawing/2014/main" id="{00000000-0008-0000-1500-00006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9" name="Text Box 24">
          <a:extLst>
            <a:ext uri="{FF2B5EF4-FFF2-40B4-BE49-F238E27FC236}">
              <a16:creationId xmlns:a16="http://schemas.microsoft.com/office/drawing/2014/main" id="{00000000-0008-0000-1500-00006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0" name="Text Box 25">
          <a:extLst>
            <a:ext uri="{FF2B5EF4-FFF2-40B4-BE49-F238E27FC236}">
              <a16:creationId xmlns:a16="http://schemas.microsoft.com/office/drawing/2014/main" id="{00000000-0008-0000-1500-00006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1" name="Text Box 26">
          <a:extLst>
            <a:ext uri="{FF2B5EF4-FFF2-40B4-BE49-F238E27FC236}">
              <a16:creationId xmlns:a16="http://schemas.microsoft.com/office/drawing/2014/main" id="{00000000-0008-0000-1500-00006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2" name="Text Box 27">
          <a:extLst>
            <a:ext uri="{FF2B5EF4-FFF2-40B4-BE49-F238E27FC236}">
              <a16:creationId xmlns:a16="http://schemas.microsoft.com/office/drawing/2014/main" id="{00000000-0008-0000-1500-00007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3" name="Text Box 28">
          <a:extLst>
            <a:ext uri="{FF2B5EF4-FFF2-40B4-BE49-F238E27FC236}">
              <a16:creationId xmlns:a16="http://schemas.microsoft.com/office/drawing/2014/main" id="{00000000-0008-0000-1500-00007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4" name="Text Box 29">
          <a:extLst>
            <a:ext uri="{FF2B5EF4-FFF2-40B4-BE49-F238E27FC236}">
              <a16:creationId xmlns:a16="http://schemas.microsoft.com/office/drawing/2014/main" id="{00000000-0008-0000-1500-00007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5" name="Text Box 30">
          <a:extLst>
            <a:ext uri="{FF2B5EF4-FFF2-40B4-BE49-F238E27FC236}">
              <a16:creationId xmlns:a16="http://schemas.microsoft.com/office/drawing/2014/main" id="{00000000-0008-0000-1500-00007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6" name="Text Box 31">
          <a:extLst>
            <a:ext uri="{FF2B5EF4-FFF2-40B4-BE49-F238E27FC236}">
              <a16:creationId xmlns:a16="http://schemas.microsoft.com/office/drawing/2014/main" id="{00000000-0008-0000-1500-00007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7" name="Text Box 32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8" name="Text Box 33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9" name="Text Box 34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0" name="Text Box 35">
          <a:extLst>
            <a:ext uri="{FF2B5EF4-FFF2-40B4-BE49-F238E27FC236}">
              <a16:creationId xmlns:a16="http://schemas.microsoft.com/office/drawing/2014/main" id="{00000000-0008-0000-1500-00007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1" name="Text Box 36">
          <a:extLst>
            <a:ext uri="{FF2B5EF4-FFF2-40B4-BE49-F238E27FC236}">
              <a16:creationId xmlns:a16="http://schemas.microsoft.com/office/drawing/2014/main" id="{00000000-0008-0000-1500-00007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2" name="Text Box 37">
          <a:extLst>
            <a:ext uri="{FF2B5EF4-FFF2-40B4-BE49-F238E27FC236}">
              <a16:creationId xmlns:a16="http://schemas.microsoft.com/office/drawing/2014/main" id="{00000000-0008-0000-1500-00007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23" name="Text Box 38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4" name="Text Box 39">
          <a:extLst>
            <a:ext uri="{FF2B5EF4-FFF2-40B4-BE49-F238E27FC236}">
              <a16:creationId xmlns:a16="http://schemas.microsoft.com/office/drawing/2014/main" id="{00000000-0008-0000-1500-00007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5" name="Text Box 40">
          <a:extLst>
            <a:ext uri="{FF2B5EF4-FFF2-40B4-BE49-F238E27FC236}">
              <a16:creationId xmlns:a16="http://schemas.microsoft.com/office/drawing/2014/main" id="{00000000-0008-0000-1500-00007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6" name="Text Box 41">
          <a:extLst>
            <a:ext uri="{FF2B5EF4-FFF2-40B4-BE49-F238E27FC236}">
              <a16:creationId xmlns:a16="http://schemas.microsoft.com/office/drawing/2014/main" id="{00000000-0008-0000-1500-00007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7" name="Text Box 42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28" name="Text Box 1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9" name="Text Box 2">
          <a:extLst>
            <a:ext uri="{FF2B5EF4-FFF2-40B4-BE49-F238E27FC236}">
              <a16:creationId xmlns:a16="http://schemas.microsoft.com/office/drawing/2014/main" id="{00000000-0008-0000-1500-00008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0" name="Text Box 3">
          <a:extLst>
            <a:ext uri="{FF2B5EF4-FFF2-40B4-BE49-F238E27FC236}">
              <a16:creationId xmlns:a16="http://schemas.microsoft.com/office/drawing/2014/main" id="{00000000-0008-0000-1500-00008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1" name="Text Box 4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2" name="Text Box 5">
          <a:extLst>
            <a:ext uri="{FF2B5EF4-FFF2-40B4-BE49-F238E27FC236}">
              <a16:creationId xmlns:a16="http://schemas.microsoft.com/office/drawing/2014/main" id="{00000000-0008-0000-1500-00008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3" name="Text Box 6">
          <a:extLst>
            <a:ext uri="{FF2B5EF4-FFF2-40B4-BE49-F238E27FC236}">
              <a16:creationId xmlns:a16="http://schemas.microsoft.com/office/drawing/2014/main" id="{00000000-0008-0000-1500-00008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4" name="Text Box 7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5" name="Text Box 8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6" name="Text Box 9">
          <a:extLst>
            <a:ext uri="{FF2B5EF4-FFF2-40B4-BE49-F238E27FC236}">
              <a16:creationId xmlns:a16="http://schemas.microsoft.com/office/drawing/2014/main" id="{00000000-0008-0000-1500-00008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7" name="Text Box 10">
          <a:extLst>
            <a:ext uri="{FF2B5EF4-FFF2-40B4-BE49-F238E27FC236}">
              <a16:creationId xmlns:a16="http://schemas.microsoft.com/office/drawing/2014/main" id="{00000000-0008-0000-1500-00008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8" name="Text Box 11">
          <a:extLst>
            <a:ext uri="{FF2B5EF4-FFF2-40B4-BE49-F238E27FC236}">
              <a16:creationId xmlns:a16="http://schemas.microsoft.com/office/drawing/2014/main" id="{00000000-0008-0000-1500-00008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9" name="Text Box 12">
          <a:extLst>
            <a:ext uri="{FF2B5EF4-FFF2-40B4-BE49-F238E27FC236}">
              <a16:creationId xmlns:a16="http://schemas.microsoft.com/office/drawing/2014/main" id="{00000000-0008-0000-1500-00008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0" name="Text Box 13">
          <a:extLst>
            <a:ext uri="{FF2B5EF4-FFF2-40B4-BE49-F238E27FC236}">
              <a16:creationId xmlns:a16="http://schemas.microsoft.com/office/drawing/2014/main" id="{00000000-0008-0000-1500-00008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1" name="Text Box 14">
          <a:extLst>
            <a:ext uri="{FF2B5EF4-FFF2-40B4-BE49-F238E27FC236}">
              <a16:creationId xmlns:a16="http://schemas.microsoft.com/office/drawing/2014/main" id="{00000000-0008-0000-1500-00008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2" name="Text Box 15">
          <a:extLst>
            <a:ext uri="{FF2B5EF4-FFF2-40B4-BE49-F238E27FC236}">
              <a16:creationId xmlns:a16="http://schemas.microsoft.com/office/drawing/2014/main" id="{00000000-0008-0000-1500-00008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3" name="Text Box 16">
          <a:extLst>
            <a:ext uri="{FF2B5EF4-FFF2-40B4-BE49-F238E27FC236}">
              <a16:creationId xmlns:a16="http://schemas.microsoft.com/office/drawing/2014/main" id="{00000000-0008-0000-1500-00008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4" name="Text Box 17">
          <a:extLst>
            <a:ext uri="{FF2B5EF4-FFF2-40B4-BE49-F238E27FC236}">
              <a16:creationId xmlns:a16="http://schemas.microsoft.com/office/drawing/2014/main" id="{00000000-0008-0000-1500-00009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5" name="Text Box 18">
          <a:extLst>
            <a:ext uri="{FF2B5EF4-FFF2-40B4-BE49-F238E27FC236}">
              <a16:creationId xmlns:a16="http://schemas.microsoft.com/office/drawing/2014/main" id="{00000000-0008-0000-1500-00009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6" name="Text Box 19">
          <a:extLst>
            <a:ext uri="{FF2B5EF4-FFF2-40B4-BE49-F238E27FC236}">
              <a16:creationId xmlns:a16="http://schemas.microsoft.com/office/drawing/2014/main" id="{00000000-0008-0000-1500-00009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7" name="Text Box 20">
          <a:extLst>
            <a:ext uri="{FF2B5EF4-FFF2-40B4-BE49-F238E27FC236}">
              <a16:creationId xmlns:a16="http://schemas.microsoft.com/office/drawing/2014/main" id="{00000000-0008-0000-1500-00009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8" name="Text Box 21">
          <a:extLst>
            <a:ext uri="{FF2B5EF4-FFF2-40B4-BE49-F238E27FC236}">
              <a16:creationId xmlns:a16="http://schemas.microsoft.com/office/drawing/2014/main" id="{00000000-0008-0000-1500-00009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9" name="Text Box 22">
          <a:extLst>
            <a:ext uri="{FF2B5EF4-FFF2-40B4-BE49-F238E27FC236}">
              <a16:creationId xmlns:a16="http://schemas.microsoft.com/office/drawing/2014/main" id="{00000000-0008-0000-1500-00009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0" name="Text Box 23">
          <a:extLst>
            <a:ext uri="{FF2B5EF4-FFF2-40B4-BE49-F238E27FC236}">
              <a16:creationId xmlns:a16="http://schemas.microsoft.com/office/drawing/2014/main" id="{00000000-0008-0000-1500-00009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1" name="Text Box 24">
          <a:extLst>
            <a:ext uri="{FF2B5EF4-FFF2-40B4-BE49-F238E27FC236}">
              <a16:creationId xmlns:a16="http://schemas.microsoft.com/office/drawing/2014/main" id="{00000000-0008-0000-1500-00009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2" name="Text Box 25">
          <a:extLst>
            <a:ext uri="{FF2B5EF4-FFF2-40B4-BE49-F238E27FC236}">
              <a16:creationId xmlns:a16="http://schemas.microsoft.com/office/drawing/2014/main" id="{00000000-0008-0000-1500-00009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3" name="Text Box 26">
          <a:extLst>
            <a:ext uri="{FF2B5EF4-FFF2-40B4-BE49-F238E27FC236}">
              <a16:creationId xmlns:a16="http://schemas.microsoft.com/office/drawing/2014/main" id="{00000000-0008-0000-1500-00009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4" name="Text Box 27">
          <a:extLst>
            <a:ext uri="{FF2B5EF4-FFF2-40B4-BE49-F238E27FC236}">
              <a16:creationId xmlns:a16="http://schemas.microsoft.com/office/drawing/2014/main" id="{00000000-0008-0000-1500-00009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5" name="Text Box 28">
          <a:extLst>
            <a:ext uri="{FF2B5EF4-FFF2-40B4-BE49-F238E27FC236}">
              <a16:creationId xmlns:a16="http://schemas.microsoft.com/office/drawing/2014/main" id="{00000000-0008-0000-1500-00009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6" name="Text Box 29">
          <a:extLst>
            <a:ext uri="{FF2B5EF4-FFF2-40B4-BE49-F238E27FC236}">
              <a16:creationId xmlns:a16="http://schemas.microsoft.com/office/drawing/2014/main" id="{00000000-0008-0000-1500-00009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7" name="Text Box 30">
          <a:extLst>
            <a:ext uri="{FF2B5EF4-FFF2-40B4-BE49-F238E27FC236}">
              <a16:creationId xmlns:a16="http://schemas.microsoft.com/office/drawing/2014/main" id="{00000000-0008-0000-1500-00009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8" name="Text Box 31">
          <a:extLst>
            <a:ext uri="{FF2B5EF4-FFF2-40B4-BE49-F238E27FC236}">
              <a16:creationId xmlns:a16="http://schemas.microsoft.com/office/drawing/2014/main" id="{00000000-0008-0000-1500-00009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9" name="Text Box 32">
          <a:extLst>
            <a:ext uri="{FF2B5EF4-FFF2-40B4-BE49-F238E27FC236}">
              <a16:creationId xmlns:a16="http://schemas.microsoft.com/office/drawing/2014/main" id="{00000000-0008-0000-1500-00009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0" name="Text Box 33">
          <a:extLst>
            <a:ext uri="{FF2B5EF4-FFF2-40B4-BE49-F238E27FC236}">
              <a16:creationId xmlns:a16="http://schemas.microsoft.com/office/drawing/2014/main" id="{00000000-0008-0000-1500-0000A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1" name="Text Box 34">
          <a:extLst>
            <a:ext uri="{FF2B5EF4-FFF2-40B4-BE49-F238E27FC236}">
              <a16:creationId xmlns:a16="http://schemas.microsoft.com/office/drawing/2014/main" id="{00000000-0008-0000-1500-0000A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2" name="Text Box 35">
          <a:extLst>
            <a:ext uri="{FF2B5EF4-FFF2-40B4-BE49-F238E27FC236}">
              <a16:creationId xmlns:a16="http://schemas.microsoft.com/office/drawing/2014/main" id="{00000000-0008-0000-1500-0000A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3" name="Text Box 36">
          <a:extLst>
            <a:ext uri="{FF2B5EF4-FFF2-40B4-BE49-F238E27FC236}">
              <a16:creationId xmlns:a16="http://schemas.microsoft.com/office/drawing/2014/main" id="{00000000-0008-0000-1500-0000A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4" name="Text Box 37">
          <a:extLst>
            <a:ext uri="{FF2B5EF4-FFF2-40B4-BE49-F238E27FC236}">
              <a16:creationId xmlns:a16="http://schemas.microsoft.com/office/drawing/2014/main" id="{00000000-0008-0000-1500-0000A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65" name="Text Box 38">
          <a:extLst>
            <a:ext uri="{FF2B5EF4-FFF2-40B4-BE49-F238E27FC236}">
              <a16:creationId xmlns:a16="http://schemas.microsoft.com/office/drawing/2014/main" id="{00000000-0008-0000-1500-0000A5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6" name="Text Box 39">
          <a:extLst>
            <a:ext uri="{FF2B5EF4-FFF2-40B4-BE49-F238E27FC236}">
              <a16:creationId xmlns:a16="http://schemas.microsoft.com/office/drawing/2014/main" id="{00000000-0008-0000-1500-0000A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7" name="Text Box 40">
          <a:extLst>
            <a:ext uri="{FF2B5EF4-FFF2-40B4-BE49-F238E27FC236}">
              <a16:creationId xmlns:a16="http://schemas.microsoft.com/office/drawing/2014/main" id="{00000000-0008-0000-1500-0000A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8" name="Text Box 41">
          <a:extLst>
            <a:ext uri="{FF2B5EF4-FFF2-40B4-BE49-F238E27FC236}">
              <a16:creationId xmlns:a16="http://schemas.microsoft.com/office/drawing/2014/main" id="{00000000-0008-0000-1500-0000A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9" name="Text Box 42">
          <a:extLst>
            <a:ext uri="{FF2B5EF4-FFF2-40B4-BE49-F238E27FC236}">
              <a16:creationId xmlns:a16="http://schemas.microsoft.com/office/drawing/2014/main" id="{00000000-0008-0000-1500-0000A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70" name="Text Box 1">
          <a:extLst>
            <a:ext uri="{FF2B5EF4-FFF2-40B4-BE49-F238E27FC236}">
              <a16:creationId xmlns:a16="http://schemas.microsoft.com/office/drawing/2014/main" id="{00000000-0008-0000-1500-0000AA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1" name="Text Box 2">
          <a:extLst>
            <a:ext uri="{FF2B5EF4-FFF2-40B4-BE49-F238E27FC236}">
              <a16:creationId xmlns:a16="http://schemas.microsoft.com/office/drawing/2014/main" id="{00000000-0008-0000-1500-0000A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2" name="Text Box 3">
          <a:extLst>
            <a:ext uri="{FF2B5EF4-FFF2-40B4-BE49-F238E27FC236}">
              <a16:creationId xmlns:a16="http://schemas.microsoft.com/office/drawing/2014/main" id="{00000000-0008-0000-1500-0000A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3" name="Text Box 4">
          <a:extLst>
            <a:ext uri="{FF2B5EF4-FFF2-40B4-BE49-F238E27FC236}">
              <a16:creationId xmlns:a16="http://schemas.microsoft.com/office/drawing/2014/main" id="{00000000-0008-0000-1500-0000A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4" name="Text Box 5">
          <a:extLst>
            <a:ext uri="{FF2B5EF4-FFF2-40B4-BE49-F238E27FC236}">
              <a16:creationId xmlns:a16="http://schemas.microsoft.com/office/drawing/2014/main" id="{00000000-0008-0000-1500-0000A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5" name="Text Box 6">
          <a:extLst>
            <a:ext uri="{FF2B5EF4-FFF2-40B4-BE49-F238E27FC236}">
              <a16:creationId xmlns:a16="http://schemas.microsoft.com/office/drawing/2014/main" id="{00000000-0008-0000-1500-0000A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6" name="Text Box 7">
          <a:extLst>
            <a:ext uri="{FF2B5EF4-FFF2-40B4-BE49-F238E27FC236}">
              <a16:creationId xmlns:a16="http://schemas.microsoft.com/office/drawing/2014/main" id="{00000000-0008-0000-1500-0000B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7" name="Text Box 8">
          <a:extLst>
            <a:ext uri="{FF2B5EF4-FFF2-40B4-BE49-F238E27FC236}">
              <a16:creationId xmlns:a16="http://schemas.microsoft.com/office/drawing/2014/main" id="{00000000-0008-0000-1500-0000B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8" name="Text Box 9">
          <a:extLst>
            <a:ext uri="{FF2B5EF4-FFF2-40B4-BE49-F238E27FC236}">
              <a16:creationId xmlns:a16="http://schemas.microsoft.com/office/drawing/2014/main" id="{00000000-0008-0000-1500-0000B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9" name="Text Box 10">
          <a:extLst>
            <a:ext uri="{FF2B5EF4-FFF2-40B4-BE49-F238E27FC236}">
              <a16:creationId xmlns:a16="http://schemas.microsoft.com/office/drawing/2014/main" id="{00000000-0008-0000-1500-0000B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0" name="Text Box 11">
          <a:extLst>
            <a:ext uri="{FF2B5EF4-FFF2-40B4-BE49-F238E27FC236}">
              <a16:creationId xmlns:a16="http://schemas.microsoft.com/office/drawing/2014/main" id="{00000000-0008-0000-1500-0000B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1" name="Text Box 12">
          <a:extLst>
            <a:ext uri="{FF2B5EF4-FFF2-40B4-BE49-F238E27FC236}">
              <a16:creationId xmlns:a16="http://schemas.microsoft.com/office/drawing/2014/main" id="{00000000-0008-0000-1500-0000B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2" name="Text Box 13">
          <a:extLst>
            <a:ext uri="{FF2B5EF4-FFF2-40B4-BE49-F238E27FC236}">
              <a16:creationId xmlns:a16="http://schemas.microsoft.com/office/drawing/2014/main" id="{00000000-0008-0000-1500-0000B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3" name="Text Box 14">
          <a:extLst>
            <a:ext uri="{FF2B5EF4-FFF2-40B4-BE49-F238E27FC236}">
              <a16:creationId xmlns:a16="http://schemas.microsoft.com/office/drawing/2014/main" id="{00000000-0008-0000-1500-0000B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4" name="Text Box 15">
          <a:extLst>
            <a:ext uri="{FF2B5EF4-FFF2-40B4-BE49-F238E27FC236}">
              <a16:creationId xmlns:a16="http://schemas.microsoft.com/office/drawing/2014/main" id="{00000000-0008-0000-1500-0000B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5" name="Text Box 16">
          <a:extLst>
            <a:ext uri="{FF2B5EF4-FFF2-40B4-BE49-F238E27FC236}">
              <a16:creationId xmlns:a16="http://schemas.microsoft.com/office/drawing/2014/main" id="{00000000-0008-0000-1500-0000B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6" name="Text Box 17">
          <a:extLst>
            <a:ext uri="{FF2B5EF4-FFF2-40B4-BE49-F238E27FC236}">
              <a16:creationId xmlns:a16="http://schemas.microsoft.com/office/drawing/2014/main" id="{00000000-0008-0000-1500-0000B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7" name="Text Box 18">
          <a:extLst>
            <a:ext uri="{FF2B5EF4-FFF2-40B4-BE49-F238E27FC236}">
              <a16:creationId xmlns:a16="http://schemas.microsoft.com/office/drawing/2014/main" id="{00000000-0008-0000-1500-0000B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8" name="Text Box 19">
          <a:extLst>
            <a:ext uri="{FF2B5EF4-FFF2-40B4-BE49-F238E27FC236}">
              <a16:creationId xmlns:a16="http://schemas.microsoft.com/office/drawing/2014/main" id="{00000000-0008-0000-1500-0000B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9" name="Text Box 20">
          <a:extLst>
            <a:ext uri="{FF2B5EF4-FFF2-40B4-BE49-F238E27FC236}">
              <a16:creationId xmlns:a16="http://schemas.microsoft.com/office/drawing/2014/main" id="{00000000-0008-0000-1500-0000B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0" name="Text Box 21">
          <a:extLst>
            <a:ext uri="{FF2B5EF4-FFF2-40B4-BE49-F238E27FC236}">
              <a16:creationId xmlns:a16="http://schemas.microsoft.com/office/drawing/2014/main" id="{00000000-0008-0000-1500-0000B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1" name="Text Box 22">
          <a:extLst>
            <a:ext uri="{FF2B5EF4-FFF2-40B4-BE49-F238E27FC236}">
              <a16:creationId xmlns:a16="http://schemas.microsoft.com/office/drawing/2014/main" id="{00000000-0008-0000-1500-0000B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2" name="Text Box 23">
          <a:extLst>
            <a:ext uri="{FF2B5EF4-FFF2-40B4-BE49-F238E27FC236}">
              <a16:creationId xmlns:a16="http://schemas.microsoft.com/office/drawing/2014/main" id="{00000000-0008-0000-1500-0000C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3" name="Text Box 24">
          <a:extLst>
            <a:ext uri="{FF2B5EF4-FFF2-40B4-BE49-F238E27FC236}">
              <a16:creationId xmlns:a16="http://schemas.microsoft.com/office/drawing/2014/main" id="{00000000-0008-0000-1500-0000C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4" name="Text Box 25">
          <a:extLst>
            <a:ext uri="{FF2B5EF4-FFF2-40B4-BE49-F238E27FC236}">
              <a16:creationId xmlns:a16="http://schemas.microsoft.com/office/drawing/2014/main" id="{00000000-0008-0000-1500-0000C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5" name="Text Box 26">
          <a:extLst>
            <a:ext uri="{FF2B5EF4-FFF2-40B4-BE49-F238E27FC236}">
              <a16:creationId xmlns:a16="http://schemas.microsoft.com/office/drawing/2014/main" id="{00000000-0008-0000-1500-0000C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6" name="Text Box 27">
          <a:extLst>
            <a:ext uri="{FF2B5EF4-FFF2-40B4-BE49-F238E27FC236}">
              <a16:creationId xmlns:a16="http://schemas.microsoft.com/office/drawing/2014/main" id="{00000000-0008-0000-1500-0000C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7" name="Text Box 28">
          <a:extLst>
            <a:ext uri="{FF2B5EF4-FFF2-40B4-BE49-F238E27FC236}">
              <a16:creationId xmlns:a16="http://schemas.microsoft.com/office/drawing/2014/main" id="{00000000-0008-0000-1500-0000C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8" name="Text Box 29">
          <a:extLst>
            <a:ext uri="{FF2B5EF4-FFF2-40B4-BE49-F238E27FC236}">
              <a16:creationId xmlns:a16="http://schemas.microsoft.com/office/drawing/2014/main" id="{00000000-0008-0000-1500-0000C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9" name="Text Box 30">
          <a:extLst>
            <a:ext uri="{FF2B5EF4-FFF2-40B4-BE49-F238E27FC236}">
              <a16:creationId xmlns:a16="http://schemas.microsoft.com/office/drawing/2014/main" id="{00000000-0008-0000-1500-0000C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0" name="Text Box 31">
          <a:extLst>
            <a:ext uri="{FF2B5EF4-FFF2-40B4-BE49-F238E27FC236}">
              <a16:creationId xmlns:a16="http://schemas.microsoft.com/office/drawing/2014/main" id="{00000000-0008-0000-1500-0000C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1" name="Text Box 32">
          <a:extLst>
            <a:ext uri="{FF2B5EF4-FFF2-40B4-BE49-F238E27FC236}">
              <a16:creationId xmlns:a16="http://schemas.microsoft.com/office/drawing/2014/main" id="{00000000-0008-0000-1500-0000C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2" name="Text Box 33">
          <a:extLst>
            <a:ext uri="{FF2B5EF4-FFF2-40B4-BE49-F238E27FC236}">
              <a16:creationId xmlns:a16="http://schemas.microsoft.com/office/drawing/2014/main" id="{00000000-0008-0000-1500-0000C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3" name="Text Box 34">
          <a:extLst>
            <a:ext uri="{FF2B5EF4-FFF2-40B4-BE49-F238E27FC236}">
              <a16:creationId xmlns:a16="http://schemas.microsoft.com/office/drawing/2014/main" id="{00000000-0008-0000-1500-0000C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4" name="Text Box 35">
          <a:extLst>
            <a:ext uri="{FF2B5EF4-FFF2-40B4-BE49-F238E27FC236}">
              <a16:creationId xmlns:a16="http://schemas.microsoft.com/office/drawing/2014/main" id="{00000000-0008-0000-1500-0000C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5" name="Text Box 36">
          <a:extLst>
            <a:ext uri="{FF2B5EF4-FFF2-40B4-BE49-F238E27FC236}">
              <a16:creationId xmlns:a16="http://schemas.microsoft.com/office/drawing/2014/main" id="{00000000-0008-0000-1500-0000C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6" name="Text Box 37">
          <a:extLst>
            <a:ext uri="{FF2B5EF4-FFF2-40B4-BE49-F238E27FC236}">
              <a16:creationId xmlns:a16="http://schemas.microsoft.com/office/drawing/2014/main" id="{00000000-0008-0000-1500-0000C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207" name="Text Box 38">
          <a:extLst>
            <a:ext uri="{FF2B5EF4-FFF2-40B4-BE49-F238E27FC236}">
              <a16:creationId xmlns:a16="http://schemas.microsoft.com/office/drawing/2014/main" id="{00000000-0008-0000-1500-0000CF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8" name="Text Box 39">
          <a:extLst>
            <a:ext uri="{FF2B5EF4-FFF2-40B4-BE49-F238E27FC236}">
              <a16:creationId xmlns:a16="http://schemas.microsoft.com/office/drawing/2014/main" id="{00000000-0008-0000-1500-0000D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9" name="Text Box 40">
          <a:extLst>
            <a:ext uri="{FF2B5EF4-FFF2-40B4-BE49-F238E27FC236}">
              <a16:creationId xmlns:a16="http://schemas.microsoft.com/office/drawing/2014/main" id="{00000000-0008-0000-1500-0000D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0" name="Text Box 41">
          <a:extLst>
            <a:ext uri="{FF2B5EF4-FFF2-40B4-BE49-F238E27FC236}">
              <a16:creationId xmlns:a16="http://schemas.microsoft.com/office/drawing/2014/main" id="{00000000-0008-0000-1500-0000D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1" name="Text Box 42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1600-00000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00000000-0008-0000-1600-00000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00000000-0008-0000-1600-00000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00000000-0008-0000-1600-00000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" name="Text Box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" name="Text Box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" name="Text Box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5" name="Text Box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6" name="Text Box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7" name="Text Box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8" name="Text Box 27">
          <a:extLst>
            <a:ext uri="{FF2B5EF4-FFF2-40B4-BE49-F238E27FC236}">
              <a16:creationId xmlns:a16="http://schemas.microsoft.com/office/drawing/2014/main" id="{00000000-0008-0000-1600-00001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9" name="Text Box 28">
          <a:extLst>
            <a:ext uri="{FF2B5EF4-FFF2-40B4-BE49-F238E27FC236}">
              <a16:creationId xmlns:a16="http://schemas.microsoft.com/office/drawing/2014/main" id="{00000000-0008-0000-1600-00001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0" name="Text Box 29">
          <a:extLst>
            <a:ext uri="{FF2B5EF4-FFF2-40B4-BE49-F238E27FC236}">
              <a16:creationId xmlns:a16="http://schemas.microsoft.com/office/drawing/2014/main" id="{00000000-0008-0000-1600-00001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1" name="Text Box 30">
          <a:extLst>
            <a:ext uri="{FF2B5EF4-FFF2-40B4-BE49-F238E27FC236}">
              <a16:creationId xmlns:a16="http://schemas.microsoft.com/office/drawing/2014/main" id="{00000000-0008-0000-1600-00001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2" name="Text Box 31">
          <a:extLst>
            <a:ext uri="{FF2B5EF4-FFF2-40B4-BE49-F238E27FC236}">
              <a16:creationId xmlns:a16="http://schemas.microsoft.com/office/drawing/2014/main" id="{00000000-0008-0000-1600-00002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3" name="Text Box 32">
          <a:extLst>
            <a:ext uri="{FF2B5EF4-FFF2-40B4-BE49-F238E27FC236}">
              <a16:creationId xmlns:a16="http://schemas.microsoft.com/office/drawing/2014/main" id="{00000000-0008-0000-1600-00002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4" name="Text Box 33">
          <a:extLst>
            <a:ext uri="{FF2B5EF4-FFF2-40B4-BE49-F238E27FC236}">
              <a16:creationId xmlns:a16="http://schemas.microsoft.com/office/drawing/2014/main" id="{00000000-0008-0000-1600-00002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5" name="Text Box 34">
          <a:extLst>
            <a:ext uri="{FF2B5EF4-FFF2-40B4-BE49-F238E27FC236}">
              <a16:creationId xmlns:a16="http://schemas.microsoft.com/office/drawing/2014/main" id="{00000000-0008-0000-1600-00002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6" name="Text Box 35"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7" name="Text Box 36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38" name="Text Box 37">
          <a:extLst>
            <a:ext uri="{FF2B5EF4-FFF2-40B4-BE49-F238E27FC236}">
              <a16:creationId xmlns:a16="http://schemas.microsoft.com/office/drawing/2014/main" id="{00000000-0008-0000-1600-00002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39" name="Text Box 38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SpPr txBox="1">
          <a:spLocks noChangeArrowheads="1"/>
        </xdr:cNvSpPr>
      </xdr:nvSpPr>
      <xdr:spPr bwMode="auto">
        <a:xfrm>
          <a:off x="3705225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0" name="Text Box 39">
          <a:extLst>
            <a:ext uri="{FF2B5EF4-FFF2-40B4-BE49-F238E27FC236}">
              <a16:creationId xmlns:a16="http://schemas.microsoft.com/office/drawing/2014/main" id="{00000000-0008-0000-1600-00002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1" name="Text Box 40">
          <a:extLst>
            <a:ext uri="{FF2B5EF4-FFF2-40B4-BE49-F238E27FC236}">
              <a16:creationId xmlns:a16="http://schemas.microsoft.com/office/drawing/2014/main" id="{00000000-0008-0000-1600-00002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2" name="Text Box 41">
          <a:extLst>
            <a:ext uri="{FF2B5EF4-FFF2-40B4-BE49-F238E27FC236}">
              <a16:creationId xmlns:a16="http://schemas.microsoft.com/office/drawing/2014/main" id="{00000000-0008-0000-1600-00002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3" name="Text Box 42">
          <a:extLst>
            <a:ext uri="{FF2B5EF4-FFF2-40B4-BE49-F238E27FC236}">
              <a16:creationId xmlns:a16="http://schemas.microsoft.com/office/drawing/2014/main" id="{00000000-0008-0000-1600-00002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44" name="Text Box 1">
          <a:extLst>
            <a:ext uri="{FF2B5EF4-FFF2-40B4-BE49-F238E27FC236}">
              <a16:creationId xmlns:a16="http://schemas.microsoft.com/office/drawing/2014/main" id="{00000000-0008-0000-1600-00002C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6" name="Text Box 3">
          <a:extLst>
            <a:ext uri="{FF2B5EF4-FFF2-40B4-BE49-F238E27FC236}">
              <a16:creationId xmlns:a16="http://schemas.microsoft.com/office/drawing/2014/main" id="{00000000-0008-0000-1600-00002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7" name="Text Box 4">
          <a:extLst>
            <a:ext uri="{FF2B5EF4-FFF2-40B4-BE49-F238E27FC236}">
              <a16:creationId xmlns:a16="http://schemas.microsoft.com/office/drawing/2014/main" id="{00000000-0008-0000-1600-00002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8" name="Text Box 5">
          <a:extLst>
            <a:ext uri="{FF2B5EF4-FFF2-40B4-BE49-F238E27FC236}">
              <a16:creationId xmlns:a16="http://schemas.microsoft.com/office/drawing/2014/main" id="{00000000-0008-0000-1600-00003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49" name="Text Box 6">
          <a:extLst>
            <a:ext uri="{FF2B5EF4-FFF2-40B4-BE49-F238E27FC236}">
              <a16:creationId xmlns:a16="http://schemas.microsoft.com/office/drawing/2014/main" id="{00000000-0008-0000-1600-00003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0" name="Text Box 7">
          <a:extLst>
            <a:ext uri="{FF2B5EF4-FFF2-40B4-BE49-F238E27FC236}">
              <a16:creationId xmlns:a16="http://schemas.microsoft.com/office/drawing/2014/main" id="{00000000-0008-0000-1600-00003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1" name="Text Box 8">
          <a:extLst>
            <a:ext uri="{FF2B5EF4-FFF2-40B4-BE49-F238E27FC236}">
              <a16:creationId xmlns:a16="http://schemas.microsoft.com/office/drawing/2014/main" id="{00000000-0008-0000-1600-00003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2" name="Text Box 9">
          <a:extLst>
            <a:ext uri="{FF2B5EF4-FFF2-40B4-BE49-F238E27FC236}">
              <a16:creationId xmlns:a16="http://schemas.microsoft.com/office/drawing/2014/main" id="{00000000-0008-0000-1600-00003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3" name="Text Box 10">
          <a:extLst>
            <a:ext uri="{FF2B5EF4-FFF2-40B4-BE49-F238E27FC236}">
              <a16:creationId xmlns:a16="http://schemas.microsoft.com/office/drawing/2014/main" id="{00000000-0008-0000-1600-00003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4" name="Text Box 11">
          <a:extLst>
            <a:ext uri="{FF2B5EF4-FFF2-40B4-BE49-F238E27FC236}">
              <a16:creationId xmlns:a16="http://schemas.microsoft.com/office/drawing/2014/main" id="{00000000-0008-0000-1600-00003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5" name="Text Box 12">
          <a:extLst>
            <a:ext uri="{FF2B5EF4-FFF2-40B4-BE49-F238E27FC236}">
              <a16:creationId xmlns:a16="http://schemas.microsoft.com/office/drawing/2014/main" id="{00000000-0008-0000-1600-00003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6" name="Text Box 13">
          <a:extLst>
            <a:ext uri="{FF2B5EF4-FFF2-40B4-BE49-F238E27FC236}">
              <a16:creationId xmlns:a16="http://schemas.microsoft.com/office/drawing/2014/main" id="{00000000-0008-0000-1600-00003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7" name="Text Box 14">
          <a:extLst>
            <a:ext uri="{FF2B5EF4-FFF2-40B4-BE49-F238E27FC236}">
              <a16:creationId xmlns:a16="http://schemas.microsoft.com/office/drawing/2014/main" id="{00000000-0008-0000-1600-00003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8" name="Text Box 15">
          <a:extLst>
            <a:ext uri="{FF2B5EF4-FFF2-40B4-BE49-F238E27FC236}">
              <a16:creationId xmlns:a16="http://schemas.microsoft.com/office/drawing/2014/main" id="{00000000-0008-0000-1600-00003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59" name="Text Box 16">
          <a:extLst>
            <a:ext uri="{FF2B5EF4-FFF2-40B4-BE49-F238E27FC236}">
              <a16:creationId xmlns:a16="http://schemas.microsoft.com/office/drawing/2014/main" id="{00000000-0008-0000-1600-00003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0" name="Text Box 17">
          <a:extLst>
            <a:ext uri="{FF2B5EF4-FFF2-40B4-BE49-F238E27FC236}">
              <a16:creationId xmlns:a16="http://schemas.microsoft.com/office/drawing/2014/main" id="{00000000-0008-0000-1600-00003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1" name="Text Box 18">
          <a:extLst>
            <a:ext uri="{FF2B5EF4-FFF2-40B4-BE49-F238E27FC236}">
              <a16:creationId xmlns:a16="http://schemas.microsoft.com/office/drawing/2014/main" id="{00000000-0008-0000-1600-00003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2" name="Text Box 19">
          <a:extLst>
            <a:ext uri="{FF2B5EF4-FFF2-40B4-BE49-F238E27FC236}">
              <a16:creationId xmlns:a16="http://schemas.microsoft.com/office/drawing/2014/main" id="{00000000-0008-0000-1600-00003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3" name="Text Box 20">
          <a:extLst>
            <a:ext uri="{FF2B5EF4-FFF2-40B4-BE49-F238E27FC236}">
              <a16:creationId xmlns:a16="http://schemas.microsoft.com/office/drawing/2014/main" id="{00000000-0008-0000-1600-00003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4" name="Text Box 21">
          <a:extLst>
            <a:ext uri="{FF2B5EF4-FFF2-40B4-BE49-F238E27FC236}">
              <a16:creationId xmlns:a16="http://schemas.microsoft.com/office/drawing/2014/main" id="{00000000-0008-0000-1600-00004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5" name="Text Box 22">
          <a:extLst>
            <a:ext uri="{FF2B5EF4-FFF2-40B4-BE49-F238E27FC236}">
              <a16:creationId xmlns:a16="http://schemas.microsoft.com/office/drawing/2014/main" id="{00000000-0008-0000-1600-00004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6" name="Text Box 23">
          <a:extLst>
            <a:ext uri="{FF2B5EF4-FFF2-40B4-BE49-F238E27FC236}">
              <a16:creationId xmlns:a16="http://schemas.microsoft.com/office/drawing/2014/main" id="{00000000-0008-0000-1600-00004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7" name="Text Box 24">
          <a:extLst>
            <a:ext uri="{FF2B5EF4-FFF2-40B4-BE49-F238E27FC236}">
              <a16:creationId xmlns:a16="http://schemas.microsoft.com/office/drawing/2014/main" id="{00000000-0008-0000-1600-00004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8" name="Text Box 25">
          <a:extLst>
            <a:ext uri="{FF2B5EF4-FFF2-40B4-BE49-F238E27FC236}">
              <a16:creationId xmlns:a16="http://schemas.microsoft.com/office/drawing/2014/main" id="{00000000-0008-0000-1600-00004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69" name="Text Box 26">
          <a:extLst>
            <a:ext uri="{FF2B5EF4-FFF2-40B4-BE49-F238E27FC236}">
              <a16:creationId xmlns:a16="http://schemas.microsoft.com/office/drawing/2014/main" id="{00000000-0008-0000-1600-00004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0" name="Text Box 27">
          <a:extLst>
            <a:ext uri="{FF2B5EF4-FFF2-40B4-BE49-F238E27FC236}">
              <a16:creationId xmlns:a16="http://schemas.microsoft.com/office/drawing/2014/main" id="{00000000-0008-0000-1600-00004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1" name="Text Box 28">
          <a:extLst>
            <a:ext uri="{FF2B5EF4-FFF2-40B4-BE49-F238E27FC236}">
              <a16:creationId xmlns:a16="http://schemas.microsoft.com/office/drawing/2014/main" id="{00000000-0008-0000-1600-00004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2" name="Text Box 29">
          <a:extLst>
            <a:ext uri="{FF2B5EF4-FFF2-40B4-BE49-F238E27FC236}">
              <a16:creationId xmlns:a16="http://schemas.microsoft.com/office/drawing/2014/main" id="{00000000-0008-0000-1600-00004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3" name="Text Box 30">
          <a:extLst>
            <a:ext uri="{FF2B5EF4-FFF2-40B4-BE49-F238E27FC236}">
              <a16:creationId xmlns:a16="http://schemas.microsoft.com/office/drawing/2014/main" id="{00000000-0008-0000-1600-00004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4" name="Text Box 31">
          <a:extLst>
            <a:ext uri="{FF2B5EF4-FFF2-40B4-BE49-F238E27FC236}">
              <a16:creationId xmlns:a16="http://schemas.microsoft.com/office/drawing/2014/main" id="{00000000-0008-0000-1600-00004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5" name="Text Box 32">
          <a:extLst>
            <a:ext uri="{FF2B5EF4-FFF2-40B4-BE49-F238E27FC236}">
              <a16:creationId xmlns:a16="http://schemas.microsoft.com/office/drawing/2014/main" id="{00000000-0008-0000-1600-00004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6" name="Text Box 33">
          <a:extLst>
            <a:ext uri="{FF2B5EF4-FFF2-40B4-BE49-F238E27FC236}">
              <a16:creationId xmlns:a16="http://schemas.microsoft.com/office/drawing/2014/main" id="{00000000-0008-0000-1600-00004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7" name="Text Box 34">
          <a:extLst>
            <a:ext uri="{FF2B5EF4-FFF2-40B4-BE49-F238E27FC236}">
              <a16:creationId xmlns:a16="http://schemas.microsoft.com/office/drawing/2014/main" id="{00000000-0008-0000-1600-00004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8" name="Text Box 35">
          <a:extLst>
            <a:ext uri="{FF2B5EF4-FFF2-40B4-BE49-F238E27FC236}">
              <a16:creationId xmlns:a16="http://schemas.microsoft.com/office/drawing/2014/main" id="{00000000-0008-0000-1600-00004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79" name="Text Box 36">
          <a:extLst>
            <a:ext uri="{FF2B5EF4-FFF2-40B4-BE49-F238E27FC236}">
              <a16:creationId xmlns:a16="http://schemas.microsoft.com/office/drawing/2014/main" id="{00000000-0008-0000-1600-00004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0" name="Text Box 37">
          <a:extLst>
            <a:ext uri="{FF2B5EF4-FFF2-40B4-BE49-F238E27FC236}">
              <a16:creationId xmlns:a16="http://schemas.microsoft.com/office/drawing/2014/main" id="{00000000-0008-0000-1600-00005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1" name="Text Box 38">
          <a:extLst>
            <a:ext uri="{FF2B5EF4-FFF2-40B4-BE49-F238E27FC236}">
              <a16:creationId xmlns:a16="http://schemas.microsoft.com/office/drawing/2014/main" id="{00000000-0008-0000-1600-000051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2" name="Text Box 39">
          <a:extLst>
            <a:ext uri="{FF2B5EF4-FFF2-40B4-BE49-F238E27FC236}">
              <a16:creationId xmlns:a16="http://schemas.microsoft.com/office/drawing/2014/main" id="{00000000-0008-0000-1600-00005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3" name="Text Box 40">
          <a:extLst>
            <a:ext uri="{FF2B5EF4-FFF2-40B4-BE49-F238E27FC236}">
              <a16:creationId xmlns:a16="http://schemas.microsoft.com/office/drawing/2014/main" id="{00000000-0008-0000-1600-00005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4" name="Text Box 41">
          <a:extLst>
            <a:ext uri="{FF2B5EF4-FFF2-40B4-BE49-F238E27FC236}">
              <a16:creationId xmlns:a16="http://schemas.microsoft.com/office/drawing/2014/main" id="{00000000-0008-0000-1600-00005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5" name="Text Box 42">
          <a:extLst>
            <a:ext uri="{FF2B5EF4-FFF2-40B4-BE49-F238E27FC236}">
              <a16:creationId xmlns:a16="http://schemas.microsoft.com/office/drawing/2014/main" id="{00000000-0008-0000-1600-00005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86" name="Text Box 1">
          <a:extLst>
            <a:ext uri="{FF2B5EF4-FFF2-40B4-BE49-F238E27FC236}">
              <a16:creationId xmlns:a16="http://schemas.microsoft.com/office/drawing/2014/main" id="{00000000-0008-0000-1600-000056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7" name="Text Box 2">
          <a:extLst>
            <a:ext uri="{FF2B5EF4-FFF2-40B4-BE49-F238E27FC236}">
              <a16:creationId xmlns:a16="http://schemas.microsoft.com/office/drawing/2014/main" id="{00000000-0008-0000-1600-00005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8" name="Text Box 3">
          <a:extLst>
            <a:ext uri="{FF2B5EF4-FFF2-40B4-BE49-F238E27FC236}">
              <a16:creationId xmlns:a16="http://schemas.microsoft.com/office/drawing/2014/main" id="{00000000-0008-0000-1600-00005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89" name="Text Box 4">
          <a:extLst>
            <a:ext uri="{FF2B5EF4-FFF2-40B4-BE49-F238E27FC236}">
              <a16:creationId xmlns:a16="http://schemas.microsoft.com/office/drawing/2014/main" id="{00000000-0008-0000-1600-00005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0" name="Text Box 5">
          <a:extLst>
            <a:ext uri="{FF2B5EF4-FFF2-40B4-BE49-F238E27FC236}">
              <a16:creationId xmlns:a16="http://schemas.microsoft.com/office/drawing/2014/main" id="{00000000-0008-0000-1600-00005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1" name="Text Box 6">
          <a:extLst>
            <a:ext uri="{FF2B5EF4-FFF2-40B4-BE49-F238E27FC236}">
              <a16:creationId xmlns:a16="http://schemas.microsoft.com/office/drawing/2014/main" id="{00000000-0008-0000-1600-00005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2" name="Text Box 7">
          <a:extLst>
            <a:ext uri="{FF2B5EF4-FFF2-40B4-BE49-F238E27FC236}">
              <a16:creationId xmlns:a16="http://schemas.microsoft.com/office/drawing/2014/main" id="{00000000-0008-0000-1600-00005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3" name="Text Box 8">
          <a:extLst>
            <a:ext uri="{FF2B5EF4-FFF2-40B4-BE49-F238E27FC236}">
              <a16:creationId xmlns:a16="http://schemas.microsoft.com/office/drawing/2014/main" id="{00000000-0008-0000-1600-00005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4" name="Text Box 9">
          <a:extLst>
            <a:ext uri="{FF2B5EF4-FFF2-40B4-BE49-F238E27FC236}">
              <a16:creationId xmlns:a16="http://schemas.microsoft.com/office/drawing/2014/main" id="{00000000-0008-0000-1600-00005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5" name="Text Box 10">
          <a:extLst>
            <a:ext uri="{FF2B5EF4-FFF2-40B4-BE49-F238E27FC236}">
              <a16:creationId xmlns:a16="http://schemas.microsoft.com/office/drawing/2014/main" id="{00000000-0008-0000-1600-00005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6" name="Text Box 11">
          <a:extLst>
            <a:ext uri="{FF2B5EF4-FFF2-40B4-BE49-F238E27FC236}">
              <a16:creationId xmlns:a16="http://schemas.microsoft.com/office/drawing/2014/main" id="{00000000-0008-0000-1600-00006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7" name="Text Box 12">
          <a:extLst>
            <a:ext uri="{FF2B5EF4-FFF2-40B4-BE49-F238E27FC236}">
              <a16:creationId xmlns:a16="http://schemas.microsoft.com/office/drawing/2014/main" id="{00000000-0008-0000-1600-00006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8" name="Text Box 13">
          <a:extLst>
            <a:ext uri="{FF2B5EF4-FFF2-40B4-BE49-F238E27FC236}">
              <a16:creationId xmlns:a16="http://schemas.microsoft.com/office/drawing/2014/main" id="{00000000-0008-0000-1600-00006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99" name="Text Box 14">
          <a:extLst>
            <a:ext uri="{FF2B5EF4-FFF2-40B4-BE49-F238E27FC236}">
              <a16:creationId xmlns:a16="http://schemas.microsoft.com/office/drawing/2014/main" id="{00000000-0008-0000-1600-00006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0" name="Text Box 15">
          <a:extLst>
            <a:ext uri="{FF2B5EF4-FFF2-40B4-BE49-F238E27FC236}">
              <a16:creationId xmlns:a16="http://schemas.microsoft.com/office/drawing/2014/main" id="{00000000-0008-0000-1600-00006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1" name="Text Box 16">
          <a:extLst>
            <a:ext uri="{FF2B5EF4-FFF2-40B4-BE49-F238E27FC236}">
              <a16:creationId xmlns:a16="http://schemas.microsoft.com/office/drawing/2014/main" id="{00000000-0008-0000-1600-00006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2" name="Text Box 17">
          <a:extLst>
            <a:ext uri="{FF2B5EF4-FFF2-40B4-BE49-F238E27FC236}">
              <a16:creationId xmlns:a16="http://schemas.microsoft.com/office/drawing/2014/main" id="{00000000-0008-0000-1600-00006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3" name="Text Box 18">
          <a:extLst>
            <a:ext uri="{FF2B5EF4-FFF2-40B4-BE49-F238E27FC236}">
              <a16:creationId xmlns:a16="http://schemas.microsoft.com/office/drawing/2014/main" id="{00000000-0008-0000-1600-00006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4" name="Text Box 19">
          <a:extLst>
            <a:ext uri="{FF2B5EF4-FFF2-40B4-BE49-F238E27FC236}">
              <a16:creationId xmlns:a16="http://schemas.microsoft.com/office/drawing/2014/main" id="{00000000-0008-0000-1600-00006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5" name="Text Box 20">
          <a:extLst>
            <a:ext uri="{FF2B5EF4-FFF2-40B4-BE49-F238E27FC236}">
              <a16:creationId xmlns:a16="http://schemas.microsoft.com/office/drawing/2014/main" id="{00000000-0008-0000-1600-00006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6" name="Text Box 21">
          <a:extLst>
            <a:ext uri="{FF2B5EF4-FFF2-40B4-BE49-F238E27FC236}">
              <a16:creationId xmlns:a16="http://schemas.microsoft.com/office/drawing/2014/main" id="{00000000-0008-0000-1600-00006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7" name="Text Box 22">
          <a:extLst>
            <a:ext uri="{FF2B5EF4-FFF2-40B4-BE49-F238E27FC236}">
              <a16:creationId xmlns:a16="http://schemas.microsoft.com/office/drawing/2014/main" id="{00000000-0008-0000-1600-00006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8" name="Text Box 23">
          <a:extLst>
            <a:ext uri="{FF2B5EF4-FFF2-40B4-BE49-F238E27FC236}">
              <a16:creationId xmlns:a16="http://schemas.microsoft.com/office/drawing/2014/main" id="{00000000-0008-0000-1600-00006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09" name="Text Box 24">
          <a:extLst>
            <a:ext uri="{FF2B5EF4-FFF2-40B4-BE49-F238E27FC236}">
              <a16:creationId xmlns:a16="http://schemas.microsoft.com/office/drawing/2014/main" id="{00000000-0008-0000-1600-00006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0" name="Text Box 25">
          <a:extLst>
            <a:ext uri="{FF2B5EF4-FFF2-40B4-BE49-F238E27FC236}">
              <a16:creationId xmlns:a16="http://schemas.microsoft.com/office/drawing/2014/main" id="{00000000-0008-0000-1600-00006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1" name="Text Box 26">
          <a:extLst>
            <a:ext uri="{FF2B5EF4-FFF2-40B4-BE49-F238E27FC236}">
              <a16:creationId xmlns:a16="http://schemas.microsoft.com/office/drawing/2014/main" id="{00000000-0008-0000-1600-00006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2" name="Text Box 27">
          <a:extLst>
            <a:ext uri="{FF2B5EF4-FFF2-40B4-BE49-F238E27FC236}">
              <a16:creationId xmlns:a16="http://schemas.microsoft.com/office/drawing/2014/main" id="{00000000-0008-0000-1600-00007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3" name="Text Box 28">
          <a:extLst>
            <a:ext uri="{FF2B5EF4-FFF2-40B4-BE49-F238E27FC236}">
              <a16:creationId xmlns:a16="http://schemas.microsoft.com/office/drawing/2014/main" id="{00000000-0008-0000-1600-00007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4" name="Text Box 29">
          <a:extLst>
            <a:ext uri="{FF2B5EF4-FFF2-40B4-BE49-F238E27FC236}">
              <a16:creationId xmlns:a16="http://schemas.microsoft.com/office/drawing/2014/main" id="{00000000-0008-0000-1600-00007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5" name="Text Box 30">
          <a:extLst>
            <a:ext uri="{FF2B5EF4-FFF2-40B4-BE49-F238E27FC236}">
              <a16:creationId xmlns:a16="http://schemas.microsoft.com/office/drawing/2014/main" id="{00000000-0008-0000-1600-00007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6" name="Text Box 31">
          <a:extLst>
            <a:ext uri="{FF2B5EF4-FFF2-40B4-BE49-F238E27FC236}">
              <a16:creationId xmlns:a16="http://schemas.microsoft.com/office/drawing/2014/main" id="{00000000-0008-0000-1600-00007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7" name="Text Box 32">
          <a:extLst>
            <a:ext uri="{FF2B5EF4-FFF2-40B4-BE49-F238E27FC236}">
              <a16:creationId xmlns:a16="http://schemas.microsoft.com/office/drawing/2014/main" id="{00000000-0008-0000-1600-00007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8" name="Text Box 33">
          <a:extLst>
            <a:ext uri="{FF2B5EF4-FFF2-40B4-BE49-F238E27FC236}">
              <a16:creationId xmlns:a16="http://schemas.microsoft.com/office/drawing/2014/main" id="{00000000-0008-0000-1600-00007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19" name="Text Box 34">
          <a:extLst>
            <a:ext uri="{FF2B5EF4-FFF2-40B4-BE49-F238E27FC236}">
              <a16:creationId xmlns:a16="http://schemas.microsoft.com/office/drawing/2014/main" id="{00000000-0008-0000-1600-00007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0" name="Text Box 35">
          <a:extLst>
            <a:ext uri="{FF2B5EF4-FFF2-40B4-BE49-F238E27FC236}">
              <a16:creationId xmlns:a16="http://schemas.microsoft.com/office/drawing/2014/main" id="{00000000-0008-0000-1600-00007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1" name="Text Box 36">
          <a:extLst>
            <a:ext uri="{FF2B5EF4-FFF2-40B4-BE49-F238E27FC236}">
              <a16:creationId xmlns:a16="http://schemas.microsoft.com/office/drawing/2014/main" id="{00000000-0008-0000-1600-00007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2" name="Text Box 37">
          <a:extLst>
            <a:ext uri="{FF2B5EF4-FFF2-40B4-BE49-F238E27FC236}">
              <a16:creationId xmlns:a16="http://schemas.microsoft.com/office/drawing/2014/main" id="{00000000-0008-0000-1600-00007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23" name="Text Box 38">
          <a:extLst>
            <a:ext uri="{FF2B5EF4-FFF2-40B4-BE49-F238E27FC236}">
              <a16:creationId xmlns:a16="http://schemas.microsoft.com/office/drawing/2014/main" id="{00000000-0008-0000-1600-00007B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4" name="Text Box 39">
          <a:extLst>
            <a:ext uri="{FF2B5EF4-FFF2-40B4-BE49-F238E27FC236}">
              <a16:creationId xmlns:a16="http://schemas.microsoft.com/office/drawing/2014/main" id="{00000000-0008-0000-1600-00007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5" name="Text Box 40">
          <a:extLst>
            <a:ext uri="{FF2B5EF4-FFF2-40B4-BE49-F238E27FC236}">
              <a16:creationId xmlns:a16="http://schemas.microsoft.com/office/drawing/2014/main" id="{00000000-0008-0000-1600-00007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6" name="Text Box 41">
          <a:extLst>
            <a:ext uri="{FF2B5EF4-FFF2-40B4-BE49-F238E27FC236}">
              <a16:creationId xmlns:a16="http://schemas.microsoft.com/office/drawing/2014/main" id="{00000000-0008-0000-1600-00007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7" name="Text Box 42">
          <a:extLst>
            <a:ext uri="{FF2B5EF4-FFF2-40B4-BE49-F238E27FC236}">
              <a16:creationId xmlns:a16="http://schemas.microsoft.com/office/drawing/2014/main" id="{00000000-0008-0000-1600-00007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28" name="Text Box 1">
          <a:extLst>
            <a:ext uri="{FF2B5EF4-FFF2-40B4-BE49-F238E27FC236}">
              <a16:creationId xmlns:a16="http://schemas.microsoft.com/office/drawing/2014/main" id="{00000000-0008-0000-1600-000080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29" name="Text Box 2">
          <a:extLst>
            <a:ext uri="{FF2B5EF4-FFF2-40B4-BE49-F238E27FC236}">
              <a16:creationId xmlns:a16="http://schemas.microsoft.com/office/drawing/2014/main" id="{00000000-0008-0000-1600-00008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0" name="Text Box 3">
          <a:extLst>
            <a:ext uri="{FF2B5EF4-FFF2-40B4-BE49-F238E27FC236}">
              <a16:creationId xmlns:a16="http://schemas.microsoft.com/office/drawing/2014/main" id="{00000000-0008-0000-1600-00008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1" name="Text Box 4">
          <a:extLst>
            <a:ext uri="{FF2B5EF4-FFF2-40B4-BE49-F238E27FC236}">
              <a16:creationId xmlns:a16="http://schemas.microsoft.com/office/drawing/2014/main" id="{00000000-0008-0000-1600-00008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2" name="Text Box 5">
          <a:extLst>
            <a:ext uri="{FF2B5EF4-FFF2-40B4-BE49-F238E27FC236}">
              <a16:creationId xmlns:a16="http://schemas.microsoft.com/office/drawing/2014/main" id="{00000000-0008-0000-1600-00008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3" name="Text Box 6">
          <a:extLst>
            <a:ext uri="{FF2B5EF4-FFF2-40B4-BE49-F238E27FC236}">
              <a16:creationId xmlns:a16="http://schemas.microsoft.com/office/drawing/2014/main" id="{00000000-0008-0000-1600-00008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4" name="Text Box 7">
          <a:extLst>
            <a:ext uri="{FF2B5EF4-FFF2-40B4-BE49-F238E27FC236}">
              <a16:creationId xmlns:a16="http://schemas.microsoft.com/office/drawing/2014/main" id="{00000000-0008-0000-1600-00008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5" name="Text Box 8">
          <a:extLst>
            <a:ext uri="{FF2B5EF4-FFF2-40B4-BE49-F238E27FC236}">
              <a16:creationId xmlns:a16="http://schemas.microsoft.com/office/drawing/2014/main" id="{00000000-0008-0000-1600-00008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6" name="Text Box 9">
          <a:extLst>
            <a:ext uri="{FF2B5EF4-FFF2-40B4-BE49-F238E27FC236}">
              <a16:creationId xmlns:a16="http://schemas.microsoft.com/office/drawing/2014/main" id="{00000000-0008-0000-1600-00008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7" name="Text Box 10">
          <a:extLst>
            <a:ext uri="{FF2B5EF4-FFF2-40B4-BE49-F238E27FC236}">
              <a16:creationId xmlns:a16="http://schemas.microsoft.com/office/drawing/2014/main" id="{00000000-0008-0000-1600-00008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8" name="Text Box 11">
          <a:extLst>
            <a:ext uri="{FF2B5EF4-FFF2-40B4-BE49-F238E27FC236}">
              <a16:creationId xmlns:a16="http://schemas.microsoft.com/office/drawing/2014/main" id="{00000000-0008-0000-1600-00008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39" name="Text Box 12">
          <a:extLst>
            <a:ext uri="{FF2B5EF4-FFF2-40B4-BE49-F238E27FC236}">
              <a16:creationId xmlns:a16="http://schemas.microsoft.com/office/drawing/2014/main" id="{00000000-0008-0000-1600-00008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0" name="Text Box 13">
          <a:extLst>
            <a:ext uri="{FF2B5EF4-FFF2-40B4-BE49-F238E27FC236}">
              <a16:creationId xmlns:a16="http://schemas.microsoft.com/office/drawing/2014/main" id="{00000000-0008-0000-1600-00008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1" name="Text Box 14">
          <a:extLst>
            <a:ext uri="{FF2B5EF4-FFF2-40B4-BE49-F238E27FC236}">
              <a16:creationId xmlns:a16="http://schemas.microsoft.com/office/drawing/2014/main" id="{00000000-0008-0000-1600-00008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2" name="Text Box 15">
          <a:extLst>
            <a:ext uri="{FF2B5EF4-FFF2-40B4-BE49-F238E27FC236}">
              <a16:creationId xmlns:a16="http://schemas.microsoft.com/office/drawing/2014/main" id="{00000000-0008-0000-1600-00008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3" name="Text Box 16">
          <a:extLst>
            <a:ext uri="{FF2B5EF4-FFF2-40B4-BE49-F238E27FC236}">
              <a16:creationId xmlns:a16="http://schemas.microsoft.com/office/drawing/2014/main" id="{00000000-0008-0000-1600-00008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4" name="Text Box 17">
          <a:extLst>
            <a:ext uri="{FF2B5EF4-FFF2-40B4-BE49-F238E27FC236}">
              <a16:creationId xmlns:a16="http://schemas.microsoft.com/office/drawing/2014/main" id="{00000000-0008-0000-1600-00009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5" name="Text Box 18">
          <a:extLst>
            <a:ext uri="{FF2B5EF4-FFF2-40B4-BE49-F238E27FC236}">
              <a16:creationId xmlns:a16="http://schemas.microsoft.com/office/drawing/2014/main" id="{00000000-0008-0000-1600-00009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6" name="Text Box 19">
          <a:extLst>
            <a:ext uri="{FF2B5EF4-FFF2-40B4-BE49-F238E27FC236}">
              <a16:creationId xmlns:a16="http://schemas.microsoft.com/office/drawing/2014/main" id="{00000000-0008-0000-1600-00009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7" name="Text Box 20">
          <a:extLst>
            <a:ext uri="{FF2B5EF4-FFF2-40B4-BE49-F238E27FC236}">
              <a16:creationId xmlns:a16="http://schemas.microsoft.com/office/drawing/2014/main" id="{00000000-0008-0000-1600-00009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8" name="Text Box 21">
          <a:extLst>
            <a:ext uri="{FF2B5EF4-FFF2-40B4-BE49-F238E27FC236}">
              <a16:creationId xmlns:a16="http://schemas.microsoft.com/office/drawing/2014/main" id="{00000000-0008-0000-1600-00009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49" name="Text Box 22">
          <a:extLst>
            <a:ext uri="{FF2B5EF4-FFF2-40B4-BE49-F238E27FC236}">
              <a16:creationId xmlns:a16="http://schemas.microsoft.com/office/drawing/2014/main" id="{00000000-0008-0000-1600-00009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0" name="Text Box 23">
          <a:extLst>
            <a:ext uri="{FF2B5EF4-FFF2-40B4-BE49-F238E27FC236}">
              <a16:creationId xmlns:a16="http://schemas.microsoft.com/office/drawing/2014/main" id="{00000000-0008-0000-1600-00009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1" name="Text Box 24">
          <a:extLst>
            <a:ext uri="{FF2B5EF4-FFF2-40B4-BE49-F238E27FC236}">
              <a16:creationId xmlns:a16="http://schemas.microsoft.com/office/drawing/2014/main" id="{00000000-0008-0000-1600-00009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2" name="Text Box 25">
          <a:extLst>
            <a:ext uri="{FF2B5EF4-FFF2-40B4-BE49-F238E27FC236}">
              <a16:creationId xmlns:a16="http://schemas.microsoft.com/office/drawing/2014/main" id="{00000000-0008-0000-1600-00009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3" name="Text Box 26">
          <a:extLst>
            <a:ext uri="{FF2B5EF4-FFF2-40B4-BE49-F238E27FC236}">
              <a16:creationId xmlns:a16="http://schemas.microsoft.com/office/drawing/2014/main" id="{00000000-0008-0000-1600-00009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4" name="Text Box 27">
          <a:extLst>
            <a:ext uri="{FF2B5EF4-FFF2-40B4-BE49-F238E27FC236}">
              <a16:creationId xmlns:a16="http://schemas.microsoft.com/office/drawing/2014/main" id="{00000000-0008-0000-1600-00009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5" name="Text Box 28">
          <a:extLst>
            <a:ext uri="{FF2B5EF4-FFF2-40B4-BE49-F238E27FC236}">
              <a16:creationId xmlns:a16="http://schemas.microsoft.com/office/drawing/2014/main" id="{00000000-0008-0000-1600-00009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6" name="Text Box 29">
          <a:extLst>
            <a:ext uri="{FF2B5EF4-FFF2-40B4-BE49-F238E27FC236}">
              <a16:creationId xmlns:a16="http://schemas.microsoft.com/office/drawing/2014/main" id="{00000000-0008-0000-1600-00009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7" name="Text Box 30">
          <a:extLst>
            <a:ext uri="{FF2B5EF4-FFF2-40B4-BE49-F238E27FC236}">
              <a16:creationId xmlns:a16="http://schemas.microsoft.com/office/drawing/2014/main" id="{00000000-0008-0000-1600-00009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8" name="Text Box 31">
          <a:extLst>
            <a:ext uri="{FF2B5EF4-FFF2-40B4-BE49-F238E27FC236}">
              <a16:creationId xmlns:a16="http://schemas.microsoft.com/office/drawing/2014/main" id="{00000000-0008-0000-1600-00009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59" name="Text Box 32">
          <a:extLst>
            <a:ext uri="{FF2B5EF4-FFF2-40B4-BE49-F238E27FC236}">
              <a16:creationId xmlns:a16="http://schemas.microsoft.com/office/drawing/2014/main" id="{00000000-0008-0000-1600-00009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0" name="Text Box 33">
          <a:extLst>
            <a:ext uri="{FF2B5EF4-FFF2-40B4-BE49-F238E27FC236}">
              <a16:creationId xmlns:a16="http://schemas.microsoft.com/office/drawing/2014/main" id="{00000000-0008-0000-1600-0000A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1" name="Text Box 34">
          <a:extLst>
            <a:ext uri="{FF2B5EF4-FFF2-40B4-BE49-F238E27FC236}">
              <a16:creationId xmlns:a16="http://schemas.microsoft.com/office/drawing/2014/main" id="{00000000-0008-0000-1600-0000A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2" name="Text Box 35">
          <a:extLst>
            <a:ext uri="{FF2B5EF4-FFF2-40B4-BE49-F238E27FC236}">
              <a16:creationId xmlns:a16="http://schemas.microsoft.com/office/drawing/2014/main" id="{00000000-0008-0000-1600-0000A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3" name="Text Box 36">
          <a:extLst>
            <a:ext uri="{FF2B5EF4-FFF2-40B4-BE49-F238E27FC236}">
              <a16:creationId xmlns:a16="http://schemas.microsoft.com/office/drawing/2014/main" id="{00000000-0008-0000-1600-0000A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4" name="Text Box 37">
          <a:extLst>
            <a:ext uri="{FF2B5EF4-FFF2-40B4-BE49-F238E27FC236}">
              <a16:creationId xmlns:a16="http://schemas.microsoft.com/office/drawing/2014/main" id="{00000000-0008-0000-1600-0000A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65" name="Text Box 38">
          <a:extLst>
            <a:ext uri="{FF2B5EF4-FFF2-40B4-BE49-F238E27FC236}">
              <a16:creationId xmlns:a16="http://schemas.microsoft.com/office/drawing/2014/main" id="{00000000-0008-0000-1600-0000A5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6" name="Text Box 39">
          <a:extLst>
            <a:ext uri="{FF2B5EF4-FFF2-40B4-BE49-F238E27FC236}">
              <a16:creationId xmlns:a16="http://schemas.microsoft.com/office/drawing/2014/main" id="{00000000-0008-0000-1600-0000A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7" name="Text Box 40">
          <a:extLst>
            <a:ext uri="{FF2B5EF4-FFF2-40B4-BE49-F238E27FC236}">
              <a16:creationId xmlns:a16="http://schemas.microsoft.com/office/drawing/2014/main" id="{00000000-0008-0000-1600-0000A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8" name="Text Box 41">
          <a:extLst>
            <a:ext uri="{FF2B5EF4-FFF2-40B4-BE49-F238E27FC236}">
              <a16:creationId xmlns:a16="http://schemas.microsoft.com/office/drawing/2014/main" id="{00000000-0008-0000-1600-0000A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69" name="Text Box 42">
          <a:extLst>
            <a:ext uri="{FF2B5EF4-FFF2-40B4-BE49-F238E27FC236}">
              <a16:creationId xmlns:a16="http://schemas.microsoft.com/office/drawing/2014/main" id="{00000000-0008-0000-1600-0000A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170" name="Text Box 1">
          <a:extLst>
            <a:ext uri="{FF2B5EF4-FFF2-40B4-BE49-F238E27FC236}">
              <a16:creationId xmlns:a16="http://schemas.microsoft.com/office/drawing/2014/main" id="{00000000-0008-0000-1600-0000AA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1" name="Text Box 2">
          <a:extLst>
            <a:ext uri="{FF2B5EF4-FFF2-40B4-BE49-F238E27FC236}">
              <a16:creationId xmlns:a16="http://schemas.microsoft.com/office/drawing/2014/main" id="{00000000-0008-0000-1600-0000A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2" name="Text Box 3">
          <a:extLst>
            <a:ext uri="{FF2B5EF4-FFF2-40B4-BE49-F238E27FC236}">
              <a16:creationId xmlns:a16="http://schemas.microsoft.com/office/drawing/2014/main" id="{00000000-0008-0000-1600-0000A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3" name="Text Box 4">
          <a:extLst>
            <a:ext uri="{FF2B5EF4-FFF2-40B4-BE49-F238E27FC236}">
              <a16:creationId xmlns:a16="http://schemas.microsoft.com/office/drawing/2014/main" id="{00000000-0008-0000-1600-0000A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4" name="Text Box 5">
          <a:extLst>
            <a:ext uri="{FF2B5EF4-FFF2-40B4-BE49-F238E27FC236}">
              <a16:creationId xmlns:a16="http://schemas.microsoft.com/office/drawing/2014/main" id="{00000000-0008-0000-1600-0000A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5" name="Text Box 6">
          <a:extLst>
            <a:ext uri="{FF2B5EF4-FFF2-40B4-BE49-F238E27FC236}">
              <a16:creationId xmlns:a16="http://schemas.microsoft.com/office/drawing/2014/main" id="{00000000-0008-0000-1600-0000A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6" name="Text Box 7">
          <a:extLst>
            <a:ext uri="{FF2B5EF4-FFF2-40B4-BE49-F238E27FC236}">
              <a16:creationId xmlns:a16="http://schemas.microsoft.com/office/drawing/2014/main" id="{00000000-0008-0000-1600-0000B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7" name="Text Box 8">
          <a:extLst>
            <a:ext uri="{FF2B5EF4-FFF2-40B4-BE49-F238E27FC236}">
              <a16:creationId xmlns:a16="http://schemas.microsoft.com/office/drawing/2014/main" id="{00000000-0008-0000-1600-0000B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8" name="Text Box 9">
          <a:extLst>
            <a:ext uri="{FF2B5EF4-FFF2-40B4-BE49-F238E27FC236}">
              <a16:creationId xmlns:a16="http://schemas.microsoft.com/office/drawing/2014/main" id="{00000000-0008-0000-1600-0000B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79" name="Text Box 10">
          <a:extLst>
            <a:ext uri="{FF2B5EF4-FFF2-40B4-BE49-F238E27FC236}">
              <a16:creationId xmlns:a16="http://schemas.microsoft.com/office/drawing/2014/main" id="{00000000-0008-0000-1600-0000B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0" name="Text Box 11">
          <a:extLst>
            <a:ext uri="{FF2B5EF4-FFF2-40B4-BE49-F238E27FC236}">
              <a16:creationId xmlns:a16="http://schemas.microsoft.com/office/drawing/2014/main" id="{00000000-0008-0000-1600-0000B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1" name="Text Box 12">
          <a:extLst>
            <a:ext uri="{FF2B5EF4-FFF2-40B4-BE49-F238E27FC236}">
              <a16:creationId xmlns:a16="http://schemas.microsoft.com/office/drawing/2014/main" id="{00000000-0008-0000-1600-0000B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2" name="Text Box 13">
          <a:extLst>
            <a:ext uri="{FF2B5EF4-FFF2-40B4-BE49-F238E27FC236}">
              <a16:creationId xmlns:a16="http://schemas.microsoft.com/office/drawing/2014/main" id="{00000000-0008-0000-1600-0000B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3" name="Text Box 14">
          <a:extLst>
            <a:ext uri="{FF2B5EF4-FFF2-40B4-BE49-F238E27FC236}">
              <a16:creationId xmlns:a16="http://schemas.microsoft.com/office/drawing/2014/main" id="{00000000-0008-0000-1600-0000B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4" name="Text Box 15">
          <a:extLst>
            <a:ext uri="{FF2B5EF4-FFF2-40B4-BE49-F238E27FC236}">
              <a16:creationId xmlns:a16="http://schemas.microsoft.com/office/drawing/2014/main" id="{00000000-0008-0000-1600-0000B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5" name="Text Box 16">
          <a:extLst>
            <a:ext uri="{FF2B5EF4-FFF2-40B4-BE49-F238E27FC236}">
              <a16:creationId xmlns:a16="http://schemas.microsoft.com/office/drawing/2014/main" id="{00000000-0008-0000-1600-0000B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6" name="Text Box 17">
          <a:extLst>
            <a:ext uri="{FF2B5EF4-FFF2-40B4-BE49-F238E27FC236}">
              <a16:creationId xmlns:a16="http://schemas.microsoft.com/office/drawing/2014/main" id="{00000000-0008-0000-1600-0000B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7" name="Text Box 18">
          <a:extLst>
            <a:ext uri="{FF2B5EF4-FFF2-40B4-BE49-F238E27FC236}">
              <a16:creationId xmlns:a16="http://schemas.microsoft.com/office/drawing/2014/main" id="{00000000-0008-0000-1600-0000B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8" name="Text Box 19">
          <a:extLst>
            <a:ext uri="{FF2B5EF4-FFF2-40B4-BE49-F238E27FC236}">
              <a16:creationId xmlns:a16="http://schemas.microsoft.com/office/drawing/2014/main" id="{00000000-0008-0000-1600-0000B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89" name="Text Box 20">
          <a:extLst>
            <a:ext uri="{FF2B5EF4-FFF2-40B4-BE49-F238E27FC236}">
              <a16:creationId xmlns:a16="http://schemas.microsoft.com/office/drawing/2014/main" id="{00000000-0008-0000-1600-0000B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0" name="Text Box 21">
          <a:extLst>
            <a:ext uri="{FF2B5EF4-FFF2-40B4-BE49-F238E27FC236}">
              <a16:creationId xmlns:a16="http://schemas.microsoft.com/office/drawing/2014/main" id="{00000000-0008-0000-1600-0000B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1" name="Text Box 22">
          <a:extLst>
            <a:ext uri="{FF2B5EF4-FFF2-40B4-BE49-F238E27FC236}">
              <a16:creationId xmlns:a16="http://schemas.microsoft.com/office/drawing/2014/main" id="{00000000-0008-0000-1600-0000B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2" name="Text Box 23">
          <a:extLst>
            <a:ext uri="{FF2B5EF4-FFF2-40B4-BE49-F238E27FC236}">
              <a16:creationId xmlns:a16="http://schemas.microsoft.com/office/drawing/2014/main" id="{00000000-0008-0000-1600-0000C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3" name="Text Box 24">
          <a:extLst>
            <a:ext uri="{FF2B5EF4-FFF2-40B4-BE49-F238E27FC236}">
              <a16:creationId xmlns:a16="http://schemas.microsoft.com/office/drawing/2014/main" id="{00000000-0008-0000-1600-0000C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4" name="Text Box 25">
          <a:extLst>
            <a:ext uri="{FF2B5EF4-FFF2-40B4-BE49-F238E27FC236}">
              <a16:creationId xmlns:a16="http://schemas.microsoft.com/office/drawing/2014/main" id="{00000000-0008-0000-1600-0000C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5" name="Text Box 26">
          <a:extLst>
            <a:ext uri="{FF2B5EF4-FFF2-40B4-BE49-F238E27FC236}">
              <a16:creationId xmlns:a16="http://schemas.microsoft.com/office/drawing/2014/main" id="{00000000-0008-0000-1600-0000C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6" name="Text Box 27">
          <a:extLst>
            <a:ext uri="{FF2B5EF4-FFF2-40B4-BE49-F238E27FC236}">
              <a16:creationId xmlns:a16="http://schemas.microsoft.com/office/drawing/2014/main" id="{00000000-0008-0000-1600-0000C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7" name="Text Box 28">
          <a:extLst>
            <a:ext uri="{FF2B5EF4-FFF2-40B4-BE49-F238E27FC236}">
              <a16:creationId xmlns:a16="http://schemas.microsoft.com/office/drawing/2014/main" id="{00000000-0008-0000-1600-0000C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8" name="Text Box 29">
          <a:extLst>
            <a:ext uri="{FF2B5EF4-FFF2-40B4-BE49-F238E27FC236}">
              <a16:creationId xmlns:a16="http://schemas.microsoft.com/office/drawing/2014/main" id="{00000000-0008-0000-1600-0000C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199" name="Text Box 30">
          <a:extLst>
            <a:ext uri="{FF2B5EF4-FFF2-40B4-BE49-F238E27FC236}">
              <a16:creationId xmlns:a16="http://schemas.microsoft.com/office/drawing/2014/main" id="{00000000-0008-0000-1600-0000C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0" name="Text Box 31">
          <a:extLst>
            <a:ext uri="{FF2B5EF4-FFF2-40B4-BE49-F238E27FC236}">
              <a16:creationId xmlns:a16="http://schemas.microsoft.com/office/drawing/2014/main" id="{00000000-0008-0000-1600-0000C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1" name="Text Box 32">
          <a:extLst>
            <a:ext uri="{FF2B5EF4-FFF2-40B4-BE49-F238E27FC236}">
              <a16:creationId xmlns:a16="http://schemas.microsoft.com/office/drawing/2014/main" id="{00000000-0008-0000-1600-0000C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2" name="Text Box 33">
          <a:extLst>
            <a:ext uri="{FF2B5EF4-FFF2-40B4-BE49-F238E27FC236}">
              <a16:creationId xmlns:a16="http://schemas.microsoft.com/office/drawing/2014/main" id="{00000000-0008-0000-1600-0000C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3" name="Text Box 34">
          <a:extLst>
            <a:ext uri="{FF2B5EF4-FFF2-40B4-BE49-F238E27FC236}">
              <a16:creationId xmlns:a16="http://schemas.microsoft.com/office/drawing/2014/main" id="{00000000-0008-0000-1600-0000C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4" name="Text Box 35">
          <a:extLst>
            <a:ext uri="{FF2B5EF4-FFF2-40B4-BE49-F238E27FC236}">
              <a16:creationId xmlns:a16="http://schemas.microsoft.com/office/drawing/2014/main" id="{00000000-0008-0000-1600-0000C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5" name="Text Box 36">
          <a:extLst>
            <a:ext uri="{FF2B5EF4-FFF2-40B4-BE49-F238E27FC236}">
              <a16:creationId xmlns:a16="http://schemas.microsoft.com/office/drawing/2014/main" id="{00000000-0008-0000-1600-0000C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6" name="Text Box 37">
          <a:extLst>
            <a:ext uri="{FF2B5EF4-FFF2-40B4-BE49-F238E27FC236}">
              <a16:creationId xmlns:a16="http://schemas.microsoft.com/office/drawing/2014/main" id="{00000000-0008-0000-1600-0000C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207" name="Text Box 38">
          <a:extLst>
            <a:ext uri="{FF2B5EF4-FFF2-40B4-BE49-F238E27FC236}">
              <a16:creationId xmlns:a16="http://schemas.microsoft.com/office/drawing/2014/main" id="{00000000-0008-0000-1600-0000CF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8" name="Text Box 39">
          <a:extLst>
            <a:ext uri="{FF2B5EF4-FFF2-40B4-BE49-F238E27FC236}">
              <a16:creationId xmlns:a16="http://schemas.microsoft.com/office/drawing/2014/main" id="{00000000-0008-0000-1600-0000D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09" name="Text Box 40">
          <a:extLst>
            <a:ext uri="{FF2B5EF4-FFF2-40B4-BE49-F238E27FC236}">
              <a16:creationId xmlns:a16="http://schemas.microsoft.com/office/drawing/2014/main" id="{00000000-0008-0000-1600-0000D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0" name="Text Box 41">
          <a:extLst>
            <a:ext uri="{FF2B5EF4-FFF2-40B4-BE49-F238E27FC236}">
              <a16:creationId xmlns:a16="http://schemas.microsoft.com/office/drawing/2014/main" id="{00000000-0008-0000-1600-0000D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1" name="Text Box 42">
          <a:extLst>
            <a:ext uri="{FF2B5EF4-FFF2-40B4-BE49-F238E27FC236}">
              <a16:creationId xmlns:a16="http://schemas.microsoft.com/office/drawing/2014/main" id="{00000000-0008-0000-1600-0000D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212" name="Text Box 1">
          <a:extLst>
            <a:ext uri="{FF2B5EF4-FFF2-40B4-BE49-F238E27FC236}">
              <a16:creationId xmlns:a16="http://schemas.microsoft.com/office/drawing/2014/main" id="{00000000-0008-0000-1600-0000D4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3" name="Text Box 2">
          <a:extLst>
            <a:ext uri="{FF2B5EF4-FFF2-40B4-BE49-F238E27FC236}">
              <a16:creationId xmlns:a16="http://schemas.microsoft.com/office/drawing/2014/main" id="{00000000-0008-0000-1600-0000D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4" name="Text Box 3">
          <a:extLst>
            <a:ext uri="{FF2B5EF4-FFF2-40B4-BE49-F238E27FC236}">
              <a16:creationId xmlns:a16="http://schemas.microsoft.com/office/drawing/2014/main" id="{00000000-0008-0000-1600-0000D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5" name="Text Box 4">
          <a:extLst>
            <a:ext uri="{FF2B5EF4-FFF2-40B4-BE49-F238E27FC236}">
              <a16:creationId xmlns:a16="http://schemas.microsoft.com/office/drawing/2014/main" id="{00000000-0008-0000-1600-0000D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6" name="Text Box 5">
          <a:extLst>
            <a:ext uri="{FF2B5EF4-FFF2-40B4-BE49-F238E27FC236}">
              <a16:creationId xmlns:a16="http://schemas.microsoft.com/office/drawing/2014/main" id="{00000000-0008-0000-1600-0000D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7" name="Text Box 6">
          <a:extLst>
            <a:ext uri="{FF2B5EF4-FFF2-40B4-BE49-F238E27FC236}">
              <a16:creationId xmlns:a16="http://schemas.microsoft.com/office/drawing/2014/main" id="{00000000-0008-0000-1600-0000D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8" name="Text Box 7">
          <a:extLst>
            <a:ext uri="{FF2B5EF4-FFF2-40B4-BE49-F238E27FC236}">
              <a16:creationId xmlns:a16="http://schemas.microsoft.com/office/drawing/2014/main" id="{00000000-0008-0000-1600-0000D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19" name="Text Box 8">
          <a:extLst>
            <a:ext uri="{FF2B5EF4-FFF2-40B4-BE49-F238E27FC236}">
              <a16:creationId xmlns:a16="http://schemas.microsoft.com/office/drawing/2014/main" id="{00000000-0008-0000-1600-0000D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0" name="Text Box 9">
          <a:extLst>
            <a:ext uri="{FF2B5EF4-FFF2-40B4-BE49-F238E27FC236}">
              <a16:creationId xmlns:a16="http://schemas.microsoft.com/office/drawing/2014/main" id="{00000000-0008-0000-1600-0000D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1" name="Text Box 10">
          <a:extLst>
            <a:ext uri="{FF2B5EF4-FFF2-40B4-BE49-F238E27FC236}">
              <a16:creationId xmlns:a16="http://schemas.microsoft.com/office/drawing/2014/main" id="{00000000-0008-0000-1600-0000D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2" name="Text Box 11">
          <a:extLst>
            <a:ext uri="{FF2B5EF4-FFF2-40B4-BE49-F238E27FC236}">
              <a16:creationId xmlns:a16="http://schemas.microsoft.com/office/drawing/2014/main" id="{00000000-0008-0000-1600-0000D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3" name="Text Box 12">
          <a:extLst>
            <a:ext uri="{FF2B5EF4-FFF2-40B4-BE49-F238E27FC236}">
              <a16:creationId xmlns:a16="http://schemas.microsoft.com/office/drawing/2014/main" id="{00000000-0008-0000-1600-0000D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4" name="Text Box 13">
          <a:extLst>
            <a:ext uri="{FF2B5EF4-FFF2-40B4-BE49-F238E27FC236}">
              <a16:creationId xmlns:a16="http://schemas.microsoft.com/office/drawing/2014/main" id="{00000000-0008-0000-1600-0000E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5" name="Text Box 14">
          <a:extLst>
            <a:ext uri="{FF2B5EF4-FFF2-40B4-BE49-F238E27FC236}">
              <a16:creationId xmlns:a16="http://schemas.microsoft.com/office/drawing/2014/main" id="{00000000-0008-0000-1600-0000E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6" name="Text Box 15">
          <a:extLst>
            <a:ext uri="{FF2B5EF4-FFF2-40B4-BE49-F238E27FC236}">
              <a16:creationId xmlns:a16="http://schemas.microsoft.com/office/drawing/2014/main" id="{00000000-0008-0000-1600-0000E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7" name="Text Box 16">
          <a:extLst>
            <a:ext uri="{FF2B5EF4-FFF2-40B4-BE49-F238E27FC236}">
              <a16:creationId xmlns:a16="http://schemas.microsoft.com/office/drawing/2014/main" id="{00000000-0008-0000-1600-0000E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8" name="Text Box 17">
          <a:extLst>
            <a:ext uri="{FF2B5EF4-FFF2-40B4-BE49-F238E27FC236}">
              <a16:creationId xmlns:a16="http://schemas.microsoft.com/office/drawing/2014/main" id="{00000000-0008-0000-1600-0000E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29" name="Text Box 18">
          <a:extLst>
            <a:ext uri="{FF2B5EF4-FFF2-40B4-BE49-F238E27FC236}">
              <a16:creationId xmlns:a16="http://schemas.microsoft.com/office/drawing/2014/main" id="{00000000-0008-0000-1600-0000E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0" name="Text Box 19">
          <a:extLst>
            <a:ext uri="{FF2B5EF4-FFF2-40B4-BE49-F238E27FC236}">
              <a16:creationId xmlns:a16="http://schemas.microsoft.com/office/drawing/2014/main" id="{00000000-0008-0000-1600-0000E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1" name="Text Box 20">
          <a:extLst>
            <a:ext uri="{FF2B5EF4-FFF2-40B4-BE49-F238E27FC236}">
              <a16:creationId xmlns:a16="http://schemas.microsoft.com/office/drawing/2014/main" id="{00000000-0008-0000-1600-0000E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2" name="Text Box 21">
          <a:extLst>
            <a:ext uri="{FF2B5EF4-FFF2-40B4-BE49-F238E27FC236}">
              <a16:creationId xmlns:a16="http://schemas.microsoft.com/office/drawing/2014/main" id="{00000000-0008-0000-1600-0000E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3" name="Text Box 22">
          <a:extLst>
            <a:ext uri="{FF2B5EF4-FFF2-40B4-BE49-F238E27FC236}">
              <a16:creationId xmlns:a16="http://schemas.microsoft.com/office/drawing/2014/main" id="{00000000-0008-0000-1600-0000E9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4" name="Text Box 23">
          <a:extLst>
            <a:ext uri="{FF2B5EF4-FFF2-40B4-BE49-F238E27FC236}">
              <a16:creationId xmlns:a16="http://schemas.microsoft.com/office/drawing/2014/main" id="{00000000-0008-0000-1600-0000E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5" name="Text Box 24">
          <a:extLst>
            <a:ext uri="{FF2B5EF4-FFF2-40B4-BE49-F238E27FC236}">
              <a16:creationId xmlns:a16="http://schemas.microsoft.com/office/drawing/2014/main" id="{00000000-0008-0000-1600-0000E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6" name="Text Box 25">
          <a:extLst>
            <a:ext uri="{FF2B5EF4-FFF2-40B4-BE49-F238E27FC236}">
              <a16:creationId xmlns:a16="http://schemas.microsoft.com/office/drawing/2014/main" id="{00000000-0008-0000-1600-0000E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7" name="Text Box 26">
          <a:extLst>
            <a:ext uri="{FF2B5EF4-FFF2-40B4-BE49-F238E27FC236}">
              <a16:creationId xmlns:a16="http://schemas.microsoft.com/office/drawing/2014/main" id="{00000000-0008-0000-1600-0000E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8" name="Text Box 27">
          <a:extLst>
            <a:ext uri="{FF2B5EF4-FFF2-40B4-BE49-F238E27FC236}">
              <a16:creationId xmlns:a16="http://schemas.microsoft.com/office/drawing/2014/main" id="{00000000-0008-0000-1600-0000EE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39" name="Text Box 28">
          <a:extLst>
            <a:ext uri="{FF2B5EF4-FFF2-40B4-BE49-F238E27FC236}">
              <a16:creationId xmlns:a16="http://schemas.microsoft.com/office/drawing/2014/main" id="{00000000-0008-0000-1600-0000EF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0" name="Text Box 29">
          <a:extLst>
            <a:ext uri="{FF2B5EF4-FFF2-40B4-BE49-F238E27FC236}">
              <a16:creationId xmlns:a16="http://schemas.microsoft.com/office/drawing/2014/main" id="{00000000-0008-0000-1600-0000F0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1" name="Text Box 30">
          <a:extLst>
            <a:ext uri="{FF2B5EF4-FFF2-40B4-BE49-F238E27FC236}">
              <a16:creationId xmlns:a16="http://schemas.microsoft.com/office/drawing/2014/main" id="{00000000-0008-0000-1600-0000F1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2" name="Text Box 31">
          <a:extLst>
            <a:ext uri="{FF2B5EF4-FFF2-40B4-BE49-F238E27FC236}">
              <a16:creationId xmlns:a16="http://schemas.microsoft.com/office/drawing/2014/main" id="{00000000-0008-0000-1600-0000F2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3" name="Text Box 32">
          <a:extLst>
            <a:ext uri="{FF2B5EF4-FFF2-40B4-BE49-F238E27FC236}">
              <a16:creationId xmlns:a16="http://schemas.microsoft.com/office/drawing/2014/main" id="{00000000-0008-0000-1600-0000F3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4" name="Text Box 33">
          <a:extLst>
            <a:ext uri="{FF2B5EF4-FFF2-40B4-BE49-F238E27FC236}">
              <a16:creationId xmlns:a16="http://schemas.microsoft.com/office/drawing/2014/main" id="{00000000-0008-0000-1600-0000F4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5" name="Text Box 34">
          <a:extLst>
            <a:ext uri="{FF2B5EF4-FFF2-40B4-BE49-F238E27FC236}">
              <a16:creationId xmlns:a16="http://schemas.microsoft.com/office/drawing/2014/main" id="{00000000-0008-0000-1600-0000F5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6" name="Text Box 35">
          <a:extLst>
            <a:ext uri="{FF2B5EF4-FFF2-40B4-BE49-F238E27FC236}">
              <a16:creationId xmlns:a16="http://schemas.microsoft.com/office/drawing/2014/main" id="{00000000-0008-0000-1600-0000F6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7" name="Text Box 36">
          <a:extLst>
            <a:ext uri="{FF2B5EF4-FFF2-40B4-BE49-F238E27FC236}">
              <a16:creationId xmlns:a16="http://schemas.microsoft.com/office/drawing/2014/main" id="{00000000-0008-0000-1600-0000F7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48" name="Text Box 37">
          <a:extLst>
            <a:ext uri="{FF2B5EF4-FFF2-40B4-BE49-F238E27FC236}">
              <a16:creationId xmlns:a16="http://schemas.microsoft.com/office/drawing/2014/main" id="{00000000-0008-0000-1600-0000F8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1</xdr:row>
      <xdr:rowOff>11257</xdr:rowOff>
    </xdr:to>
    <xdr:sp macro="" textlink="">
      <xdr:nvSpPr>
        <xdr:cNvPr id="249" name="Text Box 38">
          <a:extLst>
            <a:ext uri="{FF2B5EF4-FFF2-40B4-BE49-F238E27FC236}">
              <a16:creationId xmlns:a16="http://schemas.microsoft.com/office/drawing/2014/main" id="{00000000-0008-0000-1600-0000F9000000}"/>
            </a:ext>
          </a:extLst>
        </xdr:cNvPr>
        <xdr:cNvSpPr txBox="1">
          <a:spLocks noChangeArrowheads="1"/>
        </xdr:cNvSpPr>
      </xdr:nvSpPr>
      <xdr:spPr bwMode="auto">
        <a:xfrm>
          <a:off x="3028950" y="0"/>
          <a:ext cx="114300" cy="211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50" name="Text Box 39">
          <a:extLst>
            <a:ext uri="{FF2B5EF4-FFF2-40B4-BE49-F238E27FC236}">
              <a16:creationId xmlns:a16="http://schemas.microsoft.com/office/drawing/2014/main" id="{00000000-0008-0000-1600-0000FA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51" name="Text Box 40">
          <a:extLst>
            <a:ext uri="{FF2B5EF4-FFF2-40B4-BE49-F238E27FC236}">
              <a16:creationId xmlns:a16="http://schemas.microsoft.com/office/drawing/2014/main" id="{00000000-0008-0000-1600-0000FB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52" name="Text Box 41">
          <a:extLst>
            <a:ext uri="{FF2B5EF4-FFF2-40B4-BE49-F238E27FC236}">
              <a16:creationId xmlns:a16="http://schemas.microsoft.com/office/drawing/2014/main" id="{00000000-0008-0000-1600-0000FC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285750</xdr:colOff>
      <xdr:row>1</xdr:row>
      <xdr:rowOff>34637</xdr:rowOff>
    </xdr:to>
    <xdr:sp macro="" textlink="">
      <xdr:nvSpPr>
        <xdr:cNvPr id="253" name="Text Box 42">
          <a:extLst>
            <a:ext uri="{FF2B5EF4-FFF2-40B4-BE49-F238E27FC236}">
              <a16:creationId xmlns:a16="http://schemas.microsoft.com/office/drawing/2014/main" id="{00000000-0008-0000-1600-0000FD000000}"/>
            </a:ext>
          </a:extLst>
        </xdr:cNvPr>
        <xdr:cNvSpPr txBox="1">
          <a:spLocks noChangeArrowheads="1"/>
        </xdr:cNvSpPr>
      </xdr:nvSpPr>
      <xdr:spPr bwMode="auto">
        <a:xfrm>
          <a:off x="1819275" y="0"/>
          <a:ext cx="114300" cy="2346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549088</xdr:colOff>
      <xdr:row>6</xdr:row>
      <xdr:rowOff>145674</xdr:rowOff>
    </xdr:from>
    <xdr:to>
      <xdr:col>7</xdr:col>
      <xdr:colOff>0</xdr:colOff>
      <xdr:row>13</xdr:row>
      <xdr:rowOff>0</xdr:rowOff>
    </xdr:to>
    <xdr:sp macro="" textlink="">
      <xdr:nvSpPr>
        <xdr:cNvPr id="2" name="Arc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/>
      </xdr:nvSpPr>
      <xdr:spPr>
        <a:xfrm flipV="1">
          <a:off x="3292288" y="1441074"/>
          <a:ext cx="1508312" cy="1264026"/>
        </a:xfrm>
        <a:prstGeom prst="arc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4316</xdr:colOff>
      <xdr:row>7</xdr:row>
      <xdr:rowOff>5442</xdr:rowOff>
    </xdr:from>
    <xdr:to>
      <xdr:col>18</xdr:col>
      <xdr:colOff>89646</xdr:colOff>
      <xdr:row>12</xdr:row>
      <xdr:rowOff>201705</xdr:rowOff>
    </xdr:to>
    <xdr:sp macro="" textlink="">
      <xdr:nvSpPr>
        <xdr:cNvPr id="3" name="Arc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/>
      </xdr:nvSpPr>
      <xdr:spPr>
        <a:xfrm flipH="1" flipV="1">
          <a:off x="10977116" y="1510392"/>
          <a:ext cx="1456930" cy="1196388"/>
        </a:xfrm>
        <a:prstGeom prst="arc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448236</xdr:colOff>
      <xdr:row>23</xdr:row>
      <xdr:rowOff>0</xdr:rowOff>
    </xdr:from>
    <xdr:to>
      <xdr:col>7</xdr:col>
      <xdr:colOff>0</xdr:colOff>
      <xdr:row>29</xdr:row>
      <xdr:rowOff>33617</xdr:rowOff>
    </xdr:to>
    <xdr:sp macro="" textlink="" fLocksText="0">
      <xdr:nvSpPr>
        <xdr:cNvPr id="4" name="Arc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>
          <a:spLocks/>
        </xdr:cNvSpPr>
      </xdr:nvSpPr>
      <xdr:spPr>
        <a:xfrm>
          <a:off x="3191436" y="4781550"/>
          <a:ext cx="1609164" cy="1233767"/>
        </a:xfrm>
        <a:prstGeom prst="arc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 fLocksWithSheet="0"/>
  </xdr:twoCellAnchor>
  <xdr:twoCellAnchor>
    <xdr:from>
      <xdr:col>16</xdr:col>
      <xdr:colOff>0</xdr:colOff>
      <xdr:row>23</xdr:row>
      <xdr:rowOff>0</xdr:rowOff>
    </xdr:from>
    <xdr:to>
      <xdr:col>18</xdr:col>
      <xdr:colOff>246529</xdr:colOff>
      <xdr:row>29</xdr:row>
      <xdr:rowOff>100852</xdr:rowOff>
    </xdr:to>
    <xdr:sp macro="" textlink="" fLocksText="0">
      <xdr:nvSpPr>
        <xdr:cNvPr id="5" name="Arc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>
          <a:spLocks/>
        </xdr:cNvSpPr>
      </xdr:nvSpPr>
      <xdr:spPr>
        <a:xfrm rot="16200000">
          <a:off x="11131364" y="4622986"/>
          <a:ext cx="1301002" cy="1618129"/>
        </a:xfrm>
        <a:prstGeom prst="arc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 fLocksWithSheet="0"/>
  </xdr:twoCellAnchor>
  <xdr:twoCellAnchor>
    <xdr:from>
      <xdr:col>7</xdr:col>
      <xdr:colOff>78434</xdr:colOff>
      <xdr:row>10</xdr:row>
      <xdr:rowOff>179290</xdr:rowOff>
    </xdr:from>
    <xdr:to>
      <xdr:col>8</xdr:col>
      <xdr:colOff>291348</xdr:colOff>
      <xdr:row>14</xdr:row>
      <xdr:rowOff>112055</xdr:rowOff>
    </xdr:to>
    <xdr:sp macro="" textlink="">
      <xdr:nvSpPr>
        <xdr:cNvPr id="6" name="Arc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SpPr/>
      </xdr:nvSpPr>
      <xdr:spPr>
        <a:xfrm rot="16200000" flipH="1" flipV="1">
          <a:off x="4966721" y="2215678"/>
          <a:ext cx="723340" cy="898714"/>
        </a:xfrm>
        <a:prstGeom prst="arc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224114</xdr:colOff>
      <xdr:row>14</xdr:row>
      <xdr:rowOff>100850</xdr:rowOff>
    </xdr:from>
    <xdr:to>
      <xdr:col>7</xdr:col>
      <xdr:colOff>526477</xdr:colOff>
      <xdr:row>14</xdr:row>
      <xdr:rowOff>112057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CxnSpPr>
          <a:stCxn id="6" idx="2"/>
        </xdr:cNvCxnSpPr>
      </xdr:nvCxnSpPr>
      <xdr:spPr>
        <a:xfrm rot="10800000">
          <a:off x="4338914" y="3015500"/>
          <a:ext cx="988163" cy="11207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291352</xdr:colOff>
      <xdr:row>9</xdr:row>
      <xdr:rowOff>67235</xdr:rowOff>
    </xdr:from>
    <xdr:to>
      <xdr:col>8</xdr:col>
      <xdr:colOff>291354</xdr:colOff>
      <xdr:row>12</xdr:row>
      <xdr:rowOff>184894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CxnSpPr/>
      </xdr:nvCxnSpPr>
      <xdr:spPr>
        <a:xfrm rot="5400000" flipH="1" flipV="1">
          <a:off x="5428411" y="2340626"/>
          <a:ext cx="698684" cy="2"/>
        </a:xfrm>
        <a:prstGeom prst="straightConnector1">
          <a:avLst/>
        </a:prstGeom>
        <a:ln w="28575">
          <a:solidFill>
            <a:schemeClr val="accent3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44814</xdr:colOff>
      <xdr:row>21</xdr:row>
      <xdr:rowOff>112051</xdr:rowOff>
    </xdr:from>
    <xdr:to>
      <xdr:col>8</xdr:col>
      <xdr:colOff>392195</xdr:colOff>
      <xdr:row>25</xdr:row>
      <xdr:rowOff>78436</xdr:rowOff>
    </xdr:to>
    <xdr:sp macro="" textlink="" fLocksText="0">
      <xdr:nvSpPr>
        <xdr:cNvPr id="9" name="Arc 8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SpPr>
          <a:spLocks/>
        </xdr:cNvSpPr>
      </xdr:nvSpPr>
      <xdr:spPr>
        <a:xfrm>
          <a:off x="4845414" y="4474501"/>
          <a:ext cx="1033181" cy="776010"/>
        </a:xfrm>
        <a:prstGeom prst="arc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 fLocksWithSheet="0"/>
  </xdr:twoCellAnchor>
  <xdr:twoCellAnchor>
    <xdr:from>
      <xdr:col>8</xdr:col>
      <xdr:colOff>392195</xdr:colOff>
      <xdr:row>23</xdr:row>
      <xdr:rowOff>78434</xdr:rowOff>
    </xdr:from>
    <xdr:to>
      <xdr:col>8</xdr:col>
      <xdr:colOff>403412</xdr:colOff>
      <xdr:row>26</xdr:row>
      <xdr:rowOff>89649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CxnSpPr>
          <a:stCxn id="9" idx="2"/>
        </xdr:cNvCxnSpPr>
      </xdr:nvCxnSpPr>
      <xdr:spPr>
        <a:xfrm rot="16200000" flipH="1">
          <a:off x="5588084" y="5150495"/>
          <a:ext cx="592240" cy="11217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291344</xdr:colOff>
      <xdr:row>21</xdr:row>
      <xdr:rowOff>112050</xdr:rowOff>
    </xdr:from>
    <xdr:to>
      <xdr:col>7</xdr:col>
      <xdr:colOff>560092</xdr:colOff>
      <xdr:row>21</xdr:row>
      <xdr:rowOff>112051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CxnSpPr>
          <a:stCxn id="9" idx="0"/>
        </xdr:cNvCxnSpPr>
      </xdr:nvCxnSpPr>
      <xdr:spPr>
        <a:xfrm rot="10800000" flipV="1">
          <a:off x="4406144" y="4474500"/>
          <a:ext cx="954548" cy="1"/>
        </a:xfrm>
        <a:prstGeom prst="straightConnector1">
          <a:avLst/>
        </a:prstGeom>
        <a:ln w="28575">
          <a:solidFill>
            <a:schemeClr val="accent3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247313</xdr:colOff>
      <xdr:row>21</xdr:row>
      <xdr:rowOff>123265</xdr:rowOff>
    </xdr:from>
    <xdr:to>
      <xdr:col>16</xdr:col>
      <xdr:colOff>56813</xdr:colOff>
      <xdr:row>26</xdr:row>
      <xdr:rowOff>67236</xdr:rowOff>
    </xdr:to>
    <xdr:sp macro="" textlink="" fLocksText="0">
      <xdr:nvSpPr>
        <xdr:cNvPr id="12" name="Arc 11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SpPr>
          <a:spLocks/>
        </xdr:cNvSpPr>
      </xdr:nvSpPr>
      <xdr:spPr>
        <a:xfrm rot="16200000">
          <a:off x="9967015" y="4367213"/>
          <a:ext cx="944096" cy="1181100"/>
        </a:xfrm>
        <a:prstGeom prst="arc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 fLocksWithSheet="0"/>
  </xdr:twoCellAnchor>
  <xdr:twoCellAnchor>
    <xdr:from>
      <xdr:col>15</xdr:col>
      <xdr:colOff>140856</xdr:colOff>
      <xdr:row>21</xdr:row>
      <xdr:rowOff>112059</xdr:rowOff>
    </xdr:from>
    <xdr:to>
      <xdr:col>16</xdr:col>
      <xdr:colOff>381000</xdr:colOff>
      <xdr:row>21</xdr:row>
      <xdr:rowOff>123266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CxnSpPr/>
      </xdr:nvCxnSpPr>
      <xdr:spPr>
        <a:xfrm flipV="1">
          <a:off x="10427856" y="4474509"/>
          <a:ext cx="925944" cy="11207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248108</xdr:colOff>
      <xdr:row>23</xdr:row>
      <xdr:rowOff>168883</xdr:rowOff>
    </xdr:from>
    <xdr:to>
      <xdr:col>14</xdr:col>
      <xdr:colOff>257736</xdr:colOff>
      <xdr:row>26</xdr:row>
      <xdr:rowOff>78444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CxnSpPr/>
      </xdr:nvCxnSpPr>
      <xdr:spPr>
        <a:xfrm rot="16200000" flipH="1">
          <a:off x="9608829" y="5190912"/>
          <a:ext cx="490586" cy="9628"/>
        </a:xfrm>
        <a:prstGeom prst="straightConnector1">
          <a:avLst/>
        </a:prstGeom>
        <a:ln w="28575">
          <a:solidFill>
            <a:schemeClr val="accent3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314560</xdr:colOff>
      <xdr:row>10</xdr:row>
      <xdr:rowOff>56030</xdr:rowOff>
    </xdr:from>
    <xdr:to>
      <xdr:col>16</xdr:col>
      <xdr:colOff>101649</xdr:colOff>
      <xdr:row>14</xdr:row>
      <xdr:rowOff>123267</xdr:rowOff>
    </xdr:to>
    <xdr:sp macro="" textlink="">
      <xdr:nvSpPr>
        <xdr:cNvPr id="15" name="Arc 14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SpPr/>
      </xdr:nvSpPr>
      <xdr:spPr>
        <a:xfrm flipH="1" flipV="1">
          <a:off x="9915760" y="2180105"/>
          <a:ext cx="1158689" cy="857812"/>
        </a:xfrm>
        <a:prstGeom prst="arc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302559</xdr:colOff>
      <xdr:row>9</xdr:row>
      <xdr:rowOff>112058</xdr:rowOff>
    </xdr:from>
    <xdr:to>
      <xdr:col>14</xdr:col>
      <xdr:colOff>313768</xdr:colOff>
      <xdr:row>12</xdr:row>
      <xdr:rowOff>112853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CxnSpPr/>
      </xdr:nvCxnSpPr>
      <xdr:spPr>
        <a:xfrm rot="16200000" flipH="1">
          <a:off x="9618454" y="2321413"/>
          <a:ext cx="581820" cy="11209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191297</xdr:colOff>
      <xdr:row>14</xdr:row>
      <xdr:rowOff>123267</xdr:rowOff>
    </xdr:from>
    <xdr:to>
      <xdr:col>16</xdr:col>
      <xdr:colOff>392206</xdr:colOff>
      <xdr:row>14</xdr:row>
      <xdr:rowOff>134471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CxnSpPr/>
      </xdr:nvCxnSpPr>
      <xdr:spPr>
        <a:xfrm>
          <a:off x="10478297" y="3037917"/>
          <a:ext cx="886709" cy="11204"/>
        </a:xfrm>
        <a:prstGeom prst="straightConnector1">
          <a:avLst/>
        </a:prstGeom>
        <a:ln w="28575">
          <a:solidFill>
            <a:schemeClr val="accent3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268942</xdr:colOff>
      <xdr:row>9</xdr:row>
      <xdr:rowOff>145679</xdr:rowOff>
    </xdr:from>
    <xdr:to>
      <xdr:col>9</xdr:col>
      <xdr:colOff>280148</xdr:colOff>
      <xdr:row>26</xdr:row>
      <xdr:rowOff>112059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CxnSpPr/>
      </xdr:nvCxnSpPr>
      <xdr:spPr>
        <a:xfrm rot="16200000" flipV="1">
          <a:off x="4744292" y="3766579"/>
          <a:ext cx="3404905" cy="1120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291354</xdr:colOff>
      <xdr:row>9</xdr:row>
      <xdr:rowOff>89649</xdr:rowOff>
    </xdr:from>
    <xdr:to>
      <xdr:col>13</xdr:col>
      <xdr:colOff>291356</xdr:colOff>
      <xdr:row>26</xdr:row>
      <xdr:rowOff>112059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CxnSpPr/>
      </xdr:nvCxnSpPr>
      <xdr:spPr>
        <a:xfrm rot="16200000" flipH="1">
          <a:off x="7476287" y="3744166"/>
          <a:ext cx="3460935" cy="2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272143</xdr:colOff>
      <xdr:row>15</xdr:row>
      <xdr:rowOff>125667</xdr:rowOff>
    </xdr:from>
    <xdr:to>
      <xdr:col>16</xdr:col>
      <xdr:colOff>473852</xdr:colOff>
      <xdr:row>15</xdr:row>
      <xdr:rowOff>136873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CxnSpPr/>
      </xdr:nvCxnSpPr>
      <xdr:spPr>
        <a:xfrm flipV="1">
          <a:off x="4395107" y="3255310"/>
          <a:ext cx="7005281" cy="1120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280147</xdr:colOff>
      <xdr:row>20</xdr:row>
      <xdr:rowOff>100857</xdr:rowOff>
    </xdr:from>
    <xdr:to>
      <xdr:col>16</xdr:col>
      <xdr:colOff>381005</xdr:colOff>
      <xdr:row>20</xdr:row>
      <xdr:rowOff>123264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CxnSpPr/>
      </xdr:nvCxnSpPr>
      <xdr:spPr>
        <a:xfrm rot="10800000" flipV="1">
          <a:off x="4394947" y="4253757"/>
          <a:ext cx="6958858" cy="22407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598895</xdr:colOff>
      <xdr:row>16</xdr:row>
      <xdr:rowOff>102688</xdr:rowOff>
    </xdr:from>
    <xdr:to>
      <xdr:col>12</xdr:col>
      <xdr:colOff>322489</xdr:colOff>
      <xdr:row>24</xdr:row>
      <xdr:rowOff>17468</xdr:rowOff>
    </xdr:to>
    <xdr:sp macro="" textlink="">
      <xdr:nvSpPr>
        <xdr:cNvPr id="22" name="Arc 21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SpPr/>
      </xdr:nvSpPr>
      <xdr:spPr>
        <a:xfrm rot="11238681" flipH="1" flipV="1">
          <a:off x="6771095" y="3436438"/>
          <a:ext cx="1780994" cy="1562605"/>
        </a:xfrm>
        <a:prstGeom prst="arc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313765</xdr:colOff>
      <xdr:row>20</xdr:row>
      <xdr:rowOff>141196</xdr:rowOff>
    </xdr:from>
    <xdr:to>
      <xdr:col>12</xdr:col>
      <xdr:colOff>316236</xdr:colOff>
      <xdr:row>26</xdr:row>
      <xdr:rowOff>89650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CxnSpPr/>
      </xdr:nvCxnSpPr>
      <xdr:spPr>
        <a:xfrm rot="5400000">
          <a:off x="7965536" y="4871925"/>
          <a:ext cx="1158129" cy="2471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201706</xdr:colOff>
      <xdr:row>16</xdr:row>
      <xdr:rowOff>100854</xdr:rowOff>
    </xdr:from>
    <xdr:to>
      <xdr:col>11</xdr:col>
      <xdr:colOff>257740</xdr:colOff>
      <xdr:row>16</xdr:row>
      <xdr:rowOff>102443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CxnSpPr/>
      </xdr:nvCxnSpPr>
      <xdr:spPr>
        <a:xfrm rot="10800000">
          <a:off x="4316506" y="3434604"/>
          <a:ext cx="3485034" cy="1589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302562</xdr:colOff>
      <xdr:row>9</xdr:row>
      <xdr:rowOff>123264</xdr:rowOff>
    </xdr:from>
    <xdr:to>
      <xdr:col>12</xdr:col>
      <xdr:colOff>313767</xdr:colOff>
      <xdr:row>15</xdr:row>
      <xdr:rowOff>44827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CxnSpPr/>
      </xdr:nvCxnSpPr>
      <xdr:spPr>
        <a:xfrm rot="16200000" flipV="1">
          <a:off x="7976908" y="2602568"/>
          <a:ext cx="1121713" cy="1120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558377</xdr:colOff>
      <xdr:row>11</xdr:row>
      <xdr:rowOff>137920</xdr:rowOff>
    </xdr:from>
    <xdr:to>
      <xdr:col>12</xdr:col>
      <xdr:colOff>322417</xdr:colOff>
      <xdr:row>19</xdr:row>
      <xdr:rowOff>110595</xdr:rowOff>
    </xdr:to>
    <xdr:sp macro="" textlink="">
      <xdr:nvSpPr>
        <xdr:cNvPr id="26" name="Arc 25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SpPr/>
      </xdr:nvSpPr>
      <xdr:spPr>
        <a:xfrm rot="10361319" flipH="1">
          <a:off x="6730577" y="2452495"/>
          <a:ext cx="1821440" cy="1601450"/>
        </a:xfrm>
        <a:prstGeom prst="arc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268941</xdr:colOff>
      <xdr:row>19</xdr:row>
      <xdr:rowOff>104009</xdr:rowOff>
    </xdr:from>
    <xdr:to>
      <xdr:col>11</xdr:col>
      <xdr:colOff>240917</xdr:colOff>
      <xdr:row>19</xdr:row>
      <xdr:rowOff>123265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CxnSpPr>
          <a:stCxn id="26" idx="0"/>
        </xdr:cNvCxnSpPr>
      </xdr:nvCxnSpPr>
      <xdr:spPr>
        <a:xfrm rot="10800000" flipV="1">
          <a:off x="4383741" y="4047359"/>
          <a:ext cx="3400976" cy="1925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336176</xdr:colOff>
      <xdr:row>16</xdr:row>
      <xdr:rowOff>89627</xdr:rowOff>
    </xdr:from>
    <xdr:to>
      <xdr:col>12</xdr:col>
      <xdr:colOff>493057</xdr:colOff>
      <xdr:row>22</xdr:row>
      <xdr:rowOff>78420</xdr:rowOff>
    </xdr:to>
    <xdr:sp macro="" textlink="" fLocksText="0">
      <xdr:nvSpPr>
        <xdr:cNvPr id="28" name="Arc 27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SpPr>
          <a:spLocks/>
        </xdr:cNvSpPr>
      </xdr:nvSpPr>
      <xdr:spPr>
        <a:xfrm flipH="1">
          <a:off x="7194176" y="3423377"/>
          <a:ext cx="1528481" cy="1227043"/>
        </a:xfrm>
        <a:prstGeom prst="arc">
          <a:avLst>
            <a:gd name="adj1" fmla="val 15916143"/>
            <a:gd name="adj2" fmla="val 0"/>
          </a:avLst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 fLocksWithSheet="0"/>
  </xdr:twoCellAnchor>
  <xdr:twoCellAnchor>
    <xdr:from>
      <xdr:col>10</xdr:col>
      <xdr:colOff>324971</xdr:colOff>
      <xdr:row>19</xdr:row>
      <xdr:rowOff>95231</xdr:rowOff>
    </xdr:from>
    <xdr:to>
      <xdr:col>10</xdr:col>
      <xdr:colOff>336176</xdr:colOff>
      <xdr:row>26</xdr:row>
      <xdr:rowOff>100854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CxnSpPr>
          <a:stCxn id="28" idx="2"/>
        </xdr:cNvCxnSpPr>
      </xdr:nvCxnSpPr>
      <xdr:spPr>
        <a:xfrm rot="5400000">
          <a:off x="6476150" y="4745402"/>
          <a:ext cx="1424848" cy="1120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413916</xdr:colOff>
      <xdr:row>16</xdr:row>
      <xdr:rowOff>76040</xdr:rowOff>
    </xdr:from>
    <xdr:to>
      <xdr:col>16</xdr:col>
      <xdr:colOff>351385</xdr:colOff>
      <xdr:row>16</xdr:row>
      <xdr:rowOff>77777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CxnSpPr/>
      </xdr:nvCxnSpPr>
      <xdr:spPr>
        <a:xfrm flipV="1">
          <a:off x="7938666" y="3409790"/>
          <a:ext cx="3339255" cy="1737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258493</xdr:colOff>
      <xdr:row>13</xdr:row>
      <xdr:rowOff>88830</xdr:rowOff>
    </xdr:from>
    <xdr:to>
      <xdr:col>12</xdr:col>
      <xdr:colOff>314522</xdr:colOff>
      <xdr:row>19</xdr:row>
      <xdr:rowOff>122450</xdr:rowOff>
    </xdr:to>
    <xdr:sp macro="" textlink="">
      <xdr:nvSpPr>
        <xdr:cNvPr id="31" name="Arc 30"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SpPr/>
      </xdr:nvSpPr>
      <xdr:spPr>
        <a:xfrm flipH="1" flipV="1">
          <a:off x="7116493" y="2793930"/>
          <a:ext cx="1427629" cy="1271870"/>
        </a:xfrm>
        <a:prstGeom prst="arc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269702</xdr:colOff>
      <xdr:row>19</xdr:row>
      <xdr:rowOff>112059</xdr:rowOff>
    </xdr:from>
    <xdr:to>
      <xdr:col>16</xdr:col>
      <xdr:colOff>369795</xdr:colOff>
      <xdr:row>19</xdr:row>
      <xdr:rowOff>122451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CxnSpPr/>
      </xdr:nvCxnSpPr>
      <xdr:spPr>
        <a:xfrm rot="10800000" flipV="1">
          <a:off x="7813502" y="4055409"/>
          <a:ext cx="3529093" cy="10392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257700</xdr:colOff>
      <xdr:row>9</xdr:row>
      <xdr:rowOff>134470</xdr:rowOff>
    </xdr:from>
    <xdr:to>
      <xdr:col>10</xdr:col>
      <xdr:colOff>257736</xdr:colOff>
      <xdr:row>16</xdr:row>
      <xdr:rowOff>100833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CxnSpPr/>
      </xdr:nvCxnSpPr>
      <xdr:spPr>
        <a:xfrm rot="5400000" flipH="1" flipV="1">
          <a:off x="6427686" y="2746534"/>
          <a:ext cx="1376063" cy="3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549088</xdr:colOff>
      <xdr:row>42</xdr:row>
      <xdr:rowOff>145674</xdr:rowOff>
    </xdr:from>
    <xdr:to>
      <xdr:col>7</xdr:col>
      <xdr:colOff>0</xdr:colOff>
      <xdr:row>49</xdr:row>
      <xdr:rowOff>0</xdr:rowOff>
    </xdr:to>
    <xdr:sp macro="" textlink="">
      <xdr:nvSpPr>
        <xdr:cNvPr id="34" name="Arc 33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SpPr/>
      </xdr:nvSpPr>
      <xdr:spPr>
        <a:xfrm flipV="1">
          <a:off x="3292288" y="8822949"/>
          <a:ext cx="1508312" cy="1264026"/>
        </a:xfrm>
        <a:prstGeom prst="arc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4316</xdr:colOff>
      <xdr:row>43</xdr:row>
      <xdr:rowOff>5442</xdr:rowOff>
    </xdr:from>
    <xdr:to>
      <xdr:col>18</xdr:col>
      <xdr:colOff>89646</xdr:colOff>
      <xdr:row>48</xdr:row>
      <xdr:rowOff>201705</xdr:rowOff>
    </xdr:to>
    <xdr:sp macro="" textlink="">
      <xdr:nvSpPr>
        <xdr:cNvPr id="35" name="Arc 34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SpPr/>
      </xdr:nvSpPr>
      <xdr:spPr>
        <a:xfrm flipH="1" flipV="1">
          <a:off x="10977116" y="8892267"/>
          <a:ext cx="1456930" cy="1196388"/>
        </a:xfrm>
        <a:prstGeom prst="arc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448236</xdr:colOff>
      <xdr:row>59</xdr:row>
      <xdr:rowOff>0</xdr:rowOff>
    </xdr:from>
    <xdr:to>
      <xdr:col>7</xdr:col>
      <xdr:colOff>0</xdr:colOff>
      <xdr:row>65</xdr:row>
      <xdr:rowOff>33617</xdr:rowOff>
    </xdr:to>
    <xdr:sp macro="" textlink="" fLocksText="0">
      <xdr:nvSpPr>
        <xdr:cNvPr id="36" name="Arc 35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SpPr>
          <a:spLocks/>
        </xdr:cNvSpPr>
      </xdr:nvSpPr>
      <xdr:spPr>
        <a:xfrm>
          <a:off x="3191436" y="12163425"/>
          <a:ext cx="1609164" cy="1233767"/>
        </a:xfrm>
        <a:prstGeom prst="arc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 fLocksWithSheet="0"/>
  </xdr:twoCellAnchor>
  <xdr:twoCellAnchor>
    <xdr:from>
      <xdr:col>16</xdr:col>
      <xdr:colOff>0</xdr:colOff>
      <xdr:row>59</xdr:row>
      <xdr:rowOff>0</xdr:rowOff>
    </xdr:from>
    <xdr:to>
      <xdr:col>18</xdr:col>
      <xdr:colOff>246529</xdr:colOff>
      <xdr:row>65</xdr:row>
      <xdr:rowOff>100852</xdr:rowOff>
    </xdr:to>
    <xdr:sp macro="" textlink="" fLocksText="0">
      <xdr:nvSpPr>
        <xdr:cNvPr id="37" name="Arc 36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SpPr>
          <a:spLocks/>
        </xdr:cNvSpPr>
      </xdr:nvSpPr>
      <xdr:spPr>
        <a:xfrm rot="16200000">
          <a:off x="11131364" y="12004861"/>
          <a:ext cx="1301002" cy="1618129"/>
        </a:xfrm>
        <a:prstGeom prst="arc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 fLocksWithSheet="0"/>
  </xdr:twoCellAnchor>
  <xdr:twoCellAnchor>
    <xdr:from>
      <xdr:col>7</xdr:col>
      <xdr:colOff>78434</xdr:colOff>
      <xdr:row>46</xdr:row>
      <xdr:rowOff>179290</xdr:rowOff>
    </xdr:from>
    <xdr:to>
      <xdr:col>8</xdr:col>
      <xdr:colOff>291348</xdr:colOff>
      <xdr:row>50</xdr:row>
      <xdr:rowOff>112055</xdr:rowOff>
    </xdr:to>
    <xdr:sp macro="" textlink="">
      <xdr:nvSpPr>
        <xdr:cNvPr id="38" name="Arc 37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SpPr/>
      </xdr:nvSpPr>
      <xdr:spPr>
        <a:xfrm rot="16200000" flipH="1" flipV="1">
          <a:off x="4966721" y="9597553"/>
          <a:ext cx="723340" cy="898714"/>
        </a:xfrm>
        <a:prstGeom prst="arc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224114</xdr:colOff>
      <xdr:row>50</xdr:row>
      <xdr:rowOff>100850</xdr:rowOff>
    </xdr:from>
    <xdr:to>
      <xdr:col>7</xdr:col>
      <xdr:colOff>528619</xdr:colOff>
      <xdr:row>50</xdr:row>
      <xdr:rowOff>112057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CxnSpPr>
          <a:stCxn id="38" idx="2"/>
        </xdr:cNvCxnSpPr>
      </xdr:nvCxnSpPr>
      <xdr:spPr>
        <a:xfrm rot="10800000">
          <a:off x="4338914" y="10397375"/>
          <a:ext cx="990305" cy="11207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291352</xdr:colOff>
      <xdr:row>45</xdr:row>
      <xdr:rowOff>67235</xdr:rowOff>
    </xdr:from>
    <xdr:to>
      <xdr:col>8</xdr:col>
      <xdr:colOff>291354</xdr:colOff>
      <xdr:row>48</xdr:row>
      <xdr:rowOff>184894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CxnSpPr/>
      </xdr:nvCxnSpPr>
      <xdr:spPr>
        <a:xfrm rot="5400000" flipH="1" flipV="1">
          <a:off x="5428411" y="9722501"/>
          <a:ext cx="698684" cy="2"/>
        </a:xfrm>
        <a:prstGeom prst="straightConnector1">
          <a:avLst/>
        </a:prstGeom>
        <a:ln w="28575">
          <a:solidFill>
            <a:schemeClr val="accent3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44814</xdr:colOff>
      <xdr:row>57</xdr:row>
      <xdr:rowOff>112051</xdr:rowOff>
    </xdr:from>
    <xdr:to>
      <xdr:col>8</xdr:col>
      <xdr:colOff>392195</xdr:colOff>
      <xdr:row>61</xdr:row>
      <xdr:rowOff>78436</xdr:rowOff>
    </xdr:to>
    <xdr:sp macro="" textlink="" fLocksText="0">
      <xdr:nvSpPr>
        <xdr:cNvPr id="41" name="Arc 40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SpPr>
          <a:spLocks/>
        </xdr:cNvSpPr>
      </xdr:nvSpPr>
      <xdr:spPr>
        <a:xfrm>
          <a:off x="4845414" y="11856376"/>
          <a:ext cx="1033181" cy="776010"/>
        </a:xfrm>
        <a:prstGeom prst="arc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 fLocksWithSheet="0"/>
  </xdr:twoCellAnchor>
  <xdr:twoCellAnchor>
    <xdr:from>
      <xdr:col>8</xdr:col>
      <xdr:colOff>392195</xdr:colOff>
      <xdr:row>59</xdr:row>
      <xdr:rowOff>78434</xdr:rowOff>
    </xdr:from>
    <xdr:to>
      <xdr:col>8</xdr:col>
      <xdr:colOff>403412</xdr:colOff>
      <xdr:row>62</xdr:row>
      <xdr:rowOff>89649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1700-00002A000000}"/>
            </a:ext>
          </a:extLst>
        </xdr:cNvPr>
        <xdr:cNvCxnSpPr>
          <a:stCxn id="41" idx="2"/>
        </xdr:cNvCxnSpPr>
      </xdr:nvCxnSpPr>
      <xdr:spPr>
        <a:xfrm rot="16200000" flipH="1">
          <a:off x="5588084" y="12532370"/>
          <a:ext cx="592240" cy="11217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291344</xdr:colOff>
      <xdr:row>57</xdr:row>
      <xdr:rowOff>112050</xdr:rowOff>
    </xdr:from>
    <xdr:to>
      <xdr:col>7</xdr:col>
      <xdr:colOff>562234</xdr:colOff>
      <xdr:row>57</xdr:row>
      <xdr:rowOff>112051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00000000-0008-0000-1700-00002B000000}"/>
            </a:ext>
          </a:extLst>
        </xdr:cNvPr>
        <xdr:cNvCxnSpPr>
          <a:stCxn id="41" idx="0"/>
        </xdr:cNvCxnSpPr>
      </xdr:nvCxnSpPr>
      <xdr:spPr>
        <a:xfrm rot="10800000" flipV="1">
          <a:off x="4406144" y="11856375"/>
          <a:ext cx="956690" cy="1"/>
        </a:xfrm>
        <a:prstGeom prst="straightConnector1">
          <a:avLst/>
        </a:prstGeom>
        <a:ln w="28575">
          <a:solidFill>
            <a:schemeClr val="accent3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247313</xdr:colOff>
      <xdr:row>57</xdr:row>
      <xdr:rowOff>123265</xdr:rowOff>
    </xdr:from>
    <xdr:to>
      <xdr:col>16</xdr:col>
      <xdr:colOff>56813</xdr:colOff>
      <xdr:row>62</xdr:row>
      <xdr:rowOff>67236</xdr:rowOff>
    </xdr:to>
    <xdr:sp macro="" textlink="" fLocksText="0">
      <xdr:nvSpPr>
        <xdr:cNvPr id="44" name="Arc 43">
          <a:extLst>
            <a:ext uri="{FF2B5EF4-FFF2-40B4-BE49-F238E27FC236}">
              <a16:creationId xmlns:a16="http://schemas.microsoft.com/office/drawing/2014/main" id="{00000000-0008-0000-1700-00002C000000}"/>
            </a:ext>
          </a:extLst>
        </xdr:cNvPr>
        <xdr:cNvSpPr>
          <a:spLocks/>
        </xdr:cNvSpPr>
      </xdr:nvSpPr>
      <xdr:spPr>
        <a:xfrm rot="16200000">
          <a:off x="9967015" y="11749088"/>
          <a:ext cx="944096" cy="1181100"/>
        </a:xfrm>
        <a:prstGeom prst="arc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 fLocksWithSheet="0"/>
  </xdr:twoCellAnchor>
  <xdr:twoCellAnchor>
    <xdr:from>
      <xdr:col>15</xdr:col>
      <xdr:colOff>140856</xdr:colOff>
      <xdr:row>57</xdr:row>
      <xdr:rowOff>112059</xdr:rowOff>
    </xdr:from>
    <xdr:to>
      <xdr:col>16</xdr:col>
      <xdr:colOff>381000</xdr:colOff>
      <xdr:row>57</xdr:row>
      <xdr:rowOff>123266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CxnSpPr/>
      </xdr:nvCxnSpPr>
      <xdr:spPr>
        <a:xfrm flipV="1">
          <a:off x="10427856" y="11856384"/>
          <a:ext cx="925944" cy="11207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248108</xdr:colOff>
      <xdr:row>59</xdr:row>
      <xdr:rowOff>168883</xdr:rowOff>
    </xdr:from>
    <xdr:to>
      <xdr:col>14</xdr:col>
      <xdr:colOff>257736</xdr:colOff>
      <xdr:row>62</xdr:row>
      <xdr:rowOff>78444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CxnSpPr/>
      </xdr:nvCxnSpPr>
      <xdr:spPr>
        <a:xfrm rot="16200000" flipH="1">
          <a:off x="9608829" y="12572787"/>
          <a:ext cx="490586" cy="9628"/>
        </a:xfrm>
        <a:prstGeom prst="straightConnector1">
          <a:avLst/>
        </a:prstGeom>
        <a:ln w="28575">
          <a:solidFill>
            <a:schemeClr val="accent3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314560</xdr:colOff>
      <xdr:row>46</xdr:row>
      <xdr:rowOff>56030</xdr:rowOff>
    </xdr:from>
    <xdr:to>
      <xdr:col>16</xdr:col>
      <xdr:colOff>101649</xdr:colOff>
      <xdr:row>50</xdr:row>
      <xdr:rowOff>123267</xdr:rowOff>
    </xdr:to>
    <xdr:sp macro="" textlink="">
      <xdr:nvSpPr>
        <xdr:cNvPr id="47" name="Arc 46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SpPr/>
      </xdr:nvSpPr>
      <xdr:spPr>
        <a:xfrm flipH="1" flipV="1">
          <a:off x="9915760" y="9561980"/>
          <a:ext cx="1158689" cy="857812"/>
        </a:xfrm>
        <a:prstGeom prst="arc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302559</xdr:colOff>
      <xdr:row>45</xdr:row>
      <xdr:rowOff>112058</xdr:rowOff>
    </xdr:from>
    <xdr:to>
      <xdr:col>14</xdr:col>
      <xdr:colOff>313768</xdr:colOff>
      <xdr:row>48</xdr:row>
      <xdr:rowOff>112853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CxnSpPr/>
      </xdr:nvCxnSpPr>
      <xdr:spPr>
        <a:xfrm rot="16200000" flipH="1">
          <a:off x="9618454" y="9703288"/>
          <a:ext cx="581820" cy="11209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191297</xdr:colOff>
      <xdr:row>50</xdr:row>
      <xdr:rowOff>123267</xdr:rowOff>
    </xdr:from>
    <xdr:to>
      <xdr:col>16</xdr:col>
      <xdr:colOff>392206</xdr:colOff>
      <xdr:row>50</xdr:row>
      <xdr:rowOff>134471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CxnSpPr/>
      </xdr:nvCxnSpPr>
      <xdr:spPr>
        <a:xfrm>
          <a:off x="10478297" y="10419792"/>
          <a:ext cx="886709" cy="11204"/>
        </a:xfrm>
        <a:prstGeom prst="straightConnector1">
          <a:avLst/>
        </a:prstGeom>
        <a:ln w="28575">
          <a:solidFill>
            <a:schemeClr val="accent3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268942</xdr:colOff>
      <xdr:row>45</xdr:row>
      <xdr:rowOff>145679</xdr:rowOff>
    </xdr:from>
    <xdr:to>
      <xdr:col>9</xdr:col>
      <xdr:colOff>280148</xdr:colOff>
      <xdr:row>62</xdr:row>
      <xdr:rowOff>112059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CxnSpPr/>
      </xdr:nvCxnSpPr>
      <xdr:spPr>
        <a:xfrm rot="16200000" flipV="1">
          <a:off x="4744292" y="11148454"/>
          <a:ext cx="3404905" cy="1120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291354</xdr:colOff>
      <xdr:row>45</xdr:row>
      <xdr:rowOff>89649</xdr:rowOff>
    </xdr:from>
    <xdr:to>
      <xdr:col>13</xdr:col>
      <xdr:colOff>291356</xdr:colOff>
      <xdr:row>62</xdr:row>
      <xdr:rowOff>112059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CxnSpPr/>
      </xdr:nvCxnSpPr>
      <xdr:spPr>
        <a:xfrm rot="16200000" flipH="1">
          <a:off x="7476287" y="11126041"/>
          <a:ext cx="3460935" cy="2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51</xdr:row>
      <xdr:rowOff>112059</xdr:rowOff>
    </xdr:from>
    <xdr:to>
      <xdr:col>16</xdr:col>
      <xdr:colOff>392209</xdr:colOff>
      <xdr:row>51</xdr:row>
      <xdr:rowOff>123265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1700-000034000000}"/>
            </a:ext>
          </a:extLst>
        </xdr:cNvPr>
        <xdr:cNvCxnSpPr/>
      </xdr:nvCxnSpPr>
      <xdr:spPr>
        <a:xfrm flipV="1">
          <a:off x="4305300" y="10618134"/>
          <a:ext cx="7059709" cy="1120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280147</xdr:colOff>
      <xdr:row>56</xdr:row>
      <xdr:rowOff>100857</xdr:rowOff>
    </xdr:from>
    <xdr:to>
      <xdr:col>16</xdr:col>
      <xdr:colOff>381005</xdr:colOff>
      <xdr:row>56</xdr:row>
      <xdr:rowOff>123264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00000000-0008-0000-1700-000035000000}"/>
            </a:ext>
          </a:extLst>
        </xdr:cNvPr>
        <xdr:cNvCxnSpPr/>
      </xdr:nvCxnSpPr>
      <xdr:spPr>
        <a:xfrm rot="10800000" flipV="1">
          <a:off x="4394947" y="11635632"/>
          <a:ext cx="6958858" cy="22407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598895</xdr:colOff>
      <xdr:row>52</xdr:row>
      <xdr:rowOff>102688</xdr:rowOff>
    </xdr:from>
    <xdr:to>
      <xdr:col>12</xdr:col>
      <xdr:colOff>322489</xdr:colOff>
      <xdr:row>60</xdr:row>
      <xdr:rowOff>17468</xdr:rowOff>
    </xdr:to>
    <xdr:sp macro="" textlink="">
      <xdr:nvSpPr>
        <xdr:cNvPr id="54" name="Arc 53">
          <a:extLst>
            <a:ext uri="{FF2B5EF4-FFF2-40B4-BE49-F238E27FC236}">
              <a16:creationId xmlns:a16="http://schemas.microsoft.com/office/drawing/2014/main" id="{00000000-0008-0000-1700-000036000000}"/>
            </a:ext>
          </a:extLst>
        </xdr:cNvPr>
        <xdr:cNvSpPr/>
      </xdr:nvSpPr>
      <xdr:spPr>
        <a:xfrm rot="11238681" flipH="1" flipV="1">
          <a:off x="6771095" y="10818313"/>
          <a:ext cx="1780994" cy="1562605"/>
        </a:xfrm>
        <a:prstGeom prst="arc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313765</xdr:colOff>
      <xdr:row>56</xdr:row>
      <xdr:rowOff>141196</xdr:rowOff>
    </xdr:from>
    <xdr:to>
      <xdr:col>12</xdr:col>
      <xdr:colOff>316236</xdr:colOff>
      <xdr:row>62</xdr:row>
      <xdr:rowOff>89650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00000000-0008-0000-1700-000037000000}"/>
            </a:ext>
          </a:extLst>
        </xdr:cNvPr>
        <xdr:cNvCxnSpPr/>
      </xdr:nvCxnSpPr>
      <xdr:spPr>
        <a:xfrm rot="5400000">
          <a:off x="7965536" y="12253800"/>
          <a:ext cx="1158129" cy="2471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201706</xdr:colOff>
      <xdr:row>52</xdr:row>
      <xdr:rowOff>100854</xdr:rowOff>
    </xdr:from>
    <xdr:to>
      <xdr:col>11</xdr:col>
      <xdr:colOff>257740</xdr:colOff>
      <xdr:row>52</xdr:row>
      <xdr:rowOff>102443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0000000-0008-0000-1700-000038000000}"/>
            </a:ext>
          </a:extLst>
        </xdr:cNvPr>
        <xdr:cNvCxnSpPr/>
      </xdr:nvCxnSpPr>
      <xdr:spPr>
        <a:xfrm rot="10800000">
          <a:off x="4316506" y="10816479"/>
          <a:ext cx="3485034" cy="1589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302562</xdr:colOff>
      <xdr:row>45</xdr:row>
      <xdr:rowOff>123264</xdr:rowOff>
    </xdr:from>
    <xdr:to>
      <xdr:col>12</xdr:col>
      <xdr:colOff>313767</xdr:colOff>
      <xdr:row>51</xdr:row>
      <xdr:rowOff>44827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00000000-0008-0000-1700-000039000000}"/>
            </a:ext>
          </a:extLst>
        </xdr:cNvPr>
        <xdr:cNvCxnSpPr/>
      </xdr:nvCxnSpPr>
      <xdr:spPr>
        <a:xfrm rot="16200000" flipV="1">
          <a:off x="7976908" y="9984443"/>
          <a:ext cx="1121713" cy="1120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558377</xdr:colOff>
      <xdr:row>47</xdr:row>
      <xdr:rowOff>137920</xdr:rowOff>
    </xdr:from>
    <xdr:to>
      <xdr:col>12</xdr:col>
      <xdr:colOff>322417</xdr:colOff>
      <xdr:row>55</xdr:row>
      <xdr:rowOff>110595</xdr:rowOff>
    </xdr:to>
    <xdr:sp macro="" textlink="">
      <xdr:nvSpPr>
        <xdr:cNvPr id="58" name="Arc 57">
          <a:extLst>
            <a:ext uri="{FF2B5EF4-FFF2-40B4-BE49-F238E27FC236}">
              <a16:creationId xmlns:a16="http://schemas.microsoft.com/office/drawing/2014/main" id="{00000000-0008-0000-1700-00003A000000}"/>
            </a:ext>
          </a:extLst>
        </xdr:cNvPr>
        <xdr:cNvSpPr/>
      </xdr:nvSpPr>
      <xdr:spPr>
        <a:xfrm rot="10361319" flipH="1">
          <a:off x="6730577" y="9834370"/>
          <a:ext cx="1821440" cy="1601450"/>
        </a:xfrm>
        <a:prstGeom prst="arc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268941</xdr:colOff>
      <xdr:row>55</xdr:row>
      <xdr:rowOff>104009</xdr:rowOff>
    </xdr:from>
    <xdr:to>
      <xdr:col>11</xdr:col>
      <xdr:colOff>240917</xdr:colOff>
      <xdr:row>55</xdr:row>
      <xdr:rowOff>123265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00000000-0008-0000-1700-00003B000000}"/>
            </a:ext>
          </a:extLst>
        </xdr:cNvPr>
        <xdr:cNvCxnSpPr>
          <a:stCxn id="58" idx="0"/>
        </xdr:cNvCxnSpPr>
      </xdr:nvCxnSpPr>
      <xdr:spPr>
        <a:xfrm rot="10800000" flipV="1">
          <a:off x="4383741" y="11429234"/>
          <a:ext cx="3400976" cy="1925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336176</xdr:colOff>
      <xdr:row>52</xdr:row>
      <xdr:rowOff>89627</xdr:rowOff>
    </xdr:from>
    <xdr:to>
      <xdr:col>12</xdr:col>
      <xdr:colOff>493057</xdr:colOff>
      <xdr:row>58</xdr:row>
      <xdr:rowOff>78420</xdr:rowOff>
    </xdr:to>
    <xdr:sp macro="" textlink="" fLocksText="0">
      <xdr:nvSpPr>
        <xdr:cNvPr id="60" name="Arc 59">
          <a:extLst>
            <a:ext uri="{FF2B5EF4-FFF2-40B4-BE49-F238E27FC236}">
              <a16:creationId xmlns:a16="http://schemas.microsoft.com/office/drawing/2014/main" id="{00000000-0008-0000-1700-00003C000000}"/>
            </a:ext>
          </a:extLst>
        </xdr:cNvPr>
        <xdr:cNvSpPr>
          <a:spLocks/>
        </xdr:cNvSpPr>
      </xdr:nvSpPr>
      <xdr:spPr>
        <a:xfrm flipH="1">
          <a:off x="7194176" y="10805252"/>
          <a:ext cx="1528481" cy="1227043"/>
        </a:xfrm>
        <a:prstGeom prst="arc">
          <a:avLst>
            <a:gd name="adj1" fmla="val 15916143"/>
            <a:gd name="adj2" fmla="val 0"/>
          </a:avLst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 fLocksWithSheet="0"/>
  </xdr:twoCellAnchor>
  <xdr:twoCellAnchor>
    <xdr:from>
      <xdr:col>10</xdr:col>
      <xdr:colOff>324971</xdr:colOff>
      <xdr:row>55</xdr:row>
      <xdr:rowOff>95231</xdr:rowOff>
    </xdr:from>
    <xdr:to>
      <xdr:col>10</xdr:col>
      <xdr:colOff>336176</xdr:colOff>
      <xdr:row>62</xdr:row>
      <xdr:rowOff>100854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0000000-0008-0000-1700-00003D000000}"/>
            </a:ext>
          </a:extLst>
        </xdr:cNvPr>
        <xdr:cNvCxnSpPr>
          <a:stCxn id="60" idx="2"/>
        </xdr:cNvCxnSpPr>
      </xdr:nvCxnSpPr>
      <xdr:spPr>
        <a:xfrm rot="5400000">
          <a:off x="6476150" y="12127277"/>
          <a:ext cx="1424848" cy="1120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454737</xdr:colOff>
      <xdr:row>52</xdr:row>
      <xdr:rowOff>89647</xdr:rowOff>
    </xdr:from>
    <xdr:to>
      <xdr:col>16</xdr:col>
      <xdr:colOff>392206</xdr:colOff>
      <xdr:row>52</xdr:row>
      <xdr:rowOff>91384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00000000-0008-0000-1700-00003E000000}"/>
            </a:ext>
          </a:extLst>
        </xdr:cNvPr>
        <xdr:cNvCxnSpPr/>
      </xdr:nvCxnSpPr>
      <xdr:spPr>
        <a:xfrm flipV="1">
          <a:off x="7998537" y="10805272"/>
          <a:ext cx="3366469" cy="1737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258493</xdr:colOff>
      <xdr:row>49</xdr:row>
      <xdr:rowOff>88830</xdr:rowOff>
    </xdr:from>
    <xdr:to>
      <xdr:col>12</xdr:col>
      <xdr:colOff>314522</xdr:colOff>
      <xdr:row>55</xdr:row>
      <xdr:rowOff>122450</xdr:rowOff>
    </xdr:to>
    <xdr:sp macro="" textlink="">
      <xdr:nvSpPr>
        <xdr:cNvPr id="63" name="Arc 62">
          <a:extLst>
            <a:ext uri="{FF2B5EF4-FFF2-40B4-BE49-F238E27FC236}">
              <a16:creationId xmlns:a16="http://schemas.microsoft.com/office/drawing/2014/main" id="{00000000-0008-0000-1700-00003F000000}"/>
            </a:ext>
          </a:extLst>
        </xdr:cNvPr>
        <xdr:cNvSpPr/>
      </xdr:nvSpPr>
      <xdr:spPr>
        <a:xfrm flipH="1" flipV="1">
          <a:off x="7116493" y="10175805"/>
          <a:ext cx="1427629" cy="1271870"/>
        </a:xfrm>
        <a:prstGeom prst="arc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269702</xdr:colOff>
      <xdr:row>55</xdr:row>
      <xdr:rowOff>112059</xdr:rowOff>
    </xdr:from>
    <xdr:to>
      <xdr:col>16</xdr:col>
      <xdr:colOff>369795</xdr:colOff>
      <xdr:row>55</xdr:row>
      <xdr:rowOff>122451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00000000-0008-0000-1700-000040000000}"/>
            </a:ext>
          </a:extLst>
        </xdr:cNvPr>
        <xdr:cNvCxnSpPr/>
      </xdr:nvCxnSpPr>
      <xdr:spPr>
        <a:xfrm rot="10800000" flipV="1">
          <a:off x="7813502" y="11437284"/>
          <a:ext cx="3529093" cy="10392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257700</xdr:colOff>
      <xdr:row>45</xdr:row>
      <xdr:rowOff>134470</xdr:rowOff>
    </xdr:from>
    <xdr:to>
      <xdr:col>10</xdr:col>
      <xdr:colOff>257736</xdr:colOff>
      <xdr:row>52</xdr:row>
      <xdr:rowOff>100833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00000000-0008-0000-1700-000041000000}"/>
            </a:ext>
          </a:extLst>
        </xdr:cNvPr>
        <xdr:cNvCxnSpPr/>
      </xdr:nvCxnSpPr>
      <xdr:spPr>
        <a:xfrm rot="5400000" flipH="1" flipV="1">
          <a:off x="6427686" y="10128409"/>
          <a:ext cx="1376063" cy="3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549088</xdr:colOff>
      <xdr:row>78</xdr:row>
      <xdr:rowOff>145674</xdr:rowOff>
    </xdr:from>
    <xdr:to>
      <xdr:col>7</xdr:col>
      <xdr:colOff>0</xdr:colOff>
      <xdr:row>85</xdr:row>
      <xdr:rowOff>0</xdr:rowOff>
    </xdr:to>
    <xdr:sp macro="" textlink="">
      <xdr:nvSpPr>
        <xdr:cNvPr id="66" name="Arc 65">
          <a:extLst>
            <a:ext uri="{FF2B5EF4-FFF2-40B4-BE49-F238E27FC236}">
              <a16:creationId xmlns:a16="http://schemas.microsoft.com/office/drawing/2014/main" id="{00000000-0008-0000-1700-000042000000}"/>
            </a:ext>
          </a:extLst>
        </xdr:cNvPr>
        <xdr:cNvSpPr/>
      </xdr:nvSpPr>
      <xdr:spPr>
        <a:xfrm flipV="1">
          <a:off x="3292288" y="16185774"/>
          <a:ext cx="1508312" cy="1264026"/>
        </a:xfrm>
        <a:prstGeom prst="arc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4316</xdr:colOff>
      <xdr:row>79</xdr:row>
      <xdr:rowOff>5442</xdr:rowOff>
    </xdr:from>
    <xdr:to>
      <xdr:col>18</xdr:col>
      <xdr:colOff>89646</xdr:colOff>
      <xdr:row>84</xdr:row>
      <xdr:rowOff>201705</xdr:rowOff>
    </xdr:to>
    <xdr:sp macro="" textlink="">
      <xdr:nvSpPr>
        <xdr:cNvPr id="67" name="Arc 66">
          <a:extLst>
            <a:ext uri="{FF2B5EF4-FFF2-40B4-BE49-F238E27FC236}">
              <a16:creationId xmlns:a16="http://schemas.microsoft.com/office/drawing/2014/main" id="{00000000-0008-0000-1700-000043000000}"/>
            </a:ext>
          </a:extLst>
        </xdr:cNvPr>
        <xdr:cNvSpPr/>
      </xdr:nvSpPr>
      <xdr:spPr>
        <a:xfrm flipH="1" flipV="1">
          <a:off x="10977116" y="16255092"/>
          <a:ext cx="1456930" cy="1196388"/>
        </a:xfrm>
        <a:prstGeom prst="arc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448236</xdr:colOff>
      <xdr:row>95</xdr:row>
      <xdr:rowOff>0</xdr:rowOff>
    </xdr:from>
    <xdr:to>
      <xdr:col>7</xdr:col>
      <xdr:colOff>0</xdr:colOff>
      <xdr:row>101</xdr:row>
      <xdr:rowOff>33617</xdr:rowOff>
    </xdr:to>
    <xdr:sp macro="" textlink="" fLocksText="0">
      <xdr:nvSpPr>
        <xdr:cNvPr id="68" name="Arc 67">
          <a:extLst>
            <a:ext uri="{FF2B5EF4-FFF2-40B4-BE49-F238E27FC236}">
              <a16:creationId xmlns:a16="http://schemas.microsoft.com/office/drawing/2014/main" id="{00000000-0008-0000-1700-000044000000}"/>
            </a:ext>
          </a:extLst>
        </xdr:cNvPr>
        <xdr:cNvSpPr>
          <a:spLocks/>
        </xdr:cNvSpPr>
      </xdr:nvSpPr>
      <xdr:spPr>
        <a:xfrm>
          <a:off x="3191436" y="19526250"/>
          <a:ext cx="1609164" cy="1233767"/>
        </a:xfrm>
        <a:prstGeom prst="arc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 fLocksWithSheet="0"/>
  </xdr:twoCellAnchor>
  <xdr:twoCellAnchor>
    <xdr:from>
      <xdr:col>16</xdr:col>
      <xdr:colOff>0</xdr:colOff>
      <xdr:row>95</xdr:row>
      <xdr:rowOff>0</xdr:rowOff>
    </xdr:from>
    <xdr:to>
      <xdr:col>18</xdr:col>
      <xdr:colOff>246529</xdr:colOff>
      <xdr:row>101</xdr:row>
      <xdr:rowOff>100852</xdr:rowOff>
    </xdr:to>
    <xdr:sp macro="" textlink="" fLocksText="0">
      <xdr:nvSpPr>
        <xdr:cNvPr id="69" name="Arc 68">
          <a:extLst>
            <a:ext uri="{FF2B5EF4-FFF2-40B4-BE49-F238E27FC236}">
              <a16:creationId xmlns:a16="http://schemas.microsoft.com/office/drawing/2014/main" id="{00000000-0008-0000-1700-000045000000}"/>
            </a:ext>
          </a:extLst>
        </xdr:cNvPr>
        <xdr:cNvSpPr>
          <a:spLocks/>
        </xdr:cNvSpPr>
      </xdr:nvSpPr>
      <xdr:spPr>
        <a:xfrm rot="16200000">
          <a:off x="11131364" y="19367686"/>
          <a:ext cx="1301002" cy="1618129"/>
        </a:xfrm>
        <a:prstGeom prst="arc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 fLocksWithSheet="0"/>
  </xdr:twoCellAnchor>
  <xdr:twoCellAnchor>
    <xdr:from>
      <xdr:col>7</xdr:col>
      <xdr:colOff>78434</xdr:colOff>
      <xdr:row>82</xdr:row>
      <xdr:rowOff>179290</xdr:rowOff>
    </xdr:from>
    <xdr:to>
      <xdr:col>8</xdr:col>
      <xdr:colOff>291348</xdr:colOff>
      <xdr:row>86</xdr:row>
      <xdr:rowOff>112055</xdr:rowOff>
    </xdr:to>
    <xdr:sp macro="" textlink="">
      <xdr:nvSpPr>
        <xdr:cNvPr id="70" name="Arc 69">
          <a:extLst>
            <a:ext uri="{FF2B5EF4-FFF2-40B4-BE49-F238E27FC236}">
              <a16:creationId xmlns:a16="http://schemas.microsoft.com/office/drawing/2014/main" id="{00000000-0008-0000-1700-000046000000}"/>
            </a:ext>
          </a:extLst>
        </xdr:cNvPr>
        <xdr:cNvSpPr/>
      </xdr:nvSpPr>
      <xdr:spPr>
        <a:xfrm rot="16200000" flipH="1" flipV="1">
          <a:off x="4966721" y="16960378"/>
          <a:ext cx="723340" cy="898714"/>
        </a:xfrm>
        <a:prstGeom prst="arc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224114</xdr:colOff>
      <xdr:row>86</xdr:row>
      <xdr:rowOff>100850</xdr:rowOff>
    </xdr:from>
    <xdr:to>
      <xdr:col>7</xdr:col>
      <xdr:colOff>528619</xdr:colOff>
      <xdr:row>86</xdr:row>
      <xdr:rowOff>112057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00000000-0008-0000-1700-000047000000}"/>
            </a:ext>
          </a:extLst>
        </xdr:cNvPr>
        <xdr:cNvCxnSpPr>
          <a:stCxn id="70" idx="2"/>
        </xdr:cNvCxnSpPr>
      </xdr:nvCxnSpPr>
      <xdr:spPr>
        <a:xfrm rot="10800000">
          <a:off x="4338914" y="17760200"/>
          <a:ext cx="990305" cy="11207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291352</xdr:colOff>
      <xdr:row>81</xdr:row>
      <xdr:rowOff>67235</xdr:rowOff>
    </xdr:from>
    <xdr:to>
      <xdr:col>8</xdr:col>
      <xdr:colOff>291354</xdr:colOff>
      <xdr:row>84</xdr:row>
      <xdr:rowOff>184894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00000000-0008-0000-1700-000048000000}"/>
            </a:ext>
          </a:extLst>
        </xdr:cNvPr>
        <xdr:cNvCxnSpPr/>
      </xdr:nvCxnSpPr>
      <xdr:spPr>
        <a:xfrm rot="5400000" flipH="1" flipV="1">
          <a:off x="5428411" y="17085326"/>
          <a:ext cx="698684" cy="2"/>
        </a:xfrm>
        <a:prstGeom prst="straightConnector1">
          <a:avLst/>
        </a:prstGeom>
        <a:ln w="28575">
          <a:solidFill>
            <a:schemeClr val="accent3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44814</xdr:colOff>
      <xdr:row>93</xdr:row>
      <xdr:rowOff>112051</xdr:rowOff>
    </xdr:from>
    <xdr:to>
      <xdr:col>8</xdr:col>
      <xdr:colOff>392195</xdr:colOff>
      <xdr:row>97</xdr:row>
      <xdr:rowOff>78436</xdr:rowOff>
    </xdr:to>
    <xdr:sp macro="" textlink="" fLocksText="0">
      <xdr:nvSpPr>
        <xdr:cNvPr id="73" name="Arc 72">
          <a:extLst>
            <a:ext uri="{FF2B5EF4-FFF2-40B4-BE49-F238E27FC236}">
              <a16:creationId xmlns:a16="http://schemas.microsoft.com/office/drawing/2014/main" id="{00000000-0008-0000-1700-000049000000}"/>
            </a:ext>
          </a:extLst>
        </xdr:cNvPr>
        <xdr:cNvSpPr>
          <a:spLocks/>
        </xdr:cNvSpPr>
      </xdr:nvSpPr>
      <xdr:spPr>
        <a:xfrm>
          <a:off x="4845414" y="19219201"/>
          <a:ext cx="1033181" cy="776010"/>
        </a:xfrm>
        <a:prstGeom prst="arc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 fLocksWithSheet="0"/>
  </xdr:twoCellAnchor>
  <xdr:twoCellAnchor>
    <xdr:from>
      <xdr:col>8</xdr:col>
      <xdr:colOff>392195</xdr:colOff>
      <xdr:row>95</xdr:row>
      <xdr:rowOff>78434</xdr:rowOff>
    </xdr:from>
    <xdr:to>
      <xdr:col>8</xdr:col>
      <xdr:colOff>403412</xdr:colOff>
      <xdr:row>98</xdr:row>
      <xdr:rowOff>89649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00000000-0008-0000-1700-00004A000000}"/>
            </a:ext>
          </a:extLst>
        </xdr:cNvPr>
        <xdr:cNvCxnSpPr>
          <a:stCxn id="73" idx="2"/>
        </xdr:cNvCxnSpPr>
      </xdr:nvCxnSpPr>
      <xdr:spPr>
        <a:xfrm rot="16200000" flipH="1">
          <a:off x="5588084" y="19895195"/>
          <a:ext cx="592240" cy="11217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291344</xdr:colOff>
      <xdr:row>93</xdr:row>
      <xdr:rowOff>112050</xdr:rowOff>
    </xdr:from>
    <xdr:to>
      <xdr:col>7</xdr:col>
      <xdr:colOff>562234</xdr:colOff>
      <xdr:row>93</xdr:row>
      <xdr:rowOff>112051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00000000-0008-0000-1700-00004B000000}"/>
            </a:ext>
          </a:extLst>
        </xdr:cNvPr>
        <xdr:cNvCxnSpPr>
          <a:stCxn id="73" idx="0"/>
        </xdr:cNvCxnSpPr>
      </xdr:nvCxnSpPr>
      <xdr:spPr>
        <a:xfrm rot="10800000" flipV="1">
          <a:off x="4406144" y="19219200"/>
          <a:ext cx="956690" cy="1"/>
        </a:xfrm>
        <a:prstGeom prst="straightConnector1">
          <a:avLst/>
        </a:prstGeom>
        <a:ln w="28575">
          <a:solidFill>
            <a:schemeClr val="accent3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247313</xdr:colOff>
      <xdr:row>93</xdr:row>
      <xdr:rowOff>123265</xdr:rowOff>
    </xdr:from>
    <xdr:to>
      <xdr:col>16</xdr:col>
      <xdr:colOff>56813</xdr:colOff>
      <xdr:row>98</xdr:row>
      <xdr:rowOff>67236</xdr:rowOff>
    </xdr:to>
    <xdr:sp macro="" textlink="" fLocksText="0">
      <xdr:nvSpPr>
        <xdr:cNvPr id="76" name="Arc 75">
          <a:extLst>
            <a:ext uri="{FF2B5EF4-FFF2-40B4-BE49-F238E27FC236}">
              <a16:creationId xmlns:a16="http://schemas.microsoft.com/office/drawing/2014/main" id="{00000000-0008-0000-1700-00004C000000}"/>
            </a:ext>
          </a:extLst>
        </xdr:cNvPr>
        <xdr:cNvSpPr>
          <a:spLocks/>
        </xdr:cNvSpPr>
      </xdr:nvSpPr>
      <xdr:spPr>
        <a:xfrm rot="16200000">
          <a:off x="9967015" y="19111913"/>
          <a:ext cx="944096" cy="1181100"/>
        </a:xfrm>
        <a:prstGeom prst="arc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 fLocksWithSheet="0"/>
  </xdr:twoCellAnchor>
  <xdr:twoCellAnchor>
    <xdr:from>
      <xdr:col>15</xdr:col>
      <xdr:colOff>140856</xdr:colOff>
      <xdr:row>93</xdr:row>
      <xdr:rowOff>112059</xdr:rowOff>
    </xdr:from>
    <xdr:to>
      <xdr:col>16</xdr:col>
      <xdr:colOff>381000</xdr:colOff>
      <xdr:row>93</xdr:row>
      <xdr:rowOff>123266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00000000-0008-0000-1700-00004D000000}"/>
            </a:ext>
          </a:extLst>
        </xdr:cNvPr>
        <xdr:cNvCxnSpPr/>
      </xdr:nvCxnSpPr>
      <xdr:spPr>
        <a:xfrm flipV="1">
          <a:off x="10427856" y="19219209"/>
          <a:ext cx="925944" cy="11207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248108</xdr:colOff>
      <xdr:row>95</xdr:row>
      <xdr:rowOff>168883</xdr:rowOff>
    </xdr:from>
    <xdr:to>
      <xdr:col>14</xdr:col>
      <xdr:colOff>257736</xdr:colOff>
      <xdr:row>98</xdr:row>
      <xdr:rowOff>78444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00000000-0008-0000-1700-00004E000000}"/>
            </a:ext>
          </a:extLst>
        </xdr:cNvPr>
        <xdr:cNvCxnSpPr/>
      </xdr:nvCxnSpPr>
      <xdr:spPr>
        <a:xfrm rot="16200000" flipH="1">
          <a:off x="9608829" y="19935612"/>
          <a:ext cx="490586" cy="9628"/>
        </a:xfrm>
        <a:prstGeom prst="straightConnector1">
          <a:avLst/>
        </a:prstGeom>
        <a:ln w="28575">
          <a:solidFill>
            <a:schemeClr val="accent3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314560</xdr:colOff>
      <xdr:row>82</xdr:row>
      <xdr:rowOff>56030</xdr:rowOff>
    </xdr:from>
    <xdr:to>
      <xdr:col>16</xdr:col>
      <xdr:colOff>101649</xdr:colOff>
      <xdr:row>86</xdr:row>
      <xdr:rowOff>123267</xdr:rowOff>
    </xdr:to>
    <xdr:sp macro="" textlink="">
      <xdr:nvSpPr>
        <xdr:cNvPr id="79" name="Arc 78">
          <a:extLst>
            <a:ext uri="{FF2B5EF4-FFF2-40B4-BE49-F238E27FC236}">
              <a16:creationId xmlns:a16="http://schemas.microsoft.com/office/drawing/2014/main" id="{00000000-0008-0000-1700-00004F000000}"/>
            </a:ext>
          </a:extLst>
        </xdr:cNvPr>
        <xdr:cNvSpPr/>
      </xdr:nvSpPr>
      <xdr:spPr>
        <a:xfrm flipH="1" flipV="1">
          <a:off x="9915760" y="16924805"/>
          <a:ext cx="1158689" cy="857812"/>
        </a:xfrm>
        <a:prstGeom prst="arc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302559</xdr:colOff>
      <xdr:row>81</xdr:row>
      <xdr:rowOff>112058</xdr:rowOff>
    </xdr:from>
    <xdr:to>
      <xdr:col>14</xdr:col>
      <xdr:colOff>313768</xdr:colOff>
      <xdr:row>84</xdr:row>
      <xdr:rowOff>112853</xdr:rowOff>
    </xdr:to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00000000-0008-0000-1700-000050000000}"/>
            </a:ext>
          </a:extLst>
        </xdr:cNvPr>
        <xdr:cNvCxnSpPr/>
      </xdr:nvCxnSpPr>
      <xdr:spPr>
        <a:xfrm rot="16200000" flipH="1">
          <a:off x="9618454" y="17066113"/>
          <a:ext cx="581820" cy="11209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191297</xdr:colOff>
      <xdr:row>86</xdr:row>
      <xdr:rowOff>123267</xdr:rowOff>
    </xdr:from>
    <xdr:to>
      <xdr:col>16</xdr:col>
      <xdr:colOff>392206</xdr:colOff>
      <xdr:row>86</xdr:row>
      <xdr:rowOff>134471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00000000-0008-0000-1700-000051000000}"/>
            </a:ext>
          </a:extLst>
        </xdr:cNvPr>
        <xdr:cNvCxnSpPr/>
      </xdr:nvCxnSpPr>
      <xdr:spPr>
        <a:xfrm>
          <a:off x="10478297" y="17782617"/>
          <a:ext cx="886709" cy="11204"/>
        </a:xfrm>
        <a:prstGeom prst="straightConnector1">
          <a:avLst/>
        </a:prstGeom>
        <a:ln w="28575">
          <a:solidFill>
            <a:schemeClr val="accent3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268942</xdr:colOff>
      <xdr:row>81</xdr:row>
      <xdr:rowOff>145679</xdr:rowOff>
    </xdr:from>
    <xdr:to>
      <xdr:col>9</xdr:col>
      <xdr:colOff>280148</xdr:colOff>
      <xdr:row>98</xdr:row>
      <xdr:rowOff>112059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00000000-0008-0000-1700-000052000000}"/>
            </a:ext>
          </a:extLst>
        </xdr:cNvPr>
        <xdr:cNvCxnSpPr/>
      </xdr:nvCxnSpPr>
      <xdr:spPr>
        <a:xfrm rot="16200000" flipV="1">
          <a:off x="4744292" y="18511279"/>
          <a:ext cx="3404905" cy="1120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291354</xdr:colOff>
      <xdr:row>81</xdr:row>
      <xdr:rowOff>89649</xdr:rowOff>
    </xdr:from>
    <xdr:to>
      <xdr:col>13</xdr:col>
      <xdr:colOff>291356</xdr:colOff>
      <xdr:row>98</xdr:row>
      <xdr:rowOff>112059</xdr:rowOff>
    </xdr:to>
    <xdr:cxnSp macro="">
      <xdr:nvCxnSpPr>
        <xdr:cNvPr id="83" name="Straight Arrow Connector 82">
          <a:extLst>
            <a:ext uri="{FF2B5EF4-FFF2-40B4-BE49-F238E27FC236}">
              <a16:creationId xmlns:a16="http://schemas.microsoft.com/office/drawing/2014/main" id="{00000000-0008-0000-1700-000053000000}"/>
            </a:ext>
          </a:extLst>
        </xdr:cNvPr>
        <xdr:cNvCxnSpPr/>
      </xdr:nvCxnSpPr>
      <xdr:spPr>
        <a:xfrm rot="16200000" flipH="1">
          <a:off x="7476287" y="18488866"/>
          <a:ext cx="3460935" cy="2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87</xdr:row>
      <xdr:rowOff>112059</xdr:rowOff>
    </xdr:from>
    <xdr:to>
      <xdr:col>16</xdr:col>
      <xdr:colOff>392209</xdr:colOff>
      <xdr:row>87</xdr:row>
      <xdr:rowOff>123265</xdr:rowOff>
    </xdr:to>
    <xdr:cxnSp macro="">
      <xdr:nvCxnSpPr>
        <xdr:cNvPr id="84" name="Straight Arrow Connector 83">
          <a:extLst>
            <a:ext uri="{FF2B5EF4-FFF2-40B4-BE49-F238E27FC236}">
              <a16:creationId xmlns:a16="http://schemas.microsoft.com/office/drawing/2014/main" id="{00000000-0008-0000-1700-000054000000}"/>
            </a:ext>
          </a:extLst>
        </xdr:cNvPr>
        <xdr:cNvCxnSpPr/>
      </xdr:nvCxnSpPr>
      <xdr:spPr>
        <a:xfrm flipV="1">
          <a:off x="4305300" y="17980959"/>
          <a:ext cx="7059709" cy="1120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280147</xdr:colOff>
      <xdr:row>92</xdr:row>
      <xdr:rowOff>100857</xdr:rowOff>
    </xdr:from>
    <xdr:to>
      <xdr:col>16</xdr:col>
      <xdr:colOff>381005</xdr:colOff>
      <xdr:row>92</xdr:row>
      <xdr:rowOff>123264</xdr:rowOff>
    </xdr:to>
    <xdr:cxnSp macro="">
      <xdr:nvCxnSpPr>
        <xdr:cNvPr id="85" name="Straight Arrow Connector 84">
          <a:extLst>
            <a:ext uri="{FF2B5EF4-FFF2-40B4-BE49-F238E27FC236}">
              <a16:creationId xmlns:a16="http://schemas.microsoft.com/office/drawing/2014/main" id="{00000000-0008-0000-1700-000055000000}"/>
            </a:ext>
          </a:extLst>
        </xdr:cNvPr>
        <xdr:cNvCxnSpPr/>
      </xdr:nvCxnSpPr>
      <xdr:spPr>
        <a:xfrm rot="10800000" flipV="1">
          <a:off x="4394947" y="18998457"/>
          <a:ext cx="6958858" cy="22407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598895</xdr:colOff>
      <xdr:row>88</xdr:row>
      <xdr:rowOff>102688</xdr:rowOff>
    </xdr:from>
    <xdr:to>
      <xdr:col>12</xdr:col>
      <xdr:colOff>322489</xdr:colOff>
      <xdr:row>96</xdr:row>
      <xdr:rowOff>17468</xdr:rowOff>
    </xdr:to>
    <xdr:sp macro="" textlink="">
      <xdr:nvSpPr>
        <xdr:cNvPr id="86" name="Arc 85">
          <a:extLst>
            <a:ext uri="{FF2B5EF4-FFF2-40B4-BE49-F238E27FC236}">
              <a16:creationId xmlns:a16="http://schemas.microsoft.com/office/drawing/2014/main" id="{00000000-0008-0000-1700-000056000000}"/>
            </a:ext>
          </a:extLst>
        </xdr:cNvPr>
        <xdr:cNvSpPr/>
      </xdr:nvSpPr>
      <xdr:spPr>
        <a:xfrm rot="11238681" flipH="1" flipV="1">
          <a:off x="6771095" y="18181138"/>
          <a:ext cx="1780994" cy="1562605"/>
        </a:xfrm>
        <a:prstGeom prst="arc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313765</xdr:colOff>
      <xdr:row>92</xdr:row>
      <xdr:rowOff>141196</xdr:rowOff>
    </xdr:from>
    <xdr:to>
      <xdr:col>12</xdr:col>
      <xdr:colOff>316236</xdr:colOff>
      <xdr:row>98</xdr:row>
      <xdr:rowOff>89650</xdr:rowOff>
    </xdr:to>
    <xdr:cxnSp macro="">
      <xdr:nvCxnSpPr>
        <xdr:cNvPr id="87" name="Straight Arrow Connector 86">
          <a:extLst>
            <a:ext uri="{FF2B5EF4-FFF2-40B4-BE49-F238E27FC236}">
              <a16:creationId xmlns:a16="http://schemas.microsoft.com/office/drawing/2014/main" id="{00000000-0008-0000-1700-000057000000}"/>
            </a:ext>
          </a:extLst>
        </xdr:cNvPr>
        <xdr:cNvCxnSpPr/>
      </xdr:nvCxnSpPr>
      <xdr:spPr>
        <a:xfrm rot="5400000">
          <a:off x="7965536" y="19616625"/>
          <a:ext cx="1158129" cy="2471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201706</xdr:colOff>
      <xdr:row>88</xdr:row>
      <xdr:rowOff>100854</xdr:rowOff>
    </xdr:from>
    <xdr:to>
      <xdr:col>11</xdr:col>
      <xdr:colOff>257740</xdr:colOff>
      <xdr:row>88</xdr:row>
      <xdr:rowOff>102443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00000000-0008-0000-1700-000058000000}"/>
            </a:ext>
          </a:extLst>
        </xdr:cNvPr>
        <xdr:cNvCxnSpPr/>
      </xdr:nvCxnSpPr>
      <xdr:spPr>
        <a:xfrm rot="10800000">
          <a:off x="4316506" y="18179304"/>
          <a:ext cx="3485034" cy="1589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302562</xdr:colOff>
      <xdr:row>81</xdr:row>
      <xdr:rowOff>123264</xdr:rowOff>
    </xdr:from>
    <xdr:to>
      <xdr:col>12</xdr:col>
      <xdr:colOff>313767</xdr:colOff>
      <xdr:row>87</xdr:row>
      <xdr:rowOff>44827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00000000-0008-0000-1700-000059000000}"/>
            </a:ext>
          </a:extLst>
        </xdr:cNvPr>
        <xdr:cNvCxnSpPr/>
      </xdr:nvCxnSpPr>
      <xdr:spPr>
        <a:xfrm rot="16200000" flipV="1">
          <a:off x="7976908" y="17347268"/>
          <a:ext cx="1121713" cy="1120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558377</xdr:colOff>
      <xdr:row>83</xdr:row>
      <xdr:rowOff>137920</xdr:rowOff>
    </xdr:from>
    <xdr:to>
      <xdr:col>12</xdr:col>
      <xdr:colOff>322417</xdr:colOff>
      <xdr:row>91</xdr:row>
      <xdr:rowOff>110595</xdr:rowOff>
    </xdr:to>
    <xdr:sp macro="" textlink="">
      <xdr:nvSpPr>
        <xdr:cNvPr id="90" name="Arc 89">
          <a:extLst>
            <a:ext uri="{FF2B5EF4-FFF2-40B4-BE49-F238E27FC236}">
              <a16:creationId xmlns:a16="http://schemas.microsoft.com/office/drawing/2014/main" id="{00000000-0008-0000-1700-00005A000000}"/>
            </a:ext>
          </a:extLst>
        </xdr:cNvPr>
        <xdr:cNvSpPr/>
      </xdr:nvSpPr>
      <xdr:spPr>
        <a:xfrm rot="10361319" flipH="1">
          <a:off x="6730577" y="17197195"/>
          <a:ext cx="1821440" cy="1601450"/>
        </a:xfrm>
        <a:prstGeom prst="arc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268941</xdr:colOff>
      <xdr:row>91</xdr:row>
      <xdr:rowOff>104009</xdr:rowOff>
    </xdr:from>
    <xdr:to>
      <xdr:col>11</xdr:col>
      <xdr:colOff>240917</xdr:colOff>
      <xdr:row>91</xdr:row>
      <xdr:rowOff>123265</xdr:rowOff>
    </xdr:to>
    <xdr:cxnSp macro="">
      <xdr:nvCxnSpPr>
        <xdr:cNvPr id="91" name="Straight Arrow Connector 90">
          <a:extLst>
            <a:ext uri="{FF2B5EF4-FFF2-40B4-BE49-F238E27FC236}">
              <a16:creationId xmlns:a16="http://schemas.microsoft.com/office/drawing/2014/main" id="{00000000-0008-0000-1700-00005B000000}"/>
            </a:ext>
          </a:extLst>
        </xdr:cNvPr>
        <xdr:cNvCxnSpPr>
          <a:stCxn id="90" idx="0"/>
        </xdr:cNvCxnSpPr>
      </xdr:nvCxnSpPr>
      <xdr:spPr>
        <a:xfrm rot="10800000" flipV="1">
          <a:off x="4383741" y="18792059"/>
          <a:ext cx="3400976" cy="1925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336176</xdr:colOff>
      <xdr:row>88</xdr:row>
      <xdr:rowOff>89627</xdr:rowOff>
    </xdr:from>
    <xdr:to>
      <xdr:col>12</xdr:col>
      <xdr:colOff>493057</xdr:colOff>
      <xdr:row>94</xdr:row>
      <xdr:rowOff>78420</xdr:rowOff>
    </xdr:to>
    <xdr:sp macro="" textlink="" fLocksText="0">
      <xdr:nvSpPr>
        <xdr:cNvPr id="92" name="Arc 91">
          <a:extLst>
            <a:ext uri="{FF2B5EF4-FFF2-40B4-BE49-F238E27FC236}">
              <a16:creationId xmlns:a16="http://schemas.microsoft.com/office/drawing/2014/main" id="{00000000-0008-0000-1700-00005C000000}"/>
            </a:ext>
          </a:extLst>
        </xdr:cNvPr>
        <xdr:cNvSpPr>
          <a:spLocks/>
        </xdr:cNvSpPr>
      </xdr:nvSpPr>
      <xdr:spPr>
        <a:xfrm flipH="1">
          <a:off x="7194176" y="18168077"/>
          <a:ext cx="1528481" cy="1227043"/>
        </a:xfrm>
        <a:prstGeom prst="arc">
          <a:avLst>
            <a:gd name="adj1" fmla="val 15916143"/>
            <a:gd name="adj2" fmla="val 0"/>
          </a:avLst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 fLocksWithSheet="0"/>
  </xdr:twoCellAnchor>
  <xdr:twoCellAnchor>
    <xdr:from>
      <xdr:col>10</xdr:col>
      <xdr:colOff>324971</xdr:colOff>
      <xdr:row>91</xdr:row>
      <xdr:rowOff>95231</xdr:rowOff>
    </xdr:from>
    <xdr:to>
      <xdr:col>10</xdr:col>
      <xdr:colOff>336176</xdr:colOff>
      <xdr:row>98</xdr:row>
      <xdr:rowOff>100854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00000000-0008-0000-1700-00005D000000}"/>
            </a:ext>
          </a:extLst>
        </xdr:cNvPr>
        <xdr:cNvCxnSpPr>
          <a:stCxn id="92" idx="2"/>
        </xdr:cNvCxnSpPr>
      </xdr:nvCxnSpPr>
      <xdr:spPr>
        <a:xfrm rot="5400000">
          <a:off x="6476150" y="19490102"/>
          <a:ext cx="1424848" cy="1120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454737</xdr:colOff>
      <xdr:row>88</xdr:row>
      <xdr:rowOff>89647</xdr:rowOff>
    </xdr:from>
    <xdr:to>
      <xdr:col>16</xdr:col>
      <xdr:colOff>392206</xdr:colOff>
      <xdr:row>88</xdr:row>
      <xdr:rowOff>91384</xdr:rowOff>
    </xdr:to>
    <xdr:cxnSp macro="">
      <xdr:nvCxnSpPr>
        <xdr:cNvPr id="94" name="Straight Arrow Connector 93">
          <a:extLst>
            <a:ext uri="{FF2B5EF4-FFF2-40B4-BE49-F238E27FC236}">
              <a16:creationId xmlns:a16="http://schemas.microsoft.com/office/drawing/2014/main" id="{00000000-0008-0000-1700-00005E000000}"/>
            </a:ext>
          </a:extLst>
        </xdr:cNvPr>
        <xdr:cNvCxnSpPr/>
      </xdr:nvCxnSpPr>
      <xdr:spPr>
        <a:xfrm flipV="1">
          <a:off x="7998537" y="18168097"/>
          <a:ext cx="3366469" cy="1737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258493</xdr:colOff>
      <xdr:row>85</xdr:row>
      <xdr:rowOff>88830</xdr:rowOff>
    </xdr:from>
    <xdr:to>
      <xdr:col>12</xdr:col>
      <xdr:colOff>314522</xdr:colOff>
      <xdr:row>91</xdr:row>
      <xdr:rowOff>122450</xdr:rowOff>
    </xdr:to>
    <xdr:sp macro="" textlink="">
      <xdr:nvSpPr>
        <xdr:cNvPr id="95" name="Arc 94">
          <a:extLst>
            <a:ext uri="{FF2B5EF4-FFF2-40B4-BE49-F238E27FC236}">
              <a16:creationId xmlns:a16="http://schemas.microsoft.com/office/drawing/2014/main" id="{00000000-0008-0000-1700-00005F000000}"/>
            </a:ext>
          </a:extLst>
        </xdr:cNvPr>
        <xdr:cNvSpPr/>
      </xdr:nvSpPr>
      <xdr:spPr>
        <a:xfrm flipH="1" flipV="1">
          <a:off x="7116493" y="17538630"/>
          <a:ext cx="1427629" cy="1271870"/>
        </a:xfrm>
        <a:prstGeom prst="arc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269702</xdr:colOff>
      <xdr:row>91</xdr:row>
      <xdr:rowOff>112059</xdr:rowOff>
    </xdr:from>
    <xdr:to>
      <xdr:col>16</xdr:col>
      <xdr:colOff>369795</xdr:colOff>
      <xdr:row>91</xdr:row>
      <xdr:rowOff>122451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id="{00000000-0008-0000-1700-000060000000}"/>
            </a:ext>
          </a:extLst>
        </xdr:cNvPr>
        <xdr:cNvCxnSpPr/>
      </xdr:nvCxnSpPr>
      <xdr:spPr>
        <a:xfrm rot="10800000" flipV="1">
          <a:off x="7813502" y="18800109"/>
          <a:ext cx="3529093" cy="10392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257700</xdr:colOff>
      <xdr:row>81</xdr:row>
      <xdr:rowOff>134470</xdr:rowOff>
    </xdr:from>
    <xdr:to>
      <xdr:col>10</xdr:col>
      <xdr:colOff>257736</xdr:colOff>
      <xdr:row>88</xdr:row>
      <xdr:rowOff>100833</xdr:rowOff>
    </xdr:to>
    <xdr:cxnSp macro="">
      <xdr:nvCxnSpPr>
        <xdr:cNvPr id="97" name="Straight Arrow Connector 96">
          <a:extLst>
            <a:ext uri="{FF2B5EF4-FFF2-40B4-BE49-F238E27FC236}">
              <a16:creationId xmlns:a16="http://schemas.microsoft.com/office/drawing/2014/main" id="{00000000-0008-0000-1700-000061000000}"/>
            </a:ext>
          </a:extLst>
        </xdr:cNvPr>
        <xdr:cNvCxnSpPr/>
      </xdr:nvCxnSpPr>
      <xdr:spPr>
        <a:xfrm rot="5400000" flipH="1" flipV="1">
          <a:off x="6427686" y="17491234"/>
          <a:ext cx="1376063" cy="36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302562</xdr:colOff>
      <xdr:row>3</xdr:row>
      <xdr:rowOff>112058</xdr:rowOff>
    </xdr:from>
    <xdr:to>
      <xdr:col>9</xdr:col>
      <xdr:colOff>313768</xdr:colOff>
      <xdr:row>5</xdr:row>
      <xdr:rowOff>145676</xdr:rowOff>
    </xdr:to>
    <xdr:cxnSp macro="">
      <xdr:nvCxnSpPr>
        <xdr:cNvPr id="98" name="Straight Arrow Connector 97">
          <a:extLst>
            <a:ext uri="{FF2B5EF4-FFF2-40B4-BE49-F238E27FC236}">
              <a16:creationId xmlns:a16="http://schemas.microsoft.com/office/drawing/2014/main" id="{00000000-0008-0000-1700-000062000000}"/>
            </a:ext>
          </a:extLst>
        </xdr:cNvPr>
        <xdr:cNvCxnSpPr/>
      </xdr:nvCxnSpPr>
      <xdr:spPr>
        <a:xfrm rot="16200000" flipV="1">
          <a:off x="6230193" y="947177"/>
          <a:ext cx="500343" cy="11206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286881</xdr:colOff>
      <xdr:row>3</xdr:row>
      <xdr:rowOff>141192</xdr:rowOff>
    </xdr:from>
    <xdr:to>
      <xdr:col>13</xdr:col>
      <xdr:colOff>291360</xdr:colOff>
      <xdr:row>5</xdr:row>
      <xdr:rowOff>156884</xdr:rowOff>
    </xdr:to>
    <xdr:cxnSp macro="">
      <xdr:nvCxnSpPr>
        <xdr:cNvPr id="99" name="Straight Arrow Connector 98">
          <a:extLst>
            <a:ext uri="{FF2B5EF4-FFF2-40B4-BE49-F238E27FC236}">
              <a16:creationId xmlns:a16="http://schemas.microsoft.com/office/drawing/2014/main" id="{00000000-0008-0000-1700-000063000000}"/>
            </a:ext>
          </a:extLst>
        </xdr:cNvPr>
        <xdr:cNvCxnSpPr/>
      </xdr:nvCxnSpPr>
      <xdr:spPr>
        <a:xfrm rot="16200000" flipH="1">
          <a:off x="8963312" y="970711"/>
          <a:ext cx="482417" cy="4479"/>
        </a:xfrm>
        <a:prstGeom prst="straightConnector1">
          <a:avLst/>
        </a:prstGeom>
        <a:ln w="28575">
          <a:solidFill>
            <a:srgbClr val="0020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89648</xdr:colOff>
      <xdr:row>15</xdr:row>
      <xdr:rowOff>89650</xdr:rowOff>
    </xdr:from>
    <xdr:to>
      <xdr:col>21</xdr:col>
      <xdr:colOff>22413</xdr:colOff>
      <xdr:row>15</xdr:row>
      <xdr:rowOff>91238</xdr:rowOff>
    </xdr:to>
    <xdr:cxnSp macro="">
      <xdr:nvCxnSpPr>
        <xdr:cNvPr id="100" name="Straight Arrow Connector 99">
          <a:extLst>
            <a:ext uri="{FF2B5EF4-FFF2-40B4-BE49-F238E27FC236}">
              <a16:creationId xmlns:a16="http://schemas.microsoft.com/office/drawing/2014/main" id="{00000000-0008-0000-1700-000064000000}"/>
            </a:ext>
          </a:extLst>
        </xdr:cNvPr>
        <xdr:cNvCxnSpPr/>
      </xdr:nvCxnSpPr>
      <xdr:spPr>
        <a:xfrm>
          <a:off x="14415248" y="3213850"/>
          <a:ext cx="589990" cy="1588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100854</xdr:colOff>
      <xdr:row>20</xdr:row>
      <xdr:rowOff>112059</xdr:rowOff>
    </xdr:from>
    <xdr:to>
      <xdr:col>21</xdr:col>
      <xdr:colOff>0</xdr:colOff>
      <xdr:row>20</xdr:row>
      <xdr:rowOff>112060</xdr:rowOff>
    </xdr:to>
    <xdr:cxnSp macro="">
      <xdr:nvCxnSpPr>
        <xdr:cNvPr id="101" name="Straight Arrow Connector 100">
          <a:extLst>
            <a:ext uri="{FF2B5EF4-FFF2-40B4-BE49-F238E27FC236}">
              <a16:creationId xmlns:a16="http://schemas.microsoft.com/office/drawing/2014/main" id="{00000000-0008-0000-1700-000065000000}"/>
            </a:ext>
          </a:extLst>
        </xdr:cNvPr>
        <xdr:cNvCxnSpPr/>
      </xdr:nvCxnSpPr>
      <xdr:spPr>
        <a:xfrm rot="10800000" flipV="1">
          <a:off x="14426454" y="4264959"/>
          <a:ext cx="556371" cy="1"/>
        </a:xfrm>
        <a:prstGeom prst="straightConnector1">
          <a:avLst/>
        </a:prstGeom>
        <a:ln w="28575">
          <a:solidFill>
            <a:srgbClr val="0020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302562</xdr:colOff>
      <xdr:row>30</xdr:row>
      <xdr:rowOff>68029</xdr:rowOff>
    </xdr:from>
    <xdr:to>
      <xdr:col>9</xdr:col>
      <xdr:colOff>304150</xdr:colOff>
      <xdr:row>32</xdr:row>
      <xdr:rowOff>124056</xdr:rowOff>
    </xdr:to>
    <xdr:cxnSp macro="">
      <xdr:nvCxnSpPr>
        <xdr:cNvPr id="102" name="Straight Arrow Connector 101">
          <a:extLst>
            <a:ext uri="{FF2B5EF4-FFF2-40B4-BE49-F238E27FC236}">
              <a16:creationId xmlns:a16="http://schemas.microsoft.com/office/drawing/2014/main" id="{00000000-0008-0000-1700-000066000000}"/>
            </a:ext>
          </a:extLst>
        </xdr:cNvPr>
        <xdr:cNvCxnSpPr/>
      </xdr:nvCxnSpPr>
      <xdr:spPr>
        <a:xfrm rot="5400000" flipH="1" flipV="1">
          <a:off x="6233230" y="6500811"/>
          <a:ext cx="484652" cy="1588"/>
        </a:xfrm>
        <a:prstGeom prst="straightConnector1">
          <a:avLst/>
        </a:prstGeom>
        <a:ln w="28575">
          <a:solidFill>
            <a:srgbClr val="0020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268950</xdr:colOff>
      <xdr:row>30</xdr:row>
      <xdr:rowOff>89648</xdr:rowOff>
    </xdr:from>
    <xdr:to>
      <xdr:col>13</xdr:col>
      <xdr:colOff>269743</xdr:colOff>
      <xdr:row>33</xdr:row>
      <xdr:rowOff>791</xdr:rowOff>
    </xdr:to>
    <xdr:cxnSp macro="">
      <xdr:nvCxnSpPr>
        <xdr:cNvPr id="103" name="Straight Arrow Connector 102">
          <a:extLst>
            <a:ext uri="{FF2B5EF4-FFF2-40B4-BE49-F238E27FC236}">
              <a16:creationId xmlns:a16="http://schemas.microsoft.com/office/drawing/2014/main" id="{00000000-0008-0000-1700-000067000000}"/>
            </a:ext>
          </a:extLst>
        </xdr:cNvPr>
        <xdr:cNvCxnSpPr/>
      </xdr:nvCxnSpPr>
      <xdr:spPr>
        <a:xfrm rot="5400000">
          <a:off x="8919613" y="6545635"/>
          <a:ext cx="530268" cy="793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15</xdr:row>
      <xdr:rowOff>100856</xdr:rowOff>
    </xdr:from>
    <xdr:to>
      <xdr:col>2</xdr:col>
      <xdr:colOff>537884</xdr:colOff>
      <xdr:row>15</xdr:row>
      <xdr:rowOff>102444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00000000-0008-0000-1700-000068000000}"/>
            </a:ext>
          </a:extLst>
        </xdr:cNvPr>
        <xdr:cNvCxnSpPr/>
      </xdr:nvCxnSpPr>
      <xdr:spPr>
        <a:xfrm>
          <a:off x="1371600" y="3225056"/>
          <a:ext cx="537884" cy="1588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11206</xdr:colOff>
      <xdr:row>20</xdr:row>
      <xdr:rowOff>123265</xdr:rowOff>
    </xdr:from>
    <xdr:to>
      <xdr:col>2</xdr:col>
      <xdr:colOff>515471</xdr:colOff>
      <xdr:row>20</xdr:row>
      <xdr:rowOff>123266</xdr:rowOff>
    </xdr:to>
    <xdr:cxnSp macro="">
      <xdr:nvCxnSpPr>
        <xdr:cNvPr id="105" name="Straight Arrow Connector 104">
          <a:extLst>
            <a:ext uri="{FF2B5EF4-FFF2-40B4-BE49-F238E27FC236}">
              <a16:creationId xmlns:a16="http://schemas.microsoft.com/office/drawing/2014/main" id="{00000000-0008-0000-1700-000069000000}"/>
            </a:ext>
          </a:extLst>
        </xdr:cNvPr>
        <xdr:cNvCxnSpPr/>
      </xdr:nvCxnSpPr>
      <xdr:spPr>
        <a:xfrm rot="10800000" flipV="1">
          <a:off x="1382806" y="4276165"/>
          <a:ext cx="504265" cy="1"/>
        </a:xfrm>
        <a:prstGeom prst="straightConnector1">
          <a:avLst/>
        </a:prstGeom>
        <a:ln w="28575">
          <a:solidFill>
            <a:srgbClr val="0020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302518</xdr:colOff>
      <xdr:row>39</xdr:row>
      <xdr:rowOff>78442</xdr:rowOff>
    </xdr:from>
    <xdr:to>
      <xdr:col>9</xdr:col>
      <xdr:colOff>313724</xdr:colOff>
      <xdr:row>41</xdr:row>
      <xdr:rowOff>112060</xdr:rowOff>
    </xdr:to>
    <xdr:cxnSp macro="">
      <xdr:nvCxnSpPr>
        <xdr:cNvPr id="106" name="Straight Arrow Connector 105">
          <a:extLst>
            <a:ext uri="{FF2B5EF4-FFF2-40B4-BE49-F238E27FC236}">
              <a16:creationId xmlns:a16="http://schemas.microsoft.com/office/drawing/2014/main" id="{00000000-0008-0000-1700-00006A000000}"/>
            </a:ext>
          </a:extLst>
        </xdr:cNvPr>
        <xdr:cNvCxnSpPr/>
      </xdr:nvCxnSpPr>
      <xdr:spPr>
        <a:xfrm rot="16200000" flipV="1">
          <a:off x="6230149" y="8295436"/>
          <a:ext cx="500343" cy="11206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286837</xdr:colOff>
      <xdr:row>39</xdr:row>
      <xdr:rowOff>107576</xdr:rowOff>
    </xdr:from>
    <xdr:to>
      <xdr:col>13</xdr:col>
      <xdr:colOff>291316</xdr:colOff>
      <xdr:row>41</xdr:row>
      <xdr:rowOff>123268</xdr:rowOff>
    </xdr:to>
    <xdr:cxnSp macro="">
      <xdr:nvCxnSpPr>
        <xdr:cNvPr id="107" name="Straight Arrow Connector 106">
          <a:extLst>
            <a:ext uri="{FF2B5EF4-FFF2-40B4-BE49-F238E27FC236}">
              <a16:creationId xmlns:a16="http://schemas.microsoft.com/office/drawing/2014/main" id="{00000000-0008-0000-1700-00006B000000}"/>
            </a:ext>
          </a:extLst>
        </xdr:cNvPr>
        <xdr:cNvCxnSpPr/>
      </xdr:nvCxnSpPr>
      <xdr:spPr>
        <a:xfrm rot="16200000" flipH="1">
          <a:off x="8963268" y="8318970"/>
          <a:ext cx="482417" cy="4479"/>
        </a:xfrm>
        <a:prstGeom prst="straightConnector1">
          <a:avLst/>
        </a:prstGeom>
        <a:ln w="28575">
          <a:solidFill>
            <a:srgbClr val="0020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89604</xdr:colOff>
      <xdr:row>51</xdr:row>
      <xdr:rowOff>56035</xdr:rowOff>
    </xdr:from>
    <xdr:to>
      <xdr:col>21</xdr:col>
      <xdr:colOff>22369</xdr:colOff>
      <xdr:row>51</xdr:row>
      <xdr:rowOff>57623</xdr:rowOff>
    </xdr:to>
    <xdr:cxnSp macro="">
      <xdr:nvCxnSpPr>
        <xdr:cNvPr id="108" name="Straight Arrow Connector 107">
          <a:extLst>
            <a:ext uri="{FF2B5EF4-FFF2-40B4-BE49-F238E27FC236}">
              <a16:creationId xmlns:a16="http://schemas.microsoft.com/office/drawing/2014/main" id="{00000000-0008-0000-1700-00006C000000}"/>
            </a:ext>
          </a:extLst>
        </xdr:cNvPr>
        <xdr:cNvCxnSpPr/>
      </xdr:nvCxnSpPr>
      <xdr:spPr>
        <a:xfrm>
          <a:off x="14415204" y="10562110"/>
          <a:ext cx="589990" cy="1588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100810</xdr:colOff>
      <xdr:row>56</xdr:row>
      <xdr:rowOff>78443</xdr:rowOff>
    </xdr:from>
    <xdr:to>
      <xdr:col>20</xdr:col>
      <xdr:colOff>605074</xdr:colOff>
      <xdr:row>56</xdr:row>
      <xdr:rowOff>78444</xdr:rowOff>
    </xdr:to>
    <xdr:cxnSp macro="">
      <xdr:nvCxnSpPr>
        <xdr:cNvPr id="109" name="Straight Arrow Connector 108">
          <a:extLst>
            <a:ext uri="{FF2B5EF4-FFF2-40B4-BE49-F238E27FC236}">
              <a16:creationId xmlns:a16="http://schemas.microsoft.com/office/drawing/2014/main" id="{00000000-0008-0000-1700-00006D000000}"/>
            </a:ext>
          </a:extLst>
        </xdr:cNvPr>
        <xdr:cNvCxnSpPr/>
      </xdr:nvCxnSpPr>
      <xdr:spPr>
        <a:xfrm rot="10800000" flipV="1">
          <a:off x="14426410" y="11613218"/>
          <a:ext cx="504264" cy="1"/>
        </a:xfrm>
        <a:prstGeom prst="straightConnector1">
          <a:avLst/>
        </a:prstGeom>
        <a:ln w="28575">
          <a:solidFill>
            <a:srgbClr val="0020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302518</xdr:colOff>
      <xdr:row>66</xdr:row>
      <xdr:rowOff>34413</xdr:rowOff>
    </xdr:from>
    <xdr:to>
      <xdr:col>9</xdr:col>
      <xdr:colOff>304106</xdr:colOff>
      <xdr:row>68</xdr:row>
      <xdr:rowOff>90441</xdr:rowOff>
    </xdr:to>
    <xdr:cxnSp macro="">
      <xdr:nvCxnSpPr>
        <xdr:cNvPr id="110" name="Straight Arrow Connector 109">
          <a:extLst>
            <a:ext uri="{FF2B5EF4-FFF2-40B4-BE49-F238E27FC236}">
              <a16:creationId xmlns:a16="http://schemas.microsoft.com/office/drawing/2014/main" id="{00000000-0008-0000-1700-00006E000000}"/>
            </a:ext>
          </a:extLst>
        </xdr:cNvPr>
        <xdr:cNvCxnSpPr/>
      </xdr:nvCxnSpPr>
      <xdr:spPr>
        <a:xfrm rot="5400000" flipH="1" flipV="1">
          <a:off x="6233185" y="13849071"/>
          <a:ext cx="484653" cy="1588"/>
        </a:xfrm>
        <a:prstGeom prst="straightConnector1">
          <a:avLst/>
        </a:prstGeom>
        <a:ln w="28575">
          <a:solidFill>
            <a:srgbClr val="0020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268906</xdr:colOff>
      <xdr:row>66</xdr:row>
      <xdr:rowOff>56032</xdr:rowOff>
    </xdr:from>
    <xdr:to>
      <xdr:col>13</xdr:col>
      <xdr:colOff>269699</xdr:colOff>
      <xdr:row>68</xdr:row>
      <xdr:rowOff>157676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00000000-0008-0000-1700-00006F000000}"/>
            </a:ext>
          </a:extLst>
        </xdr:cNvPr>
        <xdr:cNvCxnSpPr/>
      </xdr:nvCxnSpPr>
      <xdr:spPr>
        <a:xfrm rot="5400000">
          <a:off x="8919568" y="13893895"/>
          <a:ext cx="530269" cy="793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605073</xdr:colOff>
      <xdr:row>51</xdr:row>
      <xdr:rowOff>67241</xdr:rowOff>
    </xdr:from>
    <xdr:to>
      <xdr:col>2</xdr:col>
      <xdr:colOff>537840</xdr:colOff>
      <xdr:row>51</xdr:row>
      <xdr:rowOff>68829</xdr:rowOff>
    </xdr:to>
    <xdr:cxnSp macro="">
      <xdr:nvCxnSpPr>
        <xdr:cNvPr id="112" name="Straight Arrow Connector 111">
          <a:extLst>
            <a:ext uri="{FF2B5EF4-FFF2-40B4-BE49-F238E27FC236}">
              <a16:creationId xmlns:a16="http://schemas.microsoft.com/office/drawing/2014/main" id="{00000000-0008-0000-1700-000070000000}"/>
            </a:ext>
          </a:extLst>
        </xdr:cNvPr>
        <xdr:cNvCxnSpPr/>
      </xdr:nvCxnSpPr>
      <xdr:spPr>
        <a:xfrm>
          <a:off x="1290873" y="10573316"/>
          <a:ext cx="618567" cy="1588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11162</xdr:colOff>
      <xdr:row>56</xdr:row>
      <xdr:rowOff>89649</xdr:rowOff>
    </xdr:from>
    <xdr:to>
      <xdr:col>2</xdr:col>
      <xdr:colOff>515427</xdr:colOff>
      <xdr:row>56</xdr:row>
      <xdr:rowOff>89650</xdr:rowOff>
    </xdr:to>
    <xdr:cxnSp macro="">
      <xdr:nvCxnSpPr>
        <xdr:cNvPr id="113" name="Straight Arrow Connector 112">
          <a:extLst>
            <a:ext uri="{FF2B5EF4-FFF2-40B4-BE49-F238E27FC236}">
              <a16:creationId xmlns:a16="http://schemas.microsoft.com/office/drawing/2014/main" id="{00000000-0008-0000-1700-000071000000}"/>
            </a:ext>
          </a:extLst>
        </xdr:cNvPr>
        <xdr:cNvCxnSpPr/>
      </xdr:nvCxnSpPr>
      <xdr:spPr>
        <a:xfrm rot="10800000" flipV="1">
          <a:off x="1382762" y="11624424"/>
          <a:ext cx="504265" cy="1"/>
        </a:xfrm>
        <a:prstGeom prst="straightConnector1">
          <a:avLst/>
        </a:prstGeom>
        <a:ln w="28575">
          <a:solidFill>
            <a:srgbClr val="0020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280131</xdr:colOff>
      <xdr:row>75</xdr:row>
      <xdr:rowOff>123264</xdr:rowOff>
    </xdr:from>
    <xdr:to>
      <xdr:col>9</xdr:col>
      <xdr:colOff>291337</xdr:colOff>
      <xdr:row>77</xdr:row>
      <xdr:rowOff>156881</xdr:rowOff>
    </xdr:to>
    <xdr:cxnSp macro="">
      <xdr:nvCxnSpPr>
        <xdr:cNvPr id="114" name="Straight Arrow Connector 113">
          <a:extLst>
            <a:ext uri="{FF2B5EF4-FFF2-40B4-BE49-F238E27FC236}">
              <a16:creationId xmlns:a16="http://schemas.microsoft.com/office/drawing/2014/main" id="{00000000-0008-0000-1700-000072000000}"/>
            </a:ext>
          </a:extLst>
        </xdr:cNvPr>
        <xdr:cNvCxnSpPr/>
      </xdr:nvCxnSpPr>
      <xdr:spPr>
        <a:xfrm rot="16200000" flipV="1">
          <a:off x="6212525" y="15707845"/>
          <a:ext cx="490817" cy="11206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264450</xdr:colOff>
      <xdr:row>75</xdr:row>
      <xdr:rowOff>152398</xdr:rowOff>
    </xdr:from>
    <xdr:to>
      <xdr:col>13</xdr:col>
      <xdr:colOff>268929</xdr:colOff>
      <xdr:row>77</xdr:row>
      <xdr:rowOff>168089</xdr:rowOff>
    </xdr:to>
    <xdr:cxnSp macro="">
      <xdr:nvCxnSpPr>
        <xdr:cNvPr id="115" name="Straight Arrow Connector 114">
          <a:extLst>
            <a:ext uri="{FF2B5EF4-FFF2-40B4-BE49-F238E27FC236}">
              <a16:creationId xmlns:a16="http://schemas.microsoft.com/office/drawing/2014/main" id="{00000000-0008-0000-1700-000073000000}"/>
            </a:ext>
          </a:extLst>
        </xdr:cNvPr>
        <xdr:cNvCxnSpPr/>
      </xdr:nvCxnSpPr>
      <xdr:spPr>
        <a:xfrm rot="16200000" flipH="1">
          <a:off x="8945644" y="15731379"/>
          <a:ext cx="472891" cy="4479"/>
        </a:xfrm>
        <a:prstGeom prst="straightConnector1">
          <a:avLst/>
        </a:prstGeom>
        <a:ln w="28575">
          <a:solidFill>
            <a:srgbClr val="0020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67217</xdr:colOff>
      <xdr:row>87</xdr:row>
      <xdr:rowOff>100856</xdr:rowOff>
    </xdr:from>
    <xdr:to>
      <xdr:col>20</xdr:col>
      <xdr:colOff>605100</xdr:colOff>
      <xdr:row>87</xdr:row>
      <xdr:rowOff>102444</xdr:rowOff>
    </xdr:to>
    <xdr:cxnSp macro="">
      <xdr:nvCxnSpPr>
        <xdr:cNvPr id="116" name="Straight Arrow Connector 115">
          <a:extLst>
            <a:ext uri="{FF2B5EF4-FFF2-40B4-BE49-F238E27FC236}">
              <a16:creationId xmlns:a16="http://schemas.microsoft.com/office/drawing/2014/main" id="{00000000-0008-0000-1700-000074000000}"/>
            </a:ext>
          </a:extLst>
        </xdr:cNvPr>
        <xdr:cNvCxnSpPr/>
      </xdr:nvCxnSpPr>
      <xdr:spPr>
        <a:xfrm>
          <a:off x="14392817" y="17969756"/>
          <a:ext cx="537883" cy="1588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78423</xdr:colOff>
      <xdr:row>92</xdr:row>
      <xdr:rowOff>123265</xdr:rowOff>
    </xdr:from>
    <xdr:to>
      <xdr:col>20</xdr:col>
      <xdr:colOff>582687</xdr:colOff>
      <xdr:row>92</xdr:row>
      <xdr:rowOff>123266</xdr:rowOff>
    </xdr:to>
    <xdr:cxnSp macro="">
      <xdr:nvCxnSpPr>
        <xdr:cNvPr id="117" name="Straight Arrow Connector 116">
          <a:extLst>
            <a:ext uri="{FF2B5EF4-FFF2-40B4-BE49-F238E27FC236}">
              <a16:creationId xmlns:a16="http://schemas.microsoft.com/office/drawing/2014/main" id="{00000000-0008-0000-1700-000075000000}"/>
            </a:ext>
          </a:extLst>
        </xdr:cNvPr>
        <xdr:cNvCxnSpPr/>
      </xdr:nvCxnSpPr>
      <xdr:spPr>
        <a:xfrm rot="10800000" flipV="1">
          <a:off x="14404023" y="19020865"/>
          <a:ext cx="504264" cy="1"/>
        </a:xfrm>
        <a:prstGeom prst="straightConnector1">
          <a:avLst/>
        </a:prstGeom>
        <a:ln w="28575">
          <a:solidFill>
            <a:srgbClr val="0020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280131</xdr:colOff>
      <xdr:row>102</xdr:row>
      <xdr:rowOff>79234</xdr:rowOff>
    </xdr:from>
    <xdr:to>
      <xdr:col>9</xdr:col>
      <xdr:colOff>281719</xdr:colOff>
      <xdr:row>104</xdr:row>
      <xdr:rowOff>135262</xdr:rowOff>
    </xdr:to>
    <xdr:cxnSp macro="">
      <xdr:nvCxnSpPr>
        <xdr:cNvPr id="118" name="Straight Arrow Connector 117">
          <a:extLst>
            <a:ext uri="{FF2B5EF4-FFF2-40B4-BE49-F238E27FC236}">
              <a16:creationId xmlns:a16="http://schemas.microsoft.com/office/drawing/2014/main" id="{00000000-0008-0000-1700-000076000000}"/>
            </a:ext>
          </a:extLst>
        </xdr:cNvPr>
        <xdr:cNvCxnSpPr/>
      </xdr:nvCxnSpPr>
      <xdr:spPr>
        <a:xfrm rot="5400000" flipH="1" flipV="1">
          <a:off x="6210798" y="21256717"/>
          <a:ext cx="484653" cy="1588"/>
        </a:xfrm>
        <a:prstGeom prst="straightConnector1">
          <a:avLst/>
        </a:prstGeom>
        <a:ln w="28575">
          <a:solidFill>
            <a:srgbClr val="0020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246519</xdr:colOff>
      <xdr:row>102</xdr:row>
      <xdr:rowOff>100853</xdr:rowOff>
    </xdr:from>
    <xdr:to>
      <xdr:col>13</xdr:col>
      <xdr:colOff>247312</xdr:colOff>
      <xdr:row>105</xdr:row>
      <xdr:rowOff>11997</xdr:rowOff>
    </xdr:to>
    <xdr:cxnSp macro="">
      <xdr:nvCxnSpPr>
        <xdr:cNvPr id="119" name="Straight Arrow Connector 118">
          <a:extLst>
            <a:ext uri="{FF2B5EF4-FFF2-40B4-BE49-F238E27FC236}">
              <a16:creationId xmlns:a16="http://schemas.microsoft.com/office/drawing/2014/main" id="{00000000-0008-0000-1700-000077000000}"/>
            </a:ext>
          </a:extLst>
        </xdr:cNvPr>
        <xdr:cNvCxnSpPr/>
      </xdr:nvCxnSpPr>
      <xdr:spPr>
        <a:xfrm rot="5400000">
          <a:off x="8897181" y="21301541"/>
          <a:ext cx="530269" cy="793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582686</xdr:colOff>
      <xdr:row>87</xdr:row>
      <xdr:rowOff>112062</xdr:rowOff>
    </xdr:from>
    <xdr:to>
      <xdr:col>2</xdr:col>
      <xdr:colOff>515453</xdr:colOff>
      <xdr:row>87</xdr:row>
      <xdr:rowOff>113650</xdr:rowOff>
    </xdr:to>
    <xdr:cxnSp macro="">
      <xdr:nvCxnSpPr>
        <xdr:cNvPr id="120" name="Straight Arrow Connector 119">
          <a:extLst>
            <a:ext uri="{FF2B5EF4-FFF2-40B4-BE49-F238E27FC236}">
              <a16:creationId xmlns:a16="http://schemas.microsoft.com/office/drawing/2014/main" id="{00000000-0008-0000-1700-000078000000}"/>
            </a:ext>
          </a:extLst>
        </xdr:cNvPr>
        <xdr:cNvCxnSpPr/>
      </xdr:nvCxnSpPr>
      <xdr:spPr>
        <a:xfrm>
          <a:off x="1268486" y="17980962"/>
          <a:ext cx="618567" cy="1588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593892</xdr:colOff>
      <xdr:row>92</xdr:row>
      <xdr:rowOff>134471</xdr:rowOff>
    </xdr:from>
    <xdr:to>
      <xdr:col>2</xdr:col>
      <xdr:colOff>493040</xdr:colOff>
      <xdr:row>92</xdr:row>
      <xdr:rowOff>134472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00000000-0008-0000-1700-000079000000}"/>
            </a:ext>
          </a:extLst>
        </xdr:cNvPr>
        <xdr:cNvCxnSpPr/>
      </xdr:nvCxnSpPr>
      <xdr:spPr>
        <a:xfrm rot="10800000" flipV="1">
          <a:off x="1279692" y="19032071"/>
          <a:ext cx="584948" cy="1"/>
        </a:xfrm>
        <a:prstGeom prst="straightConnector1">
          <a:avLst/>
        </a:prstGeom>
        <a:ln w="28575">
          <a:solidFill>
            <a:srgbClr val="00206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89327</xdr:colOff>
      <xdr:row>2</xdr:row>
      <xdr:rowOff>164248</xdr:rowOff>
    </xdr:from>
    <xdr:to>
      <xdr:col>10</xdr:col>
      <xdr:colOff>524756</xdr:colOff>
      <xdr:row>26</xdr:row>
      <xdr:rowOff>145676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37</xdr:row>
      <xdr:rowOff>184096</xdr:rowOff>
    </xdr:from>
    <xdr:to>
      <xdr:col>10</xdr:col>
      <xdr:colOff>502022</xdr:colOff>
      <xdr:row>58</xdr:row>
      <xdr:rowOff>118461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BAB2469-DBC3-4076-9CAB-CE8BDA2880BA}">
  <we:reference id="wa200005271" version="2.5.5.0" store="en-IN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71C11-6896-4D95-89EE-BD2481375B6E}">
  <sheetPr>
    <tabColor rgb="FFFFFF00"/>
  </sheetPr>
  <dimension ref="A1:O106"/>
  <sheetViews>
    <sheetView view="pageBreakPreview" zoomScale="40" zoomScaleNormal="70" zoomScaleSheetLayoutView="40" workbookViewId="0">
      <selection activeCell="H56" sqref="H56:M103"/>
    </sheetView>
  </sheetViews>
  <sheetFormatPr defaultColWidth="9" defaultRowHeight="15.6" x14ac:dyDescent="0.3"/>
  <cols>
    <col min="1" max="1" width="15.5" customWidth="1"/>
    <col min="2" max="5" width="11.69921875" customWidth="1"/>
    <col min="6" max="6" width="8.19921875" customWidth="1"/>
    <col min="7" max="15" width="11.69921875" customWidth="1"/>
  </cols>
  <sheetData>
    <row r="1" spans="1:15" x14ac:dyDescent="0.3">
      <c r="A1" s="247" t="s">
        <v>99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</row>
    <row r="2" spans="1:15" s="4" customFormat="1" x14ac:dyDescent="0.3">
      <c r="A2" s="4" t="s">
        <v>103</v>
      </c>
      <c r="B2" s="4" t="str">
        <f>Summary!B2</f>
        <v>TMC-14 Number (D2)</v>
      </c>
    </row>
    <row r="3" spans="1:15" s="4" customFormat="1" x14ac:dyDescent="0.3">
      <c r="A3" s="4" t="s">
        <v>102</v>
      </c>
      <c r="B3" s="4" t="str">
        <f>Summary!B3</f>
        <v>D2</v>
      </c>
    </row>
    <row r="4" spans="1:15" s="4" customFormat="1" x14ac:dyDescent="0.3">
      <c r="A4" s="4" t="s">
        <v>104</v>
      </c>
      <c r="B4" s="4" t="str">
        <f>V_13!E4</f>
        <v>Mansarover</v>
      </c>
      <c r="D4" s="4" t="s">
        <v>1</v>
      </c>
      <c r="E4" s="4" t="str">
        <f>V_13!B4</f>
        <v>Delhi</v>
      </c>
      <c r="G4" s="229" t="s">
        <v>296</v>
      </c>
    </row>
    <row r="5" spans="1:15" ht="16.2" thickBot="1" x14ac:dyDescent="0.35"/>
    <row r="6" spans="1:15" ht="25.2" customHeight="1" x14ac:dyDescent="0.3">
      <c r="A6" s="252" t="s">
        <v>95</v>
      </c>
      <c r="B6" s="258" t="s">
        <v>280</v>
      </c>
      <c r="C6" s="254" t="s">
        <v>281</v>
      </c>
      <c r="D6" s="250" t="s">
        <v>282</v>
      </c>
      <c r="E6" s="260" t="s">
        <v>283</v>
      </c>
      <c r="F6" s="256" t="s">
        <v>284</v>
      </c>
      <c r="G6" s="250" t="s">
        <v>129</v>
      </c>
      <c r="H6" s="248" t="s">
        <v>150</v>
      </c>
      <c r="I6" s="250" t="s">
        <v>151</v>
      </c>
      <c r="J6" s="250" t="s">
        <v>285</v>
      </c>
      <c r="K6" s="248" t="s">
        <v>286</v>
      </c>
      <c r="L6" s="250" t="s">
        <v>287</v>
      </c>
      <c r="M6" s="250" t="s">
        <v>78</v>
      </c>
      <c r="N6" s="250" t="s">
        <v>131</v>
      </c>
      <c r="O6" s="250" t="s">
        <v>132</v>
      </c>
    </row>
    <row r="7" spans="1:15" ht="43.5" customHeight="1" thickBot="1" x14ac:dyDescent="0.35">
      <c r="A7" s="262"/>
      <c r="B7" s="263"/>
      <c r="C7" s="264"/>
      <c r="D7" s="265"/>
      <c r="E7" s="266"/>
      <c r="F7" s="267"/>
      <c r="G7" s="259"/>
      <c r="H7" s="268"/>
      <c r="I7" s="265"/>
      <c r="J7" s="265"/>
      <c r="K7" s="268"/>
      <c r="L7" s="265"/>
      <c r="M7" s="265"/>
      <c r="N7" s="251"/>
      <c r="O7" s="251"/>
    </row>
    <row r="8" spans="1:15" ht="22.5" customHeight="1" x14ac:dyDescent="0.3">
      <c r="A8" s="189" t="s">
        <v>177</v>
      </c>
      <c r="B8" s="192">
        <v>96</v>
      </c>
      <c r="C8" s="157">
        <v>83</v>
      </c>
      <c r="D8" s="157">
        <v>9</v>
      </c>
      <c r="E8" s="157">
        <v>10</v>
      </c>
      <c r="F8" s="193">
        <v>30</v>
      </c>
      <c r="G8" s="148">
        <f t="shared" ref="G8:G71" si="0">SUM(B8:F8)</f>
        <v>228</v>
      </c>
      <c r="H8" s="232">
        <v>1</v>
      </c>
      <c r="I8" s="209">
        <v>0</v>
      </c>
      <c r="J8" s="209">
        <v>0</v>
      </c>
      <c r="K8" s="209">
        <v>0</v>
      </c>
      <c r="L8" s="210">
        <v>2</v>
      </c>
      <c r="M8" s="210">
        <v>1</v>
      </c>
      <c r="N8" s="85">
        <f>G8+M8</f>
        <v>229</v>
      </c>
      <c r="O8" s="115">
        <f>B8*1+C8*0.5+D8*1.5+E8*3+F8*4.5+H8*0.5+I8*1.5+J8*3+K8*4+L8*8</f>
        <v>332.5</v>
      </c>
    </row>
    <row r="9" spans="1:15" ht="22.5" customHeight="1" x14ac:dyDescent="0.3">
      <c r="A9" s="190" t="s">
        <v>178</v>
      </c>
      <c r="B9" s="44">
        <v>94</v>
      </c>
      <c r="C9" s="39">
        <v>122</v>
      </c>
      <c r="D9" s="39">
        <v>9</v>
      </c>
      <c r="E9" s="39">
        <v>11</v>
      </c>
      <c r="F9" s="194">
        <v>23</v>
      </c>
      <c r="G9" s="149">
        <f t="shared" si="0"/>
        <v>259</v>
      </c>
      <c r="H9" s="233">
        <v>1</v>
      </c>
      <c r="I9" s="211">
        <v>0</v>
      </c>
      <c r="J9" s="211">
        <v>0</v>
      </c>
      <c r="K9" s="211">
        <v>0</v>
      </c>
      <c r="L9" s="212">
        <v>1</v>
      </c>
      <c r="M9" s="212">
        <v>0</v>
      </c>
      <c r="N9" s="85">
        <f t="shared" ref="N9:N72" si="1">G9+M9</f>
        <v>259</v>
      </c>
      <c r="O9" s="43">
        <f t="shared" ref="O9:O72" si="2">B9*1+C9*0.5+D9*1.5+E9*3+F9*4.5+H9*0.5+I9*1.5+J9*3+K9*4+L9*8</f>
        <v>313.5</v>
      </c>
    </row>
    <row r="10" spans="1:15" ht="22.5" customHeight="1" x14ac:dyDescent="0.3">
      <c r="A10" s="190" t="s">
        <v>179</v>
      </c>
      <c r="B10" s="44">
        <v>99</v>
      </c>
      <c r="C10" s="39">
        <v>167</v>
      </c>
      <c r="D10" s="39">
        <v>6</v>
      </c>
      <c r="E10" s="39">
        <v>12</v>
      </c>
      <c r="F10" s="194">
        <v>18</v>
      </c>
      <c r="G10" s="149">
        <f t="shared" si="0"/>
        <v>302</v>
      </c>
      <c r="H10" s="233">
        <v>0</v>
      </c>
      <c r="I10" s="211">
        <v>0</v>
      </c>
      <c r="J10" s="211">
        <v>0</v>
      </c>
      <c r="K10" s="211">
        <v>0</v>
      </c>
      <c r="L10" s="212">
        <v>2</v>
      </c>
      <c r="M10" s="212">
        <v>1</v>
      </c>
      <c r="N10" s="85">
        <f t="shared" si="1"/>
        <v>303</v>
      </c>
      <c r="O10" s="43">
        <f t="shared" si="2"/>
        <v>324.5</v>
      </c>
    </row>
    <row r="11" spans="1:15" ht="22.5" customHeight="1" x14ac:dyDescent="0.3">
      <c r="A11" s="190" t="s">
        <v>180</v>
      </c>
      <c r="B11" s="44">
        <v>111</v>
      </c>
      <c r="C11" s="39">
        <v>216</v>
      </c>
      <c r="D11" s="39">
        <v>6</v>
      </c>
      <c r="E11" s="39">
        <v>9</v>
      </c>
      <c r="F11" s="194">
        <v>28</v>
      </c>
      <c r="G11" s="149">
        <f t="shared" si="0"/>
        <v>370</v>
      </c>
      <c r="H11" s="233">
        <v>0</v>
      </c>
      <c r="I11" s="211">
        <v>0</v>
      </c>
      <c r="J11" s="211">
        <v>0</v>
      </c>
      <c r="K11" s="211">
        <v>0</v>
      </c>
      <c r="L11" s="212">
        <v>1</v>
      </c>
      <c r="M11" s="212">
        <v>0</v>
      </c>
      <c r="N11" s="85">
        <f t="shared" si="1"/>
        <v>370</v>
      </c>
      <c r="O11" s="43">
        <f t="shared" si="2"/>
        <v>389</v>
      </c>
    </row>
    <row r="12" spans="1:15" ht="22.5" customHeight="1" x14ac:dyDescent="0.3">
      <c r="A12" s="190" t="s">
        <v>181</v>
      </c>
      <c r="B12" s="44">
        <v>149</v>
      </c>
      <c r="C12" s="39">
        <v>195</v>
      </c>
      <c r="D12" s="39">
        <v>12</v>
      </c>
      <c r="E12" s="39">
        <v>11</v>
      </c>
      <c r="F12" s="194">
        <v>32</v>
      </c>
      <c r="G12" s="149">
        <f t="shared" si="0"/>
        <v>399</v>
      </c>
      <c r="H12" s="233">
        <v>1</v>
      </c>
      <c r="I12" s="211">
        <v>0</v>
      </c>
      <c r="J12" s="211">
        <v>0</v>
      </c>
      <c r="K12" s="211">
        <v>0</v>
      </c>
      <c r="L12" s="212">
        <v>4</v>
      </c>
      <c r="M12" s="212">
        <v>0</v>
      </c>
      <c r="N12" s="85">
        <f t="shared" si="1"/>
        <v>399</v>
      </c>
      <c r="O12" s="43">
        <f t="shared" si="2"/>
        <v>474</v>
      </c>
    </row>
    <row r="13" spans="1:15" ht="22.5" customHeight="1" x14ac:dyDescent="0.3">
      <c r="A13" s="190" t="s">
        <v>182</v>
      </c>
      <c r="B13" s="44">
        <v>78</v>
      </c>
      <c r="C13" s="39">
        <v>136</v>
      </c>
      <c r="D13" s="39">
        <v>8</v>
      </c>
      <c r="E13" s="39">
        <v>8</v>
      </c>
      <c r="F13" s="194">
        <v>11</v>
      </c>
      <c r="G13" s="149">
        <f t="shared" si="0"/>
        <v>241</v>
      </c>
      <c r="H13" s="233">
        <v>0</v>
      </c>
      <c r="I13" s="211">
        <v>0</v>
      </c>
      <c r="J13" s="211">
        <v>0</v>
      </c>
      <c r="K13" s="211">
        <v>0</v>
      </c>
      <c r="L13" s="212">
        <v>1</v>
      </c>
      <c r="M13" s="212">
        <v>0</v>
      </c>
      <c r="N13" s="85">
        <f t="shared" si="1"/>
        <v>241</v>
      </c>
      <c r="O13" s="43">
        <f t="shared" si="2"/>
        <v>239.5</v>
      </c>
    </row>
    <row r="14" spans="1:15" ht="22.5" customHeight="1" x14ac:dyDescent="0.3">
      <c r="A14" s="190" t="s">
        <v>183</v>
      </c>
      <c r="B14" s="44">
        <v>114</v>
      </c>
      <c r="C14" s="39">
        <v>178</v>
      </c>
      <c r="D14" s="39">
        <v>10</v>
      </c>
      <c r="E14" s="39">
        <v>7</v>
      </c>
      <c r="F14" s="194">
        <v>23</v>
      </c>
      <c r="G14" s="149">
        <f t="shared" si="0"/>
        <v>332</v>
      </c>
      <c r="H14" s="233">
        <v>0</v>
      </c>
      <c r="I14" s="211">
        <v>0</v>
      </c>
      <c r="J14" s="211">
        <v>0</v>
      </c>
      <c r="K14" s="211">
        <v>0</v>
      </c>
      <c r="L14" s="212">
        <v>1</v>
      </c>
      <c r="M14" s="212">
        <v>0</v>
      </c>
      <c r="N14" s="85">
        <f t="shared" si="1"/>
        <v>332</v>
      </c>
      <c r="O14" s="43">
        <f t="shared" si="2"/>
        <v>350.5</v>
      </c>
    </row>
    <row r="15" spans="1:15" ht="22.5" customHeight="1" x14ac:dyDescent="0.3">
      <c r="A15" s="190" t="s">
        <v>184</v>
      </c>
      <c r="B15" s="44">
        <v>130</v>
      </c>
      <c r="C15" s="39">
        <v>163</v>
      </c>
      <c r="D15" s="39">
        <v>17</v>
      </c>
      <c r="E15" s="39">
        <v>8</v>
      </c>
      <c r="F15" s="194">
        <v>18</v>
      </c>
      <c r="G15" s="149">
        <f t="shared" si="0"/>
        <v>336</v>
      </c>
      <c r="H15" s="233">
        <v>0</v>
      </c>
      <c r="I15" s="211">
        <v>0</v>
      </c>
      <c r="J15" s="211">
        <v>0</v>
      </c>
      <c r="K15" s="211">
        <v>0</v>
      </c>
      <c r="L15" s="212">
        <v>0</v>
      </c>
      <c r="M15" s="212">
        <v>0</v>
      </c>
      <c r="N15" s="85">
        <f t="shared" si="1"/>
        <v>336</v>
      </c>
      <c r="O15" s="43">
        <f t="shared" si="2"/>
        <v>342</v>
      </c>
    </row>
    <row r="16" spans="1:15" ht="22.5" customHeight="1" x14ac:dyDescent="0.3">
      <c r="A16" s="190" t="s">
        <v>185</v>
      </c>
      <c r="B16" s="44">
        <v>110</v>
      </c>
      <c r="C16" s="39">
        <v>140</v>
      </c>
      <c r="D16" s="39">
        <v>8</v>
      </c>
      <c r="E16" s="39">
        <v>5</v>
      </c>
      <c r="F16" s="194">
        <v>25</v>
      </c>
      <c r="G16" s="149">
        <f t="shared" si="0"/>
        <v>288</v>
      </c>
      <c r="H16" s="233">
        <v>0</v>
      </c>
      <c r="I16" s="211">
        <v>0</v>
      </c>
      <c r="J16" s="211">
        <v>0</v>
      </c>
      <c r="K16" s="211">
        <v>0</v>
      </c>
      <c r="L16" s="212">
        <v>0</v>
      </c>
      <c r="M16" s="212">
        <v>0</v>
      </c>
      <c r="N16" s="85">
        <f t="shared" si="1"/>
        <v>288</v>
      </c>
      <c r="O16" s="43">
        <f t="shared" si="2"/>
        <v>319.5</v>
      </c>
    </row>
    <row r="17" spans="1:15" ht="22.5" customHeight="1" x14ac:dyDescent="0.3">
      <c r="A17" s="190" t="s">
        <v>186</v>
      </c>
      <c r="B17" s="44">
        <v>158</v>
      </c>
      <c r="C17" s="39">
        <v>126</v>
      </c>
      <c r="D17" s="39">
        <v>16</v>
      </c>
      <c r="E17" s="39">
        <v>10</v>
      </c>
      <c r="F17" s="194">
        <v>21</v>
      </c>
      <c r="G17" s="149">
        <f t="shared" si="0"/>
        <v>331</v>
      </c>
      <c r="H17" s="233">
        <v>0</v>
      </c>
      <c r="I17" s="211">
        <v>0</v>
      </c>
      <c r="J17" s="211">
        <v>0</v>
      </c>
      <c r="K17" s="211">
        <v>0</v>
      </c>
      <c r="L17" s="212">
        <v>0</v>
      </c>
      <c r="M17" s="212">
        <v>0</v>
      </c>
      <c r="N17" s="85">
        <f t="shared" si="1"/>
        <v>331</v>
      </c>
      <c r="O17" s="43">
        <f t="shared" si="2"/>
        <v>369.5</v>
      </c>
    </row>
    <row r="18" spans="1:15" ht="22.5" customHeight="1" x14ac:dyDescent="0.3">
      <c r="A18" s="190" t="s">
        <v>187</v>
      </c>
      <c r="B18" s="44">
        <v>157</v>
      </c>
      <c r="C18" s="39">
        <v>119</v>
      </c>
      <c r="D18" s="39">
        <v>14</v>
      </c>
      <c r="E18" s="39">
        <v>11</v>
      </c>
      <c r="F18" s="194">
        <v>15</v>
      </c>
      <c r="G18" s="149">
        <f t="shared" si="0"/>
        <v>316</v>
      </c>
      <c r="H18" s="233">
        <v>0</v>
      </c>
      <c r="I18" s="211">
        <v>0</v>
      </c>
      <c r="J18" s="211">
        <v>0</v>
      </c>
      <c r="K18" s="211">
        <v>0</v>
      </c>
      <c r="L18" s="212">
        <v>1</v>
      </c>
      <c r="M18" s="212">
        <v>0</v>
      </c>
      <c r="N18" s="85">
        <f t="shared" si="1"/>
        <v>316</v>
      </c>
      <c r="O18" s="43">
        <f t="shared" si="2"/>
        <v>346</v>
      </c>
    </row>
    <row r="19" spans="1:15" ht="22.5" customHeight="1" x14ac:dyDescent="0.3">
      <c r="A19" s="190" t="s">
        <v>188</v>
      </c>
      <c r="B19" s="44">
        <v>145</v>
      </c>
      <c r="C19" s="39">
        <v>95</v>
      </c>
      <c r="D19" s="39">
        <v>15</v>
      </c>
      <c r="E19" s="39">
        <v>9</v>
      </c>
      <c r="F19" s="194">
        <v>26</v>
      </c>
      <c r="G19" s="149">
        <f t="shared" si="0"/>
        <v>290</v>
      </c>
      <c r="H19" s="233">
        <v>0</v>
      </c>
      <c r="I19" s="211">
        <v>0</v>
      </c>
      <c r="J19" s="211">
        <v>0</v>
      </c>
      <c r="K19" s="211">
        <v>0</v>
      </c>
      <c r="L19" s="212">
        <v>0</v>
      </c>
      <c r="M19" s="212">
        <v>0</v>
      </c>
      <c r="N19" s="85">
        <f t="shared" si="1"/>
        <v>290</v>
      </c>
      <c r="O19" s="43">
        <f t="shared" si="2"/>
        <v>359</v>
      </c>
    </row>
    <row r="20" spans="1:15" ht="22.5" customHeight="1" x14ac:dyDescent="0.3">
      <c r="A20" s="190" t="s">
        <v>189</v>
      </c>
      <c r="B20" s="44">
        <v>117</v>
      </c>
      <c r="C20" s="39">
        <v>101</v>
      </c>
      <c r="D20" s="39">
        <v>9</v>
      </c>
      <c r="E20" s="39">
        <v>8</v>
      </c>
      <c r="F20" s="194">
        <v>26</v>
      </c>
      <c r="G20" s="149">
        <f t="shared" si="0"/>
        <v>261</v>
      </c>
      <c r="H20" s="233">
        <v>0</v>
      </c>
      <c r="I20" s="211">
        <v>0</v>
      </c>
      <c r="J20" s="211">
        <v>0</v>
      </c>
      <c r="K20" s="211">
        <v>0</v>
      </c>
      <c r="L20" s="212">
        <v>0</v>
      </c>
      <c r="M20" s="212">
        <v>0</v>
      </c>
      <c r="N20" s="85">
        <f t="shared" si="1"/>
        <v>261</v>
      </c>
      <c r="O20" s="43">
        <f t="shared" si="2"/>
        <v>322</v>
      </c>
    </row>
    <row r="21" spans="1:15" ht="22.5" customHeight="1" x14ac:dyDescent="0.3">
      <c r="A21" s="190" t="s">
        <v>190</v>
      </c>
      <c r="B21" s="44">
        <v>148</v>
      </c>
      <c r="C21" s="39">
        <v>106</v>
      </c>
      <c r="D21" s="39">
        <v>9</v>
      </c>
      <c r="E21" s="39">
        <v>8</v>
      </c>
      <c r="F21" s="194">
        <v>32</v>
      </c>
      <c r="G21" s="149">
        <f t="shared" si="0"/>
        <v>303</v>
      </c>
      <c r="H21" s="233">
        <v>0</v>
      </c>
      <c r="I21" s="211">
        <v>0</v>
      </c>
      <c r="J21" s="211">
        <v>0</v>
      </c>
      <c r="K21" s="211">
        <v>0</v>
      </c>
      <c r="L21" s="212">
        <v>0</v>
      </c>
      <c r="M21" s="212">
        <v>0</v>
      </c>
      <c r="N21" s="85">
        <f t="shared" si="1"/>
        <v>303</v>
      </c>
      <c r="O21" s="43">
        <f t="shared" si="2"/>
        <v>382.5</v>
      </c>
    </row>
    <row r="22" spans="1:15" ht="22.5" customHeight="1" x14ac:dyDescent="0.3">
      <c r="A22" s="190" t="s">
        <v>191</v>
      </c>
      <c r="B22" s="44">
        <v>129</v>
      </c>
      <c r="C22" s="39">
        <v>93</v>
      </c>
      <c r="D22" s="39">
        <v>12</v>
      </c>
      <c r="E22" s="39">
        <v>7</v>
      </c>
      <c r="F22" s="194">
        <v>25</v>
      </c>
      <c r="G22" s="149">
        <f t="shared" si="0"/>
        <v>266</v>
      </c>
      <c r="H22" s="233">
        <v>0</v>
      </c>
      <c r="I22" s="211">
        <v>0</v>
      </c>
      <c r="J22" s="211">
        <v>0</v>
      </c>
      <c r="K22" s="211">
        <v>0</v>
      </c>
      <c r="L22" s="212">
        <v>2</v>
      </c>
      <c r="M22" s="212">
        <v>0</v>
      </c>
      <c r="N22" s="85">
        <f t="shared" si="1"/>
        <v>266</v>
      </c>
      <c r="O22" s="43">
        <f t="shared" si="2"/>
        <v>343</v>
      </c>
    </row>
    <row r="23" spans="1:15" ht="22.5" customHeight="1" x14ac:dyDescent="0.3">
      <c r="A23" s="190" t="s">
        <v>192</v>
      </c>
      <c r="B23" s="44">
        <v>155</v>
      </c>
      <c r="C23" s="39">
        <v>93</v>
      </c>
      <c r="D23" s="39">
        <v>11</v>
      </c>
      <c r="E23" s="39">
        <v>8</v>
      </c>
      <c r="F23" s="194">
        <v>30</v>
      </c>
      <c r="G23" s="149">
        <f t="shared" si="0"/>
        <v>297</v>
      </c>
      <c r="H23" s="233">
        <v>0</v>
      </c>
      <c r="I23" s="211">
        <v>0</v>
      </c>
      <c r="J23" s="211">
        <v>0</v>
      </c>
      <c r="K23" s="211">
        <v>0</v>
      </c>
      <c r="L23" s="212">
        <v>0</v>
      </c>
      <c r="M23" s="212">
        <v>0</v>
      </c>
      <c r="N23" s="85">
        <f t="shared" si="1"/>
        <v>297</v>
      </c>
      <c r="O23" s="43">
        <f t="shared" si="2"/>
        <v>377</v>
      </c>
    </row>
    <row r="24" spans="1:15" ht="22.5" customHeight="1" x14ac:dyDescent="0.3">
      <c r="A24" s="190" t="s">
        <v>193</v>
      </c>
      <c r="B24" s="44">
        <v>113</v>
      </c>
      <c r="C24" s="39">
        <v>70</v>
      </c>
      <c r="D24" s="39">
        <v>17</v>
      </c>
      <c r="E24" s="39">
        <v>8</v>
      </c>
      <c r="F24" s="194">
        <v>20</v>
      </c>
      <c r="G24" s="149">
        <f t="shared" si="0"/>
        <v>228</v>
      </c>
      <c r="H24" s="233">
        <v>0</v>
      </c>
      <c r="I24" s="211">
        <v>0</v>
      </c>
      <c r="J24" s="211">
        <v>0</v>
      </c>
      <c r="K24" s="211">
        <v>0</v>
      </c>
      <c r="L24" s="212">
        <v>0</v>
      </c>
      <c r="M24" s="212">
        <v>0</v>
      </c>
      <c r="N24" s="85">
        <f t="shared" si="1"/>
        <v>228</v>
      </c>
      <c r="O24" s="43">
        <f t="shared" si="2"/>
        <v>287.5</v>
      </c>
    </row>
    <row r="25" spans="1:15" ht="22.5" customHeight="1" x14ac:dyDescent="0.3">
      <c r="A25" s="190" t="s">
        <v>194</v>
      </c>
      <c r="B25" s="44">
        <v>123</v>
      </c>
      <c r="C25" s="39">
        <v>77</v>
      </c>
      <c r="D25" s="39">
        <v>22</v>
      </c>
      <c r="E25" s="39">
        <v>7</v>
      </c>
      <c r="F25" s="194">
        <v>21</v>
      </c>
      <c r="G25" s="149">
        <f t="shared" si="0"/>
        <v>250</v>
      </c>
      <c r="H25" s="233">
        <v>0</v>
      </c>
      <c r="I25" s="211">
        <v>0</v>
      </c>
      <c r="J25" s="211">
        <v>0</v>
      </c>
      <c r="K25" s="211">
        <v>0</v>
      </c>
      <c r="L25" s="212">
        <v>0</v>
      </c>
      <c r="M25" s="212">
        <v>0</v>
      </c>
      <c r="N25" s="85">
        <f t="shared" si="1"/>
        <v>250</v>
      </c>
      <c r="O25" s="43">
        <f t="shared" si="2"/>
        <v>310</v>
      </c>
    </row>
    <row r="26" spans="1:15" ht="22.5" customHeight="1" x14ac:dyDescent="0.3">
      <c r="A26" s="190" t="s">
        <v>195</v>
      </c>
      <c r="B26" s="44">
        <v>121</v>
      </c>
      <c r="C26" s="39">
        <v>75</v>
      </c>
      <c r="D26" s="39">
        <v>15</v>
      </c>
      <c r="E26" s="39">
        <v>14</v>
      </c>
      <c r="F26" s="194">
        <v>26</v>
      </c>
      <c r="G26" s="149">
        <f t="shared" si="0"/>
        <v>251</v>
      </c>
      <c r="H26" s="233">
        <v>0</v>
      </c>
      <c r="I26" s="211">
        <v>0</v>
      </c>
      <c r="J26" s="211">
        <v>0</v>
      </c>
      <c r="K26" s="211">
        <v>0</v>
      </c>
      <c r="L26" s="212">
        <v>0</v>
      </c>
      <c r="M26" s="212">
        <v>0</v>
      </c>
      <c r="N26" s="85">
        <f t="shared" si="1"/>
        <v>251</v>
      </c>
      <c r="O26" s="43">
        <f t="shared" si="2"/>
        <v>340</v>
      </c>
    </row>
    <row r="27" spans="1:15" ht="22.5" customHeight="1" x14ac:dyDescent="0.3">
      <c r="A27" s="190" t="s">
        <v>196</v>
      </c>
      <c r="B27" s="44">
        <v>122</v>
      </c>
      <c r="C27" s="39">
        <v>73</v>
      </c>
      <c r="D27" s="39">
        <v>13</v>
      </c>
      <c r="E27" s="39">
        <v>8</v>
      </c>
      <c r="F27" s="194">
        <v>31</v>
      </c>
      <c r="G27" s="149">
        <f t="shared" si="0"/>
        <v>247</v>
      </c>
      <c r="H27" s="233">
        <v>0</v>
      </c>
      <c r="I27" s="211">
        <v>0</v>
      </c>
      <c r="J27" s="211">
        <v>0</v>
      </c>
      <c r="K27" s="211">
        <v>0</v>
      </c>
      <c r="L27" s="212">
        <v>0</v>
      </c>
      <c r="M27" s="212">
        <v>0</v>
      </c>
      <c r="N27" s="85">
        <f t="shared" si="1"/>
        <v>247</v>
      </c>
      <c r="O27" s="43">
        <f t="shared" si="2"/>
        <v>341.5</v>
      </c>
    </row>
    <row r="28" spans="1:15" ht="22.5" customHeight="1" x14ac:dyDescent="0.3">
      <c r="A28" s="190" t="s">
        <v>197</v>
      </c>
      <c r="B28" s="44">
        <v>108</v>
      </c>
      <c r="C28" s="39">
        <v>58</v>
      </c>
      <c r="D28" s="39">
        <v>19</v>
      </c>
      <c r="E28" s="39">
        <v>8</v>
      </c>
      <c r="F28" s="194">
        <v>28</v>
      </c>
      <c r="G28" s="149">
        <f t="shared" si="0"/>
        <v>221</v>
      </c>
      <c r="H28" s="233">
        <v>0</v>
      </c>
      <c r="I28" s="211">
        <v>0</v>
      </c>
      <c r="J28" s="211">
        <v>0</v>
      </c>
      <c r="K28" s="211">
        <v>0</v>
      </c>
      <c r="L28" s="212">
        <v>0</v>
      </c>
      <c r="M28" s="212">
        <v>0</v>
      </c>
      <c r="N28" s="85">
        <f t="shared" si="1"/>
        <v>221</v>
      </c>
      <c r="O28" s="43">
        <f t="shared" si="2"/>
        <v>315.5</v>
      </c>
    </row>
    <row r="29" spans="1:15" ht="22.5" customHeight="1" x14ac:dyDescent="0.3">
      <c r="A29" s="190" t="s">
        <v>198</v>
      </c>
      <c r="B29" s="44">
        <v>123</v>
      </c>
      <c r="C29" s="39">
        <v>61</v>
      </c>
      <c r="D29" s="39">
        <v>21</v>
      </c>
      <c r="E29" s="39">
        <v>7</v>
      </c>
      <c r="F29" s="194">
        <v>31</v>
      </c>
      <c r="G29" s="149">
        <f t="shared" si="0"/>
        <v>243</v>
      </c>
      <c r="H29" s="233">
        <v>0</v>
      </c>
      <c r="I29" s="211">
        <v>0</v>
      </c>
      <c r="J29" s="211">
        <v>0</v>
      </c>
      <c r="K29" s="211">
        <v>0</v>
      </c>
      <c r="L29" s="212">
        <v>0</v>
      </c>
      <c r="M29" s="212">
        <v>0</v>
      </c>
      <c r="N29" s="85">
        <f t="shared" si="1"/>
        <v>243</v>
      </c>
      <c r="O29" s="43">
        <f t="shared" si="2"/>
        <v>345.5</v>
      </c>
    </row>
    <row r="30" spans="1:15" ht="22.5" customHeight="1" x14ac:dyDescent="0.3">
      <c r="A30" s="190" t="s">
        <v>199</v>
      </c>
      <c r="B30" s="44">
        <v>124</v>
      </c>
      <c r="C30" s="39">
        <v>64</v>
      </c>
      <c r="D30" s="39">
        <v>21</v>
      </c>
      <c r="E30" s="39">
        <v>8</v>
      </c>
      <c r="F30" s="194">
        <v>32</v>
      </c>
      <c r="G30" s="149">
        <f t="shared" si="0"/>
        <v>249</v>
      </c>
      <c r="H30" s="233">
        <v>0</v>
      </c>
      <c r="I30" s="211">
        <v>0</v>
      </c>
      <c r="J30" s="211">
        <v>0</v>
      </c>
      <c r="K30" s="211">
        <v>0</v>
      </c>
      <c r="L30" s="212">
        <v>0</v>
      </c>
      <c r="M30" s="212">
        <v>0</v>
      </c>
      <c r="N30" s="85">
        <f t="shared" si="1"/>
        <v>249</v>
      </c>
      <c r="O30" s="43">
        <f t="shared" si="2"/>
        <v>355.5</v>
      </c>
    </row>
    <row r="31" spans="1:15" ht="22.5" customHeight="1" x14ac:dyDescent="0.3">
      <c r="A31" s="190" t="s">
        <v>200</v>
      </c>
      <c r="B31" s="44">
        <v>135</v>
      </c>
      <c r="C31" s="39">
        <v>73</v>
      </c>
      <c r="D31" s="39">
        <v>7</v>
      </c>
      <c r="E31" s="39">
        <v>8</v>
      </c>
      <c r="F31" s="194">
        <v>42</v>
      </c>
      <c r="G31" s="149">
        <f t="shared" si="0"/>
        <v>265</v>
      </c>
      <c r="H31" s="233">
        <v>0</v>
      </c>
      <c r="I31" s="211">
        <v>0</v>
      </c>
      <c r="J31" s="211">
        <v>0</v>
      </c>
      <c r="K31" s="211">
        <v>0</v>
      </c>
      <c r="L31" s="212">
        <v>0</v>
      </c>
      <c r="M31" s="212">
        <v>0</v>
      </c>
      <c r="N31" s="85">
        <f t="shared" si="1"/>
        <v>265</v>
      </c>
      <c r="O31" s="43">
        <f t="shared" si="2"/>
        <v>395</v>
      </c>
    </row>
    <row r="32" spans="1:15" ht="22.5" customHeight="1" x14ac:dyDescent="0.3">
      <c r="A32" s="190" t="s">
        <v>201</v>
      </c>
      <c r="B32" s="44">
        <v>121</v>
      </c>
      <c r="C32" s="39">
        <v>43</v>
      </c>
      <c r="D32" s="39">
        <v>23</v>
      </c>
      <c r="E32" s="39">
        <v>11</v>
      </c>
      <c r="F32" s="194">
        <v>38</v>
      </c>
      <c r="G32" s="149">
        <f t="shared" si="0"/>
        <v>236</v>
      </c>
      <c r="H32" s="233">
        <v>0</v>
      </c>
      <c r="I32" s="211">
        <v>0</v>
      </c>
      <c r="J32" s="211">
        <v>0</v>
      </c>
      <c r="K32" s="211">
        <v>0</v>
      </c>
      <c r="L32" s="212">
        <v>0</v>
      </c>
      <c r="M32" s="212">
        <v>0</v>
      </c>
      <c r="N32" s="85">
        <f t="shared" si="1"/>
        <v>236</v>
      </c>
      <c r="O32" s="43">
        <f t="shared" si="2"/>
        <v>381</v>
      </c>
    </row>
    <row r="33" spans="1:15" ht="22.5" customHeight="1" x14ac:dyDescent="0.3">
      <c r="A33" s="190" t="s">
        <v>202</v>
      </c>
      <c r="B33" s="44">
        <v>114</v>
      </c>
      <c r="C33" s="39">
        <v>21</v>
      </c>
      <c r="D33" s="39">
        <v>21</v>
      </c>
      <c r="E33" s="39">
        <v>8</v>
      </c>
      <c r="F33" s="194">
        <v>42</v>
      </c>
      <c r="G33" s="149">
        <f t="shared" si="0"/>
        <v>206</v>
      </c>
      <c r="H33" s="233">
        <v>0</v>
      </c>
      <c r="I33" s="211">
        <v>0</v>
      </c>
      <c r="J33" s="211">
        <v>0</v>
      </c>
      <c r="K33" s="211">
        <v>0</v>
      </c>
      <c r="L33" s="212">
        <v>0</v>
      </c>
      <c r="M33" s="212">
        <v>0</v>
      </c>
      <c r="N33" s="85">
        <f t="shared" si="1"/>
        <v>206</v>
      </c>
      <c r="O33" s="43">
        <f t="shared" si="2"/>
        <v>369</v>
      </c>
    </row>
    <row r="34" spans="1:15" ht="22.5" customHeight="1" x14ac:dyDescent="0.3">
      <c r="A34" s="190" t="s">
        <v>203</v>
      </c>
      <c r="B34" s="44">
        <v>101</v>
      </c>
      <c r="C34" s="39">
        <v>22</v>
      </c>
      <c r="D34" s="39">
        <v>19</v>
      </c>
      <c r="E34" s="39">
        <v>9</v>
      </c>
      <c r="F34" s="194">
        <v>40</v>
      </c>
      <c r="G34" s="149">
        <f t="shared" si="0"/>
        <v>191</v>
      </c>
      <c r="H34" s="233">
        <v>0</v>
      </c>
      <c r="I34" s="211">
        <v>0</v>
      </c>
      <c r="J34" s="211">
        <v>0</v>
      </c>
      <c r="K34" s="211">
        <v>0</v>
      </c>
      <c r="L34" s="212">
        <v>0</v>
      </c>
      <c r="M34" s="212">
        <v>0</v>
      </c>
      <c r="N34" s="85">
        <f t="shared" si="1"/>
        <v>191</v>
      </c>
      <c r="O34" s="43">
        <f t="shared" si="2"/>
        <v>347.5</v>
      </c>
    </row>
    <row r="35" spans="1:15" ht="22.5" customHeight="1" x14ac:dyDescent="0.3">
      <c r="A35" s="190" t="s">
        <v>204</v>
      </c>
      <c r="B35" s="44">
        <v>113</v>
      </c>
      <c r="C35" s="39">
        <v>31</v>
      </c>
      <c r="D35" s="39">
        <v>18</v>
      </c>
      <c r="E35" s="39">
        <v>11</v>
      </c>
      <c r="F35" s="194">
        <v>31</v>
      </c>
      <c r="G35" s="149">
        <f t="shared" si="0"/>
        <v>204</v>
      </c>
      <c r="H35" s="233">
        <v>0</v>
      </c>
      <c r="I35" s="211">
        <v>0</v>
      </c>
      <c r="J35" s="211">
        <v>0</v>
      </c>
      <c r="K35" s="211">
        <v>0</v>
      </c>
      <c r="L35" s="212">
        <v>0</v>
      </c>
      <c r="M35" s="212">
        <v>0</v>
      </c>
      <c r="N35" s="85">
        <f t="shared" si="1"/>
        <v>204</v>
      </c>
      <c r="O35" s="43">
        <f t="shared" si="2"/>
        <v>328</v>
      </c>
    </row>
    <row r="36" spans="1:15" ht="22.5" customHeight="1" x14ac:dyDescent="0.3">
      <c r="A36" s="190" t="s">
        <v>205</v>
      </c>
      <c r="B36" s="44">
        <v>112</v>
      </c>
      <c r="C36" s="39">
        <v>20</v>
      </c>
      <c r="D36" s="39">
        <v>9</v>
      </c>
      <c r="E36" s="39">
        <v>12</v>
      </c>
      <c r="F36" s="194">
        <v>57</v>
      </c>
      <c r="G36" s="149">
        <f t="shared" si="0"/>
        <v>210</v>
      </c>
      <c r="H36" s="233">
        <v>0</v>
      </c>
      <c r="I36" s="211">
        <v>0</v>
      </c>
      <c r="J36" s="211">
        <v>0</v>
      </c>
      <c r="K36" s="211">
        <v>0</v>
      </c>
      <c r="L36" s="212">
        <v>0</v>
      </c>
      <c r="M36" s="212">
        <v>0</v>
      </c>
      <c r="N36" s="85">
        <f t="shared" si="1"/>
        <v>210</v>
      </c>
      <c r="O36" s="43">
        <f t="shared" si="2"/>
        <v>428</v>
      </c>
    </row>
    <row r="37" spans="1:15" ht="22.5" customHeight="1" x14ac:dyDescent="0.3">
      <c r="A37" s="190" t="s">
        <v>206</v>
      </c>
      <c r="B37" s="44">
        <v>155</v>
      </c>
      <c r="C37" s="39">
        <v>62</v>
      </c>
      <c r="D37" s="39">
        <v>8</v>
      </c>
      <c r="E37" s="39">
        <v>15</v>
      </c>
      <c r="F37" s="194">
        <v>45</v>
      </c>
      <c r="G37" s="149">
        <f t="shared" si="0"/>
        <v>285</v>
      </c>
      <c r="H37" s="233">
        <v>0</v>
      </c>
      <c r="I37" s="211">
        <v>0</v>
      </c>
      <c r="J37" s="211">
        <v>0</v>
      </c>
      <c r="K37" s="211">
        <v>0</v>
      </c>
      <c r="L37" s="212">
        <v>0</v>
      </c>
      <c r="M37" s="212">
        <v>0</v>
      </c>
      <c r="N37" s="85">
        <f t="shared" si="1"/>
        <v>285</v>
      </c>
      <c r="O37" s="43">
        <f t="shared" si="2"/>
        <v>445.5</v>
      </c>
    </row>
    <row r="38" spans="1:15" ht="22.5" customHeight="1" x14ac:dyDescent="0.3">
      <c r="A38" s="190" t="s">
        <v>207</v>
      </c>
      <c r="B38" s="44">
        <v>118</v>
      </c>
      <c r="C38" s="39">
        <v>32</v>
      </c>
      <c r="D38" s="39">
        <v>13</v>
      </c>
      <c r="E38" s="39">
        <v>16</v>
      </c>
      <c r="F38" s="194">
        <v>44</v>
      </c>
      <c r="G38" s="149">
        <f t="shared" si="0"/>
        <v>223</v>
      </c>
      <c r="H38" s="233">
        <v>0</v>
      </c>
      <c r="I38" s="211">
        <v>0</v>
      </c>
      <c r="J38" s="211">
        <v>0</v>
      </c>
      <c r="K38" s="211">
        <v>0</v>
      </c>
      <c r="L38" s="212">
        <v>0</v>
      </c>
      <c r="M38" s="212">
        <v>0</v>
      </c>
      <c r="N38" s="85">
        <f t="shared" si="1"/>
        <v>223</v>
      </c>
      <c r="O38" s="43">
        <f t="shared" si="2"/>
        <v>399.5</v>
      </c>
    </row>
    <row r="39" spans="1:15" ht="22.5" customHeight="1" x14ac:dyDescent="0.3">
      <c r="A39" s="190" t="s">
        <v>208</v>
      </c>
      <c r="B39" s="44">
        <v>135</v>
      </c>
      <c r="C39" s="39">
        <v>35</v>
      </c>
      <c r="D39" s="39">
        <v>15</v>
      </c>
      <c r="E39" s="39">
        <v>18</v>
      </c>
      <c r="F39" s="194">
        <v>43</v>
      </c>
      <c r="G39" s="149">
        <f t="shared" si="0"/>
        <v>246</v>
      </c>
      <c r="H39" s="233">
        <v>0</v>
      </c>
      <c r="I39" s="211">
        <v>0</v>
      </c>
      <c r="J39" s="211">
        <v>0</v>
      </c>
      <c r="K39" s="211">
        <v>0</v>
      </c>
      <c r="L39" s="212">
        <v>0</v>
      </c>
      <c r="M39" s="212">
        <v>0</v>
      </c>
      <c r="N39" s="85">
        <f t="shared" si="1"/>
        <v>246</v>
      </c>
      <c r="O39" s="43">
        <f t="shared" si="2"/>
        <v>422.5</v>
      </c>
    </row>
    <row r="40" spans="1:15" ht="22.5" customHeight="1" x14ac:dyDescent="0.3">
      <c r="A40" s="190" t="s">
        <v>209</v>
      </c>
      <c r="B40" s="44">
        <v>106</v>
      </c>
      <c r="C40" s="39">
        <v>61</v>
      </c>
      <c r="D40" s="39">
        <v>15</v>
      </c>
      <c r="E40" s="39">
        <v>5</v>
      </c>
      <c r="F40" s="194">
        <v>54</v>
      </c>
      <c r="G40" s="149">
        <f t="shared" si="0"/>
        <v>241</v>
      </c>
      <c r="H40" s="233">
        <v>0</v>
      </c>
      <c r="I40" s="211">
        <v>0</v>
      </c>
      <c r="J40" s="211">
        <v>0</v>
      </c>
      <c r="K40" s="211">
        <v>0</v>
      </c>
      <c r="L40" s="212">
        <v>0</v>
      </c>
      <c r="M40" s="212">
        <v>0</v>
      </c>
      <c r="N40" s="85">
        <f t="shared" si="1"/>
        <v>241</v>
      </c>
      <c r="O40" s="43">
        <f t="shared" si="2"/>
        <v>417</v>
      </c>
    </row>
    <row r="41" spans="1:15" ht="22.5" customHeight="1" x14ac:dyDescent="0.3">
      <c r="A41" s="190" t="s">
        <v>210</v>
      </c>
      <c r="B41" s="44">
        <v>106</v>
      </c>
      <c r="C41" s="39">
        <v>72</v>
      </c>
      <c r="D41" s="39">
        <v>17</v>
      </c>
      <c r="E41" s="39">
        <v>10</v>
      </c>
      <c r="F41" s="194">
        <v>29</v>
      </c>
      <c r="G41" s="149">
        <f t="shared" si="0"/>
        <v>234</v>
      </c>
      <c r="H41" s="233">
        <v>0</v>
      </c>
      <c r="I41" s="211">
        <v>0</v>
      </c>
      <c r="J41" s="211">
        <v>0</v>
      </c>
      <c r="K41" s="211">
        <v>0</v>
      </c>
      <c r="L41" s="212">
        <v>0</v>
      </c>
      <c r="M41" s="212">
        <v>0</v>
      </c>
      <c r="N41" s="85">
        <f t="shared" si="1"/>
        <v>234</v>
      </c>
      <c r="O41" s="43">
        <f t="shared" si="2"/>
        <v>328</v>
      </c>
    </row>
    <row r="42" spans="1:15" ht="22.5" customHeight="1" x14ac:dyDescent="0.3">
      <c r="A42" s="190" t="s">
        <v>211</v>
      </c>
      <c r="B42" s="44">
        <v>143</v>
      </c>
      <c r="C42" s="39">
        <v>87</v>
      </c>
      <c r="D42" s="39">
        <v>17</v>
      </c>
      <c r="E42" s="39">
        <v>11</v>
      </c>
      <c r="F42" s="194">
        <v>46</v>
      </c>
      <c r="G42" s="149">
        <f t="shared" si="0"/>
        <v>304</v>
      </c>
      <c r="H42" s="233">
        <v>0</v>
      </c>
      <c r="I42" s="211">
        <v>0</v>
      </c>
      <c r="J42" s="211">
        <v>0</v>
      </c>
      <c r="K42" s="211">
        <v>0</v>
      </c>
      <c r="L42" s="212">
        <v>0</v>
      </c>
      <c r="M42" s="212">
        <v>0</v>
      </c>
      <c r="N42" s="85">
        <f t="shared" si="1"/>
        <v>304</v>
      </c>
      <c r="O42" s="43">
        <f t="shared" si="2"/>
        <v>452</v>
      </c>
    </row>
    <row r="43" spans="1:15" ht="22.5" customHeight="1" x14ac:dyDescent="0.3">
      <c r="A43" s="190" t="s">
        <v>212</v>
      </c>
      <c r="B43" s="44">
        <v>108</v>
      </c>
      <c r="C43" s="39">
        <v>72</v>
      </c>
      <c r="D43" s="39">
        <v>14</v>
      </c>
      <c r="E43" s="39">
        <v>7</v>
      </c>
      <c r="F43" s="194">
        <v>33</v>
      </c>
      <c r="G43" s="149">
        <f t="shared" si="0"/>
        <v>234</v>
      </c>
      <c r="H43" s="233">
        <v>0</v>
      </c>
      <c r="I43" s="211">
        <v>0</v>
      </c>
      <c r="J43" s="211">
        <v>0</v>
      </c>
      <c r="K43" s="211">
        <v>0</v>
      </c>
      <c r="L43" s="212">
        <v>0</v>
      </c>
      <c r="M43" s="212">
        <v>0</v>
      </c>
      <c r="N43" s="85">
        <f t="shared" si="1"/>
        <v>234</v>
      </c>
      <c r="O43" s="43">
        <f t="shared" si="2"/>
        <v>334.5</v>
      </c>
    </row>
    <row r="44" spans="1:15" ht="22.5" customHeight="1" x14ac:dyDescent="0.3">
      <c r="A44" s="190" t="s">
        <v>213</v>
      </c>
      <c r="B44" s="44">
        <v>91</v>
      </c>
      <c r="C44" s="39">
        <v>70</v>
      </c>
      <c r="D44" s="39">
        <v>18</v>
      </c>
      <c r="E44" s="39">
        <v>4</v>
      </c>
      <c r="F44" s="194">
        <v>43</v>
      </c>
      <c r="G44" s="149">
        <f t="shared" si="0"/>
        <v>226</v>
      </c>
      <c r="H44" s="233">
        <v>0</v>
      </c>
      <c r="I44" s="211">
        <v>0</v>
      </c>
      <c r="J44" s="211">
        <v>0</v>
      </c>
      <c r="K44" s="211">
        <v>0</v>
      </c>
      <c r="L44" s="212">
        <v>0</v>
      </c>
      <c r="M44" s="212">
        <v>0</v>
      </c>
      <c r="N44" s="85">
        <f t="shared" si="1"/>
        <v>226</v>
      </c>
      <c r="O44" s="43">
        <f t="shared" si="2"/>
        <v>358.5</v>
      </c>
    </row>
    <row r="45" spans="1:15" ht="22.5" customHeight="1" x14ac:dyDescent="0.3">
      <c r="A45" s="190" t="s">
        <v>214</v>
      </c>
      <c r="B45" s="44">
        <v>110</v>
      </c>
      <c r="C45" s="39">
        <v>78</v>
      </c>
      <c r="D45" s="39">
        <v>14</v>
      </c>
      <c r="E45" s="39">
        <v>12</v>
      </c>
      <c r="F45" s="194">
        <v>31</v>
      </c>
      <c r="G45" s="149">
        <f t="shared" si="0"/>
        <v>245</v>
      </c>
      <c r="H45" s="233">
        <v>0</v>
      </c>
      <c r="I45" s="211">
        <v>0</v>
      </c>
      <c r="J45" s="211">
        <v>0</v>
      </c>
      <c r="K45" s="211">
        <v>0</v>
      </c>
      <c r="L45" s="212">
        <v>2</v>
      </c>
      <c r="M45" s="212">
        <v>0</v>
      </c>
      <c r="N45" s="85">
        <f t="shared" si="1"/>
        <v>245</v>
      </c>
      <c r="O45" s="43">
        <f t="shared" si="2"/>
        <v>361.5</v>
      </c>
    </row>
    <row r="46" spans="1:15" ht="22.5" customHeight="1" x14ac:dyDescent="0.3">
      <c r="A46" s="190" t="s">
        <v>215</v>
      </c>
      <c r="B46" s="44">
        <v>112</v>
      </c>
      <c r="C46" s="39">
        <v>75</v>
      </c>
      <c r="D46" s="39">
        <v>16</v>
      </c>
      <c r="E46" s="39">
        <v>6</v>
      </c>
      <c r="F46" s="194">
        <v>34</v>
      </c>
      <c r="G46" s="149">
        <f t="shared" si="0"/>
        <v>243</v>
      </c>
      <c r="H46" s="233">
        <v>0</v>
      </c>
      <c r="I46" s="211">
        <v>0</v>
      </c>
      <c r="J46" s="211">
        <v>0</v>
      </c>
      <c r="K46" s="211">
        <v>0</v>
      </c>
      <c r="L46" s="212">
        <v>0</v>
      </c>
      <c r="M46" s="212">
        <v>0</v>
      </c>
      <c r="N46" s="85">
        <f t="shared" si="1"/>
        <v>243</v>
      </c>
      <c r="O46" s="43">
        <f t="shared" si="2"/>
        <v>344.5</v>
      </c>
    </row>
    <row r="47" spans="1:15" ht="22.5" customHeight="1" x14ac:dyDescent="0.3">
      <c r="A47" s="190" t="s">
        <v>216</v>
      </c>
      <c r="B47" s="44">
        <v>108</v>
      </c>
      <c r="C47" s="39">
        <v>94</v>
      </c>
      <c r="D47" s="39">
        <v>16</v>
      </c>
      <c r="E47" s="39">
        <v>14</v>
      </c>
      <c r="F47" s="194">
        <v>32</v>
      </c>
      <c r="G47" s="149">
        <f t="shared" si="0"/>
        <v>264</v>
      </c>
      <c r="H47" s="233">
        <v>0</v>
      </c>
      <c r="I47" s="211">
        <v>0</v>
      </c>
      <c r="J47" s="211">
        <v>0</v>
      </c>
      <c r="K47" s="211">
        <v>0</v>
      </c>
      <c r="L47" s="212">
        <v>0</v>
      </c>
      <c r="M47" s="212">
        <v>0</v>
      </c>
      <c r="N47" s="85">
        <f t="shared" si="1"/>
        <v>264</v>
      </c>
      <c r="O47" s="43">
        <f t="shared" si="2"/>
        <v>365</v>
      </c>
    </row>
    <row r="48" spans="1:15" ht="22.5" customHeight="1" x14ac:dyDescent="0.3">
      <c r="A48" s="190" t="s">
        <v>217</v>
      </c>
      <c r="B48" s="44">
        <v>103</v>
      </c>
      <c r="C48" s="39">
        <v>86</v>
      </c>
      <c r="D48" s="39">
        <v>19</v>
      </c>
      <c r="E48" s="39">
        <v>10</v>
      </c>
      <c r="F48" s="194">
        <v>34</v>
      </c>
      <c r="G48" s="149">
        <f t="shared" si="0"/>
        <v>252</v>
      </c>
      <c r="H48" s="233">
        <v>0</v>
      </c>
      <c r="I48" s="211">
        <v>0</v>
      </c>
      <c r="J48" s="211">
        <v>0</v>
      </c>
      <c r="K48" s="211">
        <v>0</v>
      </c>
      <c r="L48" s="212">
        <v>1</v>
      </c>
      <c r="M48" s="212">
        <v>0</v>
      </c>
      <c r="N48" s="85">
        <f t="shared" si="1"/>
        <v>252</v>
      </c>
      <c r="O48" s="43">
        <f t="shared" si="2"/>
        <v>365.5</v>
      </c>
    </row>
    <row r="49" spans="1:15" ht="22.5" customHeight="1" x14ac:dyDescent="0.3">
      <c r="A49" s="190" t="s">
        <v>218</v>
      </c>
      <c r="B49" s="44">
        <v>95</v>
      </c>
      <c r="C49" s="39">
        <v>109</v>
      </c>
      <c r="D49" s="39">
        <v>22</v>
      </c>
      <c r="E49" s="39">
        <v>10</v>
      </c>
      <c r="F49" s="194">
        <v>33</v>
      </c>
      <c r="G49" s="149">
        <f t="shared" si="0"/>
        <v>269</v>
      </c>
      <c r="H49" s="233">
        <v>0</v>
      </c>
      <c r="I49" s="211">
        <v>0</v>
      </c>
      <c r="J49" s="211">
        <v>0</v>
      </c>
      <c r="K49" s="211">
        <v>0</v>
      </c>
      <c r="L49" s="212">
        <v>0</v>
      </c>
      <c r="M49" s="212">
        <v>0</v>
      </c>
      <c r="N49" s="85">
        <f t="shared" si="1"/>
        <v>269</v>
      </c>
      <c r="O49" s="43">
        <f t="shared" si="2"/>
        <v>361</v>
      </c>
    </row>
    <row r="50" spans="1:15" ht="22.5" customHeight="1" x14ac:dyDescent="0.3">
      <c r="A50" s="190" t="s">
        <v>219</v>
      </c>
      <c r="B50" s="44">
        <v>123</v>
      </c>
      <c r="C50" s="39">
        <v>119</v>
      </c>
      <c r="D50" s="39">
        <v>19</v>
      </c>
      <c r="E50" s="39">
        <v>11</v>
      </c>
      <c r="F50" s="194">
        <v>30</v>
      </c>
      <c r="G50" s="149">
        <f t="shared" si="0"/>
        <v>302</v>
      </c>
      <c r="H50" s="233">
        <v>0</v>
      </c>
      <c r="I50" s="211">
        <v>0</v>
      </c>
      <c r="J50" s="211">
        <v>0</v>
      </c>
      <c r="K50" s="211">
        <v>0</v>
      </c>
      <c r="L50" s="212">
        <v>1</v>
      </c>
      <c r="M50" s="212">
        <v>0</v>
      </c>
      <c r="N50" s="85">
        <f t="shared" si="1"/>
        <v>302</v>
      </c>
      <c r="O50" s="43">
        <f t="shared" si="2"/>
        <v>387</v>
      </c>
    </row>
    <row r="51" spans="1:15" ht="22.5" customHeight="1" x14ac:dyDescent="0.3">
      <c r="A51" s="190" t="s">
        <v>220</v>
      </c>
      <c r="B51" s="44">
        <v>104</v>
      </c>
      <c r="C51" s="39">
        <v>91</v>
      </c>
      <c r="D51" s="39">
        <v>19</v>
      </c>
      <c r="E51" s="39">
        <v>6</v>
      </c>
      <c r="F51" s="194">
        <v>30</v>
      </c>
      <c r="G51" s="149">
        <f t="shared" si="0"/>
        <v>250</v>
      </c>
      <c r="H51" s="233">
        <v>0</v>
      </c>
      <c r="I51" s="211">
        <v>0</v>
      </c>
      <c r="J51" s="211">
        <v>0</v>
      </c>
      <c r="K51" s="211">
        <v>0</v>
      </c>
      <c r="L51" s="212">
        <v>0</v>
      </c>
      <c r="M51" s="212">
        <v>0</v>
      </c>
      <c r="N51" s="85">
        <f t="shared" si="1"/>
        <v>250</v>
      </c>
      <c r="O51" s="43">
        <f t="shared" si="2"/>
        <v>331</v>
      </c>
    </row>
    <row r="52" spans="1:15" ht="22.5" customHeight="1" x14ac:dyDescent="0.3">
      <c r="A52" s="190" t="s">
        <v>221</v>
      </c>
      <c r="B52" s="44">
        <v>84</v>
      </c>
      <c r="C52" s="39">
        <v>76</v>
      </c>
      <c r="D52" s="39">
        <v>22</v>
      </c>
      <c r="E52" s="39">
        <v>7</v>
      </c>
      <c r="F52" s="194">
        <v>26</v>
      </c>
      <c r="G52" s="149">
        <f t="shared" si="0"/>
        <v>215</v>
      </c>
      <c r="H52" s="233">
        <v>1</v>
      </c>
      <c r="I52" s="211">
        <v>0</v>
      </c>
      <c r="J52" s="211">
        <v>0</v>
      </c>
      <c r="K52" s="211">
        <v>0</v>
      </c>
      <c r="L52" s="212">
        <v>0</v>
      </c>
      <c r="M52" s="212">
        <v>0</v>
      </c>
      <c r="N52" s="85">
        <f t="shared" si="1"/>
        <v>215</v>
      </c>
      <c r="O52" s="43">
        <f t="shared" si="2"/>
        <v>293.5</v>
      </c>
    </row>
    <row r="53" spans="1:15" ht="22.5" customHeight="1" x14ac:dyDescent="0.3">
      <c r="A53" s="190" t="s">
        <v>222</v>
      </c>
      <c r="B53" s="44">
        <v>96</v>
      </c>
      <c r="C53" s="39">
        <v>82</v>
      </c>
      <c r="D53" s="39">
        <v>23</v>
      </c>
      <c r="E53" s="39">
        <v>8</v>
      </c>
      <c r="F53" s="194">
        <v>30</v>
      </c>
      <c r="G53" s="149">
        <f t="shared" si="0"/>
        <v>239</v>
      </c>
      <c r="H53" s="233">
        <v>0</v>
      </c>
      <c r="I53" s="211">
        <v>0</v>
      </c>
      <c r="J53" s="211">
        <v>0</v>
      </c>
      <c r="K53" s="211">
        <v>0</v>
      </c>
      <c r="L53" s="212">
        <v>0</v>
      </c>
      <c r="M53" s="212">
        <v>0</v>
      </c>
      <c r="N53" s="85">
        <f t="shared" si="1"/>
        <v>239</v>
      </c>
      <c r="O53" s="43">
        <f t="shared" si="2"/>
        <v>330.5</v>
      </c>
    </row>
    <row r="54" spans="1:15" ht="22.5" customHeight="1" x14ac:dyDescent="0.3">
      <c r="A54" s="190" t="s">
        <v>223</v>
      </c>
      <c r="B54" s="44">
        <v>111</v>
      </c>
      <c r="C54" s="39">
        <v>63</v>
      </c>
      <c r="D54" s="39">
        <v>21</v>
      </c>
      <c r="E54" s="39">
        <v>10</v>
      </c>
      <c r="F54" s="194">
        <v>49</v>
      </c>
      <c r="G54" s="149">
        <f t="shared" si="0"/>
        <v>254</v>
      </c>
      <c r="H54" s="233">
        <v>0</v>
      </c>
      <c r="I54" s="211">
        <v>0</v>
      </c>
      <c r="J54" s="211">
        <v>0</v>
      </c>
      <c r="K54" s="211">
        <v>0</v>
      </c>
      <c r="L54" s="212">
        <v>0</v>
      </c>
      <c r="M54" s="212">
        <v>0</v>
      </c>
      <c r="N54" s="85">
        <f t="shared" si="1"/>
        <v>254</v>
      </c>
      <c r="O54" s="43">
        <f t="shared" si="2"/>
        <v>424.5</v>
      </c>
    </row>
    <row r="55" spans="1:15" ht="22.5" customHeight="1" x14ac:dyDescent="0.3">
      <c r="A55" s="190" t="s">
        <v>224</v>
      </c>
      <c r="B55" s="44">
        <v>84</v>
      </c>
      <c r="C55" s="39">
        <v>72</v>
      </c>
      <c r="D55" s="39">
        <v>21</v>
      </c>
      <c r="E55" s="39">
        <v>7</v>
      </c>
      <c r="F55" s="194">
        <v>31</v>
      </c>
      <c r="G55" s="149">
        <f t="shared" si="0"/>
        <v>215</v>
      </c>
      <c r="H55" s="233">
        <v>0</v>
      </c>
      <c r="I55" s="211">
        <v>0</v>
      </c>
      <c r="J55" s="211">
        <v>0</v>
      </c>
      <c r="K55" s="211">
        <v>0</v>
      </c>
      <c r="L55" s="212">
        <v>0</v>
      </c>
      <c r="M55" s="212">
        <v>0</v>
      </c>
      <c r="N55" s="85">
        <f t="shared" si="1"/>
        <v>215</v>
      </c>
      <c r="O55" s="43">
        <f t="shared" si="2"/>
        <v>312</v>
      </c>
    </row>
    <row r="56" spans="1:15" ht="22.5" customHeight="1" x14ac:dyDescent="0.3">
      <c r="A56" s="190" t="s">
        <v>225</v>
      </c>
      <c r="B56" s="44">
        <v>71</v>
      </c>
      <c r="C56" s="39">
        <v>83</v>
      </c>
      <c r="D56" s="39">
        <v>14</v>
      </c>
      <c r="E56" s="39">
        <v>6</v>
      </c>
      <c r="F56" s="194">
        <v>20</v>
      </c>
      <c r="G56" s="149">
        <f t="shared" si="0"/>
        <v>194</v>
      </c>
      <c r="H56" s="233">
        <v>0</v>
      </c>
      <c r="I56" s="211">
        <v>0</v>
      </c>
      <c r="J56" s="211">
        <v>0</v>
      </c>
      <c r="K56" s="211">
        <v>0</v>
      </c>
      <c r="L56" s="212">
        <v>0</v>
      </c>
      <c r="M56" s="212">
        <v>0</v>
      </c>
      <c r="N56" s="85">
        <f t="shared" si="1"/>
        <v>194</v>
      </c>
      <c r="O56" s="43">
        <f t="shared" si="2"/>
        <v>241.5</v>
      </c>
    </row>
    <row r="57" spans="1:15" ht="22.5" customHeight="1" x14ac:dyDescent="0.3">
      <c r="A57" s="190" t="s">
        <v>226</v>
      </c>
      <c r="B57" s="44">
        <v>74</v>
      </c>
      <c r="C57" s="39">
        <v>63</v>
      </c>
      <c r="D57" s="39">
        <v>11</v>
      </c>
      <c r="E57" s="39">
        <v>6</v>
      </c>
      <c r="F57" s="194">
        <v>31</v>
      </c>
      <c r="G57" s="149">
        <f t="shared" si="0"/>
        <v>185</v>
      </c>
      <c r="H57" s="233">
        <v>0</v>
      </c>
      <c r="I57" s="211">
        <v>0</v>
      </c>
      <c r="J57" s="211">
        <v>0</v>
      </c>
      <c r="K57" s="211">
        <v>0</v>
      </c>
      <c r="L57" s="212">
        <v>0</v>
      </c>
      <c r="M57" s="212">
        <v>0</v>
      </c>
      <c r="N57" s="85">
        <f t="shared" si="1"/>
        <v>185</v>
      </c>
      <c r="O57" s="43">
        <f t="shared" si="2"/>
        <v>279.5</v>
      </c>
    </row>
    <row r="58" spans="1:15" ht="22.5" customHeight="1" x14ac:dyDescent="0.3">
      <c r="A58" s="190" t="s">
        <v>227</v>
      </c>
      <c r="B58" s="44">
        <v>83</v>
      </c>
      <c r="C58" s="39">
        <v>57</v>
      </c>
      <c r="D58" s="39">
        <v>11</v>
      </c>
      <c r="E58" s="39">
        <v>7</v>
      </c>
      <c r="F58" s="194">
        <v>43</v>
      </c>
      <c r="G58" s="149">
        <f t="shared" si="0"/>
        <v>201</v>
      </c>
      <c r="H58" s="233">
        <v>0</v>
      </c>
      <c r="I58" s="211">
        <v>0</v>
      </c>
      <c r="J58" s="211">
        <v>0</v>
      </c>
      <c r="K58" s="211">
        <v>0</v>
      </c>
      <c r="L58" s="212">
        <v>0</v>
      </c>
      <c r="M58" s="212">
        <v>0</v>
      </c>
      <c r="N58" s="85">
        <f t="shared" si="1"/>
        <v>201</v>
      </c>
      <c r="O58" s="43">
        <f t="shared" si="2"/>
        <v>342.5</v>
      </c>
    </row>
    <row r="59" spans="1:15" ht="22.5" customHeight="1" x14ac:dyDescent="0.3">
      <c r="A59" s="190" t="s">
        <v>228</v>
      </c>
      <c r="B59" s="44">
        <v>75</v>
      </c>
      <c r="C59" s="39">
        <v>32</v>
      </c>
      <c r="D59" s="39">
        <v>12</v>
      </c>
      <c r="E59" s="39">
        <v>7</v>
      </c>
      <c r="F59" s="194">
        <v>47</v>
      </c>
      <c r="G59" s="149">
        <f t="shared" si="0"/>
        <v>173</v>
      </c>
      <c r="H59" s="233">
        <v>0</v>
      </c>
      <c r="I59" s="211">
        <v>0</v>
      </c>
      <c r="J59" s="211">
        <v>0</v>
      </c>
      <c r="K59" s="211">
        <v>0</v>
      </c>
      <c r="L59" s="212">
        <v>0</v>
      </c>
      <c r="M59" s="212">
        <v>0</v>
      </c>
      <c r="N59" s="85">
        <f t="shared" si="1"/>
        <v>173</v>
      </c>
      <c r="O59" s="43">
        <f t="shared" si="2"/>
        <v>341.5</v>
      </c>
    </row>
    <row r="60" spans="1:15" ht="22.5" customHeight="1" x14ac:dyDescent="0.3">
      <c r="A60" s="190" t="s">
        <v>229</v>
      </c>
      <c r="B60" s="44">
        <v>77</v>
      </c>
      <c r="C60" s="39">
        <v>48</v>
      </c>
      <c r="D60" s="39">
        <v>10</v>
      </c>
      <c r="E60" s="39">
        <v>7</v>
      </c>
      <c r="F60" s="194">
        <v>44</v>
      </c>
      <c r="G60" s="149">
        <f t="shared" si="0"/>
        <v>186</v>
      </c>
      <c r="H60" s="233">
        <v>0</v>
      </c>
      <c r="I60" s="211">
        <v>0</v>
      </c>
      <c r="J60" s="211">
        <v>0</v>
      </c>
      <c r="K60" s="211">
        <v>0</v>
      </c>
      <c r="L60" s="212">
        <v>0</v>
      </c>
      <c r="M60" s="212">
        <v>0</v>
      </c>
      <c r="N60" s="85">
        <f t="shared" si="1"/>
        <v>186</v>
      </c>
      <c r="O60" s="43">
        <f t="shared" si="2"/>
        <v>335</v>
      </c>
    </row>
    <row r="61" spans="1:15" ht="22.5" customHeight="1" x14ac:dyDescent="0.3">
      <c r="A61" s="190" t="s">
        <v>230</v>
      </c>
      <c r="B61" s="44">
        <v>74</v>
      </c>
      <c r="C61" s="39">
        <v>32</v>
      </c>
      <c r="D61" s="39">
        <v>13</v>
      </c>
      <c r="E61" s="39">
        <v>8</v>
      </c>
      <c r="F61" s="194">
        <v>42</v>
      </c>
      <c r="G61" s="149">
        <f t="shared" si="0"/>
        <v>169</v>
      </c>
      <c r="H61" s="233">
        <v>0</v>
      </c>
      <c r="I61" s="211">
        <v>0</v>
      </c>
      <c r="J61" s="211">
        <v>0</v>
      </c>
      <c r="K61" s="211">
        <v>0</v>
      </c>
      <c r="L61" s="212">
        <v>0</v>
      </c>
      <c r="M61" s="212">
        <v>0</v>
      </c>
      <c r="N61" s="85">
        <f t="shared" si="1"/>
        <v>169</v>
      </c>
      <c r="O61" s="43">
        <f t="shared" si="2"/>
        <v>322.5</v>
      </c>
    </row>
    <row r="62" spans="1:15" ht="22.5" customHeight="1" x14ac:dyDescent="0.3">
      <c r="A62" s="190" t="s">
        <v>231</v>
      </c>
      <c r="B62" s="44">
        <v>52</v>
      </c>
      <c r="C62" s="39">
        <v>31</v>
      </c>
      <c r="D62" s="39">
        <v>3</v>
      </c>
      <c r="E62" s="39">
        <v>8</v>
      </c>
      <c r="F62" s="194">
        <v>43</v>
      </c>
      <c r="G62" s="149">
        <f t="shared" si="0"/>
        <v>137</v>
      </c>
      <c r="H62" s="233">
        <v>0</v>
      </c>
      <c r="I62" s="211">
        <v>0</v>
      </c>
      <c r="J62" s="211">
        <v>0</v>
      </c>
      <c r="K62" s="211">
        <v>0</v>
      </c>
      <c r="L62" s="212">
        <v>0</v>
      </c>
      <c r="M62" s="212">
        <v>0</v>
      </c>
      <c r="N62" s="85">
        <f t="shared" si="1"/>
        <v>137</v>
      </c>
      <c r="O62" s="43">
        <f t="shared" si="2"/>
        <v>289.5</v>
      </c>
    </row>
    <row r="63" spans="1:15" ht="22.5" customHeight="1" x14ac:dyDescent="0.3">
      <c r="A63" s="190" t="s">
        <v>232</v>
      </c>
      <c r="B63" s="44">
        <v>42</v>
      </c>
      <c r="C63" s="39">
        <v>18</v>
      </c>
      <c r="D63" s="39">
        <v>4</v>
      </c>
      <c r="E63" s="39">
        <v>7</v>
      </c>
      <c r="F63" s="194">
        <v>32</v>
      </c>
      <c r="G63" s="149">
        <f t="shared" si="0"/>
        <v>103</v>
      </c>
      <c r="H63" s="233">
        <v>0</v>
      </c>
      <c r="I63" s="211">
        <v>0</v>
      </c>
      <c r="J63" s="211">
        <v>0</v>
      </c>
      <c r="K63" s="211">
        <v>0</v>
      </c>
      <c r="L63" s="212">
        <v>0</v>
      </c>
      <c r="M63" s="212">
        <v>0</v>
      </c>
      <c r="N63" s="85">
        <f t="shared" si="1"/>
        <v>103</v>
      </c>
      <c r="O63" s="43">
        <f t="shared" si="2"/>
        <v>222</v>
      </c>
    </row>
    <row r="64" spans="1:15" ht="22.5" customHeight="1" x14ac:dyDescent="0.3">
      <c r="A64" s="190" t="s">
        <v>233</v>
      </c>
      <c r="B64" s="44">
        <v>45</v>
      </c>
      <c r="C64" s="39">
        <v>20</v>
      </c>
      <c r="D64" s="39">
        <v>7</v>
      </c>
      <c r="E64" s="39">
        <v>5</v>
      </c>
      <c r="F64" s="194">
        <v>31</v>
      </c>
      <c r="G64" s="149">
        <f t="shared" si="0"/>
        <v>108</v>
      </c>
      <c r="H64" s="233">
        <v>0</v>
      </c>
      <c r="I64" s="211">
        <v>0</v>
      </c>
      <c r="J64" s="211">
        <v>0</v>
      </c>
      <c r="K64" s="211">
        <v>0</v>
      </c>
      <c r="L64" s="212">
        <v>0</v>
      </c>
      <c r="M64" s="212">
        <v>0</v>
      </c>
      <c r="N64" s="85">
        <f t="shared" si="1"/>
        <v>108</v>
      </c>
      <c r="O64" s="43">
        <f t="shared" si="2"/>
        <v>220</v>
      </c>
    </row>
    <row r="65" spans="1:15" ht="22.5" customHeight="1" x14ac:dyDescent="0.3">
      <c r="A65" s="190" t="s">
        <v>234</v>
      </c>
      <c r="B65" s="44">
        <v>32</v>
      </c>
      <c r="C65" s="39">
        <v>17</v>
      </c>
      <c r="D65" s="39">
        <v>8</v>
      </c>
      <c r="E65" s="39">
        <v>8</v>
      </c>
      <c r="F65" s="194">
        <v>46</v>
      </c>
      <c r="G65" s="149">
        <f t="shared" si="0"/>
        <v>111</v>
      </c>
      <c r="H65" s="233">
        <v>0</v>
      </c>
      <c r="I65" s="211">
        <v>0</v>
      </c>
      <c r="J65" s="211">
        <v>0</v>
      </c>
      <c r="K65" s="211">
        <v>0</v>
      </c>
      <c r="L65" s="212">
        <v>0</v>
      </c>
      <c r="M65" s="212">
        <v>0</v>
      </c>
      <c r="N65" s="85">
        <f t="shared" si="1"/>
        <v>111</v>
      </c>
      <c r="O65" s="43">
        <f t="shared" si="2"/>
        <v>283.5</v>
      </c>
    </row>
    <row r="66" spans="1:15" ht="22.5" customHeight="1" x14ac:dyDescent="0.3">
      <c r="A66" s="190" t="s">
        <v>235</v>
      </c>
      <c r="B66" s="44">
        <v>23</v>
      </c>
      <c r="C66" s="39">
        <v>13</v>
      </c>
      <c r="D66" s="39">
        <v>5</v>
      </c>
      <c r="E66" s="39">
        <v>6</v>
      </c>
      <c r="F66" s="194">
        <v>51</v>
      </c>
      <c r="G66" s="149">
        <f t="shared" si="0"/>
        <v>98</v>
      </c>
      <c r="H66" s="233">
        <v>0</v>
      </c>
      <c r="I66" s="211">
        <v>0</v>
      </c>
      <c r="J66" s="211">
        <v>0</v>
      </c>
      <c r="K66" s="211">
        <v>0</v>
      </c>
      <c r="L66" s="212">
        <v>0</v>
      </c>
      <c r="M66" s="212">
        <v>0</v>
      </c>
      <c r="N66" s="85">
        <f t="shared" si="1"/>
        <v>98</v>
      </c>
      <c r="O66" s="43">
        <f t="shared" si="2"/>
        <v>284.5</v>
      </c>
    </row>
    <row r="67" spans="1:15" ht="22.5" customHeight="1" x14ac:dyDescent="0.3">
      <c r="A67" s="190" t="s">
        <v>236</v>
      </c>
      <c r="B67" s="44">
        <v>21</v>
      </c>
      <c r="C67" s="39">
        <v>4</v>
      </c>
      <c r="D67" s="39">
        <v>7</v>
      </c>
      <c r="E67" s="39">
        <v>4</v>
      </c>
      <c r="F67" s="194">
        <v>33</v>
      </c>
      <c r="G67" s="149">
        <f t="shared" si="0"/>
        <v>69</v>
      </c>
      <c r="H67" s="233">
        <v>0</v>
      </c>
      <c r="I67" s="211">
        <v>0</v>
      </c>
      <c r="J67" s="211">
        <v>0</v>
      </c>
      <c r="K67" s="211">
        <v>0</v>
      </c>
      <c r="L67" s="212">
        <v>0</v>
      </c>
      <c r="M67" s="212">
        <v>0</v>
      </c>
      <c r="N67" s="85">
        <f t="shared" si="1"/>
        <v>69</v>
      </c>
      <c r="O67" s="43">
        <f t="shared" si="2"/>
        <v>194</v>
      </c>
    </row>
    <row r="68" spans="1:15" ht="22.5" customHeight="1" x14ac:dyDescent="0.3">
      <c r="A68" s="190" t="s">
        <v>237</v>
      </c>
      <c r="B68" s="44">
        <v>24</v>
      </c>
      <c r="C68" s="39">
        <v>1</v>
      </c>
      <c r="D68" s="39">
        <v>11</v>
      </c>
      <c r="E68" s="39">
        <v>16</v>
      </c>
      <c r="F68" s="194">
        <v>30</v>
      </c>
      <c r="G68" s="149">
        <f t="shared" si="0"/>
        <v>82</v>
      </c>
      <c r="H68" s="233">
        <v>0</v>
      </c>
      <c r="I68" s="211">
        <v>0</v>
      </c>
      <c r="J68" s="211">
        <v>0</v>
      </c>
      <c r="K68" s="211">
        <v>0</v>
      </c>
      <c r="L68" s="212">
        <v>0</v>
      </c>
      <c r="M68" s="212">
        <v>0</v>
      </c>
      <c r="N68" s="85">
        <f t="shared" si="1"/>
        <v>82</v>
      </c>
      <c r="O68" s="43">
        <f t="shared" si="2"/>
        <v>224</v>
      </c>
    </row>
    <row r="69" spans="1:15" ht="22.5" customHeight="1" x14ac:dyDescent="0.3">
      <c r="A69" s="190" t="s">
        <v>238</v>
      </c>
      <c r="B69" s="44">
        <v>18</v>
      </c>
      <c r="C69" s="39">
        <v>2</v>
      </c>
      <c r="D69" s="39">
        <v>5</v>
      </c>
      <c r="E69" s="39">
        <v>15</v>
      </c>
      <c r="F69" s="194">
        <v>31</v>
      </c>
      <c r="G69" s="149">
        <f t="shared" si="0"/>
        <v>71</v>
      </c>
      <c r="H69" s="233">
        <v>0</v>
      </c>
      <c r="I69" s="211">
        <v>0</v>
      </c>
      <c r="J69" s="211">
        <v>0</v>
      </c>
      <c r="K69" s="211">
        <v>0</v>
      </c>
      <c r="L69" s="212">
        <v>0</v>
      </c>
      <c r="M69" s="212">
        <v>0</v>
      </c>
      <c r="N69" s="85">
        <f t="shared" si="1"/>
        <v>71</v>
      </c>
      <c r="O69" s="43">
        <f t="shared" si="2"/>
        <v>211</v>
      </c>
    </row>
    <row r="70" spans="1:15" ht="22.5" customHeight="1" x14ac:dyDescent="0.3">
      <c r="A70" s="190" t="s">
        <v>239</v>
      </c>
      <c r="B70" s="44">
        <v>18</v>
      </c>
      <c r="C70" s="39">
        <v>7</v>
      </c>
      <c r="D70" s="39">
        <v>6</v>
      </c>
      <c r="E70" s="39">
        <v>17</v>
      </c>
      <c r="F70" s="194">
        <v>44</v>
      </c>
      <c r="G70" s="149">
        <f t="shared" si="0"/>
        <v>92</v>
      </c>
      <c r="H70" s="233">
        <v>0</v>
      </c>
      <c r="I70" s="211">
        <v>0</v>
      </c>
      <c r="J70" s="211">
        <v>0</v>
      </c>
      <c r="K70" s="211">
        <v>0</v>
      </c>
      <c r="L70" s="212">
        <v>0</v>
      </c>
      <c r="M70" s="212">
        <v>0</v>
      </c>
      <c r="N70" s="85">
        <f t="shared" si="1"/>
        <v>92</v>
      </c>
      <c r="O70" s="43">
        <f t="shared" si="2"/>
        <v>279.5</v>
      </c>
    </row>
    <row r="71" spans="1:15" ht="22.5" customHeight="1" x14ac:dyDescent="0.3">
      <c r="A71" s="190" t="s">
        <v>240</v>
      </c>
      <c r="B71" s="44">
        <v>11</v>
      </c>
      <c r="C71" s="39">
        <v>2</v>
      </c>
      <c r="D71" s="39">
        <v>3</v>
      </c>
      <c r="E71" s="39">
        <v>16</v>
      </c>
      <c r="F71" s="194">
        <v>42</v>
      </c>
      <c r="G71" s="149">
        <f t="shared" si="0"/>
        <v>74</v>
      </c>
      <c r="H71" s="233">
        <v>0</v>
      </c>
      <c r="I71" s="211">
        <v>0</v>
      </c>
      <c r="J71" s="211">
        <v>0</v>
      </c>
      <c r="K71" s="211">
        <v>0</v>
      </c>
      <c r="L71" s="212">
        <v>0</v>
      </c>
      <c r="M71" s="212">
        <v>0</v>
      </c>
      <c r="N71" s="85">
        <f t="shared" si="1"/>
        <v>74</v>
      </c>
      <c r="O71" s="43">
        <f t="shared" si="2"/>
        <v>253.5</v>
      </c>
    </row>
    <row r="72" spans="1:15" ht="22.5" customHeight="1" x14ac:dyDescent="0.3">
      <c r="A72" s="190" t="s">
        <v>153</v>
      </c>
      <c r="B72" s="44">
        <v>16</v>
      </c>
      <c r="C72" s="39">
        <v>0</v>
      </c>
      <c r="D72" s="39">
        <v>23</v>
      </c>
      <c r="E72" s="39">
        <v>3</v>
      </c>
      <c r="F72" s="194">
        <v>25</v>
      </c>
      <c r="G72" s="149">
        <f t="shared" ref="G72:G103" si="3">SUM(B72:F72)</f>
        <v>67</v>
      </c>
      <c r="H72" s="233">
        <v>0</v>
      </c>
      <c r="I72" s="211">
        <v>0</v>
      </c>
      <c r="J72" s="211">
        <v>0</v>
      </c>
      <c r="K72" s="211">
        <v>0</v>
      </c>
      <c r="L72" s="212">
        <v>0</v>
      </c>
      <c r="M72" s="212">
        <v>0</v>
      </c>
      <c r="N72" s="85">
        <f t="shared" si="1"/>
        <v>67</v>
      </c>
      <c r="O72" s="43">
        <f t="shared" si="2"/>
        <v>172</v>
      </c>
    </row>
    <row r="73" spans="1:15" ht="22.5" customHeight="1" x14ac:dyDescent="0.3">
      <c r="A73" s="190" t="s">
        <v>154</v>
      </c>
      <c r="B73" s="44">
        <v>17</v>
      </c>
      <c r="C73" s="39">
        <v>3</v>
      </c>
      <c r="D73" s="39">
        <v>10</v>
      </c>
      <c r="E73" s="39">
        <v>3</v>
      </c>
      <c r="F73" s="194">
        <v>21</v>
      </c>
      <c r="G73" s="149">
        <f t="shared" si="3"/>
        <v>54</v>
      </c>
      <c r="H73" s="233">
        <v>0</v>
      </c>
      <c r="I73" s="211">
        <v>0</v>
      </c>
      <c r="J73" s="211">
        <v>0</v>
      </c>
      <c r="K73" s="211">
        <v>0</v>
      </c>
      <c r="L73" s="212">
        <v>0</v>
      </c>
      <c r="M73" s="212">
        <v>0</v>
      </c>
      <c r="N73" s="85">
        <f t="shared" ref="N73:N103" si="4">G73+M73</f>
        <v>54</v>
      </c>
      <c r="O73" s="43">
        <f t="shared" ref="O73:O103" si="5">B73*1+C73*0.5+D73*1.5+E73*3+F73*4.5+H73*0.5+I73*1.5+J73*3+K73*4+L73*8</f>
        <v>137</v>
      </c>
    </row>
    <row r="74" spans="1:15" ht="22.5" customHeight="1" x14ac:dyDescent="0.3">
      <c r="A74" s="190" t="s">
        <v>155</v>
      </c>
      <c r="B74" s="44">
        <v>15</v>
      </c>
      <c r="C74" s="39">
        <v>2</v>
      </c>
      <c r="D74" s="39">
        <v>15</v>
      </c>
      <c r="E74" s="39">
        <v>11</v>
      </c>
      <c r="F74" s="194">
        <v>27</v>
      </c>
      <c r="G74" s="149">
        <f t="shared" si="3"/>
        <v>70</v>
      </c>
      <c r="H74" s="233">
        <v>0</v>
      </c>
      <c r="I74" s="211">
        <v>0</v>
      </c>
      <c r="J74" s="211">
        <v>0</v>
      </c>
      <c r="K74" s="211">
        <v>0</v>
      </c>
      <c r="L74" s="212">
        <v>0</v>
      </c>
      <c r="M74" s="212">
        <v>0</v>
      </c>
      <c r="N74" s="85">
        <f t="shared" si="4"/>
        <v>70</v>
      </c>
      <c r="O74" s="43">
        <f t="shared" si="5"/>
        <v>193</v>
      </c>
    </row>
    <row r="75" spans="1:15" ht="22.5" customHeight="1" x14ac:dyDescent="0.3">
      <c r="A75" s="190" t="s">
        <v>156</v>
      </c>
      <c r="B75" s="44">
        <v>16</v>
      </c>
      <c r="C75" s="39">
        <v>0</v>
      </c>
      <c r="D75" s="39">
        <v>10</v>
      </c>
      <c r="E75" s="39">
        <v>16</v>
      </c>
      <c r="F75" s="194">
        <v>21</v>
      </c>
      <c r="G75" s="149">
        <f t="shared" si="3"/>
        <v>63</v>
      </c>
      <c r="H75" s="233">
        <v>0</v>
      </c>
      <c r="I75" s="211">
        <v>0</v>
      </c>
      <c r="J75" s="211">
        <v>0</v>
      </c>
      <c r="K75" s="211">
        <v>0</v>
      </c>
      <c r="L75" s="212">
        <v>0</v>
      </c>
      <c r="M75" s="212">
        <v>0</v>
      </c>
      <c r="N75" s="85">
        <f t="shared" si="4"/>
        <v>63</v>
      </c>
      <c r="O75" s="43">
        <f t="shared" si="5"/>
        <v>173.5</v>
      </c>
    </row>
    <row r="76" spans="1:15" ht="22.5" customHeight="1" x14ac:dyDescent="0.3">
      <c r="A76" s="190" t="s">
        <v>157</v>
      </c>
      <c r="B76" s="44">
        <v>17</v>
      </c>
      <c r="C76" s="39">
        <v>2</v>
      </c>
      <c r="D76" s="39">
        <v>14</v>
      </c>
      <c r="E76" s="39">
        <v>5</v>
      </c>
      <c r="F76" s="194">
        <v>13</v>
      </c>
      <c r="G76" s="149">
        <f t="shared" si="3"/>
        <v>51</v>
      </c>
      <c r="H76" s="233">
        <v>0</v>
      </c>
      <c r="I76" s="211">
        <v>0</v>
      </c>
      <c r="J76" s="211">
        <v>0</v>
      </c>
      <c r="K76" s="211">
        <v>0</v>
      </c>
      <c r="L76" s="212">
        <v>0</v>
      </c>
      <c r="M76" s="212">
        <v>0</v>
      </c>
      <c r="N76" s="85">
        <f t="shared" si="4"/>
        <v>51</v>
      </c>
      <c r="O76" s="43">
        <f t="shared" si="5"/>
        <v>112.5</v>
      </c>
    </row>
    <row r="77" spans="1:15" ht="22.5" customHeight="1" x14ac:dyDescent="0.3">
      <c r="A77" s="190" t="s">
        <v>158</v>
      </c>
      <c r="B77" s="44">
        <v>12</v>
      </c>
      <c r="C77" s="39">
        <v>2</v>
      </c>
      <c r="D77" s="39">
        <v>8</v>
      </c>
      <c r="E77" s="39">
        <v>11</v>
      </c>
      <c r="F77" s="194">
        <v>11</v>
      </c>
      <c r="G77" s="149">
        <f t="shared" si="3"/>
        <v>44</v>
      </c>
      <c r="H77" s="233">
        <v>0</v>
      </c>
      <c r="I77" s="211">
        <v>0</v>
      </c>
      <c r="J77" s="211">
        <v>0</v>
      </c>
      <c r="K77" s="211">
        <v>0</v>
      </c>
      <c r="L77" s="212">
        <v>0</v>
      </c>
      <c r="M77" s="212">
        <v>0</v>
      </c>
      <c r="N77" s="85">
        <f t="shared" si="4"/>
        <v>44</v>
      </c>
      <c r="O77" s="43">
        <f t="shared" si="5"/>
        <v>107.5</v>
      </c>
    </row>
    <row r="78" spans="1:15" ht="22.5" customHeight="1" x14ac:dyDescent="0.3">
      <c r="A78" s="190" t="s">
        <v>159</v>
      </c>
      <c r="B78" s="44">
        <v>11</v>
      </c>
      <c r="C78" s="39">
        <v>2</v>
      </c>
      <c r="D78" s="39">
        <v>4</v>
      </c>
      <c r="E78" s="39">
        <v>12</v>
      </c>
      <c r="F78" s="194">
        <v>10</v>
      </c>
      <c r="G78" s="149">
        <f t="shared" si="3"/>
        <v>39</v>
      </c>
      <c r="H78" s="233">
        <v>0</v>
      </c>
      <c r="I78" s="211">
        <v>0</v>
      </c>
      <c r="J78" s="211">
        <v>0</v>
      </c>
      <c r="K78" s="211">
        <v>0</v>
      </c>
      <c r="L78" s="212">
        <v>0</v>
      </c>
      <c r="M78" s="212">
        <v>0</v>
      </c>
      <c r="N78" s="85">
        <f t="shared" si="4"/>
        <v>39</v>
      </c>
      <c r="O78" s="43">
        <f t="shared" si="5"/>
        <v>99</v>
      </c>
    </row>
    <row r="79" spans="1:15" ht="22.5" customHeight="1" x14ac:dyDescent="0.3">
      <c r="A79" s="190" t="s">
        <v>160</v>
      </c>
      <c r="B79" s="44">
        <v>7</v>
      </c>
      <c r="C79" s="39">
        <v>2</v>
      </c>
      <c r="D79" s="39">
        <v>5</v>
      </c>
      <c r="E79" s="39">
        <v>8</v>
      </c>
      <c r="F79" s="194">
        <v>9</v>
      </c>
      <c r="G79" s="149">
        <f t="shared" si="3"/>
        <v>31</v>
      </c>
      <c r="H79" s="233">
        <v>0</v>
      </c>
      <c r="I79" s="211">
        <v>0</v>
      </c>
      <c r="J79" s="211">
        <v>0</v>
      </c>
      <c r="K79" s="211">
        <v>0</v>
      </c>
      <c r="L79" s="212">
        <v>0</v>
      </c>
      <c r="M79" s="212">
        <v>0</v>
      </c>
      <c r="N79" s="85">
        <f t="shared" si="4"/>
        <v>31</v>
      </c>
      <c r="O79" s="43">
        <f t="shared" si="5"/>
        <v>80</v>
      </c>
    </row>
    <row r="80" spans="1:15" ht="22.5" customHeight="1" x14ac:dyDescent="0.3">
      <c r="A80" s="190" t="s">
        <v>161</v>
      </c>
      <c r="B80" s="44">
        <v>11</v>
      </c>
      <c r="C80" s="39">
        <v>0</v>
      </c>
      <c r="D80" s="39">
        <v>10</v>
      </c>
      <c r="E80" s="39">
        <v>6</v>
      </c>
      <c r="F80" s="194">
        <v>16</v>
      </c>
      <c r="G80" s="149">
        <f t="shared" si="3"/>
        <v>43</v>
      </c>
      <c r="H80" s="233">
        <v>0</v>
      </c>
      <c r="I80" s="211">
        <v>0</v>
      </c>
      <c r="J80" s="211">
        <v>0</v>
      </c>
      <c r="K80" s="211">
        <v>0</v>
      </c>
      <c r="L80" s="212">
        <v>0</v>
      </c>
      <c r="M80" s="212">
        <v>0</v>
      </c>
      <c r="N80" s="85">
        <f t="shared" si="4"/>
        <v>43</v>
      </c>
      <c r="O80" s="43">
        <f t="shared" si="5"/>
        <v>116</v>
      </c>
    </row>
    <row r="81" spans="1:15" ht="22.5" customHeight="1" x14ac:dyDescent="0.3">
      <c r="A81" s="190" t="s">
        <v>162</v>
      </c>
      <c r="B81" s="44">
        <v>7</v>
      </c>
      <c r="C81" s="39">
        <v>0</v>
      </c>
      <c r="D81" s="39">
        <v>8</v>
      </c>
      <c r="E81" s="39">
        <v>3</v>
      </c>
      <c r="F81" s="194">
        <v>8</v>
      </c>
      <c r="G81" s="149">
        <f t="shared" si="3"/>
        <v>26</v>
      </c>
      <c r="H81" s="233">
        <v>0</v>
      </c>
      <c r="I81" s="211">
        <v>0</v>
      </c>
      <c r="J81" s="211">
        <v>0</v>
      </c>
      <c r="K81" s="211">
        <v>0</v>
      </c>
      <c r="L81" s="212">
        <v>0</v>
      </c>
      <c r="M81" s="212">
        <v>0</v>
      </c>
      <c r="N81" s="85">
        <f t="shared" si="4"/>
        <v>26</v>
      </c>
      <c r="O81" s="43">
        <f t="shared" si="5"/>
        <v>64</v>
      </c>
    </row>
    <row r="82" spans="1:15" ht="22.5" customHeight="1" x14ac:dyDescent="0.3">
      <c r="A82" s="190" t="s">
        <v>163</v>
      </c>
      <c r="B82" s="44">
        <v>8</v>
      </c>
      <c r="C82" s="39">
        <v>2</v>
      </c>
      <c r="D82" s="39">
        <v>13</v>
      </c>
      <c r="E82" s="39">
        <v>4</v>
      </c>
      <c r="F82" s="194">
        <v>9</v>
      </c>
      <c r="G82" s="149">
        <f t="shared" si="3"/>
        <v>36</v>
      </c>
      <c r="H82" s="233">
        <v>0</v>
      </c>
      <c r="I82" s="211">
        <v>0</v>
      </c>
      <c r="J82" s="211">
        <v>0</v>
      </c>
      <c r="K82" s="211">
        <v>0</v>
      </c>
      <c r="L82" s="212">
        <v>0</v>
      </c>
      <c r="M82" s="212">
        <v>0</v>
      </c>
      <c r="N82" s="85">
        <f t="shared" si="4"/>
        <v>36</v>
      </c>
      <c r="O82" s="43">
        <f t="shared" si="5"/>
        <v>81</v>
      </c>
    </row>
    <row r="83" spans="1:15" ht="22.5" customHeight="1" x14ac:dyDescent="0.3">
      <c r="A83" s="190" t="s">
        <v>164</v>
      </c>
      <c r="B83" s="44">
        <v>7</v>
      </c>
      <c r="C83" s="39">
        <v>0</v>
      </c>
      <c r="D83" s="39">
        <v>4</v>
      </c>
      <c r="E83" s="39">
        <v>7</v>
      </c>
      <c r="F83" s="194">
        <v>7</v>
      </c>
      <c r="G83" s="149">
        <f t="shared" si="3"/>
        <v>25</v>
      </c>
      <c r="H83" s="233">
        <v>0</v>
      </c>
      <c r="I83" s="211">
        <v>0</v>
      </c>
      <c r="J83" s="211">
        <v>0</v>
      </c>
      <c r="K83" s="211">
        <v>0</v>
      </c>
      <c r="L83" s="212">
        <v>0</v>
      </c>
      <c r="M83" s="212">
        <v>0</v>
      </c>
      <c r="N83" s="85">
        <f t="shared" si="4"/>
        <v>25</v>
      </c>
      <c r="O83" s="43">
        <f t="shared" si="5"/>
        <v>65.5</v>
      </c>
    </row>
    <row r="84" spans="1:15" ht="22.5" customHeight="1" x14ac:dyDescent="0.3">
      <c r="A84" s="190" t="s">
        <v>165</v>
      </c>
      <c r="B84" s="44">
        <v>9</v>
      </c>
      <c r="C84" s="39">
        <v>0</v>
      </c>
      <c r="D84" s="39">
        <v>3</v>
      </c>
      <c r="E84" s="39">
        <v>8</v>
      </c>
      <c r="F84" s="194">
        <v>11</v>
      </c>
      <c r="G84" s="149">
        <f t="shared" si="3"/>
        <v>31</v>
      </c>
      <c r="H84" s="233">
        <v>0</v>
      </c>
      <c r="I84" s="211">
        <v>0</v>
      </c>
      <c r="J84" s="211">
        <v>0</v>
      </c>
      <c r="K84" s="211">
        <v>0</v>
      </c>
      <c r="L84" s="212">
        <v>0</v>
      </c>
      <c r="M84" s="212">
        <v>0</v>
      </c>
      <c r="N84" s="85">
        <f t="shared" si="4"/>
        <v>31</v>
      </c>
      <c r="O84" s="43">
        <f t="shared" si="5"/>
        <v>87</v>
      </c>
    </row>
    <row r="85" spans="1:15" ht="22.5" customHeight="1" x14ac:dyDescent="0.3">
      <c r="A85" s="190" t="s">
        <v>166</v>
      </c>
      <c r="B85" s="44">
        <v>15</v>
      </c>
      <c r="C85" s="39">
        <v>1</v>
      </c>
      <c r="D85" s="39">
        <v>2</v>
      </c>
      <c r="E85" s="39">
        <v>8</v>
      </c>
      <c r="F85" s="194">
        <v>16</v>
      </c>
      <c r="G85" s="149">
        <f t="shared" si="3"/>
        <v>42</v>
      </c>
      <c r="H85" s="233">
        <v>0</v>
      </c>
      <c r="I85" s="211">
        <v>0</v>
      </c>
      <c r="J85" s="211">
        <v>0</v>
      </c>
      <c r="K85" s="211">
        <v>0</v>
      </c>
      <c r="L85" s="212">
        <v>0</v>
      </c>
      <c r="M85" s="212">
        <v>0</v>
      </c>
      <c r="N85" s="85">
        <f t="shared" si="4"/>
        <v>42</v>
      </c>
      <c r="O85" s="43">
        <f t="shared" si="5"/>
        <v>114.5</v>
      </c>
    </row>
    <row r="86" spans="1:15" ht="22.5" customHeight="1" x14ac:dyDescent="0.3">
      <c r="A86" s="190" t="s">
        <v>167</v>
      </c>
      <c r="B86" s="44">
        <v>16</v>
      </c>
      <c r="C86" s="39">
        <v>4</v>
      </c>
      <c r="D86" s="39">
        <v>4</v>
      </c>
      <c r="E86" s="39">
        <v>7</v>
      </c>
      <c r="F86" s="194">
        <v>16</v>
      </c>
      <c r="G86" s="149">
        <f t="shared" si="3"/>
        <v>47</v>
      </c>
      <c r="H86" s="233">
        <v>0</v>
      </c>
      <c r="I86" s="211">
        <v>0</v>
      </c>
      <c r="J86" s="211">
        <v>0</v>
      </c>
      <c r="K86" s="211">
        <v>0</v>
      </c>
      <c r="L86" s="212">
        <v>0</v>
      </c>
      <c r="M86" s="212">
        <v>0</v>
      </c>
      <c r="N86" s="85">
        <f t="shared" si="4"/>
        <v>47</v>
      </c>
      <c r="O86" s="43">
        <f t="shared" si="5"/>
        <v>117</v>
      </c>
    </row>
    <row r="87" spans="1:15" ht="22.5" customHeight="1" x14ac:dyDescent="0.3">
      <c r="A87" s="190" t="s">
        <v>168</v>
      </c>
      <c r="B87" s="44">
        <v>12</v>
      </c>
      <c r="C87" s="39">
        <v>4</v>
      </c>
      <c r="D87" s="39">
        <v>8</v>
      </c>
      <c r="E87" s="39">
        <v>7</v>
      </c>
      <c r="F87" s="194">
        <v>15</v>
      </c>
      <c r="G87" s="149">
        <f t="shared" si="3"/>
        <v>46</v>
      </c>
      <c r="H87" s="233">
        <v>0</v>
      </c>
      <c r="I87" s="211">
        <v>0</v>
      </c>
      <c r="J87" s="211">
        <v>0</v>
      </c>
      <c r="K87" s="211">
        <v>0</v>
      </c>
      <c r="L87" s="212">
        <v>0</v>
      </c>
      <c r="M87" s="212">
        <v>0</v>
      </c>
      <c r="N87" s="85">
        <f t="shared" si="4"/>
        <v>46</v>
      </c>
      <c r="O87" s="43">
        <f t="shared" si="5"/>
        <v>114.5</v>
      </c>
    </row>
    <row r="88" spans="1:15" ht="22.5" customHeight="1" x14ac:dyDescent="0.3">
      <c r="A88" s="190" t="s">
        <v>169</v>
      </c>
      <c r="B88" s="44">
        <v>18</v>
      </c>
      <c r="C88" s="39">
        <v>3</v>
      </c>
      <c r="D88" s="39">
        <v>9</v>
      </c>
      <c r="E88" s="39">
        <v>8</v>
      </c>
      <c r="F88" s="194">
        <v>23</v>
      </c>
      <c r="G88" s="149">
        <f t="shared" si="3"/>
        <v>61</v>
      </c>
      <c r="H88" s="233">
        <v>0</v>
      </c>
      <c r="I88" s="211">
        <v>0</v>
      </c>
      <c r="J88" s="211">
        <v>0</v>
      </c>
      <c r="K88" s="211">
        <v>0</v>
      </c>
      <c r="L88" s="212">
        <v>0</v>
      </c>
      <c r="M88" s="212">
        <v>0</v>
      </c>
      <c r="N88" s="85">
        <f t="shared" si="4"/>
        <v>61</v>
      </c>
      <c r="O88" s="43">
        <f t="shared" si="5"/>
        <v>160.5</v>
      </c>
    </row>
    <row r="89" spans="1:15" ht="22.5" customHeight="1" x14ac:dyDescent="0.3">
      <c r="A89" s="190" t="s">
        <v>170</v>
      </c>
      <c r="B89" s="44">
        <v>21</v>
      </c>
      <c r="C89" s="39">
        <v>5</v>
      </c>
      <c r="D89" s="39">
        <v>8</v>
      </c>
      <c r="E89" s="39">
        <v>5</v>
      </c>
      <c r="F89" s="194">
        <v>11</v>
      </c>
      <c r="G89" s="149">
        <f t="shared" si="3"/>
        <v>50</v>
      </c>
      <c r="H89" s="233">
        <v>0</v>
      </c>
      <c r="I89" s="211">
        <v>0</v>
      </c>
      <c r="J89" s="211">
        <v>0</v>
      </c>
      <c r="K89" s="211">
        <v>0</v>
      </c>
      <c r="L89" s="212">
        <v>0</v>
      </c>
      <c r="M89" s="212">
        <v>0</v>
      </c>
      <c r="N89" s="85">
        <f t="shared" si="4"/>
        <v>50</v>
      </c>
      <c r="O89" s="43">
        <f t="shared" si="5"/>
        <v>100</v>
      </c>
    </row>
    <row r="90" spans="1:15" ht="22.5" customHeight="1" x14ac:dyDescent="0.3">
      <c r="A90" s="190" t="s">
        <v>171</v>
      </c>
      <c r="B90" s="44">
        <v>21</v>
      </c>
      <c r="C90" s="39">
        <v>5</v>
      </c>
      <c r="D90" s="39">
        <v>2</v>
      </c>
      <c r="E90" s="39">
        <v>3</v>
      </c>
      <c r="F90" s="194">
        <v>15</v>
      </c>
      <c r="G90" s="149">
        <f t="shared" si="3"/>
        <v>46</v>
      </c>
      <c r="H90" s="233">
        <v>0</v>
      </c>
      <c r="I90" s="211">
        <v>0</v>
      </c>
      <c r="J90" s="211">
        <v>0</v>
      </c>
      <c r="K90" s="211">
        <v>0</v>
      </c>
      <c r="L90" s="212">
        <v>0</v>
      </c>
      <c r="M90" s="212">
        <v>0</v>
      </c>
      <c r="N90" s="85">
        <f t="shared" si="4"/>
        <v>46</v>
      </c>
      <c r="O90" s="43">
        <f t="shared" si="5"/>
        <v>103</v>
      </c>
    </row>
    <row r="91" spans="1:15" ht="22.5" customHeight="1" x14ac:dyDescent="0.3">
      <c r="A91" s="190" t="s">
        <v>172</v>
      </c>
      <c r="B91" s="44">
        <v>21</v>
      </c>
      <c r="C91" s="39">
        <v>11</v>
      </c>
      <c r="D91" s="39">
        <v>1</v>
      </c>
      <c r="E91" s="39">
        <v>2</v>
      </c>
      <c r="F91" s="194">
        <v>16</v>
      </c>
      <c r="G91" s="149">
        <f t="shared" si="3"/>
        <v>51</v>
      </c>
      <c r="H91" s="233">
        <v>0</v>
      </c>
      <c r="I91" s="211">
        <v>0</v>
      </c>
      <c r="J91" s="211">
        <v>0</v>
      </c>
      <c r="K91" s="211">
        <v>0</v>
      </c>
      <c r="L91" s="212">
        <v>0</v>
      </c>
      <c r="M91" s="212">
        <v>0</v>
      </c>
      <c r="N91" s="85">
        <f t="shared" si="4"/>
        <v>51</v>
      </c>
      <c r="O91" s="43">
        <f t="shared" si="5"/>
        <v>106</v>
      </c>
    </row>
    <row r="92" spans="1:15" ht="22.5" customHeight="1" x14ac:dyDescent="0.3">
      <c r="A92" s="190" t="s">
        <v>173</v>
      </c>
      <c r="B92" s="44">
        <v>19</v>
      </c>
      <c r="C92" s="39">
        <v>8</v>
      </c>
      <c r="D92" s="39">
        <v>2</v>
      </c>
      <c r="E92" s="39">
        <v>4</v>
      </c>
      <c r="F92" s="194">
        <v>16</v>
      </c>
      <c r="G92" s="149">
        <f t="shared" si="3"/>
        <v>49</v>
      </c>
      <c r="H92" s="233">
        <v>0</v>
      </c>
      <c r="I92" s="211">
        <v>0</v>
      </c>
      <c r="J92" s="211">
        <v>0</v>
      </c>
      <c r="K92" s="211">
        <v>0</v>
      </c>
      <c r="L92" s="212">
        <v>0</v>
      </c>
      <c r="M92" s="212">
        <v>0</v>
      </c>
      <c r="N92" s="85">
        <f t="shared" si="4"/>
        <v>49</v>
      </c>
      <c r="O92" s="43">
        <f t="shared" si="5"/>
        <v>110</v>
      </c>
    </row>
    <row r="93" spans="1:15" ht="22.5" customHeight="1" x14ac:dyDescent="0.3">
      <c r="A93" s="190" t="s">
        <v>174</v>
      </c>
      <c r="B93" s="44">
        <v>20</v>
      </c>
      <c r="C93" s="39">
        <v>9</v>
      </c>
      <c r="D93" s="39">
        <v>4</v>
      </c>
      <c r="E93" s="39">
        <v>3</v>
      </c>
      <c r="F93" s="194">
        <v>15</v>
      </c>
      <c r="G93" s="149">
        <f t="shared" si="3"/>
        <v>51</v>
      </c>
      <c r="H93" s="233">
        <v>0</v>
      </c>
      <c r="I93" s="211">
        <v>0</v>
      </c>
      <c r="J93" s="211">
        <v>0</v>
      </c>
      <c r="K93" s="211">
        <v>0</v>
      </c>
      <c r="L93" s="212">
        <v>0</v>
      </c>
      <c r="M93" s="212">
        <v>0</v>
      </c>
      <c r="N93" s="85">
        <f t="shared" si="4"/>
        <v>51</v>
      </c>
      <c r="O93" s="43">
        <f t="shared" si="5"/>
        <v>107</v>
      </c>
    </row>
    <row r="94" spans="1:15" ht="22.5" customHeight="1" x14ac:dyDescent="0.3">
      <c r="A94" s="190" t="s">
        <v>175</v>
      </c>
      <c r="B94" s="44">
        <v>39</v>
      </c>
      <c r="C94" s="39">
        <v>11</v>
      </c>
      <c r="D94" s="39">
        <v>6</v>
      </c>
      <c r="E94" s="39">
        <v>15</v>
      </c>
      <c r="F94" s="194">
        <v>24</v>
      </c>
      <c r="G94" s="149">
        <f t="shared" si="3"/>
        <v>95</v>
      </c>
      <c r="H94" s="233">
        <v>0</v>
      </c>
      <c r="I94" s="211">
        <v>0</v>
      </c>
      <c r="J94" s="211">
        <v>0</v>
      </c>
      <c r="K94" s="211">
        <v>0</v>
      </c>
      <c r="L94" s="212">
        <v>0</v>
      </c>
      <c r="M94" s="212">
        <v>0</v>
      </c>
      <c r="N94" s="85">
        <f t="shared" si="4"/>
        <v>95</v>
      </c>
      <c r="O94" s="43">
        <f t="shared" si="5"/>
        <v>206.5</v>
      </c>
    </row>
    <row r="95" spans="1:15" ht="22.5" customHeight="1" x14ac:dyDescent="0.3">
      <c r="A95" s="190" t="s">
        <v>176</v>
      </c>
      <c r="B95" s="44">
        <v>42</v>
      </c>
      <c r="C95" s="39">
        <v>12</v>
      </c>
      <c r="D95" s="39">
        <v>7</v>
      </c>
      <c r="E95" s="39">
        <v>11</v>
      </c>
      <c r="F95" s="194">
        <v>25</v>
      </c>
      <c r="G95" s="149">
        <f t="shared" si="3"/>
        <v>97</v>
      </c>
      <c r="H95" s="233">
        <v>0</v>
      </c>
      <c r="I95" s="211">
        <v>0</v>
      </c>
      <c r="J95" s="211">
        <v>0</v>
      </c>
      <c r="K95" s="211">
        <v>0</v>
      </c>
      <c r="L95" s="212">
        <v>1</v>
      </c>
      <c r="M95" s="212">
        <v>0</v>
      </c>
      <c r="N95" s="85">
        <f t="shared" si="4"/>
        <v>97</v>
      </c>
      <c r="O95" s="43">
        <f t="shared" si="5"/>
        <v>212</v>
      </c>
    </row>
    <row r="96" spans="1:15" ht="22.5" customHeight="1" x14ac:dyDescent="0.3">
      <c r="A96" s="190" t="s">
        <v>135</v>
      </c>
      <c r="B96" s="44">
        <v>27</v>
      </c>
      <c r="C96" s="39">
        <v>19</v>
      </c>
      <c r="D96" s="39">
        <v>15</v>
      </c>
      <c r="E96" s="39">
        <v>10</v>
      </c>
      <c r="F96" s="194">
        <v>23</v>
      </c>
      <c r="G96" s="149">
        <f t="shared" si="3"/>
        <v>94</v>
      </c>
      <c r="H96" s="233">
        <v>0</v>
      </c>
      <c r="I96" s="211">
        <v>0</v>
      </c>
      <c r="J96" s="211">
        <v>0</v>
      </c>
      <c r="K96" s="211">
        <v>0</v>
      </c>
      <c r="L96" s="212">
        <v>0</v>
      </c>
      <c r="M96" s="212">
        <v>0</v>
      </c>
      <c r="N96" s="85">
        <f t="shared" si="4"/>
        <v>94</v>
      </c>
      <c r="O96" s="43">
        <f t="shared" si="5"/>
        <v>192.5</v>
      </c>
    </row>
    <row r="97" spans="1:15" ht="22.5" customHeight="1" x14ac:dyDescent="0.3">
      <c r="A97" s="190" t="s">
        <v>136</v>
      </c>
      <c r="B97" s="44">
        <v>33</v>
      </c>
      <c r="C97" s="39">
        <v>18</v>
      </c>
      <c r="D97" s="39">
        <v>12</v>
      </c>
      <c r="E97" s="39">
        <v>8</v>
      </c>
      <c r="F97" s="194">
        <v>21</v>
      </c>
      <c r="G97" s="149">
        <f t="shared" si="3"/>
        <v>92</v>
      </c>
      <c r="H97" s="233">
        <v>0</v>
      </c>
      <c r="I97" s="211">
        <v>0</v>
      </c>
      <c r="J97" s="211">
        <v>0</v>
      </c>
      <c r="K97" s="211">
        <v>0</v>
      </c>
      <c r="L97" s="212">
        <v>0</v>
      </c>
      <c r="M97" s="212">
        <v>0</v>
      </c>
      <c r="N97" s="85">
        <f t="shared" si="4"/>
        <v>92</v>
      </c>
      <c r="O97" s="43">
        <f t="shared" si="5"/>
        <v>178.5</v>
      </c>
    </row>
    <row r="98" spans="1:15" ht="22.5" customHeight="1" x14ac:dyDescent="0.3">
      <c r="A98" s="190" t="s">
        <v>137</v>
      </c>
      <c r="B98" s="44">
        <v>33</v>
      </c>
      <c r="C98" s="39">
        <v>21</v>
      </c>
      <c r="D98" s="39">
        <v>11</v>
      </c>
      <c r="E98" s="39">
        <v>5</v>
      </c>
      <c r="F98" s="194">
        <v>35</v>
      </c>
      <c r="G98" s="149">
        <f t="shared" si="3"/>
        <v>105</v>
      </c>
      <c r="H98" s="233">
        <v>0</v>
      </c>
      <c r="I98" s="211">
        <v>0</v>
      </c>
      <c r="J98" s="211">
        <v>0</v>
      </c>
      <c r="K98" s="211">
        <v>0</v>
      </c>
      <c r="L98" s="212">
        <v>1</v>
      </c>
      <c r="M98" s="212">
        <v>0</v>
      </c>
      <c r="N98" s="85">
        <f t="shared" si="4"/>
        <v>105</v>
      </c>
      <c r="O98" s="43">
        <f t="shared" si="5"/>
        <v>240.5</v>
      </c>
    </row>
    <row r="99" spans="1:15" ht="22.5" customHeight="1" x14ac:dyDescent="0.3">
      <c r="A99" s="190" t="s">
        <v>138</v>
      </c>
      <c r="B99" s="44">
        <v>43</v>
      </c>
      <c r="C99" s="39">
        <v>31</v>
      </c>
      <c r="D99" s="39">
        <v>12</v>
      </c>
      <c r="E99" s="39">
        <v>14</v>
      </c>
      <c r="F99" s="194">
        <v>28</v>
      </c>
      <c r="G99" s="149">
        <f t="shared" si="3"/>
        <v>128</v>
      </c>
      <c r="H99" s="233">
        <v>0</v>
      </c>
      <c r="I99" s="211">
        <v>0</v>
      </c>
      <c r="J99" s="211">
        <v>0</v>
      </c>
      <c r="K99" s="211">
        <v>0</v>
      </c>
      <c r="L99" s="212">
        <v>0</v>
      </c>
      <c r="M99" s="212">
        <v>0</v>
      </c>
      <c r="N99" s="85">
        <f t="shared" si="4"/>
        <v>128</v>
      </c>
      <c r="O99" s="43">
        <f t="shared" si="5"/>
        <v>244.5</v>
      </c>
    </row>
    <row r="100" spans="1:15" ht="22.5" customHeight="1" x14ac:dyDescent="0.3">
      <c r="A100" s="190" t="s">
        <v>139</v>
      </c>
      <c r="B100" s="44">
        <v>42</v>
      </c>
      <c r="C100" s="39">
        <v>52</v>
      </c>
      <c r="D100" s="39">
        <v>12</v>
      </c>
      <c r="E100" s="39">
        <v>14</v>
      </c>
      <c r="F100" s="194">
        <v>20</v>
      </c>
      <c r="G100" s="149">
        <f t="shared" si="3"/>
        <v>140</v>
      </c>
      <c r="H100" s="233">
        <v>0</v>
      </c>
      <c r="I100" s="211">
        <v>0</v>
      </c>
      <c r="J100" s="211">
        <v>0</v>
      </c>
      <c r="K100" s="211">
        <v>0</v>
      </c>
      <c r="L100" s="212">
        <v>0</v>
      </c>
      <c r="M100" s="212">
        <v>0</v>
      </c>
      <c r="N100" s="85">
        <f t="shared" si="4"/>
        <v>140</v>
      </c>
      <c r="O100" s="43">
        <f t="shared" si="5"/>
        <v>218</v>
      </c>
    </row>
    <row r="101" spans="1:15" ht="22.5" customHeight="1" x14ac:dyDescent="0.3">
      <c r="A101" s="190" t="s">
        <v>140</v>
      </c>
      <c r="B101" s="44">
        <v>49</v>
      </c>
      <c r="C101" s="39">
        <v>42</v>
      </c>
      <c r="D101" s="39">
        <v>10</v>
      </c>
      <c r="E101" s="39">
        <v>11</v>
      </c>
      <c r="F101" s="194">
        <v>21</v>
      </c>
      <c r="G101" s="149">
        <f t="shared" si="3"/>
        <v>133</v>
      </c>
      <c r="H101" s="233">
        <v>0</v>
      </c>
      <c r="I101" s="211">
        <v>0</v>
      </c>
      <c r="J101" s="211">
        <v>0</v>
      </c>
      <c r="K101" s="211">
        <v>0</v>
      </c>
      <c r="L101" s="212">
        <v>0</v>
      </c>
      <c r="M101" s="212">
        <v>0</v>
      </c>
      <c r="N101" s="85">
        <f t="shared" si="4"/>
        <v>133</v>
      </c>
      <c r="O101" s="43">
        <f t="shared" si="5"/>
        <v>212.5</v>
      </c>
    </row>
    <row r="102" spans="1:15" ht="22.5" customHeight="1" x14ac:dyDescent="0.3">
      <c r="A102" s="190" t="s">
        <v>141</v>
      </c>
      <c r="B102" s="44">
        <v>54</v>
      </c>
      <c r="C102" s="39">
        <v>52</v>
      </c>
      <c r="D102" s="39">
        <v>10</v>
      </c>
      <c r="E102" s="39">
        <v>10</v>
      </c>
      <c r="F102" s="194">
        <v>27</v>
      </c>
      <c r="G102" s="149">
        <f t="shared" si="3"/>
        <v>153</v>
      </c>
      <c r="H102" s="233">
        <v>0</v>
      </c>
      <c r="I102" s="211">
        <v>0</v>
      </c>
      <c r="J102" s="211">
        <v>0</v>
      </c>
      <c r="K102" s="211">
        <v>0</v>
      </c>
      <c r="L102" s="212">
        <v>0</v>
      </c>
      <c r="M102" s="212">
        <v>0</v>
      </c>
      <c r="N102" s="85">
        <f t="shared" si="4"/>
        <v>153</v>
      </c>
      <c r="O102" s="43">
        <f t="shared" si="5"/>
        <v>246.5</v>
      </c>
    </row>
    <row r="103" spans="1:15" ht="22.5" customHeight="1" thickBot="1" x14ac:dyDescent="0.35">
      <c r="A103" s="191" t="s">
        <v>142</v>
      </c>
      <c r="B103" s="218">
        <v>61</v>
      </c>
      <c r="C103" s="219">
        <v>49</v>
      </c>
      <c r="D103" s="219">
        <v>15</v>
      </c>
      <c r="E103" s="219">
        <v>9</v>
      </c>
      <c r="F103" s="220">
        <v>15</v>
      </c>
      <c r="G103" s="150">
        <f t="shared" si="3"/>
        <v>149</v>
      </c>
      <c r="H103" s="234">
        <v>0</v>
      </c>
      <c r="I103" s="221">
        <v>0</v>
      </c>
      <c r="J103" s="221">
        <v>0</v>
      </c>
      <c r="K103" s="221">
        <v>0</v>
      </c>
      <c r="L103" s="222">
        <v>0</v>
      </c>
      <c r="M103" s="222">
        <v>0</v>
      </c>
      <c r="N103" s="116">
        <f t="shared" si="4"/>
        <v>149</v>
      </c>
      <c r="O103" s="84">
        <f t="shared" si="5"/>
        <v>202.5</v>
      </c>
    </row>
    <row r="104" spans="1:15" ht="22.5" customHeight="1" thickBot="1" x14ac:dyDescent="0.35">
      <c r="A104" s="86" t="s">
        <v>11</v>
      </c>
      <c r="B104" s="223">
        <f t="shared" ref="B104:N104" si="6">SUM(B8:B103)</f>
        <v>7091</v>
      </c>
      <c r="C104" s="87">
        <f t="shared" si="6"/>
        <v>5059</v>
      </c>
      <c r="D104" s="87">
        <f t="shared" si="6"/>
        <v>1132</v>
      </c>
      <c r="E104" s="95">
        <f t="shared" si="6"/>
        <v>842</v>
      </c>
      <c r="F104" s="95">
        <f t="shared" si="6"/>
        <v>2699</v>
      </c>
      <c r="G104" s="94">
        <f t="shared" si="6"/>
        <v>16823</v>
      </c>
      <c r="H104" s="87">
        <f t="shared" si="6"/>
        <v>4</v>
      </c>
      <c r="I104" s="87">
        <f t="shared" si="6"/>
        <v>0</v>
      </c>
      <c r="J104" s="87">
        <f t="shared" si="6"/>
        <v>0</v>
      </c>
      <c r="K104" s="95">
        <f t="shared" si="6"/>
        <v>0</v>
      </c>
      <c r="L104" s="224">
        <f t="shared" si="6"/>
        <v>21</v>
      </c>
      <c r="M104" s="94">
        <f>SUM(M8:M103)</f>
        <v>2</v>
      </c>
      <c r="N104" s="95">
        <f t="shared" si="6"/>
        <v>16825</v>
      </c>
      <c r="O104" s="142">
        <f>SUM(O8:O103)</f>
        <v>26160</v>
      </c>
    </row>
    <row r="105" spans="1:15" ht="22.5" customHeight="1" thickBot="1" x14ac:dyDescent="0.35">
      <c r="A105" s="41" t="s">
        <v>143</v>
      </c>
      <c r="B105" s="225">
        <f>+B104*1</f>
        <v>7091</v>
      </c>
      <c r="C105" s="88">
        <f>+C104*0.5</f>
        <v>2529.5</v>
      </c>
      <c r="D105" s="88">
        <f>+D104*1.5</f>
        <v>1698</v>
      </c>
      <c r="E105" s="88">
        <f>+E104*3</f>
        <v>2526</v>
      </c>
      <c r="F105" s="89">
        <f>+F104*4.5</f>
        <v>12145.5</v>
      </c>
      <c r="G105" s="90">
        <f>SUM(B105:F105)</f>
        <v>25990</v>
      </c>
      <c r="H105" s="88">
        <f>+H104*0.5</f>
        <v>2</v>
      </c>
      <c r="I105" s="89">
        <f>+I104*1.5</f>
        <v>0</v>
      </c>
      <c r="J105" s="89">
        <f>+J104*3</f>
        <v>0</v>
      </c>
      <c r="K105" s="96">
        <f>+K104*4</f>
        <v>0</v>
      </c>
      <c r="L105" s="226">
        <f>+L104*8</f>
        <v>168</v>
      </c>
      <c r="M105" s="147">
        <f>SUM(H105:L105)</f>
        <v>170</v>
      </c>
      <c r="N105" s="91"/>
      <c r="O105" s="92">
        <f>G105+M105</f>
        <v>26160</v>
      </c>
    </row>
    <row r="106" spans="1:15" ht="22.5" customHeight="1" thickBot="1" x14ac:dyDescent="0.35">
      <c r="A106" s="42" t="s">
        <v>12</v>
      </c>
      <c r="B106" s="227">
        <f t="shared" ref="B106:N106" si="7">B104/$N$104</f>
        <v>0.42145616641901934</v>
      </c>
      <c r="C106" s="93">
        <f t="shared" si="7"/>
        <v>0.30068350668647847</v>
      </c>
      <c r="D106" s="93">
        <f t="shared" si="7"/>
        <v>6.7280832095096582E-2</v>
      </c>
      <c r="E106" s="93">
        <f t="shared" si="7"/>
        <v>5.0044576523031202E-2</v>
      </c>
      <c r="F106" s="93">
        <f t="shared" si="7"/>
        <v>0.16041604754829122</v>
      </c>
      <c r="G106" s="98">
        <f t="shared" si="7"/>
        <v>0.99988112927191675</v>
      </c>
      <c r="H106" s="93">
        <f t="shared" si="7"/>
        <v>2.3774145616641901E-4</v>
      </c>
      <c r="I106" s="93">
        <f t="shared" si="7"/>
        <v>0</v>
      </c>
      <c r="J106" s="93">
        <f t="shared" si="7"/>
        <v>0</v>
      </c>
      <c r="K106" s="97">
        <f t="shared" si="7"/>
        <v>0</v>
      </c>
      <c r="L106" s="228">
        <f t="shared" si="7"/>
        <v>1.2481426448736998E-3</v>
      </c>
      <c r="M106" s="98">
        <f t="shared" si="7"/>
        <v>1.188707280832095E-4</v>
      </c>
      <c r="N106" s="99">
        <f t="shared" si="7"/>
        <v>1</v>
      </c>
      <c r="O106" s="94"/>
    </row>
  </sheetData>
  <mergeCells count="16">
    <mergeCell ref="O6:O7"/>
    <mergeCell ref="A1:O1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</mergeCells>
  <pageMargins left="0.7" right="0.7" top="0.75" bottom="0.75" header="0.3" footer="0.3"/>
  <pageSetup paperSize="9" scale="2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39318-9D05-4C39-8BA6-4F72425D0AD1}">
  <sheetPr>
    <tabColor rgb="FFFFFF00"/>
  </sheetPr>
  <dimension ref="A1:O106"/>
  <sheetViews>
    <sheetView view="pageBreakPreview" zoomScale="40" zoomScaleNormal="70" zoomScaleSheetLayoutView="40" workbookViewId="0">
      <selection activeCell="J70" sqref="J70"/>
    </sheetView>
  </sheetViews>
  <sheetFormatPr defaultColWidth="9" defaultRowHeight="15.6" x14ac:dyDescent="0.3"/>
  <cols>
    <col min="1" max="1" width="15.5" customWidth="1"/>
    <col min="2" max="5" width="11.69921875" customWidth="1"/>
    <col min="6" max="6" width="8.19921875" customWidth="1"/>
    <col min="7" max="15" width="11.69921875" customWidth="1"/>
  </cols>
  <sheetData>
    <row r="1" spans="1:15" x14ac:dyDescent="0.3">
      <c r="A1" s="247" t="s">
        <v>99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</row>
    <row r="2" spans="1:15" s="4" customFormat="1" x14ac:dyDescent="0.3">
      <c r="A2" s="4" t="s">
        <v>103</v>
      </c>
      <c r="B2" s="4" t="str">
        <f>Summary!B2</f>
        <v>TMC-14 Number (D2)</v>
      </c>
    </row>
    <row r="3" spans="1:15" s="4" customFormat="1" x14ac:dyDescent="0.3">
      <c r="A3" s="4" t="s">
        <v>102</v>
      </c>
      <c r="B3" s="4" t="str">
        <f>Summary!B3</f>
        <v>D2</v>
      </c>
    </row>
    <row r="4" spans="1:15" s="4" customFormat="1" x14ac:dyDescent="0.3">
      <c r="A4" s="4" t="s">
        <v>104</v>
      </c>
      <c r="B4" s="4" t="s">
        <v>293</v>
      </c>
      <c r="D4" s="4" t="s">
        <v>1</v>
      </c>
      <c r="E4" s="4" t="s">
        <v>295</v>
      </c>
      <c r="G4" s="229" t="s">
        <v>296</v>
      </c>
    </row>
    <row r="5" spans="1:15" ht="16.2" thickBot="1" x14ac:dyDescent="0.35"/>
    <row r="6" spans="1:15" ht="25.2" customHeight="1" x14ac:dyDescent="0.3">
      <c r="A6" s="252" t="s">
        <v>95</v>
      </c>
      <c r="B6" s="258" t="s">
        <v>280</v>
      </c>
      <c r="C6" s="254" t="s">
        <v>281</v>
      </c>
      <c r="D6" s="250" t="s">
        <v>282</v>
      </c>
      <c r="E6" s="260" t="s">
        <v>283</v>
      </c>
      <c r="F6" s="256" t="s">
        <v>284</v>
      </c>
      <c r="G6" s="250" t="s">
        <v>129</v>
      </c>
      <c r="H6" s="248" t="s">
        <v>150</v>
      </c>
      <c r="I6" s="250" t="s">
        <v>151</v>
      </c>
      <c r="J6" s="250" t="s">
        <v>285</v>
      </c>
      <c r="K6" s="248" t="s">
        <v>286</v>
      </c>
      <c r="L6" s="250" t="s">
        <v>287</v>
      </c>
      <c r="M6" s="250" t="s">
        <v>78</v>
      </c>
      <c r="N6" s="250" t="s">
        <v>131</v>
      </c>
      <c r="O6" s="250" t="s">
        <v>132</v>
      </c>
    </row>
    <row r="7" spans="1:15" ht="43.5" customHeight="1" thickBot="1" x14ac:dyDescent="0.35">
      <c r="A7" s="262"/>
      <c r="B7" s="263"/>
      <c r="C7" s="264"/>
      <c r="D7" s="265"/>
      <c r="E7" s="266"/>
      <c r="F7" s="267"/>
      <c r="G7" s="259"/>
      <c r="H7" s="268"/>
      <c r="I7" s="265"/>
      <c r="J7" s="265"/>
      <c r="K7" s="268"/>
      <c r="L7" s="265"/>
      <c r="M7" s="265"/>
      <c r="N7" s="251"/>
      <c r="O7" s="251"/>
    </row>
    <row r="8" spans="1:15" ht="22.5" customHeight="1" x14ac:dyDescent="0.3">
      <c r="A8" s="189" t="s">
        <v>177</v>
      </c>
      <c r="B8" s="192">
        <v>34</v>
      </c>
      <c r="C8" s="157">
        <v>62</v>
      </c>
      <c r="D8" s="157">
        <v>18</v>
      </c>
      <c r="E8" s="157">
        <v>6</v>
      </c>
      <c r="F8" s="193">
        <v>33</v>
      </c>
      <c r="G8" s="148">
        <f t="shared" ref="G8:G71" si="0">SUM(B8:F8)</f>
        <v>153</v>
      </c>
      <c r="H8" s="232">
        <v>0</v>
      </c>
      <c r="I8" s="209">
        <v>0</v>
      </c>
      <c r="J8" s="209">
        <v>0</v>
      </c>
      <c r="K8" s="209">
        <v>0</v>
      </c>
      <c r="L8" s="210">
        <v>3</v>
      </c>
      <c r="M8" s="210">
        <v>0</v>
      </c>
      <c r="N8" s="85">
        <f>G8+M8</f>
        <v>153</v>
      </c>
      <c r="O8" s="115">
        <f>B8*1+C8*0.5+D8*1.5+E8*3+F8*4.5+H8*0.5+I8*1.5+J8*3+K8*4+L8*8</f>
        <v>282.5</v>
      </c>
    </row>
    <row r="9" spans="1:15" ht="22.5" customHeight="1" x14ac:dyDescent="0.3">
      <c r="A9" s="190" t="s">
        <v>178</v>
      </c>
      <c r="B9" s="44">
        <v>68</v>
      </c>
      <c r="C9" s="39">
        <v>89</v>
      </c>
      <c r="D9" s="39">
        <v>23</v>
      </c>
      <c r="E9" s="39">
        <v>3</v>
      </c>
      <c r="F9" s="194">
        <v>31</v>
      </c>
      <c r="G9" s="149">
        <f t="shared" si="0"/>
        <v>214</v>
      </c>
      <c r="H9" s="233">
        <v>0</v>
      </c>
      <c r="I9" s="211">
        <v>0</v>
      </c>
      <c r="J9" s="211">
        <v>0</v>
      </c>
      <c r="K9" s="211">
        <v>0</v>
      </c>
      <c r="L9" s="212">
        <v>1</v>
      </c>
      <c r="M9" s="212">
        <v>0</v>
      </c>
      <c r="N9" s="85">
        <f t="shared" ref="N9:N72" si="1">G9+M9</f>
        <v>214</v>
      </c>
      <c r="O9" s="43">
        <f t="shared" ref="O9:O72" si="2">B9*1+C9*0.5+D9*1.5+E9*3+F9*4.5+H9*0.5+I9*1.5+J9*3+K9*4+L9*8</f>
        <v>303.5</v>
      </c>
    </row>
    <row r="10" spans="1:15" ht="22.5" customHeight="1" x14ac:dyDescent="0.3">
      <c r="A10" s="190" t="s">
        <v>179</v>
      </c>
      <c r="B10" s="44">
        <v>78</v>
      </c>
      <c r="C10" s="39">
        <v>110</v>
      </c>
      <c r="D10" s="39">
        <v>19</v>
      </c>
      <c r="E10" s="39">
        <v>5</v>
      </c>
      <c r="F10" s="194">
        <v>26</v>
      </c>
      <c r="G10" s="149">
        <f t="shared" si="0"/>
        <v>238</v>
      </c>
      <c r="H10" s="233">
        <v>0</v>
      </c>
      <c r="I10" s="211">
        <v>0</v>
      </c>
      <c r="J10" s="211">
        <v>0</v>
      </c>
      <c r="K10" s="211">
        <v>0</v>
      </c>
      <c r="L10" s="212">
        <v>1</v>
      </c>
      <c r="M10" s="212">
        <v>0</v>
      </c>
      <c r="N10" s="85">
        <f t="shared" si="1"/>
        <v>238</v>
      </c>
      <c r="O10" s="43">
        <f t="shared" si="2"/>
        <v>301.5</v>
      </c>
    </row>
    <row r="11" spans="1:15" ht="22.5" customHeight="1" x14ac:dyDescent="0.3">
      <c r="A11" s="190" t="s">
        <v>180</v>
      </c>
      <c r="B11" s="44">
        <v>78</v>
      </c>
      <c r="C11" s="39">
        <v>115</v>
      </c>
      <c r="D11" s="39">
        <v>16</v>
      </c>
      <c r="E11" s="39">
        <v>3</v>
      </c>
      <c r="F11" s="194">
        <v>21</v>
      </c>
      <c r="G11" s="149">
        <f t="shared" si="0"/>
        <v>233</v>
      </c>
      <c r="H11" s="233">
        <v>0</v>
      </c>
      <c r="I11" s="211">
        <v>0</v>
      </c>
      <c r="J11" s="211">
        <v>0</v>
      </c>
      <c r="K11" s="211">
        <v>0</v>
      </c>
      <c r="L11" s="212">
        <v>0</v>
      </c>
      <c r="M11" s="212">
        <v>0</v>
      </c>
      <c r="N11" s="85">
        <f t="shared" si="1"/>
        <v>233</v>
      </c>
      <c r="O11" s="43">
        <f t="shared" si="2"/>
        <v>263</v>
      </c>
    </row>
    <row r="12" spans="1:15" ht="22.5" customHeight="1" x14ac:dyDescent="0.3">
      <c r="A12" s="190" t="s">
        <v>181</v>
      </c>
      <c r="B12" s="44">
        <v>85</v>
      </c>
      <c r="C12" s="39">
        <v>122</v>
      </c>
      <c r="D12" s="39">
        <v>12</v>
      </c>
      <c r="E12" s="39">
        <v>4</v>
      </c>
      <c r="F12" s="194">
        <v>33</v>
      </c>
      <c r="G12" s="149">
        <f t="shared" si="0"/>
        <v>256</v>
      </c>
      <c r="H12" s="233">
        <v>0</v>
      </c>
      <c r="I12" s="211">
        <v>0</v>
      </c>
      <c r="J12" s="211">
        <v>0</v>
      </c>
      <c r="K12" s="211">
        <v>0</v>
      </c>
      <c r="L12" s="212">
        <v>0</v>
      </c>
      <c r="M12" s="212">
        <v>0</v>
      </c>
      <c r="N12" s="85">
        <f t="shared" si="1"/>
        <v>256</v>
      </c>
      <c r="O12" s="43">
        <f t="shared" si="2"/>
        <v>324.5</v>
      </c>
    </row>
    <row r="13" spans="1:15" ht="22.5" customHeight="1" x14ac:dyDescent="0.3">
      <c r="A13" s="190" t="s">
        <v>182</v>
      </c>
      <c r="B13" s="44">
        <v>52</v>
      </c>
      <c r="C13" s="39">
        <v>107</v>
      </c>
      <c r="D13" s="39">
        <v>13</v>
      </c>
      <c r="E13" s="39">
        <v>6</v>
      </c>
      <c r="F13" s="194">
        <v>13</v>
      </c>
      <c r="G13" s="149">
        <f t="shared" si="0"/>
        <v>191</v>
      </c>
      <c r="H13" s="233">
        <v>0</v>
      </c>
      <c r="I13" s="211">
        <v>0</v>
      </c>
      <c r="J13" s="211">
        <v>0</v>
      </c>
      <c r="K13" s="211">
        <v>0</v>
      </c>
      <c r="L13" s="212">
        <v>1</v>
      </c>
      <c r="M13" s="212">
        <v>0</v>
      </c>
      <c r="N13" s="85">
        <f t="shared" si="1"/>
        <v>191</v>
      </c>
      <c r="O13" s="43">
        <f t="shared" si="2"/>
        <v>209.5</v>
      </c>
    </row>
    <row r="14" spans="1:15" ht="22.5" customHeight="1" x14ac:dyDescent="0.3">
      <c r="A14" s="190" t="s">
        <v>183</v>
      </c>
      <c r="B14" s="44">
        <v>120</v>
      </c>
      <c r="C14" s="39">
        <v>142</v>
      </c>
      <c r="D14" s="39">
        <v>29</v>
      </c>
      <c r="E14" s="39">
        <v>10</v>
      </c>
      <c r="F14" s="194">
        <v>23</v>
      </c>
      <c r="G14" s="149">
        <f t="shared" si="0"/>
        <v>324</v>
      </c>
      <c r="H14" s="233">
        <v>0</v>
      </c>
      <c r="I14" s="211">
        <v>0</v>
      </c>
      <c r="J14" s="211">
        <v>0</v>
      </c>
      <c r="K14" s="211">
        <v>0</v>
      </c>
      <c r="L14" s="212">
        <v>1</v>
      </c>
      <c r="M14" s="212">
        <v>0</v>
      </c>
      <c r="N14" s="85">
        <f t="shared" si="1"/>
        <v>324</v>
      </c>
      <c r="O14" s="43">
        <f t="shared" si="2"/>
        <v>376</v>
      </c>
    </row>
    <row r="15" spans="1:15" ht="22.5" customHeight="1" x14ac:dyDescent="0.3">
      <c r="A15" s="190" t="s">
        <v>184</v>
      </c>
      <c r="B15" s="44">
        <v>81</v>
      </c>
      <c r="C15" s="39">
        <v>107</v>
      </c>
      <c r="D15" s="39">
        <v>28</v>
      </c>
      <c r="E15" s="39">
        <v>3</v>
      </c>
      <c r="F15" s="194">
        <v>21</v>
      </c>
      <c r="G15" s="149">
        <f t="shared" si="0"/>
        <v>240</v>
      </c>
      <c r="H15" s="233">
        <v>0</v>
      </c>
      <c r="I15" s="211">
        <v>0</v>
      </c>
      <c r="J15" s="211">
        <v>0</v>
      </c>
      <c r="K15" s="211">
        <v>0</v>
      </c>
      <c r="L15" s="212">
        <v>0</v>
      </c>
      <c r="M15" s="212">
        <v>0</v>
      </c>
      <c r="N15" s="85">
        <f t="shared" si="1"/>
        <v>240</v>
      </c>
      <c r="O15" s="43">
        <f t="shared" si="2"/>
        <v>280</v>
      </c>
    </row>
    <row r="16" spans="1:15" ht="22.5" customHeight="1" x14ac:dyDescent="0.3">
      <c r="A16" s="190" t="s">
        <v>185</v>
      </c>
      <c r="B16" s="44">
        <v>83</v>
      </c>
      <c r="C16" s="39">
        <v>116</v>
      </c>
      <c r="D16" s="39">
        <v>25</v>
      </c>
      <c r="E16" s="39">
        <v>4</v>
      </c>
      <c r="F16" s="194">
        <v>22</v>
      </c>
      <c r="G16" s="149">
        <f t="shared" si="0"/>
        <v>250</v>
      </c>
      <c r="H16" s="233">
        <v>0</v>
      </c>
      <c r="I16" s="211">
        <v>0</v>
      </c>
      <c r="J16" s="211">
        <v>0</v>
      </c>
      <c r="K16" s="211">
        <v>0</v>
      </c>
      <c r="L16" s="212">
        <v>1</v>
      </c>
      <c r="M16" s="212">
        <v>0</v>
      </c>
      <c r="N16" s="85">
        <f t="shared" si="1"/>
        <v>250</v>
      </c>
      <c r="O16" s="43">
        <f t="shared" si="2"/>
        <v>297.5</v>
      </c>
    </row>
    <row r="17" spans="1:15" ht="22.5" customHeight="1" x14ac:dyDescent="0.3">
      <c r="A17" s="190" t="s">
        <v>186</v>
      </c>
      <c r="B17" s="44">
        <v>97</v>
      </c>
      <c r="C17" s="39">
        <v>110</v>
      </c>
      <c r="D17" s="39">
        <v>22</v>
      </c>
      <c r="E17" s="39">
        <v>7</v>
      </c>
      <c r="F17" s="194">
        <v>28</v>
      </c>
      <c r="G17" s="149">
        <f t="shared" si="0"/>
        <v>264</v>
      </c>
      <c r="H17" s="233">
        <v>0</v>
      </c>
      <c r="I17" s="211">
        <v>0</v>
      </c>
      <c r="J17" s="211">
        <v>0</v>
      </c>
      <c r="K17" s="211">
        <v>0</v>
      </c>
      <c r="L17" s="212">
        <v>0</v>
      </c>
      <c r="M17" s="212">
        <v>0</v>
      </c>
      <c r="N17" s="85">
        <f t="shared" si="1"/>
        <v>264</v>
      </c>
      <c r="O17" s="43">
        <f t="shared" si="2"/>
        <v>332</v>
      </c>
    </row>
    <row r="18" spans="1:15" ht="22.5" customHeight="1" x14ac:dyDescent="0.3">
      <c r="A18" s="190" t="s">
        <v>187</v>
      </c>
      <c r="B18" s="44">
        <v>135</v>
      </c>
      <c r="C18" s="39">
        <v>61</v>
      </c>
      <c r="D18" s="39">
        <v>32</v>
      </c>
      <c r="E18" s="39">
        <v>5</v>
      </c>
      <c r="F18" s="194">
        <v>28</v>
      </c>
      <c r="G18" s="149">
        <f t="shared" si="0"/>
        <v>261</v>
      </c>
      <c r="H18" s="233">
        <v>0</v>
      </c>
      <c r="I18" s="211">
        <v>0</v>
      </c>
      <c r="J18" s="211">
        <v>0</v>
      </c>
      <c r="K18" s="211">
        <v>0</v>
      </c>
      <c r="L18" s="212">
        <v>1</v>
      </c>
      <c r="M18" s="212">
        <v>0</v>
      </c>
      <c r="N18" s="85">
        <f t="shared" si="1"/>
        <v>261</v>
      </c>
      <c r="O18" s="43">
        <f t="shared" si="2"/>
        <v>362.5</v>
      </c>
    </row>
    <row r="19" spans="1:15" ht="22.5" customHeight="1" x14ac:dyDescent="0.3">
      <c r="A19" s="190" t="s">
        <v>188</v>
      </c>
      <c r="B19" s="44">
        <v>109</v>
      </c>
      <c r="C19" s="39">
        <v>77</v>
      </c>
      <c r="D19" s="39">
        <v>23</v>
      </c>
      <c r="E19" s="39">
        <v>4</v>
      </c>
      <c r="F19" s="194">
        <v>22</v>
      </c>
      <c r="G19" s="149">
        <f t="shared" si="0"/>
        <v>235</v>
      </c>
      <c r="H19" s="233">
        <v>0</v>
      </c>
      <c r="I19" s="211">
        <v>0</v>
      </c>
      <c r="J19" s="211">
        <v>0</v>
      </c>
      <c r="K19" s="211">
        <v>0</v>
      </c>
      <c r="L19" s="212">
        <v>0</v>
      </c>
      <c r="M19" s="212">
        <v>0</v>
      </c>
      <c r="N19" s="85">
        <f t="shared" si="1"/>
        <v>235</v>
      </c>
      <c r="O19" s="43">
        <f t="shared" si="2"/>
        <v>293</v>
      </c>
    </row>
    <row r="20" spans="1:15" ht="22.5" customHeight="1" x14ac:dyDescent="0.3">
      <c r="A20" s="190" t="s">
        <v>189</v>
      </c>
      <c r="B20" s="44">
        <v>125</v>
      </c>
      <c r="C20" s="39">
        <v>73</v>
      </c>
      <c r="D20" s="39">
        <v>3</v>
      </c>
      <c r="E20" s="39">
        <v>2</v>
      </c>
      <c r="F20" s="194">
        <v>23</v>
      </c>
      <c r="G20" s="149">
        <f t="shared" si="0"/>
        <v>226</v>
      </c>
      <c r="H20" s="233">
        <v>0</v>
      </c>
      <c r="I20" s="211">
        <v>0</v>
      </c>
      <c r="J20" s="211">
        <v>0</v>
      </c>
      <c r="K20" s="211">
        <v>0</v>
      </c>
      <c r="L20" s="212">
        <v>0</v>
      </c>
      <c r="M20" s="212">
        <v>0</v>
      </c>
      <c r="N20" s="85">
        <f t="shared" si="1"/>
        <v>226</v>
      </c>
      <c r="O20" s="43">
        <f t="shared" si="2"/>
        <v>275.5</v>
      </c>
    </row>
    <row r="21" spans="1:15" ht="22.5" customHeight="1" x14ac:dyDescent="0.3">
      <c r="A21" s="190" t="s">
        <v>190</v>
      </c>
      <c r="B21" s="44">
        <v>113</v>
      </c>
      <c r="C21" s="39">
        <v>77</v>
      </c>
      <c r="D21" s="39">
        <v>30</v>
      </c>
      <c r="E21" s="39">
        <v>4</v>
      </c>
      <c r="F21" s="194">
        <v>23</v>
      </c>
      <c r="G21" s="149">
        <f t="shared" si="0"/>
        <v>247</v>
      </c>
      <c r="H21" s="233">
        <v>0</v>
      </c>
      <c r="I21" s="211">
        <v>0</v>
      </c>
      <c r="J21" s="211">
        <v>0</v>
      </c>
      <c r="K21" s="211">
        <v>0</v>
      </c>
      <c r="L21" s="212">
        <v>1</v>
      </c>
      <c r="M21" s="212">
        <v>0</v>
      </c>
      <c r="N21" s="85">
        <f t="shared" si="1"/>
        <v>247</v>
      </c>
      <c r="O21" s="43">
        <f t="shared" si="2"/>
        <v>320</v>
      </c>
    </row>
    <row r="22" spans="1:15" ht="22.5" customHeight="1" x14ac:dyDescent="0.3">
      <c r="A22" s="190" t="s">
        <v>191</v>
      </c>
      <c r="B22" s="44">
        <v>138</v>
      </c>
      <c r="C22" s="39">
        <v>62</v>
      </c>
      <c r="D22" s="39">
        <v>17</v>
      </c>
      <c r="E22" s="39">
        <v>8</v>
      </c>
      <c r="F22" s="194">
        <v>21</v>
      </c>
      <c r="G22" s="149">
        <f t="shared" si="0"/>
        <v>246</v>
      </c>
      <c r="H22" s="233">
        <v>0</v>
      </c>
      <c r="I22" s="211">
        <v>0</v>
      </c>
      <c r="J22" s="211">
        <v>0</v>
      </c>
      <c r="K22" s="211">
        <v>0</v>
      </c>
      <c r="L22" s="212">
        <v>0</v>
      </c>
      <c r="M22" s="212">
        <v>0</v>
      </c>
      <c r="N22" s="85">
        <f t="shared" si="1"/>
        <v>246</v>
      </c>
      <c r="O22" s="43">
        <f t="shared" si="2"/>
        <v>313</v>
      </c>
    </row>
    <row r="23" spans="1:15" ht="22.5" customHeight="1" x14ac:dyDescent="0.3">
      <c r="A23" s="190" t="s">
        <v>192</v>
      </c>
      <c r="B23" s="44">
        <v>151</v>
      </c>
      <c r="C23" s="39">
        <v>51</v>
      </c>
      <c r="D23" s="39">
        <v>21</v>
      </c>
      <c r="E23" s="39">
        <v>3</v>
      </c>
      <c r="F23" s="194">
        <v>33</v>
      </c>
      <c r="G23" s="149">
        <f t="shared" si="0"/>
        <v>259</v>
      </c>
      <c r="H23" s="233">
        <v>0</v>
      </c>
      <c r="I23" s="211">
        <v>0</v>
      </c>
      <c r="J23" s="211">
        <v>0</v>
      </c>
      <c r="K23" s="211">
        <v>0</v>
      </c>
      <c r="L23" s="212">
        <v>0</v>
      </c>
      <c r="M23" s="212">
        <v>0</v>
      </c>
      <c r="N23" s="85">
        <f t="shared" si="1"/>
        <v>259</v>
      </c>
      <c r="O23" s="43">
        <f t="shared" si="2"/>
        <v>365.5</v>
      </c>
    </row>
    <row r="24" spans="1:15" ht="22.5" customHeight="1" x14ac:dyDescent="0.3">
      <c r="A24" s="190" t="s">
        <v>193</v>
      </c>
      <c r="B24" s="44">
        <v>91</v>
      </c>
      <c r="C24" s="39">
        <v>44</v>
      </c>
      <c r="D24" s="39">
        <v>19</v>
      </c>
      <c r="E24" s="39">
        <v>4</v>
      </c>
      <c r="F24" s="194">
        <v>22</v>
      </c>
      <c r="G24" s="149">
        <f t="shared" si="0"/>
        <v>180</v>
      </c>
      <c r="H24" s="233">
        <v>0</v>
      </c>
      <c r="I24" s="211">
        <v>0</v>
      </c>
      <c r="J24" s="211">
        <v>0</v>
      </c>
      <c r="K24" s="211">
        <v>0</v>
      </c>
      <c r="L24" s="212">
        <v>0</v>
      </c>
      <c r="M24" s="212">
        <v>0</v>
      </c>
      <c r="N24" s="85">
        <f t="shared" si="1"/>
        <v>180</v>
      </c>
      <c r="O24" s="43">
        <f t="shared" si="2"/>
        <v>252.5</v>
      </c>
    </row>
    <row r="25" spans="1:15" ht="22.5" customHeight="1" x14ac:dyDescent="0.3">
      <c r="A25" s="190" t="s">
        <v>194</v>
      </c>
      <c r="B25" s="44">
        <v>83</v>
      </c>
      <c r="C25" s="39">
        <v>56</v>
      </c>
      <c r="D25" s="39">
        <v>11</v>
      </c>
      <c r="E25" s="39">
        <v>1</v>
      </c>
      <c r="F25" s="194">
        <v>39</v>
      </c>
      <c r="G25" s="149">
        <f t="shared" si="0"/>
        <v>190</v>
      </c>
      <c r="H25" s="233">
        <v>0</v>
      </c>
      <c r="I25" s="211">
        <v>0</v>
      </c>
      <c r="J25" s="211">
        <v>0</v>
      </c>
      <c r="K25" s="211">
        <v>0</v>
      </c>
      <c r="L25" s="212">
        <v>0</v>
      </c>
      <c r="M25" s="212">
        <v>0</v>
      </c>
      <c r="N25" s="85">
        <f t="shared" si="1"/>
        <v>190</v>
      </c>
      <c r="O25" s="43">
        <f t="shared" si="2"/>
        <v>306</v>
      </c>
    </row>
    <row r="26" spans="1:15" ht="22.5" customHeight="1" x14ac:dyDescent="0.3">
      <c r="A26" s="190" t="s">
        <v>195</v>
      </c>
      <c r="B26" s="44">
        <v>97</v>
      </c>
      <c r="C26" s="39">
        <v>55</v>
      </c>
      <c r="D26" s="39">
        <v>16</v>
      </c>
      <c r="E26" s="39">
        <v>5</v>
      </c>
      <c r="F26" s="194">
        <v>45</v>
      </c>
      <c r="G26" s="149">
        <f t="shared" si="0"/>
        <v>218</v>
      </c>
      <c r="H26" s="233">
        <v>0</v>
      </c>
      <c r="I26" s="211">
        <v>0</v>
      </c>
      <c r="J26" s="211">
        <v>0</v>
      </c>
      <c r="K26" s="211">
        <v>0</v>
      </c>
      <c r="L26" s="212">
        <v>1</v>
      </c>
      <c r="M26" s="212">
        <v>0</v>
      </c>
      <c r="N26" s="85">
        <f t="shared" si="1"/>
        <v>218</v>
      </c>
      <c r="O26" s="43">
        <f t="shared" si="2"/>
        <v>374</v>
      </c>
    </row>
    <row r="27" spans="1:15" ht="22.5" customHeight="1" x14ac:dyDescent="0.3">
      <c r="A27" s="190" t="s">
        <v>196</v>
      </c>
      <c r="B27" s="44">
        <v>94</v>
      </c>
      <c r="C27" s="39">
        <v>62</v>
      </c>
      <c r="D27" s="39">
        <v>16</v>
      </c>
      <c r="E27" s="39">
        <v>3</v>
      </c>
      <c r="F27" s="194">
        <v>31</v>
      </c>
      <c r="G27" s="149">
        <f t="shared" si="0"/>
        <v>206</v>
      </c>
      <c r="H27" s="233">
        <v>0</v>
      </c>
      <c r="I27" s="211">
        <v>0</v>
      </c>
      <c r="J27" s="211">
        <v>0</v>
      </c>
      <c r="K27" s="211">
        <v>0</v>
      </c>
      <c r="L27" s="212">
        <v>0</v>
      </c>
      <c r="M27" s="212">
        <v>0</v>
      </c>
      <c r="N27" s="85">
        <f t="shared" si="1"/>
        <v>206</v>
      </c>
      <c r="O27" s="43">
        <f t="shared" si="2"/>
        <v>297.5</v>
      </c>
    </row>
    <row r="28" spans="1:15" ht="22.5" customHeight="1" x14ac:dyDescent="0.3">
      <c r="A28" s="190" t="s">
        <v>197</v>
      </c>
      <c r="B28" s="44">
        <v>106</v>
      </c>
      <c r="C28" s="39">
        <v>60</v>
      </c>
      <c r="D28" s="39">
        <v>11</v>
      </c>
      <c r="E28" s="39">
        <v>6</v>
      </c>
      <c r="F28" s="194">
        <v>25</v>
      </c>
      <c r="G28" s="149">
        <f t="shared" si="0"/>
        <v>208</v>
      </c>
      <c r="H28" s="233">
        <v>0</v>
      </c>
      <c r="I28" s="211">
        <v>0</v>
      </c>
      <c r="J28" s="211">
        <v>0</v>
      </c>
      <c r="K28" s="211">
        <v>0</v>
      </c>
      <c r="L28" s="212">
        <v>0</v>
      </c>
      <c r="M28" s="212">
        <v>0</v>
      </c>
      <c r="N28" s="85">
        <f t="shared" si="1"/>
        <v>208</v>
      </c>
      <c r="O28" s="43">
        <f t="shared" si="2"/>
        <v>283</v>
      </c>
    </row>
    <row r="29" spans="1:15" ht="22.5" customHeight="1" x14ac:dyDescent="0.3">
      <c r="A29" s="190" t="s">
        <v>198</v>
      </c>
      <c r="B29" s="44">
        <v>97</v>
      </c>
      <c r="C29" s="39">
        <v>56</v>
      </c>
      <c r="D29" s="39">
        <v>12</v>
      </c>
      <c r="E29" s="39">
        <v>4</v>
      </c>
      <c r="F29" s="194">
        <v>26</v>
      </c>
      <c r="G29" s="149">
        <f t="shared" si="0"/>
        <v>195</v>
      </c>
      <c r="H29" s="233">
        <v>0</v>
      </c>
      <c r="I29" s="211">
        <v>0</v>
      </c>
      <c r="J29" s="211">
        <v>0</v>
      </c>
      <c r="K29" s="211">
        <v>0</v>
      </c>
      <c r="L29" s="212">
        <v>0</v>
      </c>
      <c r="M29" s="212">
        <v>0</v>
      </c>
      <c r="N29" s="85">
        <f t="shared" si="1"/>
        <v>195</v>
      </c>
      <c r="O29" s="43">
        <f t="shared" si="2"/>
        <v>272</v>
      </c>
    </row>
    <row r="30" spans="1:15" ht="22.5" customHeight="1" x14ac:dyDescent="0.3">
      <c r="A30" s="190" t="s">
        <v>199</v>
      </c>
      <c r="B30" s="44">
        <v>83</v>
      </c>
      <c r="C30" s="39">
        <v>63</v>
      </c>
      <c r="D30" s="39">
        <v>12</v>
      </c>
      <c r="E30" s="39">
        <v>2</v>
      </c>
      <c r="F30" s="194">
        <v>21</v>
      </c>
      <c r="G30" s="149">
        <f t="shared" si="0"/>
        <v>181</v>
      </c>
      <c r="H30" s="233">
        <v>0</v>
      </c>
      <c r="I30" s="211">
        <v>0</v>
      </c>
      <c r="J30" s="211">
        <v>0</v>
      </c>
      <c r="K30" s="211">
        <v>0</v>
      </c>
      <c r="L30" s="212">
        <v>0</v>
      </c>
      <c r="M30" s="212">
        <v>0</v>
      </c>
      <c r="N30" s="85">
        <f t="shared" si="1"/>
        <v>181</v>
      </c>
      <c r="O30" s="43">
        <f t="shared" si="2"/>
        <v>233</v>
      </c>
    </row>
    <row r="31" spans="1:15" ht="22.5" customHeight="1" x14ac:dyDescent="0.3">
      <c r="A31" s="190" t="s">
        <v>200</v>
      </c>
      <c r="B31" s="44">
        <v>84</v>
      </c>
      <c r="C31" s="39">
        <v>60</v>
      </c>
      <c r="D31" s="39">
        <v>9</v>
      </c>
      <c r="E31" s="39">
        <v>3</v>
      </c>
      <c r="F31" s="194">
        <v>31</v>
      </c>
      <c r="G31" s="149">
        <f t="shared" si="0"/>
        <v>187</v>
      </c>
      <c r="H31" s="233">
        <v>0</v>
      </c>
      <c r="I31" s="211">
        <v>0</v>
      </c>
      <c r="J31" s="211">
        <v>0</v>
      </c>
      <c r="K31" s="211">
        <v>0</v>
      </c>
      <c r="L31" s="212">
        <v>0</v>
      </c>
      <c r="M31" s="212">
        <v>0</v>
      </c>
      <c r="N31" s="85">
        <f t="shared" si="1"/>
        <v>187</v>
      </c>
      <c r="O31" s="43">
        <f t="shared" si="2"/>
        <v>276</v>
      </c>
    </row>
    <row r="32" spans="1:15" ht="22.5" customHeight="1" x14ac:dyDescent="0.3">
      <c r="A32" s="190" t="s">
        <v>201</v>
      </c>
      <c r="B32" s="44">
        <v>75</v>
      </c>
      <c r="C32" s="39">
        <v>31</v>
      </c>
      <c r="D32" s="39">
        <v>14</v>
      </c>
      <c r="E32" s="39">
        <v>0</v>
      </c>
      <c r="F32" s="194">
        <v>17</v>
      </c>
      <c r="G32" s="149">
        <f t="shared" si="0"/>
        <v>137</v>
      </c>
      <c r="H32" s="233">
        <v>0</v>
      </c>
      <c r="I32" s="211">
        <v>0</v>
      </c>
      <c r="J32" s="211">
        <v>0</v>
      </c>
      <c r="K32" s="211">
        <v>0</v>
      </c>
      <c r="L32" s="212">
        <v>0</v>
      </c>
      <c r="M32" s="212">
        <v>0</v>
      </c>
      <c r="N32" s="85">
        <f t="shared" si="1"/>
        <v>137</v>
      </c>
      <c r="O32" s="43">
        <f t="shared" si="2"/>
        <v>188</v>
      </c>
    </row>
    <row r="33" spans="1:15" ht="22.5" customHeight="1" x14ac:dyDescent="0.3">
      <c r="A33" s="190" t="s">
        <v>202</v>
      </c>
      <c r="B33" s="44">
        <v>83</v>
      </c>
      <c r="C33" s="39">
        <v>42</v>
      </c>
      <c r="D33" s="39">
        <v>42</v>
      </c>
      <c r="E33" s="39">
        <v>3</v>
      </c>
      <c r="F33" s="194">
        <v>16</v>
      </c>
      <c r="G33" s="149">
        <f t="shared" si="0"/>
        <v>186</v>
      </c>
      <c r="H33" s="233">
        <v>0</v>
      </c>
      <c r="I33" s="211">
        <v>0</v>
      </c>
      <c r="J33" s="211">
        <v>0</v>
      </c>
      <c r="K33" s="211">
        <v>0</v>
      </c>
      <c r="L33" s="212">
        <v>0</v>
      </c>
      <c r="M33" s="212">
        <v>0</v>
      </c>
      <c r="N33" s="85">
        <f t="shared" si="1"/>
        <v>186</v>
      </c>
      <c r="O33" s="43">
        <f t="shared" si="2"/>
        <v>248</v>
      </c>
    </row>
    <row r="34" spans="1:15" ht="22.5" customHeight="1" x14ac:dyDescent="0.3">
      <c r="A34" s="190" t="s">
        <v>203</v>
      </c>
      <c r="B34" s="44">
        <v>84</v>
      </c>
      <c r="C34" s="39">
        <v>62</v>
      </c>
      <c r="D34" s="39">
        <v>31</v>
      </c>
      <c r="E34" s="39">
        <v>1</v>
      </c>
      <c r="F34" s="194">
        <v>25</v>
      </c>
      <c r="G34" s="149">
        <f t="shared" si="0"/>
        <v>203</v>
      </c>
      <c r="H34" s="233">
        <v>0</v>
      </c>
      <c r="I34" s="211">
        <v>0</v>
      </c>
      <c r="J34" s="211">
        <v>0</v>
      </c>
      <c r="K34" s="211">
        <v>0</v>
      </c>
      <c r="L34" s="212">
        <v>0</v>
      </c>
      <c r="M34" s="212">
        <v>0</v>
      </c>
      <c r="N34" s="85">
        <f t="shared" si="1"/>
        <v>203</v>
      </c>
      <c r="O34" s="43">
        <f t="shared" si="2"/>
        <v>277</v>
      </c>
    </row>
    <row r="35" spans="1:15" ht="22.5" customHeight="1" x14ac:dyDescent="0.3">
      <c r="A35" s="190" t="s">
        <v>204</v>
      </c>
      <c r="B35" s="44">
        <v>79</v>
      </c>
      <c r="C35" s="39">
        <v>52</v>
      </c>
      <c r="D35" s="39">
        <v>31</v>
      </c>
      <c r="E35" s="39">
        <v>2</v>
      </c>
      <c r="F35" s="194">
        <v>3</v>
      </c>
      <c r="G35" s="149">
        <f t="shared" si="0"/>
        <v>167</v>
      </c>
      <c r="H35" s="233">
        <v>0</v>
      </c>
      <c r="I35" s="211">
        <v>0</v>
      </c>
      <c r="J35" s="211">
        <v>0</v>
      </c>
      <c r="K35" s="211">
        <v>0</v>
      </c>
      <c r="L35" s="212">
        <v>0</v>
      </c>
      <c r="M35" s="212">
        <v>0</v>
      </c>
      <c r="N35" s="85">
        <f t="shared" si="1"/>
        <v>167</v>
      </c>
      <c r="O35" s="43">
        <f t="shared" si="2"/>
        <v>171</v>
      </c>
    </row>
    <row r="36" spans="1:15" ht="22.5" customHeight="1" x14ac:dyDescent="0.3">
      <c r="A36" s="190" t="s">
        <v>205</v>
      </c>
      <c r="B36" s="44">
        <v>76</v>
      </c>
      <c r="C36" s="39">
        <v>43</v>
      </c>
      <c r="D36" s="39">
        <v>11</v>
      </c>
      <c r="E36" s="39">
        <v>3</v>
      </c>
      <c r="F36" s="194">
        <v>25</v>
      </c>
      <c r="G36" s="149">
        <f t="shared" si="0"/>
        <v>158</v>
      </c>
      <c r="H36" s="233">
        <v>0</v>
      </c>
      <c r="I36" s="211">
        <v>0</v>
      </c>
      <c r="J36" s="211">
        <v>0</v>
      </c>
      <c r="K36" s="211">
        <v>0</v>
      </c>
      <c r="L36" s="212">
        <v>1</v>
      </c>
      <c r="M36" s="212">
        <v>0</v>
      </c>
      <c r="N36" s="85">
        <f t="shared" si="1"/>
        <v>158</v>
      </c>
      <c r="O36" s="43">
        <f t="shared" si="2"/>
        <v>243.5</v>
      </c>
    </row>
    <row r="37" spans="1:15" ht="22.5" customHeight="1" x14ac:dyDescent="0.3">
      <c r="A37" s="190" t="s">
        <v>206</v>
      </c>
      <c r="B37" s="44">
        <v>83</v>
      </c>
      <c r="C37" s="39">
        <v>40</v>
      </c>
      <c r="D37" s="39">
        <v>23</v>
      </c>
      <c r="E37" s="39">
        <v>2</v>
      </c>
      <c r="F37" s="194">
        <v>31</v>
      </c>
      <c r="G37" s="149">
        <f t="shared" si="0"/>
        <v>179</v>
      </c>
      <c r="H37" s="233">
        <v>0</v>
      </c>
      <c r="I37" s="211">
        <v>0</v>
      </c>
      <c r="J37" s="211">
        <v>0</v>
      </c>
      <c r="K37" s="211">
        <v>0</v>
      </c>
      <c r="L37" s="212">
        <v>0</v>
      </c>
      <c r="M37" s="212">
        <v>0</v>
      </c>
      <c r="N37" s="85">
        <f t="shared" si="1"/>
        <v>179</v>
      </c>
      <c r="O37" s="43">
        <f t="shared" si="2"/>
        <v>283</v>
      </c>
    </row>
    <row r="38" spans="1:15" ht="22.5" customHeight="1" x14ac:dyDescent="0.3">
      <c r="A38" s="190" t="s">
        <v>207</v>
      </c>
      <c r="B38" s="44">
        <v>83</v>
      </c>
      <c r="C38" s="39">
        <v>37</v>
      </c>
      <c r="D38" s="39">
        <v>21</v>
      </c>
      <c r="E38" s="39">
        <v>4</v>
      </c>
      <c r="F38" s="194">
        <v>31</v>
      </c>
      <c r="G38" s="149">
        <f t="shared" si="0"/>
        <v>176</v>
      </c>
      <c r="H38" s="233">
        <v>0</v>
      </c>
      <c r="I38" s="211">
        <v>0</v>
      </c>
      <c r="J38" s="211">
        <v>0</v>
      </c>
      <c r="K38" s="211">
        <v>0</v>
      </c>
      <c r="L38" s="212">
        <v>0</v>
      </c>
      <c r="M38" s="212">
        <v>0</v>
      </c>
      <c r="N38" s="85">
        <f t="shared" si="1"/>
        <v>176</v>
      </c>
      <c r="O38" s="43">
        <f t="shared" si="2"/>
        <v>284.5</v>
      </c>
    </row>
    <row r="39" spans="1:15" ht="22.5" customHeight="1" x14ac:dyDescent="0.3">
      <c r="A39" s="190" t="s">
        <v>208</v>
      </c>
      <c r="B39" s="44">
        <v>94</v>
      </c>
      <c r="C39" s="39">
        <v>32</v>
      </c>
      <c r="D39" s="39">
        <v>29</v>
      </c>
      <c r="E39" s="39">
        <v>2</v>
      </c>
      <c r="F39" s="194">
        <v>22</v>
      </c>
      <c r="G39" s="149">
        <f t="shared" si="0"/>
        <v>179</v>
      </c>
      <c r="H39" s="233">
        <v>0</v>
      </c>
      <c r="I39" s="211">
        <v>0</v>
      </c>
      <c r="J39" s="211">
        <v>0</v>
      </c>
      <c r="K39" s="211">
        <v>0</v>
      </c>
      <c r="L39" s="212">
        <v>0</v>
      </c>
      <c r="M39" s="212">
        <v>0</v>
      </c>
      <c r="N39" s="85">
        <f t="shared" si="1"/>
        <v>179</v>
      </c>
      <c r="O39" s="43">
        <f t="shared" si="2"/>
        <v>258.5</v>
      </c>
    </row>
    <row r="40" spans="1:15" ht="22.5" customHeight="1" x14ac:dyDescent="0.3">
      <c r="A40" s="190" t="s">
        <v>209</v>
      </c>
      <c r="B40" s="44">
        <v>136</v>
      </c>
      <c r="C40" s="39">
        <v>56</v>
      </c>
      <c r="D40" s="39">
        <v>27</v>
      </c>
      <c r="E40" s="39">
        <v>4</v>
      </c>
      <c r="F40" s="194">
        <v>28</v>
      </c>
      <c r="G40" s="149">
        <f t="shared" si="0"/>
        <v>251</v>
      </c>
      <c r="H40" s="233">
        <v>0</v>
      </c>
      <c r="I40" s="211">
        <v>0</v>
      </c>
      <c r="J40" s="211">
        <v>0</v>
      </c>
      <c r="K40" s="211">
        <v>0</v>
      </c>
      <c r="L40" s="212">
        <v>0</v>
      </c>
      <c r="M40" s="212">
        <v>0</v>
      </c>
      <c r="N40" s="85">
        <f t="shared" si="1"/>
        <v>251</v>
      </c>
      <c r="O40" s="43">
        <f t="shared" si="2"/>
        <v>342.5</v>
      </c>
    </row>
    <row r="41" spans="1:15" ht="22.5" customHeight="1" x14ac:dyDescent="0.3">
      <c r="A41" s="190" t="s">
        <v>210</v>
      </c>
      <c r="B41" s="44">
        <v>124</v>
      </c>
      <c r="C41" s="39">
        <v>65</v>
      </c>
      <c r="D41" s="39">
        <v>19</v>
      </c>
      <c r="E41" s="39">
        <v>7</v>
      </c>
      <c r="F41" s="194">
        <v>28</v>
      </c>
      <c r="G41" s="149">
        <f t="shared" si="0"/>
        <v>243</v>
      </c>
      <c r="H41" s="233">
        <v>0</v>
      </c>
      <c r="I41" s="211">
        <v>0</v>
      </c>
      <c r="J41" s="211">
        <v>0</v>
      </c>
      <c r="K41" s="211">
        <v>0</v>
      </c>
      <c r="L41" s="212">
        <v>0</v>
      </c>
      <c r="M41" s="212">
        <v>0</v>
      </c>
      <c r="N41" s="85">
        <f t="shared" si="1"/>
        <v>243</v>
      </c>
      <c r="O41" s="43">
        <f t="shared" si="2"/>
        <v>332</v>
      </c>
    </row>
    <row r="42" spans="1:15" ht="22.5" customHeight="1" x14ac:dyDescent="0.3">
      <c r="A42" s="190" t="s">
        <v>211</v>
      </c>
      <c r="B42" s="44">
        <v>169</v>
      </c>
      <c r="C42" s="39">
        <v>55</v>
      </c>
      <c r="D42" s="39">
        <v>26</v>
      </c>
      <c r="E42" s="39">
        <v>4</v>
      </c>
      <c r="F42" s="194">
        <v>33</v>
      </c>
      <c r="G42" s="149">
        <f t="shared" si="0"/>
        <v>287</v>
      </c>
      <c r="H42" s="233">
        <v>0</v>
      </c>
      <c r="I42" s="211">
        <v>0</v>
      </c>
      <c r="J42" s="211">
        <v>0</v>
      </c>
      <c r="K42" s="211">
        <v>0</v>
      </c>
      <c r="L42" s="212">
        <v>0</v>
      </c>
      <c r="M42" s="212">
        <v>0</v>
      </c>
      <c r="N42" s="85">
        <f t="shared" si="1"/>
        <v>287</v>
      </c>
      <c r="O42" s="43">
        <f t="shared" si="2"/>
        <v>396</v>
      </c>
    </row>
    <row r="43" spans="1:15" ht="22.5" customHeight="1" x14ac:dyDescent="0.3">
      <c r="A43" s="190" t="s">
        <v>212</v>
      </c>
      <c r="B43" s="44">
        <v>163</v>
      </c>
      <c r="C43" s="39">
        <v>37</v>
      </c>
      <c r="D43" s="39">
        <v>11</v>
      </c>
      <c r="E43" s="39">
        <v>12</v>
      </c>
      <c r="F43" s="194">
        <v>33</v>
      </c>
      <c r="G43" s="149">
        <f t="shared" si="0"/>
        <v>256</v>
      </c>
      <c r="H43" s="233">
        <v>1</v>
      </c>
      <c r="I43" s="211">
        <v>0</v>
      </c>
      <c r="J43" s="211">
        <v>0</v>
      </c>
      <c r="K43" s="211">
        <v>0</v>
      </c>
      <c r="L43" s="212">
        <v>0</v>
      </c>
      <c r="M43" s="212">
        <v>0</v>
      </c>
      <c r="N43" s="85">
        <f t="shared" si="1"/>
        <v>256</v>
      </c>
      <c r="O43" s="43">
        <f t="shared" si="2"/>
        <v>383</v>
      </c>
    </row>
    <row r="44" spans="1:15" ht="22.5" customHeight="1" x14ac:dyDescent="0.3">
      <c r="A44" s="190" t="s">
        <v>213</v>
      </c>
      <c r="B44" s="44">
        <v>175</v>
      </c>
      <c r="C44" s="39">
        <v>54</v>
      </c>
      <c r="D44" s="39">
        <v>12</v>
      </c>
      <c r="E44" s="39">
        <v>4</v>
      </c>
      <c r="F44" s="194">
        <v>31</v>
      </c>
      <c r="G44" s="149">
        <f t="shared" si="0"/>
        <v>276</v>
      </c>
      <c r="H44" s="233">
        <v>0</v>
      </c>
      <c r="I44" s="211">
        <v>0</v>
      </c>
      <c r="J44" s="211">
        <v>0</v>
      </c>
      <c r="K44" s="211">
        <v>0</v>
      </c>
      <c r="L44" s="212">
        <v>0</v>
      </c>
      <c r="M44" s="212">
        <v>0</v>
      </c>
      <c r="N44" s="85">
        <f t="shared" si="1"/>
        <v>276</v>
      </c>
      <c r="O44" s="43">
        <f t="shared" si="2"/>
        <v>371.5</v>
      </c>
    </row>
    <row r="45" spans="1:15" ht="22.5" customHeight="1" x14ac:dyDescent="0.3">
      <c r="A45" s="190" t="s">
        <v>214</v>
      </c>
      <c r="B45" s="44">
        <v>199</v>
      </c>
      <c r="C45" s="39">
        <v>43</v>
      </c>
      <c r="D45" s="39">
        <v>18</v>
      </c>
      <c r="E45" s="39">
        <v>8</v>
      </c>
      <c r="F45" s="194">
        <v>17</v>
      </c>
      <c r="G45" s="149">
        <f t="shared" si="0"/>
        <v>285</v>
      </c>
      <c r="H45" s="233">
        <v>0</v>
      </c>
      <c r="I45" s="211">
        <v>0</v>
      </c>
      <c r="J45" s="211">
        <v>0</v>
      </c>
      <c r="K45" s="211">
        <v>0</v>
      </c>
      <c r="L45" s="212">
        <v>1</v>
      </c>
      <c r="M45" s="212">
        <v>0</v>
      </c>
      <c r="N45" s="85">
        <f t="shared" si="1"/>
        <v>285</v>
      </c>
      <c r="O45" s="43">
        <f t="shared" si="2"/>
        <v>356</v>
      </c>
    </row>
    <row r="46" spans="1:15" ht="22.5" customHeight="1" x14ac:dyDescent="0.3">
      <c r="A46" s="190" t="s">
        <v>215</v>
      </c>
      <c r="B46" s="44">
        <v>136</v>
      </c>
      <c r="C46" s="39">
        <v>83</v>
      </c>
      <c r="D46" s="39">
        <v>18</v>
      </c>
      <c r="E46" s="39">
        <v>8</v>
      </c>
      <c r="F46" s="194">
        <v>42</v>
      </c>
      <c r="G46" s="149">
        <f t="shared" si="0"/>
        <v>287</v>
      </c>
      <c r="H46" s="233">
        <v>0</v>
      </c>
      <c r="I46" s="211">
        <v>0</v>
      </c>
      <c r="J46" s="211">
        <v>0</v>
      </c>
      <c r="K46" s="211">
        <v>0</v>
      </c>
      <c r="L46" s="212">
        <v>1</v>
      </c>
      <c r="M46" s="212">
        <v>0</v>
      </c>
      <c r="N46" s="85">
        <f t="shared" si="1"/>
        <v>287</v>
      </c>
      <c r="O46" s="43">
        <f t="shared" si="2"/>
        <v>425.5</v>
      </c>
    </row>
    <row r="47" spans="1:15" ht="22.5" customHeight="1" x14ac:dyDescent="0.3">
      <c r="A47" s="190" t="s">
        <v>216</v>
      </c>
      <c r="B47" s="44">
        <v>151</v>
      </c>
      <c r="C47" s="39">
        <v>75</v>
      </c>
      <c r="D47" s="39">
        <v>18</v>
      </c>
      <c r="E47" s="39">
        <v>19</v>
      </c>
      <c r="F47" s="194">
        <v>46</v>
      </c>
      <c r="G47" s="149">
        <f t="shared" si="0"/>
        <v>309</v>
      </c>
      <c r="H47" s="233">
        <v>0</v>
      </c>
      <c r="I47" s="211">
        <v>0</v>
      </c>
      <c r="J47" s="211">
        <v>0</v>
      </c>
      <c r="K47" s="211">
        <v>0</v>
      </c>
      <c r="L47" s="212">
        <v>0</v>
      </c>
      <c r="M47" s="212">
        <v>0</v>
      </c>
      <c r="N47" s="85">
        <f t="shared" si="1"/>
        <v>309</v>
      </c>
      <c r="O47" s="43">
        <f t="shared" si="2"/>
        <v>479.5</v>
      </c>
    </row>
    <row r="48" spans="1:15" ht="22.5" customHeight="1" x14ac:dyDescent="0.3">
      <c r="A48" s="190" t="s">
        <v>217</v>
      </c>
      <c r="B48" s="44">
        <v>142</v>
      </c>
      <c r="C48" s="39">
        <v>80</v>
      </c>
      <c r="D48" s="39">
        <v>21</v>
      </c>
      <c r="E48" s="39">
        <v>6</v>
      </c>
      <c r="F48" s="194">
        <v>38</v>
      </c>
      <c r="G48" s="149">
        <f t="shared" si="0"/>
        <v>287</v>
      </c>
      <c r="H48" s="233">
        <v>0</v>
      </c>
      <c r="I48" s="211">
        <v>0</v>
      </c>
      <c r="J48" s="211">
        <v>0</v>
      </c>
      <c r="K48" s="211">
        <v>0</v>
      </c>
      <c r="L48" s="212">
        <v>0</v>
      </c>
      <c r="M48" s="212">
        <v>0</v>
      </c>
      <c r="N48" s="85">
        <f t="shared" si="1"/>
        <v>287</v>
      </c>
      <c r="O48" s="43">
        <f t="shared" si="2"/>
        <v>402.5</v>
      </c>
    </row>
    <row r="49" spans="1:15" ht="22.5" customHeight="1" x14ac:dyDescent="0.3">
      <c r="A49" s="190" t="s">
        <v>218</v>
      </c>
      <c r="B49" s="44">
        <v>167</v>
      </c>
      <c r="C49" s="39">
        <v>109</v>
      </c>
      <c r="D49" s="39">
        <v>19</v>
      </c>
      <c r="E49" s="39">
        <v>6</v>
      </c>
      <c r="F49" s="194">
        <v>43</v>
      </c>
      <c r="G49" s="149">
        <f t="shared" si="0"/>
        <v>344</v>
      </c>
      <c r="H49" s="233">
        <v>0</v>
      </c>
      <c r="I49" s="211">
        <v>0</v>
      </c>
      <c r="J49" s="211">
        <v>0</v>
      </c>
      <c r="K49" s="211">
        <v>0</v>
      </c>
      <c r="L49" s="212">
        <v>0</v>
      </c>
      <c r="M49" s="212">
        <v>0</v>
      </c>
      <c r="N49" s="85">
        <f t="shared" si="1"/>
        <v>344</v>
      </c>
      <c r="O49" s="43">
        <f t="shared" si="2"/>
        <v>461.5</v>
      </c>
    </row>
    <row r="50" spans="1:15" ht="22.5" customHeight="1" x14ac:dyDescent="0.3">
      <c r="A50" s="190" t="s">
        <v>219</v>
      </c>
      <c r="B50" s="44">
        <v>140</v>
      </c>
      <c r="C50" s="39">
        <v>94</v>
      </c>
      <c r="D50" s="39">
        <v>19</v>
      </c>
      <c r="E50" s="39">
        <v>6</v>
      </c>
      <c r="F50" s="194">
        <v>28</v>
      </c>
      <c r="G50" s="149">
        <f t="shared" si="0"/>
        <v>287</v>
      </c>
      <c r="H50" s="233">
        <v>0</v>
      </c>
      <c r="I50" s="211">
        <v>0</v>
      </c>
      <c r="J50" s="211">
        <v>0</v>
      </c>
      <c r="K50" s="211">
        <v>0</v>
      </c>
      <c r="L50" s="212">
        <v>0</v>
      </c>
      <c r="M50" s="212">
        <v>0</v>
      </c>
      <c r="N50" s="85">
        <f t="shared" si="1"/>
        <v>287</v>
      </c>
      <c r="O50" s="43">
        <f t="shared" si="2"/>
        <v>359.5</v>
      </c>
    </row>
    <row r="51" spans="1:15" ht="22.5" customHeight="1" x14ac:dyDescent="0.3">
      <c r="A51" s="190" t="s">
        <v>220</v>
      </c>
      <c r="B51" s="44">
        <v>165</v>
      </c>
      <c r="C51" s="39">
        <v>87</v>
      </c>
      <c r="D51" s="39">
        <v>24</v>
      </c>
      <c r="E51" s="39">
        <v>9</v>
      </c>
      <c r="F51" s="194">
        <v>40</v>
      </c>
      <c r="G51" s="149">
        <f t="shared" si="0"/>
        <v>325</v>
      </c>
      <c r="H51" s="233">
        <v>0</v>
      </c>
      <c r="I51" s="211">
        <v>0</v>
      </c>
      <c r="J51" s="211">
        <v>0</v>
      </c>
      <c r="K51" s="211">
        <v>0</v>
      </c>
      <c r="L51" s="212">
        <v>0</v>
      </c>
      <c r="M51" s="212">
        <v>0</v>
      </c>
      <c r="N51" s="85">
        <f t="shared" si="1"/>
        <v>325</v>
      </c>
      <c r="O51" s="43">
        <f t="shared" si="2"/>
        <v>451.5</v>
      </c>
    </row>
    <row r="52" spans="1:15" ht="22.5" customHeight="1" x14ac:dyDescent="0.3">
      <c r="A52" s="190" t="s">
        <v>221</v>
      </c>
      <c r="B52" s="44">
        <v>147</v>
      </c>
      <c r="C52" s="39">
        <v>85</v>
      </c>
      <c r="D52" s="39">
        <v>19</v>
      </c>
      <c r="E52" s="39">
        <v>8</v>
      </c>
      <c r="F52" s="194">
        <v>35</v>
      </c>
      <c r="G52" s="149">
        <f t="shared" si="0"/>
        <v>294</v>
      </c>
      <c r="H52" s="233">
        <v>0</v>
      </c>
      <c r="I52" s="211">
        <v>0</v>
      </c>
      <c r="J52" s="211">
        <v>0</v>
      </c>
      <c r="K52" s="211">
        <v>0</v>
      </c>
      <c r="L52" s="212">
        <v>0</v>
      </c>
      <c r="M52" s="212">
        <v>0</v>
      </c>
      <c r="N52" s="85">
        <f t="shared" si="1"/>
        <v>294</v>
      </c>
      <c r="O52" s="43">
        <f t="shared" si="2"/>
        <v>399.5</v>
      </c>
    </row>
    <row r="53" spans="1:15" ht="22.5" customHeight="1" x14ac:dyDescent="0.3">
      <c r="A53" s="190" t="s">
        <v>222</v>
      </c>
      <c r="B53" s="44">
        <v>154</v>
      </c>
      <c r="C53" s="39">
        <v>84</v>
      </c>
      <c r="D53" s="39">
        <v>11</v>
      </c>
      <c r="E53" s="39">
        <v>4</v>
      </c>
      <c r="F53" s="194">
        <v>62</v>
      </c>
      <c r="G53" s="149">
        <f t="shared" si="0"/>
        <v>315</v>
      </c>
      <c r="H53" s="233">
        <v>1</v>
      </c>
      <c r="I53" s="211">
        <v>0</v>
      </c>
      <c r="J53" s="211">
        <v>0</v>
      </c>
      <c r="K53" s="211">
        <v>0</v>
      </c>
      <c r="L53" s="212">
        <v>0</v>
      </c>
      <c r="M53" s="212">
        <v>0</v>
      </c>
      <c r="N53" s="85">
        <f t="shared" si="1"/>
        <v>315</v>
      </c>
      <c r="O53" s="43">
        <f t="shared" si="2"/>
        <v>504</v>
      </c>
    </row>
    <row r="54" spans="1:15" ht="22.5" customHeight="1" x14ac:dyDescent="0.3">
      <c r="A54" s="190" t="s">
        <v>223</v>
      </c>
      <c r="B54" s="44">
        <v>151</v>
      </c>
      <c r="C54" s="39">
        <v>92</v>
      </c>
      <c r="D54" s="39">
        <v>13</v>
      </c>
      <c r="E54" s="39">
        <v>9</v>
      </c>
      <c r="F54" s="194">
        <v>37</v>
      </c>
      <c r="G54" s="149">
        <f t="shared" si="0"/>
        <v>302</v>
      </c>
      <c r="H54" s="233">
        <v>0</v>
      </c>
      <c r="I54" s="211">
        <v>0</v>
      </c>
      <c r="J54" s="211">
        <v>0</v>
      </c>
      <c r="K54" s="211">
        <v>0</v>
      </c>
      <c r="L54" s="212">
        <v>0</v>
      </c>
      <c r="M54" s="212">
        <v>0</v>
      </c>
      <c r="N54" s="85">
        <f t="shared" si="1"/>
        <v>302</v>
      </c>
      <c r="O54" s="43">
        <f t="shared" si="2"/>
        <v>410</v>
      </c>
    </row>
    <row r="55" spans="1:15" ht="22.5" customHeight="1" x14ac:dyDescent="0.3">
      <c r="A55" s="190" t="s">
        <v>224</v>
      </c>
      <c r="B55" s="44">
        <v>120</v>
      </c>
      <c r="C55" s="39">
        <v>52</v>
      </c>
      <c r="D55" s="39">
        <v>20</v>
      </c>
      <c r="E55" s="39">
        <v>8</v>
      </c>
      <c r="F55" s="194">
        <v>42</v>
      </c>
      <c r="G55" s="149">
        <f t="shared" si="0"/>
        <v>242</v>
      </c>
      <c r="H55" s="233">
        <v>0</v>
      </c>
      <c r="I55" s="211">
        <v>0</v>
      </c>
      <c r="J55" s="211">
        <v>0</v>
      </c>
      <c r="K55" s="211">
        <v>0</v>
      </c>
      <c r="L55" s="212">
        <v>0</v>
      </c>
      <c r="M55" s="212">
        <v>0</v>
      </c>
      <c r="N55" s="85">
        <f t="shared" si="1"/>
        <v>242</v>
      </c>
      <c r="O55" s="43">
        <f t="shared" si="2"/>
        <v>389</v>
      </c>
    </row>
    <row r="56" spans="1:15" ht="22.5" customHeight="1" x14ac:dyDescent="0.3">
      <c r="A56" s="190" t="s">
        <v>225</v>
      </c>
      <c r="B56" s="44">
        <v>121</v>
      </c>
      <c r="C56" s="39">
        <v>63</v>
      </c>
      <c r="D56" s="39">
        <v>10</v>
      </c>
      <c r="E56" s="39">
        <v>9</v>
      </c>
      <c r="F56" s="194">
        <v>39</v>
      </c>
      <c r="G56" s="149">
        <f t="shared" si="0"/>
        <v>242</v>
      </c>
      <c r="H56" s="233">
        <v>0</v>
      </c>
      <c r="I56" s="211">
        <v>0</v>
      </c>
      <c r="J56" s="211">
        <v>0</v>
      </c>
      <c r="K56" s="211">
        <v>0</v>
      </c>
      <c r="L56" s="212">
        <v>0</v>
      </c>
      <c r="M56" s="212">
        <v>0</v>
      </c>
      <c r="N56" s="85">
        <f t="shared" si="1"/>
        <v>242</v>
      </c>
      <c r="O56" s="43">
        <f t="shared" si="2"/>
        <v>370</v>
      </c>
    </row>
    <row r="57" spans="1:15" ht="22.5" customHeight="1" x14ac:dyDescent="0.3">
      <c r="A57" s="190" t="s">
        <v>226</v>
      </c>
      <c r="B57" s="44">
        <v>80</v>
      </c>
      <c r="C57" s="39">
        <v>62</v>
      </c>
      <c r="D57" s="39">
        <v>11</v>
      </c>
      <c r="E57" s="39">
        <v>7</v>
      </c>
      <c r="F57" s="194">
        <v>31</v>
      </c>
      <c r="G57" s="149">
        <f t="shared" si="0"/>
        <v>191</v>
      </c>
      <c r="H57" s="233">
        <v>0</v>
      </c>
      <c r="I57" s="211">
        <v>0</v>
      </c>
      <c r="J57" s="211">
        <v>0</v>
      </c>
      <c r="K57" s="211">
        <v>0</v>
      </c>
      <c r="L57" s="212">
        <v>0</v>
      </c>
      <c r="M57" s="212">
        <v>0</v>
      </c>
      <c r="N57" s="85">
        <f t="shared" si="1"/>
        <v>191</v>
      </c>
      <c r="O57" s="43">
        <f t="shared" si="2"/>
        <v>288</v>
      </c>
    </row>
    <row r="58" spans="1:15" ht="22.5" customHeight="1" x14ac:dyDescent="0.3">
      <c r="A58" s="190" t="s">
        <v>227</v>
      </c>
      <c r="B58" s="44">
        <v>90</v>
      </c>
      <c r="C58" s="39">
        <v>45</v>
      </c>
      <c r="D58" s="39">
        <v>6</v>
      </c>
      <c r="E58" s="39">
        <v>5</v>
      </c>
      <c r="F58" s="194">
        <v>45</v>
      </c>
      <c r="G58" s="149">
        <f t="shared" si="0"/>
        <v>191</v>
      </c>
      <c r="H58" s="233">
        <v>0</v>
      </c>
      <c r="I58" s="211">
        <v>0</v>
      </c>
      <c r="J58" s="211">
        <v>0</v>
      </c>
      <c r="K58" s="211">
        <v>0</v>
      </c>
      <c r="L58" s="212">
        <v>0</v>
      </c>
      <c r="M58" s="212">
        <v>0</v>
      </c>
      <c r="N58" s="85">
        <f t="shared" si="1"/>
        <v>191</v>
      </c>
      <c r="O58" s="43">
        <f t="shared" si="2"/>
        <v>339</v>
      </c>
    </row>
    <row r="59" spans="1:15" ht="22.5" customHeight="1" x14ac:dyDescent="0.3">
      <c r="A59" s="190" t="s">
        <v>228</v>
      </c>
      <c r="B59" s="44">
        <v>64</v>
      </c>
      <c r="C59" s="39">
        <v>37</v>
      </c>
      <c r="D59" s="39">
        <v>8</v>
      </c>
      <c r="E59" s="39">
        <v>6</v>
      </c>
      <c r="F59" s="194">
        <v>52</v>
      </c>
      <c r="G59" s="149">
        <f t="shared" si="0"/>
        <v>167</v>
      </c>
      <c r="H59" s="233">
        <v>0</v>
      </c>
      <c r="I59" s="211">
        <v>0</v>
      </c>
      <c r="J59" s="211">
        <v>0</v>
      </c>
      <c r="K59" s="211">
        <v>0</v>
      </c>
      <c r="L59" s="212">
        <v>0</v>
      </c>
      <c r="M59" s="212">
        <v>0</v>
      </c>
      <c r="N59" s="85">
        <f t="shared" si="1"/>
        <v>167</v>
      </c>
      <c r="O59" s="43">
        <f t="shared" si="2"/>
        <v>346.5</v>
      </c>
    </row>
    <row r="60" spans="1:15" ht="22.5" customHeight="1" x14ac:dyDescent="0.3">
      <c r="A60" s="190" t="s">
        <v>229</v>
      </c>
      <c r="B60" s="44">
        <v>54</v>
      </c>
      <c r="C60" s="39">
        <v>26</v>
      </c>
      <c r="D60" s="39">
        <v>14</v>
      </c>
      <c r="E60" s="39">
        <v>3</v>
      </c>
      <c r="F60" s="194">
        <v>50</v>
      </c>
      <c r="G60" s="149">
        <f t="shared" si="0"/>
        <v>147</v>
      </c>
      <c r="H60" s="233">
        <v>0</v>
      </c>
      <c r="I60" s="211">
        <v>0</v>
      </c>
      <c r="J60" s="211">
        <v>0</v>
      </c>
      <c r="K60" s="211">
        <v>0</v>
      </c>
      <c r="L60" s="212">
        <v>0</v>
      </c>
      <c r="M60" s="212">
        <v>0</v>
      </c>
      <c r="N60" s="85">
        <f t="shared" si="1"/>
        <v>147</v>
      </c>
      <c r="O60" s="43">
        <f t="shared" si="2"/>
        <v>322</v>
      </c>
    </row>
    <row r="61" spans="1:15" ht="22.5" customHeight="1" x14ac:dyDescent="0.3">
      <c r="A61" s="190" t="s">
        <v>230</v>
      </c>
      <c r="B61" s="44">
        <v>52</v>
      </c>
      <c r="C61" s="39">
        <v>21</v>
      </c>
      <c r="D61" s="39">
        <v>13</v>
      </c>
      <c r="E61" s="39">
        <v>4</v>
      </c>
      <c r="F61" s="194">
        <v>52</v>
      </c>
      <c r="G61" s="149">
        <f t="shared" si="0"/>
        <v>142</v>
      </c>
      <c r="H61" s="233">
        <v>0</v>
      </c>
      <c r="I61" s="211">
        <v>0</v>
      </c>
      <c r="J61" s="211">
        <v>0</v>
      </c>
      <c r="K61" s="211">
        <v>0</v>
      </c>
      <c r="L61" s="212">
        <v>0</v>
      </c>
      <c r="M61" s="212">
        <v>0</v>
      </c>
      <c r="N61" s="85">
        <f t="shared" si="1"/>
        <v>142</v>
      </c>
      <c r="O61" s="43">
        <f t="shared" si="2"/>
        <v>328</v>
      </c>
    </row>
    <row r="62" spans="1:15" ht="22.5" customHeight="1" x14ac:dyDescent="0.3">
      <c r="A62" s="190" t="s">
        <v>231</v>
      </c>
      <c r="B62" s="44">
        <v>78</v>
      </c>
      <c r="C62" s="39">
        <v>20</v>
      </c>
      <c r="D62" s="39">
        <v>14</v>
      </c>
      <c r="E62" s="39">
        <v>3</v>
      </c>
      <c r="F62" s="194">
        <v>67</v>
      </c>
      <c r="G62" s="149">
        <f t="shared" si="0"/>
        <v>182</v>
      </c>
      <c r="H62" s="233">
        <v>0</v>
      </c>
      <c r="I62" s="211">
        <v>0</v>
      </c>
      <c r="J62" s="211">
        <v>0</v>
      </c>
      <c r="K62" s="211">
        <v>0</v>
      </c>
      <c r="L62" s="212">
        <v>0</v>
      </c>
      <c r="M62" s="212">
        <v>0</v>
      </c>
      <c r="N62" s="85">
        <f t="shared" si="1"/>
        <v>182</v>
      </c>
      <c r="O62" s="43">
        <f t="shared" si="2"/>
        <v>419.5</v>
      </c>
    </row>
    <row r="63" spans="1:15" ht="22.5" customHeight="1" x14ac:dyDescent="0.3">
      <c r="A63" s="190" t="s">
        <v>232</v>
      </c>
      <c r="B63" s="44">
        <v>67</v>
      </c>
      <c r="C63" s="39">
        <v>25</v>
      </c>
      <c r="D63" s="39">
        <v>13</v>
      </c>
      <c r="E63" s="39">
        <v>2</v>
      </c>
      <c r="F63" s="194">
        <v>42</v>
      </c>
      <c r="G63" s="149">
        <f t="shared" si="0"/>
        <v>149</v>
      </c>
      <c r="H63" s="233">
        <v>0</v>
      </c>
      <c r="I63" s="211">
        <v>0</v>
      </c>
      <c r="J63" s="211">
        <v>0</v>
      </c>
      <c r="K63" s="211">
        <v>0</v>
      </c>
      <c r="L63" s="212">
        <v>0</v>
      </c>
      <c r="M63" s="212">
        <v>0</v>
      </c>
      <c r="N63" s="85">
        <f t="shared" si="1"/>
        <v>149</v>
      </c>
      <c r="O63" s="43">
        <f t="shared" si="2"/>
        <v>294</v>
      </c>
    </row>
    <row r="64" spans="1:15" ht="22.5" customHeight="1" x14ac:dyDescent="0.3">
      <c r="A64" s="190" t="s">
        <v>233</v>
      </c>
      <c r="B64" s="44">
        <v>59</v>
      </c>
      <c r="C64" s="39">
        <v>11</v>
      </c>
      <c r="D64" s="39">
        <v>20</v>
      </c>
      <c r="E64" s="39">
        <v>7</v>
      </c>
      <c r="F64" s="194">
        <v>47</v>
      </c>
      <c r="G64" s="149">
        <f t="shared" si="0"/>
        <v>144</v>
      </c>
      <c r="H64" s="233">
        <v>0</v>
      </c>
      <c r="I64" s="211">
        <v>0</v>
      </c>
      <c r="J64" s="211">
        <v>0</v>
      </c>
      <c r="K64" s="211">
        <v>0</v>
      </c>
      <c r="L64" s="212">
        <v>0</v>
      </c>
      <c r="M64" s="212">
        <v>0</v>
      </c>
      <c r="N64" s="85">
        <f t="shared" si="1"/>
        <v>144</v>
      </c>
      <c r="O64" s="43">
        <f t="shared" si="2"/>
        <v>327</v>
      </c>
    </row>
    <row r="65" spans="1:15" ht="22.5" customHeight="1" x14ac:dyDescent="0.3">
      <c r="A65" s="190" t="s">
        <v>234</v>
      </c>
      <c r="B65" s="44">
        <v>52</v>
      </c>
      <c r="C65" s="39">
        <v>15</v>
      </c>
      <c r="D65" s="39">
        <v>16</v>
      </c>
      <c r="E65" s="39">
        <v>3</v>
      </c>
      <c r="F65" s="194">
        <v>43</v>
      </c>
      <c r="G65" s="149">
        <f t="shared" si="0"/>
        <v>129</v>
      </c>
      <c r="H65" s="233">
        <v>0</v>
      </c>
      <c r="I65" s="211">
        <v>0</v>
      </c>
      <c r="J65" s="211">
        <v>0</v>
      </c>
      <c r="K65" s="211">
        <v>0</v>
      </c>
      <c r="L65" s="212">
        <v>0</v>
      </c>
      <c r="M65" s="212">
        <v>0</v>
      </c>
      <c r="N65" s="85">
        <f t="shared" si="1"/>
        <v>129</v>
      </c>
      <c r="O65" s="43">
        <f t="shared" si="2"/>
        <v>286</v>
      </c>
    </row>
    <row r="66" spans="1:15" ht="22.5" customHeight="1" x14ac:dyDescent="0.3">
      <c r="A66" s="190" t="s">
        <v>235</v>
      </c>
      <c r="B66" s="44">
        <v>48</v>
      </c>
      <c r="C66" s="39">
        <v>5</v>
      </c>
      <c r="D66" s="39">
        <v>15</v>
      </c>
      <c r="E66" s="39">
        <v>4</v>
      </c>
      <c r="F66" s="194">
        <v>38</v>
      </c>
      <c r="G66" s="149">
        <f t="shared" si="0"/>
        <v>110</v>
      </c>
      <c r="H66" s="233">
        <v>0</v>
      </c>
      <c r="I66" s="211">
        <v>0</v>
      </c>
      <c r="J66" s="211">
        <v>0</v>
      </c>
      <c r="K66" s="211">
        <v>0</v>
      </c>
      <c r="L66" s="212">
        <v>0</v>
      </c>
      <c r="M66" s="212">
        <v>0</v>
      </c>
      <c r="N66" s="85">
        <f t="shared" si="1"/>
        <v>110</v>
      </c>
      <c r="O66" s="43">
        <f t="shared" si="2"/>
        <v>256</v>
      </c>
    </row>
    <row r="67" spans="1:15" ht="22.5" customHeight="1" x14ac:dyDescent="0.3">
      <c r="A67" s="190" t="s">
        <v>236</v>
      </c>
      <c r="B67" s="44">
        <v>32</v>
      </c>
      <c r="C67" s="39">
        <v>9</v>
      </c>
      <c r="D67" s="39">
        <v>16</v>
      </c>
      <c r="E67" s="39">
        <v>5</v>
      </c>
      <c r="F67" s="194">
        <v>31</v>
      </c>
      <c r="G67" s="149">
        <f t="shared" si="0"/>
        <v>93</v>
      </c>
      <c r="H67" s="233">
        <v>0</v>
      </c>
      <c r="I67" s="211">
        <v>0</v>
      </c>
      <c r="J67" s="211">
        <v>0</v>
      </c>
      <c r="K67" s="211">
        <v>0</v>
      </c>
      <c r="L67" s="212">
        <v>0</v>
      </c>
      <c r="M67" s="212">
        <v>0</v>
      </c>
      <c r="N67" s="85">
        <f t="shared" si="1"/>
        <v>93</v>
      </c>
      <c r="O67" s="43">
        <f t="shared" si="2"/>
        <v>215</v>
      </c>
    </row>
    <row r="68" spans="1:15" ht="22.5" customHeight="1" x14ac:dyDescent="0.3">
      <c r="A68" s="190" t="s">
        <v>237</v>
      </c>
      <c r="B68" s="44">
        <v>32</v>
      </c>
      <c r="C68" s="39">
        <v>5</v>
      </c>
      <c r="D68" s="39">
        <v>7</v>
      </c>
      <c r="E68" s="39">
        <v>4</v>
      </c>
      <c r="F68" s="194">
        <v>45</v>
      </c>
      <c r="G68" s="149">
        <f t="shared" si="0"/>
        <v>93</v>
      </c>
      <c r="H68" s="233">
        <v>0</v>
      </c>
      <c r="I68" s="211">
        <v>0</v>
      </c>
      <c r="J68" s="211">
        <v>0</v>
      </c>
      <c r="K68" s="211">
        <v>0</v>
      </c>
      <c r="L68" s="212">
        <v>0</v>
      </c>
      <c r="M68" s="212">
        <v>0</v>
      </c>
      <c r="N68" s="85">
        <f t="shared" si="1"/>
        <v>93</v>
      </c>
      <c r="O68" s="43">
        <f t="shared" si="2"/>
        <v>259.5</v>
      </c>
    </row>
    <row r="69" spans="1:15" ht="22.5" customHeight="1" x14ac:dyDescent="0.3">
      <c r="A69" s="190" t="s">
        <v>238</v>
      </c>
      <c r="B69" s="44">
        <v>31</v>
      </c>
      <c r="C69" s="39">
        <v>5</v>
      </c>
      <c r="D69" s="39">
        <v>3</v>
      </c>
      <c r="E69" s="39">
        <v>2</v>
      </c>
      <c r="F69" s="194">
        <v>31</v>
      </c>
      <c r="G69" s="149">
        <f t="shared" si="0"/>
        <v>72</v>
      </c>
      <c r="H69" s="233">
        <v>0</v>
      </c>
      <c r="I69" s="211">
        <v>0</v>
      </c>
      <c r="J69" s="211">
        <v>0</v>
      </c>
      <c r="K69" s="211">
        <v>0</v>
      </c>
      <c r="L69" s="212">
        <v>0</v>
      </c>
      <c r="M69" s="212">
        <v>0</v>
      </c>
      <c r="N69" s="85">
        <f t="shared" si="1"/>
        <v>72</v>
      </c>
      <c r="O69" s="43">
        <f t="shared" si="2"/>
        <v>183.5</v>
      </c>
    </row>
    <row r="70" spans="1:15" ht="22.5" customHeight="1" x14ac:dyDescent="0.3">
      <c r="A70" s="190" t="s">
        <v>239</v>
      </c>
      <c r="B70" s="44">
        <v>25</v>
      </c>
      <c r="C70" s="39">
        <v>5</v>
      </c>
      <c r="D70" s="39">
        <v>11</v>
      </c>
      <c r="E70" s="39">
        <v>3</v>
      </c>
      <c r="F70" s="194">
        <v>29</v>
      </c>
      <c r="G70" s="149">
        <f t="shared" si="0"/>
        <v>73</v>
      </c>
      <c r="H70" s="233">
        <v>0</v>
      </c>
      <c r="I70" s="211">
        <v>0</v>
      </c>
      <c r="J70" s="211">
        <v>0</v>
      </c>
      <c r="K70" s="211">
        <v>0</v>
      </c>
      <c r="L70" s="212">
        <v>1</v>
      </c>
      <c r="M70" s="212">
        <v>0</v>
      </c>
      <c r="N70" s="85">
        <f t="shared" si="1"/>
        <v>73</v>
      </c>
      <c r="O70" s="43">
        <f t="shared" si="2"/>
        <v>191.5</v>
      </c>
    </row>
    <row r="71" spans="1:15" ht="22.5" customHeight="1" x14ac:dyDescent="0.3">
      <c r="A71" s="190" t="s">
        <v>240</v>
      </c>
      <c r="B71" s="44">
        <v>18</v>
      </c>
      <c r="C71" s="39">
        <v>2</v>
      </c>
      <c r="D71" s="39">
        <v>10</v>
      </c>
      <c r="E71" s="39">
        <v>3</v>
      </c>
      <c r="F71" s="194">
        <v>31</v>
      </c>
      <c r="G71" s="149">
        <f t="shared" si="0"/>
        <v>64</v>
      </c>
      <c r="H71" s="233">
        <v>0</v>
      </c>
      <c r="I71" s="211">
        <v>0</v>
      </c>
      <c r="J71" s="211">
        <v>0</v>
      </c>
      <c r="K71" s="211">
        <v>0</v>
      </c>
      <c r="L71" s="212">
        <v>0</v>
      </c>
      <c r="M71" s="212">
        <v>0</v>
      </c>
      <c r="N71" s="85">
        <f t="shared" si="1"/>
        <v>64</v>
      </c>
      <c r="O71" s="43">
        <f t="shared" si="2"/>
        <v>182.5</v>
      </c>
    </row>
    <row r="72" spans="1:15" ht="22.5" customHeight="1" x14ac:dyDescent="0.3">
      <c r="A72" s="190" t="s">
        <v>153</v>
      </c>
      <c r="B72" s="44">
        <v>21</v>
      </c>
      <c r="C72" s="39">
        <v>3</v>
      </c>
      <c r="D72" s="39">
        <v>12</v>
      </c>
      <c r="E72" s="39">
        <v>3</v>
      </c>
      <c r="F72" s="194">
        <v>30</v>
      </c>
      <c r="G72" s="149">
        <f t="shared" ref="G72:G103" si="3">SUM(B72:F72)</f>
        <v>69</v>
      </c>
      <c r="H72" s="233">
        <v>0</v>
      </c>
      <c r="I72" s="211">
        <v>0</v>
      </c>
      <c r="J72" s="211">
        <v>0</v>
      </c>
      <c r="K72" s="211">
        <v>0</v>
      </c>
      <c r="L72" s="212">
        <v>0</v>
      </c>
      <c r="M72" s="212">
        <v>0</v>
      </c>
      <c r="N72" s="85">
        <f t="shared" si="1"/>
        <v>69</v>
      </c>
      <c r="O72" s="43">
        <f t="shared" si="2"/>
        <v>184.5</v>
      </c>
    </row>
    <row r="73" spans="1:15" ht="22.5" customHeight="1" x14ac:dyDescent="0.3">
      <c r="A73" s="190" t="s">
        <v>154</v>
      </c>
      <c r="B73" s="44">
        <v>16</v>
      </c>
      <c r="C73" s="39">
        <v>0</v>
      </c>
      <c r="D73" s="39">
        <v>15</v>
      </c>
      <c r="E73" s="39">
        <v>3</v>
      </c>
      <c r="F73" s="194">
        <v>21</v>
      </c>
      <c r="G73" s="149">
        <f t="shared" si="3"/>
        <v>55</v>
      </c>
      <c r="H73" s="233">
        <v>0</v>
      </c>
      <c r="I73" s="211">
        <v>0</v>
      </c>
      <c r="J73" s="211">
        <v>0</v>
      </c>
      <c r="K73" s="211">
        <v>0</v>
      </c>
      <c r="L73" s="212">
        <v>0</v>
      </c>
      <c r="M73" s="212">
        <v>0</v>
      </c>
      <c r="N73" s="85">
        <f t="shared" ref="N73:N103" si="4">G73+M73</f>
        <v>55</v>
      </c>
      <c r="O73" s="43">
        <f t="shared" ref="O73:O103" si="5">B73*1+C73*0.5+D73*1.5+E73*3+F73*4.5+H73*0.5+I73*1.5+J73*3+K73*4+L73*8</f>
        <v>142</v>
      </c>
    </row>
    <row r="74" spans="1:15" ht="22.5" customHeight="1" x14ac:dyDescent="0.3">
      <c r="A74" s="190" t="s">
        <v>155</v>
      </c>
      <c r="B74" s="44">
        <v>22</v>
      </c>
      <c r="C74" s="39">
        <v>0</v>
      </c>
      <c r="D74" s="39">
        <v>12</v>
      </c>
      <c r="E74" s="39">
        <v>4</v>
      </c>
      <c r="F74" s="194">
        <v>22</v>
      </c>
      <c r="G74" s="149">
        <f t="shared" si="3"/>
        <v>60</v>
      </c>
      <c r="H74" s="233">
        <v>0</v>
      </c>
      <c r="I74" s="211">
        <v>0</v>
      </c>
      <c r="J74" s="211">
        <v>0</v>
      </c>
      <c r="K74" s="211">
        <v>0</v>
      </c>
      <c r="L74" s="212">
        <v>0</v>
      </c>
      <c r="M74" s="212">
        <v>0</v>
      </c>
      <c r="N74" s="85">
        <f t="shared" si="4"/>
        <v>60</v>
      </c>
      <c r="O74" s="43">
        <f t="shared" si="5"/>
        <v>151</v>
      </c>
    </row>
    <row r="75" spans="1:15" ht="22.5" customHeight="1" x14ac:dyDescent="0.3">
      <c r="A75" s="190" t="s">
        <v>156</v>
      </c>
      <c r="B75" s="44">
        <v>21</v>
      </c>
      <c r="C75" s="39">
        <v>1</v>
      </c>
      <c r="D75" s="39">
        <v>12</v>
      </c>
      <c r="E75" s="39">
        <v>3</v>
      </c>
      <c r="F75" s="194">
        <v>31</v>
      </c>
      <c r="G75" s="149">
        <f t="shared" si="3"/>
        <v>68</v>
      </c>
      <c r="H75" s="233">
        <v>0</v>
      </c>
      <c r="I75" s="211">
        <v>0</v>
      </c>
      <c r="J75" s="211">
        <v>0</v>
      </c>
      <c r="K75" s="211">
        <v>0</v>
      </c>
      <c r="L75" s="212">
        <v>0</v>
      </c>
      <c r="M75" s="212">
        <v>0</v>
      </c>
      <c r="N75" s="85">
        <f t="shared" si="4"/>
        <v>68</v>
      </c>
      <c r="O75" s="43">
        <f t="shared" si="5"/>
        <v>188</v>
      </c>
    </row>
    <row r="76" spans="1:15" ht="22.5" customHeight="1" x14ac:dyDescent="0.3">
      <c r="A76" s="190" t="s">
        <v>157</v>
      </c>
      <c r="B76" s="44">
        <v>20</v>
      </c>
      <c r="C76" s="39">
        <v>1</v>
      </c>
      <c r="D76" s="39">
        <v>11</v>
      </c>
      <c r="E76" s="39">
        <v>1</v>
      </c>
      <c r="F76" s="194">
        <v>29</v>
      </c>
      <c r="G76" s="149">
        <f t="shared" si="3"/>
        <v>62</v>
      </c>
      <c r="H76" s="233">
        <v>0</v>
      </c>
      <c r="I76" s="211">
        <v>0</v>
      </c>
      <c r="J76" s="211">
        <v>0</v>
      </c>
      <c r="K76" s="211">
        <v>0</v>
      </c>
      <c r="L76" s="212">
        <v>0</v>
      </c>
      <c r="M76" s="212">
        <v>0</v>
      </c>
      <c r="N76" s="85">
        <f t="shared" si="4"/>
        <v>62</v>
      </c>
      <c r="O76" s="43">
        <f t="shared" si="5"/>
        <v>170.5</v>
      </c>
    </row>
    <row r="77" spans="1:15" ht="22.5" customHeight="1" x14ac:dyDescent="0.3">
      <c r="A77" s="190" t="s">
        <v>158</v>
      </c>
      <c r="B77" s="44">
        <v>22</v>
      </c>
      <c r="C77" s="39">
        <v>1</v>
      </c>
      <c r="D77" s="39">
        <v>11</v>
      </c>
      <c r="E77" s="39">
        <v>2</v>
      </c>
      <c r="F77" s="194">
        <v>29</v>
      </c>
      <c r="G77" s="149">
        <f t="shared" si="3"/>
        <v>65</v>
      </c>
      <c r="H77" s="233">
        <v>0</v>
      </c>
      <c r="I77" s="211">
        <v>0</v>
      </c>
      <c r="J77" s="211">
        <v>0</v>
      </c>
      <c r="K77" s="211">
        <v>0</v>
      </c>
      <c r="L77" s="212">
        <v>0</v>
      </c>
      <c r="M77" s="212">
        <v>0</v>
      </c>
      <c r="N77" s="85">
        <f t="shared" si="4"/>
        <v>65</v>
      </c>
      <c r="O77" s="43">
        <f t="shared" si="5"/>
        <v>175.5</v>
      </c>
    </row>
    <row r="78" spans="1:15" ht="22.5" customHeight="1" x14ac:dyDescent="0.3">
      <c r="A78" s="190" t="s">
        <v>159</v>
      </c>
      <c r="B78" s="44">
        <v>23</v>
      </c>
      <c r="C78" s="39">
        <v>0</v>
      </c>
      <c r="D78" s="39">
        <v>2</v>
      </c>
      <c r="E78" s="39">
        <v>3</v>
      </c>
      <c r="F78" s="194">
        <v>23</v>
      </c>
      <c r="G78" s="149">
        <f t="shared" si="3"/>
        <v>51</v>
      </c>
      <c r="H78" s="233">
        <v>0</v>
      </c>
      <c r="I78" s="211">
        <v>0</v>
      </c>
      <c r="J78" s="211">
        <v>0</v>
      </c>
      <c r="K78" s="211">
        <v>0</v>
      </c>
      <c r="L78" s="212">
        <v>0</v>
      </c>
      <c r="M78" s="212">
        <v>0</v>
      </c>
      <c r="N78" s="85">
        <f t="shared" si="4"/>
        <v>51</v>
      </c>
      <c r="O78" s="43">
        <f t="shared" si="5"/>
        <v>138.5</v>
      </c>
    </row>
    <row r="79" spans="1:15" ht="22.5" customHeight="1" x14ac:dyDescent="0.3">
      <c r="A79" s="190" t="s">
        <v>160</v>
      </c>
      <c r="B79" s="44">
        <v>19</v>
      </c>
      <c r="C79" s="39">
        <v>1</v>
      </c>
      <c r="D79" s="39">
        <v>3</v>
      </c>
      <c r="E79" s="39">
        <v>4</v>
      </c>
      <c r="F79" s="194">
        <v>31</v>
      </c>
      <c r="G79" s="149">
        <f t="shared" si="3"/>
        <v>58</v>
      </c>
      <c r="H79" s="233">
        <v>0</v>
      </c>
      <c r="I79" s="211">
        <v>0</v>
      </c>
      <c r="J79" s="211">
        <v>0</v>
      </c>
      <c r="K79" s="211">
        <v>0</v>
      </c>
      <c r="L79" s="212">
        <v>0</v>
      </c>
      <c r="M79" s="212">
        <v>0</v>
      </c>
      <c r="N79" s="85">
        <f t="shared" si="4"/>
        <v>58</v>
      </c>
      <c r="O79" s="43">
        <f t="shared" si="5"/>
        <v>175.5</v>
      </c>
    </row>
    <row r="80" spans="1:15" ht="22.5" customHeight="1" x14ac:dyDescent="0.3">
      <c r="A80" s="190" t="s">
        <v>161</v>
      </c>
      <c r="B80" s="44">
        <v>10</v>
      </c>
      <c r="C80" s="39">
        <v>2</v>
      </c>
      <c r="D80" s="39">
        <v>11</v>
      </c>
      <c r="E80" s="39">
        <v>2</v>
      </c>
      <c r="F80" s="194">
        <v>18</v>
      </c>
      <c r="G80" s="149">
        <f t="shared" si="3"/>
        <v>43</v>
      </c>
      <c r="H80" s="233">
        <v>0</v>
      </c>
      <c r="I80" s="211">
        <v>0</v>
      </c>
      <c r="J80" s="211">
        <v>0</v>
      </c>
      <c r="K80" s="211">
        <v>0</v>
      </c>
      <c r="L80" s="212">
        <v>0</v>
      </c>
      <c r="M80" s="212">
        <v>0</v>
      </c>
      <c r="N80" s="85">
        <f t="shared" si="4"/>
        <v>43</v>
      </c>
      <c r="O80" s="43">
        <f t="shared" si="5"/>
        <v>114.5</v>
      </c>
    </row>
    <row r="81" spans="1:15" ht="22.5" customHeight="1" x14ac:dyDescent="0.3">
      <c r="A81" s="190" t="s">
        <v>162</v>
      </c>
      <c r="B81" s="44">
        <v>15</v>
      </c>
      <c r="C81" s="39">
        <v>0</v>
      </c>
      <c r="D81" s="39">
        <v>8</v>
      </c>
      <c r="E81" s="39">
        <v>3</v>
      </c>
      <c r="F81" s="194">
        <v>11</v>
      </c>
      <c r="G81" s="149">
        <f t="shared" si="3"/>
        <v>37</v>
      </c>
      <c r="H81" s="233">
        <v>0</v>
      </c>
      <c r="I81" s="211">
        <v>0</v>
      </c>
      <c r="J81" s="211">
        <v>0</v>
      </c>
      <c r="K81" s="211">
        <v>0</v>
      </c>
      <c r="L81" s="212">
        <v>0</v>
      </c>
      <c r="M81" s="212">
        <v>0</v>
      </c>
      <c r="N81" s="85">
        <f t="shared" si="4"/>
        <v>37</v>
      </c>
      <c r="O81" s="43">
        <f t="shared" si="5"/>
        <v>85.5</v>
      </c>
    </row>
    <row r="82" spans="1:15" ht="22.5" customHeight="1" x14ac:dyDescent="0.3">
      <c r="A82" s="190" t="s">
        <v>163</v>
      </c>
      <c r="B82" s="44">
        <v>20</v>
      </c>
      <c r="C82" s="39">
        <v>2</v>
      </c>
      <c r="D82" s="39">
        <v>8</v>
      </c>
      <c r="E82" s="39">
        <v>3</v>
      </c>
      <c r="F82" s="194">
        <v>15</v>
      </c>
      <c r="G82" s="149">
        <f t="shared" si="3"/>
        <v>48</v>
      </c>
      <c r="H82" s="233">
        <v>0</v>
      </c>
      <c r="I82" s="211">
        <v>0</v>
      </c>
      <c r="J82" s="211">
        <v>0</v>
      </c>
      <c r="K82" s="211">
        <v>0</v>
      </c>
      <c r="L82" s="212">
        <v>0</v>
      </c>
      <c r="M82" s="212">
        <v>0</v>
      </c>
      <c r="N82" s="85">
        <f t="shared" si="4"/>
        <v>48</v>
      </c>
      <c r="O82" s="43">
        <f t="shared" si="5"/>
        <v>109.5</v>
      </c>
    </row>
    <row r="83" spans="1:15" ht="22.5" customHeight="1" x14ac:dyDescent="0.3">
      <c r="A83" s="190" t="s">
        <v>164</v>
      </c>
      <c r="B83" s="44">
        <v>21</v>
      </c>
      <c r="C83" s="39">
        <v>1</v>
      </c>
      <c r="D83" s="39">
        <v>15</v>
      </c>
      <c r="E83" s="39">
        <v>2</v>
      </c>
      <c r="F83" s="194">
        <v>11</v>
      </c>
      <c r="G83" s="149">
        <f t="shared" si="3"/>
        <v>50</v>
      </c>
      <c r="H83" s="233">
        <v>0</v>
      </c>
      <c r="I83" s="211">
        <v>0</v>
      </c>
      <c r="J83" s="211">
        <v>0</v>
      </c>
      <c r="K83" s="211">
        <v>0</v>
      </c>
      <c r="L83" s="212">
        <v>0</v>
      </c>
      <c r="M83" s="212">
        <v>0</v>
      </c>
      <c r="N83" s="85">
        <f t="shared" si="4"/>
        <v>50</v>
      </c>
      <c r="O83" s="43">
        <f t="shared" si="5"/>
        <v>99.5</v>
      </c>
    </row>
    <row r="84" spans="1:15" ht="22.5" customHeight="1" x14ac:dyDescent="0.3">
      <c r="A84" s="190" t="s">
        <v>165</v>
      </c>
      <c r="B84" s="44">
        <v>19</v>
      </c>
      <c r="C84" s="39">
        <v>0</v>
      </c>
      <c r="D84" s="39">
        <v>18</v>
      </c>
      <c r="E84" s="39">
        <v>4</v>
      </c>
      <c r="F84" s="194">
        <v>14</v>
      </c>
      <c r="G84" s="149">
        <f t="shared" si="3"/>
        <v>55</v>
      </c>
      <c r="H84" s="233">
        <v>0</v>
      </c>
      <c r="I84" s="211">
        <v>0</v>
      </c>
      <c r="J84" s="211">
        <v>0</v>
      </c>
      <c r="K84" s="211">
        <v>0</v>
      </c>
      <c r="L84" s="212">
        <v>0</v>
      </c>
      <c r="M84" s="212">
        <v>0</v>
      </c>
      <c r="N84" s="85">
        <f t="shared" si="4"/>
        <v>55</v>
      </c>
      <c r="O84" s="43">
        <f t="shared" si="5"/>
        <v>121</v>
      </c>
    </row>
    <row r="85" spans="1:15" ht="22.5" customHeight="1" x14ac:dyDescent="0.3">
      <c r="A85" s="190" t="s">
        <v>166</v>
      </c>
      <c r="B85" s="44">
        <v>13</v>
      </c>
      <c r="C85" s="39">
        <v>0</v>
      </c>
      <c r="D85" s="39">
        <v>16</v>
      </c>
      <c r="E85" s="39">
        <v>6</v>
      </c>
      <c r="F85" s="194">
        <v>15</v>
      </c>
      <c r="G85" s="149">
        <f t="shared" si="3"/>
        <v>50</v>
      </c>
      <c r="H85" s="233">
        <v>0</v>
      </c>
      <c r="I85" s="211">
        <v>0</v>
      </c>
      <c r="J85" s="211">
        <v>0</v>
      </c>
      <c r="K85" s="211">
        <v>0</v>
      </c>
      <c r="L85" s="212">
        <v>0</v>
      </c>
      <c r="M85" s="212">
        <v>0</v>
      </c>
      <c r="N85" s="85">
        <f t="shared" si="4"/>
        <v>50</v>
      </c>
      <c r="O85" s="43">
        <f t="shared" si="5"/>
        <v>122.5</v>
      </c>
    </row>
    <row r="86" spans="1:15" ht="22.5" customHeight="1" x14ac:dyDescent="0.3">
      <c r="A86" s="190" t="s">
        <v>167</v>
      </c>
      <c r="B86" s="44">
        <v>12</v>
      </c>
      <c r="C86" s="39">
        <v>0</v>
      </c>
      <c r="D86" s="39">
        <v>17</v>
      </c>
      <c r="E86" s="39">
        <v>8</v>
      </c>
      <c r="F86" s="194">
        <v>17</v>
      </c>
      <c r="G86" s="149">
        <f t="shared" si="3"/>
        <v>54</v>
      </c>
      <c r="H86" s="233">
        <v>0</v>
      </c>
      <c r="I86" s="211">
        <v>0</v>
      </c>
      <c r="J86" s="211">
        <v>0</v>
      </c>
      <c r="K86" s="211">
        <v>0</v>
      </c>
      <c r="L86" s="212">
        <v>0</v>
      </c>
      <c r="M86" s="212">
        <v>0</v>
      </c>
      <c r="N86" s="85">
        <f t="shared" si="4"/>
        <v>54</v>
      </c>
      <c r="O86" s="43">
        <f t="shared" si="5"/>
        <v>138</v>
      </c>
    </row>
    <row r="87" spans="1:15" ht="22.5" customHeight="1" x14ac:dyDescent="0.3">
      <c r="A87" s="190" t="s">
        <v>168</v>
      </c>
      <c r="B87" s="44">
        <v>12</v>
      </c>
      <c r="C87" s="39">
        <v>3</v>
      </c>
      <c r="D87" s="39">
        <v>11</v>
      </c>
      <c r="E87" s="39">
        <v>7</v>
      </c>
      <c r="F87" s="194">
        <v>15</v>
      </c>
      <c r="G87" s="149">
        <f t="shared" si="3"/>
        <v>48</v>
      </c>
      <c r="H87" s="233">
        <v>0</v>
      </c>
      <c r="I87" s="211">
        <v>0</v>
      </c>
      <c r="J87" s="211">
        <v>0</v>
      </c>
      <c r="K87" s="211">
        <v>0</v>
      </c>
      <c r="L87" s="212">
        <v>0</v>
      </c>
      <c r="M87" s="212">
        <v>0</v>
      </c>
      <c r="N87" s="85">
        <f t="shared" si="4"/>
        <v>48</v>
      </c>
      <c r="O87" s="43">
        <f t="shared" si="5"/>
        <v>118.5</v>
      </c>
    </row>
    <row r="88" spans="1:15" ht="22.5" customHeight="1" x14ac:dyDescent="0.3">
      <c r="A88" s="190" t="s">
        <v>169</v>
      </c>
      <c r="B88" s="44">
        <v>16</v>
      </c>
      <c r="C88" s="39">
        <v>2</v>
      </c>
      <c r="D88" s="39">
        <v>10</v>
      </c>
      <c r="E88" s="39">
        <v>1</v>
      </c>
      <c r="F88" s="194">
        <v>18</v>
      </c>
      <c r="G88" s="149">
        <f t="shared" si="3"/>
        <v>47</v>
      </c>
      <c r="H88" s="233">
        <v>0</v>
      </c>
      <c r="I88" s="211">
        <v>0</v>
      </c>
      <c r="J88" s="211">
        <v>0</v>
      </c>
      <c r="K88" s="211">
        <v>0</v>
      </c>
      <c r="L88" s="212">
        <v>0</v>
      </c>
      <c r="M88" s="212">
        <v>0</v>
      </c>
      <c r="N88" s="85">
        <f t="shared" si="4"/>
        <v>47</v>
      </c>
      <c r="O88" s="43">
        <f t="shared" si="5"/>
        <v>116</v>
      </c>
    </row>
    <row r="89" spans="1:15" ht="22.5" customHeight="1" x14ac:dyDescent="0.3">
      <c r="A89" s="190" t="s">
        <v>170</v>
      </c>
      <c r="B89" s="44">
        <v>12</v>
      </c>
      <c r="C89" s="39">
        <v>1</v>
      </c>
      <c r="D89" s="39">
        <v>9</v>
      </c>
      <c r="E89" s="39">
        <v>3</v>
      </c>
      <c r="F89" s="194">
        <v>15</v>
      </c>
      <c r="G89" s="149">
        <f t="shared" si="3"/>
        <v>40</v>
      </c>
      <c r="H89" s="233">
        <v>0</v>
      </c>
      <c r="I89" s="211">
        <v>0</v>
      </c>
      <c r="J89" s="211">
        <v>0</v>
      </c>
      <c r="K89" s="211">
        <v>0</v>
      </c>
      <c r="L89" s="212">
        <v>0</v>
      </c>
      <c r="M89" s="212">
        <v>0</v>
      </c>
      <c r="N89" s="85">
        <f t="shared" si="4"/>
        <v>40</v>
      </c>
      <c r="O89" s="43">
        <f t="shared" si="5"/>
        <v>102.5</v>
      </c>
    </row>
    <row r="90" spans="1:15" ht="22.5" customHeight="1" x14ac:dyDescent="0.3">
      <c r="A90" s="190" t="s">
        <v>171</v>
      </c>
      <c r="B90" s="44">
        <v>12</v>
      </c>
      <c r="C90" s="39">
        <v>1</v>
      </c>
      <c r="D90" s="39">
        <v>12</v>
      </c>
      <c r="E90" s="39">
        <v>3</v>
      </c>
      <c r="F90" s="194">
        <v>16</v>
      </c>
      <c r="G90" s="149">
        <f t="shared" si="3"/>
        <v>44</v>
      </c>
      <c r="H90" s="233">
        <v>0</v>
      </c>
      <c r="I90" s="211">
        <v>0</v>
      </c>
      <c r="J90" s="211">
        <v>0</v>
      </c>
      <c r="K90" s="211">
        <v>0</v>
      </c>
      <c r="L90" s="212">
        <v>0</v>
      </c>
      <c r="M90" s="212">
        <v>0</v>
      </c>
      <c r="N90" s="85">
        <f t="shared" si="4"/>
        <v>44</v>
      </c>
      <c r="O90" s="43">
        <f t="shared" si="5"/>
        <v>111.5</v>
      </c>
    </row>
    <row r="91" spans="1:15" ht="22.5" customHeight="1" x14ac:dyDescent="0.3">
      <c r="A91" s="190" t="s">
        <v>172</v>
      </c>
      <c r="B91" s="44">
        <v>7</v>
      </c>
      <c r="C91" s="39">
        <v>2</v>
      </c>
      <c r="D91" s="39">
        <v>9</v>
      </c>
      <c r="E91" s="39">
        <v>4</v>
      </c>
      <c r="F91" s="194">
        <v>15</v>
      </c>
      <c r="G91" s="149">
        <f t="shared" si="3"/>
        <v>37</v>
      </c>
      <c r="H91" s="233">
        <v>0</v>
      </c>
      <c r="I91" s="211">
        <v>0</v>
      </c>
      <c r="J91" s="211">
        <v>0</v>
      </c>
      <c r="K91" s="211">
        <v>0</v>
      </c>
      <c r="L91" s="212">
        <v>0</v>
      </c>
      <c r="M91" s="212">
        <v>0</v>
      </c>
      <c r="N91" s="85">
        <f t="shared" si="4"/>
        <v>37</v>
      </c>
      <c r="O91" s="43">
        <f t="shared" si="5"/>
        <v>101</v>
      </c>
    </row>
    <row r="92" spans="1:15" ht="22.5" customHeight="1" x14ac:dyDescent="0.3">
      <c r="A92" s="190" t="s">
        <v>173</v>
      </c>
      <c r="B92" s="44">
        <v>8</v>
      </c>
      <c r="C92" s="39">
        <v>6</v>
      </c>
      <c r="D92" s="39">
        <v>14</v>
      </c>
      <c r="E92" s="39">
        <v>4</v>
      </c>
      <c r="F92" s="194">
        <v>18</v>
      </c>
      <c r="G92" s="149">
        <f t="shared" si="3"/>
        <v>50</v>
      </c>
      <c r="H92" s="233">
        <v>0</v>
      </c>
      <c r="I92" s="211">
        <v>0</v>
      </c>
      <c r="J92" s="211">
        <v>0</v>
      </c>
      <c r="K92" s="211">
        <v>0</v>
      </c>
      <c r="L92" s="212">
        <v>0</v>
      </c>
      <c r="M92" s="212">
        <v>0</v>
      </c>
      <c r="N92" s="85">
        <f t="shared" si="4"/>
        <v>50</v>
      </c>
      <c r="O92" s="43">
        <f t="shared" si="5"/>
        <v>125</v>
      </c>
    </row>
    <row r="93" spans="1:15" ht="22.5" customHeight="1" x14ac:dyDescent="0.3">
      <c r="A93" s="190" t="s">
        <v>174</v>
      </c>
      <c r="B93" s="44">
        <v>18</v>
      </c>
      <c r="C93" s="39">
        <v>5</v>
      </c>
      <c r="D93" s="39">
        <v>18</v>
      </c>
      <c r="E93" s="39">
        <v>8</v>
      </c>
      <c r="F93" s="194">
        <v>28</v>
      </c>
      <c r="G93" s="149">
        <f t="shared" si="3"/>
        <v>77</v>
      </c>
      <c r="H93" s="233">
        <v>0</v>
      </c>
      <c r="I93" s="211">
        <v>0</v>
      </c>
      <c r="J93" s="211">
        <v>0</v>
      </c>
      <c r="K93" s="211">
        <v>0</v>
      </c>
      <c r="L93" s="212">
        <v>0</v>
      </c>
      <c r="M93" s="212">
        <v>0</v>
      </c>
      <c r="N93" s="85">
        <f t="shared" si="4"/>
        <v>77</v>
      </c>
      <c r="O93" s="43">
        <f t="shared" si="5"/>
        <v>197.5</v>
      </c>
    </row>
    <row r="94" spans="1:15" ht="22.5" customHeight="1" x14ac:dyDescent="0.3">
      <c r="A94" s="190" t="s">
        <v>175</v>
      </c>
      <c r="B94" s="44">
        <v>18</v>
      </c>
      <c r="C94" s="39">
        <v>5</v>
      </c>
      <c r="D94" s="39">
        <v>13</v>
      </c>
      <c r="E94" s="39">
        <v>3</v>
      </c>
      <c r="F94" s="194">
        <v>23</v>
      </c>
      <c r="G94" s="149">
        <f t="shared" si="3"/>
        <v>62</v>
      </c>
      <c r="H94" s="233">
        <v>0</v>
      </c>
      <c r="I94" s="211">
        <v>0</v>
      </c>
      <c r="J94" s="211">
        <v>0</v>
      </c>
      <c r="K94" s="211">
        <v>0</v>
      </c>
      <c r="L94" s="212">
        <v>0</v>
      </c>
      <c r="M94" s="212">
        <v>0</v>
      </c>
      <c r="N94" s="85">
        <f t="shared" si="4"/>
        <v>62</v>
      </c>
      <c r="O94" s="43">
        <f t="shared" si="5"/>
        <v>152.5</v>
      </c>
    </row>
    <row r="95" spans="1:15" ht="22.5" customHeight="1" x14ac:dyDescent="0.3">
      <c r="A95" s="190" t="s">
        <v>176</v>
      </c>
      <c r="B95" s="44">
        <v>15</v>
      </c>
      <c r="C95" s="39">
        <v>3</v>
      </c>
      <c r="D95" s="39">
        <v>11</v>
      </c>
      <c r="E95" s="39">
        <v>2</v>
      </c>
      <c r="F95" s="194">
        <v>21</v>
      </c>
      <c r="G95" s="149">
        <f t="shared" si="3"/>
        <v>52</v>
      </c>
      <c r="H95" s="233">
        <v>0</v>
      </c>
      <c r="I95" s="211">
        <v>0</v>
      </c>
      <c r="J95" s="211">
        <v>0</v>
      </c>
      <c r="K95" s="211">
        <v>0</v>
      </c>
      <c r="L95" s="212">
        <v>0</v>
      </c>
      <c r="M95" s="212">
        <v>0</v>
      </c>
      <c r="N95" s="85">
        <f t="shared" si="4"/>
        <v>52</v>
      </c>
      <c r="O95" s="43">
        <f t="shared" si="5"/>
        <v>133.5</v>
      </c>
    </row>
    <row r="96" spans="1:15" ht="22.5" customHeight="1" x14ac:dyDescent="0.3">
      <c r="A96" s="190" t="s">
        <v>135</v>
      </c>
      <c r="B96" s="44">
        <v>25</v>
      </c>
      <c r="C96" s="39">
        <v>15</v>
      </c>
      <c r="D96" s="39">
        <v>13</v>
      </c>
      <c r="E96" s="39">
        <v>2</v>
      </c>
      <c r="F96" s="194">
        <v>24</v>
      </c>
      <c r="G96" s="149">
        <f t="shared" si="3"/>
        <v>79</v>
      </c>
      <c r="H96" s="233">
        <v>0</v>
      </c>
      <c r="I96" s="211">
        <v>0</v>
      </c>
      <c r="J96" s="211">
        <v>0</v>
      </c>
      <c r="K96" s="211">
        <v>0</v>
      </c>
      <c r="L96" s="212">
        <v>0</v>
      </c>
      <c r="M96" s="212">
        <v>0</v>
      </c>
      <c r="N96" s="85">
        <f t="shared" si="4"/>
        <v>79</v>
      </c>
      <c r="O96" s="43">
        <f t="shared" si="5"/>
        <v>166</v>
      </c>
    </row>
    <row r="97" spans="1:15" ht="22.5" customHeight="1" x14ac:dyDescent="0.3">
      <c r="A97" s="190" t="s">
        <v>136</v>
      </c>
      <c r="B97" s="44">
        <v>19</v>
      </c>
      <c r="C97" s="39">
        <v>15</v>
      </c>
      <c r="D97" s="39">
        <v>5</v>
      </c>
      <c r="E97" s="39">
        <v>7</v>
      </c>
      <c r="F97" s="194">
        <v>11</v>
      </c>
      <c r="G97" s="149">
        <f t="shared" si="3"/>
        <v>57</v>
      </c>
      <c r="H97" s="233">
        <v>0</v>
      </c>
      <c r="I97" s="211">
        <v>0</v>
      </c>
      <c r="J97" s="211">
        <v>0</v>
      </c>
      <c r="K97" s="211">
        <v>0</v>
      </c>
      <c r="L97" s="212">
        <v>0</v>
      </c>
      <c r="M97" s="212">
        <v>0</v>
      </c>
      <c r="N97" s="85">
        <f t="shared" si="4"/>
        <v>57</v>
      </c>
      <c r="O97" s="43">
        <f t="shared" si="5"/>
        <v>104.5</v>
      </c>
    </row>
    <row r="98" spans="1:15" ht="22.5" customHeight="1" x14ac:dyDescent="0.3">
      <c r="A98" s="190" t="s">
        <v>137</v>
      </c>
      <c r="B98" s="44">
        <v>31</v>
      </c>
      <c r="C98" s="39">
        <v>15</v>
      </c>
      <c r="D98" s="39">
        <v>8</v>
      </c>
      <c r="E98" s="39">
        <v>5</v>
      </c>
      <c r="F98" s="194">
        <v>18</v>
      </c>
      <c r="G98" s="149">
        <f t="shared" si="3"/>
        <v>77</v>
      </c>
      <c r="H98" s="233">
        <v>0</v>
      </c>
      <c r="I98" s="211">
        <v>0</v>
      </c>
      <c r="J98" s="211">
        <v>0</v>
      </c>
      <c r="K98" s="211">
        <v>0</v>
      </c>
      <c r="L98" s="212">
        <v>0</v>
      </c>
      <c r="M98" s="212">
        <v>0</v>
      </c>
      <c r="N98" s="85">
        <f t="shared" si="4"/>
        <v>77</v>
      </c>
      <c r="O98" s="43">
        <f t="shared" si="5"/>
        <v>146.5</v>
      </c>
    </row>
    <row r="99" spans="1:15" ht="22.5" customHeight="1" x14ac:dyDescent="0.3">
      <c r="A99" s="190" t="s">
        <v>138</v>
      </c>
      <c r="B99" s="44">
        <v>32</v>
      </c>
      <c r="C99" s="39">
        <v>21</v>
      </c>
      <c r="D99" s="39">
        <v>7</v>
      </c>
      <c r="E99" s="39">
        <v>6</v>
      </c>
      <c r="F99" s="194">
        <v>15</v>
      </c>
      <c r="G99" s="149">
        <f t="shared" si="3"/>
        <v>81</v>
      </c>
      <c r="H99" s="233">
        <v>0</v>
      </c>
      <c r="I99" s="211">
        <v>0</v>
      </c>
      <c r="J99" s="211">
        <v>0</v>
      </c>
      <c r="K99" s="211">
        <v>0</v>
      </c>
      <c r="L99" s="212">
        <v>0</v>
      </c>
      <c r="M99" s="212">
        <v>0</v>
      </c>
      <c r="N99" s="85">
        <f t="shared" si="4"/>
        <v>81</v>
      </c>
      <c r="O99" s="43">
        <f t="shared" si="5"/>
        <v>138.5</v>
      </c>
    </row>
    <row r="100" spans="1:15" ht="22.5" customHeight="1" x14ac:dyDescent="0.3">
      <c r="A100" s="190" t="s">
        <v>139</v>
      </c>
      <c r="B100" s="44">
        <v>32</v>
      </c>
      <c r="C100" s="39">
        <v>18</v>
      </c>
      <c r="D100" s="39">
        <v>13</v>
      </c>
      <c r="E100" s="39">
        <v>6</v>
      </c>
      <c r="F100" s="194">
        <v>23</v>
      </c>
      <c r="G100" s="149">
        <f t="shared" si="3"/>
        <v>92</v>
      </c>
      <c r="H100" s="233">
        <v>0</v>
      </c>
      <c r="I100" s="211">
        <v>0</v>
      </c>
      <c r="J100" s="211">
        <v>0</v>
      </c>
      <c r="K100" s="211">
        <v>0</v>
      </c>
      <c r="L100" s="212">
        <v>1</v>
      </c>
      <c r="M100" s="212">
        <v>0</v>
      </c>
      <c r="N100" s="85">
        <f t="shared" si="4"/>
        <v>92</v>
      </c>
      <c r="O100" s="43">
        <f t="shared" si="5"/>
        <v>190</v>
      </c>
    </row>
    <row r="101" spans="1:15" ht="22.5" customHeight="1" x14ac:dyDescent="0.3">
      <c r="A101" s="190" t="s">
        <v>140</v>
      </c>
      <c r="B101" s="44">
        <v>31</v>
      </c>
      <c r="C101" s="39">
        <v>31</v>
      </c>
      <c r="D101" s="39">
        <v>12</v>
      </c>
      <c r="E101" s="39">
        <v>7</v>
      </c>
      <c r="F101" s="194">
        <v>21</v>
      </c>
      <c r="G101" s="149">
        <f t="shared" si="3"/>
        <v>102</v>
      </c>
      <c r="H101" s="233">
        <v>0</v>
      </c>
      <c r="I101" s="211">
        <v>0</v>
      </c>
      <c r="J101" s="211">
        <v>0</v>
      </c>
      <c r="K101" s="211">
        <v>0</v>
      </c>
      <c r="L101" s="212">
        <v>0</v>
      </c>
      <c r="M101" s="212">
        <v>0</v>
      </c>
      <c r="N101" s="85">
        <f t="shared" si="4"/>
        <v>102</v>
      </c>
      <c r="O101" s="43">
        <f t="shared" si="5"/>
        <v>180</v>
      </c>
    </row>
    <row r="102" spans="1:15" ht="22.5" customHeight="1" x14ac:dyDescent="0.3">
      <c r="A102" s="190" t="s">
        <v>141</v>
      </c>
      <c r="B102" s="44">
        <v>20</v>
      </c>
      <c r="C102" s="39">
        <v>31</v>
      </c>
      <c r="D102" s="39">
        <v>2</v>
      </c>
      <c r="E102" s="39">
        <v>5</v>
      </c>
      <c r="F102" s="194">
        <v>11</v>
      </c>
      <c r="G102" s="149">
        <f t="shared" si="3"/>
        <v>69</v>
      </c>
      <c r="H102" s="233">
        <v>0</v>
      </c>
      <c r="I102" s="211">
        <v>0</v>
      </c>
      <c r="J102" s="211">
        <v>0</v>
      </c>
      <c r="K102" s="211">
        <v>0</v>
      </c>
      <c r="L102" s="212">
        <v>0</v>
      </c>
      <c r="M102" s="212">
        <v>0</v>
      </c>
      <c r="N102" s="85">
        <f t="shared" si="4"/>
        <v>69</v>
      </c>
      <c r="O102" s="43">
        <f t="shared" si="5"/>
        <v>103</v>
      </c>
    </row>
    <row r="103" spans="1:15" ht="22.5" customHeight="1" thickBot="1" x14ac:dyDescent="0.35">
      <c r="A103" s="191" t="s">
        <v>142</v>
      </c>
      <c r="B103" s="218">
        <v>31</v>
      </c>
      <c r="C103" s="219">
        <v>32</v>
      </c>
      <c r="D103" s="219">
        <v>12</v>
      </c>
      <c r="E103" s="219">
        <v>2</v>
      </c>
      <c r="F103" s="220">
        <v>13</v>
      </c>
      <c r="G103" s="150">
        <f t="shared" si="3"/>
        <v>90</v>
      </c>
      <c r="H103" s="234">
        <v>0</v>
      </c>
      <c r="I103" s="221">
        <v>0</v>
      </c>
      <c r="J103" s="221">
        <v>0</v>
      </c>
      <c r="K103" s="221">
        <v>0</v>
      </c>
      <c r="L103" s="222">
        <v>0</v>
      </c>
      <c r="M103" s="222">
        <v>0</v>
      </c>
      <c r="N103" s="116">
        <f t="shared" si="4"/>
        <v>90</v>
      </c>
      <c r="O103" s="84">
        <f t="shared" si="5"/>
        <v>129.5</v>
      </c>
    </row>
    <row r="104" spans="1:15" ht="22.5" customHeight="1" thickBot="1" x14ac:dyDescent="0.35">
      <c r="A104" s="86" t="s">
        <v>11</v>
      </c>
      <c r="B104" s="223">
        <f t="shared" ref="B104:N104" si="6">SUM(B8:B103)</f>
        <v>6894</v>
      </c>
      <c r="C104" s="87">
        <f t="shared" si="6"/>
        <v>4001</v>
      </c>
      <c r="D104" s="87">
        <f t="shared" si="6"/>
        <v>1471</v>
      </c>
      <c r="E104" s="95">
        <f t="shared" si="6"/>
        <v>440</v>
      </c>
      <c r="F104" s="95">
        <f t="shared" si="6"/>
        <v>2689</v>
      </c>
      <c r="G104" s="94">
        <f t="shared" si="6"/>
        <v>15495</v>
      </c>
      <c r="H104" s="87">
        <f t="shared" si="6"/>
        <v>2</v>
      </c>
      <c r="I104" s="87">
        <f t="shared" si="6"/>
        <v>0</v>
      </c>
      <c r="J104" s="87">
        <f t="shared" si="6"/>
        <v>0</v>
      </c>
      <c r="K104" s="95">
        <f t="shared" si="6"/>
        <v>0</v>
      </c>
      <c r="L104" s="224">
        <f t="shared" si="6"/>
        <v>16</v>
      </c>
      <c r="M104" s="94">
        <f>SUM(M8:M103)</f>
        <v>0</v>
      </c>
      <c r="N104" s="95">
        <f t="shared" si="6"/>
        <v>15495</v>
      </c>
      <c r="O104" s="142">
        <f>SUM(O8:O103)</f>
        <v>24650.5</v>
      </c>
    </row>
    <row r="105" spans="1:15" ht="22.5" customHeight="1" thickBot="1" x14ac:dyDescent="0.35">
      <c r="A105" s="41" t="s">
        <v>143</v>
      </c>
      <c r="B105" s="225">
        <f>+B104*1</f>
        <v>6894</v>
      </c>
      <c r="C105" s="88">
        <f>+C104*0.5</f>
        <v>2000.5</v>
      </c>
      <c r="D105" s="88">
        <f>+D104*1.5</f>
        <v>2206.5</v>
      </c>
      <c r="E105" s="88">
        <f>+E104*3</f>
        <v>1320</v>
      </c>
      <c r="F105" s="89">
        <f>+F104*4.5</f>
        <v>12100.5</v>
      </c>
      <c r="G105" s="90">
        <f>SUM(B105:F105)</f>
        <v>24521.5</v>
      </c>
      <c r="H105" s="88">
        <f>+H104*0.5</f>
        <v>1</v>
      </c>
      <c r="I105" s="89">
        <f>+I104*1.5</f>
        <v>0</v>
      </c>
      <c r="J105" s="89">
        <f>+J104*3</f>
        <v>0</v>
      </c>
      <c r="K105" s="96">
        <f>+K104*4</f>
        <v>0</v>
      </c>
      <c r="L105" s="226">
        <f>+L104*8</f>
        <v>128</v>
      </c>
      <c r="M105" s="147">
        <f>SUM(H105:L105)</f>
        <v>129</v>
      </c>
      <c r="N105" s="91"/>
      <c r="O105" s="92">
        <f>G105+M105</f>
        <v>24650.5</v>
      </c>
    </row>
    <row r="106" spans="1:15" ht="22.5" customHeight="1" thickBot="1" x14ac:dyDescent="0.35">
      <c r="A106" s="42" t="s">
        <v>12</v>
      </c>
      <c r="B106" s="227">
        <f t="shared" ref="B106:N106" si="7">B104/$N$104</f>
        <v>0.44491771539206193</v>
      </c>
      <c r="C106" s="93">
        <f t="shared" si="7"/>
        <v>0.25821232655695386</v>
      </c>
      <c r="D106" s="93">
        <f t="shared" si="7"/>
        <v>9.4933849628912548E-2</v>
      </c>
      <c r="E106" s="93">
        <f t="shared" si="7"/>
        <v>2.8396256857050661E-2</v>
      </c>
      <c r="F106" s="93">
        <f t="shared" si="7"/>
        <v>0.17353985156502097</v>
      </c>
      <c r="G106" s="98">
        <f t="shared" si="7"/>
        <v>1</v>
      </c>
      <c r="H106" s="93">
        <f t="shared" si="7"/>
        <v>1.2907389480477574E-4</v>
      </c>
      <c r="I106" s="93">
        <f t="shared" si="7"/>
        <v>0</v>
      </c>
      <c r="J106" s="93">
        <f t="shared" si="7"/>
        <v>0</v>
      </c>
      <c r="K106" s="97">
        <f t="shared" si="7"/>
        <v>0</v>
      </c>
      <c r="L106" s="228">
        <f t="shared" si="7"/>
        <v>1.0325911584382059E-3</v>
      </c>
      <c r="M106" s="98">
        <f t="shared" si="7"/>
        <v>0</v>
      </c>
      <c r="N106" s="99">
        <f t="shared" si="7"/>
        <v>1</v>
      </c>
      <c r="O106" s="94"/>
    </row>
  </sheetData>
  <mergeCells count="16">
    <mergeCell ref="O6:O7"/>
    <mergeCell ref="A1:O1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</mergeCells>
  <pageMargins left="0.7" right="0.7" top="0.75" bottom="0.75" header="0.3" footer="0.3"/>
  <pageSetup paperSize="9" scale="2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76"/>
  <sheetViews>
    <sheetView tabSelected="1" view="pageBreakPreview" zoomScale="85" zoomScaleNormal="60" zoomScaleSheetLayoutView="85" workbookViewId="0">
      <selection activeCell="B20" sqref="B20"/>
    </sheetView>
  </sheetViews>
  <sheetFormatPr defaultColWidth="9" defaultRowHeight="15.6" x14ac:dyDescent="0.3"/>
  <cols>
    <col min="1" max="1" width="25.5" style="1" bestFit="1" customWidth="1"/>
    <col min="2" max="5" width="18.8984375" style="1" customWidth="1"/>
    <col min="6" max="6" width="20.3984375" style="2" bestFit="1" customWidth="1"/>
    <col min="7" max="7" width="7.09765625" style="2" customWidth="1"/>
    <col min="8" max="8" width="21" style="2" bestFit="1" customWidth="1"/>
    <col min="9" max="9" width="14.09765625" style="2" customWidth="1"/>
    <col min="10" max="10" width="14.5" style="2" customWidth="1"/>
    <col min="11" max="20" width="8.59765625" style="1" customWidth="1"/>
    <col min="21" max="21" width="10.59765625" style="1" customWidth="1"/>
    <col min="22" max="22" width="8.59765625" style="1" customWidth="1"/>
    <col min="23" max="16384" width="9" style="1"/>
  </cols>
  <sheetData>
    <row r="1" spans="1:12" ht="15.75" customHeight="1" x14ac:dyDescent="0.3">
      <c r="A1" s="5"/>
      <c r="B1" s="269"/>
      <c r="C1" s="269"/>
      <c r="D1" s="269"/>
      <c r="E1" s="5"/>
      <c r="F1" s="5"/>
      <c r="G1" s="5"/>
      <c r="H1" s="3" t="s">
        <v>0</v>
      </c>
      <c r="I1" s="7">
        <v>46245</v>
      </c>
      <c r="J1" s="10"/>
    </row>
    <row r="2" spans="1:12" ht="15.75" customHeight="1" x14ac:dyDescent="0.3">
      <c r="A2" s="5" t="s">
        <v>13</v>
      </c>
      <c r="B2" s="269" t="s">
        <v>302</v>
      </c>
      <c r="C2" s="269"/>
      <c r="D2" s="269"/>
      <c r="E2" s="38"/>
      <c r="F2" s="128"/>
      <c r="G2" s="128"/>
      <c r="H2" s="3" t="s">
        <v>10</v>
      </c>
      <c r="I2" s="129" t="str">
        <f>IF(WEEKDAY(I1,2)=1,"Monday",IF(WEEKDAY(I1,2)=2,"Tuesday",IF(WEEKDAY(I1,2)=3,"Wednesday",IF(WEEKDAY(I1,2)=4,"Thursday",IF(WEEKDAY(I1,2)=5,"Friday","Saturday")))))</f>
        <v>Tuesday</v>
      </c>
      <c r="J2" s="128"/>
      <c r="K2" s="38"/>
    </row>
    <row r="3" spans="1:12" ht="15.75" customHeight="1" x14ac:dyDescent="0.3">
      <c r="A3" s="5" t="s">
        <v>14</v>
      </c>
      <c r="B3" s="269" t="s">
        <v>301</v>
      </c>
      <c r="C3" s="269"/>
      <c r="D3" s="269"/>
      <c r="E3" s="38"/>
      <c r="F3" s="128"/>
      <c r="G3" s="128"/>
      <c r="H3" s="6"/>
      <c r="I3" s="8"/>
      <c r="J3" s="8"/>
      <c r="K3" s="38"/>
    </row>
    <row r="4" spans="1:12" ht="15.75" customHeight="1" x14ac:dyDescent="0.3">
      <c r="A4" s="4"/>
      <c r="B4" s="4"/>
      <c r="C4" s="4"/>
      <c r="D4" s="4"/>
      <c r="E4" s="4"/>
      <c r="F4" s="3"/>
      <c r="G4" s="128"/>
      <c r="H4" s="130"/>
      <c r="I4" s="128"/>
      <c r="J4" s="128"/>
      <c r="K4" s="38"/>
    </row>
    <row r="5" spans="1:12" ht="15.75" customHeight="1" x14ac:dyDescent="0.3">
      <c r="A5" s="111" t="s">
        <v>2</v>
      </c>
      <c r="B5" s="111" t="s">
        <v>3</v>
      </c>
      <c r="C5" s="111" t="s">
        <v>4</v>
      </c>
      <c r="D5" s="111" t="s">
        <v>5</v>
      </c>
      <c r="E5" s="3"/>
      <c r="F5" s="3"/>
      <c r="G5" s="128"/>
      <c r="H5" s="130"/>
      <c r="I5" s="128"/>
      <c r="J5" s="128"/>
      <c r="K5" s="38"/>
    </row>
    <row r="6" spans="1:12" ht="15.75" customHeight="1" x14ac:dyDescent="0.35">
      <c r="A6" s="109" t="s">
        <v>292</v>
      </c>
      <c r="B6" s="110" t="str">
        <f>A7</f>
        <v>Delhi</v>
      </c>
      <c r="C6" s="110" t="str">
        <f>A8</f>
        <v>Chomu Pulia</v>
      </c>
      <c r="D6" s="110" t="str">
        <f>A9</f>
        <v>Mansarover</v>
      </c>
      <c r="E6" s="11"/>
      <c r="F6" s="128"/>
      <c r="G6" s="128"/>
      <c r="H6" s="12" t="str">
        <f>A6</f>
        <v>Nindar</v>
      </c>
      <c r="I6" s="128"/>
      <c r="J6" s="128"/>
      <c r="K6" s="38"/>
    </row>
    <row r="7" spans="1:12" ht="15.75" customHeight="1" x14ac:dyDescent="0.35">
      <c r="A7" s="109" t="s">
        <v>293</v>
      </c>
      <c r="B7" s="110" t="str">
        <f>A8</f>
        <v>Chomu Pulia</v>
      </c>
      <c r="C7" s="110" t="str">
        <f>A9</f>
        <v>Mansarover</v>
      </c>
      <c r="D7" s="110" t="str">
        <f>A6</f>
        <v>Nindar</v>
      </c>
      <c r="E7" s="11"/>
      <c r="F7" s="128"/>
      <c r="G7" s="128"/>
      <c r="H7" s="130"/>
      <c r="I7" s="128"/>
      <c r="J7" s="128"/>
      <c r="K7" s="38"/>
      <c r="L7" s="9"/>
    </row>
    <row r="8" spans="1:12" ht="15.75" customHeight="1" x14ac:dyDescent="0.35">
      <c r="A8" s="109" t="s">
        <v>294</v>
      </c>
      <c r="B8" s="110" t="str">
        <f>A9</f>
        <v>Mansarover</v>
      </c>
      <c r="C8" s="110" t="str">
        <f>A6</f>
        <v>Nindar</v>
      </c>
      <c r="D8" s="110" t="str">
        <f>A7</f>
        <v>Delhi</v>
      </c>
      <c r="E8" s="11"/>
      <c r="F8" s="128"/>
      <c r="G8" s="128"/>
      <c r="H8" s="130"/>
      <c r="I8" s="128"/>
      <c r="J8" s="128"/>
      <c r="K8" s="38"/>
      <c r="L8" s="9"/>
    </row>
    <row r="9" spans="1:12" ht="15.75" customHeight="1" x14ac:dyDescent="0.35">
      <c r="A9" s="109" t="s">
        <v>295</v>
      </c>
      <c r="B9" s="110" t="str">
        <f>A6</f>
        <v>Nindar</v>
      </c>
      <c r="C9" s="110" t="str">
        <f>A7</f>
        <v>Delhi</v>
      </c>
      <c r="D9" s="110" t="str">
        <f>A8</f>
        <v>Chomu Pulia</v>
      </c>
      <c r="E9" s="11"/>
      <c r="F9" s="128"/>
      <c r="G9" s="128"/>
      <c r="H9" s="131" t="s">
        <v>81</v>
      </c>
      <c r="I9" s="128"/>
      <c r="J9" s="128"/>
      <c r="K9" s="38"/>
      <c r="L9" s="9"/>
    </row>
    <row r="10" spans="1:12" ht="15.75" customHeight="1" x14ac:dyDescent="0.3">
      <c r="A10" s="4"/>
      <c r="B10" s="128"/>
      <c r="C10" s="38"/>
      <c r="D10" s="38"/>
      <c r="E10" s="38"/>
      <c r="F10" s="132"/>
      <c r="G10" s="133" t="s">
        <v>86</v>
      </c>
      <c r="H10" s="128"/>
      <c r="I10" s="133" t="s">
        <v>84</v>
      </c>
      <c r="J10" s="132"/>
      <c r="K10" s="38"/>
      <c r="L10" s="9"/>
    </row>
    <row r="11" spans="1:12" ht="15.75" customHeight="1" x14ac:dyDescent="0.3">
      <c r="A11" s="38"/>
      <c r="B11" s="38"/>
      <c r="C11" s="128"/>
      <c r="D11" s="128"/>
      <c r="E11" s="38"/>
      <c r="F11" s="11" t="str">
        <f>A9</f>
        <v>Mansarover</v>
      </c>
      <c r="G11" s="134" t="s">
        <v>87</v>
      </c>
      <c r="H11" s="128"/>
      <c r="I11" s="134" t="s">
        <v>83</v>
      </c>
      <c r="J11" s="11" t="str">
        <f>A7</f>
        <v>Delhi</v>
      </c>
      <c r="K11" s="38"/>
      <c r="L11" s="9"/>
    </row>
    <row r="12" spans="1:12" ht="15.75" customHeight="1" x14ac:dyDescent="0.3">
      <c r="A12" s="109"/>
      <c r="B12" s="38"/>
      <c r="C12" s="38"/>
      <c r="D12" s="38"/>
      <c r="E12" s="38"/>
      <c r="F12" s="135"/>
      <c r="G12" s="136" t="s">
        <v>88</v>
      </c>
      <c r="H12" s="128"/>
      <c r="I12" s="136" t="s">
        <v>82</v>
      </c>
      <c r="J12" s="135"/>
      <c r="K12" s="38"/>
      <c r="L12" s="9"/>
    </row>
    <row r="13" spans="1:12" ht="15.75" customHeight="1" x14ac:dyDescent="0.3">
      <c r="A13" s="109"/>
      <c r="B13" s="38"/>
      <c r="C13" s="38"/>
      <c r="D13" s="38"/>
      <c r="E13" s="38"/>
      <c r="F13" s="128"/>
      <c r="G13" s="128"/>
      <c r="H13" s="131" t="s">
        <v>85</v>
      </c>
      <c r="I13" s="128"/>
      <c r="J13" s="128"/>
      <c r="K13" s="38"/>
      <c r="L13" s="9"/>
    </row>
    <row r="14" spans="1:12" ht="15.75" customHeight="1" x14ac:dyDescent="0.3">
      <c r="A14" s="109"/>
      <c r="B14" s="38"/>
      <c r="C14" s="137"/>
      <c r="D14" s="38"/>
      <c r="E14" s="38"/>
      <c r="F14" s="128"/>
      <c r="G14" s="128"/>
      <c r="H14" s="130"/>
      <c r="I14" s="128"/>
      <c r="J14" s="128"/>
      <c r="K14" s="38"/>
      <c r="L14" s="9"/>
    </row>
    <row r="15" spans="1:12" ht="15.75" customHeight="1" x14ac:dyDescent="0.3">
      <c r="A15" s="109"/>
      <c r="B15" s="38"/>
      <c r="C15" s="38"/>
      <c r="D15" s="38"/>
      <c r="E15" s="38"/>
      <c r="F15" s="128"/>
      <c r="G15" s="128"/>
      <c r="H15" s="130"/>
      <c r="I15" s="128"/>
      <c r="J15" s="128"/>
      <c r="K15" s="38"/>
      <c r="L15" s="9"/>
    </row>
    <row r="16" spans="1:12" ht="15.75" customHeight="1" x14ac:dyDescent="0.3">
      <c r="A16" s="38"/>
      <c r="B16" s="217"/>
      <c r="C16" s="38"/>
      <c r="D16" s="38"/>
      <c r="E16" s="38"/>
      <c r="F16" s="128"/>
      <c r="G16" s="128"/>
      <c r="H16" s="12" t="str">
        <f>A8</f>
        <v>Chomu Pulia</v>
      </c>
      <c r="I16" s="128"/>
      <c r="J16" s="128"/>
      <c r="K16" s="38"/>
      <c r="L16" s="9"/>
    </row>
    <row r="17" spans="1:12" ht="15.75" customHeight="1" x14ac:dyDescent="0.3">
      <c r="A17" s="38"/>
      <c r="B17" s="217"/>
      <c r="C17" s="38"/>
      <c r="D17" s="38"/>
      <c r="E17" s="38"/>
      <c r="F17" s="128"/>
      <c r="G17" s="128"/>
      <c r="H17" s="130"/>
      <c r="I17" s="128"/>
      <c r="J17" s="128"/>
      <c r="K17" s="38"/>
      <c r="L17" s="9"/>
    </row>
    <row r="18" spans="1:12" ht="15.75" customHeight="1" x14ac:dyDescent="0.3">
      <c r="A18" s="38"/>
      <c r="B18" s="38"/>
      <c r="C18" s="38"/>
      <c r="D18" s="38"/>
      <c r="E18" s="38"/>
      <c r="F18" s="128"/>
      <c r="G18" s="128"/>
      <c r="H18" s="130"/>
      <c r="I18" s="128"/>
      <c r="J18" s="128"/>
      <c r="K18" s="38"/>
    </row>
    <row r="19" spans="1:12" ht="21.9" customHeight="1" x14ac:dyDescent="0.3"/>
    <row r="20" spans="1:12" ht="21.9" customHeight="1" x14ac:dyDescent="0.3"/>
    <row r="21" spans="1:12" ht="21.9" customHeight="1" x14ac:dyDescent="0.3"/>
    <row r="22" spans="1:12" ht="21.9" customHeight="1" x14ac:dyDescent="0.3"/>
    <row r="23" spans="1:12" ht="21.9" customHeight="1" x14ac:dyDescent="0.3"/>
    <row r="24" spans="1:12" ht="21.9" customHeight="1" x14ac:dyDescent="0.3"/>
    <row r="25" spans="1:12" ht="21.9" customHeight="1" x14ac:dyDescent="0.3"/>
    <row r="26" spans="1:12" ht="21.9" customHeight="1" x14ac:dyDescent="0.3"/>
    <row r="27" spans="1:12" ht="21.6" customHeight="1" x14ac:dyDescent="0.3"/>
    <row r="28" spans="1:12" ht="21.9" customHeight="1" x14ac:dyDescent="0.3">
      <c r="J28" s="2" t="s">
        <v>8</v>
      </c>
    </row>
    <row r="29" spans="1:12" ht="21.9" customHeight="1" x14ac:dyDescent="0.3">
      <c r="J29" s="2" t="s">
        <v>9</v>
      </c>
    </row>
    <row r="30" spans="1:12" ht="21.9" customHeight="1" x14ac:dyDescent="0.3"/>
    <row r="31" spans="1:12" ht="21.9" customHeight="1" x14ac:dyDescent="0.3"/>
    <row r="32" spans="1:12" ht="21.9" customHeight="1" x14ac:dyDescent="0.3"/>
    <row r="33" ht="21.9" customHeight="1" x14ac:dyDescent="0.3"/>
    <row r="34" ht="21.9" customHeight="1" x14ac:dyDescent="0.3"/>
    <row r="35" ht="21.9" customHeight="1" x14ac:dyDescent="0.3"/>
    <row r="36" ht="21.9" customHeight="1" x14ac:dyDescent="0.3"/>
    <row r="37" ht="21.9" customHeight="1" x14ac:dyDescent="0.3"/>
    <row r="38" ht="21.9" customHeight="1" x14ac:dyDescent="0.3"/>
    <row r="39" ht="21.9" customHeight="1" x14ac:dyDescent="0.3"/>
    <row r="40" ht="21.9" customHeight="1" x14ac:dyDescent="0.3"/>
    <row r="41" ht="21.9" customHeight="1" x14ac:dyDescent="0.3"/>
    <row r="42" ht="21.9" customHeight="1" x14ac:dyDescent="0.3"/>
    <row r="43" ht="21.9" customHeight="1" x14ac:dyDescent="0.3"/>
    <row r="44" ht="21.9" customHeight="1" x14ac:dyDescent="0.3"/>
    <row r="45" ht="21.9" customHeight="1" x14ac:dyDescent="0.3"/>
    <row r="46" ht="21.9" customHeight="1" x14ac:dyDescent="0.3"/>
    <row r="47" ht="21.9" customHeight="1" x14ac:dyDescent="0.3"/>
    <row r="48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</sheetData>
  <mergeCells count="3">
    <mergeCell ref="B1:D1"/>
    <mergeCell ref="B2:D2"/>
    <mergeCell ref="B3:D3"/>
  </mergeCells>
  <phoneticPr fontId="0" type="noConversion"/>
  <printOptions horizontalCentered="1" verticalCentered="1" headings="1" gridLines="1"/>
  <pageMargins left="0.5" right="0" top="0.75" bottom="0" header="0" footer="0"/>
  <pageSetup paperSize="9" scale="67" orientation="landscape" r:id="rId1"/>
  <headerFooter alignWithMargins="0">
    <oddFooter>&amp;R&amp;A of &amp;F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9FFCC"/>
  </sheetPr>
  <dimension ref="A1:O206"/>
  <sheetViews>
    <sheetView view="pageBreakPreview" zoomScale="40" zoomScaleNormal="70" zoomScaleSheetLayoutView="40" workbookViewId="0">
      <selection activeCell="I65" sqref="I65"/>
    </sheetView>
  </sheetViews>
  <sheetFormatPr defaultColWidth="9" defaultRowHeight="15.6" x14ac:dyDescent="0.3"/>
  <cols>
    <col min="1" max="1" width="15.5" customWidth="1"/>
    <col min="2" max="5" width="11.69921875" customWidth="1"/>
    <col min="6" max="6" width="8.19921875" customWidth="1"/>
    <col min="7" max="15" width="11.69921875" customWidth="1"/>
  </cols>
  <sheetData>
    <row r="1" spans="1:15" x14ac:dyDescent="0.3">
      <c r="A1" s="247" t="s">
        <v>99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</row>
    <row r="2" spans="1:15" s="4" customFormat="1" x14ac:dyDescent="0.3">
      <c r="A2" s="4" t="s">
        <v>103</v>
      </c>
      <c r="B2" s="4" t="str">
        <f>Summary!B2</f>
        <v>TMC-14 Number (D2)</v>
      </c>
    </row>
    <row r="3" spans="1:15" s="4" customFormat="1" x14ac:dyDescent="0.3">
      <c r="A3" s="4" t="s">
        <v>102</v>
      </c>
      <c r="B3" s="4" t="str">
        <f>Summary!B3</f>
        <v>D2</v>
      </c>
    </row>
    <row r="4" spans="1:15" s="4" customFormat="1" x14ac:dyDescent="0.3">
      <c r="A4" s="4" t="s">
        <v>104</v>
      </c>
      <c r="B4" s="4" t="str">
        <f>+Summary!A6</f>
        <v>Nindar</v>
      </c>
      <c r="D4" s="4" t="s">
        <v>1</v>
      </c>
      <c r="E4" s="4" t="str">
        <f>Summary!J11</f>
        <v>Delhi</v>
      </c>
    </row>
    <row r="5" spans="1:15" ht="16.2" thickBot="1" x14ac:dyDescent="0.35"/>
    <row r="6" spans="1:15" ht="25.2" customHeight="1" x14ac:dyDescent="0.3">
      <c r="A6" s="252" t="s">
        <v>95</v>
      </c>
      <c r="B6" s="258" t="s">
        <v>280</v>
      </c>
      <c r="C6" s="254" t="s">
        <v>281</v>
      </c>
      <c r="D6" s="250" t="s">
        <v>282</v>
      </c>
      <c r="E6" s="260" t="s">
        <v>283</v>
      </c>
      <c r="F6" s="256" t="s">
        <v>284</v>
      </c>
      <c r="G6" s="250" t="s">
        <v>129</v>
      </c>
      <c r="H6" s="248" t="s">
        <v>150</v>
      </c>
      <c r="I6" s="250" t="s">
        <v>151</v>
      </c>
      <c r="J6" s="250" t="s">
        <v>285</v>
      </c>
      <c r="K6" s="248" t="s">
        <v>286</v>
      </c>
      <c r="L6" s="250" t="s">
        <v>287</v>
      </c>
      <c r="M6" s="250" t="s">
        <v>78</v>
      </c>
      <c r="N6" s="250" t="s">
        <v>131</v>
      </c>
      <c r="O6" s="250" t="s">
        <v>132</v>
      </c>
    </row>
    <row r="7" spans="1:15" ht="43.5" customHeight="1" thickBot="1" x14ac:dyDescent="0.35">
      <c r="A7" s="262"/>
      <c r="B7" s="263"/>
      <c r="C7" s="264"/>
      <c r="D7" s="265"/>
      <c r="E7" s="266"/>
      <c r="F7" s="267"/>
      <c r="G7" s="259"/>
      <c r="H7" s="268"/>
      <c r="I7" s="265"/>
      <c r="J7" s="265"/>
      <c r="K7" s="268"/>
      <c r="L7" s="265"/>
      <c r="M7" s="265"/>
      <c r="N7" s="251"/>
      <c r="O7" s="251"/>
    </row>
    <row r="8" spans="1:15" ht="22.5" customHeight="1" x14ac:dyDescent="0.3">
      <c r="A8" s="189" t="s">
        <v>177</v>
      </c>
      <c r="B8" s="192">
        <v>6</v>
      </c>
      <c r="C8" s="157">
        <v>35</v>
      </c>
      <c r="D8" s="157">
        <v>1</v>
      </c>
      <c r="E8" s="157">
        <v>1</v>
      </c>
      <c r="F8" s="193">
        <v>0</v>
      </c>
      <c r="G8" s="196">
        <f t="shared" ref="G8:G39" si="0">SUM(B8:F8)</f>
        <v>43</v>
      </c>
      <c r="H8" s="209">
        <v>0</v>
      </c>
      <c r="I8" s="209">
        <v>0</v>
      </c>
      <c r="J8" s="209">
        <v>0</v>
      </c>
      <c r="K8" s="209">
        <v>0</v>
      </c>
      <c r="L8" s="210">
        <v>1</v>
      </c>
      <c r="M8" s="210">
        <v>0</v>
      </c>
      <c r="N8" s="85">
        <f>G8+M8</f>
        <v>43</v>
      </c>
      <c r="O8" s="115">
        <f>B8*1+C8*0.5+D8*1.5+E8*3+F8*4.5+H8*0.5+I8*1.5+J8*3+K8*4+L8*8</f>
        <v>36</v>
      </c>
    </row>
    <row r="9" spans="1:15" ht="22.5" customHeight="1" x14ac:dyDescent="0.3">
      <c r="A9" s="190" t="s">
        <v>178</v>
      </c>
      <c r="B9" s="44">
        <v>6</v>
      </c>
      <c r="C9" s="39">
        <v>37</v>
      </c>
      <c r="D9" s="39">
        <v>1</v>
      </c>
      <c r="E9" s="39">
        <v>0</v>
      </c>
      <c r="F9" s="194">
        <v>0</v>
      </c>
      <c r="G9" s="196">
        <f t="shared" si="0"/>
        <v>44</v>
      </c>
      <c r="H9" s="211">
        <v>0</v>
      </c>
      <c r="I9" s="211">
        <v>0</v>
      </c>
      <c r="J9" s="211">
        <v>0</v>
      </c>
      <c r="K9" s="211">
        <v>0</v>
      </c>
      <c r="L9" s="212">
        <v>0</v>
      </c>
      <c r="M9" s="212">
        <v>0</v>
      </c>
      <c r="N9" s="85">
        <f t="shared" ref="N9:N72" si="1">G9+M9</f>
        <v>44</v>
      </c>
      <c r="O9" s="43">
        <f t="shared" ref="O9:O72" si="2">B9*1+C9*0.5+D9*1.5+E9*3+F9*4.5+H9*0.5+I9*1.5+J9*3+K9*4+L9*8</f>
        <v>26</v>
      </c>
    </row>
    <row r="10" spans="1:15" ht="22.5" customHeight="1" x14ac:dyDescent="0.3">
      <c r="A10" s="190" t="s">
        <v>179</v>
      </c>
      <c r="B10" s="44">
        <v>14</v>
      </c>
      <c r="C10" s="39">
        <v>62</v>
      </c>
      <c r="D10" s="39">
        <v>0</v>
      </c>
      <c r="E10" s="39">
        <v>0</v>
      </c>
      <c r="F10" s="194">
        <v>0</v>
      </c>
      <c r="G10" s="196">
        <f t="shared" si="0"/>
        <v>76</v>
      </c>
      <c r="H10" s="211">
        <v>0</v>
      </c>
      <c r="I10" s="211">
        <v>0</v>
      </c>
      <c r="J10" s="211">
        <v>0</v>
      </c>
      <c r="K10" s="211">
        <v>0</v>
      </c>
      <c r="L10" s="212">
        <v>1</v>
      </c>
      <c r="M10" s="212">
        <v>0</v>
      </c>
      <c r="N10" s="85">
        <f t="shared" si="1"/>
        <v>76</v>
      </c>
      <c r="O10" s="43">
        <f t="shared" si="2"/>
        <v>53</v>
      </c>
    </row>
    <row r="11" spans="1:15" ht="22.5" customHeight="1" x14ac:dyDescent="0.3">
      <c r="A11" s="190" t="s">
        <v>180</v>
      </c>
      <c r="B11" s="44">
        <v>11</v>
      </c>
      <c r="C11" s="39">
        <v>69</v>
      </c>
      <c r="D11" s="39">
        <v>0</v>
      </c>
      <c r="E11" s="39">
        <v>0</v>
      </c>
      <c r="F11" s="194">
        <v>0</v>
      </c>
      <c r="G11" s="196">
        <f t="shared" si="0"/>
        <v>80</v>
      </c>
      <c r="H11" s="211">
        <v>0</v>
      </c>
      <c r="I11" s="211">
        <v>0</v>
      </c>
      <c r="J11" s="211">
        <v>0</v>
      </c>
      <c r="K11" s="211">
        <v>0</v>
      </c>
      <c r="L11" s="212">
        <v>1</v>
      </c>
      <c r="M11" s="212">
        <v>0</v>
      </c>
      <c r="N11" s="85">
        <f t="shared" si="1"/>
        <v>80</v>
      </c>
      <c r="O11" s="43">
        <f t="shared" si="2"/>
        <v>53.5</v>
      </c>
    </row>
    <row r="12" spans="1:15" ht="22.5" customHeight="1" x14ac:dyDescent="0.3">
      <c r="A12" s="190" t="s">
        <v>181</v>
      </c>
      <c r="B12" s="44">
        <v>9</v>
      </c>
      <c r="C12" s="39">
        <v>60</v>
      </c>
      <c r="D12" s="39">
        <v>1</v>
      </c>
      <c r="E12" s="39">
        <v>0</v>
      </c>
      <c r="F12" s="194">
        <v>1</v>
      </c>
      <c r="G12" s="196">
        <f t="shared" si="0"/>
        <v>71</v>
      </c>
      <c r="H12" s="211">
        <v>0</v>
      </c>
      <c r="I12" s="211">
        <v>0</v>
      </c>
      <c r="J12" s="211">
        <v>0</v>
      </c>
      <c r="K12" s="211">
        <v>0</v>
      </c>
      <c r="L12" s="212">
        <v>1</v>
      </c>
      <c r="M12" s="212">
        <v>0</v>
      </c>
      <c r="N12" s="85">
        <f t="shared" si="1"/>
        <v>71</v>
      </c>
      <c r="O12" s="43">
        <f t="shared" si="2"/>
        <v>53</v>
      </c>
    </row>
    <row r="13" spans="1:15" ht="22.5" customHeight="1" x14ac:dyDescent="0.3">
      <c r="A13" s="190" t="s">
        <v>182</v>
      </c>
      <c r="B13" s="44">
        <v>21</v>
      </c>
      <c r="C13" s="39">
        <v>72</v>
      </c>
      <c r="D13" s="39">
        <v>0</v>
      </c>
      <c r="E13" s="39">
        <v>0</v>
      </c>
      <c r="F13" s="194">
        <v>0</v>
      </c>
      <c r="G13" s="196">
        <f t="shared" si="0"/>
        <v>93</v>
      </c>
      <c r="H13" s="211">
        <v>0</v>
      </c>
      <c r="I13" s="211">
        <v>0</v>
      </c>
      <c r="J13" s="211">
        <v>0</v>
      </c>
      <c r="K13" s="211">
        <v>0</v>
      </c>
      <c r="L13" s="212">
        <v>0</v>
      </c>
      <c r="M13" s="212">
        <v>0</v>
      </c>
      <c r="N13" s="85">
        <f t="shared" si="1"/>
        <v>93</v>
      </c>
      <c r="O13" s="43">
        <f t="shared" si="2"/>
        <v>57</v>
      </c>
    </row>
    <row r="14" spans="1:15" ht="22.5" customHeight="1" x14ac:dyDescent="0.3">
      <c r="A14" s="190" t="s">
        <v>183</v>
      </c>
      <c r="B14" s="44">
        <v>21</v>
      </c>
      <c r="C14" s="39">
        <v>78</v>
      </c>
      <c r="D14" s="39">
        <v>1</v>
      </c>
      <c r="E14" s="39">
        <v>0</v>
      </c>
      <c r="F14" s="194">
        <v>0</v>
      </c>
      <c r="G14" s="196">
        <f t="shared" si="0"/>
        <v>100</v>
      </c>
      <c r="H14" s="211">
        <v>0</v>
      </c>
      <c r="I14" s="211">
        <v>0</v>
      </c>
      <c r="J14" s="211">
        <v>0</v>
      </c>
      <c r="K14" s="211">
        <v>0</v>
      </c>
      <c r="L14" s="212">
        <v>1</v>
      </c>
      <c r="M14" s="212">
        <v>0</v>
      </c>
      <c r="N14" s="85">
        <f t="shared" si="1"/>
        <v>100</v>
      </c>
      <c r="O14" s="43">
        <f t="shared" si="2"/>
        <v>69.5</v>
      </c>
    </row>
    <row r="15" spans="1:15" ht="22.5" customHeight="1" x14ac:dyDescent="0.3">
      <c r="A15" s="190" t="s">
        <v>184</v>
      </c>
      <c r="B15" s="44">
        <v>29</v>
      </c>
      <c r="C15" s="39">
        <v>73</v>
      </c>
      <c r="D15" s="39">
        <v>1</v>
      </c>
      <c r="E15" s="39">
        <v>0</v>
      </c>
      <c r="F15" s="194">
        <v>2</v>
      </c>
      <c r="G15" s="196">
        <f t="shared" si="0"/>
        <v>105</v>
      </c>
      <c r="H15" s="211">
        <v>0</v>
      </c>
      <c r="I15" s="211">
        <v>0</v>
      </c>
      <c r="J15" s="211">
        <v>0</v>
      </c>
      <c r="K15" s="211">
        <v>0</v>
      </c>
      <c r="L15" s="212">
        <v>1</v>
      </c>
      <c r="M15" s="212">
        <v>0</v>
      </c>
      <c r="N15" s="85">
        <f t="shared" si="1"/>
        <v>105</v>
      </c>
      <c r="O15" s="43">
        <f t="shared" si="2"/>
        <v>84</v>
      </c>
    </row>
    <row r="16" spans="1:15" ht="22.5" customHeight="1" x14ac:dyDescent="0.3">
      <c r="A16" s="190" t="s">
        <v>185</v>
      </c>
      <c r="B16" s="44">
        <v>26</v>
      </c>
      <c r="C16" s="39">
        <v>60</v>
      </c>
      <c r="D16" s="39">
        <v>2</v>
      </c>
      <c r="E16" s="39">
        <v>0</v>
      </c>
      <c r="F16" s="194">
        <v>5</v>
      </c>
      <c r="G16" s="196">
        <f t="shared" si="0"/>
        <v>93</v>
      </c>
      <c r="H16" s="211">
        <v>1</v>
      </c>
      <c r="I16" s="211">
        <v>0</v>
      </c>
      <c r="J16" s="211">
        <v>0</v>
      </c>
      <c r="K16" s="211">
        <v>0</v>
      </c>
      <c r="L16" s="212">
        <v>2</v>
      </c>
      <c r="M16" s="212">
        <v>0</v>
      </c>
      <c r="N16" s="85">
        <f t="shared" si="1"/>
        <v>93</v>
      </c>
      <c r="O16" s="43">
        <f t="shared" si="2"/>
        <v>98</v>
      </c>
    </row>
    <row r="17" spans="1:15" ht="22.5" customHeight="1" x14ac:dyDescent="0.3">
      <c r="A17" s="190" t="s">
        <v>186</v>
      </c>
      <c r="B17" s="44">
        <v>27</v>
      </c>
      <c r="C17" s="39">
        <v>48</v>
      </c>
      <c r="D17" s="39">
        <v>1</v>
      </c>
      <c r="E17" s="39">
        <v>1</v>
      </c>
      <c r="F17" s="194">
        <v>1</v>
      </c>
      <c r="G17" s="196">
        <f t="shared" si="0"/>
        <v>78</v>
      </c>
      <c r="H17" s="211">
        <v>0</v>
      </c>
      <c r="I17" s="211">
        <v>0</v>
      </c>
      <c r="J17" s="211">
        <v>0</v>
      </c>
      <c r="K17" s="211">
        <v>0</v>
      </c>
      <c r="L17" s="212">
        <v>0</v>
      </c>
      <c r="M17" s="212">
        <v>0</v>
      </c>
      <c r="N17" s="85">
        <f t="shared" si="1"/>
        <v>78</v>
      </c>
      <c r="O17" s="43">
        <f t="shared" si="2"/>
        <v>60</v>
      </c>
    </row>
    <row r="18" spans="1:15" ht="22.5" customHeight="1" x14ac:dyDescent="0.3">
      <c r="A18" s="190" t="s">
        <v>187</v>
      </c>
      <c r="B18" s="44">
        <v>28</v>
      </c>
      <c r="C18" s="39">
        <v>49</v>
      </c>
      <c r="D18" s="39">
        <v>3</v>
      </c>
      <c r="E18" s="39">
        <v>0</v>
      </c>
      <c r="F18" s="194">
        <v>1</v>
      </c>
      <c r="G18" s="196">
        <f t="shared" si="0"/>
        <v>81</v>
      </c>
      <c r="H18" s="211">
        <v>0</v>
      </c>
      <c r="I18" s="211">
        <v>0</v>
      </c>
      <c r="J18" s="211">
        <v>0</v>
      </c>
      <c r="K18" s="211">
        <v>0</v>
      </c>
      <c r="L18" s="212">
        <v>0</v>
      </c>
      <c r="M18" s="212">
        <v>0</v>
      </c>
      <c r="N18" s="85">
        <f t="shared" si="1"/>
        <v>81</v>
      </c>
      <c r="O18" s="43">
        <f t="shared" si="2"/>
        <v>61.5</v>
      </c>
    </row>
    <row r="19" spans="1:15" ht="22.5" customHeight="1" x14ac:dyDescent="0.3">
      <c r="A19" s="190" t="s">
        <v>188</v>
      </c>
      <c r="B19" s="44">
        <v>28</v>
      </c>
      <c r="C19" s="39">
        <v>51</v>
      </c>
      <c r="D19" s="39">
        <v>3</v>
      </c>
      <c r="E19" s="39">
        <v>0</v>
      </c>
      <c r="F19" s="194">
        <v>1</v>
      </c>
      <c r="G19" s="196">
        <f t="shared" si="0"/>
        <v>83</v>
      </c>
      <c r="H19" s="211">
        <v>0</v>
      </c>
      <c r="I19" s="211">
        <v>0</v>
      </c>
      <c r="J19" s="211">
        <v>0</v>
      </c>
      <c r="K19" s="211">
        <v>0</v>
      </c>
      <c r="L19" s="212">
        <v>1</v>
      </c>
      <c r="M19" s="212">
        <v>0</v>
      </c>
      <c r="N19" s="85">
        <f t="shared" si="1"/>
        <v>83</v>
      </c>
      <c r="O19" s="43">
        <f t="shared" si="2"/>
        <v>70.5</v>
      </c>
    </row>
    <row r="20" spans="1:15" ht="22.5" customHeight="1" x14ac:dyDescent="0.3">
      <c r="A20" s="190" t="s">
        <v>189</v>
      </c>
      <c r="B20" s="44">
        <v>29</v>
      </c>
      <c r="C20" s="39">
        <v>47</v>
      </c>
      <c r="D20" s="39">
        <v>1</v>
      </c>
      <c r="E20" s="39">
        <v>1</v>
      </c>
      <c r="F20" s="194">
        <v>0</v>
      </c>
      <c r="G20" s="196">
        <f t="shared" si="0"/>
        <v>78</v>
      </c>
      <c r="H20" s="211">
        <v>0</v>
      </c>
      <c r="I20" s="211">
        <v>0</v>
      </c>
      <c r="J20" s="211">
        <v>0</v>
      </c>
      <c r="K20" s="211">
        <v>0</v>
      </c>
      <c r="L20" s="212">
        <v>1</v>
      </c>
      <c r="M20" s="212">
        <v>0</v>
      </c>
      <c r="N20" s="85">
        <f t="shared" si="1"/>
        <v>78</v>
      </c>
      <c r="O20" s="43">
        <f t="shared" si="2"/>
        <v>65</v>
      </c>
    </row>
    <row r="21" spans="1:15" ht="22.5" customHeight="1" x14ac:dyDescent="0.3">
      <c r="A21" s="190" t="s">
        <v>190</v>
      </c>
      <c r="B21" s="44">
        <v>26</v>
      </c>
      <c r="C21" s="39">
        <v>49</v>
      </c>
      <c r="D21" s="39">
        <v>5</v>
      </c>
      <c r="E21" s="39">
        <v>2</v>
      </c>
      <c r="F21" s="194">
        <v>1</v>
      </c>
      <c r="G21" s="196">
        <f t="shared" si="0"/>
        <v>83</v>
      </c>
      <c r="H21" s="211">
        <v>0</v>
      </c>
      <c r="I21" s="211">
        <v>0</v>
      </c>
      <c r="J21" s="211">
        <v>0</v>
      </c>
      <c r="K21" s="211">
        <v>0</v>
      </c>
      <c r="L21" s="212">
        <v>0</v>
      </c>
      <c r="M21" s="212">
        <v>0</v>
      </c>
      <c r="N21" s="85">
        <f t="shared" si="1"/>
        <v>83</v>
      </c>
      <c r="O21" s="43">
        <f t="shared" si="2"/>
        <v>68.5</v>
      </c>
    </row>
    <row r="22" spans="1:15" ht="22.5" customHeight="1" x14ac:dyDescent="0.3">
      <c r="A22" s="190" t="s">
        <v>191</v>
      </c>
      <c r="B22" s="44">
        <v>23</v>
      </c>
      <c r="C22" s="39">
        <v>36</v>
      </c>
      <c r="D22" s="39">
        <v>1</v>
      </c>
      <c r="E22" s="39">
        <v>0</v>
      </c>
      <c r="F22" s="194">
        <v>0</v>
      </c>
      <c r="G22" s="196">
        <f t="shared" si="0"/>
        <v>60</v>
      </c>
      <c r="H22" s="211">
        <v>0</v>
      </c>
      <c r="I22" s="211">
        <v>1</v>
      </c>
      <c r="J22" s="211">
        <v>0</v>
      </c>
      <c r="K22" s="211">
        <v>0</v>
      </c>
      <c r="L22" s="212">
        <v>0</v>
      </c>
      <c r="M22" s="212">
        <v>0</v>
      </c>
      <c r="N22" s="85">
        <f t="shared" si="1"/>
        <v>60</v>
      </c>
      <c r="O22" s="43">
        <f t="shared" si="2"/>
        <v>44</v>
      </c>
    </row>
    <row r="23" spans="1:15" ht="22.5" customHeight="1" x14ac:dyDescent="0.3">
      <c r="A23" s="190" t="s">
        <v>192</v>
      </c>
      <c r="B23" s="44">
        <v>30</v>
      </c>
      <c r="C23" s="39">
        <v>21</v>
      </c>
      <c r="D23" s="39">
        <v>4</v>
      </c>
      <c r="E23" s="39">
        <v>0</v>
      </c>
      <c r="F23" s="194">
        <v>1</v>
      </c>
      <c r="G23" s="196">
        <f t="shared" si="0"/>
        <v>56</v>
      </c>
      <c r="H23" s="211">
        <v>0</v>
      </c>
      <c r="I23" s="211">
        <v>0</v>
      </c>
      <c r="J23" s="211">
        <v>0</v>
      </c>
      <c r="K23" s="211">
        <v>0</v>
      </c>
      <c r="L23" s="212">
        <v>1</v>
      </c>
      <c r="M23" s="212">
        <v>0</v>
      </c>
      <c r="N23" s="85">
        <f t="shared" si="1"/>
        <v>56</v>
      </c>
      <c r="O23" s="43">
        <f t="shared" si="2"/>
        <v>59</v>
      </c>
    </row>
    <row r="24" spans="1:15" ht="22.5" customHeight="1" x14ac:dyDescent="0.3">
      <c r="A24" s="190" t="s">
        <v>193</v>
      </c>
      <c r="B24" s="44">
        <v>31</v>
      </c>
      <c r="C24" s="39">
        <v>13</v>
      </c>
      <c r="D24" s="39">
        <v>2</v>
      </c>
      <c r="E24" s="39">
        <v>0</v>
      </c>
      <c r="F24" s="194">
        <v>2</v>
      </c>
      <c r="G24" s="196">
        <f t="shared" si="0"/>
        <v>48</v>
      </c>
      <c r="H24" s="211">
        <v>0</v>
      </c>
      <c r="I24" s="211">
        <v>0</v>
      </c>
      <c r="J24" s="211">
        <v>0</v>
      </c>
      <c r="K24" s="211">
        <v>0</v>
      </c>
      <c r="L24" s="212">
        <v>0</v>
      </c>
      <c r="M24" s="212">
        <v>0</v>
      </c>
      <c r="N24" s="85">
        <f t="shared" si="1"/>
        <v>48</v>
      </c>
      <c r="O24" s="43">
        <f t="shared" si="2"/>
        <v>49.5</v>
      </c>
    </row>
    <row r="25" spans="1:15" ht="22.5" customHeight="1" x14ac:dyDescent="0.3">
      <c r="A25" s="190" t="s">
        <v>194</v>
      </c>
      <c r="B25" s="44">
        <v>24</v>
      </c>
      <c r="C25" s="39">
        <v>11</v>
      </c>
      <c r="D25" s="39">
        <v>4</v>
      </c>
      <c r="E25" s="39">
        <v>2</v>
      </c>
      <c r="F25" s="194">
        <v>0</v>
      </c>
      <c r="G25" s="196">
        <f t="shared" si="0"/>
        <v>41</v>
      </c>
      <c r="H25" s="211">
        <v>0</v>
      </c>
      <c r="I25" s="211">
        <v>0</v>
      </c>
      <c r="J25" s="211">
        <v>0</v>
      </c>
      <c r="K25" s="211">
        <v>0</v>
      </c>
      <c r="L25" s="212">
        <v>0</v>
      </c>
      <c r="M25" s="212">
        <v>0</v>
      </c>
      <c r="N25" s="85">
        <f t="shared" si="1"/>
        <v>41</v>
      </c>
      <c r="O25" s="43">
        <f t="shared" si="2"/>
        <v>41.5</v>
      </c>
    </row>
    <row r="26" spans="1:15" ht="22.5" customHeight="1" x14ac:dyDescent="0.3">
      <c r="A26" s="190" t="s">
        <v>195</v>
      </c>
      <c r="B26" s="44">
        <v>25</v>
      </c>
      <c r="C26" s="39">
        <v>14</v>
      </c>
      <c r="D26" s="39">
        <v>4</v>
      </c>
      <c r="E26" s="39">
        <v>1</v>
      </c>
      <c r="F26" s="194">
        <v>0</v>
      </c>
      <c r="G26" s="196">
        <f t="shared" si="0"/>
        <v>44</v>
      </c>
      <c r="H26" s="211">
        <v>0</v>
      </c>
      <c r="I26" s="211">
        <v>0</v>
      </c>
      <c r="J26" s="211">
        <v>0</v>
      </c>
      <c r="K26" s="211">
        <v>0</v>
      </c>
      <c r="L26" s="212">
        <v>0</v>
      </c>
      <c r="M26" s="212">
        <v>0</v>
      </c>
      <c r="N26" s="85">
        <f t="shared" si="1"/>
        <v>44</v>
      </c>
      <c r="O26" s="43">
        <f t="shared" si="2"/>
        <v>41</v>
      </c>
    </row>
    <row r="27" spans="1:15" ht="22.5" customHeight="1" x14ac:dyDescent="0.3">
      <c r="A27" s="190" t="s">
        <v>196</v>
      </c>
      <c r="B27" s="44">
        <v>24</v>
      </c>
      <c r="C27" s="39">
        <v>14</v>
      </c>
      <c r="D27" s="39">
        <v>2</v>
      </c>
      <c r="E27" s="39">
        <v>1</v>
      </c>
      <c r="F27" s="194">
        <v>0</v>
      </c>
      <c r="G27" s="196">
        <f t="shared" si="0"/>
        <v>41</v>
      </c>
      <c r="H27" s="211">
        <v>0</v>
      </c>
      <c r="I27" s="211">
        <v>0</v>
      </c>
      <c r="J27" s="211">
        <v>0</v>
      </c>
      <c r="K27" s="211">
        <v>0</v>
      </c>
      <c r="L27" s="212">
        <v>0</v>
      </c>
      <c r="M27" s="212">
        <v>0</v>
      </c>
      <c r="N27" s="85">
        <f t="shared" si="1"/>
        <v>41</v>
      </c>
      <c r="O27" s="43">
        <f t="shared" si="2"/>
        <v>37</v>
      </c>
    </row>
    <row r="28" spans="1:15" ht="22.5" customHeight="1" x14ac:dyDescent="0.3">
      <c r="A28" s="190" t="s">
        <v>197</v>
      </c>
      <c r="B28" s="44">
        <v>39</v>
      </c>
      <c r="C28" s="39">
        <v>17</v>
      </c>
      <c r="D28" s="39">
        <v>4</v>
      </c>
      <c r="E28" s="39">
        <v>1</v>
      </c>
      <c r="F28" s="194">
        <v>4</v>
      </c>
      <c r="G28" s="196">
        <f t="shared" si="0"/>
        <v>65</v>
      </c>
      <c r="H28" s="211">
        <v>0</v>
      </c>
      <c r="I28" s="211">
        <v>0</v>
      </c>
      <c r="J28" s="211">
        <v>0</v>
      </c>
      <c r="K28" s="211">
        <v>0</v>
      </c>
      <c r="L28" s="212">
        <v>1</v>
      </c>
      <c r="M28" s="212">
        <v>1</v>
      </c>
      <c r="N28" s="85">
        <f t="shared" si="1"/>
        <v>66</v>
      </c>
      <c r="O28" s="43">
        <f t="shared" si="2"/>
        <v>82.5</v>
      </c>
    </row>
    <row r="29" spans="1:15" ht="22.5" customHeight="1" x14ac:dyDescent="0.3">
      <c r="A29" s="190" t="s">
        <v>198</v>
      </c>
      <c r="B29" s="44">
        <v>35</v>
      </c>
      <c r="C29" s="39">
        <v>12</v>
      </c>
      <c r="D29" s="39">
        <v>2</v>
      </c>
      <c r="E29" s="39">
        <v>1</v>
      </c>
      <c r="F29" s="194">
        <v>5</v>
      </c>
      <c r="G29" s="196">
        <f t="shared" si="0"/>
        <v>55</v>
      </c>
      <c r="H29" s="211">
        <v>0</v>
      </c>
      <c r="I29" s="211">
        <v>0</v>
      </c>
      <c r="J29" s="211">
        <v>0</v>
      </c>
      <c r="K29" s="211">
        <v>0</v>
      </c>
      <c r="L29" s="212">
        <v>0</v>
      </c>
      <c r="M29" s="212">
        <v>0</v>
      </c>
      <c r="N29" s="85">
        <f t="shared" si="1"/>
        <v>55</v>
      </c>
      <c r="O29" s="43">
        <f t="shared" si="2"/>
        <v>69.5</v>
      </c>
    </row>
    <row r="30" spans="1:15" ht="22.5" customHeight="1" x14ac:dyDescent="0.3">
      <c r="A30" s="190" t="s">
        <v>199</v>
      </c>
      <c r="B30" s="44">
        <v>22</v>
      </c>
      <c r="C30" s="39">
        <v>20</v>
      </c>
      <c r="D30" s="39">
        <v>5</v>
      </c>
      <c r="E30" s="39">
        <v>0</v>
      </c>
      <c r="F30" s="194">
        <v>1</v>
      </c>
      <c r="G30" s="196">
        <f t="shared" si="0"/>
        <v>48</v>
      </c>
      <c r="H30" s="211">
        <v>0</v>
      </c>
      <c r="I30" s="211">
        <v>0</v>
      </c>
      <c r="J30" s="211">
        <v>0</v>
      </c>
      <c r="K30" s="211">
        <v>0</v>
      </c>
      <c r="L30" s="212">
        <v>0</v>
      </c>
      <c r="M30" s="212">
        <v>0</v>
      </c>
      <c r="N30" s="85">
        <f t="shared" si="1"/>
        <v>48</v>
      </c>
      <c r="O30" s="43">
        <f t="shared" si="2"/>
        <v>44</v>
      </c>
    </row>
    <row r="31" spans="1:15" ht="22.5" customHeight="1" x14ac:dyDescent="0.3">
      <c r="A31" s="190" t="s">
        <v>200</v>
      </c>
      <c r="B31" s="44">
        <v>22</v>
      </c>
      <c r="C31" s="39">
        <v>23</v>
      </c>
      <c r="D31" s="39">
        <v>1</v>
      </c>
      <c r="E31" s="39">
        <v>1</v>
      </c>
      <c r="F31" s="194">
        <v>2</v>
      </c>
      <c r="G31" s="196">
        <f t="shared" si="0"/>
        <v>49</v>
      </c>
      <c r="H31" s="211">
        <v>0</v>
      </c>
      <c r="I31" s="211">
        <v>0</v>
      </c>
      <c r="J31" s="211">
        <v>0</v>
      </c>
      <c r="K31" s="211">
        <v>0</v>
      </c>
      <c r="L31" s="212">
        <v>0</v>
      </c>
      <c r="M31" s="212">
        <v>0</v>
      </c>
      <c r="N31" s="85">
        <f t="shared" si="1"/>
        <v>49</v>
      </c>
      <c r="O31" s="43">
        <f t="shared" si="2"/>
        <v>47</v>
      </c>
    </row>
    <row r="32" spans="1:15" ht="22.5" customHeight="1" x14ac:dyDescent="0.3">
      <c r="A32" s="190" t="s">
        <v>201</v>
      </c>
      <c r="B32" s="44">
        <v>18</v>
      </c>
      <c r="C32" s="39">
        <v>18</v>
      </c>
      <c r="D32" s="39">
        <v>3</v>
      </c>
      <c r="E32" s="39">
        <v>0</v>
      </c>
      <c r="F32" s="194">
        <v>4</v>
      </c>
      <c r="G32" s="196">
        <f t="shared" si="0"/>
        <v>43</v>
      </c>
      <c r="H32" s="211">
        <v>0</v>
      </c>
      <c r="I32" s="211">
        <v>0</v>
      </c>
      <c r="J32" s="211">
        <v>0</v>
      </c>
      <c r="K32" s="211">
        <v>0</v>
      </c>
      <c r="L32" s="212">
        <v>0</v>
      </c>
      <c r="M32" s="212">
        <v>0</v>
      </c>
      <c r="N32" s="85">
        <f t="shared" si="1"/>
        <v>43</v>
      </c>
      <c r="O32" s="43">
        <f t="shared" si="2"/>
        <v>49.5</v>
      </c>
    </row>
    <row r="33" spans="1:15" ht="22.5" customHeight="1" x14ac:dyDescent="0.3">
      <c r="A33" s="190" t="s">
        <v>202</v>
      </c>
      <c r="B33" s="44">
        <v>17</v>
      </c>
      <c r="C33" s="39">
        <v>16</v>
      </c>
      <c r="D33" s="39">
        <v>2</v>
      </c>
      <c r="E33" s="39">
        <v>1</v>
      </c>
      <c r="F33" s="194">
        <v>2</v>
      </c>
      <c r="G33" s="196">
        <f t="shared" si="0"/>
        <v>38</v>
      </c>
      <c r="H33" s="211">
        <v>0</v>
      </c>
      <c r="I33" s="211">
        <v>0</v>
      </c>
      <c r="J33" s="211">
        <v>0</v>
      </c>
      <c r="K33" s="211">
        <v>0</v>
      </c>
      <c r="L33" s="212">
        <v>0</v>
      </c>
      <c r="M33" s="212">
        <v>0</v>
      </c>
      <c r="N33" s="85">
        <f t="shared" si="1"/>
        <v>38</v>
      </c>
      <c r="O33" s="43">
        <f t="shared" si="2"/>
        <v>40</v>
      </c>
    </row>
    <row r="34" spans="1:15" ht="22.5" customHeight="1" x14ac:dyDescent="0.3">
      <c r="A34" s="190" t="s">
        <v>203</v>
      </c>
      <c r="B34" s="44">
        <v>18</v>
      </c>
      <c r="C34" s="39">
        <v>14</v>
      </c>
      <c r="D34" s="39">
        <v>4</v>
      </c>
      <c r="E34" s="39">
        <v>1</v>
      </c>
      <c r="F34" s="194">
        <v>0</v>
      </c>
      <c r="G34" s="196">
        <f t="shared" si="0"/>
        <v>37</v>
      </c>
      <c r="H34" s="211">
        <v>0</v>
      </c>
      <c r="I34" s="211">
        <v>0</v>
      </c>
      <c r="J34" s="211">
        <v>0</v>
      </c>
      <c r="K34" s="211">
        <v>0</v>
      </c>
      <c r="L34" s="212">
        <v>0</v>
      </c>
      <c r="M34" s="212">
        <v>0</v>
      </c>
      <c r="N34" s="85">
        <f t="shared" si="1"/>
        <v>37</v>
      </c>
      <c r="O34" s="43">
        <f t="shared" si="2"/>
        <v>34</v>
      </c>
    </row>
    <row r="35" spans="1:15" ht="22.5" customHeight="1" x14ac:dyDescent="0.3">
      <c r="A35" s="190" t="s">
        <v>204</v>
      </c>
      <c r="B35" s="44">
        <v>17</v>
      </c>
      <c r="C35" s="39">
        <v>15</v>
      </c>
      <c r="D35" s="39">
        <v>2</v>
      </c>
      <c r="E35" s="39">
        <v>3</v>
      </c>
      <c r="F35" s="194">
        <v>1</v>
      </c>
      <c r="G35" s="196">
        <f t="shared" si="0"/>
        <v>38</v>
      </c>
      <c r="H35" s="211">
        <v>0</v>
      </c>
      <c r="I35" s="211">
        <v>0</v>
      </c>
      <c r="J35" s="211">
        <v>0</v>
      </c>
      <c r="K35" s="211">
        <v>0</v>
      </c>
      <c r="L35" s="212">
        <v>0</v>
      </c>
      <c r="M35" s="212">
        <v>0</v>
      </c>
      <c r="N35" s="85">
        <f t="shared" si="1"/>
        <v>38</v>
      </c>
      <c r="O35" s="43">
        <f t="shared" si="2"/>
        <v>41</v>
      </c>
    </row>
    <row r="36" spans="1:15" ht="22.5" customHeight="1" x14ac:dyDescent="0.3">
      <c r="A36" s="190" t="s">
        <v>205</v>
      </c>
      <c r="B36" s="44">
        <v>21</v>
      </c>
      <c r="C36" s="39">
        <v>9</v>
      </c>
      <c r="D36" s="39">
        <v>2</v>
      </c>
      <c r="E36" s="39">
        <v>0</v>
      </c>
      <c r="F36" s="194">
        <v>1</v>
      </c>
      <c r="G36" s="196">
        <f t="shared" si="0"/>
        <v>33</v>
      </c>
      <c r="H36" s="211">
        <v>0</v>
      </c>
      <c r="I36" s="211">
        <v>0</v>
      </c>
      <c r="J36" s="211">
        <v>0</v>
      </c>
      <c r="K36" s="211">
        <v>0</v>
      </c>
      <c r="L36" s="212">
        <v>0</v>
      </c>
      <c r="M36" s="212">
        <v>0</v>
      </c>
      <c r="N36" s="85">
        <f t="shared" si="1"/>
        <v>33</v>
      </c>
      <c r="O36" s="43">
        <f t="shared" si="2"/>
        <v>33</v>
      </c>
    </row>
    <row r="37" spans="1:15" ht="22.5" customHeight="1" x14ac:dyDescent="0.3">
      <c r="A37" s="190" t="s">
        <v>206</v>
      </c>
      <c r="B37" s="44">
        <v>17</v>
      </c>
      <c r="C37" s="39">
        <v>4</v>
      </c>
      <c r="D37" s="39">
        <v>0</v>
      </c>
      <c r="E37" s="39">
        <v>0</v>
      </c>
      <c r="F37" s="194">
        <v>2</v>
      </c>
      <c r="G37" s="196">
        <f t="shared" si="0"/>
        <v>23</v>
      </c>
      <c r="H37" s="211">
        <v>0</v>
      </c>
      <c r="I37" s="211">
        <v>0</v>
      </c>
      <c r="J37" s="211">
        <v>0</v>
      </c>
      <c r="K37" s="211">
        <v>0</v>
      </c>
      <c r="L37" s="212">
        <v>1</v>
      </c>
      <c r="M37" s="212">
        <v>0</v>
      </c>
      <c r="N37" s="85">
        <f t="shared" si="1"/>
        <v>23</v>
      </c>
      <c r="O37" s="43">
        <f t="shared" si="2"/>
        <v>36</v>
      </c>
    </row>
    <row r="38" spans="1:15" ht="22.5" customHeight="1" x14ac:dyDescent="0.3">
      <c r="A38" s="190" t="s">
        <v>207</v>
      </c>
      <c r="B38" s="44">
        <v>15</v>
      </c>
      <c r="C38" s="39">
        <v>5</v>
      </c>
      <c r="D38" s="39">
        <v>3</v>
      </c>
      <c r="E38" s="39">
        <v>1</v>
      </c>
      <c r="F38" s="194">
        <v>1</v>
      </c>
      <c r="G38" s="196">
        <f t="shared" si="0"/>
        <v>25</v>
      </c>
      <c r="H38" s="211">
        <v>0</v>
      </c>
      <c r="I38" s="211">
        <v>0</v>
      </c>
      <c r="J38" s="211">
        <v>0</v>
      </c>
      <c r="K38" s="211">
        <v>0</v>
      </c>
      <c r="L38" s="212">
        <v>0</v>
      </c>
      <c r="M38" s="212">
        <v>0</v>
      </c>
      <c r="N38" s="85">
        <f t="shared" si="1"/>
        <v>25</v>
      </c>
      <c r="O38" s="43">
        <f t="shared" si="2"/>
        <v>29.5</v>
      </c>
    </row>
    <row r="39" spans="1:15" ht="22.5" customHeight="1" x14ac:dyDescent="0.3">
      <c r="A39" s="190" t="s">
        <v>208</v>
      </c>
      <c r="B39" s="44">
        <v>16</v>
      </c>
      <c r="C39" s="39">
        <v>6</v>
      </c>
      <c r="D39" s="39">
        <v>2</v>
      </c>
      <c r="E39" s="39">
        <v>3</v>
      </c>
      <c r="F39" s="194">
        <v>3</v>
      </c>
      <c r="G39" s="196">
        <f t="shared" si="0"/>
        <v>30</v>
      </c>
      <c r="H39" s="211">
        <v>0</v>
      </c>
      <c r="I39" s="211">
        <v>0</v>
      </c>
      <c r="J39" s="211">
        <v>0</v>
      </c>
      <c r="K39" s="211">
        <v>0</v>
      </c>
      <c r="L39" s="212">
        <v>1</v>
      </c>
      <c r="M39" s="212">
        <v>0</v>
      </c>
      <c r="N39" s="85">
        <f t="shared" si="1"/>
        <v>30</v>
      </c>
      <c r="O39" s="43">
        <f t="shared" si="2"/>
        <v>52.5</v>
      </c>
    </row>
    <row r="40" spans="1:15" ht="22.5" customHeight="1" x14ac:dyDescent="0.3">
      <c r="A40" s="190" t="s">
        <v>209</v>
      </c>
      <c r="B40" s="44">
        <v>22</v>
      </c>
      <c r="C40" s="39">
        <v>15</v>
      </c>
      <c r="D40" s="39">
        <v>2</v>
      </c>
      <c r="E40" s="39">
        <v>0</v>
      </c>
      <c r="F40" s="194">
        <v>0</v>
      </c>
      <c r="G40" s="196">
        <f t="shared" ref="G40:G71" si="3">SUM(B40:F40)</f>
        <v>39</v>
      </c>
      <c r="H40" s="211">
        <v>0</v>
      </c>
      <c r="I40" s="211">
        <v>0</v>
      </c>
      <c r="J40" s="211">
        <v>0</v>
      </c>
      <c r="K40" s="211">
        <v>0</v>
      </c>
      <c r="L40" s="212">
        <v>1</v>
      </c>
      <c r="M40" s="212">
        <v>0</v>
      </c>
      <c r="N40" s="85">
        <f t="shared" si="1"/>
        <v>39</v>
      </c>
      <c r="O40" s="43">
        <f t="shared" si="2"/>
        <v>40.5</v>
      </c>
    </row>
    <row r="41" spans="1:15" ht="22.5" customHeight="1" x14ac:dyDescent="0.3">
      <c r="A41" s="190" t="s">
        <v>210</v>
      </c>
      <c r="B41" s="44">
        <v>21</v>
      </c>
      <c r="C41" s="39">
        <v>16</v>
      </c>
      <c r="D41" s="39">
        <v>2</v>
      </c>
      <c r="E41" s="39">
        <v>0</v>
      </c>
      <c r="F41" s="194">
        <v>0</v>
      </c>
      <c r="G41" s="196">
        <f t="shared" si="3"/>
        <v>39</v>
      </c>
      <c r="H41" s="211">
        <v>0</v>
      </c>
      <c r="I41" s="211">
        <v>0</v>
      </c>
      <c r="J41" s="211">
        <v>0</v>
      </c>
      <c r="K41" s="211">
        <v>0</v>
      </c>
      <c r="L41" s="212">
        <v>0</v>
      </c>
      <c r="M41" s="212">
        <v>0</v>
      </c>
      <c r="N41" s="85">
        <f t="shared" si="1"/>
        <v>39</v>
      </c>
      <c r="O41" s="43">
        <f t="shared" si="2"/>
        <v>32</v>
      </c>
    </row>
    <row r="42" spans="1:15" ht="22.5" customHeight="1" x14ac:dyDescent="0.3">
      <c r="A42" s="190" t="s">
        <v>211</v>
      </c>
      <c r="B42" s="44">
        <v>14</v>
      </c>
      <c r="C42" s="39">
        <v>15</v>
      </c>
      <c r="D42" s="39">
        <v>0</v>
      </c>
      <c r="E42" s="39">
        <v>0</v>
      </c>
      <c r="F42" s="194">
        <v>0</v>
      </c>
      <c r="G42" s="196">
        <f t="shared" si="3"/>
        <v>29</v>
      </c>
      <c r="H42" s="211">
        <v>0</v>
      </c>
      <c r="I42" s="211">
        <v>0</v>
      </c>
      <c r="J42" s="211">
        <v>0</v>
      </c>
      <c r="K42" s="211">
        <v>0</v>
      </c>
      <c r="L42" s="212">
        <v>2</v>
      </c>
      <c r="M42" s="212">
        <v>0</v>
      </c>
      <c r="N42" s="85">
        <f t="shared" si="1"/>
        <v>29</v>
      </c>
      <c r="O42" s="43">
        <f t="shared" si="2"/>
        <v>37.5</v>
      </c>
    </row>
    <row r="43" spans="1:15" ht="22.5" customHeight="1" x14ac:dyDescent="0.3">
      <c r="A43" s="190" t="s">
        <v>212</v>
      </c>
      <c r="B43" s="44">
        <v>16</v>
      </c>
      <c r="C43" s="39">
        <v>11</v>
      </c>
      <c r="D43" s="39">
        <v>5</v>
      </c>
      <c r="E43" s="39">
        <v>1</v>
      </c>
      <c r="F43" s="194">
        <v>1</v>
      </c>
      <c r="G43" s="196">
        <f t="shared" si="3"/>
        <v>34</v>
      </c>
      <c r="H43" s="211">
        <v>0</v>
      </c>
      <c r="I43" s="211">
        <v>0</v>
      </c>
      <c r="J43" s="211">
        <v>0</v>
      </c>
      <c r="K43" s="211">
        <v>0</v>
      </c>
      <c r="L43" s="212">
        <v>0</v>
      </c>
      <c r="M43" s="212">
        <v>0</v>
      </c>
      <c r="N43" s="85">
        <f t="shared" si="1"/>
        <v>34</v>
      </c>
      <c r="O43" s="43">
        <f t="shared" si="2"/>
        <v>36.5</v>
      </c>
    </row>
    <row r="44" spans="1:15" ht="22.5" customHeight="1" x14ac:dyDescent="0.3">
      <c r="A44" s="190" t="s">
        <v>213</v>
      </c>
      <c r="B44" s="44">
        <v>14</v>
      </c>
      <c r="C44" s="39">
        <v>15</v>
      </c>
      <c r="D44" s="39">
        <v>4</v>
      </c>
      <c r="E44" s="39">
        <v>0</v>
      </c>
      <c r="F44" s="194">
        <v>0</v>
      </c>
      <c r="G44" s="196">
        <f t="shared" si="3"/>
        <v>33</v>
      </c>
      <c r="H44" s="211">
        <v>0</v>
      </c>
      <c r="I44" s="211">
        <v>0</v>
      </c>
      <c r="J44" s="211">
        <v>0</v>
      </c>
      <c r="K44" s="211">
        <v>0</v>
      </c>
      <c r="L44" s="212">
        <v>0</v>
      </c>
      <c r="M44" s="212">
        <v>0</v>
      </c>
      <c r="N44" s="85">
        <f t="shared" si="1"/>
        <v>33</v>
      </c>
      <c r="O44" s="43">
        <f t="shared" si="2"/>
        <v>27.5</v>
      </c>
    </row>
    <row r="45" spans="1:15" ht="22.5" customHeight="1" x14ac:dyDescent="0.3">
      <c r="A45" s="190" t="s">
        <v>214</v>
      </c>
      <c r="B45" s="44">
        <v>22</v>
      </c>
      <c r="C45" s="39">
        <v>20</v>
      </c>
      <c r="D45" s="39">
        <v>1</v>
      </c>
      <c r="E45" s="39">
        <v>1</v>
      </c>
      <c r="F45" s="194">
        <v>0</v>
      </c>
      <c r="G45" s="196">
        <f t="shared" si="3"/>
        <v>44</v>
      </c>
      <c r="H45" s="211">
        <v>0</v>
      </c>
      <c r="I45" s="211">
        <v>0</v>
      </c>
      <c r="J45" s="211">
        <v>0</v>
      </c>
      <c r="K45" s="211">
        <v>0</v>
      </c>
      <c r="L45" s="212">
        <v>1</v>
      </c>
      <c r="M45" s="212">
        <v>0</v>
      </c>
      <c r="N45" s="85">
        <f t="shared" si="1"/>
        <v>44</v>
      </c>
      <c r="O45" s="43">
        <f t="shared" si="2"/>
        <v>44.5</v>
      </c>
    </row>
    <row r="46" spans="1:15" ht="22.5" customHeight="1" x14ac:dyDescent="0.3">
      <c r="A46" s="190" t="s">
        <v>215</v>
      </c>
      <c r="B46" s="44">
        <v>15</v>
      </c>
      <c r="C46" s="39">
        <v>26</v>
      </c>
      <c r="D46" s="39">
        <v>6</v>
      </c>
      <c r="E46" s="39">
        <v>1</v>
      </c>
      <c r="F46" s="194">
        <v>2</v>
      </c>
      <c r="G46" s="196">
        <f t="shared" si="3"/>
        <v>50</v>
      </c>
      <c r="H46" s="211">
        <v>0</v>
      </c>
      <c r="I46" s="211">
        <v>0</v>
      </c>
      <c r="J46" s="211">
        <v>0</v>
      </c>
      <c r="K46" s="211">
        <v>0</v>
      </c>
      <c r="L46" s="212">
        <v>0</v>
      </c>
      <c r="M46" s="212">
        <v>0</v>
      </c>
      <c r="N46" s="85">
        <f t="shared" si="1"/>
        <v>50</v>
      </c>
      <c r="O46" s="43">
        <f t="shared" si="2"/>
        <v>49</v>
      </c>
    </row>
    <row r="47" spans="1:15" ht="22.5" customHeight="1" x14ac:dyDescent="0.3">
      <c r="A47" s="190" t="s">
        <v>216</v>
      </c>
      <c r="B47" s="44">
        <v>11</v>
      </c>
      <c r="C47" s="39">
        <v>19</v>
      </c>
      <c r="D47" s="39">
        <v>3</v>
      </c>
      <c r="E47" s="39">
        <v>0</v>
      </c>
      <c r="F47" s="194">
        <v>0</v>
      </c>
      <c r="G47" s="196">
        <f t="shared" si="3"/>
        <v>33</v>
      </c>
      <c r="H47" s="211">
        <v>0</v>
      </c>
      <c r="I47" s="211">
        <v>0</v>
      </c>
      <c r="J47" s="211">
        <v>0</v>
      </c>
      <c r="K47" s="211">
        <v>0</v>
      </c>
      <c r="L47" s="212">
        <v>0</v>
      </c>
      <c r="M47" s="212">
        <v>0</v>
      </c>
      <c r="N47" s="85">
        <f t="shared" si="1"/>
        <v>33</v>
      </c>
      <c r="O47" s="43">
        <f t="shared" si="2"/>
        <v>25</v>
      </c>
    </row>
    <row r="48" spans="1:15" ht="22.5" customHeight="1" x14ac:dyDescent="0.3">
      <c r="A48" s="190" t="s">
        <v>217</v>
      </c>
      <c r="B48" s="44">
        <v>35</v>
      </c>
      <c r="C48" s="39">
        <v>9</v>
      </c>
      <c r="D48" s="39">
        <v>6</v>
      </c>
      <c r="E48" s="39">
        <v>0</v>
      </c>
      <c r="F48" s="194">
        <v>0</v>
      </c>
      <c r="G48" s="196">
        <f t="shared" si="3"/>
        <v>50</v>
      </c>
      <c r="H48" s="211">
        <v>0</v>
      </c>
      <c r="I48" s="211">
        <v>0</v>
      </c>
      <c r="J48" s="211">
        <v>0</v>
      </c>
      <c r="K48" s="211">
        <v>0</v>
      </c>
      <c r="L48" s="212">
        <v>1</v>
      </c>
      <c r="M48" s="212">
        <v>0</v>
      </c>
      <c r="N48" s="85">
        <f t="shared" si="1"/>
        <v>50</v>
      </c>
      <c r="O48" s="43">
        <f t="shared" si="2"/>
        <v>56.5</v>
      </c>
    </row>
    <row r="49" spans="1:15" ht="22.5" customHeight="1" x14ac:dyDescent="0.3">
      <c r="A49" s="190" t="s">
        <v>218</v>
      </c>
      <c r="B49" s="44">
        <v>23</v>
      </c>
      <c r="C49" s="39">
        <v>38</v>
      </c>
      <c r="D49" s="39">
        <v>7</v>
      </c>
      <c r="E49" s="39">
        <v>0</v>
      </c>
      <c r="F49" s="194">
        <v>1</v>
      </c>
      <c r="G49" s="196">
        <f t="shared" si="3"/>
        <v>69</v>
      </c>
      <c r="H49" s="211">
        <v>0</v>
      </c>
      <c r="I49" s="211">
        <v>0</v>
      </c>
      <c r="J49" s="211">
        <v>0</v>
      </c>
      <c r="K49" s="211">
        <v>0</v>
      </c>
      <c r="L49" s="212">
        <v>1</v>
      </c>
      <c r="M49" s="212">
        <v>0</v>
      </c>
      <c r="N49" s="85">
        <f t="shared" si="1"/>
        <v>69</v>
      </c>
      <c r="O49" s="43">
        <f t="shared" si="2"/>
        <v>65</v>
      </c>
    </row>
    <row r="50" spans="1:15" ht="22.5" customHeight="1" x14ac:dyDescent="0.3">
      <c r="A50" s="190" t="s">
        <v>219</v>
      </c>
      <c r="B50" s="44">
        <v>8</v>
      </c>
      <c r="C50" s="39">
        <v>33</v>
      </c>
      <c r="D50" s="39">
        <v>2</v>
      </c>
      <c r="E50" s="39">
        <v>0</v>
      </c>
      <c r="F50" s="194">
        <v>4</v>
      </c>
      <c r="G50" s="196">
        <f t="shared" si="3"/>
        <v>47</v>
      </c>
      <c r="H50" s="211">
        <v>0</v>
      </c>
      <c r="I50" s="211">
        <v>0</v>
      </c>
      <c r="J50" s="211">
        <v>0</v>
      </c>
      <c r="K50" s="211">
        <v>0</v>
      </c>
      <c r="L50" s="212">
        <v>1</v>
      </c>
      <c r="M50" s="212">
        <v>0</v>
      </c>
      <c r="N50" s="85">
        <f t="shared" si="1"/>
        <v>47</v>
      </c>
      <c r="O50" s="43">
        <f t="shared" si="2"/>
        <v>53.5</v>
      </c>
    </row>
    <row r="51" spans="1:15" ht="22.5" customHeight="1" x14ac:dyDescent="0.3">
      <c r="A51" s="190" t="s">
        <v>220</v>
      </c>
      <c r="B51" s="44">
        <v>15</v>
      </c>
      <c r="C51" s="39">
        <v>13</v>
      </c>
      <c r="D51" s="39">
        <v>1</v>
      </c>
      <c r="E51" s="39">
        <v>1</v>
      </c>
      <c r="F51" s="194">
        <v>0</v>
      </c>
      <c r="G51" s="196">
        <f t="shared" si="3"/>
        <v>30</v>
      </c>
      <c r="H51" s="211">
        <v>0</v>
      </c>
      <c r="I51" s="211">
        <v>0</v>
      </c>
      <c r="J51" s="211">
        <v>0</v>
      </c>
      <c r="K51" s="211">
        <v>0</v>
      </c>
      <c r="L51" s="212">
        <v>2</v>
      </c>
      <c r="M51" s="212">
        <v>0</v>
      </c>
      <c r="N51" s="85">
        <f t="shared" si="1"/>
        <v>30</v>
      </c>
      <c r="O51" s="43">
        <f t="shared" si="2"/>
        <v>42</v>
      </c>
    </row>
    <row r="52" spans="1:15" ht="22.5" customHeight="1" x14ac:dyDescent="0.3">
      <c r="A52" s="190" t="s">
        <v>221</v>
      </c>
      <c r="B52" s="44">
        <v>22</v>
      </c>
      <c r="C52" s="39">
        <v>21</v>
      </c>
      <c r="D52" s="39">
        <v>1</v>
      </c>
      <c r="E52" s="39">
        <v>0</v>
      </c>
      <c r="F52" s="194">
        <v>0</v>
      </c>
      <c r="G52" s="196">
        <f t="shared" si="3"/>
        <v>44</v>
      </c>
      <c r="H52" s="211">
        <v>0</v>
      </c>
      <c r="I52" s="211">
        <v>0</v>
      </c>
      <c r="J52" s="211">
        <v>0</v>
      </c>
      <c r="K52" s="211">
        <v>0</v>
      </c>
      <c r="L52" s="212">
        <v>0</v>
      </c>
      <c r="M52" s="212">
        <v>0</v>
      </c>
      <c r="N52" s="85">
        <f t="shared" si="1"/>
        <v>44</v>
      </c>
      <c r="O52" s="43">
        <f t="shared" si="2"/>
        <v>34</v>
      </c>
    </row>
    <row r="53" spans="1:15" ht="22.5" customHeight="1" x14ac:dyDescent="0.3">
      <c r="A53" s="190" t="s">
        <v>222</v>
      </c>
      <c r="B53" s="44">
        <v>12</v>
      </c>
      <c r="C53" s="39">
        <v>33</v>
      </c>
      <c r="D53" s="39">
        <v>5</v>
      </c>
      <c r="E53" s="39">
        <v>0</v>
      </c>
      <c r="F53" s="194">
        <v>2</v>
      </c>
      <c r="G53" s="196">
        <f t="shared" si="3"/>
        <v>52</v>
      </c>
      <c r="H53" s="211">
        <v>1</v>
      </c>
      <c r="I53" s="211">
        <v>0</v>
      </c>
      <c r="J53" s="211">
        <v>0</v>
      </c>
      <c r="K53" s="211">
        <v>0</v>
      </c>
      <c r="L53" s="212">
        <v>1</v>
      </c>
      <c r="M53" s="212">
        <v>0</v>
      </c>
      <c r="N53" s="85">
        <f t="shared" si="1"/>
        <v>52</v>
      </c>
      <c r="O53" s="43">
        <f t="shared" si="2"/>
        <v>53.5</v>
      </c>
    </row>
    <row r="54" spans="1:15" ht="22.5" customHeight="1" x14ac:dyDescent="0.3">
      <c r="A54" s="190" t="s">
        <v>223</v>
      </c>
      <c r="B54" s="44">
        <v>10</v>
      </c>
      <c r="C54" s="39">
        <v>33</v>
      </c>
      <c r="D54" s="39">
        <v>0</v>
      </c>
      <c r="E54" s="39">
        <v>0</v>
      </c>
      <c r="F54" s="194">
        <v>0</v>
      </c>
      <c r="G54" s="196">
        <f t="shared" si="3"/>
        <v>43</v>
      </c>
      <c r="H54" s="211">
        <v>1</v>
      </c>
      <c r="I54" s="211">
        <v>0</v>
      </c>
      <c r="J54" s="211">
        <v>0</v>
      </c>
      <c r="K54" s="211">
        <v>0</v>
      </c>
      <c r="L54" s="212">
        <v>1</v>
      </c>
      <c r="M54" s="212">
        <v>0</v>
      </c>
      <c r="N54" s="85">
        <f t="shared" si="1"/>
        <v>43</v>
      </c>
      <c r="O54" s="43">
        <f t="shared" si="2"/>
        <v>35</v>
      </c>
    </row>
    <row r="55" spans="1:15" ht="22.5" customHeight="1" x14ac:dyDescent="0.3">
      <c r="A55" s="190" t="s">
        <v>224</v>
      </c>
      <c r="B55" s="44">
        <v>15</v>
      </c>
      <c r="C55" s="39">
        <v>19</v>
      </c>
      <c r="D55" s="39">
        <v>2</v>
      </c>
      <c r="E55" s="39">
        <v>1</v>
      </c>
      <c r="F55" s="194">
        <v>1</v>
      </c>
      <c r="G55" s="196">
        <f t="shared" si="3"/>
        <v>38</v>
      </c>
      <c r="H55" s="211">
        <v>0</v>
      </c>
      <c r="I55" s="211">
        <v>0</v>
      </c>
      <c r="J55" s="211">
        <v>0</v>
      </c>
      <c r="K55" s="211">
        <v>0</v>
      </c>
      <c r="L55" s="212">
        <v>0</v>
      </c>
      <c r="M55" s="212">
        <v>0</v>
      </c>
      <c r="N55" s="85">
        <f t="shared" si="1"/>
        <v>38</v>
      </c>
      <c r="O55" s="43">
        <f t="shared" si="2"/>
        <v>35</v>
      </c>
    </row>
    <row r="56" spans="1:15" ht="22.5" customHeight="1" x14ac:dyDescent="0.3">
      <c r="A56" s="190" t="s">
        <v>225</v>
      </c>
      <c r="B56" s="44">
        <v>8</v>
      </c>
      <c r="C56" s="39">
        <v>16</v>
      </c>
      <c r="D56" s="39">
        <v>1</v>
      </c>
      <c r="E56" s="39">
        <v>1</v>
      </c>
      <c r="F56" s="194">
        <v>0</v>
      </c>
      <c r="G56" s="196">
        <f t="shared" si="3"/>
        <v>26</v>
      </c>
      <c r="H56" s="211">
        <v>0</v>
      </c>
      <c r="I56" s="211">
        <v>0</v>
      </c>
      <c r="J56" s="211">
        <v>0</v>
      </c>
      <c r="K56" s="211">
        <v>0</v>
      </c>
      <c r="L56" s="212">
        <v>0</v>
      </c>
      <c r="M56" s="212">
        <v>1</v>
      </c>
      <c r="N56" s="85">
        <f t="shared" si="1"/>
        <v>27</v>
      </c>
      <c r="O56" s="43">
        <f t="shared" si="2"/>
        <v>20.5</v>
      </c>
    </row>
    <row r="57" spans="1:15" ht="22.5" customHeight="1" x14ac:dyDescent="0.3">
      <c r="A57" s="190" t="s">
        <v>226</v>
      </c>
      <c r="B57" s="44">
        <v>10</v>
      </c>
      <c r="C57" s="39">
        <v>17</v>
      </c>
      <c r="D57" s="39">
        <v>0</v>
      </c>
      <c r="E57" s="39">
        <v>1</v>
      </c>
      <c r="F57" s="194">
        <v>2</v>
      </c>
      <c r="G57" s="196">
        <f t="shared" si="3"/>
        <v>30</v>
      </c>
      <c r="H57" s="211">
        <v>0</v>
      </c>
      <c r="I57" s="211">
        <v>0</v>
      </c>
      <c r="J57" s="211">
        <v>0</v>
      </c>
      <c r="K57" s="211">
        <v>0</v>
      </c>
      <c r="L57" s="212">
        <v>0</v>
      </c>
      <c r="M57" s="212">
        <v>0</v>
      </c>
      <c r="N57" s="85">
        <f t="shared" si="1"/>
        <v>30</v>
      </c>
      <c r="O57" s="43">
        <f t="shared" si="2"/>
        <v>30.5</v>
      </c>
    </row>
    <row r="58" spans="1:15" ht="22.5" customHeight="1" x14ac:dyDescent="0.3">
      <c r="A58" s="190" t="s">
        <v>227</v>
      </c>
      <c r="B58" s="44">
        <v>15</v>
      </c>
      <c r="C58" s="39">
        <v>7</v>
      </c>
      <c r="D58" s="39">
        <v>2</v>
      </c>
      <c r="E58" s="39">
        <v>1</v>
      </c>
      <c r="F58" s="194">
        <v>2</v>
      </c>
      <c r="G58" s="196">
        <f t="shared" si="3"/>
        <v>27</v>
      </c>
      <c r="H58" s="211">
        <v>0</v>
      </c>
      <c r="I58" s="211">
        <v>0</v>
      </c>
      <c r="J58" s="211">
        <v>0</v>
      </c>
      <c r="K58" s="211">
        <v>0</v>
      </c>
      <c r="L58" s="212">
        <v>1</v>
      </c>
      <c r="M58" s="212">
        <v>0</v>
      </c>
      <c r="N58" s="85">
        <f t="shared" si="1"/>
        <v>27</v>
      </c>
      <c r="O58" s="43">
        <f t="shared" si="2"/>
        <v>41.5</v>
      </c>
    </row>
    <row r="59" spans="1:15" ht="22.5" customHeight="1" x14ac:dyDescent="0.3">
      <c r="A59" s="190" t="s">
        <v>228</v>
      </c>
      <c r="B59" s="44">
        <v>9</v>
      </c>
      <c r="C59" s="39">
        <v>14</v>
      </c>
      <c r="D59" s="39">
        <v>0</v>
      </c>
      <c r="E59" s="39">
        <v>2</v>
      </c>
      <c r="F59" s="194">
        <v>1</v>
      </c>
      <c r="G59" s="196">
        <f t="shared" si="3"/>
        <v>26</v>
      </c>
      <c r="H59" s="211">
        <v>0</v>
      </c>
      <c r="I59" s="211">
        <v>0</v>
      </c>
      <c r="J59" s="211">
        <v>0</v>
      </c>
      <c r="K59" s="211">
        <v>0</v>
      </c>
      <c r="L59" s="212">
        <v>0</v>
      </c>
      <c r="M59" s="212">
        <v>0</v>
      </c>
      <c r="N59" s="85">
        <f t="shared" si="1"/>
        <v>26</v>
      </c>
      <c r="O59" s="43">
        <f t="shared" si="2"/>
        <v>26.5</v>
      </c>
    </row>
    <row r="60" spans="1:15" ht="22.5" customHeight="1" x14ac:dyDescent="0.3">
      <c r="A60" s="190" t="s">
        <v>229</v>
      </c>
      <c r="B60" s="44">
        <v>10</v>
      </c>
      <c r="C60" s="39">
        <v>11</v>
      </c>
      <c r="D60" s="39">
        <v>1</v>
      </c>
      <c r="E60" s="39">
        <v>1</v>
      </c>
      <c r="F60" s="194">
        <v>0</v>
      </c>
      <c r="G60" s="196">
        <f t="shared" si="3"/>
        <v>23</v>
      </c>
      <c r="H60" s="211">
        <v>0</v>
      </c>
      <c r="I60" s="211">
        <v>0</v>
      </c>
      <c r="J60" s="211">
        <v>0</v>
      </c>
      <c r="K60" s="211">
        <v>0</v>
      </c>
      <c r="L60" s="212">
        <v>1</v>
      </c>
      <c r="M60" s="212">
        <v>0</v>
      </c>
      <c r="N60" s="85">
        <f t="shared" si="1"/>
        <v>23</v>
      </c>
      <c r="O60" s="43">
        <f t="shared" si="2"/>
        <v>28</v>
      </c>
    </row>
    <row r="61" spans="1:15" ht="22.5" customHeight="1" x14ac:dyDescent="0.3">
      <c r="A61" s="190" t="s">
        <v>230</v>
      </c>
      <c r="B61" s="44">
        <v>8</v>
      </c>
      <c r="C61" s="39">
        <v>12</v>
      </c>
      <c r="D61" s="39">
        <v>0</v>
      </c>
      <c r="E61" s="39">
        <v>0</v>
      </c>
      <c r="F61" s="194">
        <v>1</v>
      </c>
      <c r="G61" s="196">
        <f t="shared" si="3"/>
        <v>21</v>
      </c>
      <c r="H61" s="211">
        <v>0</v>
      </c>
      <c r="I61" s="211">
        <v>0</v>
      </c>
      <c r="J61" s="211">
        <v>0</v>
      </c>
      <c r="K61" s="211">
        <v>0</v>
      </c>
      <c r="L61" s="212">
        <v>0</v>
      </c>
      <c r="M61" s="212">
        <v>0</v>
      </c>
      <c r="N61" s="85">
        <f t="shared" si="1"/>
        <v>21</v>
      </c>
      <c r="O61" s="43">
        <f t="shared" si="2"/>
        <v>18.5</v>
      </c>
    </row>
    <row r="62" spans="1:15" ht="22.5" customHeight="1" x14ac:dyDescent="0.3">
      <c r="A62" s="190" t="s">
        <v>231</v>
      </c>
      <c r="B62" s="44">
        <v>3</v>
      </c>
      <c r="C62" s="39">
        <v>7</v>
      </c>
      <c r="D62" s="39">
        <v>0</v>
      </c>
      <c r="E62" s="39">
        <v>0</v>
      </c>
      <c r="F62" s="194">
        <v>1</v>
      </c>
      <c r="G62" s="196">
        <f t="shared" si="3"/>
        <v>11</v>
      </c>
      <c r="H62" s="211">
        <v>0</v>
      </c>
      <c r="I62" s="211">
        <v>0</v>
      </c>
      <c r="J62" s="211">
        <v>0</v>
      </c>
      <c r="K62" s="211">
        <v>0</v>
      </c>
      <c r="L62" s="212">
        <v>0</v>
      </c>
      <c r="M62" s="212">
        <v>0</v>
      </c>
      <c r="N62" s="85">
        <f t="shared" si="1"/>
        <v>11</v>
      </c>
      <c r="O62" s="43">
        <f t="shared" si="2"/>
        <v>11</v>
      </c>
    </row>
    <row r="63" spans="1:15" ht="22.5" customHeight="1" x14ac:dyDescent="0.3">
      <c r="A63" s="190" t="s">
        <v>232</v>
      </c>
      <c r="B63" s="44">
        <v>4</v>
      </c>
      <c r="C63" s="39">
        <v>8</v>
      </c>
      <c r="D63" s="39">
        <v>0</v>
      </c>
      <c r="E63" s="39">
        <v>0</v>
      </c>
      <c r="F63" s="194">
        <v>0</v>
      </c>
      <c r="G63" s="196">
        <f t="shared" si="3"/>
        <v>12</v>
      </c>
      <c r="H63" s="211">
        <v>0</v>
      </c>
      <c r="I63" s="211">
        <v>0</v>
      </c>
      <c r="J63" s="211">
        <v>0</v>
      </c>
      <c r="K63" s="211">
        <v>0</v>
      </c>
      <c r="L63" s="212">
        <v>0</v>
      </c>
      <c r="M63" s="212">
        <v>0</v>
      </c>
      <c r="N63" s="85">
        <f t="shared" si="1"/>
        <v>12</v>
      </c>
      <c r="O63" s="43">
        <f t="shared" si="2"/>
        <v>8</v>
      </c>
    </row>
    <row r="64" spans="1:15" ht="22.5" customHeight="1" x14ac:dyDescent="0.3">
      <c r="A64" s="190" t="s">
        <v>233</v>
      </c>
      <c r="B64" s="44">
        <v>1</v>
      </c>
      <c r="C64" s="39">
        <v>0</v>
      </c>
      <c r="D64" s="39">
        <v>1</v>
      </c>
      <c r="E64" s="39">
        <v>0</v>
      </c>
      <c r="F64" s="194">
        <v>0</v>
      </c>
      <c r="G64" s="196">
        <f t="shared" si="3"/>
        <v>2</v>
      </c>
      <c r="H64" s="211">
        <v>0</v>
      </c>
      <c r="I64" s="211">
        <v>0</v>
      </c>
      <c r="J64" s="211">
        <v>0</v>
      </c>
      <c r="K64" s="211">
        <v>0</v>
      </c>
      <c r="L64" s="212">
        <v>0</v>
      </c>
      <c r="M64" s="212">
        <v>0</v>
      </c>
      <c r="N64" s="85">
        <f t="shared" si="1"/>
        <v>2</v>
      </c>
      <c r="O64" s="43">
        <f t="shared" si="2"/>
        <v>2.5</v>
      </c>
    </row>
    <row r="65" spans="1:15" ht="22.5" customHeight="1" x14ac:dyDescent="0.3">
      <c r="A65" s="190" t="s">
        <v>234</v>
      </c>
      <c r="B65" s="44">
        <v>1</v>
      </c>
      <c r="C65" s="39">
        <v>2</v>
      </c>
      <c r="D65" s="39">
        <v>0</v>
      </c>
      <c r="E65" s="39">
        <v>0</v>
      </c>
      <c r="F65" s="194">
        <v>0</v>
      </c>
      <c r="G65" s="196">
        <f t="shared" si="3"/>
        <v>3</v>
      </c>
      <c r="H65" s="211">
        <v>0</v>
      </c>
      <c r="I65" s="211">
        <v>0</v>
      </c>
      <c r="J65" s="211">
        <v>0</v>
      </c>
      <c r="K65" s="211">
        <v>0</v>
      </c>
      <c r="L65" s="212">
        <v>0</v>
      </c>
      <c r="M65" s="212">
        <v>0</v>
      </c>
      <c r="N65" s="85">
        <f t="shared" si="1"/>
        <v>3</v>
      </c>
      <c r="O65" s="43">
        <f t="shared" si="2"/>
        <v>2</v>
      </c>
    </row>
    <row r="66" spans="1:15" ht="22.5" customHeight="1" x14ac:dyDescent="0.3">
      <c r="A66" s="190" t="s">
        <v>235</v>
      </c>
      <c r="B66" s="44">
        <v>4</v>
      </c>
      <c r="C66" s="39">
        <v>4</v>
      </c>
      <c r="D66" s="39">
        <v>0</v>
      </c>
      <c r="E66" s="39">
        <v>0</v>
      </c>
      <c r="F66" s="194">
        <v>0</v>
      </c>
      <c r="G66" s="196">
        <f t="shared" si="3"/>
        <v>8</v>
      </c>
      <c r="H66" s="211">
        <v>0</v>
      </c>
      <c r="I66" s="211">
        <v>0</v>
      </c>
      <c r="J66" s="211">
        <v>0</v>
      </c>
      <c r="K66" s="211">
        <v>0</v>
      </c>
      <c r="L66" s="212">
        <v>0</v>
      </c>
      <c r="M66" s="212">
        <v>0</v>
      </c>
      <c r="N66" s="85">
        <f t="shared" si="1"/>
        <v>8</v>
      </c>
      <c r="O66" s="43">
        <f t="shared" si="2"/>
        <v>6</v>
      </c>
    </row>
    <row r="67" spans="1:15" ht="22.5" customHeight="1" x14ac:dyDescent="0.3">
      <c r="A67" s="190" t="s">
        <v>236</v>
      </c>
      <c r="B67" s="44">
        <v>8</v>
      </c>
      <c r="C67" s="39">
        <v>7</v>
      </c>
      <c r="D67" s="39">
        <v>0</v>
      </c>
      <c r="E67" s="39">
        <v>0</v>
      </c>
      <c r="F67" s="194">
        <v>0</v>
      </c>
      <c r="G67" s="196">
        <f t="shared" si="3"/>
        <v>15</v>
      </c>
      <c r="H67" s="211">
        <v>0</v>
      </c>
      <c r="I67" s="211">
        <v>0</v>
      </c>
      <c r="J67" s="211">
        <v>0</v>
      </c>
      <c r="K67" s="211">
        <v>0</v>
      </c>
      <c r="L67" s="212">
        <v>0</v>
      </c>
      <c r="M67" s="212">
        <v>0</v>
      </c>
      <c r="N67" s="85">
        <f t="shared" si="1"/>
        <v>15</v>
      </c>
      <c r="O67" s="43">
        <f t="shared" si="2"/>
        <v>11.5</v>
      </c>
    </row>
    <row r="68" spans="1:15" ht="22.5" customHeight="1" x14ac:dyDescent="0.3">
      <c r="A68" s="190" t="s">
        <v>237</v>
      </c>
      <c r="B68" s="44">
        <v>2</v>
      </c>
      <c r="C68" s="39">
        <v>1</v>
      </c>
      <c r="D68" s="39">
        <v>0</v>
      </c>
      <c r="E68" s="39">
        <v>1</v>
      </c>
      <c r="F68" s="194">
        <v>0</v>
      </c>
      <c r="G68" s="196">
        <f t="shared" si="3"/>
        <v>4</v>
      </c>
      <c r="H68" s="211">
        <v>0</v>
      </c>
      <c r="I68" s="211">
        <v>0</v>
      </c>
      <c r="J68" s="211">
        <v>0</v>
      </c>
      <c r="K68" s="211">
        <v>0</v>
      </c>
      <c r="L68" s="212">
        <v>0</v>
      </c>
      <c r="M68" s="212">
        <v>0</v>
      </c>
      <c r="N68" s="85">
        <f t="shared" si="1"/>
        <v>4</v>
      </c>
      <c r="O68" s="43">
        <f t="shared" si="2"/>
        <v>5.5</v>
      </c>
    </row>
    <row r="69" spans="1:15" ht="22.5" customHeight="1" x14ac:dyDescent="0.3">
      <c r="A69" s="190" t="s">
        <v>238</v>
      </c>
      <c r="B69" s="44">
        <v>1</v>
      </c>
      <c r="C69" s="39">
        <v>2</v>
      </c>
      <c r="D69" s="39">
        <v>2</v>
      </c>
      <c r="E69" s="39">
        <v>0</v>
      </c>
      <c r="F69" s="194">
        <v>1</v>
      </c>
      <c r="G69" s="196">
        <f t="shared" si="3"/>
        <v>6</v>
      </c>
      <c r="H69" s="211">
        <v>0</v>
      </c>
      <c r="I69" s="211">
        <v>0</v>
      </c>
      <c r="J69" s="211">
        <v>0</v>
      </c>
      <c r="K69" s="211">
        <v>0</v>
      </c>
      <c r="L69" s="212">
        <v>0</v>
      </c>
      <c r="M69" s="212">
        <v>0</v>
      </c>
      <c r="N69" s="85">
        <f t="shared" si="1"/>
        <v>6</v>
      </c>
      <c r="O69" s="43">
        <f t="shared" si="2"/>
        <v>9.5</v>
      </c>
    </row>
    <row r="70" spans="1:15" ht="22.5" customHeight="1" x14ac:dyDescent="0.3">
      <c r="A70" s="190" t="s">
        <v>239</v>
      </c>
      <c r="B70" s="44">
        <v>1</v>
      </c>
      <c r="C70" s="39">
        <v>3</v>
      </c>
      <c r="D70" s="39">
        <v>1</v>
      </c>
      <c r="E70" s="39">
        <v>0</v>
      </c>
      <c r="F70" s="194">
        <v>2</v>
      </c>
      <c r="G70" s="196">
        <f t="shared" si="3"/>
        <v>7</v>
      </c>
      <c r="H70" s="211">
        <v>0</v>
      </c>
      <c r="I70" s="211">
        <v>0</v>
      </c>
      <c r="J70" s="211">
        <v>0</v>
      </c>
      <c r="K70" s="211">
        <v>0</v>
      </c>
      <c r="L70" s="212">
        <v>0</v>
      </c>
      <c r="M70" s="212">
        <v>0</v>
      </c>
      <c r="N70" s="85">
        <f t="shared" si="1"/>
        <v>7</v>
      </c>
      <c r="O70" s="43">
        <f t="shared" si="2"/>
        <v>13</v>
      </c>
    </row>
    <row r="71" spans="1:15" ht="22.5" customHeight="1" x14ac:dyDescent="0.3">
      <c r="A71" s="190" t="s">
        <v>240</v>
      </c>
      <c r="B71" s="44">
        <v>2</v>
      </c>
      <c r="C71" s="39">
        <v>2</v>
      </c>
      <c r="D71" s="39">
        <v>0</v>
      </c>
      <c r="E71" s="39">
        <v>0</v>
      </c>
      <c r="F71" s="194">
        <v>2</v>
      </c>
      <c r="G71" s="196">
        <f t="shared" si="3"/>
        <v>6</v>
      </c>
      <c r="H71" s="211">
        <v>0</v>
      </c>
      <c r="I71" s="211">
        <v>0</v>
      </c>
      <c r="J71" s="211">
        <v>0</v>
      </c>
      <c r="K71" s="211">
        <v>0</v>
      </c>
      <c r="L71" s="212">
        <v>0</v>
      </c>
      <c r="M71" s="212">
        <v>0</v>
      </c>
      <c r="N71" s="85">
        <f t="shared" si="1"/>
        <v>6</v>
      </c>
      <c r="O71" s="43">
        <f t="shared" si="2"/>
        <v>12</v>
      </c>
    </row>
    <row r="72" spans="1:15" ht="22.5" customHeight="1" x14ac:dyDescent="0.3">
      <c r="A72" s="190" t="s">
        <v>153</v>
      </c>
      <c r="B72" s="44">
        <v>2</v>
      </c>
      <c r="C72" s="39">
        <v>2</v>
      </c>
      <c r="D72" s="39">
        <v>0</v>
      </c>
      <c r="E72" s="39">
        <v>0</v>
      </c>
      <c r="F72" s="194">
        <v>1</v>
      </c>
      <c r="G72" s="196">
        <f t="shared" ref="G72:G103" si="4">SUM(B72:F72)</f>
        <v>5</v>
      </c>
      <c r="H72" s="211">
        <v>0</v>
      </c>
      <c r="I72" s="211">
        <v>0</v>
      </c>
      <c r="J72" s="211">
        <v>0</v>
      </c>
      <c r="K72" s="211">
        <v>0</v>
      </c>
      <c r="L72" s="212">
        <v>0</v>
      </c>
      <c r="M72" s="212">
        <v>0</v>
      </c>
      <c r="N72" s="85">
        <f t="shared" si="1"/>
        <v>5</v>
      </c>
      <c r="O72" s="43">
        <f t="shared" si="2"/>
        <v>7.5</v>
      </c>
    </row>
    <row r="73" spans="1:15" ht="22.5" customHeight="1" x14ac:dyDescent="0.3">
      <c r="A73" s="190" t="s">
        <v>154</v>
      </c>
      <c r="B73" s="44">
        <v>1</v>
      </c>
      <c r="C73" s="39">
        <v>2</v>
      </c>
      <c r="D73" s="39">
        <v>0</v>
      </c>
      <c r="E73" s="39">
        <v>0</v>
      </c>
      <c r="F73" s="194">
        <v>0</v>
      </c>
      <c r="G73" s="196">
        <f t="shared" si="4"/>
        <v>3</v>
      </c>
      <c r="H73" s="211">
        <v>0</v>
      </c>
      <c r="I73" s="211">
        <v>0</v>
      </c>
      <c r="J73" s="211">
        <v>0</v>
      </c>
      <c r="K73" s="211">
        <v>0</v>
      </c>
      <c r="L73" s="212">
        <v>0</v>
      </c>
      <c r="M73" s="212">
        <v>0</v>
      </c>
      <c r="N73" s="85">
        <f t="shared" ref="N73:N103" si="5">G73+M73</f>
        <v>3</v>
      </c>
      <c r="O73" s="43">
        <f t="shared" ref="O73:O103" si="6">B73*1+C73*0.5+D73*1.5+E73*3+F73*4.5+H73*0.5+I73*1.5+J73*3+K73*4+L73*8</f>
        <v>2</v>
      </c>
    </row>
    <row r="74" spans="1:15" ht="22.5" customHeight="1" x14ac:dyDescent="0.3">
      <c r="A74" s="190" t="s">
        <v>155</v>
      </c>
      <c r="B74" s="44">
        <v>3</v>
      </c>
      <c r="C74" s="39">
        <v>0</v>
      </c>
      <c r="D74" s="39">
        <v>0</v>
      </c>
      <c r="E74" s="39">
        <v>0</v>
      </c>
      <c r="F74" s="194">
        <v>0</v>
      </c>
      <c r="G74" s="196">
        <f t="shared" si="4"/>
        <v>3</v>
      </c>
      <c r="H74" s="211">
        <v>0</v>
      </c>
      <c r="I74" s="211">
        <v>0</v>
      </c>
      <c r="J74" s="211">
        <v>0</v>
      </c>
      <c r="K74" s="211">
        <v>0</v>
      </c>
      <c r="L74" s="212">
        <v>0</v>
      </c>
      <c r="M74" s="212">
        <v>0</v>
      </c>
      <c r="N74" s="85">
        <f t="shared" si="5"/>
        <v>3</v>
      </c>
      <c r="O74" s="43">
        <f t="shared" si="6"/>
        <v>3</v>
      </c>
    </row>
    <row r="75" spans="1:15" ht="22.5" customHeight="1" x14ac:dyDescent="0.3">
      <c r="A75" s="190" t="s">
        <v>156</v>
      </c>
      <c r="B75" s="44">
        <v>1</v>
      </c>
      <c r="C75" s="39">
        <v>3</v>
      </c>
      <c r="D75" s="39">
        <v>0</v>
      </c>
      <c r="E75" s="39">
        <v>0</v>
      </c>
      <c r="F75" s="194">
        <v>0</v>
      </c>
      <c r="G75" s="196">
        <f t="shared" si="4"/>
        <v>4</v>
      </c>
      <c r="H75" s="211">
        <v>0</v>
      </c>
      <c r="I75" s="211">
        <v>0</v>
      </c>
      <c r="J75" s="211">
        <v>0</v>
      </c>
      <c r="K75" s="211">
        <v>0</v>
      </c>
      <c r="L75" s="212">
        <v>0</v>
      </c>
      <c r="M75" s="212">
        <v>0</v>
      </c>
      <c r="N75" s="85">
        <f t="shared" si="5"/>
        <v>4</v>
      </c>
      <c r="O75" s="43">
        <f t="shared" si="6"/>
        <v>2.5</v>
      </c>
    </row>
    <row r="76" spans="1:15" ht="22.5" customHeight="1" x14ac:dyDescent="0.3">
      <c r="A76" s="190" t="s">
        <v>157</v>
      </c>
      <c r="B76" s="44">
        <v>0</v>
      </c>
      <c r="C76" s="39">
        <v>1</v>
      </c>
      <c r="D76" s="39">
        <v>1</v>
      </c>
      <c r="E76" s="39">
        <v>0</v>
      </c>
      <c r="F76" s="194">
        <v>1</v>
      </c>
      <c r="G76" s="196">
        <f t="shared" si="4"/>
        <v>3</v>
      </c>
      <c r="H76" s="211">
        <v>0</v>
      </c>
      <c r="I76" s="211">
        <v>0</v>
      </c>
      <c r="J76" s="211">
        <v>0</v>
      </c>
      <c r="K76" s="211">
        <v>0</v>
      </c>
      <c r="L76" s="212">
        <v>0</v>
      </c>
      <c r="M76" s="212">
        <v>0</v>
      </c>
      <c r="N76" s="85">
        <f t="shared" si="5"/>
        <v>3</v>
      </c>
      <c r="O76" s="43">
        <f t="shared" si="6"/>
        <v>6.5</v>
      </c>
    </row>
    <row r="77" spans="1:15" ht="22.5" customHeight="1" x14ac:dyDescent="0.3">
      <c r="A77" s="190" t="s">
        <v>158</v>
      </c>
      <c r="B77" s="44">
        <v>0</v>
      </c>
      <c r="C77" s="39">
        <v>0</v>
      </c>
      <c r="D77" s="39">
        <v>0</v>
      </c>
      <c r="E77" s="39">
        <v>0</v>
      </c>
      <c r="F77" s="194">
        <v>0</v>
      </c>
      <c r="G77" s="196">
        <f t="shared" si="4"/>
        <v>0</v>
      </c>
      <c r="H77" s="211">
        <v>0</v>
      </c>
      <c r="I77" s="211">
        <v>0</v>
      </c>
      <c r="J77" s="211">
        <v>0</v>
      </c>
      <c r="K77" s="211">
        <v>0</v>
      </c>
      <c r="L77" s="212">
        <v>0</v>
      </c>
      <c r="M77" s="212">
        <v>0</v>
      </c>
      <c r="N77" s="85">
        <f t="shared" si="5"/>
        <v>0</v>
      </c>
      <c r="O77" s="43">
        <f t="shared" si="6"/>
        <v>0</v>
      </c>
    </row>
    <row r="78" spans="1:15" ht="22.5" customHeight="1" x14ac:dyDescent="0.3">
      <c r="A78" s="190" t="s">
        <v>159</v>
      </c>
      <c r="B78" s="44">
        <v>1</v>
      </c>
      <c r="C78" s="39">
        <v>0</v>
      </c>
      <c r="D78" s="39">
        <v>0</v>
      </c>
      <c r="E78" s="39">
        <v>0</v>
      </c>
      <c r="F78" s="194">
        <v>0</v>
      </c>
      <c r="G78" s="196">
        <f t="shared" si="4"/>
        <v>1</v>
      </c>
      <c r="H78" s="211">
        <v>0</v>
      </c>
      <c r="I78" s="211">
        <v>0</v>
      </c>
      <c r="J78" s="211">
        <v>0</v>
      </c>
      <c r="K78" s="211">
        <v>0</v>
      </c>
      <c r="L78" s="212">
        <v>0</v>
      </c>
      <c r="M78" s="212">
        <v>0</v>
      </c>
      <c r="N78" s="85">
        <f t="shared" si="5"/>
        <v>1</v>
      </c>
      <c r="O78" s="43">
        <f t="shared" si="6"/>
        <v>1</v>
      </c>
    </row>
    <row r="79" spans="1:15" ht="22.5" customHeight="1" x14ac:dyDescent="0.3">
      <c r="A79" s="190" t="s">
        <v>160</v>
      </c>
      <c r="B79" s="44">
        <v>0</v>
      </c>
      <c r="C79" s="39">
        <v>0</v>
      </c>
      <c r="D79" s="39">
        <v>0</v>
      </c>
      <c r="E79" s="39">
        <v>0</v>
      </c>
      <c r="F79" s="194">
        <v>0</v>
      </c>
      <c r="G79" s="196">
        <f t="shared" si="4"/>
        <v>0</v>
      </c>
      <c r="H79" s="211">
        <v>0</v>
      </c>
      <c r="I79" s="211">
        <v>0</v>
      </c>
      <c r="J79" s="211">
        <v>0</v>
      </c>
      <c r="K79" s="211">
        <v>0</v>
      </c>
      <c r="L79" s="212">
        <v>0</v>
      </c>
      <c r="M79" s="212">
        <v>0</v>
      </c>
      <c r="N79" s="85">
        <f t="shared" si="5"/>
        <v>0</v>
      </c>
      <c r="O79" s="43">
        <f t="shared" si="6"/>
        <v>0</v>
      </c>
    </row>
    <row r="80" spans="1:15" ht="22.5" customHeight="1" x14ac:dyDescent="0.3">
      <c r="A80" s="190" t="s">
        <v>161</v>
      </c>
      <c r="B80" s="44">
        <v>0</v>
      </c>
      <c r="C80" s="39">
        <v>0</v>
      </c>
      <c r="D80" s="39">
        <v>0</v>
      </c>
      <c r="E80" s="39">
        <v>0</v>
      </c>
      <c r="F80" s="194">
        <v>0</v>
      </c>
      <c r="G80" s="196">
        <f t="shared" si="4"/>
        <v>0</v>
      </c>
      <c r="H80" s="211">
        <v>0</v>
      </c>
      <c r="I80" s="211">
        <v>0</v>
      </c>
      <c r="J80" s="211">
        <v>0</v>
      </c>
      <c r="K80" s="211">
        <v>0</v>
      </c>
      <c r="L80" s="212">
        <v>0</v>
      </c>
      <c r="M80" s="212">
        <v>0</v>
      </c>
      <c r="N80" s="85">
        <f t="shared" si="5"/>
        <v>0</v>
      </c>
      <c r="O80" s="43">
        <f t="shared" si="6"/>
        <v>0</v>
      </c>
    </row>
    <row r="81" spans="1:15" ht="22.5" customHeight="1" x14ac:dyDescent="0.3">
      <c r="A81" s="190" t="s">
        <v>162</v>
      </c>
      <c r="B81" s="44">
        <v>0</v>
      </c>
      <c r="C81" s="39">
        <v>0</v>
      </c>
      <c r="D81" s="39">
        <v>0</v>
      </c>
      <c r="E81" s="39">
        <v>0</v>
      </c>
      <c r="F81" s="194">
        <v>0</v>
      </c>
      <c r="G81" s="196">
        <f t="shared" si="4"/>
        <v>0</v>
      </c>
      <c r="H81" s="211">
        <v>0</v>
      </c>
      <c r="I81" s="211">
        <v>0</v>
      </c>
      <c r="J81" s="211">
        <v>0</v>
      </c>
      <c r="K81" s="211">
        <v>0</v>
      </c>
      <c r="L81" s="212">
        <v>0</v>
      </c>
      <c r="M81" s="212">
        <v>0</v>
      </c>
      <c r="N81" s="85">
        <f t="shared" si="5"/>
        <v>0</v>
      </c>
      <c r="O81" s="43">
        <f t="shared" si="6"/>
        <v>0</v>
      </c>
    </row>
    <row r="82" spans="1:15" ht="22.5" customHeight="1" x14ac:dyDescent="0.3">
      <c r="A82" s="190" t="s">
        <v>163</v>
      </c>
      <c r="B82" s="44">
        <v>0</v>
      </c>
      <c r="C82" s="39">
        <v>0</v>
      </c>
      <c r="D82" s="39">
        <v>0</v>
      </c>
      <c r="E82" s="39">
        <v>0</v>
      </c>
      <c r="F82" s="194">
        <v>0</v>
      </c>
      <c r="G82" s="196">
        <f t="shared" si="4"/>
        <v>0</v>
      </c>
      <c r="H82" s="211">
        <v>0</v>
      </c>
      <c r="I82" s="211">
        <v>0</v>
      </c>
      <c r="J82" s="211">
        <v>0</v>
      </c>
      <c r="K82" s="211">
        <v>0</v>
      </c>
      <c r="L82" s="212">
        <v>0</v>
      </c>
      <c r="M82" s="212">
        <v>0</v>
      </c>
      <c r="N82" s="85">
        <f t="shared" si="5"/>
        <v>0</v>
      </c>
      <c r="O82" s="43">
        <f t="shared" si="6"/>
        <v>0</v>
      </c>
    </row>
    <row r="83" spans="1:15" ht="22.5" customHeight="1" x14ac:dyDescent="0.3">
      <c r="A83" s="190" t="s">
        <v>164</v>
      </c>
      <c r="B83" s="44">
        <v>0</v>
      </c>
      <c r="C83" s="39">
        <v>1</v>
      </c>
      <c r="D83" s="39">
        <v>0</v>
      </c>
      <c r="E83" s="39">
        <v>0</v>
      </c>
      <c r="F83" s="194">
        <v>0</v>
      </c>
      <c r="G83" s="196">
        <f t="shared" si="4"/>
        <v>1</v>
      </c>
      <c r="H83" s="211">
        <v>0</v>
      </c>
      <c r="I83" s="211">
        <v>0</v>
      </c>
      <c r="J83" s="211">
        <v>0</v>
      </c>
      <c r="K83" s="211">
        <v>0</v>
      </c>
      <c r="L83" s="212">
        <v>0</v>
      </c>
      <c r="M83" s="212">
        <v>0</v>
      </c>
      <c r="N83" s="85">
        <f t="shared" si="5"/>
        <v>1</v>
      </c>
      <c r="O83" s="43">
        <f t="shared" si="6"/>
        <v>0.5</v>
      </c>
    </row>
    <row r="84" spans="1:15" ht="22.5" customHeight="1" x14ac:dyDescent="0.3">
      <c r="A84" s="190" t="s">
        <v>165</v>
      </c>
      <c r="B84" s="44">
        <v>0</v>
      </c>
      <c r="C84" s="39">
        <v>1</v>
      </c>
      <c r="D84" s="39">
        <v>0</v>
      </c>
      <c r="E84" s="39">
        <v>0</v>
      </c>
      <c r="F84" s="194">
        <v>0</v>
      </c>
      <c r="G84" s="196">
        <f t="shared" si="4"/>
        <v>1</v>
      </c>
      <c r="H84" s="211">
        <v>0</v>
      </c>
      <c r="I84" s="211">
        <v>0</v>
      </c>
      <c r="J84" s="211">
        <v>0</v>
      </c>
      <c r="K84" s="211">
        <v>0</v>
      </c>
      <c r="L84" s="212">
        <v>0</v>
      </c>
      <c r="M84" s="212">
        <v>0</v>
      </c>
      <c r="N84" s="85">
        <f t="shared" si="5"/>
        <v>1</v>
      </c>
      <c r="O84" s="43">
        <f t="shared" si="6"/>
        <v>0.5</v>
      </c>
    </row>
    <row r="85" spans="1:15" ht="22.5" customHeight="1" x14ac:dyDescent="0.3">
      <c r="A85" s="190" t="s">
        <v>166</v>
      </c>
      <c r="B85" s="44">
        <v>1</v>
      </c>
      <c r="C85" s="39">
        <v>2</v>
      </c>
      <c r="D85" s="39">
        <v>0</v>
      </c>
      <c r="E85" s="39">
        <v>0</v>
      </c>
      <c r="F85" s="194">
        <v>0</v>
      </c>
      <c r="G85" s="196">
        <f t="shared" si="4"/>
        <v>3</v>
      </c>
      <c r="H85" s="211">
        <v>0</v>
      </c>
      <c r="I85" s="211">
        <v>0</v>
      </c>
      <c r="J85" s="211">
        <v>0</v>
      </c>
      <c r="K85" s="211">
        <v>0</v>
      </c>
      <c r="L85" s="212">
        <v>0</v>
      </c>
      <c r="M85" s="212">
        <v>0</v>
      </c>
      <c r="N85" s="85">
        <f t="shared" si="5"/>
        <v>3</v>
      </c>
      <c r="O85" s="43">
        <f t="shared" si="6"/>
        <v>2</v>
      </c>
    </row>
    <row r="86" spans="1:15" ht="22.5" customHeight="1" x14ac:dyDescent="0.3">
      <c r="A86" s="190" t="s">
        <v>167</v>
      </c>
      <c r="B86" s="44">
        <v>0</v>
      </c>
      <c r="C86" s="39">
        <v>0</v>
      </c>
      <c r="D86" s="39">
        <v>0</v>
      </c>
      <c r="E86" s="39">
        <v>0</v>
      </c>
      <c r="F86" s="194">
        <v>0</v>
      </c>
      <c r="G86" s="196">
        <f t="shared" si="4"/>
        <v>0</v>
      </c>
      <c r="H86" s="211">
        <v>0</v>
      </c>
      <c r="I86" s="211">
        <v>0</v>
      </c>
      <c r="J86" s="211">
        <v>0</v>
      </c>
      <c r="K86" s="211">
        <v>0</v>
      </c>
      <c r="L86" s="212">
        <v>0</v>
      </c>
      <c r="M86" s="212">
        <v>0</v>
      </c>
      <c r="N86" s="85">
        <f t="shared" si="5"/>
        <v>0</v>
      </c>
      <c r="O86" s="43">
        <f t="shared" si="6"/>
        <v>0</v>
      </c>
    </row>
    <row r="87" spans="1:15" ht="22.5" customHeight="1" x14ac:dyDescent="0.3">
      <c r="A87" s="190" t="s">
        <v>168</v>
      </c>
      <c r="B87" s="44">
        <v>0</v>
      </c>
      <c r="C87" s="39">
        <v>0</v>
      </c>
      <c r="D87" s="39">
        <v>0</v>
      </c>
      <c r="E87" s="39">
        <v>0</v>
      </c>
      <c r="F87" s="194">
        <v>0</v>
      </c>
      <c r="G87" s="196">
        <f t="shared" si="4"/>
        <v>0</v>
      </c>
      <c r="H87" s="211">
        <v>0</v>
      </c>
      <c r="I87" s="211">
        <v>0</v>
      </c>
      <c r="J87" s="211">
        <v>0</v>
      </c>
      <c r="K87" s="211">
        <v>0</v>
      </c>
      <c r="L87" s="212">
        <v>0</v>
      </c>
      <c r="M87" s="212">
        <v>0</v>
      </c>
      <c r="N87" s="85">
        <f t="shared" si="5"/>
        <v>0</v>
      </c>
      <c r="O87" s="43">
        <f t="shared" si="6"/>
        <v>0</v>
      </c>
    </row>
    <row r="88" spans="1:15" ht="22.5" customHeight="1" x14ac:dyDescent="0.3">
      <c r="A88" s="190" t="s">
        <v>169</v>
      </c>
      <c r="B88" s="44">
        <v>3</v>
      </c>
      <c r="C88" s="39">
        <v>4</v>
      </c>
      <c r="D88" s="39">
        <v>0</v>
      </c>
      <c r="E88" s="39">
        <v>1</v>
      </c>
      <c r="F88" s="194">
        <v>0</v>
      </c>
      <c r="G88" s="196">
        <f t="shared" si="4"/>
        <v>8</v>
      </c>
      <c r="H88" s="211">
        <v>0</v>
      </c>
      <c r="I88" s="211">
        <v>0</v>
      </c>
      <c r="J88" s="211">
        <v>0</v>
      </c>
      <c r="K88" s="211">
        <v>0</v>
      </c>
      <c r="L88" s="212">
        <v>0</v>
      </c>
      <c r="M88" s="212">
        <v>0</v>
      </c>
      <c r="N88" s="85">
        <f t="shared" si="5"/>
        <v>8</v>
      </c>
      <c r="O88" s="43">
        <f t="shared" si="6"/>
        <v>8</v>
      </c>
    </row>
    <row r="89" spans="1:15" ht="22.5" customHeight="1" x14ac:dyDescent="0.3">
      <c r="A89" s="190" t="s">
        <v>170</v>
      </c>
      <c r="B89" s="44">
        <v>1</v>
      </c>
      <c r="C89" s="39">
        <v>2</v>
      </c>
      <c r="D89" s="39">
        <v>0</v>
      </c>
      <c r="E89" s="39">
        <v>0</v>
      </c>
      <c r="F89" s="194">
        <v>0</v>
      </c>
      <c r="G89" s="196">
        <f t="shared" si="4"/>
        <v>3</v>
      </c>
      <c r="H89" s="211">
        <v>0</v>
      </c>
      <c r="I89" s="211">
        <v>0</v>
      </c>
      <c r="J89" s="211">
        <v>0</v>
      </c>
      <c r="K89" s="211">
        <v>0</v>
      </c>
      <c r="L89" s="212">
        <v>0</v>
      </c>
      <c r="M89" s="212">
        <v>0</v>
      </c>
      <c r="N89" s="85">
        <f t="shared" si="5"/>
        <v>3</v>
      </c>
      <c r="O89" s="43">
        <f t="shared" si="6"/>
        <v>2</v>
      </c>
    </row>
    <row r="90" spans="1:15" ht="22.5" customHeight="1" x14ac:dyDescent="0.3">
      <c r="A90" s="190" t="s">
        <v>171</v>
      </c>
      <c r="B90" s="44">
        <v>2</v>
      </c>
      <c r="C90" s="39">
        <v>1</v>
      </c>
      <c r="D90" s="39">
        <v>0</v>
      </c>
      <c r="E90" s="39">
        <v>0</v>
      </c>
      <c r="F90" s="194">
        <v>0</v>
      </c>
      <c r="G90" s="196">
        <f t="shared" si="4"/>
        <v>3</v>
      </c>
      <c r="H90" s="211">
        <v>0</v>
      </c>
      <c r="I90" s="211">
        <v>0</v>
      </c>
      <c r="J90" s="211">
        <v>0</v>
      </c>
      <c r="K90" s="211">
        <v>0</v>
      </c>
      <c r="L90" s="212">
        <v>0</v>
      </c>
      <c r="M90" s="212">
        <v>0</v>
      </c>
      <c r="N90" s="85">
        <f t="shared" si="5"/>
        <v>3</v>
      </c>
      <c r="O90" s="43">
        <f t="shared" si="6"/>
        <v>2.5</v>
      </c>
    </row>
    <row r="91" spans="1:15" ht="22.5" customHeight="1" x14ac:dyDescent="0.3">
      <c r="A91" s="190" t="s">
        <v>172</v>
      </c>
      <c r="B91" s="44">
        <v>0</v>
      </c>
      <c r="C91" s="39">
        <v>1</v>
      </c>
      <c r="D91" s="39">
        <v>0</v>
      </c>
      <c r="E91" s="39">
        <v>0</v>
      </c>
      <c r="F91" s="194">
        <v>0</v>
      </c>
      <c r="G91" s="196">
        <f t="shared" si="4"/>
        <v>1</v>
      </c>
      <c r="H91" s="211">
        <v>0</v>
      </c>
      <c r="I91" s="211">
        <v>0</v>
      </c>
      <c r="J91" s="211">
        <v>0</v>
      </c>
      <c r="K91" s="211">
        <v>0</v>
      </c>
      <c r="L91" s="212">
        <v>0</v>
      </c>
      <c r="M91" s="212">
        <v>0</v>
      </c>
      <c r="N91" s="85">
        <f t="shared" si="5"/>
        <v>1</v>
      </c>
      <c r="O91" s="43">
        <f t="shared" si="6"/>
        <v>0.5</v>
      </c>
    </row>
    <row r="92" spans="1:15" ht="22.5" customHeight="1" x14ac:dyDescent="0.3">
      <c r="A92" s="190" t="s">
        <v>173</v>
      </c>
      <c r="B92" s="44">
        <v>3</v>
      </c>
      <c r="C92" s="39">
        <v>5</v>
      </c>
      <c r="D92" s="39">
        <v>0</v>
      </c>
      <c r="E92" s="39">
        <v>0</v>
      </c>
      <c r="F92" s="194">
        <v>0</v>
      </c>
      <c r="G92" s="196">
        <f t="shared" si="4"/>
        <v>8</v>
      </c>
      <c r="H92" s="211">
        <v>0</v>
      </c>
      <c r="I92" s="211">
        <v>0</v>
      </c>
      <c r="J92" s="211">
        <v>0</v>
      </c>
      <c r="K92" s="211">
        <v>0</v>
      </c>
      <c r="L92" s="212">
        <v>0</v>
      </c>
      <c r="M92" s="212">
        <v>0</v>
      </c>
      <c r="N92" s="85">
        <f t="shared" si="5"/>
        <v>8</v>
      </c>
      <c r="O92" s="43">
        <f t="shared" si="6"/>
        <v>5.5</v>
      </c>
    </row>
    <row r="93" spans="1:15" ht="22.5" customHeight="1" x14ac:dyDescent="0.3">
      <c r="A93" s="190" t="s">
        <v>174</v>
      </c>
      <c r="B93" s="44">
        <v>1</v>
      </c>
      <c r="C93" s="39">
        <v>2</v>
      </c>
      <c r="D93" s="39">
        <v>0</v>
      </c>
      <c r="E93" s="39">
        <v>0</v>
      </c>
      <c r="F93" s="194">
        <v>0</v>
      </c>
      <c r="G93" s="196">
        <f t="shared" si="4"/>
        <v>3</v>
      </c>
      <c r="H93" s="211">
        <v>0</v>
      </c>
      <c r="I93" s="211">
        <v>0</v>
      </c>
      <c r="J93" s="211">
        <v>0</v>
      </c>
      <c r="K93" s="211">
        <v>0</v>
      </c>
      <c r="L93" s="212">
        <v>0</v>
      </c>
      <c r="M93" s="212">
        <v>0</v>
      </c>
      <c r="N93" s="85">
        <f t="shared" si="5"/>
        <v>3</v>
      </c>
      <c r="O93" s="43">
        <f t="shared" si="6"/>
        <v>2</v>
      </c>
    </row>
    <row r="94" spans="1:15" ht="22.5" customHeight="1" x14ac:dyDescent="0.3">
      <c r="A94" s="190" t="s">
        <v>175</v>
      </c>
      <c r="B94" s="44">
        <v>3</v>
      </c>
      <c r="C94" s="39">
        <v>5</v>
      </c>
      <c r="D94" s="39">
        <v>0</v>
      </c>
      <c r="E94" s="39">
        <v>0</v>
      </c>
      <c r="F94" s="194">
        <v>0</v>
      </c>
      <c r="G94" s="196">
        <f t="shared" si="4"/>
        <v>8</v>
      </c>
      <c r="H94" s="211">
        <v>0</v>
      </c>
      <c r="I94" s="211">
        <v>0</v>
      </c>
      <c r="J94" s="211">
        <v>0</v>
      </c>
      <c r="K94" s="211">
        <v>0</v>
      </c>
      <c r="L94" s="212">
        <v>1</v>
      </c>
      <c r="M94" s="212">
        <v>0</v>
      </c>
      <c r="N94" s="85">
        <f t="shared" si="5"/>
        <v>8</v>
      </c>
      <c r="O94" s="43">
        <f t="shared" si="6"/>
        <v>13.5</v>
      </c>
    </row>
    <row r="95" spans="1:15" ht="22.5" customHeight="1" x14ac:dyDescent="0.3">
      <c r="A95" s="190" t="s">
        <v>176</v>
      </c>
      <c r="B95" s="44">
        <v>4</v>
      </c>
      <c r="C95" s="39">
        <v>3</v>
      </c>
      <c r="D95" s="39">
        <v>0</v>
      </c>
      <c r="E95" s="39">
        <v>0</v>
      </c>
      <c r="F95" s="194">
        <v>0</v>
      </c>
      <c r="G95" s="196">
        <f t="shared" si="4"/>
        <v>7</v>
      </c>
      <c r="H95" s="211">
        <v>0</v>
      </c>
      <c r="I95" s="211">
        <v>0</v>
      </c>
      <c r="J95" s="211">
        <v>0</v>
      </c>
      <c r="K95" s="211">
        <v>0</v>
      </c>
      <c r="L95" s="212">
        <v>0</v>
      </c>
      <c r="M95" s="212">
        <v>0</v>
      </c>
      <c r="N95" s="85">
        <f t="shared" si="5"/>
        <v>7</v>
      </c>
      <c r="O95" s="43">
        <f t="shared" si="6"/>
        <v>5.5</v>
      </c>
    </row>
    <row r="96" spans="1:15" ht="22.5" customHeight="1" x14ac:dyDescent="0.3">
      <c r="A96" s="190" t="s">
        <v>135</v>
      </c>
      <c r="B96" s="44">
        <v>2</v>
      </c>
      <c r="C96" s="39">
        <v>9</v>
      </c>
      <c r="D96" s="39">
        <v>0</v>
      </c>
      <c r="E96" s="39">
        <v>0</v>
      </c>
      <c r="F96" s="194">
        <v>0</v>
      </c>
      <c r="G96" s="196">
        <f t="shared" si="4"/>
        <v>11</v>
      </c>
      <c r="H96" s="211">
        <v>0</v>
      </c>
      <c r="I96" s="211">
        <v>0</v>
      </c>
      <c r="J96" s="211">
        <v>0</v>
      </c>
      <c r="K96" s="211">
        <v>0</v>
      </c>
      <c r="L96" s="212">
        <v>0</v>
      </c>
      <c r="M96" s="212">
        <v>0</v>
      </c>
      <c r="N96" s="85">
        <f t="shared" si="5"/>
        <v>11</v>
      </c>
      <c r="O96" s="43">
        <f t="shared" si="6"/>
        <v>6.5</v>
      </c>
    </row>
    <row r="97" spans="1:15" ht="22.5" customHeight="1" x14ac:dyDescent="0.3">
      <c r="A97" s="190" t="s">
        <v>136</v>
      </c>
      <c r="B97" s="44">
        <v>4</v>
      </c>
      <c r="C97" s="39">
        <v>13</v>
      </c>
      <c r="D97" s="39">
        <v>0</v>
      </c>
      <c r="E97" s="39">
        <v>0</v>
      </c>
      <c r="F97" s="194">
        <v>0</v>
      </c>
      <c r="G97" s="196">
        <f t="shared" si="4"/>
        <v>17</v>
      </c>
      <c r="H97" s="211">
        <v>0</v>
      </c>
      <c r="I97" s="211">
        <v>0</v>
      </c>
      <c r="J97" s="211">
        <v>0</v>
      </c>
      <c r="K97" s="211">
        <v>0</v>
      </c>
      <c r="L97" s="212">
        <v>0</v>
      </c>
      <c r="M97" s="212">
        <v>0</v>
      </c>
      <c r="N97" s="85">
        <f t="shared" si="5"/>
        <v>17</v>
      </c>
      <c r="O97" s="43">
        <f t="shared" si="6"/>
        <v>10.5</v>
      </c>
    </row>
    <row r="98" spans="1:15" ht="22.5" customHeight="1" x14ac:dyDescent="0.3">
      <c r="A98" s="190" t="s">
        <v>137</v>
      </c>
      <c r="B98" s="44">
        <v>2</v>
      </c>
      <c r="C98" s="39">
        <v>12</v>
      </c>
      <c r="D98" s="39">
        <v>1</v>
      </c>
      <c r="E98" s="39">
        <v>1</v>
      </c>
      <c r="F98" s="194">
        <v>0</v>
      </c>
      <c r="G98" s="196">
        <f t="shared" si="4"/>
        <v>16</v>
      </c>
      <c r="H98" s="211">
        <v>0</v>
      </c>
      <c r="I98" s="211">
        <v>0</v>
      </c>
      <c r="J98" s="211">
        <v>0</v>
      </c>
      <c r="K98" s="211">
        <v>0</v>
      </c>
      <c r="L98" s="212">
        <v>0</v>
      </c>
      <c r="M98" s="212">
        <v>0</v>
      </c>
      <c r="N98" s="85">
        <f t="shared" si="5"/>
        <v>16</v>
      </c>
      <c r="O98" s="43">
        <f t="shared" si="6"/>
        <v>12.5</v>
      </c>
    </row>
    <row r="99" spans="1:15" ht="22.5" customHeight="1" x14ac:dyDescent="0.3">
      <c r="A99" s="190" t="s">
        <v>138</v>
      </c>
      <c r="B99" s="44">
        <v>7</v>
      </c>
      <c r="C99" s="39">
        <v>14</v>
      </c>
      <c r="D99" s="39">
        <v>0</v>
      </c>
      <c r="E99" s="39">
        <v>2</v>
      </c>
      <c r="F99" s="194">
        <v>0</v>
      </c>
      <c r="G99" s="196">
        <f t="shared" si="4"/>
        <v>23</v>
      </c>
      <c r="H99" s="211">
        <v>0</v>
      </c>
      <c r="I99" s="211">
        <v>0</v>
      </c>
      <c r="J99" s="211">
        <v>0</v>
      </c>
      <c r="K99" s="211">
        <v>0</v>
      </c>
      <c r="L99" s="212">
        <v>0</v>
      </c>
      <c r="M99" s="212">
        <v>0</v>
      </c>
      <c r="N99" s="85">
        <f t="shared" si="5"/>
        <v>23</v>
      </c>
      <c r="O99" s="43">
        <f t="shared" si="6"/>
        <v>20</v>
      </c>
    </row>
    <row r="100" spans="1:15" ht="22.5" customHeight="1" x14ac:dyDescent="0.3">
      <c r="A100" s="190" t="s">
        <v>139</v>
      </c>
      <c r="B100" s="44">
        <v>4</v>
      </c>
      <c r="C100" s="39">
        <v>17</v>
      </c>
      <c r="D100" s="39">
        <v>1</v>
      </c>
      <c r="E100" s="39">
        <v>0</v>
      </c>
      <c r="F100" s="194">
        <v>0</v>
      </c>
      <c r="G100" s="196">
        <f t="shared" si="4"/>
        <v>22</v>
      </c>
      <c r="H100" s="211">
        <v>0</v>
      </c>
      <c r="I100" s="211">
        <v>0</v>
      </c>
      <c r="J100" s="211">
        <v>0</v>
      </c>
      <c r="K100" s="211">
        <v>0</v>
      </c>
      <c r="L100" s="212">
        <v>0</v>
      </c>
      <c r="M100" s="212">
        <v>0</v>
      </c>
      <c r="N100" s="85">
        <f t="shared" si="5"/>
        <v>22</v>
      </c>
      <c r="O100" s="43">
        <f t="shared" si="6"/>
        <v>14</v>
      </c>
    </row>
    <row r="101" spans="1:15" ht="22.5" customHeight="1" x14ac:dyDescent="0.3">
      <c r="A101" s="190" t="s">
        <v>140</v>
      </c>
      <c r="B101" s="44">
        <v>9</v>
      </c>
      <c r="C101" s="39">
        <v>24</v>
      </c>
      <c r="D101" s="39">
        <v>0</v>
      </c>
      <c r="E101" s="39">
        <v>0</v>
      </c>
      <c r="F101" s="194">
        <v>0</v>
      </c>
      <c r="G101" s="196">
        <f t="shared" si="4"/>
        <v>33</v>
      </c>
      <c r="H101" s="211">
        <v>0</v>
      </c>
      <c r="I101" s="211">
        <v>0</v>
      </c>
      <c r="J101" s="211">
        <v>0</v>
      </c>
      <c r="K101" s="211">
        <v>0</v>
      </c>
      <c r="L101" s="212">
        <v>0</v>
      </c>
      <c r="M101" s="212">
        <v>0</v>
      </c>
      <c r="N101" s="85">
        <f t="shared" si="5"/>
        <v>33</v>
      </c>
      <c r="O101" s="43">
        <f t="shared" si="6"/>
        <v>21</v>
      </c>
    </row>
    <row r="102" spans="1:15" ht="22.5" customHeight="1" x14ac:dyDescent="0.3">
      <c r="A102" s="190" t="s">
        <v>141</v>
      </c>
      <c r="B102" s="44">
        <v>7</v>
      </c>
      <c r="C102" s="39">
        <v>21</v>
      </c>
      <c r="D102" s="39">
        <v>0</v>
      </c>
      <c r="E102" s="39">
        <v>0</v>
      </c>
      <c r="F102" s="194">
        <v>0</v>
      </c>
      <c r="G102" s="196">
        <f t="shared" si="4"/>
        <v>28</v>
      </c>
      <c r="H102" s="211">
        <v>0</v>
      </c>
      <c r="I102" s="211">
        <v>0</v>
      </c>
      <c r="J102" s="211">
        <v>0</v>
      </c>
      <c r="K102" s="211">
        <v>0</v>
      </c>
      <c r="L102" s="212">
        <v>0</v>
      </c>
      <c r="M102" s="212">
        <v>0</v>
      </c>
      <c r="N102" s="85">
        <f t="shared" si="5"/>
        <v>28</v>
      </c>
      <c r="O102" s="43">
        <f t="shared" si="6"/>
        <v>17.5</v>
      </c>
    </row>
    <row r="103" spans="1:15" ht="22.5" customHeight="1" thickBot="1" x14ac:dyDescent="0.35">
      <c r="A103" s="191" t="s">
        <v>142</v>
      </c>
      <c r="B103" s="46">
        <v>11</v>
      </c>
      <c r="C103" s="47">
        <v>30</v>
      </c>
      <c r="D103" s="47">
        <v>1</v>
      </c>
      <c r="E103" s="47">
        <v>0</v>
      </c>
      <c r="F103" s="195">
        <v>0</v>
      </c>
      <c r="G103" s="197">
        <f t="shared" si="4"/>
        <v>42</v>
      </c>
      <c r="H103" s="211">
        <v>0</v>
      </c>
      <c r="I103" s="211">
        <v>0</v>
      </c>
      <c r="J103" s="211">
        <v>0</v>
      </c>
      <c r="K103" s="211">
        <v>0</v>
      </c>
      <c r="L103" s="212">
        <v>0</v>
      </c>
      <c r="M103" s="212">
        <v>0</v>
      </c>
      <c r="N103" s="116">
        <f t="shared" si="5"/>
        <v>42</v>
      </c>
      <c r="O103" s="84">
        <f t="shared" si="6"/>
        <v>27.5</v>
      </c>
    </row>
    <row r="104" spans="1:15" ht="22.5" customHeight="1" thickBot="1" x14ac:dyDescent="0.35">
      <c r="A104" s="86" t="s">
        <v>11</v>
      </c>
      <c r="B104" s="117">
        <f t="shared" ref="B104:N104" si="7">SUM(B8:B103)</f>
        <v>1129</v>
      </c>
      <c r="C104" s="117">
        <f t="shared" si="7"/>
        <v>1682</v>
      </c>
      <c r="D104" s="117">
        <f t="shared" si="7"/>
        <v>126</v>
      </c>
      <c r="E104" s="118">
        <f t="shared" si="7"/>
        <v>37</v>
      </c>
      <c r="F104" s="118">
        <f t="shared" si="7"/>
        <v>66</v>
      </c>
      <c r="G104" s="94">
        <f t="shared" si="7"/>
        <v>3040</v>
      </c>
      <c r="H104" s="117">
        <f t="shared" si="7"/>
        <v>3</v>
      </c>
      <c r="I104" s="117">
        <f t="shared" si="7"/>
        <v>1</v>
      </c>
      <c r="J104" s="117">
        <f t="shared" si="7"/>
        <v>0</v>
      </c>
      <c r="K104" s="118">
        <f t="shared" si="7"/>
        <v>0</v>
      </c>
      <c r="L104" s="118">
        <f t="shared" si="7"/>
        <v>28</v>
      </c>
      <c r="M104" s="199">
        <f>SUM(M8:M103)</f>
        <v>2</v>
      </c>
      <c r="N104" s="95">
        <f t="shared" si="7"/>
        <v>3042</v>
      </c>
      <c r="O104" s="142">
        <f>SUM(O8:O103)</f>
        <v>2794</v>
      </c>
    </row>
    <row r="105" spans="1:15" ht="22.5" customHeight="1" thickBot="1" x14ac:dyDescent="0.35">
      <c r="A105" s="41" t="s">
        <v>143</v>
      </c>
      <c r="B105" s="88">
        <f>+B104*1</f>
        <v>1129</v>
      </c>
      <c r="C105" s="88">
        <f>+C104*0.5</f>
        <v>841</v>
      </c>
      <c r="D105" s="88">
        <f>+D104*1.5</f>
        <v>189</v>
      </c>
      <c r="E105" s="88">
        <f>+E104*3</f>
        <v>111</v>
      </c>
      <c r="F105" s="89">
        <f>+F104*4.5</f>
        <v>297</v>
      </c>
      <c r="G105" s="90">
        <f>SUM(B105:F105)</f>
        <v>2567</v>
      </c>
      <c r="H105" s="88">
        <f>+H104*0.5</f>
        <v>1.5</v>
      </c>
      <c r="I105" s="89">
        <f>+I104*1.5</f>
        <v>1.5</v>
      </c>
      <c r="J105" s="89">
        <f>+J104*3</f>
        <v>0</v>
      </c>
      <c r="K105" s="96">
        <f>+K104*4</f>
        <v>0</v>
      </c>
      <c r="L105" s="96">
        <f>+L104*8</f>
        <v>224</v>
      </c>
      <c r="M105" s="147">
        <f>SUM(H105:L105)</f>
        <v>227</v>
      </c>
      <c r="N105" s="91"/>
      <c r="O105" s="92">
        <f>G105+M105</f>
        <v>2794</v>
      </c>
    </row>
    <row r="106" spans="1:15" ht="22.5" customHeight="1" thickBot="1" x14ac:dyDescent="0.35">
      <c r="A106" s="42" t="s">
        <v>12</v>
      </c>
      <c r="B106" s="93">
        <f t="shared" ref="B106:N106" si="8">B104/$N$104</f>
        <v>0.37113740959894809</v>
      </c>
      <c r="C106" s="93">
        <f t="shared" si="8"/>
        <v>0.55292570677186059</v>
      </c>
      <c r="D106" s="93">
        <f t="shared" si="8"/>
        <v>4.142011834319527E-2</v>
      </c>
      <c r="E106" s="93">
        <f t="shared" si="8"/>
        <v>1.2163050624589087E-2</v>
      </c>
      <c r="F106" s="93">
        <f t="shared" si="8"/>
        <v>2.1696252465483234E-2</v>
      </c>
      <c r="G106" s="98">
        <f t="shared" si="8"/>
        <v>0.99934253780407623</v>
      </c>
      <c r="H106" s="93">
        <f t="shared" si="8"/>
        <v>9.8619329388560163E-4</v>
      </c>
      <c r="I106" s="93">
        <f t="shared" si="8"/>
        <v>3.2873109796186721E-4</v>
      </c>
      <c r="J106" s="93">
        <f t="shared" si="8"/>
        <v>0</v>
      </c>
      <c r="K106" s="97">
        <f t="shared" si="8"/>
        <v>0</v>
      </c>
      <c r="L106" s="97">
        <f t="shared" si="8"/>
        <v>9.204470742932281E-3</v>
      </c>
      <c r="M106" s="98">
        <f t="shared" si="8"/>
        <v>6.5746219592373442E-4</v>
      </c>
      <c r="N106" s="99">
        <f t="shared" si="8"/>
        <v>1</v>
      </c>
      <c r="O106" s="94"/>
    </row>
    <row r="108" spans="1:15" s="4" customFormat="1" x14ac:dyDescent="0.3">
      <c r="A108" s="4" t="s">
        <v>103</v>
      </c>
      <c r="B108" s="4" t="str">
        <f>B2</f>
        <v>TMC-14 Number (D2)</v>
      </c>
    </row>
    <row r="109" spans="1:15" s="4" customFormat="1" x14ac:dyDescent="0.3">
      <c r="A109" s="4" t="s">
        <v>102</v>
      </c>
      <c r="B109" s="4" t="str">
        <f>B3</f>
        <v>D2</v>
      </c>
    </row>
    <row r="110" spans="1:15" s="4" customFormat="1" x14ac:dyDescent="0.3">
      <c r="A110" s="4" t="s">
        <v>104</v>
      </c>
      <c r="B110" s="4" t="str">
        <f>B4</f>
        <v>Nindar</v>
      </c>
      <c r="D110" s="4" t="str">
        <f>D4</f>
        <v>To:</v>
      </c>
    </row>
    <row r="111" spans="1:15" ht="16.2" thickBot="1" x14ac:dyDescent="0.35"/>
    <row r="112" spans="1:15" ht="25.2" customHeight="1" x14ac:dyDescent="0.3">
      <c r="A112" s="252" t="s">
        <v>95</v>
      </c>
      <c r="B112" s="258" t="s">
        <v>280</v>
      </c>
      <c r="C112" s="254" t="s">
        <v>281</v>
      </c>
      <c r="D112" s="250" t="s">
        <v>282</v>
      </c>
      <c r="E112" s="260" t="s">
        <v>283</v>
      </c>
      <c r="F112" s="256" t="s">
        <v>284</v>
      </c>
      <c r="G112" s="250" t="s">
        <v>129</v>
      </c>
      <c r="H112" s="248" t="s">
        <v>150</v>
      </c>
      <c r="I112" s="250" t="s">
        <v>151</v>
      </c>
      <c r="J112" s="250" t="s">
        <v>285</v>
      </c>
      <c r="K112" s="248" t="s">
        <v>286</v>
      </c>
      <c r="L112" s="250" t="s">
        <v>287</v>
      </c>
      <c r="M112" s="250" t="s">
        <v>78</v>
      </c>
      <c r="N112" s="250" t="s">
        <v>131</v>
      </c>
      <c r="O112" s="250" t="s">
        <v>132</v>
      </c>
    </row>
    <row r="113" spans="1:15" ht="43.5" customHeight="1" thickBot="1" x14ac:dyDescent="0.35">
      <c r="A113" s="253"/>
      <c r="B113" s="259"/>
      <c r="C113" s="255"/>
      <c r="D113" s="251"/>
      <c r="E113" s="261"/>
      <c r="F113" s="257"/>
      <c r="G113" s="259"/>
      <c r="H113" s="249"/>
      <c r="I113" s="251"/>
      <c r="J113" s="251"/>
      <c r="K113" s="249"/>
      <c r="L113" s="251"/>
      <c r="M113" s="251"/>
      <c r="N113" s="251"/>
      <c r="O113" s="251"/>
    </row>
    <row r="114" spans="1:15" ht="22.95" customHeight="1" x14ac:dyDescent="0.3">
      <c r="A114" s="52" t="s">
        <v>15</v>
      </c>
      <c r="B114" s="112">
        <f>B8+B9+B10+B11</f>
        <v>37</v>
      </c>
      <c r="C114" s="113">
        <f t="shared" ref="C114:F114" si="9">C8+C9+C10+C11</f>
        <v>203</v>
      </c>
      <c r="D114" s="113">
        <f t="shared" si="9"/>
        <v>2</v>
      </c>
      <c r="E114" s="113">
        <f t="shared" si="9"/>
        <v>1</v>
      </c>
      <c r="F114" s="113">
        <f t="shared" si="9"/>
        <v>0</v>
      </c>
      <c r="G114" s="49">
        <f t="shared" ref="G114:G145" si="10">SUM(B114:F114)</f>
        <v>243</v>
      </c>
      <c r="H114" s="112">
        <f t="shared" ref="H114" si="11">H8+H9+H10+H11</f>
        <v>0</v>
      </c>
      <c r="I114" s="113">
        <f t="shared" ref="I114:L114" si="12">I8+I9+I10+I11</f>
        <v>0</v>
      </c>
      <c r="J114" s="113">
        <f t="shared" si="12"/>
        <v>0</v>
      </c>
      <c r="K114" s="114">
        <f t="shared" si="12"/>
        <v>0</v>
      </c>
      <c r="L114" s="143">
        <f t="shared" si="12"/>
        <v>3</v>
      </c>
      <c r="M114" s="49">
        <f>SUM(H114:K114)</f>
        <v>0</v>
      </c>
      <c r="N114" s="40">
        <f>G114+M114</f>
        <v>243</v>
      </c>
      <c r="O114" s="115">
        <f>B114*1+C114*0.5+D114*1.5+E114*3+F114*4.5+H114*0.5+I114*1.5+J114*3+K114*4+L114*8</f>
        <v>168.5</v>
      </c>
    </row>
    <row r="115" spans="1:15" ht="22.95" customHeight="1" x14ac:dyDescent="0.3">
      <c r="A115" s="52" t="s">
        <v>16</v>
      </c>
      <c r="B115" s="44">
        <f>B9+B10+B11+B12</f>
        <v>40</v>
      </c>
      <c r="C115" s="39">
        <f t="shared" ref="C115:F115" si="13">C9+C10+C11+C12</f>
        <v>228</v>
      </c>
      <c r="D115" s="39">
        <f t="shared" si="13"/>
        <v>2</v>
      </c>
      <c r="E115" s="39">
        <f t="shared" si="13"/>
        <v>0</v>
      </c>
      <c r="F115" s="39">
        <f t="shared" si="13"/>
        <v>1</v>
      </c>
      <c r="G115" s="50">
        <f t="shared" si="10"/>
        <v>271</v>
      </c>
      <c r="H115" s="44">
        <f t="shared" ref="H115:L115" si="14">H9+H10+H11+H12</f>
        <v>0</v>
      </c>
      <c r="I115" s="39">
        <f t="shared" si="14"/>
        <v>0</v>
      </c>
      <c r="J115" s="39">
        <f t="shared" si="14"/>
        <v>0</v>
      </c>
      <c r="K115" s="45">
        <f t="shared" si="14"/>
        <v>0</v>
      </c>
      <c r="L115" s="144">
        <f t="shared" si="14"/>
        <v>3</v>
      </c>
      <c r="M115" s="50">
        <f t="shared" ref="M115:M178" si="15">SUM(H115:K115)</f>
        <v>0</v>
      </c>
      <c r="N115" s="40">
        <f t="shared" ref="N115:N178" si="16">G115+M115</f>
        <v>271</v>
      </c>
      <c r="O115" s="43">
        <f t="shared" ref="O115:O178" si="17">B115*1+C115*0.5+D115*1.5+E115*3+F115*4.5+H115*0.5+I115*1.5+J115*3+K115*4+L115*8</f>
        <v>185.5</v>
      </c>
    </row>
    <row r="116" spans="1:15" ht="22.95" customHeight="1" x14ac:dyDescent="0.3">
      <c r="A116" s="52" t="s">
        <v>17</v>
      </c>
      <c r="B116" s="44">
        <f t="shared" ref="B116:F179" si="18">B10+B11+B12+B13</f>
        <v>55</v>
      </c>
      <c r="C116" s="39">
        <f t="shared" si="18"/>
        <v>263</v>
      </c>
      <c r="D116" s="39">
        <f t="shared" si="18"/>
        <v>1</v>
      </c>
      <c r="E116" s="39">
        <f t="shared" si="18"/>
        <v>0</v>
      </c>
      <c r="F116" s="39">
        <f t="shared" si="18"/>
        <v>1</v>
      </c>
      <c r="G116" s="50">
        <f t="shared" si="10"/>
        <v>320</v>
      </c>
      <c r="H116" s="44">
        <f t="shared" ref="H116:L116" si="19">H10+H11+H12+H13</f>
        <v>0</v>
      </c>
      <c r="I116" s="39">
        <f t="shared" si="19"/>
        <v>0</v>
      </c>
      <c r="J116" s="39">
        <f t="shared" si="19"/>
        <v>0</v>
      </c>
      <c r="K116" s="45">
        <f t="shared" si="19"/>
        <v>0</v>
      </c>
      <c r="L116" s="144">
        <f t="shared" si="19"/>
        <v>3</v>
      </c>
      <c r="M116" s="50">
        <f t="shared" si="15"/>
        <v>0</v>
      </c>
      <c r="N116" s="40">
        <f t="shared" si="16"/>
        <v>320</v>
      </c>
      <c r="O116" s="43">
        <f t="shared" si="17"/>
        <v>216.5</v>
      </c>
    </row>
    <row r="117" spans="1:15" ht="22.95" customHeight="1" x14ac:dyDescent="0.3">
      <c r="A117" s="52" t="s">
        <v>18</v>
      </c>
      <c r="B117" s="44">
        <f t="shared" si="18"/>
        <v>62</v>
      </c>
      <c r="C117" s="39">
        <f t="shared" si="18"/>
        <v>279</v>
      </c>
      <c r="D117" s="39">
        <f t="shared" si="18"/>
        <v>2</v>
      </c>
      <c r="E117" s="39">
        <f t="shared" si="18"/>
        <v>0</v>
      </c>
      <c r="F117" s="39">
        <f t="shared" si="18"/>
        <v>1</v>
      </c>
      <c r="G117" s="50">
        <f t="shared" si="10"/>
        <v>344</v>
      </c>
      <c r="H117" s="44">
        <f t="shared" ref="H117:L117" si="20">H11+H12+H13+H14</f>
        <v>0</v>
      </c>
      <c r="I117" s="39">
        <f t="shared" si="20"/>
        <v>0</v>
      </c>
      <c r="J117" s="39">
        <f t="shared" si="20"/>
        <v>0</v>
      </c>
      <c r="K117" s="45">
        <f t="shared" si="20"/>
        <v>0</v>
      </c>
      <c r="L117" s="144">
        <f t="shared" si="20"/>
        <v>3</v>
      </c>
      <c r="M117" s="50">
        <f t="shared" si="15"/>
        <v>0</v>
      </c>
      <c r="N117" s="40">
        <f t="shared" si="16"/>
        <v>344</v>
      </c>
      <c r="O117" s="43">
        <f t="shared" si="17"/>
        <v>233</v>
      </c>
    </row>
    <row r="118" spans="1:15" ht="22.95" customHeight="1" x14ac:dyDescent="0.3">
      <c r="A118" s="52" t="s">
        <v>19</v>
      </c>
      <c r="B118" s="44">
        <f t="shared" si="18"/>
        <v>80</v>
      </c>
      <c r="C118" s="39">
        <f t="shared" si="18"/>
        <v>283</v>
      </c>
      <c r="D118" s="39">
        <f t="shared" si="18"/>
        <v>3</v>
      </c>
      <c r="E118" s="39">
        <f t="shared" si="18"/>
        <v>0</v>
      </c>
      <c r="F118" s="39">
        <f t="shared" si="18"/>
        <v>3</v>
      </c>
      <c r="G118" s="50">
        <f t="shared" si="10"/>
        <v>369</v>
      </c>
      <c r="H118" s="44">
        <f t="shared" ref="H118:L118" si="21">H12+H13+H14+H15</f>
        <v>0</v>
      </c>
      <c r="I118" s="39">
        <f t="shared" si="21"/>
        <v>0</v>
      </c>
      <c r="J118" s="39">
        <f t="shared" si="21"/>
        <v>0</v>
      </c>
      <c r="K118" s="45">
        <f t="shared" si="21"/>
        <v>0</v>
      </c>
      <c r="L118" s="144">
        <f t="shared" si="21"/>
        <v>3</v>
      </c>
      <c r="M118" s="50">
        <f t="shared" si="15"/>
        <v>0</v>
      </c>
      <c r="N118" s="40">
        <f t="shared" si="16"/>
        <v>369</v>
      </c>
      <c r="O118" s="43">
        <f t="shared" si="17"/>
        <v>263.5</v>
      </c>
    </row>
    <row r="119" spans="1:15" ht="22.95" customHeight="1" x14ac:dyDescent="0.3">
      <c r="A119" s="52" t="s">
        <v>20</v>
      </c>
      <c r="B119" s="44">
        <f t="shared" si="18"/>
        <v>97</v>
      </c>
      <c r="C119" s="39">
        <f t="shared" si="18"/>
        <v>283</v>
      </c>
      <c r="D119" s="39">
        <f t="shared" si="18"/>
        <v>4</v>
      </c>
      <c r="E119" s="39">
        <f t="shared" si="18"/>
        <v>0</v>
      </c>
      <c r="F119" s="39">
        <f t="shared" si="18"/>
        <v>7</v>
      </c>
      <c r="G119" s="50">
        <f t="shared" si="10"/>
        <v>391</v>
      </c>
      <c r="H119" s="44">
        <f t="shared" ref="H119:L119" si="22">H13+H14+H15+H16</f>
        <v>1</v>
      </c>
      <c r="I119" s="39">
        <f t="shared" si="22"/>
        <v>0</v>
      </c>
      <c r="J119" s="39">
        <f t="shared" si="22"/>
        <v>0</v>
      </c>
      <c r="K119" s="45">
        <f t="shared" si="22"/>
        <v>0</v>
      </c>
      <c r="L119" s="144">
        <f t="shared" si="22"/>
        <v>4</v>
      </c>
      <c r="M119" s="50">
        <f t="shared" si="15"/>
        <v>1</v>
      </c>
      <c r="N119" s="40">
        <f t="shared" si="16"/>
        <v>392</v>
      </c>
      <c r="O119" s="43">
        <f t="shared" si="17"/>
        <v>308.5</v>
      </c>
    </row>
    <row r="120" spans="1:15" ht="22.95" customHeight="1" x14ac:dyDescent="0.3">
      <c r="A120" s="52" t="s">
        <v>21</v>
      </c>
      <c r="B120" s="44">
        <f t="shared" si="18"/>
        <v>103</v>
      </c>
      <c r="C120" s="39">
        <f t="shared" si="18"/>
        <v>259</v>
      </c>
      <c r="D120" s="39">
        <f t="shared" si="18"/>
        <v>5</v>
      </c>
      <c r="E120" s="39">
        <f t="shared" si="18"/>
        <v>1</v>
      </c>
      <c r="F120" s="39">
        <f t="shared" si="18"/>
        <v>8</v>
      </c>
      <c r="G120" s="50">
        <f t="shared" si="10"/>
        <v>376</v>
      </c>
      <c r="H120" s="44">
        <f t="shared" ref="H120:L120" si="23">H14+H15+H16+H17</f>
        <v>1</v>
      </c>
      <c r="I120" s="39">
        <f t="shared" si="23"/>
        <v>0</v>
      </c>
      <c r="J120" s="39">
        <f t="shared" si="23"/>
        <v>0</v>
      </c>
      <c r="K120" s="45">
        <f t="shared" si="23"/>
        <v>0</v>
      </c>
      <c r="L120" s="144">
        <f t="shared" si="23"/>
        <v>4</v>
      </c>
      <c r="M120" s="50">
        <f t="shared" si="15"/>
        <v>1</v>
      </c>
      <c r="N120" s="40">
        <f t="shared" si="16"/>
        <v>377</v>
      </c>
      <c r="O120" s="43">
        <f t="shared" si="17"/>
        <v>311.5</v>
      </c>
    </row>
    <row r="121" spans="1:15" ht="22.95" customHeight="1" x14ac:dyDescent="0.3">
      <c r="A121" s="52" t="s">
        <v>22</v>
      </c>
      <c r="B121" s="44">
        <f t="shared" si="18"/>
        <v>110</v>
      </c>
      <c r="C121" s="39">
        <f t="shared" si="18"/>
        <v>230</v>
      </c>
      <c r="D121" s="39">
        <f t="shared" si="18"/>
        <v>7</v>
      </c>
      <c r="E121" s="39">
        <f t="shared" si="18"/>
        <v>1</v>
      </c>
      <c r="F121" s="39">
        <f t="shared" si="18"/>
        <v>9</v>
      </c>
      <c r="G121" s="50">
        <f t="shared" si="10"/>
        <v>357</v>
      </c>
      <c r="H121" s="44">
        <f t="shared" ref="H121:L121" si="24">H15+H16+H17+H18</f>
        <v>1</v>
      </c>
      <c r="I121" s="39">
        <f t="shared" si="24"/>
        <v>0</v>
      </c>
      <c r="J121" s="39">
        <f t="shared" si="24"/>
        <v>0</v>
      </c>
      <c r="K121" s="45">
        <f t="shared" si="24"/>
        <v>0</v>
      </c>
      <c r="L121" s="144">
        <f t="shared" si="24"/>
        <v>3</v>
      </c>
      <c r="M121" s="50">
        <f t="shared" si="15"/>
        <v>1</v>
      </c>
      <c r="N121" s="40">
        <f t="shared" si="16"/>
        <v>358</v>
      </c>
      <c r="O121" s="43">
        <f t="shared" si="17"/>
        <v>303.5</v>
      </c>
    </row>
    <row r="122" spans="1:15" ht="22.95" customHeight="1" x14ac:dyDescent="0.3">
      <c r="A122" s="52" t="s">
        <v>23</v>
      </c>
      <c r="B122" s="44">
        <f t="shared" si="18"/>
        <v>109</v>
      </c>
      <c r="C122" s="39">
        <f t="shared" si="18"/>
        <v>208</v>
      </c>
      <c r="D122" s="39">
        <f t="shared" si="18"/>
        <v>9</v>
      </c>
      <c r="E122" s="39">
        <f t="shared" si="18"/>
        <v>1</v>
      </c>
      <c r="F122" s="39">
        <f t="shared" si="18"/>
        <v>8</v>
      </c>
      <c r="G122" s="50">
        <f t="shared" si="10"/>
        <v>335</v>
      </c>
      <c r="H122" s="44">
        <f t="shared" ref="H122:L122" si="25">H16+H17+H18+H19</f>
        <v>1</v>
      </c>
      <c r="I122" s="39">
        <f t="shared" si="25"/>
        <v>0</v>
      </c>
      <c r="J122" s="39">
        <f t="shared" si="25"/>
        <v>0</v>
      </c>
      <c r="K122" s="45">
        <f t="shared" si="25"/>
        <v>0</v>
      </c>
      <c r="L122" s="144">
        <f t="shared" si="25"/>
        <v>3</v>
      </c>
      <c r="M122" s="50">
        <f t="shared" si="15"/>
        <v>1</v>
      </c>
      <c r="N122" s="40">
        <f t="shared" si="16"/>
        <v>336</v>
      </c>
      <c r="O122" s="43">
        <f t="shared" si="17"/>
        <v>290</v>
      </c>
    </row>
    <row r="123" spans="1:15" ht="22.95" customHeight="1" x14ac:dyDescent="0.3">
      <c r="A123" s="52" t="s">
        <v>24</v>
      </c>
      <c r="B123" s="44">
        <f t="shared" si="18"/>
        <v>112</v>
      </c>
      <c r="C123" s="39">
        <f t="shared" si="18"/>
        <v>195</v>
      </c>
      <c r="D123" s="39">
        <f t="shared" si="18"/>
        <v>8</v>
      </c>
      <c r="E123" s="39">
        <f t="shared" si="18"/>
        <v>2</v>
      </c>
      <c r="F123" s="39">
        <f t="shared" si="18"/>
        <v>3</v>
      </c>
      <c r="G123" s="50">
        <f t="shared" si="10"/>
        <v>320</v>
      </c>
      <c r="H123" s="44">
        <f t="shared" ref="H123:L123" si="26">H17+H18+H19+H20</f>
        <v>0</v>
      </c>
      <c r="I123" s="39">
        <f t="shared" si="26"/>
        <v>0</v>
      </c>
      <c r="J123" s="39">
        <f t="shared" si="26"/>
        <v>0</v>
      </c>
      <c r="K123" s="45">
        <f t="shared" si="26"/>
        <v>0</v>
      </c>
      <c r="L123" s="144">
        <f t="shared" si="26"/>
        <v>2</v>
      </c>
      <c r="M123" s="50">
        <f t="shared" si="15"/>
        <v>0</v>
      </c>
      <c r="N123" s="40">
        <f t="shared" si="16"/>
        <v>320</v>
      </c>
      <c r="O123" s="43">
        <f t="shared" si="17"/>
        <v>257</v>
      </c>
    </row>
    <row r="124" spans="1:15" ht="22.95" customHeight="1" x14ac:dyDescent="0.3">
      <c r="A124" s="52" t="s">
        <v>25</v>
      </c>
      <c r="B124" s="44">
        <f t="shared" si="18"/>
        <v>111</v>
      </c>
      <c r="C124" s="39">
        <f t="shared" si="18"/>
        <v>196</v>
      </c>
      <c r="D124" s="39">
        <f t="shared" si="18"/>
        <v>12</v>
      </c>
      <c r="E124" s="39">
        <f t="shared" si="18"/>
        <v>3</v>
      </c>
      <c r="F124" s="39">
        <f t="shared" si="18"/>
        <v>3</v>
      </c>
      <c r="G124" s="50">
        <f t="shared" si="10"/>
        <v>325</v>
      </c>
      <c r="H124" s="44">
        <f t="shared" ref="H124:L124" si="27">H18+H19+H20+H21</f>
        <v>0</v>
      </c>
      <c r="I124" s="39">
        <f t="shared" si="27"/>
        <v>0</v>
      </c>
      <c r="J124" s="39">
        <f t="shared" si="27"/>
        <v>0</v>
      </c>
      <c r="K124" s="45">
        <f t="shared" si="27"/>
        <v>0</v>
      </c>
      <c r="L124" s="144">
        <f t="shared" si="27"/>
        <v>2</v>
      </c>
      <c r="M124" s="50">
        <f t="shared" si="15"/>
        <v>0</v>
      </c>
      <c r="N124" s="40">
        <f t="shared" si="16"/>
        <v>325</v>
      </c>
      <c r="O124" s="43">
        <f t="shared" si="17"/>
        <v>265.5</v>
      </c>
    </row>
    <row r="125" spans="1:15" ht="22.95" customHeight="1" x14ac:dyDescent="0.3">
      <c r="A125" s="52" t="s">
        <v>26</v>
      </c>
      <c r="B125" s="44">
        <f t="shared" si="18"/>
        <v>106</v>
      </c>
      <c r="C125" s="39">
        <f t="shared" si="18"/>
        <v>183</v>
      </c>
      <c r="D125" s="39">
        <f t="shared" si="18"/>
        <v>10</v>
      </c>
      <c r="E125" s="39">
        <f t="shared" si="18"/>
        <v>3</v>
      </c>
      <c r="F125" s="39">
        <f t="shared" si="18"/>
        <v>2</v>
      </c>
      <c r="G125" s="50">
        <f t="shared" si="10"/>
        <v>304</v>
      </c>
      <c r="H125" s="44">
        <f t="shared" ref="H125:L125" si="28">H19+H20+H21+H22</f>
        <v>0</v>
      </c>
      <c r="I125" s="39">
        <f t="shared" si="28"/>
        <v>1</v>
      </c>
      <c r="J125" s="39">
        <f t="shared" si="28"/>
        <v>0</v>
      </c>
      <c r="K125" s="45">
        <f t="shared" si="28"/>
        <v>0</v>
      </c>
      <c r="L125" s="144">
        <f t="shared" si="28"/>
        <v>2</v>
      </c>
      <c r="M125" s="50">
        <f t="shared" si="15"/>
        <v>1</v>
      </c>
      <c r="N125" s="40">
        <f t="shared" si="16"/>
        <v>305</v>
      </c>
      <c r="O125" s="43">
        <f t="shared" si="17"/>
        <v>248</v>
      </c>
    </row>
    <row r="126" spans="1:15" ht="22.95" customHeight="1" x14ac:dyDescent="0.3">
      <c r="A126" s="52" t="s">
        <v>27</v>
      </c>
      <c r="B126" s="44">
        <f t="shared" si="18"/>
        <v>108</v>
      </c>
      <c r="C126" s="39">
        <f t="shared" si="18"/>
        <v>153</v>
      </c>
      <c r="D126" s="39">
        <f t="shared" si="18"/>
        <v>11</v>
      </c>
      <c r="E126" s="39">
        <f t="shared" si="18"/>
        <v>3</v>
      </c>
      <c r="F126" s="39">
        <f t="shared" si="18"/>
        <v>2</v>
      </c>
      <c r="G126" s="50">
        <f t="shared" si="10"/>
        <v>277</v>
      </c>
      <c r="H126" s="44">
        <f t="shared" ref="H126:L126" si="29">H20+H21+H22+H23</f>
        <v>0</v>
      </c>
      <c r="I126" s="39">
        <f t="shared" si="29"/>
        <v>1</v>
      </c>
      <c r="J126" s="39">
        <f t="shared" si="29"/>
        <v>0</v>
      </c>
      <c r="K126" s="45">
        <f t="shared" si="29"/>
        <v>0</v>
      </c>
      <c r="L126" s="144">
        <f t="shared" si="29"/>
        <v>2</v>
      </c>
      <c r="M126" s="50">
        <f t="shared" si="15"/>
        <v>1</v>
      </c>
      <c r="N126" s="40">
        <f t="shared" si="16"/>
        <v>278</v>
      </c>
      <c r="O126" s="43">
        <f t="shared" si="17"/>
        <v>236.5</v>
      </c>
    </row>
    <row r="127" spans="1:15" ht="22.95" customHeight="1" x14ac:dyDescent="0.3">
      <c r="A127" s="52" t="s">
        <v>28</v>
      </c>
      <c r="B127" s="44">
        <f t="shared" si="18"/>
        <v>110</v>
      </c>
      <c r="C127" s="39">
        <f t="shared" si="18"/>
        <v>119</v>
      </c>
      <c r="D127" s="39">
        <f t="shared" si="18"/>
        <v>12</v>
      </c>
      <c r="E127" s="39">
        <f t="shared" si="18"/>
        <v>2</v>
      </c>
      <c r="F127" s="39">
        <f t="shared" si="18"/>
        <v>4</v>
      </c>
      <c r="G127" s="50">
        <f t="shared" si="10"/>
        <v>247</v>
      </c>
      <c r="H127" s="44">
        <f t="shared" ref="H127:L127" si="30">H21+H22+H23+H24</f>
        <v>0</v>
      </c>
      <c r="I127" s="39">
        <f t="shared" si="30"/>
        <v>1</v>
      </c>
      <c r="J127" s="39">
        <f t="shared" si="30"/>
        <v>0</v>
      </c>
      <c r="K127" s="45">
        <f t="shared" si="30"/>
        <v>0</v>
      </c>
      <c r="L127" s="144">
        <f t="shared" si="30"/>
        <v>1</v>
      </c>
      <c r="M127" s="50">
        <f t="shared" si="15"/>
        <v>1</v>
      </c>
      <c r="N127" s="40">
        <f t="shared" si="16"/>
        <v>248</v>
      </c>
      <c r="O127" s="43">
        <f t="shared" si="17"/>
        <v>221</v>
      </c>
    </row>
    <row r="128" spans="1:15" ht="22.95" customHeight="1" x14ac:dyDescent="0.3">
      <c r="A128" s="52" t="s">
        <v>29</v>
      </c>
      <c r="B128" s="44">
        <f t="shared" si="18"/>
        <v>108</v>
      </c>
      <c r="C128" s="39">
        <f t="shared" si="18"/>
        <v>81</v>
      </c>
      <c r="D128" s="39">
        <f t="shared" si="18"/>
        <v>11</v>
      </c>
      <c r="E128" s="39">
        <f t="shared" si="18"/>
        <v>2</v>
      </c>
      <c r="F128" s="39">
        <f t="shared" si="18"/>
        <v>3</v>
      </c>
      <c r="G128" s="50">
        <f t="shared" si="10"/>
        <v>205</v>
      </c>
      <c r="H128" s="44">
        <f t="shared" ref="H128:L128" si="31">H22+H23+H24+H25</f>
        <v>0</v>
      </c>
      <c r="I128" s="39">
        <f t="shared" si="31"/>
        <v>1</v>
      </c>
      <c r="J128" s="39">
        <f t="shared" si="31"/>
        <v>0</v>
      </c>
      <c r="K128" s="45">
        <f t="shared" si="31"/>
        <v>0</v>
      </c>
      <c r="L128" s="144">
        <f t="shared" si="31"/>
        <v>1</v>
      </c>
      <c r="M128" s="50">
        <f t="shared" si="15"/>
        <v>1</v>
      </c>
      <c r="N128" s="40">
        <f t="shared" si="16"/>
        <v>206</v>
      </c>
      <c r="O128" s="43">
        <f t="shared" si="17"/>
        <v>194</v>
      </c>
    </row>
    <row r="129" spans="1:15" ht="22.95" customHeight="1" x14ac:dyDescent="0.3">
      <c r="A129" s="52" t="s">
        <v>30</v>
      </c>
      <c r="B129" s="44">
        <f t="shared" si="18"/>
        <v>110</v>
      </c>
      <c r="C129" s="39">
        <f t="shared" si="18"/>
        <v>59</v>
      </c>
      <c r="D129" s="39">
        <f t="shared" si="18"/>
        <v>14</v>
      </c>
      <c r="E129" s="39">
        <f t="shared" si="18"/>
        <v>3</v>
      </c>
      <c r="F129" s="39">
        <f t="shared" si="18"/>
        <v>3</v>
      </c>
      <c r="G129" s="50">
        <f t="shared" si="10"/>
        <v>189</v>
      </c>
      <c r="H129" s="44">
        <f t="shared" ref="H129:L129" si="32">H23+H24+H25+H26</f>
        <v>0</v>
      </c>
      <c r="I129" s="39">
        <f t="shared" si="32"/>
        <v>0</v>
      </c>
      <c r="J129" s="39">
        <f t="shared" si="32"/>
        <v>0</v>
      </c>
      <c r="K129" s="45">
        <f t="shared" si="32"/>
        <v>0</v>
      </c>
      <c r="L129" s="144">
        <f t="shared" si="32"/>
        <v>1</v>
      </c>
      <c r="M129" s="50">
        <f t="shared" si="15"/>
        <v>0</v>
      </c>
      <c r="N129" s="40">
        <f t="shared" si="16"/>
        <v>189</v>
      </c>
      <c r="O129" s="43">
        <f t="shared" si="17"/>
        <v>191</v>
      </c>
    </row>
    <row r="130" spans="1:15" ht="22.95" customHeight="1" x14ac:dyDescent="0.3">
      <c r="A130" s="52" t="s">
        <v>31</v>
      </c>
      <c r="B130" s="44">
        <f t="shared" si="18"/>
        <v>104</v>
      </c>
      <c r="C130" s="39">
        <f t="shared" si="18"/>
        <v>52</v>
      </c>
      <c r="D130" s="39">
        <f t="shared" si="18"/>
        <v>12</v>
      </c>
      <c r="E130" s="39">
        <f t="shared" si="18"/>
        <v>4</v>
      </c>
      <c r="F130" s="39">
        <f t="shared" si="18"/>
        <v>2</v>
      </c>
      <c r="G130" s="50">
        <f t="shared" si="10"/>
        <v>174</v>
      </c>
      <c r="H130" s="44">
        <f t="shared" ref="H130:L130" si="33">H24+H25+H26+H27</f>
        <v>0</v>
      </c>
      <c r="I130" s="39">
        <f t="shared" si="33"/>
        <v>0</v>
      </c>
      <c r="J130" s="39">
        <f t="shared" si="33"/>
        <v>0</v>
      </c>
      <c r="K130" s="45">
        <f t="shared" si="33"/>
        <v>0</v>
      </c>
      <c r="L130" s="144">
        <f t="shared" si="33"/>
        <v>0</v>
      </c>
      <c r="M130" s="50">
        <f t="shared" si="15"/>
        <v>0</v>
      </c>
      <c r="N130" s="40">
        <f t="shared" si="16"/>
        <v>174</v>
      </c>
      <c r="O130" s="43">
        <f t="shared" si="17"/>
        <v>169</v>
      </c>
    </row>
    <row r="131" spans="1:15" ht="22.95" customHeight="1" x14ac:dyDescent="0.3">
      <c r="A131" s="52" t="s">
        <v>32</v>
      </c>
      <c r="B131" s="44">
        <f t="shared" si="18"/>
        <v>112</v>
      </c>
      <c r="C131" s="39">
        <f t="shared" si="18"/>
        <v>56</v>
      </c>
      <c r="D131" s="39">
        <f t="shared" si="18"/>
        <v>14</v>
      </c>
      <c r="E131" s="39">
        <f t="shared" si="18"/>
        <v>5</v>
      </c>
      <c r="F131" s="39">
        <f t="shared" si="18"/>
        <v>4</v>
      </c>
      <c r="G131" s="50">
        <f t="shared" si="10"/>
        <v>191</v>
      </c>
      <c r="H131" s="44">
        <f t="shared" ref="H131:L131" si="34">H25+H26+H27+H28</f>
        <v>0</v>
      </c>
      <c r="I131" s="39">
        <f t="shared" si="34"/>
        <v>0</v>
      </c>
      <c r="J131" s="39">
        <f t="shared" si="34"/>
        <v>0</v>
      </c>
      <c r="K131" s="45">
        <f t="shared" si="34"/>
        <v>0</v>
      </c>
      <c r="L131" s="144">
        <f t="shared" si="34"/>
        <v>1</v>
      </c>
      <c r="M131" s="50">
        <f t="shared" si="15"/>
        <v>0</v>
      </c>
      <c r="N131" s="40">
        <f t="shared" si="16"/>
        <v>191</v>
      </c>
      <c r="O131" s="43">
        <f t="shared" si="17"/>
        <v>202</v>
      </c>
    </row>
    <row r="132" spans="1:15" ht="22.95" customHeight="1" x14ac:dyDescent="0.3">
      <c r="A132" s="52" t="s">
        <v>33</v>
      </c>
      <c r="B132" s="44">
        <f t="shared" si="18"/>
        <v>123</v>
      </c>
      <c r="C132" s="39">
        <f t="shared" si="18"/>
        <v>57</v>
      </c>
      <c r="D132" s="39">
        <f t="shared" si="18"/>
        <v>12</v>
      </c>
      <c r="E132" s="39">
        <f t="shared" si="18"/>
        <v>4</v>
      </c>
      <c r="F132" s="39">
        <f t="shared" si="18"/>
        <v>9</v>
      </c>
      <c r="G132" s="50">
        <f t="shared" si="10"/>
        <v>205</v>
      </c>
      <c r="H132" s="44">
        <f t="shared" ref="H132:L132" si="35">H26+H27+H28+H29</f>
        <v>0</v>
      </c>
      <c r="I132" s="39">
        <f t="shared" si="35"/>
        <v>0</v>
      </c>
      <c r="J132" s="39">
        <f t="shared" si="35"/>
        <v>0</v>
      </c>
      <c r="K132" s="45">
        <f t="shared" si="35"/>
        <v>0</v>
      </c>
      <c r="L132" s="144">
        <f t="shared" si="35"/>
        <v>1</v>
      </c>
      <c r="M132" s="50">
        <f t="shared" si="15"/>
        <v>0</v>
      </c>
      <c r="N132" s="40">
        <f t="shared" si="16"/>
        <v>205</v>
      </c>
      <c r="O132" s="43">
        <f t="shared" si="17"/>
        <v>230</v>
      </c>
    </row>
    <row r="133" spans="1:15" ht="22.95" customHeight="1" x14ac:dyDescent="0.3">
      <c r="A133" s="52" t="s">
        <v>34</v>
      </c>
      <c r="B133" s="44">
        <f t="shared" si="18"/>
        <v>120</v>
      </c>
      <c r="C133" s="39">
        <f t="shared" si="18"/>
        <v>63</v>
      </c>
      <c r="D133" s="39">
        <f t="shared" si="18"/>
        <v>13</v>
      </c>
      <c r="E133" s="39">
        <f t="shared" si="18"/>
        <v>3</v>
      </c>
      <c r="F133" s="39">
        <f t="shared" si="18"/>
        <v>10</v>
      </c>
      <c r="G133" s="50">
        <f t="shared" si="10"/>
        <v>209</v>
      </c>
      <c r="H133" s="44">
        <f t="shared" ref="H133:L133" si="36">H27+H28+H29+H30</f>
        <v>0</v>
      </c>
      <c r="I133" s="39">
        <f t="shared" si="36"/>
        <v>0</v>
      </c>
      <c r="J133" s="39">
        <f t="shared" si="36"/>
        <v>0</v>
      </c>
      <c r="K133" s="45">
        <f t="shared" si="36"/>
        <v>0</v>
      </c>
      <c r="L133" s="144">
        <f t="shared" si="36"/>
        <v>1</v>
      </c>
      <c r="M133" s="50">
        <f t="shared" si="15"/>
        <v>0</v>
      </c>
      <c r="N133" s="40">
        <f t="shared" si="16"/>
        <v>209</v>
      </c>
      <c r="O133" s="43">
        <f t="shared" si="17"/>
        <v>233</v>
      </c>
    </row>
    <row r="134" spans="1:15" ht="22.95" customHeight="1" x14ac:dyDescent="0.3">
      <c r="A134" s="52" t="s">
        <v>35</v>
      </c>
      <c r="B134" s="44">
        <f t="shared" si="18"/>
        <v>118</v>
      </c>
      <c r="C134" s="39">
        <f t="shared" si="18"/>
        <v>72</v>
      </c>
      <c r="D134" s="39">
        <f t="shared" si="18"/>
        <v>12</v>
      </c>
      <c r="E134" s="39">
        <f t="shared" si="18"/>
        <v>3</v>
      </c>
      <c r="F134" s="39">
        <f t="shared" si="18"/>
        <v>12</v>
      </c>
      <c r="G134" s="50">
        <f t="shared" si="10"/>
        <v>217</v>
      </c>
      <c r="H134" s="44">
        <f t="shared" ref="H134:L134" si="37">H28+H29+H30+H31</f>
        <v>0</v>
      </c>
      <c r="I134" s="39">
        <f t="shared" si="37"/>
        <v>0</v>
      </c>
      <c r="J134" s="39">
        <f t="shared" si="37"/>
        <v>0</v>
      </c>
      <c r="K134" s="45">
        <f t="shared" si="37"/>
        <v>0</v>
      </c>
      <c r="L134" s="144">
        <f t="shared" si="37"/>
        <v>1</v>
      </c>
      <c r="M134" s="50">
        <f t="shared" si="15"/>
        <v>0</v>
      </c>
      <c r="N134" s="40">
        <f t="shared" si="16"/>
        <v>217</v>
      </c>
      <c r="O134" s="43">
        <f t="shared" si="17"/>
        <v>243</v>
      </c>
    </row>
    <row r="135" spans="1:15" ht="22.95" customHeight="1" x14ac:dyDescent="0.3">
      <c r="A135" s="52" t="s">
        <v>36</v>
      </c>
      <c r="B135" s="44">
        <f t="shared" si="18"/>
        <v>97</v>
      </c>
      <c r="C135" s="39">
        <f t="shared" si="18"/>
        <v>73</v>
      </c>
      <c r="D135" s="39">
        <f t="shared" si="18"/>
        <v>11</v>
      </c>
      <c r="E135" s="39">
        <f t="shared" si="18"/>
        <v>2</v>
      </c>
      <c r="F135" s="39">
        <f t="shared" si="18"/>
        <v>12</v>
      </c>
      <c r="G135" s="50">
        <f t="shared" si="10"/>
        <v>195</v>
      </c>
      <c r="H135" s="44">
        <f t="shared" ref="H135:L135" si="38">H29+H30+H31+H32</f>
        <v>0</v>
      </c>
      <c r="I135" s="39">
        <f t="shared" si="38"/>
        <v>0</v>
      </c>
      <c r="J135" s="39">
        <f t="shared" si="38"/>
        <v>0</v>
      </c>
      <c r="K135" s="45">
        <f t="shared" si="38"/>
        <v>0</v>
      </c>
      <c r="L135" s="144">
        <f t="shared" si="38"/>
        <v>0</v>
      </c>
      <c r="M135" s="50">
        <f t="shared" si="15"/>
        <v>0</v>
      </c>
      <c r="N135" s="40">
        <f t="shared" si="16"/>
        <v>195</v>
      </c>
      <c r="O135" s="43">
        <f t="shared" si="17"/>
        <v>210</v>
      </c>
    </row>
    <row r="136" spans="1:15" ht="22.95" customHeight="1" x14ac:dyDescent="0.3">
      <c r="A136" s="52" t="s">
        <v>37</v>
      </c>
      <c r="B136" s="44">
        <f t="shared" si="18"/>
        <v>79</v>
      </c>
      <c r="C136" s="39">
        <f t="shared" si="18"/>
        <v>77</v>
      </c>
      <c r="D136" s="39">
        <f t="shared" si="18"/>
        <v>11</v>
      </c>
      <c r="E136" s="39">
        <f t="shared" si="18"/>
        <v>2</v>
      </c>
      <c r="F136" s="39">
        <f t="shared" si="18"/>
        <v>9</v>
      </c>
      <c r="G136" s="50">
        <f t="shared" si="10"/>
        <v>178</v>
      </c>
      <c r="H136" s="44">
        <f t="shared" ref="H136:L136" si="39">H30+H31+H32+H33</f>
        <v>0</v>
      </c>
      <c r="I136" s="39">
        <f t="shared" si="39"/>
        <v>0</v>
      </c>
      <c r="J136" s="39">
        <f t="shared" si="39"/>
        <v>0</v>
      </c>
      <c r="K136" s="45">
        <f t="shared" si="39"/>
        <v>0</v>
      </c>
      <c r="L136" s="144">
        <f t="shared" si="39"/>
        <v>0</v>
      </c>
      <c r="M136" s="50">
        <f t="shared" si="15"/>
        <v>0</v>
      </c>
      <c r="N136" s="40">
        <f t="shared" si="16"/>
        <v>178</v>
      </c>
      <c r="O136" s="43">
        <f t="shared" si="17"/>
        <v>180.5</v>
      </c>
    </row>
    <row r="137" spans="1:15" ht="22.95" customHeight="1" x14ac:dyDescent="0.3">
      <c r="A137" s="52" t="s">
        <v>38</v>
      </c>
      <c r="B137" s="44">
        <f t="shared" si="18"/>
        <v>75</v>
      </c>
      <c r="C137" s="39">
        <f t="shared" si="18"/>
        <v>71</v>
      </c>
      <c r="D137" s="39">
        <f t="shared" si="18"/>
        <v>10</v>
      </c>
      <c r="E137" s="39">
        <f t="shared" si="18"/>
        <v>3</v>
      </c>
      <c r="F137" s="39">
        <f t="shared" si="18"/>
        <v>8</v>
      </c>
      <c r="G137" s="50">
        <f t="shared" si="10"/>
        <v>167</v>
      </c>
      <c r="H137" s="44">
        <f t="shared" ref="H137:L137" si="40">H31+H32+H33+H34</f>
        <v>0</v>
      </c>
      <c r="I137" s="39">
        <f t="shared" si="40"/>
        <v>0</v>
      </c>
      <c r="J137" s="39">
        <f t="shared" si="40"/>
        <v>0</v>
      </c>
      <c r="K137" s="45">
        <f t="shared" si="40"/>
        <v>0</v>
      </c>
      <c r="L137" s="144">
        <f t="shared" si="40"/>
        <v>0</v>
      </c>
      <c r="M137" s="50">
        <f t="shared" si="15"/>
        <v>0</v>
      </c>
      <c r="N137" s="40">
        <f t="shared" si="16"/>
        <v>167</v>
      </c>
      <c r="O137" s="43">
        <f t="shared" si="17"/>
        <v>170.5</v>
      </c>
    </row>
    <row r="138" spans="1:15" ht="22.95" customHeight="1" x14ac:dyDescent="0.3">
      <c r="A138" s="52" t="s">
        <v>39</v>
      </c>
      <c r="B138" s="44">
        <f t="shared" si="18"/>
        <v>70</v>
      </c>
      <c r="C138" s="39">
        <f t="shared" si="18"/>
        <v>63</v>
      </c>
      <c r="D138" s="39">
        <f t="shared" si="18"/>
        <v>11</v>
      </c>
      <c r="E138" s="39">
        <f t="shared" si="18"/>
        <v>5</v>
      </c>
      <c r="F138" s="39">
        <f t="shared" si="18"/>
        <v>7</v>
      </c>
      <c r="G138" s="50">
        <f t="shared" si="10"/>
        <v>156</v>
      </c>
      <c r="H138" s="44">
        <f t="shared" ref="H138:L138" si="41">H32+H33+H34+H35</f>
        <v>0</v>
      </c>
      <c r="I138" s="39">
        <f t="shared" si="41"/>
        <v>0</v>
      </c>
      <c r="J138" s="39">
        <f t="shared" si="41"/>
        <v>0</v>
      </c>
      <c r="K138" s="45">
        <f t="shared" si="41"/>
        <v>0</v>
      </c>
      <c r="L138" s="144">
        <f t="shared" si="41"/>
        <v>0</v>
      </c>
      <c r="M138" s="50">
        <f t="shared" si="15"/>
        <v>0</v>
      </c>
      <c r="N138" s="40">
        <f t="shared" si="16"/>
        <v>156</v>
      </c>
      <c r="O138" s="43">
        <f t="shared" si="17"/>
        <v>164.5</v>
      </c>
    </row>
    <row r="139" spans="1:15" ht="22.95" customHeight="1" x14ac:dyDescent="0.3">
      <c r="A139" s="52" t="s">
        <v>40</v>
      </c>
      <c r="B139" s="44">
        <f t="shared" si="18"/>
        <v>73</v>
      </c>
      <c r="C139" s="39">
        <f t="shared" si="18"/>
        <v>54</v>
      </c>
      <c r="D139" s="39">
        <f t="shared" si="18"/>
        <v>10</v>
      </c>
      <c r="E139" s="39">
        <f t="shared" si="18"/>
        <v>5</v>
      </c>
      <c r="F139" s="39">
        <f t="shared" si="18"/>
        <v>4</v>
      </c>
      <c r="G139" s="50">
        <f t="shared" si="10"/>
        <v>146</v>
      </c>
      <c r="H139" s="44">
        <f t="shared" ref="H139:L139" si="42">H33+H34+H35+H36</f>
        <v>0</v>
      </c>
      <c r="I139" s="39">
        <f t="shared" si="42"/>
        <v>0</v>
      </c>
      <c r="J139" s="39">
        <f t="shared" si="42"/>
        <v>0</v>
      </c>
      <c r="K139" s="45">
        <f t="shared" si="42"/>
        <v>0</v>
      </c>
      <c r="L139" s="144">
        <f t="shared" si="42"/>
        <v>0</v>
      </c>
      <c r="M139" s="50">
        <f t="shared" si="15"/>
        <v>0</v>
      </c>
      <c r="N139" s="40">
        <f t="shared" si="16"/>
        <v>146</v>
      </c>
      <c r="O139" s="43">
        <f t="shared" si="17"/>
        <v>148</v>
      </c>
    </row>
    <row r="140" spans="1:15" ht="22.95" customHeight="1" x14ac:dyDescent="0.3">
      <c r="A140" s="52" t="s">
        <v>41</v>
      </c>
      <c r="B140" s="44">
        <f t="shared" si="18"/>
        <v>73</v>
      </c>
      <c r="C140" s="39">
        <f t="shared" si="18"/>
        <v>42</v>
      </c>
      <c r="D140" s="39">
        <f t="shared" si="18"/>
        <v>8</v>
      </c>
      <c r="E140" s="39">
        <f t="shared" si="18"/>
        <v>4</v>
      </c>
      <c r="F140" s="39">
        <f t="shared" si="18"/>
        <v>4</v>
      </c>
      <c r="G140" s="50">
        <f t="shared" si="10"/>
        <v>131</v>
      </c>
      <c r="H140" s="44">
        <f t="shared" ref="H140:L140" si="43">H34+H35+H36+H37</f>
        <v>0</v>
      </c>
      <c r="I140" s="39">
        <f t="shared" si="43"/>
        <v>0</v>
      </c>
      <c r="J140" s="39">
        <f t="shared" si="43"/>
        <v>0</v>
      </c>
      <c r="K140" s="45">
        <f t="shared" si="43"/>
        <v>0</v>
      </c>
      <c r="L140" s="144">
        <f t="shared" si="43"/>
        <v>1</v>
      </c>
      <c r="M140" s="50">
        <f t="shared" si="15"/>
        <v>0</v>
      </c>
      <c r="N140" s="40">
        <f t="shared" si="16"/>
        <v>131</v>
      </c>
      <c r="O140" s="43">
        <f t="shared" si="17"/>
        <v>144</v>
      </c>
    </row>
    <row r="141" spans="1:15" ht="22.95" customHeight="1" x14ac:dyDescent="0.3">
      <c r="A141" s="52" t="s">
        <v>42</v>
      </c>
      <c r="B141" s="44">
        <f t="shared" si="18"/>
        <v>70</v>
      </c>
      <c r="C141" s="39">
        <f t="shared" si="18"/>
        <v>33</v>
      </c>
      <c r="D141" s="39">
        <f t="shared" si="18"/>
        <v>7</v>
      </c>
      <c r="E141" s="39">
        <f t="shared" si="18"/>
        <v>4</v>
      </c>
      <c r="F141" s="39">
        <f t="shared" si="18"/>
        <v>5</v>
      </c>
      <c r="G141" s="50">
        <f t="shared" si="10"/>
        <v>119</v>
      </c>
      <c r="H141" s="44">
        <f t="shared" ref="H141:L141" si="44">H35+H36+H37+H38</f>
        <v>0</v>
      </c>
      <c r="I141" s="39">
        <f t="shared" si="44"/>
        <v>0</v>
      </c>
      <c r="J141" s="39">
        <f t="shared" si="44"/>
        <v>0</v>
      </c>
      <c r="K141" s="45">
        <f t="shared" si="44"/>
        <v>0</v>
      </c>
      <c r="L141" s="144">
        <f t="shared" si="44"/>
        <v>1</v>
      </c>
      <c r="M141" s="50">
        <f t="shared" si="15"/>
        <v>0</v>
      </c>
      <c r="N141" s="40">
        <f t="shared" si="16"/>
        <v>119</v>
      </c>
      <c r="O141" s="43">
        <f t="shared" si="17"/>
        <v>139.5</v>
      </c>
    </row>
    <row r="142" spans="1:15" ht="22.95" customHeight="1" x14ac:dyDescent="0.3">
      <c r="A142" s="52" t="s">
        <v>43</v>
      </c>
      <c r="B142" s="44">
        <f t="shared" si="18"/>
        <v>69</v>
      </c>
      <c r="C142" s="39">
        <f t="shared" si="18"/>
        <v>24</v>
      </c>
      <c r="D142" s="39">
        <f t="shared" si="18"/>
        <v>7</v>
      </c>
      <c r="E142" s="39">
        <f t="shared" si="18"/>
        <v>4</v>
      </c>
      <c r="F142" s="39">
        <f t="shared" si="18"/>
        <v>7</v>
      </c>
      <c r="G142" s="50">
        <f t="shared" si="10"/>
        <v>111</v>
      </c>
      <c r="H142" s="44">
        <f t="shared" ref="H142:L142" si="45">H36+H37+H38+H39</f>
        <v>0</v>
      </c>
      <c r="I142" s="39">
        <f t="shared" si="45"/>
        <v>0</v>
      </c>
      <c r="J142" s="39">
        <f t="shared" si="45"/>
        <v>0</v>
      </c>
      <c r="K142" s="45">
        <f t="shared" si="45"/>
        <v>0</v>
      </c>
      <c r="L142" s="144">
        <f t="shared" si="45"/>
        <v>2</v>
      </c>
      <c r="M142" s="50">
        <f t="shared" si="15"/>
        <v>0</v>
      </c>
      <c r="N142" s="40">
        <f t="shared" si="16"/>
        <v>111</v>
      </c>
      <c r="O142" s="43">
        <f t="shared" si="17"/>
        <v>151</v>
      </c>
    </row>
    <row r="143" spans="1:15" ht="22.95" customHeight="1" x14ac:dyDescent="0.3">
      <c r="A143" s="52" t="s">
        <v>44</v>
      </c>
      <c r="B143" s="44">
        <f t="shared" si="18"/>
        <v>70</v>
      </c>
      <c r="C143" s="39">
        <f t="shared" si="18"/>
        <v>30</v>
      </c>
      <c r="D143" s="39">
        <f t="shared" si="18"/>
        <v>7</v>
      </c>
      <c r="E143" s="39">
        <f t="shared" si="18"/>
        <v>4</v>
      </c>
      <c r="F143" s="39">
        <f t="shared" si="18"/>
        <v>6</v>
      </c>
      <c r="G143" s="50">
        <f t="shared" si="10"/>
        <v>117</v>
      </c>
      <c r="H143" s="44">
        <f t="shared" ref="H143:L143" si="46">H37+H38+H39+H40</f>
        <v>0</v>
      </c>
      <c r="I143" s="39">
        <f t="shared" si="46"/>
        <v>0</v>
      </c>
      <c r="J143" s="39">
        <f t="shared" si="46"/>
        <v>0</v>
      </c>
      <c r="K143" s="45">
        <f t="shared" si="46"/>
        <v>0</v>
      </c>
      <c r="L143" s="144">
        <f t="shared" si="46"/>
        <v>3</v>
      </c>
      <c r="M143" s="50">
        <f t="shared" si="15"/>
        <v>0</v>
      </c>
      <c r="N143" s="40">
        <f t="shared" si="16"/>
        <v>117</v>
      </c>
      <c r="O143" s="43">
        <f t="shared" si="17"/>
        <v>158.5</v>
      </c>
    </row>
    <row r="144" spans="1:15" ht="22.95" customHeight="1" x14ac:dyDescent="0.3">
      <c r="A144" s="52" t="s">
        <v>45</v>
      </c>
      <c r="B144" s="44">
        <f t="shared" si="18"/>
        <v>74</v>
      </c>
      <c r="C144" s="39">
        <f t="shared" si="18"/>
        <v>42</v>
      </c>
      <c r="D144" s="39">
        <f t="shared" si="18"/>
        <v>9</v>
      </c>
      <c r="E144" s="39">
        <f t="shared" si="18"/>
        <v>4</v>
      </c>
      <c r="F144" s="39">
        <f t="shared" si="18"/>
        <v>4</v>
      </c>
      <c r="G144" s="50">
        <f t="shared" si="10"/>
        <v>133</v>
      </c>
      <c r="H144" s="44">
        <f t="shared" ref="H144:L144" si="47">H38+H39+H40+H41</f>
        <v>0</v>
      </c>
      <c r="I144" s="39">
        <f t="shared" si="47"/>
        <v>0</v>
      </c>
      <c r="J144" s="39">
        <f t="shared" si="47"/>
        <v>0</v>
      </c>
      <c r="K144" s="45">
        <f t="shared" si="47"/>
        <v>0</v>
      </c>
      <c r="L144" s="144">
        <f t="shared" si="47"/>
        <v>2</v>
      </c>
      <c r="M144" s="50">
        <f t="shared" si="15"/>
        <v>0</v>
      </c>
      <c r="N144" s="40">
        <f t="shared" si="16"/>
        <v>133</v>
      </c>
      <c r="O144" s="43">
        <f t="shared" si="17"/>
        <v>154.5</v>
      </c>
    </row>
    <row r="145" spans="1:15" ht="22.95" customHeight="1" x14ac:dyDescent="0.3">
      <c r="A145" s="52" t="s">
        <v>46</v>
      </c>
      <c r="B145" s="44">
        <f t="shared" si="18"/>
        <v>73</v>
      </c>
      <c r="C145" s="39">
        <f t="shared" si="18"/>
        <v>52</v>
      </c>
      <c r="D145" s="39">
        <f t="shared" si="18"/>
        <v>6</v>
      </c>
      <c r="E145" s="39">
        <f t="shared" si="18"/>
        <v>3</v>
      </c>
      <c r="F145" s="39">
        <f t="shared" si="18"/>
        <v>3</v>
      </c>
      <c r="G145" s="50">
        <f t="shared" si="10"/>
        <v>137</v>
      </c>
      <c r="H145" s="44">
        <f t="shared" ref="H145:L145" si="48">H39+H40+H41+H42</f>
        <v>0</v>
      </c>
      <c r="I145" s="39">
        <f t="shared" si="48"/>
        <v>0</v>
      </c>
      <c r="J145" s="39">
        <f t="shared" si="48"/>
        <v>0</v>
      </c>
      <c r="K145" s="45">
        <f t="shared" si="48"/>
        <v>0</v>
      </c>
      <c r="L145" s="144">
        <f t="shared" si="48"/>
        <v>4</v>
      </c>
      <c r="M145" s="50">
        <f t="shared" si="15"/>
        <v>0</v>
      </c>
      <c r="N145" s="40">
        <f t="shared" si="16"/>
        <v>137</v>
      </c>
      <c r="O145" s="43">
        <f t="shared" si="17"/>
        <v>162.5</v>
      </c>
    </row>
    <row r="146" spans="1:15" ht="22.95" customHeight="1" x14ac:dyDescent="0.3">
      <c r="A146" s="52" t="s">
        <v>47</v>
      </c>
      <c r="B146" s="44">
        <f t="shared" si="18"/>
        <v>73</v>
      </c>
      <c r="C146" s="39">
        <f t="shared" si="18"/>
        <v>57</v>
      </c>
      <c r="D146" s="39">
        <f t="shared" si="18"/>
        <v>9</v>
      </c>
      <c r="E146" s="39">
        <f t="shared" si="18"/>
        <v>1</v>
      </c>
      <c r="F146" s="39">
        <f t="shared" si="18"/>
        <v>1</v>
      </c>
      <c r="G146" s="50">
        <f t="shared" ref="G146:G177" si="49">SUM(B146:F146)</f>
        <v>141</v>
      </c>
      <c r="H146" s="44">
        <f t="shared" ref="H146:L146" si="50">H40+H41+H42+H43</f>
        <v>0</v>
      </c>
      <c r="I146" s="39">
        <f t="shared" si="50"/>
        <v>0</v>
      </c>
      <c r="J146" s="39">
        <f t="shared" si="50"/>
        <v>0</v>
      </c>
      <c r="K146" s="45">
        <f t="shared" si="50"/>
        <v>0</v>
      </c>
      <c r="L146" s="144">
        <f t="shared" si="50"/>
        <v>3</v>
      </c>
      <c r="M146" s="50">
        <f t="shared" si="15"/>
        <v>0</v>
      </c>
      <c r="N146" s="40">
        <f t="shared" si="16"/>
        <v>141</v>
      </c>
      <c r="O146" s="43">
        <f t="shared" si="17"/>
        <v>146.5</v>
      </c>
    </row>
    <row r="147" spans="1:15" ht="22.95" customHeight="1" x14ac:dyDescent="0.3">
      <c r="A147" s="52" t="s">
        <v>48</v>
      </c>
      <c r="B147" s="44">
        <f t="shared" si="18"/>
        <v>65</v>
      </c>
      <c r="C147" s="39">
        <f t="shared" si="18"/>
        <v>57</v>
      </c>
      <c r="D147" s="39">
        <f t="shared" si="18"/>
        <v>11</v>
      </c>
      <c r="E147" s="39">
        <f t="shared" si="18"/>
        <v>1</v>
      </c>
      <c r="F147" s="39">
        <f t="shared" si="18"/>
        <v>1</v>
      </c>
      <c r="G147" s="50">
        <f t="shared" si="49"/>
        <v>135</v>
      </c>
      <c r="H147" s="44">
        <f t="shared" ref="H147:L147" si="51">H41+H42+H43+H44</f>
        <v>0</v>
      </c>
      <c r="I147" s="39">
        <f t="shared" si="51"/>
        <v>0</v>
      </c>
      <c r="J147" s="39">
        <f t="shared" si="51"/>
        <v>0</v>
      </c>
      <c r="K147" s="45">
        <f t="shared" si="51"/>
        <v>0</v>
      </c>
      <c r="L147" s="144">
        <f t="shared" si="51"/>
        <v>2</v>
      </c>
      <c r="M147" s="50">
        <f t="shared" si="15"/>
        <v>0</v>
      </c>
      <c r="N147" s="40">
        <f t="shared" si="16"/>
        <v>135</v>
      </c>
      <c r="O147" s="43">
        <f t="shared" si="17"/>
        <v>133.5</v>
      </c>
    </row>
    <row r="148" spans="1:15" ht="22.95" customHeight="1" x14ac:dyDescent="0.3">
      <c r="A148" s="52" t="s">
        <v>49</v>
      </c>
      <c r="B148" s="44">
        <f t="shared" si="18"/>
        <v>66</v>
      </c>
      <c r="C148" s="39">
        <f t="shared" si="18"/>
        <v>61</v>
      </c>
      <c r="D148" s="39">
        <f t="shared" si="18"/>
        <v>10</v>
      </c>
      <c r="E148" s="39">
        <f t="shared" si="18"/>
        <v>2</v>
      </c>
      <c r="F148" s="39">
        <f t="shared" si="18"/>
        <v>1</v>
      </c>
      <c r="G148" s="50">
        <f t="shared" si="49"/>
        <v>140</v>
      </c>
      <c r="H148" s="44">
        <f t="shared" ref="H148:L148" si="52">H42+H43+H44+H45</f>
        <v>0</v>
      </c>
      <c r="I148" s="39">
        <f t="shared" si="52"/>
        <v>0</v>
      </c>
      <c r="J148" s="39">
        <f t="shared" si="52"/>
        <v>0</v>
      </c>
      <c r="K148" s="45">
        <f t="shared" si="52"/>
        <v>0</v>
      </c>
      <c r="L148" s="144">
        <f t="shared" si="52"/>
        <v>3</v>
      </c>
      <c r="M148" s="50">
        <f t="shared" si="15"/>
        <v>0</v>
      </c>
      <c r="N148" s="40">
        <f t="shared" si="16"/>
        <v>140</v>
      </c>
      <c r="O148" s="43">
        <f t="shared" si="17"/>
        <v>146</v>
      </c>
    </row>
    <row r="149" spans="1:15" ht="22.95" customHeight="1" x14ac:dyDescent="0.3">
      <c r="A149" s="52" t="s">
        <v>50</v>
      </c>
      <c r="B149" s="44">
        <f t="shared" si="18"/>
        <v>67</v>
      </c>
      <c r="C149" s="39">
        <f t="shared" si="18"/>
        <v>72</v>
      </c>
      <c r="D149" s="39">
        <f t="shared" si="18"/>
        <v>16</v>
      </c>
      <c r="E149" s="39">
        <f t="shared" si="18"/>
        <v>3</v>
      </c>
      <c r="F149" s="39">
        <f t="shared" si="18"/>
        <v>3</v>
      </c>
      <c r="G149" s="50">
        <f t="shared" si="49"/>
        <v>161</v>
      </c>
      <c r="H149" s="44">
        <f t="shared" ref="H149:L149" si="53">H43+H44+H45+H46</f>
        <v>0</v>
      </c>
      <c r="I149" s="39">
        <f t="shared" si="53"/>
        <v>0</v>
      </c>
      <c r="J149" s="39">
        <f t="shared" si="53"/>
        <v>0</v>
      </c>
      <c r="K149" s="45">
        <f t="shared" si="53"/>
        <v>0</v>
      </c>
      <c r="L149" s="144">
        <f t="shared" si="53"/>
        <v>1</v>
      </c>
      <c r="M149" s="50">
        <f t="shared" si="15"/>
        <v>0</v>
      </c>
      <c r="N149" s="40">
        <f t="shared" si="16"/>
        <v>161</v>
      </c>
      <c r="O149" s="43">
        <f t="shared" si="17"/>
        <v>157.5</v>
      </c>
    </row>
    <row r="150" spans="1:15" ht="22.95" customHeight="1" x14ac:dyDescent="0.3">
      <c r="A150" s="52" t="s">
        <v>51</v>
      </c>
      <c r="B150" s="44">
        <f t="shared" si="18"/>
        <v>62</v>
      </c>
      <c r="C150" s="39">
        <f t="shared" si="18"/>
        <v>80</v>
      </c>
      <c r="D150" s="39">
        <f t="shared" si="18"/>
        <v>14</v>
      </c>
      <c r="E150" s="39">
        <f t="shared" si="18"/>
        <v>2</v>
      </c>
      <c r="F150" s="39">
        <f t="shared" si="18"/>
        <v>2</v>
      </c>
      <c r="G150" s="50">
        <f t="shared" si="49"/>
        <v>160</v>
      </c>
      <c r="H150" s="44">
        <f t="shared" ref="H150:L150" si="54">H44+H45+H46+H47</f>
        <v>0</v>
      </c>
      <c r="I150" s="39">
        <f t="shared" si="54"/>
        <v>0</v>
      </c>
      <c r="J150" s="39">
        <f t="shared" si="54"/>
        <v>0</v>
      </c>
      <c r="K150" s="45">
        <f t="shared" si="54"/>
        <v>0</v>
      </c>
      <c r="L150" s="144">
        <f t="shared" si="54"/>
        <v>1</v>
      </c>
      <c r="M150" s="50">
        <f t="shared" si="15"/>
        <v>0</v>
      </c>
      <c r="N150" s="40">
        <f t="shared" si="16"/>
        <v>160</v>
      </c>
      <c r="O150" s="43">
        <f t="shared" si="17"/>
        <v>146</v>
      </c>
    </row>
    <row r="151" spans="1:15" ht="22.95" customHeight="1" x14ac:dyDescent="0.3">
      <c r="A151" s="52" t="s">
        <v>52</v>
      </c>
      <c r="B151" s="44">
        <f t="shared" si="18"/>
        <v>83</v>
      </c>
      <c r="C151" s="39">
        <f t="shared" si="18"/>
        <v>74</v>
      </c>
      <c r="D151" s="39">
        <f t="shared" si="18"/>
        <v>16</v>
      </c>
      <c r="E151" s="39">
        <f t="shared" si="18"/>
        <v>2</v>
      </c>
      <c r="F151" s="39">
        <f t="shared" si="18"/>
        <v>2</v>
      </c>
      <c r="G151" s="50">
        <f t="shared" si="49"/>
        <v>177</v>
      </c>
      <c r="H151" s="44">
        <f t="shared" ref="H151:L151" si="55">H45+H46+H47+H48</f>
        <v>0</v>
      </c>
      <c r="I151" s="39">
        <f t="shared" si="55"/>
        <v>0</v>
      </c>
      <c r="J151" s="39">
        <f t="shared" si="55"/>
        <v>0</v>
      </c>
      <c r="K151" s="45">
        <f t="shared" si="55"/>
        <v>0</v>
      </c>
      <c r="L151" s="144">
        <f t="shared" si="55"/>
        <v>2</v>
      </c>
      <c r="M151" s="50">
        <f t="shared" si="15"/>
        <v>0</v>
      </c>
      <c r="N151" s="40">
        <f t="shared" si="16"/>
        <v>177</v>
      </c>
      <c r="O151" s="43">
        <f t="shared" si="17"/>
        <v>175</v>
      </c>
    </row>
    <row r="152" spans="1:15" ht="22.95" customHeight="1" x14ac:dyDescent="0.3">
      <c r="A152" s="52" t="s">
        <v>53</v>
      </c>
      <c r="B152" s="44">
        <f t="shared" si="18"/>
        <v>84</v>
      </c>
      <c r="C152" s="39">
        <f t="shared" si="18"/>
        <v>92</v>
      </c>
      <c r="D152" s="39">
        <f t="shared" si="18"/>
        <v>22</v>
      </c>
      <c r="E152" s="39">
        <f t="shared" si="18"/>
        <v>1</v>
      </c>
      <c r="F152" s="39">
        <f t="shared" si="18"/>
        <v>3</v>
      </c>
      <c r="G152" s="50">
        <f t="shared" si="49"/>
        <v>202</v>
      </c>
      <c r="H152" s="44">
        <f t="shared" ref="H152:L152" si="56">H46+H47+H48+H49</f>
        <v>0</v>
      </c>
      <c r="I152" s="39">
        <f t="shared" si="56"/>
        <v>0</v>
      </c>
      <c r="J152" s="39">
        <f t="shared" si="56"/>
        <v>0</v>
      </c>
      <c r="K152" s="45">
        <f t="shared" si="56"/>
        <v>0</v>
      </c>
      <c r="L152" s="144">
        <f t="shared" si="56"/>
        <v>2</v>
      </c>
      <c r="M152" s="50">
        <f t="shared" si="15"/>
        <v>0</v>
      </c>
      <c r="N152" s="40">
        <f t="shared" si="16"/>
        <v>202</v>
      </c>
      <c r="O152" s="43">
        <f t="shared" si="17"/>
        <v>195.5</v>
      </c>
    </row>
    <row r="153" spans="1:15" ht="22.95" customHeight="1" x14ac:dyDescent="0.3">
      <c r="A153" s="52" t="s">
        <v>54</v>
      </c>
      <c r="B153" s="44">
        <f t="shared" si="18"/>
        <v>77</v>
      </c>
      <c r="C153" s="39">
        <f t="shared" si="18"/>
        <v>99</v>
      </c>
      <c r="D153" s="39">
        <f t="shared" si="18"/>
        <v>18</v>
      </c>
      <c r="E153" s="39">
        <f t="shared" si="18"/>
        <v>0</v>
      </c>
      <c r="F153" s="39">
        <f t="shared" si="18"/>
        <v>5</v>
      </c>
      <c r="G153" s="50">
        <f t="shared" si="49"/>
        <v>199</v>
      </c>
      <c r="H153" s="44">
        <f t="shared" ref="H153:L153" si="57">H47+H48+H49+H50</f>
        <v>0</v>
      </c>
      <c r="I153" s="39">
        <f t="shared" si="57"/>
        <v>0</v>
      </c>
      <c r="J153" s="39">
        <f t="shared" si="57"/>
        <v>0</v>
      </c>
      <c r="K153" s="45">
        <f t="shared" si="57"/>
        <v>0</v>
      </c>
      <c r="L153" s="144">
        <f t="shared" si="57"/>
        <v>3</v>
      </c>
      <c r="M153" s="50">
        <f t="shared" si="15"/>
        <v>0</v>
      </c>
      <c r="N153" s="40">
        <f t="shared" si="16"/>
        <v>199</v>
      </c>
      <c r="O153" s="43">
        <f t="shared" si="17"/>
        <v>200</v>
      </c>
    </row>
    <row r="154" spans="1:15" ht="22.95" customHeight="1" x14ac:dyDescent="0.3">
      <c r="A154" s="52" t="s">
        <v>55</v>
      </c>
      <c r="B154" s="44">
        <f t="shared" si="18"/>
        <v>81</v>
      </c>
      <c r="C154" s="39">
        <f t="shared" si="18"/>
        <v>93</v>
      </c>
      <c r="D154" s="39">
        <f t="shared" ref="C154:F169" si="58">D48+D49+D50+D51</f>
        <v>16</v>
      </c>
      <c r="E154" s="39">
        <f t="shared" si="58"/>
        <v>1</v>
      </c>
      <c r="F154" s="39">
        <f t="shared" si="58"/>
        <v>5</v>
      </c>
      <c r="G154" s="50">
        <f t="shared" si="49"/>
        <v>196</v>
      </c>
      <c r="H154" s="44">
        <f t="shared" ref="H154:L154" si="59">H48+H49+H50+H51</f>
        <v>0</v>
      </c>
      <c r="I154" s="39">
        <f t="shared" si="59"/>
        <v>0</v>
      </c>
      <c r="J154" s="39">
        <f t="shared" si="59"/>
        <v>0</v>
      </c>
      <c r="K154" s="45">
        <f t="shared" si="59"/>
        <v>0</v>
      </c>
      <c r="L154" s="144">
        <f t="shared" si="59"/>
        <v>5</v>
      </c>
      <c r="M154" s="50">
        <f t="shared" si="15"/>
        <v>0</v>
      </c>
      <c r="N154" s="40">
        <f t="shared" si="16"/>
        <v>196</v>
      </c>
      <c r="O154" s="43">
        <f t="shared" si="17"/>
        <v>217</v>
      </c>
    </row>
    <row r="155" spans="1:15" ht="22.95" customHeight="1" x14ac:dyDescent="0.3">
      <c r="A155" s="52" t="s">
        <v>56</v>
      </c>
      <c r="B155" s="44">
        <f t="shared" si="18"/>
        <v>68</v>
      </c>
      <c r="C155" s="39">
        <f t="shared" si="58"/>
        <v>105</v>
      </c>
      <c r="D155" s="39">
        <f t="shared" si="58"/>
        <v>11</v>
      </c>
      <c r="E155" s="39">
        <f t="shared" si="58"/>
        <v>1</v>
      </c>
      <c r="F155" s="39">
        <f t="shared" si="58"/>
        <v>5</v>
      </c>
      <c r="G155" s="50">
        <f t="shared" si="49"/>
        <v>190</v>
      </c>
      <c r="H155" s="44">
        <f t="shared" ref="H155:L155" si="60">H49+H50+H51+H52</f>
        <v>0</v>
      </c>
      <c r="I155" s="39">
        <f t="shared" si="60"/>
        <v>0</v>
      </c>
      <c r="J155" s="39">
        <f t="shared" si="60"/>
        <v>0</v>
      </c>
      <c r="K155" s="45">
        <f t="shared" si="60"/>
        <v>0</v>
      </c>
      <c r="L155" s="144">
        <f t="shared" si="60"/>
        <v>4</v>
      </c>
      <c r="M155" s="50">
        <f t="shared" si="15"/>
        <v>0</v>
      </c>
      <c r="N155" s="40">
        <f t="shared" si="16"/>
        <v>190</v>
      </c>
      <c r="O155" s="43">
        <f t="shared" si="17"/>
        <v>194.5</v>
      </c>
    </row>
    <row r="156" spans="1:15" ht="22.95" customHeight="1" x14ac:dyDescent="0.3">
      <c r="A156" s="52" t="s">
        <v>57</v>
      </c>
      <c r="B156" s="44">
        <f t="shared" si="18"/>
        <v>57</v>
      </c>
      <c r="C156" s="39">
        <f t="shared" si="58"/>
        <v>100</v>
      </c>
      <c r="D156" s="39">
        <f t="shared" si="58"/>
        <v>9</v>
      </c>
      <c r="E156" s="39">
        <f t="shared" si="58"/>
        <v>1</v>
      </c>
      <c r="F156" s="39">
        <f t="shared" si="58"/>
        <v>6</v>
      </c>
      <c r="G156" s="50">
        <f t="shared" si="49"/>
        <v>173</v>
      </c>
      <c r="H156" s="44">
        <f t="shared" ref="H156:L156" si="61">H50+H51+H52+H53</f>
        <v>1</v>
      </c>
      <c r="I156" s="39">
        <f t="shared" si="61"/>
        <v>0</v>
      </c>
      <c r="J156" s="39">
        <f t="shared" si="61"/>
        <v>0</v>
      </c>
      <c r="K156" s="45">
        <f t="shared" si="61"/>
        <v>0</v>
      </c>
      <c r="L156" s="144">
        <f t="shared" si="61"/>
        <v>4</v>
      </c>
      <c r="M156" s="50">
        <f t="shared" si="15"/>
        <v>1</v>
      </c>
      <c r="N156" s="40">
        <f t="shared" si="16"/>
        <v>174</v>
      </c>
      <c r="O156" s="43">
        <f t="shared" si="17"/>
        <v>183</v>
      </c>
    </row>
    <row r="157" spans="1:15" ht="22.95" customHeight="1" x14ac:dyDescent="0.3">
      <c r="A157" s="52" t="s">
        <v>58</v>
      </c>
      <c r="B157" s="44">
        <f t="shared" si="18"/>
        <v>59</v>
      </c>
      <c r="C157" s="39">
        <f t="shared" si="58"/>
        <v>100</v>
      </c>
      <c r="D157" s="39">
        <f t="shared" si="58"/>
        <v>7</v>
      </c>
      <c r="E157" s="39">
        <f t="shared" si="58"/>
        <v>1</v>
      </c>
      <c r="F157" s="39">
        <f t="shared" si="58"/>
        <v>2</v>
      </c>
      <c r="G157" s="50">
        <f t="shared" si="49"/>
        <v>169</v>
      </c>
      <c r="H157" s="44">
        <f t="shared" ref="H157:L157" si="62">H51+H52+H53+H54</f>
        <v>2</v>
      </c>
      <c r="I157" s="39">
        <f t="shared" si="62"/>
        <v>0</v>
      </c>
      <c r="J157" s="39">
        <f t="shared" si="62"/>
        <v>0</v>
      </c>
      <c r="K157" s="45">
        <f t="shared" si="62"/>
        <v>0</v>
      </c>
      <c r="L157" s="144">
        <f t="shared" si="62"/>
        <v>4</v>
      </c>
      <c r="M157" s="50">
        <f t="shared" si="15"/>
        <v>2</v>
      </c>
      <c r="N157" s="40">
        <f t="shared" si="16"/>
        <v>171</v>
      </c>
      <c r="O157" s="43">
        <f t="shared" si="17"/>
        <v>164.5</v>
      </c>
    </row>
    <row r="158" spans="1:15" ht="22.95" customHeight="1" x14ac:dyDescent="0.3">
      <c r="A158" s="52" t="s">
        <v>59</v>
      </c>
      <c r="B158" s="44">
        <f t="shared" si="18"/>
        <v>59</v>
      </c>
      <c r="C158" s="39">
        <f t="shared" si="58"/>
        <v>106</v>
      </c>
      <c r="D158" s="39">
        <f t="shared" si="58"/>
        <v>8</v>
      </c>
      <c r="E158" s="39">
        <f t="shared" si="58"/>
        <v>1</v>
      </c>
      <c r="F158" s="39">
        <f t="shared" si="58"/>
        <v>3</v>
      </c>
      <c r="G158" s="50">
        <f t="shared" si="49"/>
        <v>177</v>
      </c>
      <c r="H158" s="44">
        <f t="shared" ref="H158:L158" si="63">H52+H53+H54+H55</f>
        <v>2</v>
      </c>
      <c r="I158" s="39">
        <f t="shared" si="63"/>
        <v>0</v>
      </c>
      <c r="J158" s="39">
        <f t="shared" si="63"/>
        <v>0</v>
      </c>
      <c r="K158" s="45">
        <f t="shared" si="63"/>
        <v>0</v>
      </c>
      <c r="L158" s="144">
        <f t="shared" si="63"/>
        <v>2</v>
      </c>
      <c r="M158" s="50">
        <f t="shared" si="15"/>
        <v>2</v>
      </c>
      <c r="N158" s="40">
        <f t="shared" si="16"/>
        <v>179</v>
      </c>
      <c r="O158" s="43">
        <f t="shared" si="17"/>
        <v>157.5</v>
      </c>
    </row>
    <row r="159" spans="1:15" ht="22.95" customHeight="1" x14ac:dyDescent="0.3">
      <c r="A159" s="52" t="s">
        <v>77</v>
      </c>
      <c r="B159" s="44">
        <f t="shared" si="18"/>
        <v>45</v>
      </c>
      <c r="C159" s="39">
        <f t="shared" si="58"/>
        <v>101</v>
      </c>
      <c r="D159" s="39">
        <f t="shared" si="58"/>
        <v>8</v>
      </c>
      <c r="E159" s="39">
        <f t="shared" si="58"/>
        <v>2</v>
      </c>
      <c r="F159" s="39">
        <f t="shared" si="58"/>
        <v>3</v>
      </c>
      <c r="G159" s="50">
        <f t="shared" si="49"/>
        <v>159</v>
      </c>
      <c r="H159" s="44">
        <f t="shared" ref="H159:L159" si="64">H53+H54+H55+H56</f>
        <v>2</v>
      </c>
      <c r="I159" s="39">
        <f t="shared" si="64"/>
        <v>0</v>
      </c>
      <c r="J159" s="39">
        <f t="shared" si="64"/>
        <v>0</v>
      </c>
      <c r="K159" s="45">
        <f t="shared" si="64"/>
        <v>0</v>
      </c>
      <c r="L159" s="144">
        <f t="shared" si="64"/>
        <v>2</v>
      </c>
      <c r="M159" s="50">
        <f t="shared" si="15"/>
        <v>2</v>
      </c>
      <c r="N159" s="40">
        <f t="shared" si="16"/>
        <v>161</v>
      </c>
      <c r="O159" s="43">
        <f t="shared" si="17"/>
        <v>144</v>
      </c>
    </row>
    <row r="160" spans="1:15" ht="22.95" customHeight="1" x14ac:dyDescent="0.3">
      <c r="A160" s="52" t="s">
        <v>75</v>
      </c>
      <c r="B160" s="44">
        <f t="shared" si="18"/>
        <v>43</v>
      </c>
      <c r="C160" s="39">
        <f t="shared" si="58"/>
        <v>85</v>
      </c>
      <c r="D160" s="39">
        <f t="shared" si="58"/>
        <v>3</v>
      </c>
      <c r="E160" s="39">
        <f t="shared" si="58"/>
        <v>3</v>
      </c>
      <c r="F160" s="39">
        <f t="shared" si="58"/>
        <v>3</v>
      </c>
      <c r="G160" s="50">
        <f t="shared" si="49"/>
        <v>137</v>
      </c>
      <c r="H160" s="44">
        <f t="shared" ref="H160:L160" si="65">H54+H55+H56+H57</f>
        <v>1</v>
      </c>
      <c r="I160" s="39">
        <f t="shared" si="65"/>
        <v>0</v>
      </c>
      <c r="J160" s="39">
        <f t="shared" si="65"/>
        <v>0</v>
      </c>
      <c r="K160" s="45">
        <f t="shared" si="65"/>
        <v>0</v>
      </c>
      <c r="L160" s="144">
        <f t="shared" si="65"/>
        <v>1</v>
      </c>
      <c r="M160" s="50">
        <f t="shared" si="15"/>
        <v>1</v>
      </c>
      <c r="N160" s="40">
        <f t="shared" si="16"/>
        <v>138</v>
      </c>
      <c r="O160" s="43">
        <f t="shared" si="17"/>
        <v>121</v>
      </c>
    </row>
    <row r="161" spans="1:15" ht="22.95" customHeight="1" x14ac:dyDescent="0.3">
      <c r="A161" s="52" t="s">
        <v>76</v>
      </c>
      <c r="B161" s="44">
        <f t="shared" si="18"/>
        <v>48</v>
      </c>
      <c r="C161" s="39">
        <f t="shared" si="58"/>
        <v>59</v>
      </c>
      <c r="D161" s="39">
        <f t="shared" si="58"/>
        <v>5</v>
      </c>
      <c r="E161" s="39">
        <f t="shared" si="58"/>
        <v>4</v>
      </c>
      <c r="F161" s="39">
        <f t="shared" si="58"/>
        <v>5</v>
      </c>
      <c r="G161" s="50">
        <f t="shared" si="49"/>
        <v>121</v>
      </c>
      <c r="H161" s="44">
        <f t="shared" ref="H161:L161" si="66">H55+H56+H57+H58</f>
        <v>0</v>
      </c>
      <c r="I161" s="39">
        <f t="shared" si="66"/>
        <v>0</v>
      </c>
      <c r="J161" s="39">
        <f t="shared" si="66"/>
        <v>0</v>
      </c>
      <c r="K161" s="45">
        <f t="shared" si="66"/>
        <v>0</v>
      </c>
      <c r="L161" s="144">
        <f t="shared" si="66"/>
        <v>1</v>
      </c>
      <c r="M161" s="50">
        <f t="shared" si="15"/>
        <v>0</v>
      </c>
      <c r="N161" s="40">
        <f t="shared" si="16"/>
        <v>121</v>
      </c>
      <c r="O161" s="43">
        <f t="shared" si="17"/>
        <v>127.5</v>
      </c>
    </row>
    <row r="162" spans="1:15" ht="22.95" customHeight="1" x14ac:dyDescent="0.3">
      <c r="A162" s="52" t="s">
        <v>70</v>
      </c>
      <c r="B162" s="44">
        <f t="shared" si="18"/>
        <v>42</v>
      </c>
      <c r="C162" s="39">
        <f t="shared" si="58"/>
        <v>54</v>
      </c>
      <c r="D162" s="39">
        <f t="shared" si="58"/>
        <v>3</v>
      </c>
      <c r="E162" s="39">
        <f t="shared" si="58"/>
        <v>5</v>
      </c>
      <c r="F162" s="39">
        <f t="shared" si="58"/>
        <v>5</v>
      </c>
      <c r="G162" s="50">
        <f t="shared" si="49"/>
        <v>109</v>
      </c>
      <c r="H162" s="44">
        <f t="shared" ref="H162:L162" si="67">H56+H57+H58+H59</f>
        <v>0</v>
      </c>
      <c r="I162" s="39">
        <f t="shared" si="67"/>
        <v>0</v>
      </c>
      <c r="J162" s="39">
        <f t="shared" si="67"/>
        <v>0</v>
      </c>
      <c r="K162" s="45">
        <f t="shared" si="67"/>
        <v>0</v>
      </c>
      <c r="L162" s="144">
        <f t="shared" si="67"/>
        <v>1</v>
      </c>
      <c r="M162" s="50">
        <f t="shared" si="15"/>
        <v>0</v>
      </c>
      <c r="N162" s="40">
        <f t="shared" si="16"/>
        <v>109</v>
      </c>
      <c r="O162" s="43">
        <f t="shared" si="17"/>
        <v>119</v>
      </c>
    </row>
    <row r="163" spans="1:15" ht="22.95" customHeight="1" x14ac:dyDescent="0.3">
      <c r="A163" s="52" t="s">
        <v>71</v>
      </c>
      <c r="B163" s="44">
        <f t="shared" si="18"/>
        <v>44</v>
      </c>
      <c r="C163" s="39">
        <f t="shared" si="58"/>
        <v>49</v>
      </c>
      <c r="D163" s="39">
        <f t="shared" si="58"/>
        <v>3</v>
      </c>
      <c r="E163" s="39">
        <f t="shared" si="58"/>
        <v>5</v>
      </c>
      <c r="F163" s="39">
        <f t="shared" si="58"/>
        <v>5</v>
      </c>
      <c r="G163" s="50">
        <f t="shared" si="49"/>
        <v>106</v>
      </c>
      <c r="H163" s="44">
        <f t="shared" ref="H163:L163" si="68">H57+H58+H59+H60</f>
        <v>0</v>
      </c>
      <c r="I163" s="39">
        <f t="shared" si="68"/>
        <v>0</v>
      </c>
      <c r="J163" s="39">
        <f t="shared" si="68"/>
        <v>0</v>
      </c>
      <c r="K163" s="45">
        <f t="shared" si="68"/>
        <v>0</v>
      </c>
      <c r="L163" s="144">
        <f t="shared" si="68"/>
        <v>2</v>
      </c>
      <c r="M163" s="50">
        <f t="shared" si="15"/>
        <v>0</v>
      </c>
      <c r="N163" s="40">
        <f t="shared" si="16"/>
        <v>106</v>
      </c>
      <c r="O163" s="43">
        <f t="shared" si="17"/>
        <v>126.5</v>
      </c>
    </row>
    <row r="164" spans="1:15" ht="22.95" customHeight="1" x14ac:dyDescent="0.3">
      <c r="A164" s="52" t="s">
        <v>72</v>
      </c>
      <c r="B164" s="44">
        <f t="shared" si="18"/>
        <v>42</v>
      </c>
      <c r="C164" s="39">
        <f t="shared" si="58"/>
        <v>44</v>
      </c>
      <c r="D164" s="39">
        <f t="shared" si="58"/>
        <v>3</v>
      </c>
      <c r="E164" s="39">
        <f t="shared" si="58"/>
        <v>4</v>
      </c>
      <c r="F164" s="39">
        <f t="shared" si="58"/>
        <v>4</v>
      </c>
      <c r="G164" s="50">
        <f t="shared" si="49"/>
        <v>97</v>
      </c>
      <c r="H164" s="44">
        <f t="shared" ref="H164:L164" si="69">H58+H59+H60+H61</f>
        <v>0</v>
      </c>
      <c r="I164" s="39">
        <f t="shared" si="69"/>
        <v>0</v>
      </c>
      <c r="J164" s="39">
        <f t="shared" si="69"/>
        <v>0</v>
      </c>
      <c r="K164" s="45">
        <f t="shared" si="69"/>
        <v>0</v>
      </c>
      <c r="L164" s="144">
        <f t="shared" si="69"/>
        <v>2</v>
      </c>
      <c r="M164" s="50">
        <f t="shared" si="15"/>
        <v>0</v>
      </c>
      <c r="N164" s="40">
        <f t="shared" si="16"/>
        <v>97</v>
      </c>
      <c r="O164" s="43">
        <f t="shared" si="17"/>
        <v>114.5</v>
      </c>
    </row>
    <row r="165" spans="1:15" ht="22.95" customHeight="1" x14ac:dyDescent="0.3">
      <c r="A165" s="52" t="s">
        <v>73</v>
      </c>
      <c r="B165" s="44">
        <f t="shared" si="18"/>
        <v>30</v>
      </c>
      <c r="C165" s="39">
        <f t="shared" si="58"/>
        <v>44</v>
      </c>
      <c r="D165" s="39">
        <f t="shared" si="58"/>
        <v>1</v>
      </c>
      <c r="E165" s="39">
        <f t="shared" si="58"/>
        <v>3</v>
      </c>
      <c r="F165" s="39">
        <f t="shared" si="58"/>
        <v>3</v>
      </c>
      <c r="G165" s="50">
        <f t="shared" si="49"/>
        <v>81</v>
      </c>
      <c r="H165" s="44">
        <f t="shared" ref="H165:L165" si="70">H59+H60+H61+H62</f>
        <v>0</v>
      </c>
      <c r="I165" s="39">
        <f t="shared" si="70"/>
        <v>0</v>
      </c>
      <c r="J165" s="39">
        <f t="shared" si="70"/>
        <v>0</v>
      </c>
      <c r="K165" s="45">
        <f t="shared" si="70"/>
        <v>0</v>
      </c>
      <c r="L165" s="144">
        <f t="shared" si="70"/>
        <v>1</v>
      </c>
      <c r="M165" s="50">
        <f t="shared" si="15"/>
        <v>0</v>
      </c>
      <c r="N165" s="40">
        <f t="shared" si="16"/>
        <v>81</v>
      </c>
      <c r="O165" s="43">
        <f t="shared" si="17"/>
        <v>84</v>
      </c>
    </row>
    <row r="166" spans="1:15" ht="22.95" customHeight="1" x14ac:dyDescent="0.3">
      <c r="A166" s="52" t="s">
        <v>74</v>
      </c>
      <c r="B166" s="44">
        <f t="shared" si="18"/>
        <v>25</v>
      </c>
      <c r="C166" s="39">
        <f t="shared" si="58"/>
        <v>38</v>
      </c>
      <c r="D166" s="39">
        <f t="shared" si="58"/>
        <v>1</v>
      </c>
      <c r="E166" s="39">
        <f t="shared" si="58"/>
        <v>1</v>
      </c>
      <c r="F166" s="39">
        <f t="shared" si="58"/>
        <v>2</v>
      </c>
      <c r="G166" s="50">
        <f t="shared" si="49"/>
        <v>67</v>
      </c>
      <c r="H166" s="44">
        <f t="shared" ref="H166:L166" si="71">H60+H61+H62+H63</f>
        <v>0</v>
      </c>
      <c r="I166" s="39">
        <f t="shared" si="71"/>
        <v>0</v>
      </c>
      <c r="J166" s="39">
        <f t="shared" si="71"/>
        <v>0</v>
      </c>
      <c r="K166" s="45">
        <f t="shared" si="71"/>
        <v>0</v>
      </c>
      <c r="L166" s="144">
        <f t="shared" si="71"/>
        <v>1</v>
      </c>
      <c r="M166" s="50">
        <f t="shared" si="15"/>
        <v>0</v>
      </c>
      <c r="N166" s="40">
        <f t="shared" si="16"/>
        <v>67</v>
      </c>
      <c r="O166" s="43">
        <f t="shared" si="17"/>
        <v>65.5</v>
      </c>
    </row>
    <row r="167" spans="1:15" ht="22.95" customHeight="1" x14ac:dyDescent="0.3">
      <c r="A167" s="52" t="s">
        <v>262</v>
      </c>
      <c r="B167" s="44">
        <f t="shared" si="18"/>
        <v>16</v>
      </c>
      <c r="C167" s="39">
        <f t="shared" si="58"/>
        <v>27</v>
      </c>
      <c r="D167" s="39">
        <f t="shared" si="58"/>
        <v>1</v>
      </c>
      <c r="E167" s="39">
        <f t="shared" si="58"/>
        <v>0</v>
      </c>
      <c r="F167" s="39">
        <f t="shared" si="58"/>
        <v>2</v>
      </c>
      <c r="G167" s="50">
        <f t="shared" si="49"/>
        <v>46</v>
      </c>
      <c r="H167" s="44">
        <f t="shared" ref="H167:L167" si="72">H61+H62+H63+H64</f>
        <v>0</v>
      </c>
      <c r="I167" s="39">
        <f t="shared" si="72"/>
        <v>0</v>
      </c>
      <c r="J167" s="39">
        <f t="shared" si="72"/>
        <v>0</v>
      </c>
      <c r="K167" s="45">
        <f t="shared" si="72"/>
        <v>0</v>
      </c>
      <c r="L167" s="144">
        <f t="shared" si="72"/>
        <v>0</v>
      </c>
      <c r="M167" s="50">
        <f t="shared" si="15"/>
        <v>0</v>
      </c>
      <c r="N167" s="40">
        <f t="shared" si="16"/>
        <v>46</v>
      </c>
      <c r="O167" s="43">
        <f t="shared" si="17"/>
        <v>40</v>
      </c>
    </row>
    <row r="168" spans="1:15" ht="22.95" customHeight="1" x14ac:dyDescent="0.3">
      <c r="A168" s="52" t="s">
        <v>263</v>
      </c>
      <c r="B168" s="44">
        <f t="shared" si="18"/>
        <v>9</v>
      </c>
      <c r="C168" s="39">
        <f t="shared" si="58"/>
        <v>17</v>
      </c>
      <c r="D168" s="39">
        <f t="shared" si="58"/>
        <v>1</v>
      </c>
      <c r="E168" s="39">
        <f t="shared" si="58"/>
        <v>0</v>
      </c>
      <c r="F168" s="39">
        <f t="shared" si="58"/>
        <v>1</v>
      </c>
      <c r="G168" s="50">
        <f t="shared" si="49"/>
        <v>28</v>
      </c>
      <c r="H168" s="44">
        <f t="shared" ref="H168:L168" si="73">H62+H63+H64+H65</f>
        <v>0</v>
      </c>
      <c r="I168" s="39">
        <f t="shared" si="73"/>
        <v>0</v>
      </c>
      <c r="J168" s="39">
        <f t="shared" si="73"/>
        <v>0</v>
      </c>
      <c r="K168" s="45">
        <f t="shared" si="73"/>
        <v>0</v>
      </c>
      <c r="L168" s="144">
        <f t="shared" si="73"/>
        <v>0</v>
      </c>
      <c r="M168" s="50">
        <f t="shared" si="15"/>
        <v>0</v>
      </c>
      <c r="N168" s="40">
        <f t="shared" si="16"/>
        <v>28</v>
      </c>
      <c r="O168" s="43">
        <f t="shared" si="17"/>
        <v>23.5</v>
      </c>
    </row>
    <row r="169" spans="1:15" ht="22.95" customHeight="1" x14ac:dyDescent="0.3">
      <c r="A169" s="52" t="s">
        <v>264</v>
      </c>
      <c r="B169" s="44">
        <f t="shared" si="18"/>
        <v>10</v>
      </c>
      <c r="C169" s="39">
        <f t="shared" si="58"/>
        <v>14</v>
      </c>
      <c r="D169" s="39">
        <f t="shared" si="58"/>
        <v>1</v>
      </c>
      <c r="E169" s="39">
        <f t="shared" si="58"/>
        <v>0</v>
      </c>
      <c r="F169" s="39">
        <f t="shared" si="58"/>
        <v>0</v>
      </c>
      <c r="G169" s="50">
        <f t="shared" si="49"/>
        <v>25</v>
      </c>
      <c r="H169" s="44">
        <f t="shared" ref="H169:L169" si="74">H63+H64+H65+H66</f>
        <v>0</v>
      </c>
      <c r="I169" s="39">
        <f t="shared" si="74"/>
        <v>0</v>
      </c>
      <c r="J169" s="39">
        <f t="shared" si="74"/>
        <v>0</v>
      </c>
      <c r="K169" s="45">
        <f t="shared" si="74"/>
        <v>0</v>
      </c>
      <c r="L169" s="144">
        <f t="shared" si="74"/>
        <v>0</v>
      </c>
      <c r="M169" s="50">
        <f t="shared" si="15"/>
        <v>0</v>
      </c>
      <c r="N169" s="40">
        <f t="shared" si="16"/>
        <v>25</v>
      </c>
      <c r="O169" s="43">
        <f t="shared" si="17"/>
        <v>18.5</v>
      </c>
    </row>
    <row r="170" spans="1:15" ht="22.95" customHeight="1" x14ac:dyDescent="0.3">
      <c r="A170" s="52" t="s">
        <v>265</v>
      </c>
      <c r="B170" s="44">
        <f t="shared" si="18"/>
        <v>14</v>
      </c>
      <c r="C170" s="39">
        <f t="shared" ref="C170:F179" si="75">C64+C65+C66+C67</f>
        <v>13</v>
      </c>
      <c r="D170" s="39">
        <f t="shared" si="75"/>
        <v>1</v>
      </c>
      <c r="E170" s="39">
        <f t="shared" si="75"/>
        <v>0</v>
      </c>
      <c r="F170" s="39">
        <f t="shared" si="75"/>
        <v>0</v>
      </c>
      <c r="G170" s="50">
        <f t="shared" si="49"/>
        <v>28</v>
      </c>
      <c r="H170" s="44">
        <f t="shared" ref="H170:L170" si="76">H64+H65+H66+H67</f>
        <v>0</v>
      </c>
      <c r="I170" s="39">
        <f t="shared" si="76"/>
        <v>0</v>
      </c>
      <c r="J170" s="39">
        <f t="shared" si="76"/>
        <v>0</v>
      </c>
      <c r="K170" s="45">
        <f t="shared" si="76"/>
        <v>0</v>
      </c>
      <c r="L170" s="144">
        <f t="shared" si="76"/>
        <v>0</v>
      </c>
      <c r="M170" s="50">
        <f t="shared" si="15"/>
        <v>0</v>
      </c>
      <c r="N170" s="40">
        <f t="shared" si="16"/>
        <v>28</v>
      </c>
      <c r="O170" s="43">
        <f t="shared" si="17"/>
        <v>22</v>
      </c>
    </row>
    <row r="171" spans="1:15" ht="22.95" customHeight="1" x14ac:dyDescent="0.3">
      <c r="A171" s="52" t="s">
        <v>266</v>
      </c>
      <c r="B171" s="44">
        <f t="shared" si="18"/>
        <v>15</v>
      </c>
      <c r="C171" s="39">
        <f t="shared" si="75"/>
        <v>14</v>
      </c>
      <c r="D171" s="39">
        <f t="shared" si="75"/>
        <v>0</v>
      </c>
      <c r="E171" s="39">
        <f t="shared" si="75"/>
        <v>1</v>
      </c>
      <c r="F171" s="39">
        <f t="shared" si="75"/>
        <v>0</v>
      </c>
      <c r="G171" s="50">
        <f t="shared" si="49"/>
        <v>30</v>
      </c>
      <c r="H171" s="44">
        <f t="shared" ref="H171:L171" si="77">H65+H66+H67+H68</f>
        <v>0</v>
      </c>
      <c r="I171" s="39">
        <f t="shared" si="77"/>
        <v>0</v>
      </c>
      <c r="J171" s="39">
        <f t="shared" si="77"/>
        <v>0</v>
      </c>
      <c r="K171" s="45">
        <f t="shared" si="77"/>
        <v>0</v>
      </c>
      <c r="L171" s="144">
        <f t="shared" si="77"/>
        <v>0</v>
      </c>
      <c r="M171" s="50">
        <f t="shared" si="15"/>
        <v>0</v>
      </c>
      <c r="N171" s="40">
        <f t="shared" si="16"/>
        <v>30</v>
      </c>
      <c r="O171" s="43">
        <f t="shared" si="17"/>
        <v>25</v>
      </c>
    </row>
    <row r="172" spans="1:15" ht="22.95" customHeight="1" x14ac:dyDescent="0.3">
      <c r="A172" s="52" t="s">
        <v>267</v>
      </c>
      <c r="B172" s="44">
        <f t="shared" si="18"/>
        <v>15</v>
      </c>
      <c r="C172" s="39">
        <f t="shared" si="75"/>
        <v>14</v>
      </c>
      <c r="D172" s="39">
        <f t="shared" si="75"/>
        <v>2</v>
      </c>
      <c r="E172" s="39">
        <f t="shared" si="75"/>
        <v>1</v>
      </c>
      <c r="F172" s="39">
        <f t="shared" si="75"/>
        <v>1</v>
      </c>
      <c r="G172" s="50">
        <f t="shared" si="49"/>
        <v>33</v>
      </c>
      <c r="H172" s="44">
        <f t="shared" ref="H172:L172" si="78">H66+H67+H68+H69</f>
        <v>0</v>
      </c>
      <c r="I172" s="39">
        <f t="shared" si="78"/>
        <v>0</v>
      </c>
      <c r="J172" s="39">
        <f t="shared" si="78"/>
        <v>0</v>
      </c>
      <c r="K172" s="45">
        <f t="shared" si="78"/>
        <v>0</v>
      </c>
      <c r="L172" s="144">
        <f t="shared" si="78"/>
        <v>0</v>
      </c>
      <c r="M172" s="50">
        <f t="shared" si="15"/>
        <v>0</v>
      </c>
      <c r="N172" s="40">
        <f t="shared" si="16"/>
        <v>33</v>
      </c>
      <c r="O172" s="43">
        <f t="shared" si="17"/>
        <v>32.5</v>
      </c>
    </row>
    <row r="173" spans="1:15" ht="22.95" customHeight="1" x14ac:dyDescent="0.3">
      <c r="A173" s="52" t="s">
        <v>268</v>
      </c>
      <c r="B173" s="44">
        <f t="shared" si="18"/>
        <v>12</v>
      </c>
      <c r="C173" s="39">
        <f t="shared" si="75"/>
        <v>13</v>
      </c>
      <c r="D173" s="39">
        <f t="shared" si="75"/>
        <v>3</v>
      </c>
      <c r="E173" s="39">
        <f t="shared" si="75"/>
        <v>1</v>
      </c>
      <c r="F173" s="39">
        <f t="shared" si="75"/>
        <v>3</v>
      </c>
      <c r="G173" s="50">
        <f t="shared" si="49"/>
        <v>32</v>
      </c>
      <c r="H173" s="44">
        <f t="shared" ref="H173:L173" si="79">H67+H68+H69+H70</f>
        <v>0</v>
      </c>
      <c r="I173" s="39">
        <f t="shared" si="79"/>
        <v>0</v>
      </c>
      <c r="J173" s="39">
        <f t="shared" si="79"/>
        <v>0</v>
      </c>
      <c r="K173" s="45">
        <f t="shared" si="79"/>
        <v>0</v>
      </c>
      <c r="L173" s="144">
        <f t="shared" si="79"/>
        <v>0</v>
      </c>
      <c r="M173" s="50">
        <f t="shared" si="15"/>
        <v>0</v>
      </c>
      <c r="N173" s="40">
        <f t="shared" si="16"/>
        <v>32</v>
      </c>
      <c r="O173" s="43">
        <f t="shared" si="17"/>
        <v>39.5</v>
      </c>
    </row>
    <row r="174" spans="1:15" ht="22.95" customHeight="1" x14ac:dyDescent="0.3">
      <c r="A174" s="52" t="s">
        <v>269</v>
      </c>
      <c r="B174" s="44">
        <f t="shared" si="18"/>
        <v>6</v>
      </c>
      <c r="C174" s="39">
        <f t="shared" si="75"/>
        <v>8</v>
      </c>
      <c r="D174" s="39">
        <f t="shared" si="75"/>
        <v>3</v>
      </c>
      <c r="E174" s="39">
        <f t="shared" si="75"/>
        <v>1</v>
      </c>
      <c r="F174" s="39">
        <f t="shared" si="75"/>
        <v>5</v>
      </c>
      <c r="G174" s="50">
        <f t="shared" si="49"/>
        <v>23</v>
      </c>
      <c r="H174" s="44">
        <f t="shared" ref="H174:L174" si="80">H68+H69+H70+H71</f>
        <v>0</v>
      </c>
      <c r="I174" s="39">
        <f t="shared" si="80"/>
        <v>0</v>
      </c>
      <c r="J174" s="39">
        <f t="shared" si="80"/>
        <v>0</v>
      </c>
      <c r="K174" s="45">
        <f t="shared" si="80"/>
        <v>0</v>
      </c>
      <c r="L174" s="144">
        <f t="shared" si="80"/>
        <v>0</v>
      </c>
      <c r="M174" s="50">
        <f t="shared" si="15"/>
        <v>0</v>
      </c>
      <c r="N174" s="40">
        <f t="shared" si="16"/>
        <v>23</v>
      </c>
      <c r="O174" s="43">
        <f t="shared" si="17"/>
        <v>40</v>
      </c>
    </row>
    <row r="175" spans="1:15" ht="22.95" customHeight="1" x14ac:dyDescent="0.3">
      <c r="A175" s="54" t="s">
        <v>241</v>
      </c>
      <c r="B175" s="44">
        <f t="shared" si="18"/>
        <v>6</v>
      </c>
      <c r="C175" s="39">
        <f t="shared" si="75"/>
        <v>9</v>
      </c>
      <c r="D175" s="39">
        <f t="shared" si="75"/>
        <v>3</v>
      </c>
      <c r="E175" s="39">
        <f t="shared" si="75"/>
        <v>0</v>
      </c>
      <c r="F175" s="39">
        <f t="shared" si="75"/>
        <v>6</v>
      </c>
      <c r="G175" s="50">
        <f t="shared" si="49"/>
        <v>24</v>
      </c>
      <c r="H175" s="44">
        <f t="shared" ref="H175:L175" si="81">H69+H70+H71+H72</f>
        <v>0</v>
      </c>
      <c r="I175" s="39">
        <f t="shared" si="81"/>
        <v>0</v>
      </c>
      <c r="J175" s="39">
        <f t="shared" si="81"/>
        <v>0</v>
      </c>
      <c r="K175" s="45">
        <f t="shared" si="81"/>
        <v>0</v>
      </c>
      <c r="L175" s="144">
        <f t="shared" si="81"/>
        <v>0</v>
      </c>
      <c r="M175" s="50">
        <f t="shared" si="15"/>
        <v>0</v>
      </c>
      <c r="N175" s="40">
        <f t="shared" si="16"/>
        <v>24</v>
      </c>
      <c r="O175" s="43">
        <f t="shared" si="17"/>
        <v>42</v>
      </c>
    </row>
    <row r="176" spans="1:15" ht="22.95" customHeight="1" x14ac:dyDescent="0.3">
      <c r="A176" s="52" t="s">
        <v>242</v>
      </c>
      <c r="B176" s="44">
        <f t="shared" si="18"/>
        <v>6</v>
      </c>
      <c r="C176" s="39">
        <f t="shared" si="75"/>
        <v>9</v>
      </c>
      <c r="D176" s="39">
        <f t="shared" si="75"/>
        <v>1</v>
      </c>
      <c r="E176" s="39">
        <f t="shared" si="75"/>
        <v>0</v>
      </c>
      <c r="F176" s="39">
        <f t="shared" si="75"/>
        <v>5</v>
      </c>
      <c r="G176" s="50">
        <f t="shared" si="49"/>
        <v>21</v>
      </c>
      <c r="H176" s="44">
        <f t="shared" ref="H176:L176" si="82">H70+H71+H72+H73</f>
        <v>0</v>
      </c>
      <c r="I176" s="39">
        <f t="shared" si="82"/>
        <v>0</v>
      </c>
      <c r="J176" s="39">
        <f t="shared" si="82"/>
        <v>0</v>
      </c>
      <c r="K176" s="45">
        <f t="shared" si="82"/>
        <v>0</v>
      </c>
      <c r="L176" s="144">
        <f t="shared" si="82"/>
        <v>0</v>
      </c>
      <c r="M176" s="50">
        <f t="shared" si="15"/>
        <v>0</v>
      </c>
      <c r="N176" s="40">
        <f t="shared" si="16"/>
        <v>21</v>
      </c>
      <c r="O176" s="43">
        <f t="shared" si="17"/>
        <v>34.5</v>
      </c>
    </row>
    <row r="177" spans="1:15" ht="22.95" customHeight="1" x14ac:dyDescent="0.3">
      <c r="A177" s="52" t="s">
        <v>243</v>
      </c>
      <c r="B177" s="44">
        <f t="shared" si="18"/>
        <v>8</v>
      </c>
      <c r="C177" s="39">
        <f t="shared" si="75"/>
        <v>6</v>
      </c>
      <c r="D177" s="39">
        <f t="shared" si="75"/>
        <v>0</v>
      </c>
      <c r="E177" s="39">
        <f t="shared" si="75"/>
        <v>0</v>
      </c>
      <c r="F177" s="39">
        <f t="shared" si="75"/>
        <v>3</v>
      </c>
      <c r="G177" s="50">
        <f t="shared" si="49"/>
        <v>17</v>
      </c>
      <c r="H177" s="44">
        <f t="shared" ref="H177:L177" si="83">H71+H72+H73+H74</f>
        <v>0</v>
      </c>
      <c r="I177" s="39">
        <f t="shared" si="83"/>
        <v>0</v>
      </c>
      <c r="J177" s="39">
        <f t="shared" si="83"/>
        <v>0</v>
      </c>
      <c r="K177" s="45">
        <f t="shared" si="83"/>
        <v>0</v>
      </c>
      <c r="L177" s="144">
        <f t="shared" si="83"/>
        <v>0</v>
      </c>
      <c r="M177" s="50">
        <f t="shared" si="15"/>
        <v>0</v>
      </c>
      <c r="N177" s="40">
        <f t="shared" si="16"/>
        <v>17</v>
      </c>
      <c r="O177" s="43">
        <f t="shared" si="17"/>
        <v>24.5</v>
      </c>
    </row>
    <row r="178" spans="1:15" ht="22.95" customHeight="1" x14ac:dyDescent="0.3">
      <c r="A178" s="52" t="s">
        <v>244</v>
      </c>
      <c r="B178" s="44">
        <f t="shared" si="18"/>
        <v>7</v>
      </c>
      <c r="C178" s="39">
        <f t="shared" si="75"/>
        <v>7</v>
      </c>
      <c r="D178" s="39">
        <f t="shared" si="75"/>
        <v>0</v>
      </c>
      <c r="E178" s="39">
        <f t="shared" si="75"/>
        <v>0</v>
      </c>
      <c r="F178" s="39">
        <f t="shared" si="75"/>
        <v>1</v>
      </c>
      <c r="G178" s="50">
        <f t="shared" ref="G178:G206" si="84">SUM(B178:F178)</f>
        <v>15</v>
      </c>
      <c r="H178" s="44">
        <f t="shared" ref="H178:L178" si="85">H72+H73+H74+H75</f>
        <v>0</v>
      </c>
      <c r="I178" s="39">
        <f t="shared" si="85"/>
        <v>0</v>
      </c>
      <c r="J178" s="39">
        <f t="shared" si="85"/>
        <v>0</v>
      </c>
      <c r="K178" s="45">
        <f t="shared" si="85"/>
        <v>0</v>
      </c>
      <c r="L178" s="144">
        <f t="shared" si="85"/>
        <v>0</v>
      </c>
      <c r="M178" s="50">
        <f t="shared" si="15"/>
        <v>0</v>
      </c>
      <c r="N178" s="40">
        <f t="shared" si="16"/>
        <v>15</v>
      </c>
      <c r="O178" s="43">
        <f t="shared" si="17"/>
        <v>15</v>
      </c>
    </row>
    <row r="179" spans="1:15" ht="22.95" customHeight="1" x14ac:dyDescent="0.3">
      <c r="A179" s="52" t="s">
        <v>245</v>
      </c>
      <c r="B179" s="44">
        <f t="shared" si="18"/>
        <v>5</v>
      </c>
      <c r="C179" s="39">
        <f t="shared" si="75"/>
        <v>6</v>
      </c>
      <c r="D179" s="39">
        <f t="shared" si="75"/>
        <v>1</v>
      </c>
      <c r="E179" s="39">
        <f t="shared" si="75"/>
        <v>0</v>
      </c>
      <c r="F179" s="39">
        <f t="shared" si="75"/>
        <v>1</v>
      </c>
      <c r="G179" s="50">
        <f t="shared" si="84"/>
        <v>13</v>
      </c>
      <c r="H179" s="44">
        <f t="shared" ref="H179:L179" si="86">H73+H74+H75+H76</f>
        <v>0</v>
      </c>
      <c r="I179" s="39">
        <f t="shared" si="86"/>
        <v>0</v>
      </c>
      <c r="J179" s="39">
        <f t="shared" si="86"/>
        <v>0</v>
      </c>
      <c r="K179" s="45">
        <f t="shared" si="86"/>
        <v>0</v>
      </c>
      <c r="L179" s="144">
        <f t="shared" si="86"/>
        <v>0</v>
      </c>
      <c r="M179" s="50">
        <f t="shared" ref="M179:M206" si="87">SUM(H179:K179)</f>
        <v>0</v>
      </c>
      <c r="N179" s="40">
        <f t="shared" ref="N179:N206" si="88">G179+M179</f>
        <v>13</v>
      </c>
      <c r="O179" s="43">
        <f t="shared" ref="O179:O206" si="89">B179*1+C179*0.5+D179*1.5+E179*3+F179*4.5+H179*0.5+I179*1.5+J179*3+K179*4+L179*8</f>
        <v>14</v>
      </c>
    </row>
    <row r="180" spans="1:15" ht="22.95" customHeight="1" x14ac:dyDescent="0.3">
      <c r="A180" s="52" t="s">
        <v>246</v>
      </c>
      <c r="B180" s="44">
        <f t="shared" ref="B180:F206" si="90">B74+B75+B76+B77</f>
        <v>4</v>
      </c>
      <c r="C180" s="39">
        <f t="shared" si="90"/>
        <v>4</v>
      </c>
      <c r="D180" s="39">
        <f t="shared" si="90"/>
        <v>1</v>
      </c>
      <c r="E180" s="39">
        <f t="shared" si="90"/>
        <v>0</v>
      </c>
      <c r="F180" s="39">
        <f t="shared" si="90"/>
        <v>1</v>
      </c>
      <c r="G180" s="50">
        <f t="shared" si="84"/>
        <v>10</v>
      </c>
      <c r="H180" s="44">
        <f t="shared" ref="H180:L180" si="91">H74+H75+H76+H77</f>
        <v>0</v>
      </c>
      <c r="I180" s="39">
        <f t="shared" si="91"/>
        <v>0</v>
      </c>
      <c r="J180" s="39">
        <f t="shared" si="91"/>
        <v>0</v>
      </c>
      <c r="K180" s="45">
        <f t="shared" si="91"/>
        <v>0</v>
      </c>
      <c r="L180" s="144">
        <f t="shared" si="91"/>
        <v>0</v>
      </c>
      <c r="M180" s="50">
        <f t="shared" si="87"/>
        <v>0</v>
      </c>
      <c r="N180" s="40">
        <f t="shared" si="88"/>
        <v>10</v>
      </c>
      <c r="O180" s="43">
        <f t="shared" si="89"/>
        <v>12</v>
      </c>
    </row>
    <row r="181" spans="1:15" ht="22.95" customHeight="1" x14ac:dyDescent="0.3">
      <c r="A181" s="52" t="s">
        <v>247</v>
      </c>
      <c r="B181" s="44">
        <f t="shared" si="90"/>
        <v>2</v>
      </c>
      <c r="C181" s="39">
        <f t="shared" si="90"/>
        <v>4</v>
      </c>
      <c r="D181" s="39">
        <f t="shared" si="90"/>
        <v>1</v>
      </c>
      <c r="E181" s="39">
        <f t="shared" si="90"/>
        <v>0</v>
      </c>
      <c r="F181" s="39">
        <f t="shared" si="90"/>
        <v>1</v>
      </c>
      <c r="G181" s="50">
        <f t="shared" si="84"/>
        <v>8</v>
      </c>
      <c r="H181" s="44">
        <f t="shared" ref="H181:L181" si="92">H75+H76+H77+H78</f>
        <v>0</v>
      </c>
      <c r="I181" s="39">
        <f t="shared" si="92"/>
        <v>0</v>
      </c>
      <c r="J181" s="39">
        <f t="shared" si="92"/>
        <v>0</v>
      </c>
      <c r="K181" s="45">
        <f t="shared" si="92"/>
        <v>0</v>
      </c>
      <c r="L181" s="144">
        <f t="shared" si="92"/>
        <v>0</v>
      </c>
      <c r="M181" s="50">
        <f t="shared" si="87"/>
        <v>0</v>
      </c>
      <c r="N181" s="40">
        <f t="shared" si="88"/>
        <v>8</v>
      </c>
      <c r="O181" s="43">
        <f t="shared" si="89"/>
        <v>10</v>
      </c>
    </row>
    <row r="182" spans="1:15" ht="22.95" customHeight="1" x14ac:dyDescent="0.3">
      <c r="A182" s="52" t="s">
        <v>248</v>
      </c>
      <c r="B182" s="44">
        <f t="shared" si="90"/>
        <v>1</v>
      </c>
      <c r="C182" s="39">
        <f t="shared" si="90"/>
        <v>1</v>
      </c>
      <c r="D182" s="39">
        <f t="shared" si="90"/>
        <v>1</v>
      </c>
      <c r="E182" s="39">
        <f t="shared" si="90"/>
        <v>0</v>
      </c>
      <c r="F182" s="39">
        <f t="shared" si="90"/>
        <v>1</v>
      </c>
      <c r="G182" s="50">
        <f t="shared" si="84"/>
        <v>4</v>
      </c>
      <c r="H182" s="44">
        <f t="shared" ref="H182:L182" si="93">H76+H77+H78+H79</f>
        <v>0</v>
      </c>
      <c r="I182" s="39">
        <f t="shared" si="93"/>
        <v>0</v>
      </c>
      <c r="J182" s="39">
        <f t="shared" si="93"/>
        <v>0</v>
      </c>
      <c r="K182" s="45">
        <f t="shared" si="93"/>
        <v>0</v>
      </c>
      <c r="L182" s="144">
        <f t="shared" si="93"/>
        <v>0</v>
      </c>
      <c r="M182" s="50">
        <f t="shared" si="87"/>
        <v>0</v>
      </c>
      <c r="N182" s="40">
        <f t="shared" si="88"/>
        <v>4</v>
      </c>
      <c r="O182" s="43">
        <f t="shared" si="89"/>
        <v>7.5</v>
      </c>
    </row>
    <row r="183" spans="1:15" ht="22.95" customHeight="1" x14ac:dyDescent="0.3">
      <c r="A183" s="52" t="s">
        <v>249</v>
      </c>
      <c r="B183" s="44">
        <f t="shared" si="90"/>
        <v>1</v>
      </c>
      <c r="C183" s="39">
        <f t="shared" si="90"/>
        <v>0</v>
      </c>
      <c r="D183" s="39">
        <f t="shared" si="90"/>
        <v>0</v>
      </c>
      <c r="E183" s="39">
        <f t="shared" si="90"/>
        <v>0</v>
      </c>
      <c r="F183" s="39">
        <f t="shared" si="90"/>
        <v>0</v>
      </c>
      <c r="G183" s="50">
        <f t="shared" si="84"/>
        <v>1</v>
      </c>
      <c r="H183" s="44">
        <f t="shared" ref="H183:L183" si="94">H77+H78+H79+H80</f>
        <v>0</v>
      </c>
      <c r="I183" s="39">
        <f t="shared" si="94"/>
        <v>0</v>
      </c>
      <c r="J183" s="39">
        <f t="shared" si="94"/>
        <v>0</v>
      </c>
      <c r="K183" s="45">
        <f t="shared" si="94"/>
        <v>0</v>
      </c>
      <c r="L183" s="144">
        <f t="shared" si="94"/>
        <v>0</v>
      </c>
      <c r="M183" s="50">
        <f t="shared" si="87"/>
        <v>0</v>
      </c>
      <c r="N183" s="40">
        <f t="shared" si="88"/>
        <v>1</v>
      </c>
      <c r="O183" s="43">
        <f t="shared" si="89"/>
        <v>1</v>
      </c>
    </row>
    <row r="184" spans="1:15" ht="22.95" customHeight="1" x14ac:dyDescent="0.3">
      <c r="A184" s="52" t="s">
        <v>250</v>
      </c>
      <c r="B184" s="44">
        <f t="shared" si="90"/>
        <v>1</v>
      </c>
      <c r="C184" s="39">
        <f t="shared" si="90"/>
        <v>0</v>
      </c>
      <c r="D184" s="39">
        <f t="shared" si="90"/>
        <v>0</v>
      </c>
      <c r="E184" s="39">
        <f t="shared" si="90"/>
        <v>0</v>
      </c>
      <c r="F184" s="39">
        <f t="shared" si="90"/>
        <v>0</v>
      </c>
      <c r="G184" s="50">
        <f t="shared" si="84"/>
        <v>1</v>
      </c>
      <c r="H184" s="44">
        <f t="shared" ref="H184:L184" si="95">H78+H79+H80+H81</f>
        <v>0</v>
      </c>
      <c r="I184" s="39">
        <f t="shared" si="95"/>
        <v>0</v>
      </c>
      <c r="J184" s="39">
        <f t="shared" si="95"/>
        <v>0</v>
      </c>
      <c r="K184" s="45">
        <f t="shared" si="95"/>
        <v>0</v>
      </c>
      <c r="L184" s="144">
        <f t="shared" si="95"/>
        <v>0</v>
      </c>
      <c r="M184" s="50">
        <f t="shared" si="87"/>
        <v>0</v>
      </c>
      <c r="N184" s="40">
        <f t="shared" si="88"/>
        <v>1</v>
      </c>
      <c r="O184" s="43">
        <f t="shared" si="89"/>
        <v>1</v>
      </c>
    </row>
    <row r="185" spans="1:15" ht="22.95" customHeight="1" x14ac:dyDescent="0.3">
      <c r="A185" s="52" t="s">
        <v>251</v>
      </c>
      <c r="B185" s="44">
        <f t="shared" si="90"/>
        <v>0</v>
      </c>
      <c r="C185" s="39">
        <f t="shared" si="90"/>
        <v>0</v>
      </c>
      <c r="D185" s="39">
        <f t="shared" si="90"/>
        <v>0</v>
      </c>
      <c r="E185" s="39">
        <f t="shared" si="90"/>
        <v>0</v>
      </c>
      <c r="F185" s="39">
        <f t="shared" si="90"/>
        <v>0</v>
      </c>
      <c r="G185" s="50">
        <f t="shared" si="84"/>
        <v>0</v>
      </c>
      <c r="H185" s="44">
        <f t="shared" ref="H185:L185" si="96">H79+H80+H81+H82</f>
        <v>0</v>
      </c>
      <c r="I185" s="39">
        <f t="shared" si="96"/>
        <v>0</v>
      </c>
      <c r="J185" s="39">
        <f t="shared" si="96"/>
        <v>0</v>
      </c>
      <c r="K185" s="45">
        <f t="shared" si="96"/>
        <v>0</v>
      </c>
      <c r="L185" s="144">
        <f t="shared" si="96"/>
        <v>0</v>
      </c>
      <c r="M185" s="50">
        <f t="shared" si="87"/>
        <v>0</v>
      </c>
      <c r="N185" s="40">
        <f t="shared" si="88"/>
        <v>0</v>
      </c>
      <c r="O185" s="43">
        <f t="shared" si="89"/>
        <v>0</v>
      </c>
    </row>
    <row r="186" spans="1:15" ht="22.95" customHeight="1" x14ac:dyDescent="0.3">
      <c r="A186" s="52" t="s">
        <v>252</v>
      </c>
      <c r="B186" s="44">
        <f t="shared" si="90"/>
        <v>0</v>
      </c>
      <c r="C186" s="39">
        <f t="shared" si="90"/>
        <v>1</v>
      </c>
      <c r="D186" s="39">
        <f t="shared" si="90"/>
        <v>0</v>
      </c>
      <c r="E186" s="39">
        <f t="shared" si="90"/>
        <v>0</v>
      </c>
      <c r="F186" s="39">
        <f t="shared" si="90"/>
        <v>0</v>
      </c>
      <c r="G186" s="50">
        <f t="shared" si="84"/>
        <v>1</v>
      </c>
      <c r="H186" s="44">
        <f t="shared" ref="H186:L186" si="97">H80+H81+H82+H83</f>
        <v>0</v>
      </c>
      <c r="I186" s="39">
        <f t="shared" si="97"/>
        <v>0</v>
      </c>
      <c r="J186" s="39">
        <f t="shared" si="97"/>
        <v>0</v>
      </c>
      <c r="K186" s="45">
        <f t="shared" si="97"/>
        <v>0</v>
      </c>
      <c r="L186" s="144">
        <f t="shared" si="97"/>
        <v>0</v>
      </c>
      <c r="M186" s="50">
        <f t="shared" si="87"/>
        <v>0</v>
      </c>
      <c r="N186" s="40">
        <f t="shared" si="88"/>
        <v>1</v>
      </c>
      <c r="O186" s="43">
        <f t="shared" si="89"/>
        <v>0.5</v>
      </c>
    </row>
    <row r="187" spans="1:15" ht="22.95" customHeight="1" x14ac:dyDescent="0.3">
      <c r="A187" s="52" t="s">
        <v>253</v>
      </c>
      <c r="B187" s="44">
        <f t="shared" si="90"/>
        <v>0</v>
      </c>
      <c r="C187" s="39">
        <f t="shared" si="90"/>
        <v>2</v>
      </c>
      <c r="D187" s="39">
        <f t="shared" si="90"/>
        <v>0</v>
      </c>
      <c r="E187" s="39">
        <f t="shared" si="90"/>
        <v>0</v>
      </c>
      <c r="F187" s="39">
        <f t="shared" si="90"/>
        <v>0</v>
      </c>
      <c r="G187" s="50">
        <f t="shared" si="84"/>
        <v>2</v>
      </c>
      <c r="H187" s="44">
        <f t="shared" ref="H187:L187" si="98">H81+H82+H83+H84</f>
        <v>0</v>
      </c>
      <c r="I187" s="39">
        <f t="shared" si="98"/>
        <v>0</v>
      </c>
      <c r="J187" s="39">
        <f t="shared" si="98"/>
        <v>0</v>
      </c>
      <c r="K187" s="45">
        <f t="shared" si="98"/>
        <v>0</v>
      </c>
      <c r="L187" s="144">
        <f t="shared" si="98"/>
        <v>0</v>
      </c>
      <c r="M187" s="50">
        <f t="shared" si="87"/>
        <v>0</v>
      </c>
      <c r="N187" s="40">
        <f t="shared" si="88"/>
        <v>2</v>
      </c>
      <c r="O187" s="43">
        <f t="shared" si="89"/>
        <v>1</v>
      </c>
    </row>
    <row r="188" spans="1:15" ht="22.95" customHeight="1" x14ac:dyDescent="0.3">
      <c r="A188" s="52" t="s">
        <v>254</v>
      </c>
      <c r="B188" s="44">
        <f t="shared" si="90"/>
        <v>1</v>
      </c>
      <c r="C188" s="39">
        <f t="shared" si="90"/>
        <v>4</v>
      </c>
      <c r="D188" s="39">
        <f t="shared" si="90"/>
        <v>0</v>
      </c>
      <c r="E188" s="39">
        <f t="shared" si="90"/>
        <v>0</v>
      </c>
      <c r="F188" s="39">
        <f t="shared" si="90"/>
        <v>0</v>
      </c>
      <c r="G188" s="50">
        <f t="shared" si="84"/>
        <v>5</v>
      </c>
      <c r="H188" s="44">
        <f t="shared" ref="H188:L188" si="99">H82+H83+H84+H85</f>
        <v>0</v>
      </c>
      <c r="I188" s="39">
        <f t="shared" si="99"/>
        <v>0</v>
      </c>
      <c r="J188" s="39">
        <f t="shared" si="99"/>
        <v>0</v>
      </c>
      <c r="K188" s="45">
        <f t="shared" si="99"/>
        <v>0</v>
      </c>
      <c r="L188" s="144">
        <f t="shared" si="99"/>
        <v>0</v>
      </c>
      <c r="M188" s="50">
        <f t="shared" si="87"/>
        <v>0</v>
      </c>
      <c r="N188" s="40">
        <f t="shared" si="88"/>
        <v>5</v>
      </c>
      <c r="O188" s="43">
        <f t="shared" si="89"/>
        <v>3</v>
      </c>
    </row>
    <row r="189" spans="1:15" ht="22.95" customHeight="1" x14ac:dyDescent="0.3">
      <c r="A189" s="52" t="s">
        <v>255</v>
      </c>
      <c r="B189" s="44">
        <f t="shared" si="90"/>
        <v>1</v>
      </c>
      <c r="C189" s="39">
        <f t="shared" si="90"/>
        <v>4</v>
      </c>
      <c r="D189" s="39">
        <f t="shared" si="90"/>
        <v>0</v>
      </c>
      <c r="E189" s="39">
        <f t="shared" si="90"/>
        <v>0</v>
      </c>
      <c r="F189" s="39">
        <f t="shared" si="90"/>
        <v>0</v>
      </c>
      <c r="G189" s="50">
        <f t="shared" si="84"/>
        <v>5</v>
      </c>
      <c r="H189" s="44">
        <f t="shared" ref="H189:L189" si="100">H83+H84+H85+H86</f>
        <v>0</v>
      </c>
      <c r="I189" s="39">
        <f t="shared" si="100"/>
        <v>0</v>
      </c>
      <c r="J189" s="39">
        <f t="shared" si="100"/>
        <v>0</v>
      </c>
      <c r="K189" s="45">
        <f t="shared" si="100"/>
        <v>0</v>
      </c>
      <c r="L189" s="144">
        <f t="shared" si="100"/>
        <v>0</v>
      </c>
      <c r="M189" s="50">
        <f t="shared" si="87"/>
        <v>0</v>
      </c>
      <c r="N189" s="40">
        <f t="shared" si="88"/>
        <v>5</v>
      </c>
      <c r="O189" s="43">
        <f t="shared" si="89"/>
        <v>3</v>
      </c>
    </row>
    <row r="190" spans="1:15" ht="22.95" customHeight="1" x14ac:dyDescent="0.3">
      <c r="A190" s="52" t="s">
        <v>256</v>
      </c>
      <c r="B190" s="44">
        <f t="shared" si="90"/>
        <v>1</v>
      </c>
      <c r="C190" s="39">
        <f t="shared" si="90"/>
        <v>3</v>
      </c>
      <c r="D190" s="39">
        <f t="shared" si="90"/>
        <v>0</v>
      </c>
      <c r="E190" s="39">
        <f t="shared" si="90"/>
        <v>0</v>
      </c>
      <c r="F190" s="39">
        <f t="shared" si="90"/>
        <v>0</v>
      </c>
      <c r="G190" s="50">
        <f t="shared" si="84"/>
        <v>4</v>
      </c>
      <c r="H190" s="44">
        <f t="shared" ref="H190:L190" si="101">H84+H85+H86+H87</f>
        <v>0</v>
      </c>
      <c r="I190" s="39">
        <f t="shared" si="101"/>
        <v>0</v>
      </c>
      <c r="J190" s="39">
        <f t="shared" si="101"/>
        <v>0</v>
      </c>
      <c r="K190" s="45">
        <f t="shared" si="101"/>
        <v>0</v>
      </c>
      <c r="L190" s="144">
        <f t="shared" si="101"/>
        <v>0</v>
      </c>
      <c r="M190" s="50">
        <f t="shared" si="87"/>
        <v>0</v>
      </c>
      <c r="N190" s="40">
        <f t="shared" si="88"/>
        <v>4</v>
      </c>
      <c r="O190" s="43">
        <f t="shared" si="89"/>
        <v>2.5</v>
      </c>
    </row>
    <row r="191" spans="1:15" ht="22.95" customHeight="1" x14ac:dyDescent="0.3">
      <c r="A191" s="52" t="s">
        <v>257</v>
      </c>
      <c r="B191" s="44">
        <f t="shared" si="90"/>
        <v>4</v>
      </c>
      <c r="C191" s="39">
        <f t="shared" si="90"/>
        <v>6</v>
      </c>
      <c r="D191" s="39">
        <f t="shared" si="90"/>
        <v>0</v>
      </c>
      <c r="E191" s="39">
        <f t="shared" si="90"/>
        <v>1</v>
      </c>
      <c r="F191" s="39">
        <f t="shared" si="90"/>
        <v>0</v>
      </c>
      <c r="G191" s="50">
        <f t="shared" si="84"/>
        <v>11</v>
      </c>
      <c r="H191" s="44">
        <f t="shared" ref="H191:L191" si="102">H85+H86+H87+H88</f>
        <v>0</v>
      </c>
      <c r="I191" s="39">
        <f t="shared" si="102"/>
        <v>0</v>
      </c>
      <c r="J191" s="39">
        <f t="shared" si="102"/>
        <v>0</v>
      </c>
      <c r="K191" s="45">
        <f t="shared" si="102"/>
        <v>0</v>
      </c>
      <c r="L191" s="144">
        <f t="shared" si="102"/>
        <v>0</v>
      </c>
      <c r="M191" s="50">
        <f t="shared" si="87"/>
        <v>0</v>
      </c>
      <c r="N191" s="40">
        <f t="shared" si="88"/>
        <v>11</v>
      </c>
      <c r="O191" s="43">
        <f t="shared" si="89"/>
        <v>10</v>
      </c>
    </row>
    <row r="192" spans="1:15" ht="22.95" customHeight="1" x14ac:dyDescent="0.3">
      <c r="A192" s="52" t="s">
        <v>258</v>
      </c>
      <c r="B192" s="44">
        <f t="shared" si="90"/>
        <v>4</v>
      </c>
      <c r="C192" s="39">
        <f t="shared" si="90"/>
        <v>6</v>
      </c>
      <c r="D192" s="39">
        <f t="shared" si="90"/>
        <v>0</v>
      </c>
      <c r="E192" s="39">
        <f t="shared" si="90"/>
        <v>1</v>
      </c>
      <c r="F192" s="39">
        <f t="shared" si="90"/>
        <v>0</v>
      </c>
      <c r="G192" s="50">
        <f t="shared" si="84"/>
        <v>11</v>
      </c>
      <c r="H192" s="44">
        <f t="shared" ref="H192:L192" si="103">H86+H87+H88+H89</f>
        <v>0</v>
      </c>
      <c r="I192" s="39">
        <f t="shared" si="103"/>
        <v>0</v>
      </c>
      <c r="J192" s="39">
        <f t="shared" si="103"/>
        <v>0</v>
      </c>
      <c r="K192" s="45">
        <f t="shared" si="103"/>
        <v>0</v>
      </c>
      <c r="L192" s="144">
        <f t="shared" si="103"/>
        <v>0</v>
      </c>
      <c r="M192" s="50">
        <f t="shared" si="87"/>
        <v>0</v>
      </c>
      <c r="N192" s="40">
        <f t="shared" si="88"/>
        <v>11</v>
      </c>
      <c r="O192" s="43">
        <f t="shared" si="89"/>
        <v>10</v>
      </c>
    </row>
    <row r="193" spans="1:15" ht="22.95" customHeight="1" x14ac:dyDescent="0.3">
      <c r="A193" s="52" t="s">
        <v>259</v>
      </c>
      <c r="B193" s="44">
        <f t="shared" si="90"/>
        <v>6</v>
      </c>
      <c r="C193" s="39">
        <f t="shared" si="90"/>
        <v>7</v>
      </c>
      <c r="D193" s="39">
        <f t="shared" si="90"/>
        <v>0</v>
      </c>
      <c r="E193" s="39">
        <f t="shared" si="90"/>
        <v>1</v>
      </c>
      <c r="F193" s="39">
        <f t="shared" si="90"/>
        <v>0</v>
      </c>
      <c r="G193" s="50">
        <f t="shared" si="84"/>
        <v>14</v>
      </c>
      <c r="H193" s="44">
        <f t="shared" ref="H193:L193" si="104">H87+H88+H89+H90</f>
        <v>0</v>
      </c>
      <c r="I193" s="39">
        <f t="shared" si="104"/>
        <v>0</v>
      </c>
      <c r="J193" s="39">
        <f t="shared" si="104"/>
        <v>0</v>
      </c>
      <c r="K193" s="45">
        <f t="shared" si="104"/>
        <v>0</v>
      </c>
      <c r="L193" s="144">
        <f t="shared" si="104"/>
        <v>0</v>
      </c>
      <c r="M193" s="50">
        <f t="shared" si="87"/>
        <v>0</v>
      </c>
      <c r="N193" s="40">
        <f t="shared" si="88"/>
        <v>14</v>
      </c>
      <c r="O193" s="43">
        <f t="shared" si="89"/>
        <v>12.5</v>
      </c>
    </row>
    <row r="194" spans="1:15" ht="22.95" customHeight="1" x14ac:dyDescent="0.3">
      <c r="A194" s="52" t="s">
        <v>260</v>
      </c>
      <c r="B194" s="44">
        <f t="shared" si="90"/>
        <v>6</v>
      </c>
      <c r="C194" s="39">
        <f t="shared" si="90"/>
        <v>8</v>
      </c>
      <c r="D194" s="39">
        <f t="shared" si="90"/>
        <v>0</v>
      </c>
      <c r="E194" s="39">
        <f t="shared" si="90"/>
        <v>1</v>
      </c>
      <c r="F194" s="39">
        <f t="shared" si="90"/>
        <v>0</v>
      </c>
      <c r="G194" s="50">
        <f t="shared" si="84"/>
        <v>15</v>
      </c>
      <c r="H194" s="44">
        <f t="shared" ref="H194:L194" si="105">H88+H89+H90+H91</f>
        <v>0</v>
      </c>
      <c r="I194" s="39">
        <f t="shared" si="105"/>
        <v>0</v>
      </c>
      <c r="J194" s="39">
        <f t="shared" si="105"/>
        <v>0</v>
      </c>
      <c r="K194" s="45">
        <f t="shared" si="105"/>
        <v>0</v>
      </c>
      <c r="L194" s="144">
        <f t="shared" si="105"/>
        <v>0</v>
      </c>
      <c r="M194" s="50">
        <f t="shared" si="87"/>
        <v>0</v>
      </c>
      <c r="N194" s="40">
        <f t="shared" si="88"/>
        <v>15</v>
      </c>
      <c r="O194" s="43">
        <f t="shared" si="89"/>
        <v>13</v>
      </c>
    </row>
    <row r="195" spans="1:15" ht="22.95" customHeight="1" x14ac:dyDescent="0.3">
      <c r="A195" s="52" t="s">
        <v>261</v>
      </c>
      <c r="B195" s="44">
        <f t="shared" si="90"/>
        <v>6</v>
      </c>
      <c r="C195" s="39">
        <f t="shared" si="90"/>
        <v>9</v>
      </c>
      <c r="D195" s="39">
        <f t="shared" si="90"/>
        <v>0</v>
      </c>
      <c r="E195" s="39">
        <f t="shared" si="90"/>
        <v>0</v>
      </c>
      <c r="F195" s="39">
        <f t="shared" si="90"/>
        <v>0</v>
      </c>
      <c r="G195" s="50">
        <f t="shared" si="84"/>
        <v>15</v>
      </c>
      <c r="H195" s="44">
        <f t="shared" ref="H195:L195" si="106">H89+H90+H91+H92</f>
        <v>0</v>
      </c>
      <c r="I195" s="39">
        <f t="shared" si="106"/>
        <v>0</v>
      </c>
      <c r="J195" s="39">
        <f t="shared" si="106"/>
        <v>0</v>
      </c>
      <c r="K195" s="45">
        <f t="shared" si="106"/>
        <v>0</v>
      </c>
      <c r="L195" s="144">
        <f t="shared" si="106"/>
        <v>0</v>
      </c>
      <c r="M195" s="50">
        <f t="shared" si="87"/>
        <v>0</v>
      </c>
      <c r="N195" s="40">
        <f t="shared" si="88"/>
        <v>15</v>
      </c>
      <c r="O195" s="43">
        <f t="shared" si="89"/>
        <v>10.5</v>
      </c>
    </row>
    <row r="196" spans="1:15" ht="22.95" customHeight="1" x14ac:dyDescent="0.3">
      <c r="A196" s="52" t="s">
        <v>270</v>
      </c>
      <c r="B196" s="44">
        <f t="shared" si="90"/>
        <v>6</v>
      </c>
      <c r="C196" s="39">
        <f t="shared" si="90"/>
        <v>9</v>
      </c>
      <c r="D196" s="39">
        <f t="shared" si="90"/>
        <v>0</v>
      </c>
      <c r="E196" s="39">
        <f t="shared" si="90"/>
        <v>0</v>
      </c>
      <c r="F196" s="39">
        <f t="shared" si="90"/>
        <v>0</v>
      </c>
      <c r="G196" s="50">
        <f t="shared" si="84"/>
        <v>15</v>
      </c>
      <c r="H196" s="44">
        <f t="shared" ref="H196:L196" si="107">H90+H91+H92+H93</f>
        <v>0</v>
      </c>
      <c r="I196" s="39">
        <f t="shared" si="107"/>
        <v>0</v>
      </c>
      <c r="J196" s="39">
        <f t="shared" si="107"/>
        <v>0</v>
      </c>
      <c r="K196" s="45">
        <f t="shared" si="107"/>
        <v>0</v>
      </c>
      <c r="L196" s="144">
        <f t="shared" si="107"/>
        <v>0</v>
      </c>
      <c r="M196" s="50">
        <f t="shared" si="87"/>
        <v>0</v>
      </c>
      <c r="N196" s="40">
        <f t="shared" si="88"/>
        <v>15</v>
      </c>
      <c r="O196" s="43">
        <f t="shared" si="89"/>
        <v>10.5</v>
      </c>
    </row>
    <row r="197" spans="1:15" ht="22.95" customHeight="1" x14ac:dyDescent="0.3">
      <c r="A197" s="52" t="s">
        <v>271</v>
      </c>
      <c r="B197" s="44">
        <f t="shared" si="90"/>
        <v>7</v>
      </c>
      <c r="C197" s="39">
        <f t="shared" si="90"/>
        <v>13</v>
      </c>
      <c r="D197" s="39">
        <f t="shared" si="90"/>
        <v>0</v>
      </c>
      <c r="E197" s="39">
        <f t="shared" si="90"/>
        <v>0</v>
      </c>
      <c r="F197" s="39">
        <f t="shared" si="90"/>
        <v>0</v>
      </c>
      <c r="G197" s="50">
        <f t="shared" si="84"/>
        <v>20</v>
      </c>
      <c r="H197" s="44">
        <f t="shared" ref="H197:L197" si="108">H91+H92+H93+H94</f>
        <v>0</v>
      </c>
      <c r="I197" s="39">
        <f t="shared" si="108"/>
        <v>0</v>
      </c>
      <c r="J197" s="39">
        <f t="shared" si="108"/>
        <v>0</v>
      </c>
      <c r="K197" s="45">
        <f t="shared" si="108"/>
        <v>0</v>
      </c>
      <c r="L197" s="144">
        <f t="shared" si="108"/>
        <v>1</v>
      </c>
      <c r="M197" s="50">
        <f t="shared" si="87"/>
        <v>0</v>
      </c>
      <c r="N197" s="40">
        <f t="shared" si="88"/>
        <v>20</v>
      </c>
      <c r="O197" s="43">
        <f t="shared" si="89"/>
        <v>21.5</v>
      </c>
    </row>
    <row r="198" spans="1:15" ht="22.95" customHeight="1" x14ac:dyDescent="0.3">
      <c r="A198" s="52" t="s">
        <v>279</v>
      </c>
      <c r="B198" s="44">
        <f t="shared" si="90"/>
        <v>11</v>
      </c>
      <c r="C198" s="39">
        <f t="shared" si="90"/>
        <v>15</v>
      </c>
      <c r="D198" s="39">
        <f t="shared" si="90"/>
        <v>0</v>
      </c>
      <c r="E198" s="39">
        <f t="shared" si="90"/>
        <v>0</v>
      </c>
      <c r="F198" s="39">
        <f t="shared" si="90"/>
        <v>0</v>
      </c>
      <c r="G198" s="50">
        <f t="shared" si="84"/>
        <v>26</v>
      </c>
      <c r="H198" s="44">
        <f t="shared" ref="H198:L198" si="109">H92+H93+H94+H95</f>
        <v>0</v>
      </c>
      <c r="I198" s="39">
        <f t="shared" si="109"/>
        <v>0</v>
      </c>
      <c r="J198" s="39">
        <f t="shared" si="109"/>
        <v>0</v>
      </c>
      <c r="K198" s="45">
        <f t="shared" si="109"/>
        <v>0</v>
      </c>
      <c r="L198" s="144">
        <f t="shared" si="109"/>
        <v>1</v>
      </c>
      <c r="M198" s="50">
        <f t="shared" si="87"/>
        <v>0</v>
      </c>
      <c r="N198" s="40">
        <f t="shared" si="88"/>
        <v>26</v>
      </c>
      <c r="O198" s="43">
        <f t="shared" si="89"/>
        <v>26.5</v>
      </c>
    </row>
    <row r="199" spans="1:15" ht="22.95" customHeight="1" x14ac:dyDescent="0.3">
      <c r="A199" s="52" t="s">
        <v>62</v>
      </c>
      <c r="B199" s="44">
        <f t="shared" si="90"/>
        <v>10</v>
      </c>
      <c r="C199" s="39">
        <f t="shared" si="90"/>
        <v>19</v>
      </c>
      <c r="D199" s="39">
        <f t="shared" si="90"/>
        <v>0</v>
      </c>
      <c r="E199" s="39">
        <f t="shared" si="90"/>
        <v>0</v>
      </c>
      <c r="F199" s="39">
        <f t="shared" si="90"/>
        <v>0</v>
      </c>
      <c r="G199" s="50">
        <f t="shared" si="84"/>
        <v>29</v>
      </c>
      <c r="H199" s="44">
        <f t="shared" ref="H199:L199" si="110">H93+H94+H95+H96</f>
        <v>0</v>
      </c>
      <c r="I199" s="39">
        <f t="shared" si="110"/>
        <v>0</v>
      </c>
      <c r="J199" s="39">
        <f t="shared" si="110"/>
        <v>0</v>
      </c>
      <c r="K199" s="45">
        <f t="shared" si="110"/>
        <v>0</v>
      </c>
      <c r="L199" s="144">
        <f t="shared" si="110"/>
        <v>1</v>
      </c>
      <c r="M199" s="50">
        <f t="shared" si="87"/>
        <v>0</v>
      </c>
      <c r="N199" s="40">
        <f t="shared" si="88"/>
        <v>29</v>
      </c>
      <c r="O199" s="43">
        <f t="shared" si="89"/>
        <v>27.5</v>
      </c>
    </row>
    <row r="200" spans="1:15" ht="22.95" customHeight="1" x14ac:dyDescent="0.3">
      <c r="A200" s="52" t="s">
        <v>63</v>
      </c>
      <c r="B200" s="44">
        <f t="shared" si="90"/>
        <v>13</v>
      </c>
      <c r="C200" s="39">
        <f t="shared" si="90"/>
        <v>30</v>
      </c>
      <c r="D200" s="39">
        <f t="shared" si="90"/>
        <v>0</v>
      </c>
      <c r="E200" s="39">
        <f t="shared" si="90"/>
        <v>0</v>
      </c>
      <c r="F200" s="39">
        <f t="shared" si="90"/>
        <v>0</v>
      </c>
      <c r="G200" s="50">
        <f t="shared" si="84"/>
        <v>43</v>
      </c>
      <c r="H200" s="44">
        <f t="shared" ref="H200:L200" si="111">H94+H95+H96+H97</f>
        <v>0</v>
      </c>
      <c r="I200" s="39">
        <f t="shared" si="111"/>
        <v>0</v>
      </c>
      <c r="J200" s="39">
        <f t="shared" si="111"/>
        <v>0</v>
      </c>
      <c r="K200" s="45">
        <f t="shared" si="111"/>
        <v>0</v>
      </c>
      <c r="L200" s="144">
        <f t="shared" si="111"/>
        <v>1</v>
      </c>
      <c r="M200" s="50">
        <f t="shared" si="87"/>
        <v>0</v>
      </c>
      <c r="N200" s="40">
        <f t="shared" si="88"/>
        <v>43</v>
      </c>
      <c r="O200" s="43">
        <f t="shared" si="89"/>
        <v>36</v>
      </c>
    </row>
    <row r="201" spans="1:15" ht="22.95" customHeight="1" x14ac:dyDescent="0.3">
      <c r="A201" s="52" t="s">
        <v>64</v>
      </c>
      <c r="B201" s="44">
        <f t="shared" si="90"/>
        <v>12</v>
      </c>
      <c r="C201" s="39">
        <f t="shared" si="90"/>
        <v>37</v>
      </c>
      <c r="D201" s="39">
        <f t="shared" si="90"/>
        <v>1</v>
      </c>
      <c r="E201" s="39">
        <f t="shared" si="90"/>
        <v>1</v>
      </c>
      <c r="F201" s="39">
        <f t="shared" si="90"/>
        <v>0</v>
      </c>
      <c r="G201" s="50">
        <f t="shared" si="84"/>
        <v>51</v>
      </c>
      <c r="H201" s="44">
        <f t="shared" ref="H201:L201" si="112">H95+H96+H97+H98</f>
        <v>0</v>
      </c>
      <c r="I201" s="39">
        <f t="shared" si="112"/>
        <v>0</v>
      </c>
      <c r="J201" s="39">
        <f t="shared" si="112"/>
        <v>0</v>
      </c>
      <c r="K201" s="45">
        <f t="shared" si="112"/>
        <v>0</v>
      </c>
      <c r="L201" s="144">
        <f t="shared" si="112"/>
        <v>0</v>
      </c>
      <c r="M201" s="50">
        <f t="shared" si="87"/>
        <v>0</v>
      </c>
      <c r="N201" s="40">
        <f t="shared" si="88"/>
        <v>51</v>
      </c>
      <c r="O201" s="43">
        <f t="shared" si="89"/>
        <v>35</v>
      </c>
    </row>
    <row r="202" spans="1:15" ht="22.95" customHeight="1" x14ac:dyDescent="0.3">
      <c r="A202" s="52" t="s">
        <v>65</v>
      </c>
      <c r="B202" s="44">
        <f t="shared" si="90"/>
        <v>15</v>
      </c>
      <c r="C202" s="39">
        <f t="shared" si="90"/>
        <v>48</v>
      </c>
      <c r="D202" s="39">
        <f t="shared" si="90"/>
        <v>1</v>
      </c>
      <c r="E202" s="39">
        <f t="shared" si="90"/>
        <v>3</v>
      </c>
      <c r="F202" s="39">
        <f t="shared" si="90"/>
        <v>0</v>
      </c>
      <c r="G202" s="50">
        <f t="shared" si="84"/>
        <v>67</v>
      </c>
      <c r="H202" s="44">
        <f t="shared" ref="H202:L202" si="113">H96+H97+H98+H99</f>
        <v>0</v>
      </c>
      <c r="I202" s="39">
        <f t="shared" si="113"/>
        <v>0</v>
      </c>
      <c r="J202" s="39">
        <f t="shared" si="113"/>
        <v>0</v>
      </c>
      <c r="K202" s="45">
        <f t="shared" si="113"/>
        <v>0</v>
      </c>
      <c r="L202" s="144">
        <f t="shared" si="113"/>
        <v>0</v>
      </c>
      <c r="M202" s="50">
        <f t="shared" si="87"/>
        <v>0</v>
      </c>
      <c r="N202" s="40">
        <f t="shared" si="88"/>
        <v>67</v>
      </c>
      <c r="O202" s="43">
        <f t="shared" si="89"/>
        <v>49.5</v>
      </c>
    </row>
    <row r="203" spans="1:15" ht="22.95" customHeight="1" x14ac:dyDescent="0.3">
      <c r="A203" s="52" t="s">
        <v>66</v>
      </c>
      <c r="B203" s="44">
        <f t="shared" si="90"/>
        <v>17</v>
      </c>
      <c r="C203" s="39">
        <f t="shared" si="90"/>
        <v>56</v>
      </c>
      <c r="D203" s="39">
        <f t="shared" si="90"/>
        <v>2</v>
      </c>
      <c r="E203" s="39">
        <f t="shared" si="90"/>
        <v>3</v>
      </c>
      <c r="F203" s="39">
        <f t="shared" si="90"/>
        <v>0</v>
      </c>
      <c r="G203" s="50">
        <f t="shared" si="84"/>
        <v>78</v>
      </c>
      <c r="H203" s="44">
        <f t="shared" ref="H203:L203" si="114">H97+H98+H99+H100</f>
        <v>0</v>
      </c>
      <c r="I203" s="39">
        <f t="shared" si="114"/>
        <v>0</v>
      </c>
      <c r="J203" s="39">
        <f t="shared" si="114"/>
        <v>0</v>
      </c>
      <c r="K203" s="45">
        <f t="shared" si="114"/>
        <v>0</v>
      </c>
      <c r="L203" s="144">
        <f t="shared" si="114"/>
        <v>0</v>
      </c>
      <c r="M203" s="50">
        <f t="shared" si="87"/>
        <v>0</v>
      </c>
      <c r="N203" s="40">
        <f t="shared" si="88"/>
        <v>78</v>
      </c>
      <c r="O203" s="43">
        <f t="shared" si="89"/>
        <v>57</v>
      </c>
    </row>
    <row r="204" spans="1:15" ht="22.95" customHeight="1" x14ac:dyDescent="0.3">
      <c r="A204" s="52" t="s">
        <v>67</v>
      </c>
      <c r="B204" s="44">
        <f t="shared" si="90"/>
        <v>22</v>
      </c>
      <c r="C204" s="39">
        <f t="shared" si="90"/>
        <v>67</v>
      </c>
      <c r="D204" s="39">
        <f t="shared" si="90"/>
        <v>2</v>
      </c>
      <c r="E204" s="39">
        <f t="shared" si="90"/>
        <v>3</v>
      </c>
      <c r="F204" s="39">
        <f t="shared" si="90"/>
        <v>0</v>
      </c>
      <c r="G204" s="50">
        <f t="shared" si="84"/>
        <v>94</v>
      </c>
      <c r="H204" s="44">
        <f t="shared" ref="H204:L204" si="115">H98+H99+H100+H101</f>
        <v>0</v>
      </c>
      <c r="I204" s="39">
        <f t="shared" si="115"/>
        <v>0</v>
      </c>
      <c r="J204" s="39">
        <f t="shared" si="115"/>
        <v>0</v>
      </c>
      <c r="K204" s="45">
        <f t="shared" si="115"/>
        <v>0</v>
      </c>
      <c r="L204" s="144">
        <f t="shared" si="115"/>
        <v>0</v>
      </c>
      <c r="M204" s="50">
        <f t="shared" si="87"/>
        <v>0</v>
      </c>
      <c r="N204" s="40">
        <f t="shared" si="88"/>
        <v>94</v>
      </c>
      <c r="O204" s="43">
        <f t="shared" si="89"/>
        <v>67.5</v>
      </c>
    </row>
    <row r="205" spans="1:15" ht="22.95" customHeight="1" x14ac:dyDescent="0.3">
      <c r="A205" s="52" t="s">
        <v>68</v>
      </c>
      <c r="B205" s="44">
        <f t="shared" si="90"/>
        <v>27</v>
      </c>
      <c r="C205" s="39">
        <f t="shared" si="90"/>
        <v>76</v>
      </c>
      <c r="D205" s="39">
        <f t="shared" si="90"/>
        <v>1</v>
      </c>
      <c r="E205" s="39">
        <f t="shared" si="90"/>
        <v>2</v>
      </c>
      <c r="F205" s="39">
        <f t="shared" si="90"/>
        <v>0</v>
      </c>
      <c r="G205" s="50">
        <f t="shared" si="84"/>
        <v>106</v>
      </c>
      <c r="H205" s="44">
        <f t="shared" ref="H205:L205" si="116">H99+H100+H101+H102</f>
        <v>0</v>
      </c>
      <c r="I205" s="39">
        <f t="shared" si="116"/>
        <v>0</v>
      </c>
      <c r="J205" s="39">
        <f t="shared" si="116"/>
        <v>0</v>
      </c>
      <c r="K205" s="45">
        <f t="shared" si="116"/>
        <v>0</v>
      </c>
      <c r="L205" s="144">
        <f t="shared" si="116"/>
        <v>0</v>
      </c>
      <c r="M205" s="50">
        <f t="shared" si="87"/>
        <v>0</v>
      </c>
      <c r="N205" s="40">
        <f t="shared" si="88"/>
        <v>106</v>
      </c>
      <c r="O205" s="43">
        <f t="shared" si="89"/>
        <v>72.5</v>
      </c>
    </row>
    <row r="206" spans="1:15" ht="22.95" customHeight="1" thickBot="1" x14ac:dyDescent="0.35">
      <c r="A206" s="52" t="s">
        <v>69</v>
      </c>
      <c r="B206" s="46">
        <f t="shared" si="90"/>
        <v>31</v>
      </c>
      <c r="C206" s="47">
        <f t="shared" si="90"/>
        <v>92</v>
      </c>
      <c r="D206" s="47">
        <f t="shared" si="90"/>
        <v>2</v>
      </c>
      <c r="E206" s="47">
        <f t="shared" si="90"/>
        <v>0</v>
      </c>
      <c r="F206" s="47">
        <f t="shared" si="90"/>
        <v>0</v>
      </c>
      <c r="G206" s="50">
        <f t="shared" si="84"/>
        <v>125</v>
      </c>
      <c r="H206" s="44">
        <f t="shared" ref="H206:L206" si="117">H100+H101+H102+H103</f>
        <v>0</v>
      </c>
      <c r="I206" s="39">
        <f t="shared" si="117"/>
        <v>0</v>
      </c>
      <c r="J206" s="39">
        <f t="shared" si="117"/>
        <v>0</v>
      </c>
      <c r="K206" s="45">
        <f t="shared" si="117"/>
        <v>0</v>
      </c>
      <c r="L206" s="145">
        <f t="shared" si="117"/>
        <v>0</v>
      </c>
      <c r="M206" s="50">
        <f t="shared" si="87"/>
        <v>0</v>
      </c>
      <c r="N206" s="40">
        <f t="shared" si="88"/>
        <v>125</v>
      </c>
      <c r="O206" s="43">
        <f t="shared" si="89"/>
        <v>80</v>
      </c>
    </row>
  </sheetData>
  <mergeCells count="31">
    <mergeCell ref="A1:O1"/>
    <mergeCell ref="N6:N7"/>
    <mergeCell ref="O6:O7"/>
    <mergeCell ref="G112:G113"/>
    <mergeCell ref="H112:H113"/>
    <mergeCell ref="M112:M113"/>
    <mergeCell ref="N112:N113"/>
    <mergeCell ref="A6:A7"/>
    <mergeCell ref="A112:A113"/>
    <mergeCell ref="O112:O113"/>
    <mergeCell ref="C112:C113"/>
    <mergeCell ref="D112:D113"/>
    <mergeCell ref="B6:B7"/>
    <mergeCell ref="B112:B113"/>
    <mergeCell ref="J112:J113"/>
    <mergeCell ref="K112:K113"/>
    <mergeCell ref="L112:L113"/>
    <mergeCell ref="M6:M7"/>
    <mergeCell ref="H6:H7"/>
    <mergeCell ref="C6:C7"/>
    <mergeCell ref="D6:D7"/>
    <mergeCell ref="G6:G7"/>
    <mergeCell ref="I6:I7"/>
    <mergeCell ref="J6:J7"/>
    <mergeCell ref="K6:K7"/>
    <mergeCell ref="E6:E7"/>
    <mergeCell ref="F6:F7"/>
    <mergeCell ref="L6:L7"/>
    <mergeCell ref="E112:E113"/>
    <mergeCell ref="I112:I113"/>
    <mergeCell ref="F112:F113"/>
  </mergeCells>
  <pageMargins left="0.7" right="0.7" top="0.75" bottom="0.75" header="0.3" footer="0.3"/>
  <pageSetup paperSize="9" scale="29" orientation="portrait" r:id="rId1"/>
  <rowBreaks count="1" manualBreakCount="1">
    <brk id="106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FFCC"/>
  </sheetPr>
  <dimension ref="A1:O206"/>
  <sheetViews>
    <sheetView view="pageBreakPreview" zoomScale="40" zoomScaleNormal="70" zoomScaleSheetLayoutView="40" workbookViewId="0">
      <selection activeCell="T11" sqref="T11"/>
    </sheetView>
  </sheetViews>
  <sheetFormatPr defaultColWidth="9" defaultRowHeight="15.6" x14ac:dyDescent="0.3"/>
  <cols>
    <col min="1" max="1" width="21.59765625" customWidth="1"/>
    <col min="2" max="13" width="11.69921875" customWidth="1"/>
    <col min="14" max="14" width="12.3984375" customWidth="1"/>
  </cols>
  <sheetData>
    <row r="1" spans="1:15" x14ac:dyDescent="0.3">
      <c r="A1" s="247" t="s">
        <v>99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</row>
    <row r="2" spans="1:15" s="4" customFormat="1" x14ac:dyDescent="0.3">
      <c r="A2" s="4" t="s">
        <v>103</v>
      </c>
      <c r="B2" s="4" t="str">
        <f>Summary!B2</f>
        <v>TMC-14 Number (D2)</v>
      </c>
    </row>
    <row r="3" spans="1:15" s="4" customFormat="1" x14ac:dyDescent="0.3">
      <c r="A3" s="4" t="s">
        <v>102</v>
      </c>
      <c r="B3" s="4" t="str">
        <f>Summary!B3</f>
        <v>D2</v>
      </c>
    </row>
    <row r="4" spans="1:15" s="4" customFormat="1" x14ac:dyDescent="0.3">
      <c r="A4" s="4" t="s">
        <v>104</v>
      </c>
      <c r="B4" s="4" t="str">
        <f>+Summary!A6</f>
        <v>Nindar</v>
      </c>
      <c r="D4" s="4" t="s">
        <v>1</v>
      </c>
      <c r="E4" s="4" t="str">
        <f>Summary!H16</f>
        <v>Chomu Pulia</v>
      </c>
    </row>
    <row r="5" spans="1:15" ht="16.2" thickBot="1" x14ac:dyDescent="0.35"/>
    <row r="6" spans="1:15" ht="25.2" customHeight="1" x14ac:dyDescent="0.3">
      <c r="A6" s="252" t="s">
        <v>95</v>
      </c>
      <c r="B6" s="258" t="s">
        <v>280</v>
      </c>
      <c r="C6" s="254" t="s">
        <v>281</v>
      </c>
      <c r="D6" s="250" t="s">
        <v>282</v>
      </c>
      <c r="E6" s="260" t="s">
        <v>283</v>
      </c>
      <c r="F6" s="256" t="s">
        <v>284</v>
      </c>
      <c r="G6" s="250" t="s">
        <v>129</v>
      </c>
      <c r="H6" s="248" t="s">
        <v>150</v>
      </c>
      <c r="I6" s="250" t="s">
        <v>151</v>
      </c>
      <c r="J6" s="250" t="s">
        <v>285</v>
      </c>
      <c r="K6" s="248" t="s">
        <v>286</v>
      </c>
      <c r="L6" s="250" t="s">
        <v>287</v>
      </c>
      <c r="M6" s="250" t="s">
        <v>78</v>
      </c>
      <c r="N6" s="250" t="s">
        <v>131</v>
      </c>
      <c r="O6" s="250" t="s">
        <v>132</v>
      </c>
    </row>
    <row r="7" spans="1:15" ht="43.5" customHeight="1" thickBot="1" x14ac:dyDescent="0.35">
      <c r="A7" s="262"/>
      <c r="B7" s="263"/>
      <c r="C7" s="264"/>
      <c r="D7" s="265"/>
      <c r="E7" s="266"/>
      <c r="F7" s="267"/>
      <c r="G7" s="259"/>
      <c r="H7" s="268"/>
      <c r="I7" s="265"/>
      <c r="J7" s="265"/>
      <c r="K7" s="268"/>
      <c r="L7" s="265"/>
      <c r="M7" s="265"/>
      <c r="N7" s="251"/>
      <c r="O7" s="251"/>
    </row>
    <row r="8" spans="1:15" ht="22.5" customHeight="1" x14ac:dyDescent="0.3">
      <c r="A8" s="189" t="s">
        <v>177</v>
      </c>
      <c r="B8" s="192">
        <v>167</v>
      </c>
      <c r="C8" s="157">
        <v>176</v>
      </c>
      <c r="D8" s="157">
        <v>4</v>
      </c>
      <c r="E8" s="157">
        <v>8</v>
      </c>
      <c r="F8" s="193">
        <v>2</v>
      </c>
      <c r="G8" s="198">
        <f t="shared" ref="G8:G39" si="0">SUM(B8:F8)</f>
        <v>357</v>
      </c>
      <c r="H8" s="200">
        <v>2</v>
      </c>
      <c r="I8" s="201">
        <v>0</v>
      </c>
      <c r="J8" s="201">
        <v>0</v>
      </c>
      <c r="K8" s="201">
        <v>0</v>
      </c>
      <c r="L8" s="201">
        <v>6</v>
      </c>
      <c r="M8" s="202">
        <v>0</v>
      </c>
      <c r="N8" s="85">
        <f>G8+M8</f>
        <v>357</v>
      </c>
      <c r="O8" s="115">
        <f>B8*1+C8*0.5+D8*1.5+E8*3+F8*4.5+H8*0.5+I8*1.5+J8*3+K8*4+L8*8</f>
        <v>343</v>
      </c>
    </row>
    <row r="9" spans="1:15" ht="22.5" customHeight="1" x14ac:dyDescent="0.3">
      <c r="A9" s="190" t="s">
        <v>178</v>
      </c>
      <c r="B9" s="44">
        <v>183</v>
      </c>
      <c r="C9" s="39">
        <v>187</v>
      </c>
      <c r="D9" s="39">
        <v>2</v>
      </c>
      <c r="E9" s="39">
        <v>7</v>
      </c>
      <c r="F9" s="194">
        <v>0</v>
      </c>
      <c r="G9" s="196">
        <f t="shared" si="0"/>
        <v>379</v>
      </c>
      <c r="H9" s="203">
        <v>0</v>
      </c>
      <c r="I9" s="204">
        <v>0</v>
      </c>
      <c r="J9" s="204">
        <v>0</v>
      </c>
      <c r="K9" s="204">
        <v>0</v>
      </c>
      <c r="L9" s="204">
        <v>2</v>
      </c>
      <c r="M9" s="205">
        <v>0</v>
      </c>
      <c r="N9" s="85">
        <f t="shared" ref="N9:N72" si="1">G9+M9</f>
        <v>379</v>
      </c>
      <c r="O9" s="43">
        <f t="shared" ref="O9:O72" si="2">B9*1+C9*0.5+D9*1.5+E9*3+F9*4.5+H9*0.5+I9*1.5+J9*3+K9*4+L9*8</f>
        <v>316.5</v>
      </c>
    </row>
    <row r="10" spans="1:15" ht="22.5" customHeight="1" x14ac:dyDescent="0.3">
      <c r="A10" s="190" t="s">
        <v>179</v>
      </c>
      <c r="B10" s="44">
        <v>168</v>
      </c>
      <c r="C10" s="39">
        <v>157</v>
      </c>
      <c r="D10" s="39">
        <v>1</v>
      </c>
      <c r="E10" s="39">
        <v>14</v>
      </c>
      <c r="F10" s="194">
        <v>8</v>
      </c>
      <c r="G10" s="196">
        <f t="shared" si="0"/>
        <v>348</v>
      </c>
      <c r="H10" s="203">
        <v>0</v>
      </c>
      <c r="I10" s="204">
        <v>0</v>
      </c>
      <c r="J10" s="204">
        <v>0</v>
      </c>
      <c r="K10" s="204">
        <v>0</v>
      </c>
      <c r="L10" s="204">
        <v>1</v>
      </c>
      <c r="M10" s="205">
        <v>0</v>
      </c>
      <c r="N10" s="85">
        <f t="shared" si="1"/>
        <v>348</v>
      </c>
      <c r="O10" s="43">
        <f t="shared" si="2"/>
        <v>334</v>
      </c>
    </row>
    <row r="11" spans="1:15" ht="22.5" customHeight="1" x14ac:dyDescent="0.3">
      <c r="A11" s="190" t="s">
        <v>180</v>
      </c>
      <c r="B11" s="44">
        <v>104</v>
      </c>
      <c r="C11" s="39">
        <v>128</v>
      </c>
      <c r="D11" s="39">
        <v>1</v>
      </c>
      <c r="E11" s="39">
        <v>5</v>
      </c>
      <c r="F11" s="194">
        <v>0</v>
      </c>
      <c r="G11" s="196">
        <f t="shared" si="0"/>
        <v>238</v>
      </c>
      <c r="H11" s="203">
        <v>0</v>
      </c>
      <c r="I11" s="204">
        <v>0</v>
      </c>
      <c r="J11" s="204">
        <v>0</v>
      </c>
      <c r="K11" s="204">
        <v>0</v>
      </c>
      <c r="L11" s="204">
        <v>4</v>
      </c>
      <c r="M11" s="205">
        <v>0</v>
      </c>
      <c r="N11" s="85">
        <f t="shared" si="1"/>
        <v>238</v>
      </c>
      <c r="O11" s="43">
        <f t="shared" si="2"/>
        <v>216.5</v>
      </c>
    </row>
    <row r="12" spans="1:15" ht="22.5" customHeight="1" x14ac:dyDescent="0.3">
      <c r="A12" s="190" t="s">
        <v>181</v>
      </c>
      <c r="B12" s="44">
        <v>135</v>
      </c>
      <c r="C12" s="39">
        <v>157</v>
      </c>
      <c r="D12" s="39">
        <v>0</v>
      </c>
      <c r="E12" s="39">
        <v>8</v>
      </c>
      <c r="F12" s="194">
        <v>0</v>
      </c>
      <c r="G12" s="196">
        <f t="shared" si="0"/>
        <v>300</v>
      </c>
      <c r="H12" s="203">
        <v>0</v>
      </c>
      <c r="I12" s="204">
        <v>0</v>
      </c>
      <c r="J12" s="204">
        <v>0</v>
      </c>
      <c r="K12" s="204">
        <v>0</v>
      </c>
      <c r="L12" s="204">
        <v>4</v>
      </c>
      <c r="M12" s="205">
        <v>0</v>
      </c>
      <c r="N12" s="85">
        <f t="shared" si="1"/>
        <v>300</v>
      </c>
      <c r="O12" s="43">
        <f t="shared" si="2"/>
        <v>269.5</v>
      </c>
    </row>
    <row r="13" spans="1:15" ht="22.5" customHeight="1" x14ac:dyDescent="0.3">
      <c r="A13" s="190" t="s">
        <v>182</v>
      </c>
      <c r="B13" s="44">
        <v>143</v>
      </c>
      <c r="C13" s="39">
        <v>166</v>
      </c>
      <c r="D13" s="39">
        <v>3</v>
      </c>
      <c r="E13" s="39">
        <v>5</v>
      </c>
      <c r="F13" s="194">
        <v>0</v>
      </c>
      <c r="G13" s="196">
        <f t="shared" si="0"/>
        <v>317</v>
      </c>
      <c r="H13" s="203">
        <v>0</v>
      </c>
      <c r="I13" s="204">
        <v>0</v>
      </c>
      <c r="J13" s="204">
        <v>0</v>
      </c>
      <c r="K13" s="204">
        <v>0</v>
      </c>
      <c r="L13" s="204">
        <v>1</v>
      </c>
      <c r="M13" s="205">
        <v>0</v>
      </c>
      <c r="N13" s="85">
        <f t="shared" si="1"/>
        <v>317</v>
      </c>
      <c r="O13" s="43">
        <f t="shared" si="2"/>
        <v>253.5</v>
      </c>
    </row>
    <row r="14" spans="1:15" ht="22.5" customHeight="1" x14ac:dyDescent="0.3">
      <c r="A14" s="190" t="s">
        <v>183</v>
      </c>
      <c r="B14" s="44">
        <v>167</v>
      </c>
      <c r="C14" s="39">
        <v>210</v>
      </c>
      <c r="D14" s="39">
        <v>5</v>
      </c>
      <c r="E14" s="39">
        <v>9</v>
      </c>
      <c r="F14" s="194">
        <v>2</v>
      </c>
      <c r="G14" s="196">
        <f t="shared" si="0"/>
        <v>393</v>
      </c>
      <c r="H14" s="203">
        <v>0</v>
      </c>
      <c r="I14" s="204">
        <v>0</v>
      </c>
      <c r="J14" s="204">
        <v>0</v>
      </c>
      <c r="K14" s="204">
        <v>0</v>
      </c>
      <c r="L14" s="204">
        <v>4</v>
      </c>
      <c r="M14" s="205">
        <v>1</v>
      </c>
      <c r="N14" s="85">
        <f t="shared" si="1"/>
        <v>394</v>
      </c>
      <c r="O14" s="43">
        <f t="shared" si="2"/>
        <v>347.5</v>
      </c>
    </row>
    <row r="15" spans="1:15" ht="22.5" customHeight="1" x14ac:dyDescent="0.3">
      <c r="A15" s="190" t="s">
        <v>184</v>
      </c>
      <c r="B15" s="44">
        <v>181</v>
      </c>
      <c r="C15" s="39">
        <v>160</v>
      </c>
      <c r="D15" s="39">
        <v>6</v>
      </c>
      <c r="E15" s="39">
        <v>20</v>
      </c>
      <c r="F15" s="194">
        <v>1</v>
      </c>
      <c r="G15" s="196">
        <f t="shared" si="0"/>
        <v>368</v>
      </c>
      <c r="H15" s="203">
        <v>0</v>
      </c>
      <c r="I15" s="204">
        <v>0</v>
      </c>
      <c r="J15" s="204">
        <v>0</v>
      </c>
      <c r="K15" s="204">
        <v>0</v>
      </c>
      <c r="L15" s="204">
        <v>1</v>
      </c>
      <c r="M15" s="205">
        <v>0</v>
      </c>
      <c r="N15" s="85">
        <f t="shared" si="1"/>
        <v>368</v>
      </c>
      <c r="O15" s="43">
        <f t="shared" si="2"/>
        <v>342.5</v>
      </c>
    </row>
    <row r="16" spans="1:15" ht="22.5" customHeight="1" x14ac:dyDescent="0.3">
      <c r="A16" s="190" t="s">
        <v>185</v>
      </c>
      <c r="B16" s="44">
        <v>167</v>
      </c>
      <c r="C16" s="39">
        <v>132</v>
      </c>
      <c r="D16" s="39">
        <v>6</v>
      </c>
      <c r="E16" s="39">
        <v>18</v>
      </c>
      <c r="F16" s="194">
        <v>4</v>
      </c>
      <c r="G16" s="196">
        <f t="shared" si="0"/>
        <v>327</v>
      </c>
      <c r="H16" s="203">
        <v>0</v>
      </c>
      <c r="I16" s="204">
        <v>0</v>
      </c>
      <c r="J16" s="204">
        <v>0</v>
      </c>
      <c r="K16" s="204">
        <v>0</v>
      </c>
      <c r="L16" s="204">
        <v>1</v>
      </c>
      <c r="M16" s="205">
        <v>0</v>
      </c>
      <c r="N16" s="85">
        <f t="shared" si="1"/>
        <v>327</v>
      </c>
      <c r="O16" s="43">
        <f t="shared" si="2"/>
        <v>322</v>
      </c>
    </row>
    <row r="17" spans="1:15" ht="22.5" customHeight="1" x14ac:dyDescent="0.3">
      <c r="A17" s="190" t="s">
        <v>186</v>
      </c>
      <c r="B17" s="44">
        <v>192</v>
      </c>
      <c r="C17" s="39">
        <v>126</v>
      </c>
      <c r="D17" s="39">
        <v>8</v>
      </c>
      <c r="E17" s="39">
        <v>14</v>
      </c>
      <c r="F17" s="194">
        <v>5</v>
      </c>
      <c r="G17" s="196">
        <f t="shared" si="0"/>
        <v>345</v>
      </c>
      <c r="H17" s="203">
        <v>0</v>
      </c>
      <c r="I17" s="204">
        <v>0</v>
      </c>
      <c r="J17" s="204">
        <v>0</v>
      </c>
      <c r="K17" s="204">
        <v>0</v>
      </c>
      <c r="L17" s="204">
        <v>0</v>
      </c>
      <c r="M17" s="205">
        <v>0</v>
      </c>
      <c r="N17" s="85">
        <f t="shared" si="1"/>
        <v>345</v>
      </c>
      <c r="O17" s="43">
        <f t="shared" si="2"/>
        <v>331.5</v>
      </c>
    </row>
    <row r="18" spans="1:15" ht="22.5" customHeight="1" x14ac:dyDescent="0.3">
      <c r="A18" s="190" t="s">
        <v>187</v>
      </c>
      <c r="B18" s="44">
        <v>134</v>
      </c>
      <c r="C18" s="39">
        <v>33</v>
      </c>
      <c r="D18" s="39">
        <v>3</v>
      </c>
      <c r="E18" s="39">
        <v>18</v>
      </c>
      <c r="F18" s="194">
        <v>5</v>
      </c>
      <c r="G18" s="196">
        <f t="shared" si="0"/>
        <v>193</v>
      </c>
      <c r="H18" s="203">
        <v>0</v>
      </c>
      <c r="I18" s="204">
        <v>0</v>
      </c>
      <c r="J18" s="204">
        <v>0</v>
      </c>
      <c r="K18" s="204">
        <v>0</v>
      </c>
      <c r="L18" s="204">
        <v>0</v>
      </c>
      <c r="M18" s="205">
        <v>0</v>
      </c>
      <c r="N18" s="85">
        <f t="shared" si="1"/>
        <v>193</v>
      </c>
      <c r="O18" s="43">
        <f t="shared" si="2"/>
        <v>231.5</v>
      </c>
    </row>
    <row r="19" spans="1:15" ht="22.5" customHeight="1" x14ac:dyDescent="0.3">
      <c r="A19" s="190" t="s">
        <v>188</v>
      </c>
      <c r="B19" s="44">
        <v>144</v>
      </c>
      <c r="C19" s="39">
        <v>47</v>
      </c>
      <c r="D19" s="39">
        <v>4</v>
      </c>
      <c r="E19" s="39">
        <v>10</v>
      </c>
      <c r="F19" s="194">
        <v>2</v>
      </c>
      <c r="G19" s="196">
        <f t="shared" si="0"/>
        <v>207</v>
      </c>
      <c r="H19" s="203">
        <v>0</v>
      </c>
      <c r="I19" s="204">
        <v>0</v>
      </c>
      <c r="J19" s="204">
        <v>0</v>
      </c>
      <c r="K19" s="204">
        <v>0</v>
      </c>
      <c r="L19" s="204">
        <v>2</v>
      </c>
      <c r="M19" s="205">
        <v>0</v>
      </c>
      <c r="N19" s="85">
        <f t="shared" si="1"/>
        <v>207</v>
      </c>
      <c r="O19" s="43">
        <f t="shared" si="2"/>
        <v>228.5</v>
      </c>
    </row>
    <row r="20" spans="1:15" ht="22.5" customHeight="1" x14ac:dyDescent="0.3">
      <c r="A20" s="190" t="s">
        <v>189</v>
      </c>
      <c r="B20" s="44">
        <v>177</v>
      </c>
      <c r="C20" s="39">
        <v>72</v>
      </c>
      <c r="D20" s="39">
        <v>7</v>
      </c>
      <c r="E20" s="39">
        <v>9</v>
      </c>
      <c r="F20" s="194">
        <v>2</v>
      </c>
      <c r="G20" s="196">
        <f t="shared" si="0"/>
        <v>267</v>
      </c>
      <c r="H20" s="203">
        <v>0</v>
      </c>
      <c r="I20" s="204">
        <v>0</v>
      </c>
      <c r="J20" s="204">
        <v>0</v>
      </c>
      <c r="K20" s="204">
        <v>0</v>
      </c>
      <c r="L20" s="204">
        <v>1</v>
      </c>
      <c r="M20" s="205">
        <v>0</v>
      </c>
      <c r="N20" s="85">
        <f t="shared" si="1"/>
        <v>267</v>
      </c>
      <c r="O20" s="43">
        <f t="shared" si="2"/>
        <v>267.5</v>
      </c>
    </row>
    <row r="21" spans="1:15" ht="22.5" customHeight="1" x14ac:dyDescent="0.3">
      <c r="A21" s="190" t="s">
        <v>190</v>
      </c>
      <c r="B21" s="44">
        <v>186</v>
      </c>
      <c r="C21" s="39">
        <v>181</v>
      </c>
      <c r="D21" s="39">
        <v>4</v>
      </c>
      <c r="E21" s="39">
        <v>13</v>
      </c>
      <c r="F21" s="194">
        <v>3</v>
      </c>
      <c r="G21" s="196">
        <f t="shared" si="0"/>
        <v>387</v>
      </c>
      <c r="H21" s="203">
        <v>0</v>
      </c>
      <c r="I21" s="204">
        <v>0</v>
      </c>
      <c r="J21" s="204">
        <v>0</v>
      </c>
      <c r="K21" s="204">
        <v>0</v>
      </c>
      <c r="L21" s="204">
        <v>1</v>
      </c>
      <c r="M21" s="205">
        <v>0</v>
      </c>
      <c r="N21" s="85">
        <f t="shared" si="1"/>
        <v>387</v>
      </c>
      <c r="O21" s="43">
        <f t="shared" si="2"/>
        <v>343</v>
      </c>
    </row>
    <row r="22" spans="1:15" ht="22.5" customHeight="1" x14ac:dyDescent="0.3">
      <c r="A22" s="190" t="s">
        <v>191</v>
      </c>
      <c r="B22" s="44">
        <v>170</v>
      </c>
      <c r="C22" s="39">
        <v>33</v>
      </c>
      <c r="D22" s="39">
        <v>5</v>
      </c>
      <c r="E22" s="39">
        <v>16</v>
      </c>
      <c r="F22" s="194">
        <v>4</v>
      </c>
      <c r="G22" s="196">
        <f t="shared" si="0"/>
        <v>228</v>
      </c>
      <c r="H22" s="203">
        <v>0</v>
      </c>
      <c r="I22" s="204">
        <v>0</v>
      </c>
      <c r="J22" s="204">
        <v>0</v>
      </c>
      <c r="K22" s="204">
        <v>0</v>
      </c>
      <c r="L22" s="204">
        <v>0</v>
      </c>
      <c r="M22" s="205">
        <v>1</v>
      </c>
      <c r="N22" s="85">
        <f t="shared" si="1"/>
        <v>229</v>
      </c>
      <c r="O22" s="43">
        <f t="shared" si="2"/>
        <v>260</v>
      </c>
    </row>
    <row r="23" spans="1:15" ht="22.5" customHeight="1" x14ac:dyDescent="0.3">
      <c r="A23" s="190" t="s">
        <v>192</v>
      </c>
      <c r="B23" s="44">
        <v>117</v>
      </c>
      <c r="C23" s="39">
        <v>77</v>
      </c>
      <c r="D23" s="39">
        <v>1</v>
      </c>
      <c r="E23" s="39">
        <v>4</v>
      </c>
      <c r="F23" s="194">
        <v>7</v>
      </c>
      <c r="G23" s="196">
        <f t="shared" si="0"/>
        <v>206</v>
      </c>
      <c r="H23" s="203">
        <v>0</v>
      </c>
      <c r="I23" s="204">
        <v>0</v>
      </c>
      <c r="J23" s="204">
        <v>0</v>
      </c>
      <c r="K23" s="204">
        <v>0</v>
      </c>
      <c r="L23" s="204">
        <v>1</v>
      </c>
      <c r="M23" s="205">
        <v>0</v>
      </c>
      <c r="N23" s="85">
        <f t="shared" si="1"/>
        <v>206</v>
      </c>
      <c r="O23" s="43">
        <f t="shared" si="2"/>
        <v>208.5</v>
      </c>
    </row>
    <row r="24" spans="1:15" ht="22.5" customHeight="1" x14ac:dyDescent="0.3">
      <c r="A24" s="190" t="s">
        <v>193</v>
      </c>
      <c r="B24" s="44">
        <v>129</v>
      </c>
      <c r="C24" s="39">
        <v>43</v>
      </c>
      <c r="D24" s="39">
        <v>2</v>
      </c>
      <c r="E24" s="39">
        <v>7</v>
      </c>
      <c r="F24" s="194">
        <v>3</v>
      </c>
      <c r="G24" s="196">
        <f t="shared" si="0"/>
        <v>184</v>
      </c>
      <c r="H24" s="203">
        <v>0</v>
      </c>
      <c r="I24" s="204">
        <v>0</v>
      </c>
      <c r="J24" s="204">
        <v>0</v>
      </c>
      <c r="K24" s="204">
        <v>0</v>
      </c>
      <c r="L24" s="204">
        <v>2</v>
      </c>
      <c r="M24" s="205">
        <v>0</v>
      </c>
      <c r="N24" s="85">
        <f t="shared" si="1"/>
        <v>184</v>
      </c>
      <c r="O24" s="43">
        <f t="shared" si="2"/>
        <v>204</v>
      </c>
    </row>
    <row r="25" spans="1:15" ht="22.5" customHeight="1" x14ac:dyDescent="0.3">
      <c r="A25" s="190" t="s">
        <v>194</v>
      </c>
      <c r="B25" s="44">
        <v>133</v>
      </c>
      <c r="C25" s="39">
        <v>20</v>
      </c>
      <c r="D25" s="39">
        <v>4</v>
      </c>
      <c r="E25" s="39">
        <v>6</v>
      </c>
      <c r="F25" s="194">
        <v>1</v>
      </c>
      <c r="G25" s="196">
        <f t="shared" si="0"/>
        <v>164</v>
      </c>
      <c r="H25" s="203">
        <v>0</v>
      </c>
      <c r="I25" s="204">
        <v>0</v>
      </c>
      <c r="J25" s="204">
        <v>0</v>
      </c>
      <c r="K25" s="204">
        <v>0</v>
      </c>
      <c r="L25" s="204">
        <v>2</v>
      </c>
      <c r="M25" s="205">
        <v>0</v>
      </c>
      <c r="N25" s="85">
        <f t="shared" si="1"/>
        <v>164</v>
      </c>
      <c r="O25" s="43">
        <f t="shared" si="2"/>
        <v>187.5</v>
      </c>
    </row>
    <row r="26" spans="1:15" ht="22.5" customHeight="1" x14ac:dyDescent="0.3">
      <c r="A26" s="190" t="s">
        <v>195</v>
      </c>
      <c r="B26" s="44">
        <v>148</v>
      </c>
      <c r="C26" s="39">
        <v>31</v>
      </c>
      <c r="D26" s="39">
        <v>1</v>
      </c>
      <c r="E26" s="39">
        <v>12</v>
      </c>
      <c r="F26" s="194">
        <v>2</v>
      </c>
      <c r="G26" s="196">
        <f t="shared" si="0"/>
        <v>194</v>
      </c>
      <c r="H26" s="203">
        <v>0</v>
      </c>
      <c r="I26" s="204">
        <v>0</v>
      </c>
      <c r="J26" s="204">
        <v>0</v>
      </c>
      <c r="K26" s="204">
        <v>0</v>
      </c>
      <c r="L26" s="204">
        <v>0</v>
      </c>
      <c r="M26" s="205">
        <v>0</v>
      </c>
      <c r="N26" s="85">
        <f t="shared" si="1"/>
        <v>194</v>
      </c>
      <c r="O26" s="43">
        <f t="shared" si="2"/>
        <v>210</v>
      </c>
    </row>
    <row r="27" spans="1:15" ht="22.5" customHeight="1" x14ac:dyDescent="0.3">
      <c r="A27" s="190" t="s">
        <v>196</v>
      </c>
      <c r="B27" s="44">
        <v>96</v>
      </c>
      <c r="C27" s="39">
        <v>31</v>
      </c>
      <c r="D27" s="39">
        <v>4</v>
      </c>
      <c r="E27" s="39">
        <v>9</v>
      </c>
      <c r="F27" s="194">
        <v>5</v>
      </c>
      <c r="G27" s="196">
        <f t="shared" si="0"/>
        <v>145</v>
      </c>
      <c r="H27" s="203">
        <v>0</v>
      </c>
      <c r="I27" s="204">
        <v>0</v>
      </c>
      <c r="J27" s="204">
        <v>0</v>
      </c>
      <c r="K27" s="204">
        <v>0</v>
      </c>
      <c r="L27" s="204">
        <v>0</v>
      </c>
      <c r="M27" s="205">
        <v>2</v>
      </c>
      <c r="N27" s="85">
        <f t="shared" si="1"/>
        <v>147</v>
      </c>
      <c r="O27" s="43">
        <f t="shared" si="2"/>
        <v>167</v>
      </c>
    </row>
    <row r="28" spans="1:15" ht="22.5" customHeight="1" x14ac:dyDescent="0.3">
      <c r="A28" s="190" t="s">
        <v>197</v>
      </c>
      <c r="B28" s="44">
        <v>109</v>
      </c>
      <c r="C28" s="39">
        <v>72</v>
      </c>
      <c r="D28" s="39">
        <v>3</v>
      </c>
      <c r="E28" s="39">
        <v>9</v>
      </c>
      <c r="F28" s="194">
        <v>4</v>
      </c>
      <c r="G28" s="196">
        <f t="shared" si="0"/>
        <v>197</v>
      </c>
      <c r="H28" s="203">
        <v>0</v>
      </c>
      <c r="I28" s="204">
        <v>0</v>
      </c>
      <c r="J28" s="204">
        <v>0</v>
      </c>
      <c r="K28" s="204">
        <v>0</v>
      </c>
      <c r="L28" s="204">
        <v>0</v>
      </c>
      <c r="M28" s="205">
        <v>0</v>
      </c>
      <c r="N28" s="85">
        <f t="shared" si="1"/>
        <v>197</v>
      </c>
      <c r="O28" s="43">
        <f t="shared" si="2"/>
        <v>194.5</v>
      </c>
    </row>
    <row r="29" spans="1:15" ht="22.5" customHeight="1" x14ac:dyDescent="0.3">
      <c r="A29" s="190" t="s">
        <v>198</v>
      </c>
      <c r="B29" s="44">
        <v>99</v>
      </c>
      <c r="C29" s="39">
        <v>41</v>
      </c>
      <c r="D29" s="39">
        <v>8</v>
      </c>
      <c r="E29" s="39">
        <v>6</v>
      </c>
      <c r="F29" s="194">
        <v>4</v>
      </c>
      <c r="G29" s="196">
        <f t="shared" si="0"/>
        <v>158</v>
      </c>
      <c r="H29" s="203">
        <v>0</v>
      </c>
      <c r="I29" s="204">
        <v>0</v>
      </c>
      <c r="J29" s="204">
        <v>0</v>
      </c>
      <c r="K29" s="204">
        <v>0</v>
      </c>
      <c r="L29" s="204">
        <v>0</v>
      </c>
      <c r="M29" s="205">
        <v>0</v>
      </c>
      <c r="N29" s="85">
        <f t="shared" si="1"/>
        <v>158</v>
      </c>
      <c r="O29" s="43">
        <f t="shared" si="2"/>
        <v>167.5</v>
      </c>
    </row>
    <row r="30" spans="1:15" ht="22.5" customHeight="1" x14ac:dyDescent="0.3">
      <c r="A30" s="190" t="s">
        <v>199</v>
      </c>
      <c r="B30" s="44">
        <v>121</v>
      </c>
      <c r="C30" s="39">
        <v>58</v>
      </c>
      <c r="D30" s="39">
        <v>8</v>
      </c>
      <c r="E30" s="39">
        <v>9</v>
      </c>
      <c r="F30" s="194">
        <v>1</v>
      </c>
      <c r="G30" s="196">
        <f t="shared" si="0"/>
        <v>197</v>
      </c>
      <c r="H30" s="203">
        <v>0</v>
      </c>
      <c r="I30" s="204">
        <v>0</v>
      </c>
      <c r="J30" s="204">
        <v>0</v>
      </c>
      <c r="K30" s="204">
        <v>0</v>
      </c>
      <c r="L30" s="204">
        <v>0</v>
      </c>
      <c r="M30" s="205">
        <v>0</v>
      </c>
      <c r="N30" s="85">
        <f t="shared" si="1"/>
        <v>197</v>
      </c>
      <c r="O30" s="43">
        <f t="shared" si="2"/>
        <v>193.5</v>
      </c>
    </row>
    <row r="31" spans="1:15" ht="22.5" customHeight="1" x14ac:dyDescent="0.3">
      <c r="A31" s="190" t="s">
        <v>200</v>
      </c>
      <c r="B31" s="44">
        <v>112</v>
      </c>
      <c r="C31" s="39">
        <v>53</v>
      </c>
      <c r="D31" s="39">
        <v>7</v>
      </c>
      <c r="E31" s="39">
        <v>7</v>
      </c>
      <c r="F31" s="194">
        <v>1</v>
      </c>
      <c r="G31" s="196">
        <f t="shared" si="0"/>
        <v>180</v>
      </c>
      <c r="H31" s="203">
        <v>0</v>
      </c>
      <c r="I31" s="204">
        <v>0</v>
      </c>
      <c r="J31" s="204">
        <v>0</v>
      </c>
      <c r="K31" s="204">
        <v>0</v>
      </c>
      <c r="L31" s="204">
        <v>1</v>
      </c>
      <c r="M31" s="205">
        <v>0</v>
      </c>
      <c r="N31" s="85">
        <f t="shared" si="1"/>
        <v>180</v>
      </c>
      <c r="O31" s="43">
        <f t="shared" si="2"/>
        <v>182.5</v>
      </c>
    </row>
    <row r="32" spans="1:15" ht="22.5" customHeight="1" x14ac:dyDescent="0.3">
      <c r="A32" s="190" t="s">
        <v>201</v>
      </c>
      <c r="B32" s="44">
        <v>137</v>
      </c>
      <c r="C32" s="39">
        <v>43</v>
      </c>
      <c r="D32" s="39">
        <v>8</v>
      </c>
      <c r="E32" s="39">
        <v>10</v>
      </c>
      <c r="F32" s="194">
        <v>4</v>
      </c>
      <c r="G32" s="196">
        <f t="shared" si="0"/>
        <v>202</v>
      </c>
      <c r="H32" s="203">
        <v>0</v>
      </c>
      <c r="I32" s="204">
        <v>0</v>
      </c>
      <c r="J32" s="204">
        <v>0</v>
      </c>
      <c r="K32" s="204">
        <v>0</v>
      </c>
      <c r="L32" s="204">
        <v>0</v>
      </c>
      <c r="M32" s="205">
        <v>0</v>
      </c>
      <c r="N32" s="85">
        <f t="shared" si="1"/>
        <v>202</v>
      </c>
      <c r="O32" s="43">
        <f t="shared" si="2"/>
        <v>218.5</v>
      </c>
    </row>
    <row r="33" spans="1:15" ht="22.5" customHeight="1" x14ac:dyDescent="0.3">
      <c r="A33" s="190" t="s">
        <v>202</v>
      </c>
      <c r="B33" s="44">
        <v>82</v>
      </c>
      <c r="C33" s="39">
        <v>27</v>
      </c>
      <c r="D33" s="39">
        <v>7</v>
      </c>
      <c r="E33" s="39">
        <v>10</v>
      </c>
      <c r="F33" s="194">
        <v>5</v>
      </c>
      <c r="G33" s="196">
        <f t="shared" si="0"/>
        <v>131</v>
      </c>
      <c r="H33" s="203">
        <v>0</v>
      </c>
      <c r="I33" s="204">
        <v>0</v>
      </c>
      <c r="J33" s="204">
        <v>0</v>
      </c>
      <c r="K33" s="204">
        <v>0</v>
      </c>
      <c r="L33" s="204">
        <v>0</v>
      </c>
      <c r="M33" s="205">
        <v>1</v>
      </c>
      <c r="N33" s="85">
        <f t="shared" si="1"/>
        <v>132</v>
      </c>
      <c r="O33" s="43">
        <f t="shared" si="2"/>
        <v>158.5</v>
      </c>
    </row>
    <row r="34" spans="1:15" ht="22.5" customHeight="1" x14ac:dyDescent="0.3">
      <c r="A34" s="190" t="s">
        <v>203</v>
      </c>
      <c r="B34" s="44">
        <v>88</v>
      </c>
      <c r="C34" s="39">
        <v>38</v>
      </c>
      <c r="D34" s="39">
        <v>7</v>
      </c>
      <c r="E34" s="39">
        <v>11</v>
      </c>
      <c r="F34" s="194">
        <v>3</v>
      </c>
      <c r="G34" s="196">
        <f t="shared" si="0"/>
        <v>147</v>
      </c>
      <c r="H34" s="203">
        <v>0</v>
      </c>
      <c r="I34" s="204">
        <v>0</v>
      </c>
      <c r="J34" s="204">
        <v>0</v>
      </c>
      <c r="K34" s="204">
        <v>0</v>
      </c>
      <c r="L34" s="204">
        <v>0</v>
      </c>
      <c r="M34" s="205">
        <v>0</v>
      </c>
      <c r="N34" s="85">
        <f t="shared" si="1"/>
        <v>147</v>
      </c>
      <c r="O34" s="43">
        <f t="shared" si="2"/>
        <v>164</v>
      </c>
    </row>
    <row r="35" spans="1:15" ht="22.5" customHeight="1" x14ac:dyDescent="0.3">
      <c r="A35" s="190" t="s">
        <v>204</v>
      </c>
      <c r="B35" s="44">
        <v>109</v>
      </c>
      <c r="C35" s="39">
        <v>53</v>
      </c>
      <c r="D35" s="39">
        <v>9</v>
      </c>
      <c r="E35" s="39">
        <v>8</v>
      </c>
      <c r="F35" s="194">
        <v>0</v>
      </c>
      <c r="G35" s="196">
        <f t="shared" si="0"/>
        <v>179</v>
      </c>
      <c r="H35" s="203">
        <v>0</v>
      </c>
      <c r="I35" s="204">
        <v>0</v>
      </c>
      <c r="J35" s="204">
        <v>0</v>
      </c>
      <c r="K35" s="204">
        <v>0</v>
      </c>
      <c r="L35" s="204">
        <v>2</v>
      </c>
      <c r="M35" s="205">
        <v>0</v>
      </c>
      <c r="N35" s="85">
        <f t="shared" si="1"/>
        <v>179</v>
      </c>
      <c r="O35" s="43">
        <f t="shared" si="2"/>
        <v>189</v>
      </c>
    </row>
    <row r="36" spans="1:15" ht="22.5" customHeight="1" x14ac:dyDescent="0.3">
      <c r="A36" s="190" t="s">
        <v>205</v>
      </c>
      <c r="B36" s="44">
        <v>103</v>
      </c>
      <c r="C36" s="39">
        <v>32</v>
      </c>
      <c r="D36" s="39">
        <v>8</v>
      </c>
      <c r="E36" s="39">
        <v>6</v>
      </c>
      <c r="F36" s="194">
        <v>2</v>
      </c>
      <c r="G36" s="196">
        <f t="shared" si="0"/>
        <v>151</v>
      </c>
      <c r="H36" s="203">
        <v>0</v>
      </c>
      <c r="I36" s="204">
        <v>0</v>
      </c>
      <c r="J36" s="204">
        <v>0</v>
      </c>
      <c r="K36" s="204">
        <v>0</v>
      </c>
      <c r="L36" s="204">
        <v>1</v>
      </c>
      <c r="M36" s="205">
        <v>0</v>
      </c>
      <c r="N36" s="85">
        <f t="shared" si="1"/>
        <v>151</v>
      </c>
      <c r="O36" s="43">
        <f t="shared" si="2"/>
        <v>166</v>
      </c>
    </row>
    <row r="37" spans="1:15" ht="22.5" customHeight="1" x14ac:dyDescent="0.3">
      <c r="A37" s="190" t="s">
        <v>206</v>
      </c>
      <c r="B37" s="44">
        <v>99</v>
      </c>
      <c r="C37" s="39">
        <v>41</v>
      </c>
      <c r="D37" s="39">
        <v>6</v>
      </c>
      <c r="E37" s="39">
        <v>12</v>
      </c>
      <c r="F37" s="194">
        <v>1</v>
      </c>
      <c r="G37" s="196">
        <f t="shared" si="0"/>
        <v>159</v>
      </c>
      <c r="H37" s="203">
        <v>0</v>
      </c>
      <c r="I37" s="204">
        <v>0</v>
      </c>
      <c r="J37" s="204">
        <v>0</v>
      </c>
      <c r="K37" s="204">
        <v>0</v>
      </c>
      <c r="L37" s="204">
        <v>3</v>
      </c>
      <c r="M37" s="205">
        <v>0</v>
      </c>
      <c r="N37" s="85">
        <f t="shared" si="1"/>
        <v>159</v>
      </c>
      <c r="O37" s="43">
        <f t="shared" si="2"/>
        <v>193</v>
      </c>
    </row>
    <row r="38" spans="1:15" ht="22.5" customHeight="1" x14ac:dyDescent="0.3">
      <c r="A38" s="190" t="s">
        <v>207</v>
      </c>
      <c r="B38" s="44">
        <v>90</v>
      </c>
      <c r="C38" s="39">
        <v>25</v>
      </c>
      <c r="D38" s="39">
        <v>11</v>
      </c>
      <c r="E38" s="39">
        <v>17</v>
      </c>
      <c r="F38" s="194">
        <v>3</v>
      </c>
      <c r="G38" s="196">
        <f t="shared" si="0"/>
        <v>146</v>
      </c>
      <c r="H38" s="203">
        <v>0</v>
      </c>
      <c r="I38" s="204">
        <v>0</v>
      </c>
      <c r="J38" s="204">
        <v>0</v>
      </c>
      <c r="K38" s="204">
        <v>0</v>
      </c>
      <c r="L38" s="204">
        <v>0</v>
      </c>
      <c r="M38" s="205">
        <v>0</v>
      </c>
      <c r="N38" s="85">
        <f t="shared" si="1"/>
        <v>146</v>
      </c>
      <c r="O38" s="43">
        <f t="shared" si="2"/>
        <v>183.5</v>
      </c>
    </row>
    <row r="39" spans="1:15" ht="22.5" customHeight="1" x14ac:dyDescent="0.3">
      <c r="A39" s="190" t="s">
        <v>208</v>
      </c>
      <c r="B39" s="44">
        <v>134</v>
      </c>
      <c r="C39" s="39">
        <v>31</v>
      </c>
      <c r="D39" s="39">
        <v>8</v>
      </c>
      <c r="E39" s="39">
        <v>10</v>
      </c>
      <c r="F39" s="194">
        <v>2</v>
      </c>
      <c r="G39" s="196">
        <f t="shared" si="0"/>
        <v>185</v>
      </c>
      <c r="H39" s="203">
        <v>0</v>
      </c>
      <c r="I39" s="204">
        <v>0</v>
      </c>
      <c r="J39" s="204">
        <v>0</v>
      </c>
      <c r="K39" s="204">
        <v>0</v>
      </c>
      <c r="L39" s="204">
        <v>0</v>
      </c>
      <c r="M39" s="205">
        <v>0</v>
      </c>
      <c r="N39" s="85">
        <f t="shared" si="1"/>
        <v>185</v>
      </c>
      <c r="O39" s="43">
        <f t="shared" si="2"/>
        <v>200.5</v>
      </c>
    </row>
    <row r="40" spans="1:15" ht="22.5" customHeight="1" x14ac:dyDescent="0.3">
      <c r="A40" s="190" t="s">
        <v>209</v>
      </c>
      <c r="B40" s="44">
        <v>139</v>
      </c>
      <c r="C40" s="39">
        <v>63</v>
      </c>
      <c r="D40" s="39">
        <v>1</v>
      </c>
      <c r="E40" s="39">
        <v>7</v>
      </c>
      <c r="F40" s="194">
        <v>2</v>
      </c>
      <c r="G40" s="196">
        <f t="shared" ref="G40:G71" si="3">SUM(B40:F40)</f>
        <v>212</v>
      </c>
      <c r="H40" s="203">
        <v>0</v>
      </c>
      <c r="I40" s="204">
        <v>0</v>
      </c>
      <c r="J40" s="204">
        <v>0</v>
      </c>
      <c r="K40" s="204">
        <v>0</v>
      </c>
      <c r="L40" s="204">
        <v>1</v>
      </c>
      <c r="M40" s="205">
        <v>0</v>
      </c>
      <c r="N40" s="85">
        <f t="shared" si="1"/>
        <v>212</v>
      </c>
      <c r="O40" s="43">
        <f t="shared" si="2"/>
        <v>210</v>
      </c>
    </row>
    <row r="41" spans="1:15" ht="22.5" customHeight="1" x14ac:dyDescent="0.3">
      <c r="A41" s="190" t="s">
        <v>210</v>
      </c>
      <c r="B41" s="44">
        <v>156</v>
      </c>
      <c r="C41" s="39">
        <v>78</v>
      </c>
      <c r="D41" s="39">
        <v>11</v>
      </c>
      <c r="E41" s="39">
        <v>4</v>
      </c>
      <c r="F41" s="194">
        <v>4</v>
      </c>
      <c r="G41" s="196">
        <f t="shared" si="3"/>
        <v>253</v>
      </c>
      <c r="H41" s="203">
        <v>0</v>
      </c>
      <c r="I41" s="204">
        <v>0</v>
      </c>
      <c r="J41" s="204">
        <v>0</v>
      </c>
      <c r="K41" s="204">
        <v>0</v>
      </c>
      <c r="L41" s="204">
        <v>1</v>
      </c>
      <c r="M41" s="205">
        <v>0</v>
      </c>
      <c r="N41" s="85">
        <f t="shared" si="1"/>
        <v>253</v>
      </c>
      <c r="O41" s="43">
        <f t="shared" si="2"/>
        <v>249.5</v>
      </c>
    </row>
    <row r="42" spans="1:15" ht="22.5" customHeight="1" x14ac:dyDescent="0.3">
      <c r="A42" s="190" t="s">
        <v>211</v>
      </c>
      <c r="B42" s="44">
        <v>143</v>
      </c>
      <c r="C42" s="39">
        <v>88</v>
      </c>
      <c r="D42" s="39">
        <v>2</v>
      </c>
      <c r="E42" s="39">
        <v>18</v>
      </c>
      <c r="F42" s="194">
        <v>0</v>
      </c>
      <c r="G42" s="196">
        <f t="shared" si="3"/>
        <v>251</v>
      </c>
      <c r="H42" s="203">
        <v>0</v>
      </c>
      <c r="I42" s="204">
        <v>0</v>
      </c>
      <c r="J42" s="204">
        <v>0</v>
      </c>
      <c r="K42" s="204">
        <v>0</v>
      </c>
      <c r="L42" s="204">
        <v>1</v>
      </c>
      <c r="M42" s="205">
        <v>0</v>
      </c>
      <c r="N42" s="85">
        <f t="shared" si="1"/>
        <v>251</v>
      </c>
      <c r="O42" s="43">
        <f t="shared" si="2"/>
        <v>252</v>
      </c>
    </row>
    <row r="43" spans="1:15" ht="22.5" customHeight="1" x14ac:dyDescent="0.3">
      <c r="A43" s="190" t="s">
        <v>212</v>
      </c>
      <c r="B43" s="44">
        <v>96</v>
      </c>
      <c r="C43" s="39">
        <v>58</v>
      </c>
      <c r="D43" s="39">
        <v>4</v>
      </c>
      <c r="E43" s="39">
        <v>5</v>
      </c>
      <c r="F43" s="194">
        <v>4</v>
      </c>
      <c r="G43" s="196">
        <f t="shared" si="3"/>
        <v>167</v>
      </c>
      <c r="H43" s="203">
        <v>0</v>
      </c>
      <c r="I43" s="204">
        <v>0</v>
      </c>
      <c r="J43" s="204">
        <v>0</v>
      </c>
      <c r="K43" s="204">
        <v>0</v>
      </c>
      <c r="L43" s="204">
        <v>0</v>
      </c>
      <c r="M43" s="205">
        <v>0</v>
      </c>
      <c r="N43" s="85">
        <f t="shared" si="1"/>
        <v>167</v>
      </c>
      <c r="O43" s="43">
        <f t="shared" si="2"/>
        <v>164</v>
      </c>
    </row>
    <row r="44" spans="1:15" ht="22.5" customHeight="1" x14ac:dyDescent="0.3">
      <c r="A44" s="190" t="s">
        <v>213</v>
      </c>
      <c r="B44" s="44">
        <v>118</v>
      </c>
      <c r="C44" s="39">
        <v>88</v>
      </c>
      <c r="D44" s="39">
        <v>2</v>
      </c>
      <c r="E44" s="39">
        <v>11</v>
      </c>
      <c r="F44" s="194">
        <v>2</v>
      </c>
      <c r="G44" s="196">
        <f t="shared" si="3"/>
        <v>221</v>
      </c>
      <c r="H44" s="203">
        <v>0</v>
      </c>
      <c r="I44" s="204">
        <v>0</v>
      </c>
      <c r="J44" s="204">
        <v>0</v>
      </c>
      <c r="K44" s="204">
        <v>0</v>
      </c>
      <c r="L44" s="204">
        <v>0</v>
      </c>
      <c r="M44" s="205">
        <v>0</v>
      </c>
      <c r="N44" s="85">
        <f t="shared" si="1"/>
        <v>221</v>
      </c>
      <c r="O44" s="43">
        <f t="shared" si="2"/>
        <v>207</v>
      </c>
    </row>
    <row r="45" spans="1:15" ht="22.5" customHeight="1" x14ac:dyDescent="0.3">
      <c r="A45" s="190" t="s">
        <v>214</v>
      </c>
      <c r="B45" s="44">
        <v>105</v>
      </c>
      <c r="C45" s="39">
        <v>38</v>
      </c>
      <c r="D45" s="39">
        <v>5</v>
      </c>
      <c r="E45" s="39">
        <v>17</v>
      </c>
      <c r="F45" s="194">
        <v>2</v>
      </c>
      <c r="G45" s="196">
        <f t="shared" si="3"/>
        <v>167</v>
      </c>
      <c r="H45" s="203">
        <v>0</v>
      </c>
      <c r="I45" s="204">
        <v>0</v>
      </c>
      <c r="J45" s="204">
        <v>0</v>
      </c>
      <c r="K45" s="204">
        <v>0</v>
      </c>
      <c r="L45" s="204">
        <v>0</v>
      </c>
      <c r="M45" s="205">
        <v>0</v>
      </c>
      <c r="N45" s="85">
        <f t="shared" si="1"/>
        <v>167</v>
      </c>
      <c r="O45" s="43">
        <f t="shared" si="2"/>
        <v>191.5</v>
      </c>
    </row>
    <row r="46" spans="1:15" ht="22.5" customHeight="1" x14ac:dyDescent="0.3">
      <c r="A46" s="190" t="s">
        <v>215</v>
      </c>
      <c r="B46" s="44">
        <v>119</v>
      </c>
      <c r="C46" s="39">
        <v>57</v>
      </c>
      <c r="D46" s="39">
        <v>5</v>
      </c>
      <c r="E46" s="39">
        <v>14</v>
      </c>
      <c r="F46" s="194">
        <v>2</v>
      </c>
      <c r="G46" s="196">
        <f t="shared" si="3"/>
        <v>197</v>
      </c>
      <c r="H46" s="203">
        <v>0</v>
      </c>
      <c r="I46" s="204">
        <v>0</v>
      </c>
      <c r="J46" s="204">
        <v>0</v>
      </c>
      <c r="K46" s="204">
        <v>0</v>
      </c>
      <c r="L46" s="204">
        <v>1</v>
      </c>
      <c r="M46" s="205">
        <v>0</v>
      </c>
      <c r="N46" s="85">
        <f t="shared" si="1"/>
        <v>197</v>
      </c>
      <c r="O46" s="43">
        <f t="shared" si="2"/>
        <v>214</v>
      </c>
    </row>
    <row r="47" spans="1:15" ht="22.5" customHeight="1" x14ac:dyDescent="0.3">
      <c r="A47" s="190" t="s">
        <v>216</v>
      </c>
      <c r="B47" s="44">
        <v>106</v>
      </c>
      <c r="C47" s="39">
        <v>62</v>
      </c>
      <c r="D47" s="39">
        <v>5</v>
      </c>
      <c r="E47" s="39">
        <v>15</v>
      </c>
      <c r="F47" s="194">
        <v>1</v>
      </c>
      <c r="G47" s="196">
        <f t="shared" si="3"/>
        <v>189</v>
      </c>
      <c r="H47" s="203">
        <v>0</v>
      </c>
      <c r="I47" s="204">
        <v>0</v>
      </c>
      <c r="J47" s="204">
        <v>0</v>
      </c>
      <c r="K47" s="204">
        <v>0</v>
      </c>
      <c r="L47" s="204">
        <v>0</v>
      </c>
      <c r="M47" s="205">
        <v>0</v>
      </c>
      <c r="N47" s="85">
        <f t="shared" si="1"/>
        <v>189</v>
      </c>
      <c r="O47" s="43">
        <f t="shared" si="2"/>
        <v>194</v>
      </c>
    </row>
    <row r="48" spans="1:15" ht="22.5" customHeight="1" x14ac:dyDescent="0.3">
      <c r="A48" s="190" t="s">
        <v>217</v>
      </c>
      <c r="B48" s="44">
        <v>93</v>
      </c>
      <c r="C48" s="39">
        <v>57</v>
      </c>
      <c r="D48" s="39">
        <v>2</v>
      </c>
      <c r="E48" s="39">
        <v>2</v>
      </c>
      <c r="F48" s="194">
        <v>0</v>
      </c>
      <c r="G48" s="196">
        <f t="shared" si="3"/>
        <v>154</v>
      </c>
      <c r="H48" s="203">
        <v>0</v>
      </c>
      <c r="I48" s="204">
        <v>0</v>
      </c>
      <c r="J48" s="204">
        <v>0</v>
      </c>
      <c r="K48" s="204">
        <v>0</v>
      </c>
      <c r="L48" s="204">
        <v>0</v>
      </c>
      <c r="M48" s="205">
        <v>0</v>
      </c>
      <c r="N48" s="85">
        <f t="shared" si="1"/>
        <v>154</v>
      </c>
      <c r="O48" s="43">
        <f t="shared" si="2"/>
        <v>130.5</v>
      </c>
    </row>
    <row r="49" spans="1:15" ht="22.5" customHeight="1" x14ac:dyDescent="0.3">
      <c r="A49" s="190" t="s">
        <v>218</v>
      </c>
      <c r="B49" s="44">
        <v>70</v>
      </c>
      <c r="C49" s="39">
        <v>25</v>
      </c>
      <c r="D49" s="39">
        <v>2</v>
      </c>
      <c r="E49" s="39">
        <v>7</v>
      </c>
      <c r="F49" s="194">
        <v>0</v>
      </c>
      <c r="G49" s="196">
        <f t="shared" si="3"/>
        <v>104</v>
      </c>
      <c r="H49" s="203">
        <v>0</v>
      </c>
      <c r="I49" s="204">
        <v>0</v>
      </c>
      <c r="J49" s="204">
        <v>0</v>
      </c>
      <c r="K49" s="204">
        <v>0</v>
      </c>
      <c r="L49" s="204">
        <v>0</v>
      </c>
      <c r="M49" s="205">
        <v>0</v>
      </c>
      <c r="N49" s="85">
        <f t="shared" si="1"/>
        <v>104</v>
      </c>
      <c r="O49" s="43">
        <f t="shared" si="2"/>
        <v>106.5</v>
      </c>
    </row>
    <row r="50" spans="1:15" ht="22.5" customHeight="1" x14ac:dyDescent="0.3">
      <c r="A50" s="190" t="s">
        <v>219</v>
      </c>
      <c r="B50" s="44">
        <v>86</v>
      </c>
      <c r="C50" s="39">
        <v>27</v>
      </c>
      <c r="D50" s="39">
        <v>3</v>
      </c>
      <c r="E50" s="39">
        <v>7</v>
      </c>
      <c r="F50" s="194">
        <v>2</v>
      </c>
      <c r="G50" s="196">
        <f t="shared" si="3"/>
        <v>125</v>
      </c>
      <c r="H50" s="203">
        <v>0</v>
      </c>
      <c r="I50" s="204">
        <v>0</v>
      </c>
      <c r="J50" s="204">
        <v>0</v>
      </c>
      <c r="K50" s="204">
        <v>0</v>
      </c>
      <c r="L50" s="204">
        <v>2</v>
      </c>
      <c r="M50" s="205">
        <v>0</v>
      </c>
      <c r="N50" s="85">
        <f t="shared" si="1"/>
        <v>125</v>
      </c>
      <c r="O50" s="43">
        <f t="shared" si="2"/>
        <v>150</v>
      </c>
    </row>
    <row r="51" spans="1:15" ht="22.5" customHeight="1" x14ac:dyDescent="0.3">
      <c r="A51" s="190" t="s">
        <v>220</v>
      </c>
      <c r="B51" s="44">
        <v>69</v>
      </c>
      <c r="C51" s="39">
        <v>41</v>
      </c>
      <c r="D51" s="39">
        <v>4</v>
      </c>
      <c r="E51" s="39">
        <v>2</v>
      </c>
      <c r="F51" s="194">
        <v>0</v>
      </c>
      <c r="G51" s="196">
        <f t="shared" si="3"/>
        <v>116</v>
      </c>
      <c r="H51" s="203">
        <v>0</v>
      </c>
      <c r="I51" s="204">
        <v>0</v>
      </c>
      <c r="J51" s="204">
        <v>0</v>
      </c>
      <c r="K51" s="204">
        <v>0</v>
      </c>
      <c r="L51" s="204">
        <v>2</v>
      </c>
      <c r="M51" s="205">
        <v>0</v>
      </c>
      <c r="N51" s="85">
        <f t="shared" si="1"/>
        <v>116</v>
      </c>
      <c r="O51" s="43">
        <f t="shared" si="2"/>
        <v>117.5</v>
      </c>
    </row>
    <row r="52" spans="1:15" ht="22.5" customHeight="1" x14ac:dyDescent="0.3">
      <c r="A52" s="190" t="s">
        <v>221</v>
      </c>
      <c r="B52" s="44">
        <v>111</v>
      </c>
      <c r="C52" s="39">
        <v>47</v>
      </c>
      <c r="D52" s="39">
        <v>3</v>
      </c>
      <c r="E52" s="39">
        <v>9</v>
      </c>
      <c r="F52" s="194">
        <v>1</v>
      </c>
      <c r="G52" s="196">
        <f t="shared" si="3"/>
        <v>171</v>
      </c>
      <c r="H52" s="203">
        <v>0</v>
      </c>
      <c r="I52" s="204">
        <v>0</v>
      </c>
      <c r="J52" s="204">
        <v>0</v>
      </c>
      <c r="K52" s="204">
        <v>0</v>
      </c>
      <c r="L52" s="204">
        <v>0</v>
      </c>
      <c r="M52" s="205">
        <v>0</v>
      </c>
      <c r="N52" s="85">
        <f t="shared" si="1"/>
        <v>171</v>
      </c>
      <c r="O52" s="43">
        <f t="shared" si="2"/>
        <v>170.5</v>
      </c>
    </row>
    <row r="53" spans="1:15" ht="22.5" customHeight="1" x14ac:dyDescent="0.3">
      <c r="A53" s="190" t="s">
        <v>222</v>
      </c>
      <c r="B53" s="44">
        <v>90</v>
      </c>
      <c r="C53" s="39">
        <v>43</v>
      </c>
      <c r="D53" s="39">
        <v>3</v>
      </c>
      <c r="E53" s="39">
        <v>4</v>
      </c>
      <c r="F53" s="194">
        <v>2</v>
      </c>
      <c r="G53" s="196">
        <f t="shared" si="3"/>
        <v>142</v>
      </c>
      <c r="H53" s="203">
        <v>0</v>
      </c>
      <c r="I53" s="204">
        <v>0</v>
      </c>
      <c r="J53" s="204">
        <v>0</v>
      </c>
      <c r="K53" s="204">
        <v>0</v>
      </c>
      <c r="L53" s="204">
        <v>0</v>
      </c>
      <c r="M53" s="205">
        <v>0</v>
      </c>
      <c r="N53" s="85">
        <f t="shared" si="1"/>
        <v>142</v>
      </c>
      <c r="O53" s="43">
        <f t="shared" si="2"/>
        <v>137</v>
      </c>
    </row>
    <row r="54" spans="1:15" ht="22.5" customHeight="1" x14ac:dyDescent="0.3">
      <c r="A54" s="190" t="s">
        <v>223</v>
      </c>
      <c r="B54" s="44">
        <v>86</v>
      </c>
      <c r="C54" s="39">
        <v>10</v>
      </c>
      <c r="D54" s="39">
        <v>4</v>
      </c>
      <c r="E54" s="39">
        <v>9</v>
      </c>
      <c r="F54" s="194">
        <v>1</v>
      </c>
      <c r="G54" s="196">
        <f t="shared" si="3"/>
        <v>110</v>
      </c>
      <c r="H54" s="203">
        <v>0</v>
      </c>
      <c r="I54" s="204">
        <v>0</v>
      </c>
      <c r="J54" s="204">
        <v>0</v>
      </c>
      <c r="K54" s="204">
        <v>0</v>
      </c>
      <c r="L54" s="204">
        <v>0</v>
      </c>
      <c r="M54" s="205">
        <v>0</v>
      </c>
      <c r="N54" s="85">
        <f t="shared" si="1"/>
        <v>110</v>
      </c>
      <c r="O54" s="43">
        <f t="shared" si="2"/>
        <v>128.5</v>
      </c>
    </row>
    <row r="55" spans="1:15" ht="22.5" customHeight="1" x14ac:dyDescent="0.3">
      <c r="A55" s="190" t="s">
        <v>224</v>
      </c>
      <c r="B55" s="44">
        <v>89</v>
      </c>
      <c r="C55" s="39">
        <v>25</v>
      </c>
      <c r="D55" s="39">
        <v>0</v>
      </c>
      <c r="E55" s="39">
        <v>12</v>
      </c>
      <c r="F55" s="194">
        <v>0</v>
      </c>
      <c r="G55" s="196">
        <f t="shared" si="3"/>
        <v>126</v>
      </c>
      <c r="H55" s="203">
        <v>0</v>
      </c>
      <c r="I55" s="204">
        <v>0</v>
      </c>
      <c r="J55" s="204">
        <v>0</v>
      </c>
      <c r="K55" s="204">
        <v>0</v>
      </c>
      <c r="L55" s="204">
        <v>0</v>
      </c>
      <c r="M55" s="205">
        <v>0</v>
      </c>
      <c r="N55" s="85">
        <f t="shared" si="1"/>
        <v>126</v>
      </c>
      <c r="O55" s="43">
        <f t="shared" si="2"/>
        <v>137.5</v>
      </c>
    </row>
    <row r="56" spans="1:15" ht="22.5" customHeight="1" x14ac:dyDescent="0.3">
      <c r="A56" s="190" t="s">
        <v>225</v>
      </c>
      <c r="B56" s="44">
        <v>98</v>
      </c>
      <c r="C56" s="39">
        <v>51</v>
      </c>
      <c r="D56" s="39">
        <v>2</v>
      </c>
      <c r="E56" s="39">
        <v>9</v>
      </c>
      <c r="F56" s="194">
        <v>0</v>
      </c>
      <c r="G56" s="196">
        <f t="shared" si="3"/>
        <v>160</v>
      </c>
      <c r="H56" s="203">
        <v>0</v>
      </c>
      <c r="I56" s="204">
        <v>0</v>
      </c>
      <c r="J56" s="204">
        <v>0</v>
      </c>
      <c r="K56" s="204">
        <v>0</v>
      </c>
      <c r="L56" s="204">
        <v>1</v>
      </c>
      <c r="M56" s="205">
        <v>0</v>
      </c>
      <c r="N56" s="85">
        <f t="shared" si="1"/>
        <v>160</v>
      </c>
      <c r="O56" s="43">
        <f t="shared" si="2"/>
        <v>161.5</v>
      </c>
    </row>
    <row r="57" spans="1:15" ht="22.5" customHeight="1" x14ac:dyDescent="0.3">
      <c r="A57" s="190" t="s">
        <v>226</v>
      </c>
      <c r="B57" s="44">
        <v>98</v>
      </c>
      <c r="C57" s="39">
        <v>15</v>
      </c>
      <c r="D57" s="39">
        <v>5</v>
      </c>
      <c r="E57" s="39">
        <v>9</v>
      </c>
      <c r="F57" s="194">
        <v>1</v>
      </c>
      <c r="G57" s="196">
        <f t="shared" si="3"/>
        <v>128</v>
      </c>
      <c r="H57" s="203">
        <v>0</v>
      </c>
      <c r="I57" s="204">
        <v>0</v>
      </c>
      <c r="J57" s="204">
        <v>0</v>
      </c>
      <c r="K57" s="204">
        <v>0</v>
      </c>
      <c r="L57" s="204">
        <v>0</v>
      </c>
      <c r="M57" s="205">
        <v>0</v>
      </c>
      <c r="N57" s="85">
        <f t="shared" si="1"/>
        <v>128</v>
      </c>
      <c r="O57" s="43">
        <f t="shared" si="2"/>
        <v>144.5</v>
      </c>
    </row>
    <row r="58" spans="1:15" ht="22.5" customHeight="1" x14ac:dyDescent="0.3">
      <c r="A58" s="190" t="s">
        <v>227</v>
      </c>
      <c r="B58" s="44">
        <v>67</v>
      </c>
      <c r="C58" s="39">
        <v>27</v>
      </c>
      <c r="D58" s="39">
        <v>2</v>
      </c>
      <c r="E58" s="39">
        <v>9</v>
      </c>
      <c r="F58" s="194">
        <v>0</v>
      </c>
      <c r="G58" s="196">
        <f t="shared" si="3"/>
        <v>105</v>
      </c>
      <c r="H58" s="203">
        <v>0</v>
      </c>
      <c r="I58" s="204">
        <v>0</v>
      </c>
      <c r="J58" s="204">
        <v>0</v>
      </c>
      <c r="K58" s="204">
        <v>0</v>
      </c>
      <c r="L58" s="204">
        <v>0</v>
      </c>
      <c r="M58" s="205">
        <v>0</v>
      </c>
      <c r="N58" s="85">
        <f t="shared" si="1"/>
        <v>105</v>
      </c>
      <c r="O58" s="43">
        <f t="shared" si="2"/>
        <v>110.5</v>
      </c>
    </row>
    <row r="59" spans="1:15" ht="22.5" customHeight="1" x14ac:dyDescent="0.3">
      <c r="A59" s="190" t="s">
        <v>228</v>
      </c>
      <c r="B59" s="44">
        <v>71</v>
      </c>
      <c r="C59" s="39">
        <v>25</v>
      </c>
      <c r="D59" s="39">
        <v>2</v>
      </c>
      <c r="E59" s="39">
        <v>8</v>
      </c>
      <c r="F59" s="194">
        <v>0</v>
      </c>
      <c r="G59" s="196">
        <f t="shared" si="3"/>
        <v>106</v>
      </c>
      <c r="H59" s="203">
        <v>0</v>
      </c>
      <c r="I59" s="204">
        <v>0</v>
      </c>
      <c r="J59" s="204">
        <v>0</v>
      </c>
      <c r="K59" s="204">
        <v>0</v>
      </c>
      <c r="L59" s="204">
        <v>0</v>
      </c>
      <c r="M59" s="205">
        <v>0</v>
      </c>
      <c r="N59" s="85">
        <f t="shared" si="1"/>
        <v>106</v>
      </c>
      <c r="O59" s="43">
        <f t="shared" si="2"/>
        <v>110.5</v>
      </c>
    </row>
    <row r="60" spans="1:15" ht="22.5" customHeight="1" x14ac:dyDescent="0.3">
      <c r="A60" s="190" t="s">
        <v>229</v>
      </c>
      <c r="B60" s="44">
        <v>81</v>
      </c>
      <c r="C60" s="39">
        <v>8</v>
      </c>
      <c r="D60" s="39">
        <v>2</v>
      </c>
      <c r="E60" s="39">
        <v>6</v>
      </c>
      <c r="F60" s="194">
        <v>2</v>
      </c>
      <c r="G60" s="196">
        <f t="shared" si="3"/>
        <v>99</v>
      </c>
      <c r="H60" s="203">
        <v>0</v>
      </c>
      <c r="I60" s="204">
        <v>0</v>
      </c>
      <c r="J60" s="204">
        <v>0</v>
      </c>
      <c r="K60" s="204">
        <v>0</v>
      </c>
      <c r="L60" s="204">
        <v>0</v>
      </c>
      <c r="M60" s="205">
        <v>0</v>
      </c>
      <c r="N60" s="85">
        <f t="shared" si="1"/>
        <v>99</v>
      </c>
      <c r="O60" s="43">
        <f t="shared" si="2"/>
        <v>115</v>
      </c>
    </row>
    <row r="61" spans="1:15" ht="22.5" customHeight="1" x14ac:dyDescent="0.3">
      <c r="A61" s="190" t="s">
        <v>230</v>
      </c>
      <c r="B61" s="44">
        <v>91</v>
      </c>
      <c r="C61" s="39">
        <v>43</v>
      </c>
      <c r="D61" s="39">
        <v>1</v>
      </c>
      <c r="E61" s="39">
        <v>7</v>
      </c>
      <c r="F61" s="194">
        <v>0</v>
      </c>
      <c r="G61" s="196">
        <f t="shared" si="3"/>
        <v>142</v>
      </c>
      <c r="H61" s="203">
        <v>0</v>
      </c>
      <c r="I61" s="204">
        <v>0</v>
      </c>
      <c r="J61" s="204">
        <v>0</v>
      </c>
      <c r="K61" s="204">
        <v>0</v>
      </c>
      <c r="L61" s="204">
        <v>0</v>
      </c>
      <c r="M61" s="205">
        <v>1</v>
      </c>
      <c r="N61" s="85">
        <f t="shared" si="1"/>
        <v>143</v>
      </c>
      <c r="O61" s="43">
        <f t="shared" si="2"/>
        <v>135</v>
      </c>
    </row>
    <row r="62" spans="1:15" ht="22.5" customHeight="1" x14ac:dyDescent="0.3">
      <c r="A62" s="190" t="s">
        <v>231</v>
      </c>
      <c r="B62" s="44">
        <v>96</v>
      </c>
      <c r="C62" s="39">
        <v>10</v>
      </c>
      <c r="D62" s="39">
        <v>2</v>
      </c>
      <c r="E62" s="39">
        <v>11</v>
      </c>
      <c r="F62" s="194">
        <v>3</v>
      </c>
      <c r="G62" s="196">
        <f t="shared" si="3"/>
        <v>122</v>
      </c>
      <c r="H62" s="203">
        <v>0</v>
      </c>
      <c r="I62" s="204">
        <v>0</v>
      </c>
      <c r="J62" s="204">
        <v>0</v>
      </c>
      <c r="K62" s="204">
        <v>0</v>
      </c>
      <c r="L62" s="204">
        <v>0</v>
      </c>
      <c r="M62" s="205">
        <v>0</v>
      </c>
      <c r="N62" s="85">
        <f t="shared" si="1"/>
        <v>122</v>
      </c>
      <c r="O62" s="43">
        <f t="shared" si="2"/>
        <v>150.5</v>
      </c>
    </row>
    <row r="63" spans="1:15" ht="22.5" customHeight="1" x14ac:dyDescent="0.3">
      <c r="A63" s="190" t="s">
        <v>232</v>
      </c>
      <c r="B63" s="44">
        <v>72</v>
      </c>
      <c r="C63" s="39">
        <v>12</v>
      </c>
      <c r="D63" s="39">
        <v>0</v>
      </c>
      <c r="E63" s="39">
        <v>5</v>
      </c>
      <c r="F63" s="194">
        <v>2</v>
      </c>
      <c r="G63" s="196">
        <f t="shared" si="3"/>
        <v>91</v>
      </c>
      <c r="H63" s="203">
        <v>0</v>
      </c>
      <c r="I63" s="204">
        <v>0</v>
      </c>
      <c r="J63" s="204">
        <v>0</v>
      </c>
      <c r="K63" s="204">
        <v>0</v>
      </c>
      <c r="L63" s="204">
        <v>1</v>
      </c>
      <c r="M63" s="205">
        <v>0</v>
      </c>
      <c r="N63" s="85">
        <f t="shared" si="1"/>
        <v>91</v>
      </c>
      <c r="O63" s="43">
        <f t="shared" si="2"/>
        <v>110</v>
      </c>
    </row>
    <row r="64" spans="1:15" ht="22.5" customHeight="1" x14ac:dyDescent="0.3">
      <c r="A64" s="190" t="s">
        <v>233</v>
      </c>
      <c r="B64" s="44">
        <v>76</v>
      </c>
      <c r="C64" s="39">
        <v>33</v>
      </c>
      <c r="D64" s="39">
        <v>6</v>
      </c>
      <c r="E64" s="39">
        <v>9</v>
      </c>
      <c r="F64" s="194">
        <v>0</v>
      </c>
      <c r="G64" s="196">
        <f t="shared" si="3"/>
        <v>124</v>
      </c>
      <c r="H64" s="203">
        <v>0</v>
      </c>
      <c r="I64" s="204">
        <v>0</v>
      </c>
      <c r="J64" s="204">
        <v>0</v>
      </c>
      <c r="K64" s="204">
        <v>0</v>
      </c>
      <c r="L64" s="204">
        <v>0</v>
      </c>
      <c r="M64" s="205">
        <v>0</v>
      </c>
      <c r="N64" s="85">
        <f t="shared" si="1"/>
        <v>124</v>
      </c>
      <c r="O64" s="43">
        <f t="shared" si="2"/>
        <v>128.5</v>
      </c>
    </row>
    <row r="65" spans="1:15" ht="22.5" customHeight="1" x14ac:dyDescent="0.3">
      <c r="A65" s="190" t="s">
        <v>234</v>
      </c>
      <c r="B65" s="44">
        <v>50</v>
      </c>
      <c r="C65" s="39">
        <v>18</v>
      </c>
      <c r="D65" s="39">
        <v>2</v>
      </c>
      <c r="E65" s="39">
        <v>5</v>
      </c>
      <c r="F65" s="194">
        <v>3</v>
      </c>
      <c r="G65" s="196">
        <f t="shared" si="3"/>
        <v>78</v>
      </c>
      <c r="H65" s="203">
        <v>0</v>
      </c>
      <c r="I65" s="204">
        <v>0</v>
      </c>
      <c r="J65" s="204">
        <v>0</v>
      </c>
      <c r="K65" s="204">
        <v>0</v>
      </c>
      <c r="L65" s="204">
        <v>1</v>
      </c>
      <c r="M65" s="205">
        <v>0</v>
      </c>
      <c r="N65" s="85">
        <f t="shared" si="1"/>
        <v>78</v>
      </c>
      <c r="O65" s="43">
        <f t="shared" si="2"/>
        <v>98.5</v>
      </c>
    </row>
    <row r="66" spans="1:15" ht="22.5" customHeight="1" x14ac:dyDescent="0.3">
      <c r="A66" s="190" t="s">
        <v>235</v>
      </c>
      <c r="B66" s="44">
        <v>62</v>
      </c>
      <c r="C66" s="39">
        <v>12</v>
      </c>
      <c r="D66" s="39">
        <v>5</v>
      </c>
      <c r="E66" s="39">
        <v>9</v>
      </c>
      <c r="F66" s="194">
        <v>4</v>
      </c>
      <c r="G66" s="196">
        <f t="shared" si="3"/>
        <v>92</v>
      </c>
      <c r="H66" s="203">
        <v>0</v>
      </c>
      <c r="I66" s="204">
        <v>0</v>
      </c>
      <c r="J66" s="204">
        <v>0</v>
      </c>
      <c r="K66" s="204">
        <v>0</v>
      </c>
      <c r="L66" s="204">
        <v>1</v>
      </c>
      <c r="M66" s="205">
        <v>0</v>
      </c>
      <c r="N66" s="85">
        <f t="shared" si="1"/>
        <v>92</v>
      </c>
      <c r="O66" s="43">
        <f t="shared" si="2"/>
        <v>128.5</v>
      </c>
    </row>
    <row r="67" spans="1:15" ht="22.5" customHeight="1" x14ac:dyDescent="0.3">
      <c r="A67" s="190" t="s">
        <v>236</v>
      </c>
      <c r="B67" s="44">
        <v>64</v>
      </c>
      <c r="C67" s="39">
        <v>27</v>
      </c>
      <c r="D67" s="39">
        <v>5</v>
      </c>
      <c r="E67" s="39">
        <v>3</v>
      </c>
      <c r="F67" s="194">
        <v>1</v>
      </c>
      <c r="G67" s="196">
        <f t="shared" si="3"/>
        <v>100</v>
      </c>
      <c r="H67" s="203">
        <v>0</v>
      </c>
      <c r="I67" s="204">
        <v>0</v>
      </c>
      <c r="J67" s="204">
        <v>0</v>
      </c>
      <c r="K67" s="204">
        <v>0</v>
      </c>
      <c r="L67" s="204">
        <v>1</v>
      </c>
      <c r="M67" s="205">
        <v>0</v>
      </c>
      <c r="N67" s="85">
        <f t="shared" si="1"/>
        <v>100</v>
      </c>
      <c r="O67" s="43">
        <f t="shared" si="2"/>
        <v>106.5</v>
      </c>
    </row>
    <row r="68" spans="1:15" ht="22.5" customHeight="1" x14ac:dyDescent="0.3">
      <c r="A68" s="190" t="s">
        <v>237</v>
      </c>
      <c r="B68" s="44">
        <v>58</v>
      </c>
      <c r="C68" s="39">
        <v>18</v>
      </c>
      <c r="D68" s="39">
        <v>4</v>
      </c>
      <c r="E68" s="39">
        <v>4</v>
      </c>
      <c r="F68" s="194">
        <v>1</v>
      </c>
      <c r="G68" s="196">
        <f t="shared" si="3"/>
        <v>85</v>
      </c>
      <c r="H68" s="203">
        <v>0</v>
      </c>
      <c r="I68" s="204">
        <v>0</v>
      </c>
      <c r="J68" s="204">
        <v>0</v>
      </c>
      <c r="K68" s="204">
        <v>0</v>
      </c>
      <c r="L68" s="204">
        <v>0</v>
      </c>
      <c r="M68" s="205">
        <v>0</v>
      </c>
      <c r="N68" s="85">
        <f t="shared" si="1"/>
        <v>85</v>
      </c>
      <c r="O68" s="43">
        <f t="shared" si="2"/>
        <v>89.5</v>
      </c>
    </row>
    <row r="69" spans="1:15" ht="22.5" customHeight="1" x14ac:dyDescent="0.3">
      <c r="A69" s="190" t="s">
        <v>238</v>
      </c>
      <c r="B69" s="44">
        <v>46</v>
      </c>
      <c r="C69" s="39">
        <v>15</v>
      </c>
      <c r="D69" s="39">
        <v>2</v>
      </c>
      <c r="E69" s="39">
        <v>3</v>
      </c>
      <c r="F69" s="194">
        <v>2</v>
      </c>
      <c r="G69" s="196">
        <f t="shared" si="3"/>
        <v>68</v>
      </c>
      <c r="H69" s="203">
        <v>0</v>
      </c>
      <c r="I69" s="204">
        <v>0</v>
      </c>
      <c r="J69" s="204">
        <v>0</v>
      </c>
      <c r="K69" s="204">
        <v>0</v>
      </c>
      <c r="L69" s="204">
        <v>1</v>
      </c>
      <c r="M69" s="205">
        <v>0</v>
      </c>
      <c r="N69" s="85">
        <f t="shared" si="1"/>
        <v>68</v>
      </c>
      <c r="O69" s="43">
        <f t="shared" si="2"/>
        <v>82.5</v>
      </c>
    </row>
    <row r="70" spans="1:15" ht="22.5" customHeight="1" x14ac:dyDescent="0.3">
      <c r="A70" s="190" t="s">
        <v>239</v>
      </c>
      <c r="B70" s="44">
        <v>33</v>
      </c>
      <c r="C70" s="39">
        <v>20</v>
      </c>
      <c r="D70" s="39">
        <v>2</v>
      </c>
      <c r="E70" s="39">
        <v>2</v>
      </c>
      <c r="F70" s="194">
        <v>1</v>
      </c>
      <c r="G70" s="196">
        <f t="shared" si="3"/>
        <v>58</v>
      </c>
      <c r="H70" s="203">
        <v>0</v>
      </c>
      <c r="I70" s="204">
        <v>0</v>
      </c>
      <c r="J70" s="204">
        <v>0</v>
      </c>
      <c r="K70" s="204">
        <v>0</v>
      </c>
      <c r="L70" s="204">
        <v>0</v>
      </c>
      <c r="M70" s="205">
        <v>0</v>
      </c>
      <c r="N70" s="85">
        <f t="shared" si="1"/>
        <v>58</v>
      </c>
      <c r="O70" s="43">
        <f t="shared" si="2"/>
        <v>56.5</v>
      </c>
    </row>
    <row r="71" spans="1:15" ht="22.5" customHeight="1" x14ac:dyDescent="0.3">
      <c r="A71" s="190" t="s">
        <v>240</v>
      </c>
      <c r="B71" s="44">
        <v>19</v>
      </c>
      <c r="C71" s="39">
        <v>10</v>
      </c>
      <c r="D71" s="39">
        <v>1</v>
      </c>
      <c r="E71" s="39">
        <v>2</v>
      </c>
      <c r="F71" s="194">
        <v>3</v>
      </c>
      <c r="G71" s="196">
        <f t="shared" si="3"/>
        <v>35</v>
      </c>
      <c r="H71" s="203">
        <v>0</v>
      </c>
      <c r="I71" s="204">
        <v>0</v>
      </c>
      <c r="J71" s="204">
        <v>0</v>
      </c>
      <c r="K71" s="204">
        <v>0</v>
      </c>
      <c r="L71" s="204">
        <v>0</v>
      </c>
      <c r="M71" s="205">
        <v>0</v>
      </c>
      <c r="N71" s="85">
        <f t="shared" si="1"/>
        <v>35</v>
      </c>
      <c r="O71" s="43">
        <f t="shared" si="2"/>
        <v>45</v>
      </c>
    </row>
    <row r="72" spans="1:15" ht="22.5" customHeight="1" x14ac:dyDescent="0.3">
      <c r="A72" s="190" t="s">
        <v>153</v>
      </c>
      <c r="B72" s="44">
        <v>34</v>
      </c>
      <c r="C72" s="39">
        <v>20</v>
      </c>
      <c r="D72" s="39">
        <v>3</v>
      </c>
      <c r="E72" s="39">
        <v>1</v>
      </c>
      <c r="F72" s="194">
        <v>2</v>
      </c>
      <c r="G72" s="196">
        <f t="shared" ref="G72:G103" si="4">SUM(B72:F72)</f>
        <v>60</v>
      </c>
      <c r="H72" s="203">
        <v>0</v>
      </c>
      <c r="I72" s="204">
        <v>0</v>
      </c>
      <c r="J72" s="204">
        <v>0</v>
      </c>
      <c r="K72" s="204">
        <v>0</v>
      </c>
      <c r="L72" s="204">
        <v>1</v>
      </c>
      <c r="M72" s="205">
        <v>0</v>
      </c>
      <c r="N72" s="85">
        <f t="shared" si="1"/>
        <v>60</v>
      </c>
      <c r="O72" s="43">
        <f t="shared" si="2"/>
        <v>68.5</v>
      </c>
    </row>
    <row r="73" spans="1:15" ht="22.5" customHeight="1" x14ac:dyDescent="0.3">
      <c r="A73" s="190" t="s">
        <v>154</v>
      </c>
      <c r="B73" s="44">
        <v>46</v>
      </c>
      <c r="C73" s="39">
        <v>15</v>
      </c>
      <c r="D73" s="39">
        <v>2</v>
      </c>
      <c r="E73" s="39">
        <v>3</v>
      </c>
      <c r="F73" s="194">
        <v>1</v>
      </c>
      <c r="G73" s="196">
        <f t="shared" si="4"/>
        <v>67</v>
      </c>
      <c r="H73" s="203">
        <v>1</v>
      </c>
      <c r="I73" s="204">
        <v>0</v>
      </c>
      <c r="J73" s="204">
        <v>0</v>
      </c>
      <c r="K73" s="204">
        <v>0</v>
      </c>
      <c r="L73" s="204">
        <v>0</v>
      </c>
      <c r="M73" s="205">
        <v>0</v>
      </c>
      <c r="N73" s="85">
        <f t="shared" ref="N73:N103" si="5">G73+M73</f>
        <v>67</v>
      </c>
      <c r="O73" s="43">
        <f t="shared" ref="O73:O103" si="6">B73*1+C73*0.5+D73*1.5+E73*3+F73*4.5+H73*0.5+I73*1.5+J73*3+K73*4+L73*8</f>
        <v>70.5</v>
      </c>
    </row>
    <row r="74" spans="1:15" ht="22.5" customHeight="1" x14ac:dyDescent="0.3">
      <c r="A74" s="190" t="s">
        <v>155</v>
      </c>
      <c r="B74" s="44">
        <v>31</v>
      </c>
      <c r="C74" s="39">
        <v>12</v>
      </c>
      <c r="D74" s="39">
        <v>1</v>
      </c>
      <c r="E74" s="39">
        <v>2</v>
      </c>
      <c r="F74" s="194">
        <v>0</v>
      </c>
      <c r="G74" s="196">
        <f t="shared" si="4"/>
        <v>46</v>
      </c>
      <c r="H74" s="203">
        <v>0</v>
      </c>
      <c r="I74" s="204">
        <v>0</v>
      </c>
      <c r="J74" s="204">
        <v>0</v>
      </c>
      <c r="K74" s="204">
        <v>0</v>
      </c>
      <c r="L74" s="204">
        <v>0</v>
      </c>
      <c r="M74" s="205">
        <v>0</v>
      </c>
      <c r="N74" s="85">
        <f t="shared" si="5"/>
        <v>46</v>
      </c>
      <c r="O74" s="43">
        <f t="shared" si="6"/>
        <v>44.5</v>
      </c>
    </row>
    <row r="75" spans="1:15" ht="22.5" customHeight="1" x14ac:dyDescent="0.3">
      <c r="A75" s="190" t="s">
        <v>156</v>
      </c>
      <c r="B75" s="44">
        <v>19</v>
      </c>
      <c r="C75" s="39">
        <v>10</v>
      </c>
      <c r="D75" s="39">
        <v>4</v>
      </c>
      <c r="E75" s="39">
        <v>1</v>
      </c>
      <c r="F75" s="194">
        <v>2</v>
      </c>
      <c r="G75" s="196">
        <f t="shared" si="4"/>
        <v>36</v>
      </c>
      <c r="H75" s="203">
        <v>0</v>
      </c>
      <c r="I75" s="204">
        <v>0</v>
      </c>
      <c r="J75" s="204">
        <v>0</v>
      </c>
      <c r="K75" s="204">
        <v>0</v>
      </c>
      <c r="L75" s="204">
        <v>0</v>
      </c>
      <c r="M75" s="205">
        <v>0</v>
      </c>
      <c r="N75" s="85">
        <f t="shared" si="5"/>
        <v>36</v>
      </c>
      <c r="O75" s="43">
        <f t="shared" si="6"/>
        <v>42</v>
      </c>
    </row>
    <row r="76" spans="1:15" ht="22.5" customHeight="1" x14ac:dyDescent="0.3">
      <c r="A76" s="190" t="s">
        <v>157</v>
      </c>
      <c r="B76" s="44">
        <v>19</v>
      </c>
      <c r="C76" s="39">
        <v>20</v>
      </c>
      <c r="D76" s="39">
        <v>2</v>
      </c>
      <c r="E76" s="39">
        <v>0</v>
      </c>
      <c r="F76" s="194">
        <v>1</v>
      </c>
      <c r="G76" s="196">
        <f t="shared" si="4"/>
        <v>42</v>
      </c>
      <c r="H76" s="203">
        <v>1</v>
      </c>
      <c r="I76" s="204">
        <v>0</v>
      </c>
      <c r="J76" s="204">
        <v>0</v>
      </c>
      <c r="K76" s="204">
        <v>0</v>
      </c>
      <c r="L76" s="204">
        <v>0</v>
      </c>
      <c r="M76" s="205">
        <v>0</v>
      </c>
      <c r="N76" s="85">
        <f t="shared" si="5"/>
        <v>42</v>
      </c>
      <c r="O76" s="43">
        <f t="shared" si="6"/>
        <v>37</v>
      </c>
    </row>
    <row r="77" spans="1:15" ht="22.5" customHeight="1" x14ac:dyDescent="0.3">
      <c r="A77" s="190" t="s">
        <v>158</v>
      </c>
      <c r="B77" s="44">
        <v>13</v>
      </c>
      <c r="C77" s="39">
        <v>8</v>
      </c>
      <c r="D77" s="39">
        <v>1</v>
      </c>
      <c r="E77" s="39">
        <v>0</v>
      </c>
      <c r="F77" s="194">
        <v>0</v>
      </c>
      <c r="G77" s="196">
        <f t="shared" si="4"/>
        <v>22</v>
      </c>
      <c r="H77" s="203">
        <v>0</v>
      </c>
      <c r="I77" s="204">
        <v>0</v>
      </c>
      <c r="J77" s="204">
        <v>0</v>
      </c>
      <c r="K77" s="204">
        <v>0</v>
      </c>
      <c r="L77" s="204">
        <v>0</v>
      </c>
      <c r="M77" s="205">
        <v>0</v>
      </c>
      <c r="N77" s="85">
        <f t="shared" si="5"/>
        <v>22</v>
      </c>
      <c r="O77" s="43">
        <f t="shared" si="6"/>
        <v>18.5</v>
      </c>
    </row>
    <row r="78" spans="1:15" ht="22.5" customHeight="1" x14ac:dyDescent="0.3">
      <c r="A78" s="190" t="s">
        <v>159</v>
      </c>
      <c r="B78" s="44">
        <v>12</v>
      </c>
      <c r="C78" s="39">
        <v>8</v>
      </c>
      <c r="D78" s="39">
        <v>0</v>
      </c>
      <c r="E78" s="39">
        <v>0</v>
      </c>
      <c r="F78" s="194">
        <v>0</v>
      </c>
      <c r="G78" s="196">
        <f t="shared" si="4"/>
        <v>20</v>
      </c>
      <c r="H78" s="203">
        <v>0</v>
      </c>
      <c r="I78" s="204">
        <v>0</v>
      </c>
      <c r="J78" s="204">
        <v>0</v>
      </c>
      <c r="K78" s="204">
        <v>0</v>
      </c>
      <c r="L78" s="204">
        <v>0</v>
      </c>
      <c r="M78" s="205">
        <v>0</v>
      </c>
      <c r="N78" s="85">
        <f t="shared" si="5"/>
        <v>20</v>
      </c>
      <c r="O78" s="43">
        <f t="shared" si="6"/>
        <v>16</v>
      </c>
    </row>
    <row r="79" spans="1:15" ht="22.5" customHeight="1" x14ac:dyDescent="0.3">
      <c r="A79" s="190" t="s">
        <v>160</v>
      </c>
      <c r="B79" s="44">
        <v>11</v>
      </c>
      <c r="C79" s="39">
        <v>10</v>
      </c>
      <c r="D79" s="39">
        <v>0</v>
      </c>
      <c r="E79" s="39">
        <v>0</v>
      </c>
      <c r="F79" s="194">
        <v>0</v>
      </c>
      <c r="G79" s="196">
        <f t="shared" si="4"/>
        <v>21</v>
      </c>
      <c r="H79" s="203">
        <v>0</v>
      </c>
      <c r="I79" s="204">
        <v>0</v>
      </c>
      <c r="J79" s="204">
        <v>0</v>
      </c>
      <c r="K79" s="204">
        <v>0</v>
      </c>
      <c r="L79" s="204">
        <v>0</v>
      </c>
      <c r="M79" s="205">
        <v>0</v>
      </c>
      <c r="N79" s="85">
        <f t="shared" si="5"/>
        <v>21</v>
      </c>
      <c r="O79" s="43">
        <f t="shared" si="6"/>
        <v>16</v>
      </c>
    </row>
    <row r="80" spans="1:15" ht="22.5" customHeight="1" x14ac:dyDescent="0.3">
      <c r="A80" s="190" t="s">
        <v>161</v>
      </c>
      <c r="B80" s="44">
        <v>4</v>
      </c>
      <c r="C80" s="39">
        <v>2</v>
      </c>
      <c r="D80" s="39">
        <v>0</v>
      </c>
      <c r="E80" s="39">
        <v>0</v>
      </c>
      <c r="F80" s="194">
        <v>0</v>
      </c>
      <c r="G80" s="196">
        <f t="shared" si="4"/>
        <v>6</v>
      </c>
      <c r="H80" s="203">
        <v>0</v>
      </c>
      <c r="I80" s="204">
        <v>0</v>
      </c>
      <c r="J80" s="204">
        <v>0</v>
      </c>
      <c r="K80" s="204">
        <v>0</v>
      </c>
      <c r="L80" s="204">
        <v>0</v>
      </c>
      <c r="M80" s="205">
        <v>0</v>
      </c>
      <c r="N80" s="85">
        <f t="shared" si="5"/>
        <v>6</v>
      </c>
      <c r="O80" s="43">
        <f t="shared" si="6"/>
        <v>5</v>
      </c>
    </row>
    <row r="81" spans="1:15" ht="22.5" customHeight="1" x14ac:dyDescent="0.3">
      <c r="A81" s="190" t="s">
        <v>162</v>
      </c>
      <c r="B81" s="44">
        <v>12</v>
      </c>
      <c r="C81" s="39">
        <v>20</v>
      </c>
      <c r="D81" s="39">
        <v>0</v>
      </c>
      <c r="E81" s="39">
        <v>0</v>
      </c>
      <c r="F81" s="194">
        <v>0</v>
      </c>
      <c r="G81" s="196">
        <f t="shared" si="4"/>
        <v>32</v>
      </c>
      <c r="H81" s="203">
        <v>1</v>
      </c>
      <c r="I81" s="204">
        <v>0</v>
      </c>
      <c r="J81" s="204">
        <v>0</v>
      </c>
      <c r="K81" s="204">
        <v>0</v>
      </c>
      <c r="L81" s="204">
        <v>0</v>
      </c>
      <c r="M81" s="205">
        <v>0</v>
      </c>
      <c r="N81" s="85">
        <f t="shared" si="5"/>
        <v>32</v>
      </c>
      <c r="O81" s="43">
        <f t="shared" si="6"/>
        <v>22.5</v>
      </c>
    </row>
    <row r="82" spans="1:15" ht="22.5" customHeight="1" x14ac:dyDescent="0.3">
      <c r="A82" s="190" t="s">
        <v>163</v>
      </c>
      <c r="B82" s="44">
        <v>13</v>
      </c>
      <c r="C82" s="39">
        <v>15</v>
      </c>
      <c r="D82" s="39">
        <v>0</v>
      </c>
      <c r="E82" s="39">
        <v>0</v>
      </c>
      <c r="F82" s="194">
        <v>0</v>
      </c>
      <c r="G82" s="196">
        <f t="shared" si="4"/>
        <v>28</v>
      </c>
      <c r="H82" s="203">
        <v>0</v>
      </c>
      <c r="I82" s="204">
        <v>0</v>
      </c>
      <c r="J82" s="204">
        <v>0</v>
      </c>
      <c r="K82" s="204">
        <v>0</v>
      </c>
      <c r="L82" s="204">
        <v>0</v>
      </c>
      <c r="M82" s="205">
        <v>0</v>
      </c>
      <c r="N82" s="85">
        <f t="shared" si="5"/>
        <v>28</v>
      </c>
      <c r="O82" s="43">
        <f t="shared" si="6"/>
        <v>20.5</v>
      </c>
    </row>
    <row r="83" spans="1:15" ht="22.5" customHeight="1" x14ac:dyDescent="0.3">
      <c r="A83" s="190" t="s">
        <v>164</v>
      </c>
      <c r="B83" s="44">
        <v>5</v>
      </c>
      <c r="C83" s="39">
        <v>2</v>
      </c>
      <c r="D83" s="39">
        <v>0</v>
      </c>
      <c r="E83" s="39">
        <v>1</v>
      </c>
      <c r="F83" s="194">
        <v>0</v>
      </c>
      <c r="G83" s="196">
        <f t="shared" si="4"/>
        <v>8</v>
      </c>
      <c r="H83" s="203">
        <v>0</v>
      </c>
      <c r="I83" s="204">
        <v>0</v>
      </c>
      <c r="J83" s="204">
        <v>0</v>
      </c>
      <c r="K83" s="204">
        <v>0</v>
      </c>
      <c r="L83" s="204">
        <v>0</v>
      </c>
      <c r="M83" s="205">
        <v>0</v>
      </c>
      <c r="N83" s="85">
        <f t="shared" si="5"/>
        <v>8</v>
      </c>
      <c r="O83" s="43">
        <f t="shared" si="6"/>
        <v>9</v>
      </c>
    </row>
    <row r="84" spans="1:15" ht="22.5" customHeight="1" x14ac:dyDescent="0.3">
      <c r="A84" s="190" t="s">
        <v>165</v>
      </c>
      <c r="B84" s="44">
        <v>6</v>
      </c>
      <c r="C84" s="39">
        <v>10</v>
      </c>
      <c r="D84" s="39">
        <v>0</v>
      </c>
      <c r="E84" s="39">
        <v>0</v>
      </c>
      <c r="F84" s="194">
        <v>0</v>
      </c>
      <c r="G84" s="196">
        <f t="shared" si="4"/>
        <v>16</v>
      </c>
      <c r="H84" s="203">
        <v>0</v>
      </c>
      <c r="I84" s="204">
        <v>0</v>
      </c>
      <c r="J84" s="204">
        <v>0</v>
      </c>
      <c r="K84" s="204">
        <v>0</v>
      </c>
      <c r="L84" s="204">
        <v>0</v>
      </c>
      <c r="M84" s="205">
        <v>0</v>
      </c>
      <c r="N84" s="85">
        <f t="shared" si="5"/>
        <v>16</v>
      </c>
      <c r="O84" s="43">
        <f t="shared" si="6"/>
        <v>11</v>
      </c>
    </row>
    <row r="85" spans="1:15" ht="22.5" customHeight="1" x14ac:dyDescent="0.3">
      <c r="A85" s="190" t="s">
        <v>166</v>
      </c>
      <c r="B85" s="44">
        <v>7</v>
      </c>
      <c r="C85" s="39">
        <v>8</v>
      </c>
      <c r="D85" s="39">
        <v>1</v>
      </c>
      <c r="E85" s="39">
        <v>0</v>
      </c>
      <c r="F85" s="194">
        <v>0</v>
      </c>
      <c r="G85" s="196">
        <f t="shared" si="4"/>
        <v>16</v>
      </c>
      <c r="H85" s="203">
        <v>0</v>
      </c>
      <c r="I85" s="204">
        <v>0</v>
      </c>
      <c r="J85" s="204">
        <v>0</v>
      </c>
      <c r="K85" s="204">
        <v>0</v>
      </c>
      <c r="L85" s="204">
        <v>0</v>
      </c>
      <c r="M85" s="205">
        <v>0</v>
      </c>
      <c r="N85" s="85">
        <f t="shared" si="5"/>
        <v>16</v>
      </c>
      <c r="O85" s="43">
        <f t="shared" si="6"/>
        <v>12.5</v>
      </c>
    </row>
    <row r="86" spans="1:15" ht="22.5" customHeight="1" x14ac:dyDescent="0.3">
      <c r="A86" s="190" t="s">
        <v>167</v>
      </c>
      <c r="B86" s="44">
        <v>7</v>
      </c>
      <c r="C86" s="39">
        <v>20</v>
      </c>
      <c r="D86" s="39">
        <v>2</v>
      </c>
      <c r="E86" s="39">
        <v>1</v>
      </c>
      <c r="F86" s="194">
        <v>0</v>
      </c>
      <c r="G86" s="196">
        <f t="shared" si="4"/>
        <v>30</v>
      </c>
      <c r="H86" s="203">
        <v>0</v>
      </c>
      <c r="I86" s="204">
        <v>0</v>
      </c>
      <c r="J86" s="204">
        <v>0</v>
      </c>
      <c r="K86" s="204">
        <v>0</v>
      </c>
      <c r="L86" s="204">
        <v>0</v>
      </c>
      <c r="M86" s="205">
        <v>0</v>
      </c>
      <c r="N86" s="85">
        <f t="shared" si="5"/>
        <v>30</v>
      </c>
      <c r="O86" s="43">
        <f t="shared" si="6"/>
        <v>23</v>
      </c>
    </row>
    <row r="87" spans="1:15" ht="22.5" customHeight="1" x14ac:dyDescent="0.3">
      <c r="A87" s="190" t="s">
        <v>168</v>
      </c>
      <c r="B87" s="44">
        <v>7</v>
      </c>
      <c r="C87" s="39">
        <v>18</v>
      </c>
      <c r="D87" s="39">
        <v>0</v>
      </c>
      <c r="E87" s="39">
        <v>0</v>
      </c>
      <c r="F87" s="194">
        <v>0</v>
      </c>
      <c r="G87" s="196">
        <f t="shared" si="4"/>
        <v>25</v>
      </c>
      <c r="H87" s="203">
        <v>0</v>
      </c>
      <c r="I87" s="204">
        <v>0</v>
      </c>
      <c r="J87" s="204">
        <v>0</v>
      </c>
      <c r="K87" s="204">
        <v>0</v>
      </c>
      <c r="L87" s="204">
        <v>0</v>
      </c>
      <c r="M87" s="205">
        <v>0</v>
      </c>
      <c r="N87" s="85">
        <f t="shared" si="5"/>
        <v>25</v>
      </c>
      <c r="O87" s="43">
        <f t="shared" si="6"/>
        <v>16</v>
      </c>
    </row>
    <row r="88" spans="1:15" ht="22.5" customHeight="1" x14ac:dyDescent="0.3">
      <c r="A88" s="190" t="s">
        <v>169</v>
      </c>
      <c r="B88" s="44">
        <v>13</v>
      </c>
      <c r="C88" s="39">
        <v>27</v>
      </c>
      <c r="D88" s="39">
        <v>1</v>
      </c>
      <c r="E88" s="39">
        <v>2</v>
      </c>
      <c r="F88" s="194">
        <v>0</v>
      </c>
      <c r="G88" s="196">
        <f t="shared" si="4"/>
        <v>43</v>
      </c>
      <c r="H88" s="203">
        <v>1</v>
      </c>
      <c r="I88" s="204">
        <v>0</v>
      </c>
      <c r="J88" s="204">
        <v>0</v>
      </c>
      <c r="K88" s="204">
        <v>0</v>
      </c>
      <c r="L88" s="204">
        <v>0</v>
      </c>
      <c r="M88" s="205">
        <v>0</v>
      </c>
      <c r="N88" s="85">
        <f t="shared" si="5"/>
        <v>43</v>
      </c>
      <c r="O88" s="43">
        <f t="shared" si="6"/>
        <v>34.5</v>
      </c>
    </row>
    <row r="89" spans="1:15" ht="22.5" customHeight="1" x14ac:dyDescent="0.3">
      <c r="A89" s="190" t="s">
        <v>170</v>
      </c>
      <c r="B89" s="44">
        <v>10</v>
      </c>
      <c r="C89" s="39">
        <v>22</v>
      </c>
      <c r="D89" s="39">
        <v>2</v>
      </c>
      <c r="E89" s="39">
        <v>2</v>
      </c>
      <c r="F89" s="194">
        <v>0</v>
      </c>
      <c r="G89" s="196">
        <f t="shared" si="4"/>
        <v>36</v>
      </c>
      <c r="H89" s="203">
        <v>0</v>
      </c>
      <c r="I89" s="204">
        <v>0</v>
      </c>
      <c r="J89" s="204">
        <v>0</v>
      </c>
      <c r="K89" s="204">
        <v>0</v>
      </c>
      <c r="L89" s="204">
        <v>0</v>
      </c>
      <c r="M89" s="205">
        <v>0</v>
      </c>
      <c r="N89" s="85">
        <f t="shared" si="5"/>
        <v>36</v>
      </c>
      <c r="O89" s="43">
        <f t="shared" si="6"/>
        <v>30</v>
      </c>
    </row>
    <row r="90" spans="1:15" ht="22.5" customHeight="1" x14ac:dyDescent="0.3">
      <c r="A90" s="190" t="s">
        <v>171</v>
      </c>
      <c r="B90" s="44">
        <v>15</v>
      </c>
      <c r="C90" s="39">
        <v>33</v>
      </c>
      <c r="D90" s="39">
        <v>1</v>
      </c>
      <c r="E90" s="39">
        <v>0</v>
      </c>
      <c r="F90" s="194">
        <v>0</v>
      </c>
      <c r="G90" s="196">
        <f t="shared" si="4"/>
        <v>49</v>
      </c>
      <c r="H90" s="203">
        <v>1</v>
      </c>
      <c r="I90" s="204">
        <v>0</v>
      </c>
      <c r="J90" s="204">
        <v>0</v>
      </c>
      <c r="K90" s="204">
        <v>0</v>
      </c>
      <c r="L90" s="204">
        <v>0</v>
      </c>
      <c r="M90" s="205">
        <v>0</v>
      </c>
      <c r="N90" s="85">
        <f t="shared" si="5"/>
        <v>49</v>
      </c>
      <c r="O90" s="43">
        <f t="shared" si="6"/>
        <v>33.5</v>
      </c>
    </row>
    <row r="91" spans="1:15" ht="22.5" customHeight="1" x14ac:dyDescent="0.3">
      <c r="A91" s="190" t="s">
        <v>172</v>
      </c>
      <c r="B91" s="44">
        <v>12</v>
      </c>
      <c r="C91" s="39">
        <v>32</v>
      </c>
      <c r="D91" s="39">
        <v>0</v>
      </c>
      <c r="E91" s="39">
        <v>1</v>
      </c>
      <c r="F91" s="194">
        <v>0</v>
      </c>
      <c r="G91" s="196">
        <f t="shared" si="4"/>
        <v>45</v>
      </c>
      <c r="H91" s="203">
        <v>0</v>
      </c>
      <c r="I91" s="204">
        <v>0</v>
      </c>
      <c r="J91" s="204">
        <v>0</v>
      </c>
      <c r="K91" s="204">
        <v>0</v>
      </c>
      <c r="L91" s="204">
        <v>0</v>
      </c>
      <c r="M91" s="205">
        <v>0</v>
      </c>
      <c r="N91" s="85">
        <f t="shared" si="5"/>
        <v>45</v>
      </c>
      <c r="O91" s="43">
        <f t="shared" si="6"/>
        <v>31</v>
      </c>
    </row>
    <row r="92" spans="1:15" ht="22.5" customHeight="1" x14ac:dyDescent="0.3">
      <c r="A92" s="190" t="s">
        <v>173</v>
      </c>
      <c r="B92" s="44">
        <v>15</v>
      </c>
      <c r="C92" s="39">
        <v>40</v>
      </c>
      <c r="D92" s="39">
        <v>0</v>
      </c>
      <c r="E92" s="39">
        <v>0</v>
      </c>
      <c r="F92" s="194">
        <v>1</v>
      </c>
      <c r="G92" s="196">
        <f t="shared" si="4"/>
        <v>56</v>
      </c>
      <c r="H92" s="203">
        <v>0</v>
      </c>
      <c r="I92" s="204">
        <v>0</v>
      </c>
      <c r="J92" s="204">
        <v>0</v>
      </c>
      <c r="K92" s="204">
        <v>0</v>
      </c>
      <c r="L92" s="204">
        <v>0</v>
      </c>
      <c r="M92" s="205">
        <v>0</v>
      </c>
      <c r="N92" s="85">
        <f t="shared" si="5"/>
        <v>56</v>
      </c>
      <c r="O92" s="43">
        <f t="shared" si="6"/>
        <v>39.5</v>
      </c>
    </row>
    <row r="93" spans="1:15" ht="22.5" customHeight="1" x14ac:dyDescent="0.3">
      <c r="A93" s="190" t="s">
        <v>174</v>
      </c>
      <c r="B93" s="44">
        <v>30</v>
      </c>
      <c r="C93" s="39">
        <v>78</v>
      </c>
      <c r="D93" s="39">
        <v>1</v>
      </c>
      <c r="E93" s="39">
        <v>1</v>
      </c>
      <c r="F93" s="194">
        <v>0</v>
      </c>
      <c r="G93" s="196">
        <f t="shared" si="4"/>
        <v>110</v>
      </c>
      <c r="H93" s="203">
        <v>0</v>
      </c>
      <c r="I93" s="204">
        <v>0</v>
      </c>
      <c r="J93" s="204">
        <v>0</v>
      </c>
      <c r="K93" s="204">
        <v>0</v>
      </c>
      <c r="L93" s="204">
        <v>0</v>
      </c>
      <c r="M93" s="205">
        <v>0</v>
      </c>
      <c r="N93" s="85">
        <f t="shared" si="5"/>
        <v>110</v>
      </c>
      <c r="O93" s="43">
        <f t="shared" si="6"/>
        <v>73.5</v>
      </c>
    </row>
    <row r="94" spans="1:15" ht="22.5" customHeight="1" x14ac:dyDescent="0.3">
      <c r="A94" s="190" t="s">
        <v>175</v>
      </c>
      <c r="B94" s="44">
        <v>44</v>
      </c>
      <c r="C94" s="39">
        <v>108</v>
      </c>
      <c r="D94" s="39">
        <v>0</v>
      </c>
      <c r="E94" s="39">
        <v>2</v>
      </c>
      <c r="F94" s="194">
        <v>0</v>
      </c>
      <c r="G94" s="196">
        <f t="shared" si="4"/>
        <v>154</v>
      </c>
      <c r="H94" s="203">
        <v>1</v>
      </c>
      <c r="I94" s="204">
        <v>0</v>
      </c>
      <c r="J94" s="204">
        <v>0</v>
      </c>
      <c r="K94" s="204">
        <v>0</v>
      </c>
      <c r="L94" s="204">
        <v>1</v>
      </c>
      <c r="M94" s="205">
        <v>0</v>
      </c>
      <c r="N94" s="85">
        <f t="shared" si="5"/>
        <v>154</v>
      </c>
      <c r="O94" s="43">
        <f t="shared" si="6"/>
        <v>112.5</v>
      </c>
    </row>
    <row r="95" spans="1:15" ht="22.5" customHeight="1" x14ac:dyDescent="0.3">
      <c r="A95" s="190" t="s">
        <v>176</v>
      </c>
      <c r="B95" s="44">
        <v>67</v>
      </c>
      <c r="C95" s="39">
        <v>156</v>
      </c>
      <c r="D95" s="39">
        <v>0</v>
      </c>
      <c r="E95" s="39">
        <v>3</v>
      </c>
      <c r="F95" s="194">
        <v>0</v>
      </c>
      <c r="G95" s="196">
        <f t="shared" si="4"/>
        <v>226</v>
      </c>
      <c r="H95" s="203">
        <v>0</v>
      </c>
      <c r="I95" s="204">
        <v>0</v>
      </c>
      <c r="J95" s="204">
        <v>0</v>
      </c>
      <c r="K95" s="204">
        <v>0</v>
      </c>
      <c r="L95" s="204">
        <v>2</v>
      </c>
      <c r="M95" s="205">
        <v>0</v>
      </c>
      <c r="N95" s="85">
        <f t="shared" si="5"/>
        <v>226</v>
      </c>
      <c r="O95" s="43">
        <f t="shared" si="6"/>
        <v>170</v>
      </c>
    </row>
    <row r="96" spans="1:15" ht="22.5" customHeight="1" x14ac:dyDescent="0.3">
      <c r="A96" s="190" t="s">
        <v>135</v>
      </c>
      <c r="B96" s="44">
        <v>74</v>
      </c>
      <c r="C96" s="39">
        <v>183</v>
      </c>
      <c r="D96" s="39">
        <v>1</v>
      </c>
      <c r="E96" s="39">
        <v>0</v>
      </c>
      <c r="F96" s="194">
        <v>1</v>
      </c>
      <c r="G96" s="196">
        <f t="shared" si="4"/>
        <v>259</v>
      </c>
      <c r="H96" s="203">
        <v>0</v>
      </c>
      <c r="I96" s="204">
        <v>0</v>
      </c>
      <c r="J96" s="204">
        <v>0</v>
      </c>
      <c r="K96" s="204">
        <v>0</v>
      </c>
      <c r="L96" s="204">
        <v>0</v>
      </c>
      <c r="M96" s="205">
        <v>0</v>
      </c>
      <c r="N96" s="85">
        <f t="shared" si="5"/>
        <v>259</v>
      </c>
      <c r="O96" s="43">
        <f t="shared" si="6"/>
        <v>171.5</v>
      </c>
    </row>
    <row r="97" spans="1:15" ht="22.5" customHeight="1" x14ac:dyDescent="0.3">
      <c r="A97" s="190" t="s">
        <v>136</v>
      </c>
      <c r="B97" s="44">
        <v>101</v>
      </c>
      <c r="C97" s="39">
        <v>233</v>
      </c>
      <c r="D97" s="39">
        <v>2</v>
      </c>
      <c r="E97" s="39">
        <v>1</v>
      </c>
      <c r="F97" s="194">
        <v>2</v>
      </c>
      <c r="G97" s="196">
        <f t="shared" si="4"/>
        <v>339</v>
      </c>
      <c r="H97" s="203">
        <v>1</v>
      </c>
      <c r="I97" s="204">
        <v>0</v>
      </c>
      <c r="J97" s="204">
        <v>0</v>
      </c>
      <c r="K97" s="204">
        <v>0</v>
      </c>
      <c r="L97" s="204">
        <v>1</v>
      </c>
      <c r="M97" s="205">
        <v>0</v>
      </c>
      <c r="N97" s="85">
        <f t="shared" si="5"/>
        <v>339</v>
      </c>
      <c r="O97" s="43">
        <f t="shared" si="6"/>
        <v>241</v>
      </c>
    </row>
    <row r="98" spans="1:15" ht="22.5" customHeight="1" x14ac:dyDescent="0.3">
      <c r="A98" s="190" t="s">
        <v>137</v>
      </c>
      <c r="B98" s="44">
        <v>140</v>
      </c>
      <c r="C98" s="39">
        <v>301</v>
      </c>
      <c r="D98" s="39">
        <v>0</v>
      </c>
      <c r="E98" s="39">
        <v>2</v>
      </c>
      <c r="F98" s="194">
        <v>0</v>
      </c>
      <c r="G98" s="196">
        <f t="shared" si="4"/>
        <v>443</v>
      </c>
      <c r="H98" s="203">
        <v>2</v>
      </c>
      <c r="I98" s="204">
        <v>0</v>
      </c>
      <c r="J98" s="204">
        <v>0</v>
      </c>
      <c r="K98" s="204">
        <v>0</v>
      </c>
      <c r="L98" s="204">
        <v>2</v>
      </c>
      <c r="M98" s="205">
        <v>0</v>
      </c>
      <c r="N98" s="85">
        <f t="shared" si="5"/>
        <v>443</v>
      </c>
      <c r="O98" s="43">
        <f t="shared" si="6"/>
        <v>313.5</v>
      </c>
    </row>
    <row r="99" spans="1:15" ht="22.5" customHeight="1" x14ac:dyDescent="0.3">
      <c r="A99" s="190" t="s">
        <v>138</v>
      </c>
      <c r="B99" s="44">
        <v>161</v>
      </c>
      <c r="C99" s="39">
        <v>335</v>
      </c>
      <c r="D99" s="39">
        <v>1</v>
      </c>
      <c r="E99" s="39">
        <v>1</v>
      </c>
      <c r="F99" s="194">
        <v>1</v>
      </c>
      <c r="G99" s="196">
        <f t="shared" si="4"/>
        <v>499</v>
      </c>
      <c r="H99" s="203">
        <v>0</v>
      </c>
      <c r="I99" s="204">
        <v>0</v>
      </c>
      <c r="J99" s="204">
        <v>0</v>
      </c>
      <c r="K99" s="204">
        <v>0</v>
      </c>
      <c r="L99" s="204">
        <v>0</v>
      </c>
      <c r="M99" s="205">
        <v>0</v>
      </c>
      <c r="N99" s="85">
        <f t="shared" si="5"/>
        <v>499</v>
      </c>
      <c r="O99" s="43">
        <f t="shared" si="6"/>
        <v>337.5</v>
      </c>
    </row>
    <row r="100" spans="1:15" ht="22.5" customHeight="1" x14ac:dyDescent="0.3">
      <c r="A100" s="190" t="s">
        <v>139</v>
      </c>
      <c r="B100" s="44">
        <v>181</v>
      </c>
      <c r="C100" s="39">
        <v>371</v>
      </c>
      <c r="D100" s="39">
        <v>2</v>
      </c>
      <c r="E100" s="39">
        <v>2</v>
      </c>
      <c r="F100" s="194">
        <v>0</v>
      </c>
      <c r="G100" s="196">
        <f t="shared" si="4"/>
        <v>556</v>
      </c>
      <c r="H100" s="203">
        <v>1</v>
      </c>
      <c r="I100" s="204">
        <v>0</v>
      </c>
      <c r="J100" s="204">
        <v>0</v>
      </c>
      <c r="K100" s="204">
        <v>0</v>
      </c>
      <c r="L100" s="204">
        <v>1</v>
      </c>
      <c r="M100" s="205">
        <v>0</v>
      </c>
      <c r="N100" s="85">
        <f t="shared" si="5"/>
        <v>556</v>
      </c>
      <c r="O100" s="43">
        <f t="shared" si="6"/>
        <v>384</v>
      </c>
    </row>
    <row r="101" spans="1:15" ht="22.5" customHeight="1" x14ac:dyDescent="0.3">
      <c r="A101" s="190" t="s">
        <v>140</v>
      </c>
      <c r="B101" s="44">
        <v>230</v>
      </c>
      <c r="C101" s="39">
        <v>450</v>
      </c>
      <c r="D101" s="39">
        <v>1</v>
      </c>
      <c r="E101" s="39">
        <v>6</v>
      </c>
      <c r="F101" s="194">
        <v>1</v>
      </c>
      <c r="G101" s="196">
        <f t="shared" si="4"/>
        <v>688</v>
      </c>
      <c r="H101" s="203">
        <v>2</v>
      </c>
      <c r="I101" s="204">
        <v>0</v>
      </c>
      <c r="J101" s="204">
        <v>0</v>
      </c>
      <c r="K101" s="204">
        <v>0</v>
      </c>
      <c r="L101" s="204">
        <v>2</v>
      </c>
      <c r="M101" s="205">
        <v>0</v>
      </c>
      <c r="N101" s="85">
        <f t="shared" si="5"/>
        <v>688</v>
      </c>
      <c r="O101" s="43">
        <f t="shared" si="6"/>
        <v>496</v>
      </c>
    </row>
    <row r="102" spans="1:15" ht="22.5" customHeight="1" x14ac:dyDescent="0.3">
      <c r="A102" s="190" t="s">
        <v>141</v>
      </c>
      <c r="B102" s="44">
        <v>253</v>
      </c>
      <c r="C102" s="39">
        <v>526</v>
      </c>
      <c r="D102" s="39">
        <v>2</v>
      </c>
      <c r="E102" s="39">
        <v>5</v>
      </c>
      <c r="F102" s="194">
        <v>1</v>
      </c>
      <c r="G102" s="196">
        <f t="shared" si="4"/>
        <v>787</v>
      </c>
      <c r="H102" s="203">
        <v>2</v>
      </c>
      <c r="I102" s="204">
        <v>0</v>
      </c>
      <c r="J102" s="204">
        <v>0</v>
      </c>
      <c r="K102" s="204">
        <v>0</v>
      </c>
      <c r="L102" s="204">
        <v>4</v>
      </c>
      <c r="M102" s="205">
        <v>0</v>
      </c>
      <c r="N102" s="85">
        <f t="shared" si="5"/>
        <v>787</v>
      </c>
      <c r="O102" s="43">
        <f t="shared" si="6"/>
        <v>571.5</v>
      </c>
    </row>
    <row r="103" spans="1:15" ht="22.5" customHeight="1" thickBot="1" x14ac:dyDescent="0.35">
      <c r="A103" s="191" t="s">
        <v>142</v>
      </c>
      <c r="B103" s="46">
        <v>290</v>
      </c>
      <c r="C103" s="47">
        <v>575</v>
      </c>
      <c r="D103" s="47">
        <v>3</v>
      </c>
      <c r="E103" s="47">
        <v>9</v>
      </c>
      <c r="F103" s="195">
        <v>2</v>
      </c>
      <c r="G103" s="197">
        <f t="shared" si="4"/>
        <v>879</v>
      </c>
      <c r="H103" s="206">
        <v>3</v>
      </c>
      <c r="I103" s="207">
        <v>0</v>
      </c>
      <c r="J103" s="207">
        <v>0</v>
      </c>
      <c r="K103" s="207">
        <v>0</v>
      </c>
      <c r="L103" s="207">
        <v>3</v>
      </c>
      <c r="M103" s="208">
        <v>0</v>
      </c>
      <c r="N103" s="116">
        <f t="shared" si="5"/>
        <v>879</v>
      </c>
      <c r="O103" s="84">
        <f t="shared" si="6"/>
        <v>643.5</v>
      </c>
    </row>
    <row r="104" spans="1:15" ht="22.5" customHeight="1" thickBot="1" x14ac:dyDescent="0.35">
      <c r="A104" s="86" t="s">
        <v>11</v>
      </c>
      <c r="B104" s="117">
        <f t="shared" ref="B104:N104" si="7">SUM(B8:B103)</f>
        <v>8964</v>
      </c>
      <c r="C104" s="117">
        <f t="shared" si="7"/>
        <v>7500</v>
      </c>
      <c r="D104" s="117">
        <f t="shared" si="7"/>
        <v>293</v>
      </c>
      <c r="E104" s="118">
        <f t="shared" si="7"/>
        <v>617</v>
      </c>
      <c r="F104" s="118">
        <f t="shared" si="7"/>
        <v>147</v>
      </c>
      <c r="G104" s="94">
        <f t="shared" si="7"/>
        <v>17521</v>
      </c>
      <c r="H104" s="117">
        <f t="shared" si="7"/>
        <v>19</v>
      </c>
      <c r="I104" s="117">
        <f t="shared" si="7"/>
        <v>0</v>
      </c>
      <c r="J104" s="117">
        <f t="shared" si="7"/>
        <v>0</v>
      </c>
      <c r="K104" s="118">
        <f t="shared" si="7"/>
        <v>0</v>
      </c>
      <c r="L104" s="118">
        <f t="shared" si="7"/>
        <v>71</v>
      </c>
      <c r="M104" s="199">
        <f>SUM(M8:M103)</f>
        <v>6</v>
      </c>
      <c r="N104" s="95">
        <f t="shared" si="7"/>
        <v>17527</v>
      </c>
      <c r="O104" s="142">
        <f>SUM(O8:O103)</f>
        <v>16243.5</v>
      </c>
    </row>
    <row r="105" spans="1:15" ht="22.5" customHeight="1" thickBot="1" x14ac:dyDescent="0.35">
      <c r="A105" s="41" t="s">
        <v>143</v>
      </c>
      <c r="B105" s="88">
        <f>+B104*1</f>
        <v>8964</v>
      </c>
      <c r="C105" s="88">
        <f>+C104*0.5</f>
        <v>3750</v>
      </c>
      <c r="D105" s="88">
        <f>+D104*1.5</f>
        <v>439.5</v>
      </c>
      <c r="E105" s="88">
        <f>+E104*3</f>
        <v>1851</v>
      </c>
      <c r="F105" s="89">
        <f>+F104*4.5</f>
        <v>661.5</v>
      </c>
      <c r="G105" s="90">
        <f>SUM(B105:F105)</f>
        <v>15666</v>
      </c>
      <c r="H105" s="88">
        <f>+H104*0.5</f>
        <v>9.5</v>
      </c>
      <c r="I105" s="89">
        <f>+I104*1.5</f>
        <v>0</v>
      </c>
      <c r="J105" s="89">
        <f>+J104*3</f>
        <v>0</v>
      </c>
      <c r="K105" s="96">
        <f>+K104*4</f>
        <v>0</v>
      </c>
      <c r="L105" s="96">
        <f>+L104*8</f>
        <v>568</v>
      </c>
      <c r="M105" s="147">
        <f>SUM(H105:L105)</f>
        <v>577.5</v>
      </c>
      <c r="N105" s="91"/>
      <c r="O105" s="92">
        <f>G105+M105</f>
        <v>16243.5</v>
      </c>
    </row>
    <row r="106" spans="1:15" ht="22.5" customHeight="1" thickBot="1" x14ac:dyDescent="0.35">
      <c r="A106" s="42" t="s">
        <v>12</v>
      </c>
      <c r="B106" s="93">
        <f t="shared" ref="B106:N106" si="8">B104/$N$104</f>
        <v>0.51143949335311234</v>
      </c>
      <c r="C106" s="93">
        <f t="shared" si="8"/>
        <v>0.42791122268500026</v>
      </c>
      <c r="D106" s="93">
        <f t="shared" si="8"/>
        <v>1.6717065099560679E-2</v>
      </c>
      <c r="E106" s="93">
        <f t="shared" si="8"/>
        <v>3.5202829919552689E-2</v>
      </c>
      <c r="F106" s="93">
        <f t="shared" si="8"/>
        <v>8.3870599646260063E-3</v>
      </c>
      <c r="G106" s="98">
        <f t="shared" si="8"/>
        <v>0.99965767102185199</v>
      </c>
      <c r="H106" s="93">
        <f t="shared" si="8"/>
        <v>1.084041764135334E-3</v>
      </c>
      <c r="I106" s="93">
        <f t="shared" si="8"/>
        <v>0</v>
      </c>
      <c r="J106" s="93">
        <f t="shared" si="8"/>
        <v>0</v>
      </c>
      <c r="K106" s="97">
        <f t="shared" si="8"/>
        <v>0</v>
      </c>
      <c r="L106" s="97">
        <f t="shared" si="8"/>
        <v>4.0508929080846695E-3</v>
      </c>
      <c r="M106" s="98">
        <f t="shared" si="8"/>
        <v>3.4232897814800024E-4</v>
      </c>
      <c r="N106" s="99">
        <f t="shared" si="8"/>
        <v>1</v>
      </c>
      <c r="O106" s="94"/>
    </row>
    <row r="108" spans="1:15" s="4" customFormat="1" x14ac:dyDescent="0.3">
      <c r="A108" s="4" t="s">
        <v>103</v>
      </c>
      <c r="B108" s="4" t="str">
        <f>B2</f>
        <v>TMC-14 Number (D2)</v>
      </c>
    </row>
    <row r="109" spans="1:15" s="4" customFormat="1" x14ac:dyDescent="0.3">
      <c r="A109" s="4" t="s">
        <v>102</v>
      </c>
      <c r="B109" s="4" t="str">
        <f>B3</f>
        <v>D2</v>
      </c>
    </row>
    <row r="110" spans="1:15" s="4" customFormat="1" x14ac:dyDescent="0.3">
      <c r="A110" s="4" t="s">
        <v>104</v>
      </c>
      <c r="B110" s="4" t="str">
        <f>B4</f>
        <v>Nindar</v>
      </c>
      <c r="D110" s="4" t="str">
        <f>D4</f>
        <v>To:</v>
      </c>
    </row>
    <row r="111" spans="1:15" ht="16.2" thickBot="1" x14ac:dyDescent="0.35"/>
    <row r="112" spans="1:15" ht="25.2" customHeight="1" x14ac:dyDescent="0.3">
      <c r="A112" s="252" t="s">
        <v>95</v>
      </c>
      <c r="B112" s="258" t="s">
        <v>280</v>
      </c>
      <c r="C112" s="254" t="s">
        <v>281</v>
      </c>
      <c r="D112" s="250" t="s">
        <v>282</v>
      </c>
      <c r="E112" s="260" t="s">
        <v>283</v>
      </c>
      <c r="F112" s="256" t="s">
        <v>284</v>
      </c>
      <c r="G112" s="250" t="s">
        <v>129</v>
      </c>
      <c r="H112" s="248" t="s">
        <v>150</v>
      </c>
      <c r="I112" s="250" t="s">
        <v>151</v>
      </c>
      <c r="J112" s="250" t="s">
        <v>285</v>
      </c>
      <c r="K112" s="248" t="s">
        <v>286</v>
      </c>
      <c r="L112" s="250" t="s">
        <v>287</v>
      </c>
      <c r="M112" s="250" t="s">
        <v>78</v>
      </c>
      <c r="N112" s="250" t="s">
        <v>131</v>
      </c>
      <c r="O112" s="250" t="s">
        <v>132</v>
      </c>
    </row>
    <row r="113" spans="1:15" ht="43.5" customHeight="1" thickBot="1" x14ac:dyDescent="0.35">
      <c r="A113" s="253"/>
      <c r="B113" s="259"/>
      <c r="C113" s="255"/>
      <c r="D113" s="251"/>
      <c r="E113" s="261"/>
      <c r="F113" s="257"/>
      <c r="G113" s="259"/>
      <c r="H113" s="249"/>
      <c r="I113" s="251"/>
      <c r="J113" s="251"/>
      <c r="K113" s="249"/>
      <c r="L113" s="251"/>
      <c r="M113" s="251"/>
      <c r="N113" s="251"/>
      <c r="O113" s="251"/>
    </row>
    <row r="114" spans="1:15" ht="22.95" customHeight="1" x14ac:dyDescent="0.3">
      <c r="A114" s="52" t="s">
        <v>15</v>
      </c>
      <c r="B114" s="112">
        <f>B8+B9+B10+B11</f>
        <v>622</v>
      </c>
      <c r="C114" s="113">
        <f t="shared" ref="C114:F115" si="9">C8+C9+C10+C11</f>
        <v>648</v>
      </c>
      <c r="D114" s="113">
        <f t="shared" si="9"/>
        <v>8</v>
      </c>
      <c r="E114" s="113">
        <f t="shared" si="9"/>
        <v>34</v>
      </c>
      <c r="F114" s="113">
        <f t="shared" si="9"/>
        <v>10</v>
      </c>
      <c r="G114" s="49">
        <f t="shared" ref="G114:G145" si="10">SUM(B114:F114)</f>
        <v>1322</v>
      </c>
      <c r="H114" s="112">
        <f t="shared" ref="H114" si="11">H8+H9+H10+H11</f>
        <v>2</v>
      </c>
      <c r="I114" s="113">
        <f t="shared" ref="I114:L114" si="12">I8+I9+I10+I11</f>
        <v>0</v>
      </c>
      <c r="J114" s="113">
        <f t="shared" si="12"/>
        <v>0</v>
      </c>
      <c r="K114" s="114">
        <f t="shared" si="12"/>
        <v>0</v>
      </c>
      <c r="L114" s="143">
        <f t="shared" si="12"/>
        <v>13</v>
      </c>
      <c r="M114" s="49">
        <f>SUM(H114:K114)</f>
        <v>2</v>
      </c>
      <c r="N114" s="40">
        <f>G114+M114</f>
        <v>1324</v>
      </c>
      <c r="O114" s="115">
        <f>B114*1+C114*0.5+D114*1.5+E114*3+F114*4.5+H114*0.5+I114*1.5+J114*3+K114*4+L114*8</f>
        <v>1210</v>
      </c>
    </row>
    <row r="115" spans="1:15" ht="22.95" customHeight="1" x14ac:dyDescent="0.3">
      <c r="A115" s="52" t="s">
        <v>16</v>
      </c>
      <c r="B115" s="44">
        <f>B9+B10+B11+B12</f>
        <v>590</v>
      </c>
      <c r="C115" s="39">
        <f t="shared" si="9"/>
        <v>629</v>
      </c>
      <c r="D115" s="39">
        <f t="shared" si="9"/>
        <v>4</v>
      </c>
      <c r="E115" s="39">
        <f t="shared" si="9"/>
        <v>34</v>
      </c>
      <c r="F115" s="39">
        <f t="shared" si="9"/>
        <v>8</v>
      </c>
      <c r="G115" s="50">
        <f t="shared" si="10"/>
        <v>1265</v>
      </c>
      <c r="H115" s="44">
        <f t="shared" ref="H115:L115" si="13">H9+H10+H11+H12</f>
        <v>0</v>
      </c>
      <c r="I115" s="39">
        <f t="shared" si="13"/>
        <v>0</v>
      </c>
      <c r="J115" s="39">
        <f t="shared" si="13"/>
        <v>0</v>
      </c>
      <c r="K115" s="45">
        <f t="shared" si="13"/>
        <v>0</v>
      </c>
      <c r="L115" s="144">
        <f t="shared" si="13"/>
        <v>11</v>
      </c>
      <c r="M115" s="50">
        <f t="shared" ref="M115:M178" si="14">SUM(H115:K115)</f>
        <v>0</v>
      </c>
      <c r="N115" s="40">
        <f t="shared" ref="N115:N178" si="15">G115+M115</f>
        <v>1265</v>
      </c>
      <c r="O115" s="43">
        <f t="shared" ref="O115:O178" si="16">B115*1+C115*0.5+D115*1.5+E115*3+F115*4.5+H115*0.5+I115*1.5+J115*3+K115*4+L115*8</f>
        <v>1136.5</v>
      </c>
    </row>
    <row r="116" spans="1:15" ht="22.95" customHeight="1" x14ac:dyDescent="0.3">
      <c r="A116" s="52" t="s">
        <v>17</v>
      </c>
      <c r="B116" s="44">
        <f t="shared" ref="B116:F131" si="17">B10+B11+B12+B13</f>
        <v>550</v>
      </c>
      <c r="C116" s="39">
        <f t="shared" si="17"/>
        <v>608</v>
      </c>
      <c r="D116" s="39">
        <f t="shared" si="17"/>
        <v>5</v>
      </c>
      <c r="E116" s="39">
        <f t="shared" si="17"/>
        <v>32</v>
      </c>
      <c r="F116" s="39">
        <f t="shared" si="17"/>
        <v>8</v>
      </c>
      <c r="G116" s="50">
        <f t="shared" si="10"/>
        <v>1203</v>
      </c>
      <c r="H116" s="44">
        <f t="shared" ref="H116:L116" si="18">H10+H11+H12+H13</f>
        <v>0</v>
      </c>
      <c r="I116" s="39">
        <f t="shared" si="18"/>
        <v>0</v>
      </c>
      <c r="J116" s="39">
        <f t="shared" si="18"/>
        <v>0</v>
      </c>
      <c r="K116" s="45">
        <f t="shared" si="18"/>
        <v>0</v>
      </c>
      <c r="L116" s="144">
        <f t="shared" si="18"/>
        <v>10</v>
      </c>
      <c r="M116" s="50">
        <f t="shared" si="14"/>
        <v>0</v>
      </c>
      <c r="N116" s="40">
        <f t="shared" si="15"/>
        <v>1203</v>
      </c>
      <c r="O116" s="43">
        <f t="shared" si="16"/>
        <v>1073.5</v>
      </c>
    </row>
    <row r="117" spans="1:15" ht="22.95" customHeight="1" x14ac:dyDescent="0.3">
      <c r="A117" s="52" t="s">
        <v>18</v>
      </c>
      <c r="B117" s="44">
        <f t="shared" si="17"/>
        <v>549</v>
      </c>
      <c r="C117" s="39">
        <f t="shared" si="17"/>
        <v>661</v>
      </c>
      <c r="D117" s="39">
        <f t="shared" si="17"/>
        <v>9</v>
      </c>
      <c r="E117" s="39">
        <f t="shared" si="17"/>
        <v>27</v>
      </c>
      <c r="F117" s="39">
        <f t="shared" si="17"/>
        <v>2</v>
      </c>
      <c r="G117" s="50">
        <f t="shared" si="10"/>
        <v>1248</v>
      </c>
      <c r="H117" s="44">
        <f t="shared" ref="H117:L117" si="19">H11+H12+H13+H14</f>
        <v>0</v>
      </c>
      <c r="I117" s="39">
        <f t="shared" si="19"/>
        <v>0</v>
      </c>
      <c r="J117" s="39">
        <f t="shared" si="19"/>
        <v>0</v>
      </c>
      <c r="K117" s="45">
        <f t="shared" si="19"/>
        <v>0</v>
      </c>
      <c r="L117" s="144">
        <f t="shared" si="19"/>
        <v>13</v>
      </c>
      <c r="M117" s="50">
        <f t="shared" si="14"/>
        <v>0</v>
      </c>
      <c r="N117" s="40">
        <f t="shared" si="15"/>
        <v>1248</v>
      </c>
      <c r="O117" s="43">
        <f t="shared" si="16"/>
        <v>1087</v>
      </c>
    </row>
    <row r="118" spans="1:15" ht="22.95" customHeight="1" x14ac:dyDescent="0.3">
      <c r="A118" s="52" t="s">
        <v>19</v>
      </c>
      <c r="B118" s="44">
        <f t="shared" si="17"/>
        <v>626</v>
      </c>
      <c r="C118" s="39">
        <f t="shared" si="17"/>
        <v>693</v>
      </c>
      <c r="D118" s="39">
        <f t="shared" si="17"/>
        <v>14</v>
      </c>
      <c r="E118" s="39">
        <f t="shared" si="17"/>
        <v>42</v>
      </c>
      <c r="F118" s="39">
        <f t="shared" si="17"/>
        <v>3</v>
      </c>
      <c r="G118" s="50">
        <f t="shared" si="10"/>
        <v>1378</v>
      </c>
      <c r="H118" s="44">
        <f t="shared" ref="H118:L118" si="20">H12+H13+H14+H15</f>
        <v>0</v>
      </c>
      <c r="I118" s="39">
        <f t="shared" si="20"/>
        <v>0</v>
      </c>
      <c r="J118" s="39">
        <f t="shared" si="20"/>
        <v>0</v>
      </c>
      <c r="K118" s="45">
        <f t="shared" si="20"/>
        <v>0</v>
      </c>
      <c r="L118" s="144">
        <f t="shared" si="20"/>
        <v>10</v>
      </c>
      <c r="M118" s="50">
        <f t="shared" si="14"/>
        <v>0</v>
      </c>
      <c r="N118" s="40">
        <f t="shared" si="15"/>
        <v>1378</v>
      </c>
      <c r="O118" s="43">
        <f t="shared" si="16"/>
        <v>1213</v>
      </c>
    </row>
    <row r="119" spans="1:15" ht="22.95" customHeight="1" x14ac:dyDescent="0.3">
      <c r="A119" s="52" t="s">
        <v>20</v>
      </c>
      <c r="B119" s="44">
        <f t="shared" si="17"/>
        <v>658</v>
      </c>
      <c r="C119" s="39">
        <f t="shared" si="17"/>
        <v>668</v>
      </c>
      <c r="D119" s="39">
        <f t="shared" si="17"/>
        <v>20</v>
      </c>
      <c r="E119" s="39">
        <f t="shared" si="17"/>
        <v>52</v>
      </c>
      <c r="F119" s="39">
        <f t="shared" si="17"/>
        <v>7</v>
      </c>
      <c r="G119" s="50">
        <f t="shared" si="10"/>
        <v>1405</v>
      </c>
      <c r="H119" s="44">
        <f t="shared" ref="H119:L119" si="21">H13+H14+H15+H16</f>
        <v>0</v>
      </c>
      <c r="I119" s="39">
        <f t="shared" si="21"/>
        <v>0</v>
      </c>
      <c r="J119" s="39">
        <f t="shared" si="21"/>
        <v>0</v>
      </c>
      <c r="K119" s="45">
        <f t="shared" si="21"/>
        <v>0</v>
      </c>
      <c r="L119" s="144">
        <f t="shared" si="21"/>
        <v>7</v>
      </c>
      <c r="M119" s="50">
        <f t="shared" si="14"/>
        <v>0</v>
      </c>
      <c r="N119" s="40">
        <f t="shared" si="15"/>
        <v>1405</v>
      </c>
      <c r="O119" s="43">
        <f t="shared" si="16"/>
        <v>1265.5</v>
      </c>
    </row>
    <row r="120" spans="1:15" ht="22.95" customHeight="1" x14ac:dyDescent="0.3">
      <c r="A120" s="52" t="s">
        <v>21</v>
      </c>
      <c r="B120" s="44">
        <f t="shared" si="17"/>
        <v>707</v>
      </c>
      <c r="C120" s="39">
        <f t="shared" si="17"/>
        <v>628</v>
      </c>
      <c r="D120" s="39">
        <f t="shared" si="17"/>
        <v>25</v>
      </c>
      <c r="E120" s="39">
        <f t="shared" si="17"/>
        <v>61</v>
      </c>
      <c r="F120" s="39">
        <f t="shared" si="17"/>
        <v>12</v>
      </c>
      <c r="G120" s="50">
        <f t="shared" si="10"/>
        <v>1433</v>
      </c>
      <c r="H120" s="44">
        <f t="shared" ref="H120:L120" si="22">H14+H15+H16+H17</f>
        <v>0</v>
      </c>
      <c r="I120" s="39">
        <f t="shared" si="22"/>
        <v>0</v>
      </c>
      <c r="J120" s="39">
        <f t="shared" si="22"/>
        <v>0</v>
      </c>
      <c r="K120" s="45">
        <f t="shared" si="22"/>
        <v>0</v>
      </c>
      <c r="L120" s="144">
        <f t="shared" si="22"/>
        <v>6</v>
      </c>
      <c r="M120" s="50">
        <f t="shared" si="14"/>
        <v>0</v>
      </c>
      <c r="N120" s="40">
        <f t="shared" si="15"/>
        <v>1433</v>
      </c>
      <c r="O120" s="43">
        <f t="shared" si="16"/>
        <v>1343.5</v>
      </c>
    </row>
    <row r="121" spans="1:15" ht="22.95" customHeight="1" x14ac:dyDescent="0.3">
      <c r="A121" s="52" t="s">
        <v>22</v>
      </c>
      <c r="B121" s="44">
        <f t="shared" si="17"/>
        <v>674</v>
      </c>
      <c r="C121" s="39">
        <f t="shared" si="17"/>
        <v>451</v>
      </c>
      <c r="D121" s="39">
        <f t="shared" si="17"/>
        <v>23</v>
      </c>
      <c r="E121" s="39">
        <f t="shared" si="17"/>
        <v>70</v>
      </c>
      <c r="F121" s="39">
        <f t="shared" si="17"/>
        <v>15</v>
      </c>
      <c r="G121" s="50">
        <f t="shared" si="10"/>
        <v>1233</v>
      </c>
      <c r="H121" s="44">
        <f t="shared" ref="H121:L121" si="23">H15+H16+H17+H18</f>
        <v>0</v>
      </c>
      <c r="I121" s="39">
        <f t="shared" si="23"/>
        <v>0</v>
      </c>
      <c r="J121" s="39">
        <f t="shared" si="23"/>
        <v>0</v>
      </c>
      <c r="K121" s="45">
        <f t="shared" si="23"/>
        <v>0</v>
      </c>
      <c r="L121" s="144">
        <f t="shared" si="23"/>
        <v>2</v>
      </c>
      <c r="M121" s="50">
        <f t="shared" si="14"/>
        <v>0</v>
      </c>
      <c r="N121" s="40">
        <f t="shared" si="15"/>
        <v>1233</v>
      </c>
      <c r="O121" s="43">
        <f t="shared" si="16"/>
        <v>1227.5</v>
      </c>
    </row>
    <row r="122" spans="1:15" ht="22.95" customHeight="1" x14ac:dyDescent="0.3">
      <c r="A122" s="52" t="s">
        <v>23</v>
      </c>
      <c r="B122" s="44">
        <f t="shared" si="17"/>
        <v>637</v>
      </c>
      <c r="C122" s="39">
        <f t="shared" si="17"/>
        <v>338</v>
      </c>
      <c r="D122" s="39">
        <f t="shared" si="17"/>
        <v>21</v>
      </c>
      <c r="E122" s="39">
        <f t="shared" si="17"/>
        <v>60</v>
      </c>
      <c r="F122" s="39">
        <f t="shared" si="17"/>
        <v>16</v>
      </c>
      <c r="G122" s="50">
        <f t="shared" si="10"/>
        <v>1072</v>
      </c>
      <c r="H122" s="44">
        <f t="shared" ref="H122:L122" si="24">H16+H17+H18+H19</f>
        <v>0</v>
      </c>
      <c r="I122" s="39">
        <f t="shared" si="24"/>
        <v>0</v>
      </c>
      <c r="J122" s="39">
        <f t="shared" si="24"/>
        <v>0</v>
      </c>
      <c r="K122" s="45">
        <f t="shared" si="24"/>
        <v>0</v>
      </c>
      <c r="L122" s="144">
        <f t="shared" si="24"/>
        <v>3</v>
      </c>
      <c r="M122" s="50">
        <f t="shared" si="14"/>
        <v>0</v>
      </c>
      <c r="N122" s="40">
        <f t="shared" si="15"/>
        <v>1072</v>
      </c>
      <c r="O122" s="43">
        <f t="shared" si="16"/>
        <v>1113.5</v>
      </c>
    </row>
    <row r="123" spans="1:15" ht="22.95" customHeight="1" x14ac:dyDescent="0.3">
      <c r="A123" s="52" t="s">
        <v>24</v>
      </c>
      <c r="B123" s="44">
        <f t="shared" si="17"/>
        <v>647</v>
      </c>
      <c r="C123" s="39">
        <f t="shared" si="17"/>
        <v>278</v>
      </c>
      <c r="D123" s="39">
        <f t="shared" si="17"/>
        <v>22</v>
      </c>
      <c r="E123" s="39">
        <f t="shared" si="17"/>
        <v>51</v>
      </c>
      <c r="F123" s="39">
        <f t="shared" si="17"/>
        <v>14</v>
      </c>
      <c r="G123" s="50">
        <f t="shared" si="10"/>
        <v>1012</v>
      </c>
      <c r="H123" s="44">
        <f t="shared" ref="H123:L123" si="25">H17+H18+H19+H20</f>
        <v>0</v>
      </c>
      <c r="I123" s="39">
        <f t="shared" si="25"/>
        <v>0</v>
      </c>
      <c r="J123" s="39">
        <f t="shared" si="25"/>
        <v>0</v>
      </c>
      <c r="K123" s="45">
        <f t="shared" si="25"/>
        <v>0</v>
      </c>
      <c r="L123" s="144">
        <f t="shared" si="25"/>
        <v>3</v>
      </c>
      <c r="M123" s="50">
        <f t="shared" si="14"/>
        <v>0</v>
      </c>
      <c r="N123" s="40">
        <f t="shared" si="15"/>
        <v>1012</v>
      </c>
      <c r="O123" s="43">
        <f t="shared" si="16"/>
        <v>1059</v>
      </c>
    </row>
    <row r="124" spans="1:15" ht="22.95" customHeight="1" x14ac:dyDescent="0.3">
      <c r="A124" s="52" t="s">
        <v>25</v>
      </c>
      <c r="B124" s="44">
        <f t="shared" si="17"/>
        <v>641</v>
      </c>
      <c r="C124" s="39">
        <f t="shared" si="17"/>
        <v>333</v>
      </c>
      <c r="D124" s="39">
        <f t="shared" si="17"/>
        <v>18</v>
      </c>
      <c r="E124" s="39">
        <f t="shared" si="17"/>
        <v>50</v>
      </c>
      <c r="F124" s="39">
        <f t="shared" si="17"/>
        <v>12</v>
      </c>
      <c r="G124" s="50">
        <f t="shared" si="10"/>
        <v>1054</v>
      </c>
      <c r="H124" s="44">
        <f t="shared" ref="H124:L124" si="26">H18+H19+H20+H21</f>
        <v>0</v>
      </c>
      <c r="I124" s="39">
        <f t="shared" si="26"/>
        <v>0</v>
      </c>
      <c r="J124" s="39">
        <f t="shared" si="26"/>
        <v>0</v>
      </c>
      <c r="K124" s="45">
        <f t="shared" si="26"/>
        <v>0</v>
      </c>
      <c r="L124" s="144">
        <f t="shared" si="26"/>
        <v>4</v>
      </c>
      <c r="M124" s="50">
        <f t="shared" si="14"/>
        <v>0</v>
      </c>
      <c r="N124" s="40">
        <f t="shared" si="15"/>
        <v>1054</v>
      </c>
      <c r="O124" s="43">
        <f t="shared" si="16"/>
        <v>1070.5</v>
      </c>
    </row>
    <row r="125" spans="1:15" ht="22.95" customHeight="1" x14ac:dyDescent="0.3">
      <c r="A125" s="52" t="s">
        <v>26</v>
      </c>
      <c r="B125" s="44">
        <f t="shared" si="17"/>
        <v>677</v>
      </c>
      <c r="C125" s="39">
        <f t="shared" si="17"/>
        <v>333</v>
      </c>
      <c r="D125" s="39">
        <f t="shared" si="17"/>
        <v>20</v>
      </c>
      <c r="E125" s="39">
        <f t="shared" si="17"/>
        <v>48</v>
      </c>
      <c r="F125" s="39">
        <f t="shared" si="17"/>
        <v>11</v>
      </c>
      <c r="G125" s="50">
        <f t="shared" si="10"/>
        <v>1089</v>
      </c>
      <c r="H125" s="44">
        <f t="shared" ref="H125:L125" si="27">H19+H20+H21+H22</f>
        <v>0</v>
      </c>
      <c r="I125" s="39">
        <f t="shared" si="27"/>
        <v>0</v>
      </c>
      <c r="J125" s="39">
        <f t="shared" si="27"/>
        <v>0</v>
      </c>
      <c r="K125" s="45">
        <f t="shared" si="27"/>
        <v>0</v>
      </c>
      <c r="L125" s="144">
        <f t="shared" si="27"/>
        <v>4</v>
      </c>
      <c r="M125" s="50">
        <f t="shared" si="14"/>
        <v>0</v>
      </c>
      <c r="N125" s="40">
        <f t="shared" si="15"/>
        <v>1089</v>
      </c>
      <c r="O125" s="43">
        <f t="shared" si="16"/>
        <v>1099</v>
      </c>
    </row>
    <row r="126" spans="1:15" ht="22.95" customHeight="1" x14ac:dyDescent="0.3">
      <c r="A126" s="52" t="s">
        <v>27</v>
      </c>
      <c r="B126" s="44">
        <f t="shared" si="17"/>
        <v>650</v>
      </c>
      <c r="C126" s="39">
        <f t="shared" si="17"/>
        <v>363</v>
      </c>
      <c r="D126" s="39">
        <f t="shared" si="17"/>
        <v>17</v>
      </c>
      <c r="E126" s="39">
        <f t="shared" si="17"/>
        <v>42</v>
      </c>
      <c r="F126" s="39">
        <f t="shared" si="17"/>
        <v>16</v>
      </c>
      <c r="G126" s="50">
        <f t="shared" si="10"/>
        <v>1088</v>
      </c>
      <c r="H126" s="44">
        <f t="shared" ref="H126:L126" si="28">H20+H21+H22+H23</f>
        <v>0</v>
      </c>
      <c r="I126" s="39">
        <f t="shared" si="28"/>
        <v>0</v>
      </c>
      <c r="J126" s="39">
        <f t="shared" si="28"/>
        <v>0</v>
      </c>
      <c r="K126" s="45">
        <f t="shared" si="28"/>
        <v>0</v>
      </c>
      <c r="L126" s="144">
        <f t="shared" si="28"/>
        <v>3</v>
      </c>
      <c r="M126" s="50">
        <f t="shared" si="14"/>
        <v>0</v>
      </c>
      <c r="N126" s="40">
        <f t="shared" si="15"/>
        <v>1088</v>
      </c>
      <c r="O126" s="43">
        <f t="shared" si="16"/>
        <v>1079</v>
      </c>
    </row>
    <row r="127" spans="1:15" ht="22.95" customHeight="1" x14ac:dyDescent="0.3">
      <c r="A127" s="52" t="s">
        <v>28</v>
      </c>
      <c r="B127" s="44">
        <f t="shared" si="17"/>
        <v>602</v>
      </c>
      <c r="C127" s="39">
        <f t="shared" si="17"/>
        <v>334</v>
      </c>
      <c r="D127" s="39">
        <f t="shared" si="17"/>
        <v>12</v>
      </c>
      <c r="E127" s="39">
        <f t="shared" si="17"/>
        <v>40</v>
      </c>
      <c r="F127" s="39">
        <f t="shared" si="17"/>
        <v>17</v>
      </c>
      <c r="G127" s="50">
        <f t="shared" si="10"/>
        <v>1005</v>
      </c>
      <c r="H127" s="44">
        <f t="shared" ref="H127:L127" si="29">H21+H22+H23+H24</f>
        <v>0</v>
      </c>
      <c r="I127" s="39">
        <f t="shared" si="29"/>
        <v>0</v>
      </c>
      <c r="J127" s="39">
        <f t="shared" si="29"/>
        <v>0</v>
      </c>
      <c r="K127" s="45">
        <f t="shared" si="29"/>
        <v>0</v>
      </c>
      <c r="L127" s="144">
        <f t="shared" si="29"/>
        <v>4</v>
      </c>
      <c r="M127" s="50">
        <f t="shared" si="14"/>
        <v>0</v>
      </c>
      <c r="N127" s="40">
        <f t="shared" si="15"/>
        <v>1005</v>
      </c>
      <c r="O127" s="43">
        <f t="shared" si="16"/>
        <v>1015.5</v>
      </c>
    </row>
    <row r="128" spans="1:15" ht="22.95" customHeight="1" x14ac:dyDescent="0.3">
      <c r="A128" s="52" t="s">
        <v>29</v>
      </c>
      <c r="B128" s="44">
        <f t="shared" si="17"/>
        <v>549</v>
      </c>
      <c r="C128" s="39">
        <f t="shared" si="17"/>
        <v>173</v>
      </c>
      <c r="D128" s="39">
        <f t="shared" si="17"/>
        <v>12</v>
      </c>
      <c r="E128" s="39">
        <f t="shared" si="17"/>
        <v>33</v>
      </c>
      <c r="F128" s="39">
        <f t="shared" si="17"/>
        <v>15</v>
      </c>
      <c r="G128" s="50">
        <f t="shared" si="10"/>
        <v>782</v>
      </c>
      <c r="H128" s="44">
        <f t="shared" ref="H128:L128" si="30">H22+H23+H24+H25</f>
        <v>0</v>
      </c>
      <c r="I128" s="39">
        <f t="shared" si="30"/>
        <v>0</v>
      </c>
      <c r="J128" s="39">
        <f t="shared" si="30"/>
        <v>0</v>
      </c>
      <c r="K128" s="45">
        <f t="shared" si="30"/>
        <v>0</v>
      </c>
      <c r="L128" s="144">
        <f t="shared" si="30"/>
        <v>5</v>
      </c>
      <c r="M128" s="50">
        <f t="shared" si="14"/>
        <v>0</v>
      </c>
      <c r="N128" s="40">
        <f t="shared" si="15"/>
        <v>782</v>
      </c>
      <c r="O128" s="43">
        <f t="shared" si="16"/>
        <v>860</v>
      </c>
    </row>
    <row r="129" spans="1:15" ht="22.95" customHeight="1" x14ac:dyDescent="0.3">
      <c r="A129" s="52" t="s">
        <v>30</v>
      </c>
      <c r="B129" s="44">
        <f t="shared" si="17"/>
        <v>527</v>
      </c>
      <c r="C129" s="39">
        <f t="shared" si="17"/>
        <v>171</v>
      </c>
      <c r="D129" s="39">
        <f t="shared" si="17"/>
        <v>8</v>
      </c>
      <c r="E129" s="39">
        <f t="shared" si="17"/>
        <v>29</v>
      </c>
      <c r="F129" s="39">
        <f t="shared" si="17"/>
        <v>13</v>
      </c>
      <c r="G129" s="50">
        <f t="shared" si="10"/>
        <v>748</v>
      </c>
      <c r="H129" s="44">
        <f t="shared" ref="H129:L129" si="31">H23+H24+H25+H26</f>
        <v>0</v>
      </c>
      <c r="I129" s="39">
        <f t="shared" si="31"/>
        <v>0</v>
      </c>
      <c r="J129" s="39">
        <f t="shared" si="31"/>
        <v>0</v>
      </c>
      <c r="K129" s="45">
        <f t="shared" si="31"/>
        <v>0</v>
      </c>
      <c r="L129" s="144">
        <f t="shared" si="31"/>
        <v>5</v>
      </c>
      <c r="M129" s="50">
        <f t="shared" si="14"/>
        <v>0</v>
      </c>
      <c r="N129" s="40">
        <f t="shared" si="15"/>
        <v>748</v>
      </c>
      <c r="O129" s="43">
        <f t="shared" si="16"/>
        <v>810</v>
      </c>
    </row>
    <row r="130" spans="1:15" ht="22.95" customHeight="1" x14ac:dyDescent="0.3">
      <c r="A130" s="52" t="s">
        <v>31</v>
      </c>
      <c r="B130" s="44">
        <f t="shared" si="17"/>
        <v>506</v>
      </c>
      <c r="C130" s="39">
        <f t="shared" si="17"/>
        <v>125</v>
      </c>
      <c r="D130" s="39">
        <f t="shared" si="17"/>
        <v>11</v>
      </c>
      <c r="E130" s="39">
        <f t="shared" si="17"/>
        <v>34</v>
      </c>
      <c r="F130" s="39">
        <f t="shared" si="17"/>
        <v>11</v>
      </c>
      <c r="G130" s="50">
        <f t="shared" si="10"/>
        <v>687</v>
      </c>
      <c r="H130" s="44">
        <f t="shared" ref="H130:L130" si="32">H24+H25+H26+H27</f>
        <v>0</v>
      </c>
      <c r="I130" s="39">
        <f t="shared" si="32"/>
        <v>0</v>
      </c>
      <c r="J130" s="39">
        <f t="shared" si="32"/>
        <v>0</v>
      </c>
      <c r="K130" s="45">
        <f t="shared" si="32"/>
        <v>0</v>
      </c>
      <c r="L130" s="144">
        <f t="shared" si="32"/>
        <v>4</v>
      </c>
      <c r="M130" s="50">
        <f t="shared" si="14"/>
        <v>0</v>
      </c>
      <c r="N130" s="40">
        <f t="shared" si="15"/>
        <v>687</v>
      </c>
      <c r="O130" s="43">
        <f t="shared" si="16"/>
        <v>768.5</v>
      </c>
    </row>
    <row r="131" spans="1:15" ht="22.95" customHeight="1" x14ac:dyDescent="0.3">
      <c r="A131" s="52" t="s">
        <v>32</v>
      </c>
      <c r="B131" s="44">
        <f t="shared" si="17"/>
        <v>486</v>
      </c>
      <c r="C131" s="39">
        <f t="shared" si="17"/>
        <v>154</v>
      </c>
      <c r="D131" s="39">
        <f t="shared" si="17"/>
        <v>12</v>
      </c>
      <c r="E131" s="39">
        <f t="shared" si="17"/>
        <v>36</v>
      </c>
      <c r="F131" s="39">
        <f t="shared" si="17"/>
        <v>12</v>
      </c>
      <c r="G131" s="50">
        <f t="shared" si="10"/>
        <v>700</v>
      </c>
      <c r="H131" s="44">
        <f t="shared" ref="H131:L131" si="33">H25+H26+H27+H28</f>
        <v>0</v>
      </c>
      <c r="I131" s="39">
        <f t="shared" si="33"/>
        <v>0</v>
      </c>
      <c r="J131" s="39">
        <f t="shared" si="33"/>
        <v>0</v>
      </c>
      <c r="K131" s="45">
        <f t="shared" si="33"/>
        <v>0</v>
      </c>
      <c r="L131" s="144">
        <f t="shared" si="33"/>
        <v>2</v>
      </c>
      <c r="M131" s="50">
        <f t="shared" si="14"/>
        <v>0</v>
      </c>
      <c r="N131" s="40">
        <f t="shared" si="15"/>
        <v>700</v>
      </c>
      <c r="O131" s="43">
        <f t="shared" si="16"/>
        <v>759</v>
      </c>
    </row>
    <row r="132" spans="1:15" ht="22.95" customHeight="1" x14ac:dyDescent="0.3">
      <c r="A132" s="52" t="s">
        <v>33</v>
      </c>
      <c r="B132" s="44">
        <f t="shared" ref="B132:F147" si="34">B26+B27+B28+B29</f>
        <v>452</v>
      </c>
      <c r="C132" s="39">
        <f t="shared" si="34"/>
        <v>175</v>
      </c>
      <c r="D132" s="39">
        <f t="shared" si="34"/>
        <v>16</v>
      </c>
      <c r="E132" s="39">
        <f t="shared" si="34"/>
        <v>36</v>
      </c>
      <c r="F132" s="39">
        <f t="shared" si="34"/>
        <v>15</v>
      </c>
      <c r="G132" s="50">
        <f t="shared" si="10"/>
        <v>694</v>
      </c>
      <c r="H132" s="44">
        <f t="shared" ref="H132:L132" si="35">H26+H27+H28+H29</f>
        <v>0</v>
      </c>
      <c r="I132" s="39">
        <f t="shared" si="35"/>
        <v>0</v>
      </c>
      <c r="J132" s="39">
        <f t="shared" si="35"/>
        <v>0</v>
      </c>
      <c r="K132" s="45">
        <f t="shared" si="35"/>
        <v>0</v>
      </c>
      <c r="L132" s="144">
        <f t="shared" si="35"/>
        <v>0</v>
      </c>
      <c r="M132" s="50">
        <f t="shared" si="14"/>
        <v>0</v>
      </c>
      <c r="N132" s="40">
        <f t="shared" si="15"/>
        <v>694</v>
      </c>
      <c r="O132" s="43">
        <f t="shared" si="16"/>
        <v>739</v>
      </c>
    </row>
    <row r="133" spans="1:15" ht="22.95" customHeight="1" x14ac:dyDescent="0.3">
      <c r="A133" s="52" t="s">
        <v>34</v>
      </c>
      <c r="B133" s="44">
        <f t="shared" si="34"/>
        <v>425</v>
      </c>
      <c r="C133" s="39">
        <f t="shared" si="34"/>
        <v>202</v>
      </c>
      <c r="D133" s="39">
        <f t="shared" si="34"/>
        <v>23</v>
      </c>
      <c r="E133" s="39">
        <f t="shared" si="34"/>
        <v>33</v>
      </c>
      <c r="F133" s="39">
        <f t="shared" si="34"/>
        <v>14</v>
      </c>
      <c r="G133" s="50">
        <f t="shared" si="10"/>
        <v>697</v>
      </c>
      <c r="H133" s="44">
        <f t="shared" ref="H133:L133" si="36">H27+H28+H29+H30</f>
        <v>0</v>
      </c>
      <c r="I133" s="39">
        <f t="shared" si="36"/>
        <v>0</v>
      </c>
      <c r="J133" s="39">
        <f t="shared" si="36"/>
        <v>0</v>
      </c>
      <c r="K133" s="45">
        <f t="shared" si="36"/>
        <v>0</v>
      </c>
      <c r="L133" s="144">
        <f t="shared" si="36"/>
        <v>0</v>
      </c>
      <c r="M133" s="50">
        <f t="shared" si="14"/>
        <v>0</v>
      </c>
      <c r="N133" s="40">
        <f t="shared" si="15"/>
        <v>697</v>
      </c>
      <c r="O133" s="43">
        <f t="shared" si="16"/>
        <v>722.5</v>
      </c>
    </row>
    <row r="134" spans="1:15" ht="22.95" customHeight="1" x14ac:dyDescent="0.3">
      <c r="A134" s="52" t="s">
        <v>35</v>
      </c>
      <c r="B134" s="44">
        <f t="shared" si="34"/>
        <v>441</v>
      </c>
      <c r="C134" s="39">
        <f t="shared" si="34"/>
        <v>224</v>
      </c>
      <c r="D134" s="39">
        <f t="shared" si="34"/>
        <v>26</v>
      </c>
      <c r="E134" s="39">
        <f t="shared" si="34"/>
        <v>31</v>
      </c>
      <c r="F134" s="39">
        <f t="shared" si="34"/>
        <v>10</v>
      </c>
      <c r="G134" s="50">
        <f t="shared" si="10"/>
        <v>732</v>
      </c>
      <c r="H134" s="44">
        <f t="shared" ref="H134:L134" si="37">H28+H29+H30+H31</f>
        <v>0</v>
      </c>
      <c r="I134" s="39">
        <f t="shared" si="37"/>
        <v>0</v>
      </c>
      <c r="J134" s="39">
        <f t="shared" si="37"/>
        <v>0</v>
      </c>
      <c r="K134" s="45">
        <f t="shared" si="37"/>
        <v>0</v>
      </c>
      <c r="L134" s="144">
        <f t="shared" si="37"/>
        <v>1</v>
      </c>
      <c r="M134" s="50">
        <f t="shared" si="14"/>
        <v>0</v>
      </c>
      <c r="N134" s="40">
        <f t="shared" si="15"/>
        <v>732</v>
      </c>
      <c r="O134" s="43">
        <f t="shared" si="16"/>
        <v>738</v>
      </c>
    </row>
    <row r="135" spans="1:15" ht="22.95" customHeight="1" x14ac:dyDescent="0.3">
      <c r="A135" s="52" t="s">
        <v>36</v>
      </c>
      <c r="B135" s="44">
        <f t="shared" si="34"/>
        <v>469</v>
      </c>
      <c r="C135" s="39">
        <f t="shared" si="34"/>
        <v>195</v>
      </c>
      <c r="D135" s="39">
        <f t="shared" si="34"/>
        <v>31</v>
      </c>
      <c r="E135" s="39">
        <f t="shared" si="34"/>
        <v>32</v>
      </c>
      <c r="F135" s="39">
        <f t="shared" si="34"/>
        <v>10</v>
      </c>
      <c r="G135" s="50">
        <f t="shared" si="10"/>
        <v>737</v>
      </c>
      <c r="H135" s="44">
        <f t="shared" ref="H135:L135" si="38">H29+H30+H31+H32</f>
        <v>0</v>
      </c>
      <c r="I135" s="39">
        <f t="shared" si="38"/>
        <v>0</v>
      </c>
      <c r="J135" s="39">
        <f t="shared" si="38"/>
        <v>0</v>
      </c>
      <c r="K135" s="45">
        <f t="shared" si="38"/>
        <v>0</v>
      </c>
      <c r="L135" s="144">
        <f t="shared" si="38"/>
        <v>1</v>
      </c>
      <c r="M135" s="50">
        <f t="shared" si="14"/>
        <v>0</v>
      </c>
      <c r="N135" s="40">
        <f t="shared" si="15"/>
        <v>737</v>
      </c>
      <c r="O135" s="43">
        <f t="shared" si="16"/>
        <v>762</v>
      </c>
    </row>
    <row r="136" spans="1:15" ht="22.95" customHeight="1" x14ac:dyDescent="0.3">
      <c r="A136" s="52" t="s">
        <v>37</v>
      </c>
      <c r="B136" s="44">
        <f t="shared" si="34"/>
        <v>452</v>
      </c>
      <c r="C136" s="39">
        <f t="shared" si="34"/>
        <v>181</v>
      </c>
      <c r="D136" s="39">
        <f t="shared" si="34"/>
        <v>30</v>
      </c>
      <c r="E136" s="39">
        <f t="shared" si="34"/>
        <v>36</v>
      </c>
      <c r="F136" s="39">
        <f t="shared" si="34"/>
        <v>11</v>
      </c>
      <c r="G136" s="50">
        <f t="shared" si="10"/>
        <v>710</v>
      </c>
      <c r="H136" s="44">
        <f t="shared" ref="H136:L136" si="39">H30+H31+H32+H33</f>
        <v>0</v>
      </c>
      <c r="I136" s="39">
        <f t="shared" si="39"/>
        <v>0</v>
      </c>
      <c r="J136" s="39">
        <f t="shared" si="39"/>
        <v>0</v>
      </c>
      <c r="K136" s="45">
        <f t="shared" si="39"/>
        <v>0</v>
      </c>
      <c r="L136" s="144">
        <f t="shared" si="39"/>
        <v>1</v>
      </c>
      <c r="M136" s="50">
        <f t="shared" si="14"/>
        <v>0</v>
      </c>
      <c r="N136" s="40">
        <f t="shared" si="15"/>
        <v>710</v>
      </c>
      <c r="O136" s="43">
        <f t="shared" si="16"/>
        <v>753</v>
      </c>
    </row>
    <row r="137" spans="1:15" ht="22.95" customHeight="1" x14ac:dyDescent="0.3">
      <c r="A137" s="52" t="s">
        <v>38</v>
      </c>
      <c r="B137" s="44">
        <f t="shared" si="34"/>
        <v>419</v>
      </c>
      <c r="C137" s="39">
        <f t="shared" si="34"/>
        <v>161</v>
      </c>
      <c r="D137" s="39">
        <f t="shared" si="34"/>
        <v>29</v>
      </c>
      <c r="E137" s="39">
        <f t="shared" si="34"/>
        <v>38</v>
      </c>
      <c r="F137" s="39">
        <f t="shared" si="34"/>
        <v>13</v>
      </c>
      <c r="G137" s="50">
        <f t="shared" si="10"/>
        <v>660</v>
      </c>
      <c r="H137" s="44">
        <f t="shared" ref="H137:L137" si="40">H31+H32+H33+H34</f>
        <v>0</v>
      </c>
      <c r="I137" s="39">
        <f t="shared" si="40"/>
        <v>0</v>
      </c>
      <c r="J137" s="39">
        <f t="shared" si="40"/>
        <v>0</v>
      </c>
      <c r="K137" s="45">
        <f t="shared" si="40"/>
        <v>0</v>
      </c>
      <c r="L137" s="144">
        <f t="shared" si="40"/>
        <v>1</v>
      </c>
      <c r="M137" s="50">
        <f t="shared" si="14"/>
        <v>0</v>
      </c>
      <c r="N137" s="40">
        <f t="shared" si="15"/>
        <v>660</v>
      </c>
      <c r="O137" s="43">
        <f t="shared" si="16"/>
        <v>723.5</v>
      </c>
    </row>
    <row r="138" spans="1:15" ht="22.95" customHeight="1" x14ac:dyDescent="0.3">
      <c r="A138" s="52" t="s">
        <v>39</v>
      </c>
      <c r="B138" s="44">
        <f t="shared" si="34"/>
        <v>416</v>
      </c>
      <c r="C138" s="39">
        <f t="shared" si="34"/>
        <v>161</v>
      </c>
      <c r="D138" s="39">
        <f t="shared" si="34"/>
        <v>31</v>
      </c>
      <c r="E138" s="39">
        <f t="shared" si="34"/>
        <v>39</v>
      </c>
      <c r="F138" s="39">
        <f t="shared" si="34"/>
        <v>12</v>
      </c>
      <c r="G138" s="50">
        <f t="shared" si="10"/>
        <v>659</v>
      </c>
      <c r="H138" s="44">
        <f t="shared" ref="H138:L138" si="41">H32+H33+H34+H35</f>
        <v>0</v>
      </c>
      <c r="I138" s="39">
        <f t="shared" si="41"/>
        <v>0</v>
      </c>
      <c r="J138" s="39">
        <f t="shared" si="41"/>
        <v>0</v>
      </c>
      <c r="K138" s="45">
        <f t="shared" si="41"/>
        <v>0</v>
      </c>
      <c r="L138" s="144">
        <f t="shared" si="41"/>
        <v>2</v>
      </c>
      <c r="M138" s="50">
        <f t="shared" si="14"/>
        <v>0</v>
      </c>
      <c r="N138" s="40">
        <f t="shared" si="15"/>
        <v>659</v>
      </c>
      <c r="O138" s="43">
        <f t="shared" si="16"/>
        <v>730</v>
      </c>
    </row>
    <row r="139" spans="1:15" ht="22.95" customHeight="1" x14ac:dyDescent="0.3">
      <c r="A139" s="52" t="s">
        <v>40</v>
      </c>
      <c r="B139" s="44">
        <f t="shared" si="34"/>
        <v>382</v>
      </c>
      <c r="C139" s="39">
        <f t="shared" si="34"/>
        <v>150</v>
      </c>
      <c r="D139" s="39">
        <f t="shared" si="34"/>
        <v>31</v>
      </c>
      <c r="E139" s="39">
        <f t="shared" si="34"/>
        <v>35</v>
      </c>
      <c r="F139" s="39">
        <f t="shared" si="34"/>
        <v>10</v>
      </c>
      <c r="G139" s="50">
        <f t="shared" si="10"/>
        <v>608</v>
      </c>
      <c r="H139" s="44">
        <f t="shared" ref="H139:L139" si="42">H33+H34+H35+H36</f>
        <v>0</v>
      </c>
      <c r="I139" s="39">
        <f t="shared" si="42"/>
        <v>0</v>
      </c>
      <c r="J139" s="39">
        <f t="shared" si="42"/>
        <v>0</v>
      </c>
      <c r="K139" s="45">
        <f t="shared" si="42"/>
        <v>0</v>
      </c>
      <c r="L139" s="144">
        <f t="shared" si="42"/>
        <v>3</v>
      </c>
      <c r="M139" s="50">
        <f t="shared" si="14"/>
        <v>0</v>
      </c>
      <c r="N139" s="40">
        <f t="shared" si="15"/>
        <v>608</v>
      </c>
      <c r="O139" s="43">
        <f t="shared" si="16"/>
        <v>677.5</v>
      </c>
    </row>
    <row r="140" spans="1:15" ht="22.95" customHeight="1" x14ac:dyDescent="0.3">
      <c r="A140" s="52" t="s">
        <v>41</v>
      </c>
      <c r="B140" s="44">
        <f t="shared" si="34"/>
        <v>399</v>
      </c>
      <c r="C140" s="39">
        <f t="shared" si="34"/>
        <v>164</v>
      </c>
      <c r="D140" s="39">
        <f t="shared" si="34"/>
        <v>30</v>
      </c>
      <c r="E140" s="39">
        <f t="shared" si="34"/>
        <v>37</v>
      </c>
      <c r="F140" s="39">
        <f t="shared" si="34"/>
        <v>6</v>
      </c>
      <c r="G140" s="50">
        <f t="shared" si="10"/>
        <v>636</v>
      </c>
      <c r="H140" s="44">
        <f t="shared" ref="H140:L140" si="43">H34+H35+H36+H37</f>
        <v>0</v>
      </c>
      <c r="I140" s="39">
        <f t="shared" si="43"/>
        <v>0</v>
      </c>
      <c r="J140" s="39">
        <f t="shared" si="43"/>
        <v>0</v>
      </c>
      <c r="K140" s="45">
        <f t="shared" si="43"/>
        <v>0</v>
      </c>
      <c r="L140" s="144">
        <f t="shared" si="43"/>
        <v>6</v>
      </c>
      <c r="M140" s="50">
        <f t="shared" si="14"/>
        <v>0</v>
      </c>
      <c r="N140" s="40">
        <f t="shared" si="15"/>
        <v>636</v>
      </c>
      <c r="O140" s="43">
        <f t="shared" si="16"/>
        <v>712</v>
      </c>
    </row>
    <row r="141" spans="1:15" ht="22.95" customHeight="1" x14ac:dyDescent="0.3">
      <c r="A141" s="52" t="s">
        <v>42</v>
      </c>
      <c r="B141" s="44">
        <f t="shared" si="34"/>
        <v>401</v>
      </c>
      <c r="C141" s="39">
        <f t="shared" si="34"/>
        <v>151</v>
      </c>
      <c r="D141" s="39">
        <f t="shared" si="34"/>
        <v>34</v>
      </c>
      <c r="E141" s="39">
        <f t="shared" si="34"/>
        <v>43</v>
      </c>
      <c r="F141" s="39">
        <f t="shared" si="34"/>
        <v>6</v>
      </c>
      <c r="G141" s="50">
        <f t="shared" si="10"/>
        <v>635</v>
      </c>
      <c r="H141" s="44">
        <f t="shared" ref="H141:L141" si="44">H35+H36+H37+H38</f>
        <v>0</v>
      </c>
      <c r="I141" s="39">
        <f t="shared" si="44"/>
        <v>0</v>
      </c>
      <c r="J141" s="39">
        <f t="shared" si="44"/>
        <v>0</v>
      </c>
      <c r="K141" s="45">
        <f t="shared" si="44"/>
        <v>0</v>
      </c>
      <c r="L141" s="144">
        <f t="shared" si="44"/>
        <v>6</v>
      </c>
      <c r="M141" s="50">
        <f t="shared" si="14"/>
        <v>0</v>
      </c>
      <c r="N141" s="40">
        <f t="shared" si="15"/>
        <v>635</v>
      </c>
      <c r="O141" s="43">
        <f t="shared" si="16"/>
        <v>731.5</v>
      </c>
    </row>
    <row r="142" spans="1:15" ht="22.95" customHeight="1" x14ac:dyDescent="0.3">
      <c r="A142" s="52" t="s">
        <v>43</v>
      </c>
      <c r="B142" s="44">
        <f t="shared" si="34"/>
        <v>426</v>
      </c>
      <c r="C142" s="39">
        <f t="shared" si="34"/>
        <v>129</v>
      </c>
      <c r="D142" s="39">
        <f t="shared" si="34"/>
        <v>33</v>
      </c>
      <c r="E142" s="39">
        <f t="shared" si="34"/>
        <v>45</v>
      </c>
      <c r="F142" s="39">
        <f t="shared" si="34"/>
        <v>8</v>
      </c>
      <c r="G142" s="50">
        <f t="shared" si="10"/>
        <v>641</v>
      </c>
      <c r="H142" s="44">
        <f t="shared" ref="H142:L142" si="45">H36+H37+H38+H39</f>
        <v>0</v>
      </c>
      <c r="I142" s="39">
        <f t="shared" si="45"/>
        <v>0</v>
      </c>
      <c r="J142" s="39">
        <f t="shared" si="45"/>
        <v>0</v>
      </c>
      <c r="K142" s="45">
        <f t="shared" si="45"/>
        <v>0</v>
      </c>
      <c r="L142" s="144">
        <f t="shared" si="45"/>
        <v>4</v>
      </c>
      <c r="M142" s="50">
        <f t="shared" si="14"/>
        <v>0</v>
      </c>
      <c r="N142" s="40">
        <f t="shared" si="15"/>
        <v>641</v>
      </c>
      <c r="O142" s="43">
        <f t="shared" si="16"/>
        <v>743</v>
      </c>
    </row>
    <row r="143" spans="1:15" ht="22.95" customHeight="1" x14ac:dyDescent="0.3">
      <c r="A143" s="52" t="s">
        <v>44</v>
      </c>
      <c r="B143" s="44">
        <f t="shared" si="34"/>
        <v>462</v>
      </c>
      <c r="C143" s="39">
        <f t="shared" si="34"/>
        <v>160</v>
      </c>
      <c r="D143" s="39">
        <f t="shared" si="34"/>
        <v>26</v>
      </c>
      <c r="E143" s="39">
        <f t="shared" si="34"/>
        <v>46</v>
      </c>
      <c r="F143" s="39">
        <f t="shared" si="34"/>
        <v>8</v>
      </c>
      <c r="G143" s="50">
        <f t="shared" si="10"/>
        <v>702</v>
      </c>
      <c r="H143" s="44">
        <f t="shared" ref="H143:L143" si="46">H37+H38+H39+H40</f>
        <v>0</v>
      </c>
      <c r="I143" s="39">
        <f t="shared" si="46"/>
        <v>0</v>
      </c>
      <c r="J143" s="39">
        <f t="shared" si="46"/>
        <v>0</v>
      </c>
      <c r="K143" s="45">
        <f t="shared" si="46"/>
        <v>0</v>
      </c>
      <c r="L143" s="144">
        <f t="shared" si="46"/>
        <v>4</v>
      </c>
      <c r="M143" s="50">
        <f t="shared" si="14"/>
        <v>0</v>
      </c>
      <c r="N143" s="40">
        <f t="shared" si="15"/>
        <v>702</v>
      </c>
      <c r="O143" s="43">
        <f t="shared" si="16"/>
        <v>787</v>
      </c>
    </row>
    <row r="144" spans="1:15" ht="22.95" customHeight="1" x14ac:dyDescent="0.3">
      <c r="A144" s="52" t="s">
        <v>45</v>
      </c>
      <c r="B144" s="44">
        <f t="shared" si="34"/>
        <v>519</v>
      </c>
      <c r="C144" s="39">
        <f t="shared" si="34"/>
        <v>197</v>
      </c>
      <c r="D144" s="39">
        <f t="shared" si="34"/>
        <v>31</v>
      </c>
      <c r="E144" s="39">
        <f t="shared" si="34"/>
        <v>38</v>
      </c>
      <c r="F144" s="39">
        <f t="shared" si="34"/>
        <v>11</v>
      </c>
      <c r="G144" s="50">
        <f t="shared" si="10"/>
        <v>796</v>
      </c>
      <c r="H144" s="44">
        <f t="shared" ref="H144:L144" si="47">H38+H39+H40+H41</f>
        <v>0</v>
      </c>
      <c r="I144" s="39">
        <f t="shared" si="47"/>
        <v>0</v>
      </c>
      <c r="J144" s="39">
        <f t="shared" si="47"/>
        <v>0</v>
      </c>
      <c r="K144" s="45">
        <f t="shared" si="47"/>
        <v>0</v>
      </c>
      <c r="L144" s="144">
        <f t="shared" si="47"/>
        <v>2</v>
      </c>
      <c r="M144" s="50">
        <f t="shared" si="14"/>
        <v>0</v>
      </c>
      <c r="N144" s="40">
        <f t="shared" si="15"/>
        <v>796</v>
      </c>
      <c r="O144" s="43">
        <f t="shared" si="16"/>
        <v>843.5</v>
      </c>
    </row>
    <row r="145" spans="1:15" ht="22.95" customHeight="1" x14ac:dyDescent="0.3">
      <c r="A145" s="52" t="s">
        <v>46</v>
      </c>
      <c r="B145" s="44">
        <f t="shared" si="34"/>
        <v>572</v>
      </c>
      <c r="C145" s="39">
        <f t="shared" si="34"/>
        <v>260</v>
      </c>
      <c r="D145" s="39">
        <f t="shared" si="34"/>
        <v>22</v>
      </c>
      <c r="E145" s="39">
        <f t="shared" si="34"/>
        <v>39</v>
      </c>
      <c r="F145" s="39">
        <f t="shared" si="34"/>
        <v>8</v>
      </c>
      <c r="G145" s="50">
        <f t="shared" si="10"/>
        <v>901</v>
      </c>
      <c r="H145" s="44">
        <f t="shared" ref="H145:L145" si="48">H39+H40+H41+H42</f>
        <v>0</v>
      </c>
      <c r="I145" s="39">
        <f t="shared" si="48"/>
        <v>0</v>
      </c>
      <c r="J145" s="39">
        <f t="shared" si="48"/>
        <v>0</v>
      </c>
      <c r="K145" s="45">
        <f t="shared" si="48"/>
        <v>0</v>
      </c>
      <c r="L145" s="144">
        <f t="shared" si="48"/>
        <v>3</v>
      </c>
      <c r="M145" s="50">
        <f t="shared" si="14"/>
        <v>0</v>
      </c>
      <c r="N145" s="40">
        <f t="shared" si="15"/>
        <v>901</v>
      </c>
      <c r="O145" s="43">
        <f t="shared" si="16"/>
        <v>912</v>
      </c>
    </row>
    <row r="146" spans="1:15" ht="22.95" customHeight="1" x14ac:dyDescent="0.3">
      <c r="A146" s="52" t="s">
        <v>47</v>
      </c>
      <c r="B146" s="44">
        <f t="shared" si="34"/>
        <v>534</v>
      </c>
      <c r="C146" s="39">
        <f t="shared" si="34"/>
        <v>287</v>
      </c>
      <c r="D146" s="39">
        <f t="shared" si="34"/>
        <v>18</v>
      </c>
      <c r="E146" s="39">
        <f t="shared" si="34"/>
        <v>34</v>
      </c>
      <c r="F146" s="39">
        <f t="shared" si="34"/>
        <v>10</v>
      </c>
      <c r="G146" s="50">
        <f t="shared" ref="G146:G177" si="49">SUM(B146:F146)</f>
        <v>883</v>
      </c>
      <c r="H146" s="44">
        <f t="shared" ref="H146:L146" si="50">H40+H41+H42+H43</f>
        <v>0</v>
      </c>
      <c r="I146" s="39">
        <f t="shared" si="50"/>
        <v>0</v>
      </c>
      <c r="J146" s="39">
        <f t="shared" si="50"/>
        <v>0</v>
      </c>
      <c r="K146" s="45">
        <f t="shared" si="50"/>
        <v>0</v>
      </c>
      <c r="L146" s="144">
        <f t="shared" si="50"/>
        <v>3</v>
      </c>
      <c r="M146" s="50">
        <f t="shared" si="14"/>
        <v>0</v>
      </c>
      <c r="N146" s="40">
        <f t="shared" si="15"/>
        <v>883</v>
      </c>
      <c r="O146" s="43">
        <f t="shared" si="16"/>
        <v>875.5</v>
      </c>
    </row>
    <row r="147" spans="1:15" ht="22.95" customHeight="1" x14ac:dyDescent="0.3">
      <c r="A147" s="52" t="s">
        <v>48</v>
      </c>
      <c r="B147" s="44">
        <f t="shared" si="34"/>
        <v>513</v>
      </c>
      <c r="C147" s="39">
        <f t="shared" si="34"/>
        <v>312</v>
      </c>
      <c r="D147" s="39">
        <f t="shared" si="34"/>
        <v>19</v>
      </c>
      <c r="E147" s="39">
        <f t="shared" si="34"/>
        <v>38</v>
      </c>
      <c r="F147" s="39">
        <f t="shared" si="34"/>
        <v>10</v>
      </c>
      <c r="G147" s="50">
        <f t="shared" si="49"/>
        <v>892</v>
      </c>
      <c r="H147" s="44">
        <f t="shared" ref="H147:L147" si="51">H41+H42+H43+H44</f>
        <v>0</v>
      </c>
      <c r="I147" s="39">
        <f t="shared" si="51"/>
        <v>0</v>
      </c>
      <c r="J147" s="39">
        <f t="shared" si="51"/>
        <v>0</v>
      </c>
      <c r="K147" s="45">
        <f t="shared" si="51"/>
        <v>0</v>
      </c>
      <c r="L147" s="144">
        <f t="shared" si="51"/>
        <v>2</v>
      </c>
      <c r="M147" s="50">
        <f t="shared" si="14"/>
        <v>0</v>
      </c>
      <c r="N147" s="40">
        <f t="shared" si="15"/>
        <v>892</v>
      </c>
      <c r="O147" s="43">
        <f t="shared" si="16"/>
        <v>872.5</v>
      </c>
    </row>
    <row r="148" spans="1:15" ht="22.95" customHeight="1" x14ac:dyDescent="0.3">
      <c r="A148" s="52" t="s">
        <v>49</v>
      </c>
      <c r="B148" s="44">
        <f t="shared" ref="B148:F163" si="52">B42+B43+B44+B45</f>
        <v>462</v>
      </c>
      <c r="C148" s="39">
        <f t="shared" si="52"/>
        <v>272</v>
      </c>
      <c r="D148" s="39">
        <f t="shared" si="52"/>
        <v>13</v>
      </c>
      <c r="E148" s="39">
        <f t="shared" si="52"/>
        <v>51</v>
      </c>
      <c r="F148" s="39">
        <f t="shared" si="52"/>
        <v>8</v>
      </c>
      <c r="G148" s="50">
        <f t="shared" si="49"/>
        <v>806</v>
      </c>
      <c r="H148" s="44">
        <f t="shared" ref="H148:L148" si="53">H42+H43+H44+H45</f>
        <v>0</v>
      </c>
      <c r="I148" s="39">
        <f t="shared" si="53"/>
        <v>0</v>
      </c>
      <c r="J148" s="39">
        <f t="shared" si="53"/>
        <v>0</v>
      </c>
      <c r="K148" s="45">
        <f t="shared" si="53"/>
        <v>0</v>
      </c>
      <c r="L148" s="144">
        <f t="shared" si="53"/>
        <v>1</v>
      </c>
      <c r="M148" s="50">
        <f t="shared" si="14"/>
        <v>0</v>
      </c>
      <c r="N148" s="40">
        <f t="shared" si="15"/>
        <v>806</v>
      </c>
      <c r="O148" s="43">
        <f t="shared" si="16"/>
        <v>814.5</v>
      </c>
    </row>
    <row r="149" spans="1:15" ht="22.95" customHeight="1" x14ac:dyDescent="0.3">
      <c r="A149" s="52" t="s">
        <v>50</v>
      </c>
      <c r="B149" s="44">
        <f t="shared" si="52"/>
        <v>438</v>
      </c>
      <c r="C149" s="39">
        <f t="shared" si="52"/>
        <v>241</v>
      </c>
      <c r="D149" s="39">
        <f t="shared" si="52"/>
        <v>16</v>
      </c>
      <c r="E149" s="39">
        <f t="shared" si="52"/>
        <v>47</v>
      </c>
      <c r="F149" s="39">
        <f t="shared" si="52"/>
        <v>10</v>
      </c>
      <c r="G149" s="50">
        <f t="shared" si="49"/>
        <v>752</v>
      </c>
      <c r="H149" s="44">
        <f t="shared" ref="H149:L149" si="54">H43+H44+H45+H46</f>
        <v>0</v>
      </c>
      <c r="I149" s="39">
        <f t="shared" si="54"/>
        <v>0</v>
      </c>
      <c r="J149" s="39">
        <f t="shared" si="54"/>
        <v>0</v>
      </c>
      <c r="K149" s="45">
        <f t="shared" si="54"/>
        <v>0</v>
      </c>
      <c r="L149" s="144">
        <f t="shared" si="54"/>
        <v>1</v>
      </c>
      <c r="M149" s="50">
        <f t="shared" si="14"/>
        <v>0</v>
      </c>
      <c r="N149" s="40">
        <f t="shared" si="15"/>
        <v>752</v>
      </c>
      <c r="O149" s="43">
        <f t="shared" si="16"/>
        <v>776.5</v>
      </c>
    </row>
    <row r="150" spans="1:15" ht="22.95" customHeight="1" x14ac:dyDescent="0.3">
      <c r="A150" s="52" t="s">
        <v>51</v>
      </c>
      <c r="B150" s="44">
        <f t="shared" si="52"/>
        <v>448</v>
      </c>
      <c r="C150" s="39">
        <f t="shared" si="52"/>
        <v>245</v>
      </c>
      <c r="D150" s="39">
        <f t="shared" si="52"/>
        <v>17</v>
      </c>
      <c r="E150" s="39">
        <f t="shared" si="52"/>
        <v>57</v>
      </c>
      <c r="F150" s="39">
        <f t="shared" si="52"/>
        <v>7</v>
      </c>
      <c r="G150" s="50">
        <f t="shared" si="49"/>
        <v>774</v>
      </c>
      <c r="H150" s="44">
        <f t="shared" ref="H150:L150" si="55">H44+H45+H46+H47</f>
        <v>0</v>
      </c>
      <c r="I150" s="39">
        <f t="shared" si="55"/>
        <v>0</v>
      </c>
      <c r="J150" s="39">
        <f t="shared" si="55"/>
        <v>0</v>
      </c>
      <c r="K150" s="45">
        <f t="shared" si="55"/>
        <v>0</v>
      </c>
      <c r="L150" s="144">
        <f t="shared" si="55"/>
        <v>1</v>
      </c>
      <c r="M150" s="50">
        <f t="shared" si="14"/>
        <v>0</v>
      </c>
      <c r="N150" s="40">
        <f t="shared" si="15"/>
        <v>774</v>
      </c>
      <c r="O150" s="43">
        <f t="shared" si="16"/>
        <v>806.5</v>
      </c>
    </row>
    <row r="151" spans="1:15" ht="22.95" customHeight="1" x14ac:dyDescent="0.3">
      <c r="A151" s="52" t="s">
        <v>52</v>
      </c>
      <c r="B151" s="44">
        <f t="shared" si="52"/>
        <v>423</v>
      </c>
      <c r="C151" s="39">
        <f t="shared" si="52"/>
        <v>214</v>
      </c>
      <c r="D151" s="39">
        <f t="shared" si="52"/>
        <v>17</v>
      </c>
      <c r="E151" s="39">
        <f t="shared" si="52"/>
        <v>48</v>
      </c>
      <c r="F151" s="39">
        <f t="shared" si="52"/>
        <v>5</v>
      </c>
      <c r="G151" s="50">
        <f t="shared" si="49"/>
        <v>707</v>
      </c>
      <c r="H151" s="44">
        <f t="shared" ref="H151:L151" si="56">H45+H46+H47+H48</f>
        <v>0</v>
      </c>
      <c r="I151" s="39">
        <f t="shared" si="56"/>
        <v>0</v>
      </c>
      <c r="J151" s="39">
        <f t="shared" si="56"/>
        <v>0</v>
      </c>
      <c r="K151" s="45">
        <f t="shared" si="56"/>
        <v>0</v>
      </c>
      <c r="L151" s="144">
        <f t="shared" si="56"/>
        <v>1</v>
      </c>
      <c r="M151" s="50">
        <f t="shared" si="14"/>
        <v>0</v>
      </c>
      <c r="N151" s="40">
        <f t="shared" si="15"/>
        <v>707</v>
      </c>
      <c r="O151" s="43">
        <f t="shared" si="16"/>
        <v>730</v>
      </c>
    </row>
    <row r="152" spans="1:15" ht="22.95" customHeight="1" x14ac:dyDescent="0.3">
      <c r="A152" s="52" t="s">
        <v>53</v>
      </c>
      <c r="B152" s="44">
        <f t="shared" si="52"/>
        <v>388</v>
      </c>
      <c r="C152" s="39">
        <f t="shared" si="52"/>
        <v>201</v>
      </c>
      <c r="D152" s="39">
        <f t="shared" si="52"/>
        <v>14</v>
      </c>
      <c r="E152" s="39">
        <f t="shared" si="52"/>
        <v>38</v>
      </c>
      <c r="F152" s="39">
        <f t="shared" si="52"/>
        <v>3</v>
      </c>
      <c r="G152" s="50">
        <f t="shared" si="49"/>
        <v>644</v>
      </c>
      <c r="H152" s="44">
        <f t="shared" ref="H152:L152" si="57">H46+H47+H48+H49</f>
        <v>0</v>
      </c>
      <c r="I152" s="39">
        <f t="shared" si="57"/>
        <v>0</v>
      </c>
      <c r="J152" s="39">
        <f t="shared" si="57"/>
        <v>0</v>
      </c>
      <c r="K152" s="45">
        <f t="shared" si="57"/>
        <v>0</v>
      </c>
      <c r="L152" s="144">
        <f t="shared" si="57"/>
        <v>1</v>
      </c>
      <c r="M152" s="50">
        <f t="shared" si="14"/>
        <v>0</v>
      </c>
      <c r="N152" s="40">
        <f t="shared" si="15"/>
        <v>644</v>
      </c>
      <c r="O152" s="43">
        <f t="shared" si="16"/>
        <v>645</v>
      </c>
    </row>
    <row r="153" spans="1:15" ht="22.95" customHeight="1" x14ac:dyDescent="0.3">
      <c r="A153" s="52" t="s">
        <v>54</v>
      </c>
      <c r="B153" s="44">
        <f t="shared" si="52"/>
        <v>355</v>
      </c>
      <c r="C153" s="39">
        <f t="shared" si="52"/>
        <v>171</v>
      </c>
      <c r="D153" s="39">
        <f t="shared" si="52"/>
        <v>12</v>
      </c>
      <c r="E153" s="39">
        <f t="shared" si="52"/>
        <v>31</v>
      </c>
      <c r="F153" s="39">
        <f t="shared" si="52"/>
        <v>3</v>
      </c>
      <c r="G153" s="50">
        <f t="shared" si="49"/>
        <v>572</v>
      </c>
      <c r="H153" s="44">
        <f t="shared" ref="H153:L153" si="58">H47+H48+H49+H50</f>
        <v>0</v>
      </c>
      <c r="I153" s="39">
        <f t="shared" si="58"/>
        <v>0</v>
      </c>
      <c r="J153" s="39">
        <f t="shared" si="58"/>
        <v>0</v>
      </c>
      <c r="K153" s="45">
        <f t="shared" si="58"/>
        <v>0</v>
      </c>
      <c r="L153" s="144">
        <f t="shared" si="58"/>
        <v>2</v>
      </c>
      <c r="M153" s="50">
        <f t="shared" si="14"/>
        <v>0</v>
      </c>
      <c r="N153" s="40">
        <f t="shared" si="15"/>
        <v>572</v>
      </c>
      <c r="O153" s="43">
        <f t="shared" si="16"/>
        <v>581</v>
      </c>
    </row>
    <row r="154" spans="1:15" ht="22.95" customHeight="1" x14ac:dyDescent="0.3">
      <c r="A154" s="52" t="s">
        <v>55</v>
      </c>
      <c r="B154" s="44">
        <f t="shared" si="52"/>
        <v>318</v>
      </c>
      <c r="C154" s="39">
        <f t="shared" si="52"/>
        <v>150</v>
      </c>
      <c r="D154" s="39">
        <f t="shared" si="52"/>
        <v>11</v>
      </c>
      <c r="E154" s="39">
        <f t="shared" si="52"/>
        <v>18</v>
      </c>
      <c r="F154" s="39">
        <f t="shared" si="52"/>
        <v>2</v>
      </c>
      <c r="G154" s="50">
        <f t="shared" si="49"/>
        <v>499</v>
      </c>
      <c r="H154" s="44">
        <f t="shared" ref="H154:L154" si="59">H48+H49+H50+H51</f>
        <v>0</v>
      </c>
      <c r="I154" s="39">
        <f t="shared" si="59"/>
        <v>0</v>
      </c>
      <c r="J154" s="39">
        <f t="shared" si="59"/>
        <v>0</v>
      </c>
      <c r="K154" s="45">
        <f t="shared" si="59"/>
        <v>0</v>
      </c>
      <c r="L154" s="144">
        <f t="shared" si="59"/>
        <v>4</v>
      </c>
      <c r="M154" s="50">
        <f t="shared" si="14"/>
        <v>0</v>
      </c>
      <c r="N154" s="40">
        <f t="shared" si="15"/>
        <v>499</v>
      </c>
      <c r="O154" s="43">
        <f t="shared" si="16"/>
        <v>504.5</v>
      </c>
    </row>
    <row r="155" spans="1:15" ht="22.95" customHeight="1" x14ac:dyDescent="0.3">
      <c r="A155" s="52" t="s">
        <v>56</v>
      </c>
      <c r="B155" s="44">
        <f t="shared" si="52"/>
        <v>336</v>
      </c>
      <c r="C155" s="39">
        <f t="shared" si="52"/>
        <v>140</v>
      </c>
      <c r="D155" s="39">
        <f t="shared" si="52"/>
        <v>12</v>
      </c>
      <c r="E155" s="39">
        <f t="shared" si="52"/>
        <v>25</v>
      </c>
      <c r="F155" s="39">
        <f t="shared" si="52"/>
        <v>3</v>
      </c>
      <c r="G155" s="50">
        <f t="shared" si="49"/>
        <v>516</v>
      </c>
      <c r="H155" s="44">
        <f t="shared" ref="H155:L155" si="60">H49+H50+H51+H52</f>
        <v>0</v>
      </c>
      <c r="I155" s="39">
        <f t="shared" si="60"/>
        <v>0</v>
      </c>
      <c r="J155" s="39">
        <f t="shared" si="60"/>
        <v>0</v>
      </c>
      <c r="K155" s="45">
        <f t="shared" si="60"/>
        <v>0</v>
      </c>
      <c r="L155" s="144">
        <f t="shared" si="60"/>
        <v>4</v>
      </c>
      <c r="M155" s="50">
        <f t="shared" si="14"/>
        <v>0</v>
      </c>
      <c r="N155" s="40">
        <f t="shared" si="15"/>
        <v>516</v>
      </c>
      <c r="O155" s="43">
        <f t="shared" si="16"/>
        <v>544.5</v>
      </c>
    </row>
    <row r="156" spans="1:15" ht="22.95" customHeight="1" x14ac:dyDescent="0.3">
      <c r="A156" s="52" t="s">
        <v>57</v>
      </c>
      <c r="B156" s="44">
        <f t="shared" si="52"/>
        <v>356</v>
      </c>
      <c r="C156" s="39">
        <f t="shared" si="52"/>
        <v>158</v>
      </c>
      <c r="D156" s="39">
        <f t="shared" si="52"/>
        <v>13</v>
      </c>
      <c r="E156" s="39">
        <f t="shared" si="52"/>
        <v>22</v>
      </c>
      <c r="F156" s="39">
        <f t="shared" si="52"/>
        <v>5</v>
      </c>
      <c r="G156" s="50">
        <f t="shared" si="49"/>
        <v>554</v>
      </c>
      <c r="H156" s="44">
        <f t="shared" ref="H156:L156" si="61">H50+H51+H52+H53</f>
        <v>0</v>
      </c>
      <c r="I156" s="39">
        <f t="shared" si="61"/>
        <v>0</v>
      </c>
      <c r="J156" s="39">
        <f t="shared" si="61"/>
        <v>0</v>
      </c>
      <c r="K156" s="45">
        <f t="shared" si="61"/>
        <v>0</v>
      </c>
      <c r="L156" s="144">
        <f t="shared" si="61"/>
        <v>4</v>
      </c>
      <c r="M156" s="50">
        <f t="shared" si="14"/>
        <v>0</v>
      </c>
      <c r="N156" s="40">
        <f t="shared" si="15"/>
        <v>554</v>
      </c>
      <c r="O156" s="43">
        <f t="shared" si="16"/>
        <v>575</v>
      </c>
    </row>
    <row r="157" spans="1:15" ht="22.95" customHeight="1" x14ac:dyDescent="0.3">
      <c r="A157" s="52" t="s">
        <v>58</v>
      </c>
      <c r="B157" s="44">
        <f t="shared" si="52"/>
        <v>356</v>
      </c>
      <c r="C157" s="39">
        <f t="shared" si="52"/>
        <v>141</v>
      </c>
      <c r="D157" s="39">
        <f t="shared" si="52"/>
        <v>14</v>
      </c>
      <c r="E157" s="39">
        <f t="shared" si="52"/>
        <v>24</v>
      </c>
      <c r="F157" s="39">
        <f t="shared" si="52"/>
        <v>4</v>
      </c>
      <c r="G157" s="50">
        <f t="shared" si="49"/>
        <v>539</v>
      </c>
      <c r="H157" s="44">
        <f t="shared" ref="H157:L157" si="62">H51+H52+H53+H54</f>
        <v>0</v>
      </c>
      <c r="I157" s="39">
        <f t="shared" si="62"/>
        <v>0</v>
      </c>
      <c r="J157" s="39">
        <f t="shared" si="62"/>
        <v>0</v>
      </c>
      <c r="K157" s="45">
        <f t="shared" si="62"/>
        <v>0</v>
      </c>
      <c r="L157" s="144">
        <f t="shared" si="62"/>
        <v>2</v>
      </c>
      <c r="M157" s="50">
        <f t="shared" si="14"/>
        <v>0</v>
      </c>
      <c r="N157" s="40">
        <f t="shared" si="15"/>
        <v>539</v>
      </c>
      <c r="O157" s="43">
        <f t="shared" si="16"/>
        <v>553.5</v>
      </c>
    </row>
    <row r="158" spans="1:15" ht="22.95" customHeight="1" x14ac:dyDescent="0.3">
      <c r="A158" s="52" t="s">
        <v>59</v>
      </c>
      <c r="B158" s="44">
        <f t="shared" si="52"/>
        <v>376</v>
      </c>
      <c r="C158" s="39">
        <f t="shared" si="52"/>
        <v>125</v>
      </c>
      <c r="D158" s="39">
        <f t="shared" si="52"/>
        <v>10</v>
      </c>
      <c r="E158" s="39">
        <f t="shared" si="52"/>
        <v>34</v>
      </c>
      <c r="F158" s="39">
        <f t="shared" si="52"/>
        <v>4</v>
      </c>
      <c r="G158" s="50">
        <f t="shared" si="49"/>
        <v>549</v>
      </c>
      <c r="H158" s="44">
        <f t="shared" ref="H158:L158" si="63">H52+H53+H54+H55</f>
        <v>0</v>
      </c>
      <c r="I158" s="39">
        <f t="shared" si="63"/>
        <v>0</v>
      </c>
      <c r="J158" s="39">
        <f t="shared" si="63"/>
        <v>0</v>
      </c>
      <c r="K158" s="45">
        <f t="shared" si="63"/>
        <v>0</v>
      </c>
      <c r="L158" s="144">
        <f t="shared" si="63"/>
        <v>0</v>
      </c>
      <c r="M158" s="50">
        <f t="shared" si="14"/>
        <v>0</v>
      </c>
      <c r="N158" s="40">
        <f t="shared" si="15"/>
        <v>549</v>
      </c>
      <c r="O158" s="43">
        <f t="shared" si="16"/>
        <v>573.5</v>
      </c>
    </row>
    <row r="159" spans="1:15" ht="22.95" customHeight="1" x14ac:dyDescent="0.3">
      <c r="A159" s="52" t="s">
        <v>77</v>
      </c>
      <c r="B159" s="44">
        <f t="shared" si="52"/>
        <v>363</v>
      </c>
      <c r="C159" s="39">
        <f t="shared" si="52"/>
        <v>129</v>
      </c>
      <c r="D159" s="39">
        <f t="shared" si="52"/>
        <v>9</v>
      </c>
      <c r="E159" s="39">
        <f t="shared" si="52"/>
        <v>34</v>
      </c>
      <c r="F159" s="39">
        <f t="shared" si="52"/>
        <v>3</v>
      </c>
      <c r="G159" s="50">
        <f t="shared" si="49"/>
        <v>538</v>
      </c>
      <c r="H159" s="44">
        <f t="shared" ref="H159:L159" si="64">H53+H54+H55+H56</f>
        <v>0</v>
      </c>
      <c r="I159" s="39">
        <f t="shared" si="64"/>
        <v>0</v>
      </c>
      <c r="J159" s="39">
        <f t="shared" si="64"/>
        <v>0</v>
      </c>
      <c r="K159" s="45">
        <f t="shared" si="64"/>
        <v>0</v>
      </c>
      <c r="L159" s="144">
        <f t="shared" si="64"/>
        <v>1</v>
      </c>
      <c r="M159" s="50">
        <f t="shared" si="14"/>
        <v>0</v>
      </c>
      <c r="N159" s="40">
        <f t="shared" si="15"/>
        <v>538</v>
      </c>
      <c r="O159" s="43">
        <f t="shared" si="16"/>
        <v>564.5</v>
      </c>
    </row>
    <row r="160" spans="1:15" ht="22.95" customHeight="1" x14ac:dyDescent="0.3">
      <c r="A160" s="52" t="s">
        <v>75</v>
      </c>
      <c r="B160" s="44">
        <f t="shared" si="52"/>
        <v>371</v>
      </c>
      <c r="C160" s="39">
        <f t="shared" si="52"/>
        <v>101</v>
      </c>
      <c r="D160" s="39">
        <f t="shared" si="52"/>
        <v>11</v>
      </c>
      <c r="E160" s="39">
        <f t="shared" si="52"/>
        <v>39</v>
      </c>
      <c r="F160" s="39">
        <f t="shared" si="52"/>
        <v>2</v>
      </c>
      <c r="G160" s="50">
        <f t="shared" si="49"/>
        <v>524</v>
      </c>
      <c r="H160" s="44">
        <f t="shared" ref="H160:L160" si="65">H54+H55+H56+H57</f>
        <v>0</v>
      </c>
      <c r="I160" s="39">
        <f t="shared" si="65"/>
        <v>0</v>
      </c>
      <c r="J160" s="39">
        <f t="shared" si="65"/>
        <v>0</v>
      </c>
      <c r="K160" s="45">
        <f t="shared" si="65"/>
        <v>0</v>
      </c>
      <c r="L160" s="144">
        <f t="shared" si="65"/>
        <v>1</v>
      </c>
      <c r="M160" s="50">
        <f t="shared" si="14"/>
        <v>0</v>
      </c>
      <c r="N160" s="40">
        <f t="shared" si="15"/>
        <v>524</v>
      </c>
      <c r="O160" s="43">
        <f t="shared" si="16"/>
        <v>572</v>
      </c>
    </row>
    <row r="161" spans="1:15" ht="22.95" customHeight="1" x14ac:dyDescent="0.3">
      <c r="A161" s="52" t="s">
        <v>76</v>
      </c>
      <c r="B161" s="44">
        <f t="shared" si="52"/>
        <v>352</v>
      </c>
      <c r="C161" s="39">
        <f t="shared" si="52"/>
        <v>118</v>
      </c>
      <c r="D161" s="39">
        <f t="shared" si="52"/>
        <v>9</v>
      </c>
      <c r="E161" s="39">
        <f t="shared" si="52"/>
        <v>39</v>
      </c>
      <c r="F161" s="39">
        <f t="shared" si="52"/>
        <v>1</v>
      </c>
      <c r="G161" s="50">
        <f t="shared" si="49"/>
        <v>519</v>
      </c>
      <c r="H161" s="44">
        <f t="shared" ref="H161:L161" si="66">H55+H56+H57+H58</f>
        <v>0</v>
      </c>
      <c r="I161" s="39">
        <f t="shared" si="66"/>
        <v>0</v>
      </c>
      <c r="J161" s="39">
        <f t="shared" si="66"/>
        <v>0</v>
      </c>
      <c r="K161" s="45">
        <f t="shared" si="66"/>
        <v>0</v>
      </c>
      <c r="L161" s="144">
        <f t="shared" si="66"/>
        <v>1</v>
      </c>
      <c r="M161" s="50">
        <f t="shared" si="14"/>
        <v>0</v>
      </c>
      <c r="N161" s="40">
        <f t="shared" si="15"/>
        <v>519</v>
      </c>
      <c r="O161" s="43">
        <f t="shared" si="16"/>
        <v>554</v>
      </c>
    </row>
    <row r="162" spans="1:15" ht="22.95" customHeight="1" x14ac:dyDescent="0.3">
      <c r="A162" s="52" t="s">
        <v>70</v>
      </c>
      <c r="B162" s="44">
        <f t="shared" si="52"/>
        <v>334</v>
      </c>
      <c r="C162" s="39">
        <f t="shared" si="52"/>
        <v>118</v>
      </c>
      <c r="D162" s="39">
        <f t="shared" si="52"/>
        <v>11</v>
      </c>
      <c r="E162" s="39">
        <f t="shared" si="52"/>
        <v>35</v>
      </c>
      <c r="F162" s="39">
        <f t="shared" si="52"/>
        <v>1</v>
      </c>
      <c r="G162" s="50">
        <f t="shared" si="49"/>
        <v>499</v>
      </c>
      <c r="H162" s="44">
        <f t="shared" ref="H162:L162" si="67">H56+H57+H58+H59</f>
        <v>0</v>
      </c>
      <c r="I162" s="39">
        <f t="shared" si="67"/>
        <v>0</v>
      </c>
      <c r="J162" s="39">
        <f t="shared" si="67"/>
        <v>0</v>
      </c>
      <c r="K162" s="45">
        <f t="shared" si="67"/>
        <v>0</v>
      </c>
      <c r="L162" s="144">
        <f t="shared" si="67"/>
        <v>1</v>
      </c>
      <c r="M162" s="50">
        <f t="shared" si="14"/>
        <v>0</v>
      </c>
      <c r="N162" s="40">
        <f t="shared" si="15"/>
        <v>499</v>
      </c>
      <c r="O162" s="43">
        <f t="shared" si="16"/>
        <v>527</v>
      </c>
    </row>
    <row r="163" spans="1:15" ht="22.95" customHeight="1" x14ac:dyDescent="0.3">
      <c r="A163" s="52" t="s">
        <v>71</v>
      </c>
      <c r="B163" s="44">
        <f t="shared" si="52"/>
        <v>317</v>
      </c>
      <c r="C163" s="39">
        <f t="shared" si="52"/>
        <v>75</v>
      </c>
      <c r="D163" s="39">
        <f t="shared" si="52"/>
        <v>11</v>
      </c>
      <c r="E163" s="39">
        <f t="shared" si="52"/>
        <v>32</v>
      </c>
      <c r="F163" s="39">
        <f t="shared" si="52"/>
        <v>3</v>
      </c>
      <c r="G163" s="50">
        <f t="shared" si="49"/>
        <v>438</v>
      </c>
      <c r="H163" s="44">
        <f t="shared" ref="H163:L163" si="68">H57+H58+H59+H60</f>
        <v>0</v>
      </c>
      <c r="I163" s="39">
        <f t="shared" si="68"/>
        <v>0</v>
      </c>
      <c r="J163" s="39">
        <f t="shared" si="68"/>
        <v>0</v>
      </c>
      <c r="K163" s="45">
        <f t="shared" si="68"/>
        <v>0</v>
      </c>
      <c r="L163" s="144">
        <f t="shared" si="68"/>
        <v>0</v>
      </c>
      <c r="M163" s="50">
        <f t="shared" si="14"/>
        <v>0</v>
      </c>
      <c r="N163" s="40">
        <f t="shared" si="15"/>
        <v>438</v>
      </c>
      <c r="O163" s="43">
        <f t="shared" si="16"/>
        <v>480.5</v>
      </c>
    </row>
    <row r="164" spans="1:15" ht="22.95" customHeight="1" x14ac:dyDescent="0.3">
      <c r="A164" s="52" t="s">
        <v>72</v>
      </c>
      <c r="B164" s="44">
        <f t="shared" ref="B164:F179" si="69">B58+B59+B60+B61</f>
        <v>310</v>
      </c>
      <c r="C164" s="39">
        <f t="shared" si="69"/>
        <v>103</v>
      </c>
      <c r="D164" s="39">
        <f t="shared" si="69"/>
        <v>7</v>
      </c>
      <c r="E164" s="39">
        <f t="shared" si="69"/>
        <v>30</v>
      </c>
      <c r="F164" s="39">
        <f t="shared" si="69"/>
        <v>2</v>
      </c>
      <c r="G164" s="50">
        <f t="shared" si="49"/>
        <v>452</v>
      </c>
      <c r="H164" s="44">
        <f t="shared" ref="H164:L164" si="70">H58+H59+H60+H61</f>
        <v>0</v>
      </c>
      <c r="I164" s="39">
        <f t="shared" si="70"/>
        <v>0</v>
      </c>
      <c r="J164" s="39">
        <f t="shared" si="70"/>
        <v>0</v>
      </c>
      <c r="K164" s="45">
        <f t="shared" si="70"/>
        <v>0</v>
      </c>
      <c r="L164" s="144">
        <f t="shared" si="70"/>
        <v>0</v>
      </c>
      <c r="M164" s="50">
        <f t="shared" si="14"/>
        <v>0</v>
      </c>
      <c r="N164" s="40">
        <f t="shared" si="15"/>
        <v>452</v>
      </c>
      <c r="O164" s="43">
        <f t="shared" si="16"/>
        <v>471</v>
      </c>
    </row>
    <row r="165" spans="1:15" ht="22.95" customHeight="1" x14ac:dyDescent="0.3">
      <c r="A165" s="52" t="s">
        <v>73</v>
      </c>
      <c r="B165" s="44">
        <f t="shared" si="69"/>
        <v>339</v>
      </c>
      <c r="C165" s="39">
        <f t="shared" si="69"/>
        <v>86</v>
      </c>
      <c r="D165" s="39">
        <f t="shared" si="69"/>
        <v>7</v>
      </c>
      <c r="E165" s="39">
        <f t="shared" si="69"/>
        <v>32</v>
      </c>
      <c r="F165" s="39">
        <f t="shared" si="69"/>
        <v>5</v>
      </c>
      <c r="G165" s="50">
        <f t="shared" si="49"/>
        <v>469</v>
      </c>
      <c r="H165" s="44">
        <f t="shared" ref="H165:L165" si="71">H59+H60+H61+H62</f>
        <v>0</v>
      </c>
      <c r="I165" s="39">
        <f t="shared" si="71"/>
        <v>0</v>
      </c>
      <c r="J165" s="39">
        <f t="shared" si="71"/>
        <v>0</v>
      </c>
      <c r="K165" s="45">
        <f t="shared" si="71"/>
        <v>0</v>
      </c>
      <c r="L165" s="144">
        <f t="shared" si="71"/>
        <v>0</v>
      </c>
      <c r="M165" s="50">
        <f t="shared" si="14"/>
        <v>0</v>
      </c>
      <c r="N165" s="40">
        <f t="shared" si="15"/>
        <v>469</v>
      </c>
      <c r="O165" s="43">
        <f t="shared" si="16"/>
        <v>511</v>
      </c>
    </row>
    <row r="166" spans="1:15" ht="22.95" customHeight="1" x14ac:dyDescent="0.3">
      <c r="A166" s="52" t="s">
        <v>74</v>
      </c>
      <c r="B166" s="44">
        <f t="shared" si="69"/>
        <v>340</v>
      </c>
      <c r="C166" s="39">
        <f t="shared" si="69"/>
        <v>73</v>
      </c>
      <c r="D166" s="39">
        <f t="shared" si="69"/>
        <v>5</v>
      </c>
      <c r="E166" s="39">
        <f t="shared" si="69"/>
        <v>29</v>
      </c>
      <c r="F166" s="39">
        <f t="shared" si="69"/>
        <v>7</v>
      </c>
      <c r="G166" s="50">
        <f t="shared" si="49"/>
        <v>454</v>
      </c>
      <c r="H166" s="44">
        <f t="shared" ref="H166:L166" si="72">H60+H61+H62+H63</f>
        <v>0</v>
      </c>
      <c r="I166" s="39">
        <f t="shared" si="72"/>
        <v>0</v>
      </c>
      <c r="J166" s="39">
        <f t="shared" si="72"/>
        <v>0</v>
      </c>
      <c r="K166" s="45">
        <f t="shared" si="72"/>
        <v>0</v>
      </c>
      <c r="L166" s="144">
        <f t="shared" si="72"/>
        <v>1</v>
      </c>
      <c r="M166" s="50">
        <f t="shared" si="14"/>
        <v>0</v>
      </c>
      <c r="N166" s="40">
        <f t="shared" si="15"/>
        <v>454</v>
      </c>
      <c r="O166" s="43">
        <f t="shared" si="16"/>
        <v>510.5</v>
      </c>
    </row>
    <row r="167" spans="1:15" ht="22.95" customHeight="1" x14ac:dyDescent="0.3">
      <c r="A167" s="52" t="s">
        <v>262</v>
      </c>
      <c r="B167" s="44">
        <f t="shared" si="69"/>
        <v>335</v>
      </c>
      <c r="C167" s="39">
        <f t="shared" si="69"/>
        <v>98</v>
      </c>
      <c r="D167" s="39">
        <f t="shared" si="69"/>
        <v>9</v>
      </c>
      <c r="E167" s="39">
        <f t="shared" si="69"/>
        <v>32</v>
      </c>
      <c r="F167" s="39">
        <f t="shared" si="69"/>
        <v>5</v>
      </c>
      <c r="G167" s="50">
        <f t="shared" si="49"/>
        <v>479</v>
      </c>
      <c r="H167" s="44">
        <f t="shared" ref="H167:L167" si="73">H61+H62+H63+H64</f>
        <v>0</v>
      </c>
      <c r="I167" s="39">
        <f t="shared" si="73"/>
        <v>0</v>
      </c>
      <c r="J167" s="39">
        <f t="shared" si="73"/>
        <v>0</v>
      </c>
      <c r="K167" s="45">
        <f t="shared" si="73"/>
        <v>0</v>
      </c>
      <c r="L167" s="144">
        <f t="shared" si="73"/>
        <v>1</v>
      </c>
      <c r="M167" s="50">
        <f t="shared" si="14"/>
        <v>0</v>
      </c>
      <c r="N167" s="40">
        <f t="shared" si="15"/>
        <v>479</v>
      </c>
      <c r="O167" s="43">
        <f t="shared" si="16"/>
        <v>524</v>
      </c>
    </row>
    <row r="168" spans="1:15" ht="22.95" customHeight="1" x14ac:dyDescent="0.3">
      <c r="A168" s="52" t="s">
        <v>263</v>
      </c>
      <c r="B168" s="44">
        <f t="shared" si="69"/>
        <v>294</v>
      </c>
      <c r="C168" s="39">
        <f t="shared" si="69"/>
        <v>73</v>
      </c>
      <c r="D168" s="39">
        <f t="shared" si="69"/>
        <v>10</v>
      </c>
      <c r="E168" s="39">
        <f t="shared" si="69"/>
        <v>30</v>
      </c>
      <c r="F168" s="39">
        <f t="shared" si="69"/>
        <v>8</v>
      </c>
      <c r="G168" s="50">
        <f t="shared" si="49"/>
        <v>415</v>
      </c>
      <c r="H168" s="44">
        <f t="shared" ref="H168:L168" si="74">H62+H63+H64+H65</f>
        <v>0</v>
      </c>
      <c r="I168" s="39">
        <f t="shared" si="74"/>
        <v>0</v>
      </c>
      <c r="J168" s="39">
        <f t="shared" si="74"/>
        <v>0</v>
      </c>
      <c r="K168" s="45">
        <f t="shared" si="74"/>
        <v>0</v>
      </c>
      <c r="L168" s="144">
        <f t="shared" si="74"/>
        <v>2</v>
      </c>
      <c r="M168" s="50">
        <f t="shared" si="14"/>
        <v>0</v>
      </c>
      <c r="N168" s="40">
        <f t="shared" si="15"/>
        <v>415</v>
      </c>
      <c r="O168" s="43">
        <f t="shared" si="16"/>
        <v>487.5</v>
      </c>
    </row>
    <row r="169" spans="1:15" ht="22.95" customHeight="1" x14ac:dyDescent="0.3">
      <c r="A169" s="52" t="s">
        <v>264</v>
      </c>
      <c r="B169" s="44">
        <f t="shared" si="69"/>
        <v>260</v>
      </c>
      <c r="C169" s="39">
        <f t="shared" si="69"/>
        <v>75</v>
      </c>
      <c r="D169" s="39">
        <f t="shared" si="69"/>
        <v>13</v>
      </c>
      <c r="E169" s="39">
        <f t="shared" si="69"/>
        <v>28</v>
      </c>
      <c r="F169" s="39">
        <f t="shared" si="69"/>
        <v>9</v>
      </c>
      <c r="G169" s="50">
        <f t="shared" si="49"/>
        <v>385</v>
      </c>
      <c r="H169" s="44">
        <f t="shared" ref="H169:L169" si="75">H63+H64+H65+H66</f>
        <v>0</v>
      </c>
      <c r="I169" s="39">
        <f t="shared" si="75"/>
        <v>0</v>
      </c>
      <c r="J169" s="39">
        <f t="shared" si="75"/>
        <v>0</v>
      </c>
      <c r="K169" s="45">
        <f t="shared" si="75"/>
        <v>0</v>
      </c>
      <c r="L169" s="144">
        <f t="shared" si="75"/>
        <v>3</v>
      </c>
      <c r="M169" s="50">
        <f t="shared" si="14"/>
        <v>0</v>
      </c>
      <c r="N169" s="40">
        <f t="shared" si="15"/>
        <v>385</v>
      </c>
      <c r="O169" s="43">
        <f t="shared" si="16"/>
        <v>465.5</v>
      </c>
    </row>
    <row r="170" spans="1:15" ht="22.95" customHeight="1" x14ac:dyDescent="0.3">
      <c r="A170" s="52" t="s">
        <v>265</v>
      </c>
      <c r="B170" s="44">
        <f t="shared" si="69"/>
        <v>252</v>
      </c>
      <c r="C170" s="39">
        <f t="shared" si="69"/>
        <v>90</v>
      </c>
      <c r="D170" s="39">
        <f t="shared" si="69"/>
        <v>18</v>
      </c>
      <c r="E170" s="39">
        <f t="shared" si="69"/>
        <v>26</v>
      </c>
      <c r="F170" s="39">
        <f t="shared" si="69"/>
        <v>8</v>
      </c>
      <c r="G170" s="50">
        <f t="shared" si="49"/>
        <v>394</v>
      </c>
      <c r="H170" s="44">
        <f t="shared" ref="H170:L170" si="76">H64+H65+H66+H67</f>
        <v>0</v>
      </c>
      <c r="I170" s="39">
        <f t="shared" si="76"/>
        <v>0</v>
      </c>
      <c r="J170" s="39">
        <f t="shared" si="76"/>
        <v>0</v>
      </c>
      <c r="K170" s="45">
        <f t="shared" si="76"/>
        <v>0</v>
      </c>
      <c r="L170" s="144">
        <f t="shared" si="76"/>
        <v>3</v>
      </c>
      <c r="M170" s="50">
        <f t="shared" si="14"/>
        <v>0</v>
      </c>
      <c r="N170" s="40">
        <f t="shared" si="15"/>
        <v>394</v>
      </c>
      <c r="O170" s="43">
        <f t="shared" si="16"/>
        <v>462</v>
      </c>
    </row>
    <row r="171" spans="1:15" ht="22.95" customHeight="1" x14ac:dyDescent="0.3">
      <c r="A171" s="52" t="s">
        <v>266</v>
      </c>
      <c r="B171" s="44">
        <f t="shared" si="69"/>
        <v>234</v>
      </c>
      <c r="C171" s="39">
        <f t="shared" si="69"/>
        <v>75</v>
      </c>
      <c r="D171" s="39">
        <f t="shared" si="69"/>
        <v>16</v>
      </c>
      <c r="E171" s="39">
        <f t="shared" si="69"/>
        <v>21</v>
      </c>
      <c r="F171" s="39">
        <f t="shared" si="69"/>
        <v>9</v>
      </c>
      <c r="G171" s="50">
        <f t="shared" si="49"/>
        <v>355</v>
      </c>
      <c r="H171" s="44">
        <f t="shared" ref="H171:L171" si="77">H65+H66+H67+H68</f>
        <v>0</v>
      </c>
      <c r="I171" s="39">
        <f t="shared" si="77"/>
        <v>0</v>
      </c>
      <c r="J171" s="39">
        <f t="shared" si="77"/>
        <v>0</v>
      </c>
      <c r="K171" s="45">
        <f t="shared" si="77"/>
        <v>0</v>
      </c>
      <c r="L171" s="144">
        <f t="shared" si="77"/>
        <v>3</v>
      </c>
      <c r="M171" s="50">
        <f t="shared" si="14"/>
        <v>0</v>
      </c>
      <c r="N171" s="40">
        <f t="shared" si="15"/>
        <v>355</v>
      </c>
      <c r="O171" s="43">
        <f t="shared" si="16"/>
        <v>423</v>
      </c>
    </row>
    <row r="172" spans="1:15" ht="22.95" customHeight="1" x14ac:dyDescent="0.3">
      <c r="A172" s="52" t="s">
        <v>267</v>
      </c>
      <c r="B172" s="44">
        <f t="shared" si="69"/>
        <v>230</v>
      </c>
      <c r="C172" s="39">
        <f t="shared" si="69"/>
        <v>72</v>
      </c>
      <c r="D172" s="39">
        <f t="shared" si="69"/>
        <v>16</v>
      </c>
      <c r="E172" s="39">
        <f t="shared" si="69"/>
        <v>19</v>
      </c>
      <c r="F172" s="39">
        <f t="shared" si="69"/>
        <v>8</v>
      </c>
      <c r="G172" s="50">
        <f t="shared" si="49"/>
        <v>345</v>
      </c>
      <c r="H172" s="44">
        <f t="shared" ref="H172:L172" si="78">H66+H67+H68+H69</f>
        <v>0</v>
      </c>
      <c r="I172" s="39">
        <f t="shared" si="78"/>
        <v>0</v>
      </c>
      <c r="J172" s="39">
        <f t="shared" si="78"/>
        <v>0</v>
      </c>
      <c r="K172" s="45">
        <f t="shared" si="78"/>
        <v>0</v>
      </c>
      <c r="L172" s="144">
        <f t="shared" si="78"/>
        <v>3</v>
      </c>
      <c r="M172" s="50">
        <f t="shared" si="14"/>
        <v>0</v>
      </c>
      <c r="N172" s="40">
        <f t="shared" si="15"/>
        <v>345</v>
      </c>
      <c r="O172" s="43">
        <f t="shared" si="16"/>
        <v>407</v>
      </c>
    </row>
    <row r="173" spans="1:15" ht="22.95" customHeight="1" x14ac:dyDescent="0.3">
      <c r="A173" s="52" t="s">
        <v>268</v>
      </c>
      <c r="B173" s="44">
        <f t="shared" si="69"/>
        <v>201</v>
      </c>
      <c r="C173" s="39">
        <f t="shared" si="69"/>
        <v>80</v>
      </c>
      <c r="D173" s="39">
        <f t="shared" si="69"/>
        <v>13</v>
      </c>
      <c r="E173" s="39">
        <f t="shared" si="69"/>
        <v>12</v>
      </c>
      <c r="F173" s="39">
        <f t="shared" si="69"/>
        <v>5</v>
      </c>
      <c r="G173" s="50">
        <f t="shared" si="49"/>
        <v>311</v>
      </c>
      <c r="H173" s="44">
        <f t="shared" ref="H173:L173" si="79">H67+H68+H69+H70</f>
        <v>0</v>
      </c>
      <c r="I173" s="39">
        <f t="shared" si="79"/>
        <v>0</v>
      </c>
      <c r="J173" s="39">
        <f t="shared" si="79"/>
        <v>0</v>
      </c>
      <c r="K173" s="45">
        <f t="shared" si="79"/>
        <v>0</v>
      </c>
      <c r="L173" s="144">
        <f t="shared" si="79"/>
        <v>2</v>
      </c>
      <c r="M173" s="50">
        <f t="shared" si="14"/>
        <v>0</v>
      </c>
      <c r="N173" s="40">
        <f t="shared" si="15"/>
        <v>311</v>
      </c>
      <c r="O173" s="43">
        <f t="shared" si="16"/>
        <v>335</v>
      </c>
    </row>
    <row r="174" spans="1:15" ht="22.95" customHeight="1" x14ac:dyDescent="0.3">
      <c r="A174" s="52" t="s">
        <v>269</v>
      </c>
      <c r="B174" s="44">
        <f t="shared" si="69"/>
        <v>156</v>
      </c>
      <c r="C174" s="39">
        <f t="shared" si="69"/>
        <v>63</v>
      </c>
      <c r="D174" s="39">
        <f t="shared" si="69"/>
        <v>9</v>
      </c>
      <c r="E174" s="39">
        <f t="shared" si="69"/>
        <v>11</v>
      </c>
      <c r="F174" s="39">
        <f t="shared" si="69"/>
        <v>7</v>
      </c>
      <c r="G174" s="50">
        <f t="shared" si="49"/>
        <v>246</v>
      </c>
      <c r="H174" s="44">
        <f t="shared" ref="H174:L174" si="80">H68+H69+H70+H71</f>
        <v>0</v>
      </c>
      <c r="I174" s="39">
        <f t="shared" si="80"/>
        <v>0</v>
      </c>
      <c r="J174" s="39">
        <f t="shared" si="80"/>
        <v>0</v>
      </c>
      <c r="K174" s="45">
        <f t="shared" si="80"/>
        <v>0</v>
      </c>
      <c r="L174" s="144">
        <f t="shared" si="80"/>
        <v>1</v>
      </c>
      <c r="M174" s="50">
        <f t="shared" si="14"/>
        <v>0</v>
      </c>
      <c r="N174" s="40">
        <f t="shared" si="15"/>
        <v>246</v>
      </c>
      <c r="O174" s="43">
        <f t="shared" si="16"/>
        <v>273.5</v>
      </c>
    </row>
    <row r="175" spans="1:15" ht="22.95" customHeight="1" x14ac:dyDescent="0.3">
      <c r="A175" s="54" t="s">
        <v>241</v>
      </c>
      <c r="B175" s="44">
        <f t="shared" si="69"/>
        <v>132</v>
      </c>
      <c r="C175" s="39">
        <f t="shared" si="69"/>
        <v>65</v>
      </c>
      <c r="D175" s="39">
        <f t="shared" si="69"/>
        <v>8</v>
      </c>
      <c r="E175" s="39">
        <f t="shared" si="69"/>
        <v>8</v>
      </c>
      <c r="F175" s="39">
        <f t="shared" si="69"/>
        <v>8</v>
      </c>
      <c r="G175" s="50">
        <f t="shared" si="49"/>
        <v>221</v>
      </c>
      <c r="H175" s="44">
        <f t="shared" ref="H175:L175" si="81">H69+H70+H71+H72</f>
        <v>0</v>
      </c>
      <c r="I175" s="39">
        <f t="shared" si="81"/>
        <v>0</v>
      </c>
      <c r="J175" s="39">
        <f t="shared" si="81"/>
        <v>0</v>
      </c>
      <c r="K175" s="45">
        <f t="shared" si="81"/>
        <v>0</v>
      </c>
      <c r="L175" s="144">
        <f t="shared" si="81"/>
        <v>2</v>
      </c>
      <c r="M175" s="50">
        <f t="shared" si="14"/>
        <v>0</v>
      </c>
      <c r="N175" s="40">
        <f t="shared" si="15"/>
        <v>221</v>
      </c>
      <c r="O175" s="43">
        <f t="shared" si="16"/>
        <v>252.5</v>
      </c>
    </row>
    <row r="176" spans="1:15" ht="22.95" customHeight="1" x14ac:dyDescent="0.3">
      <c r="A176" s="52" t="s">
        <v>242</v>
      </c>
      <c r="B176" s="44">
        <f t="shared" si="69"/>
        <v>132</v>
      </c>
      <c r="C176" s="39">
        <f t="shared" si="69"/>
        <v>65</v>
      </c>
      <c r="D176" s="39">
        <f t="shared" si="69"/>
        <v>8</v>
      </c>
      <c r="E176" s="39">
        <f t="shared" si="69"/>
        <v>8</v>
      </c>
      <c r="F176" s="39">
        <f t="shared" si="69"/>
        <v>7</v>
      </c>
      <c r="G176" s="50">
        <f t="shared" si="49"/>
        <v>220</v>
      </c>
      <c r="H176" s="44">
        <f t="shared" ref="H176:L176" si="82">H70+H71+H72+H73</f>
        <v>1</v>
      </c>
      <c r="I176" s="39">
        <f t="shared" si="82"/>
        <v>0</v>
      </c>
      <c r="J176" s="39">
        <f t="shared" si="82"/>
        <v>0</v>
      </c>
      <c r="K176" s="45">
        <f t="shared" si="82"/>
        <v>0</v>
      </c>
      <c r="L176" s="144">
        <f t="shared" si="82"/>
        <v>1</v>
      </c>
      <c r="M176" s="50">
        <f t="shared" si="14"/>
        <v>1</v>
      </c>
      <c r="N176" s="40">
        <f t="shared" si="15"/>
        <v>221</v>
      </c>
      <c r="O176" s="43">
        <f t="shared" si="16"/>
        <v>240.5</v>
      </c>
    </row>
    <row r="177" spans="1:15" ht="22.95" customHeight="1" x14ac:dyDescent="0.3">
      <c r="A177" s="52" t="s">
        <v>243</v>
      </c>
      <c r="B177" s="44">
        <f t="shared" si="69"/>
        <v>130</v>
      </c>
      <c r="C177" s="39">
        <f t="shared" si="69"/>
        <v>57</v>
      </c>
      <c r="D177" s="39">
        <f t="shared" si="69"/>
        <v>7</v>
      </c>
      <c r="E177" s="39">
        <f t="shared" si="69"/>
        <v>8</v>
      </c>
      <c r="F177" s="39">
        <f t="shared" si="69"/>
        <v>6</v>
      </c>
      <c r="G177" s="50">
        <f t="shared" si="49"/>
        <v>208</v>
      </c>
      <c r="H177" s="44">
        <f t="shared" ref="H177:L177" si="83">H71+H72+H73+H74</f>
        <v>1</v>
      </c>
      <c r="I177" s="39">
        <f t="shared" si="83"/>
        <v>0</v>
      </c>
      <c r="J177" s="39">
        <f t="shared" si="83"/>
        <v>0</v>
      </c>
      <c r="K177" s="45">
        <f t="shared" si="83"/>
        <v>0</v>
      </c>
      <c r="L177" s="144">
        <f t="shared" si="83"/>
        <v>1</v>
      </c>
      <c r="M177" s="50">
        <f t="shared" si="14"/>
        <v>1</v>
      </c>
      <c r="N177" s="40">
        <f t="shared" si="15"/>
        <v>209</v>
      </c>
      <c r="O177" s="43">
        <f t="shared" si="16"/>
        <v>228.5</v>
      </c>
    </row>
    <row r="178" spans="1:15" ht="22.95" customHeight="1" x14ac:dyDescent="0.3">
      <c r="A178" s="52" t="s">
        <v>244</v>
      </c>
      <c r="B178" s="44">
        <f t="shared" si="69"/>
        <v>130</v>
      </c>
      <c r="C178" s="39">
        <f t="shared" si="69"/>
        <v>57</v>
      </c>
      <c r="D178" s="39">
        <f t="shared" si="69"/>
        <v>10</v>
      </c>
      <c r="E178" s="39">
        <f t="shared" si="69"/>
        <v>7</v>
      </c>
      <c r="F178" s="39">
        <f t="shared" si="69"/>
        <v>5</v>
      </c>
      <c r="G178" s="50">
        <f t="shared" ref="G178:G206" si="84">SUM(B178:F178)</f>
        <v>209</v>
      </c>
      <c r="H178" s="44">
        <f t="shared" ref="H178:L178" si="85">H72+H73+H74+H75</f>
        <v>1</v>
      </c>
      <c r="I178" s="39">
        <f t="shared" si="85"/>
        <v>0</v>
      </c>
      <c r="J178" s="39">
        <f t="shared" si="85"/>
        <v>0</v>
      </c>
      <c r="K178" s="45">
        <f t="shared" si="85"/>
        <v>0</v>
      </c>
      <c r="L178" s="144">
        <f t="shared" si="85"/>
        <v>1</v>
      </c>
      <c r="M178" s="50">
        <f t="shared" si="14"/>
        <v>1</v>
      </c>
      <c r="N178" s="40">
        <f t="shared" si="15"/>
        <v>210</v>
      </c>
      <c r="O178" s="43">
        <f t="shared" si="16"/>
        <v>225.5</v>
      </c>
    </row>
    <row r="179" spans="1:15" ht="22.95" customHeight="1" x14ac:dyDescent="0.3">
      <c r="A179" s="52" t="s">
        <v>245</v>
      </c>
      <c r="B179" s="44">
        <f t="shared" si="69"/>
        <v>115</v>
      </c>
      <c r="C179" s="39">
        <f t="shared" si="69"/>
        <v>57</v>
      </c>
      <c r="D179" s="39">
        <f t="shared" si="69"/>
        <v>9</v>
      </c>
      <c r="E179" s="39">
        <f t="shared" si="69"/>
        <v>6</v>
      </c>
      <c r="F179" s="39">
        <f t="shared" si="69"/>
        <v>4</v>
      </c>
      <c r="G179" s="50">
        <f t="shared" si="84"/>
        <v>191</v>
      </c>
      <c r="H179" s="44">
        <f t="shared" ref="H179:L179" si="86">H73+H74+H75+H76</f>
        <v>2</v>
      </c>
      <c r="I179" s="39">
        <f t="shared" si="86"/>
        <v>0</v>
      </c>
      <c r="J179" s="39">
        <f t="shared" si="86"/>
        <v>0</v>
      </c>
      <c r="K179" s="45">
        <f t="shared" si="86"/>
        <v>0</v>
      </c>
      <c r="L179" s="144">
        <f t="shared" si="86"/>
        <v>0</v>
      </c>
      <c r="M179" s="50">
        <f t="shared" ref="M179:M206" si="87">SUM(H179:K179)</f>
        <v>2</v>
      </c>
      <c r="N179" s="40">
        <f t="shared" ref="N179:N206" si="88">G179+M179</f>
        <v>193</v>
      </c>
      <c r="O179" s="43">
        <f t="shared" ref="O179:O206" si="89">B179*1+C179*0.5+D179*1.5+E179*3+F179*4.5+H179*0.5+I179*1.5+J179*3+K179*4+L179*8</f>
        <v>194</v>
      </c>
    </row>
    <row r="180" spans="1:15" ht="22.95" customHeight="1" x14ac:dyDescent="0.3">
      <c r="A180" s="52" t="s">
        <v>246</v>
      </c>
      <c r="B180" s="44">
        <f t="shared" ref="B180:F195" si="90">B74+B75+B76+B77</f>
        <v>82</v>
      </c>
      <c r="C180" s="39">
        <f t="shared" si="90"/>
        <v>50</v>
      </c>
      <c r="D180" s="39">
        <f t="shared" si="90"/>
        <v>8</v>
      </c>
      <c r="E180" s="39">
        <f t="shared" si="90"/>
        <v>3</v>
      </c>
      <c r="F180" s="39">
        <f t="shared" si="90"/>
        <v>3</v>
      </c>
      <c r="G180" s="50">
        <f t="shared" si="84"/>
        <v>146</v>
      </c>
      <c r="H180" s="44">
        <f t="shared" ref="H180:L180" si="91">H74+H75+H76+H77</f>
        <v>1</v>
      </c>
      <c r="I180" s="39">
        <f t="shared" si="91"/>
        <v>0</v>
      </c>
      <c r="J180" s="39">
        <f t="shared" si="91"/>
        <v>0</v>
      </c>
      <c r="K180" s="45">
        <f t="shared" si="91"/>
        <v>0</v>
      </c>
      <c r="L180" s="144">
        <f t="shared" si="91"/>
        <v>0</v>
      </c>
      <c r="M180" s="50">
        <f t="shared" si="87"/>
        <v>1</v>
      </c>
      <c r="N180" s="40">
        <f t="shared" si="88"/>
        <v>147</v>
      </c>
      <c r="O180" s="43">
        <f t="shared" si="89"/>
        <v>142</v>
      </c>
    </row>
    <row r="181" spans="1:15" ht="22.95" customHeight="1" x14ac:dyDescent="0.3">
      <c r="A181" s="52" t="s">
        <v>247</v>
      </c>
      <c r="B181" s="44">
        <f t="shared" si="90"/>
        <v>63</v>
      </c>
      <c r="C181" s="39">
        <f t="shared" si="90"/>
        <v>46</v>
      </c>
      <c r="D181" s="39">
        <f t="shared" si="90"/>
        <v>7</v>
      </c>
      <c r="E181" s="39">
        <f t="shared" si="90"/>
        <v>1</v>
      </c>
      <c r="F181" s="39">
        <f t="shared" si="90"/>
        <v>3</v>
      </c>
      <c r="G181" s="50">
        <f t="shared" si="84"/>
        <v>120</v>
      </c>
      <c r="H181" s="44">
        <f t="shared" ref="H181:L181" si="92">H75+H76+H77+H78</f>
        <v>1</v>
      </c>
      <c r="I181" s="39">
        <f t="shared" si="92"/>
        <v>0</v>
      </c>
      <c r="J181" s="39">
        <f t="shared" si="92"/>
        <v>0</v>
      </c>
      <c r="K181" s="45">
        <f t="shared" si="92"/>
        <v>0</v>
      </c>
      <c r="L181" s="144">
        <f t="shared" si="92"/>
        <v>0</v>
      </c>
      <c r="M181" s="50">
        <f t="shared" si="87"/>
        <v>1</v>
      </c>
      <c r="N181" s="40">
        <f t="shared" si="88"/>
        <v>121</v>
      </c>
      <c r="O181" s="43">
        <f t="shared" si="89"/>
        <v>113.5</v>
      </c>
    </row>
    <row r="182" spans="1:15" ht="22.95" customHeight="1" x14ac:dyDescent="0.3">
      <c r="A182" s="52" t="s">
        <v>248</v>
      </c>
      <c r="B182" s="44">
        <f t="shared" si="90"/>
        <v>55</v>
      </c>
      <c r="C182" s="39">
        <f t="shared" si="90"/>
        <v>46</v>
      </c>
      <c r="D182" s="39">
        <f t="shared" si="90"/>
        <v>3</v>
      </c>
      <c r="E182" s="39">
        <f t="shared" si="90"/>
        <v>0</v>
      </c>
      <c r="F182" s="39">
        <f t="shared" si="90"/>
        <v>1</v>
      </c>
      <c r="G182" s="50">
        <f t="shared" si="84"/>
        <v>105</v>
      </c>
      <c r="H182" s="44">
        <f t="shared" ref="H182:L182" si="93">H76+H77+H78+H79</f>
        <v>1</v>
      </c>
      <c r="I182" s="39">
        <f t="shared" si="93"/>
        <v>0</v>
      </c>
      <c r="J182" s="39">
        <f t="shared" si="93"/>
        <v>0</v>
      </c>
      <c r="K182" s="45">
        <f t="shared" si="93"/>
        <v>0</v>
      </c>
      <c r="L182" s="144">
        <f t="shared" si="93"/>
        <v>0</v>
      </c>
      <c r="M182" s="50">
        <f t="shared" si="87"/>
        <v>1</v>
      </c>
      <c r="N182" s="40">
        <f t="shared" si="88"/>
        <v>106</v>
      </c>
      <c r="O182" s="43">
        <f t="shared" si="89"/>
        <v>87.5</v>
      </c>
    </row>
    <row r="183" spans="1:15" ht="22.95" customHeight="1" x14ac:dyDescent="0.3">
      <c r="A183" s="52" t="s">
        <v>249</v>
      </c>
      <c r="B183" s="44">
        <f t="shared" si="90"/>
        <v>40</v>
      </c>
      <c r="C183" s="39">
        <f t="shared" si="90"/>
        <v>28</v>
      </c>
      <c r="D183" s="39">
        <f t="shared" si="90"/>
        <v>1</v>
      </c>
      <c r="E183" s="39">
        <f t="shared" si="90"/>
        <v>0</v>
      </c>
      <c r="F183" s="39">
        <f t="shared" si="90"/>
        <v>0</v>
      </c>
      <c r="G183" s="50">
        <f t="shared" si="84"/>
        <v>69</v>
      </c>
      <c r="H183" s="44">
        <f t="shared" ref="H183:L183" si="94">H77+H78+H79+H80</f>
        <v>0</v>
      </c>
      <c r="I183" s="39">
        <f t="shared" si="94"/>
        <v>0</v>
      </c>
      <c r="J183" s="39">
        <f t="shared" si="94"/>
        <v>0</v>
      </c>
      <c r="K183" s="45">
        <f t="shared" si="94"/>
        <v>0</v>
      </c>
      <c r="L183" s="144">
        <f t="shared" si="94"/>
        <v>0</v>
      </c>
      <c r="M183" s="50">
        <f t="shared" si="87"/>
        <v>0</v>
      </c>
      <c r="N183" s="40">
        <f t="shared" si="88"/>
        <v>69</v>
      </c>
      <c r="O183" s="43">
        <f t="shared" si="89"/>
        <v>55.5</v>
      </c>
    </row>
    <row r="184" spans="1:15" ht="22.95" customHeight="1" x14ac:dyDescent="0.3">
      <c r="A184" s="52" t="s">
        <v>250</v>
      </c>
      <c r="B184" s="44">
        <f t="shared" si="90"/>
        <v>39</v>
      </c>
      <c r="C184" s="39">
        <f t="shared" si="90"/>
        <v>40</v>
      </c>
      <c r="D184" s="39">
        <f t="shared" si="90"/>
        <v>0</v>
      </c>
      <c r="E184" s="39">
        <f t="shared" si="90"/>
        <v>0</v>
      </c>
      <c r="F184" s="39">
        <f t="shared" si="90"/>
        <v>0</v>
      </c>
      <c r="G184" s="50">
        <f t="shared" si="84"/>
        <v>79</v>
      </c>
      <c r="H184" s="44">
        <f t="shared" ref="H184:L184" si="95">H78+H79+H80+H81</f>
        <v>1</v>
      </c>
      <c r="I184" s="39">
        <f t="shared" si="95"/>
        <v>0</v>
      </c>
      <c r="J184" s="39">
        <f t="shared" si="95"/>
        <v>0</v>
      </c>
      <c r="K184" s="45">
        <f t="shared" si="95"/>
        <v>0</v>
      </c>
      <c r="L184" s="144">
        <f t="shared" si="95"/>
        <v>0</v>
      </c>
      <c r="M184" s="50">
        <f t="shared" si="87"/>
        <v>1</v>
      </c>
      <c r="N184" s="40">
        <f t="shared" si="88"/>
        <v>80</v>
      </c>
      <c r="O184" s="43">
        <f t="shared" si="89"/>
        <v>59.5</v>
      </c>
    </row>
    <row r="185" spans="1:15" ht="22.95" customHeight="1" x14ac:dyDescent="0.3">
      <c r="A185" s="52" t="s">
        <v>251</v>
      </c>
      <c r="B185" s="44">
        <f t="shared" si="90"/>
        <v>40</v>
      </c>
      <c r="C185" s="39">
        <f t="shared" si="90"/>
        <v>47</v>
      </c>
      <c r="D185" s="39">
        <f t="shared" si="90"/>
        <v>0</v>
      </c>
      <c r="E185" s="39">
        <f t="shared" si="90"/>
        <v>0</v>
      </c>
      <c r="F185" s="39">
        <f t="shared" si="90"/>
        <v>0</v>
      </c>
      <c r="G185" s="50">
        <f t="shared" si="84"/>
        <v>87</v>
      </c>
      <c r="H185" s="44">
        <f t="shared" ref="H185:L185" si="96">H79+H80+H81+H82</f>
        <v>1</v>
      </c>
      <c r="I185" s="39">
        <f t="shared" si="96"/>
        <v>0</v>
      </c>
      <c r="J185" s="39">
        <f t="shared" si="96"/>
        <v>0</v>
      </c>
      <c r="K185" s="45">
        <f t="shared" si="96"/>
        <v>0</v>
      </c>
      <c r="L185" s="144">
        <f t="shared" si="96"/>
        <v>0</v>
      </c>
      <c r="M185" s="50">
        <f t="shared" si="87"/>
        <v>1</v>
      </c>
      <c r="N185" s="40">
        <f t="shared" si="88"/>
        <v>88</v>
      </c>
      <c r="O185" s="43">
        <f t="shared" si="89"/>
        <v>64</v>
      </c>
    </row>
    <row r="186" spans="1:15" ht="22.95" customHeight="1" x14ac:dyDescent="0.3">
      <c r="A186" s="52" t="s">
        <v>252</v>
      </c>
      <c r="B186" s="44">
        <f t="shared" si="90"/>
        <v>34</v>
      </c>
      <c r="C186" s="39">
        <f t="shared" si="90"/>
        <v>39</v>
      </c>
      <c r="D186" s="39">
        <f t="shared" si="90"/>
        <v>0</v>
      </c>
      <c r="E186" s="39">
        <f t="shared" si="90"/>
        <v>1</v>
      </c>
      <c r="F186" s="39">
        <f t="shared" si="90"/>
        <v>0</v>
      </c>
      <c r="G186" s="50">
        <f t="shared" si="84"/>
        <v>74</v>
      </c>
      <c r="H186" s="44">
        <f t="shared" ref="H186:L186" si="97">H80+H81+H82+H83</f>
        <v>1</v>
      </c>
      <c r="I186" s="39">
        <f t="shared" si="97"/>
        <v>0</v>
      </c>
      <c r="J186" s="39">
        <f t="shared" si="97"/>
        <v>0</v>
      </c>
      <c r="K186" s="45">
        <f t="shared" si="97"/>
        <v>0</v>
      </c>
      <c r="L186" s="144">
        <f t="shared" si="97"/>
        <v>0</v>
      </c>
      <c r="M186" s="50">
        <f t="shared" si="87"/>
        <v>1</v>
      </c>
      <c r="N186" s="40">
        <f t="shared" si="88"/>
        <v>75</v>
      </c>
      <c r="O186" s="43">
        <f t="shared" si="89"/>
        <v>57</v>
      </c>
    </row>
    <row r="187" spans="1:15" ht="22.95" customHeight="1" x14ac:dyDescent="0.3">
      <c r="A187" s="52" t="s">
        <v>253</v>
      </c>
      <c r="B187" s="44">
        <f t="shared" si="90"/>
        <v>36</v>
      </c>
      <c r="C187" s="39">
        <f t="shared" si="90"/>
        <v>47</v>
      </c>
      <c r="D187" s="39">
        <f t="shared" si="90"/>
        <v>0</v>
      </c>
      <c r="E187" s="39">
        <f t="shared" si="90"/>
        <v>1</v>
      </c>
      <c r="F187" s="39">
        <f t="shared" si="90"/>
        <v>0</v>
      </c>
      <c r="G187" s="50">
        <f t="shared" si="84"/>
        <v>84</v>
      </c>
      <c r="H187" s="44">
        <f t="shared" ref="H187:L187" si="98">H81+H82+H83+H84</f>
        <v>1</v>
      </c>
      <c r="I187" s="39">
        <f t="shared" si="98"/>
        <v>0</v>
      </c>
      <c r="J187" s="39">
        <f t="shared" si="98"/>
        <v>0</v>
      </c>
      <c r="K187" s="45">
        <f t="shared" si="98"/>
        <v>0</v>
      </c>
      <c r="L187" s="144">
        <f t="shared" si="98"/>
        <v>0</v>
      </c>
      <c r="M187" s="50">
        <f t="shared" si="87"/>
        <v>1</v>
      </c>
      <c r="N187" s="40">
        <f t="shared" si="88"/>
        <v>85</v>
      </c>
      <c r="O187" s="43">
        <f t="shared" si="89"/>
        <v>63</v>
      </c>
    </row>
    <row r="188" spans="1:15" ht="22.95" customHeight="1" x14ac:dyDescent="0.3">
      <c r="A188" s="52" t="s">
        <v>254</v>
      </c>
      <c r="B188" s="44">
        <f t="shared" si="90"/>
        <v>31</v>
      </c>
      <c r="C188" s="39">
        <f t="shared" si="90"/>
        <v>35</v>
      </c>
      <c r="D188" s="39">
        <f t="shared" si="90"/>
        <v>1</v>
      </c>
      <c r="E188" s="39">
        <f t="shared" si="90"/>
        <v>1</v>
      </c>
      <c r="F188" s="39">
        <f t="shared" si="90"/>
        <v>0</v>
      </c>
      <c r="G188" s="50">
        <f t="shared" si="84"/>
        <v>68</v>
      </c>
      <c r="H188" s="44">
        <f t="shared" ref="H188:L188" si="99">H82+H83+H84+H85</f>
        <v>0</v>
      </c>
      <c r="I188" s="39">
        <f t="shared" si="99"/>
        <v>0</v>
      </c>
      <c r="J188" s="39">
        <f t="shared" si="99"/>
        <v>0</v>
      </c>
      <c r="K188" s="45">
        <f t="shared" si="99"/>
        <v>0</v>
      </c>
      <c r="L188" s="144">
        <f t="shared" si="99"/>
        <v>0</v>
      </c>
      <c r="M188" s="50">
        <f t="shared" si="87"/>
        <v>0</v>
      </c>
      <c r="N188" s="40">
        <f t="shared" si="88"/>
        <v>68</v>
      </c>
      <c r="O188" s="43">
        <f t="shared" si="89"/>
        <v>53</v>
      </c>
    </row>
    <row r="189" spans="1:15" ht="22.95" customHeight="1" x14ac:dyDescent="0.3">
      <c r="A189" s="52" t="s">
        <v>255</v>
      </c>
      <c r="B189" s="44">
        <f t="shared" si="90"/>
        <v>25</v>
      </c>
      <c r="C189" s="39">
        <f t="shared" si="90"/>
        <v>40</v>
      </c>
      <c r="D189" s="39">
        <f t="shared" si="90"/>
        <v>3</v>
      </c>
      <c r="E189" s="39">
        <f t="shared" si="90"/>
        <v>2</v>
      </c>
      <c r="F189" s="39">
        <f t="shared" si="90"/>
        <v>0</v>
      </c>
      <c r="G189" s="50">
        <f t="shared" si="84"/>
        <v>70</v>
      </c>
      <c r="H189" s="44">
        <f t="shared" ref="H189:L189" si="100">H83+H84+H85+H86</f>
        <v>0</v>
      </c>
      <c r="I189" s="39">
        <f t="shared" si="100"/>
        <v>0</v>
      </c>
      <c r="J189" s="39">
        <f t="shared" si="100"/>
        <v>0</v>
      </c>
      <c r="K189" s="45">
        <f t="shared" si="100"/>
        <v>0</v>
      </c>
      <c r="L189" s="144">
        <f t="shared" si="100"/>
        <v>0</v>
      </c>
      <c r="M189" s="50">
        <f t="shared" si="87"/>
        <v>0</v>
      </c>
      <c r="N189" s="40">
        <f t="shared" si="88"/>
        <v>70</v>
      </c>
      <c r="O189" s="43">
        <f t="shared" si="89"/>
        <v>55.5</v>
      </c>
    </row>
    <row r="190" spans="1:15" ht="22.95" customHeight="1" x14ac:dyDescent="0.3">
      <c r="A190" s="52" t="s">
        <v>256</v>
      </c>
      <c r="B190" s="44">
        <f t="shared" si="90"/>
        <v>27</v>
      </c>
      <c r="C190" s="39">
        <f t="shared" si="90"/>
        <v>56</v>
      </c>
      <c r="D190" s="39">
        <f t="shared" si="90"/>
        <v>3</v>
      </c>
      <c r="E190" s="39">
        <f t="shared" si="90"/>
        <v>1</v>
      </c>
      <c r="F190" s="39">
        <f t="shared" si="90"/>
        <v>0</v>
      </c>
      <c r="G190" s="50">
        <f t="shared" si="84"/>
        <v>87</v>
      </c>
      <c r="H190" s="44">
        <f t="shared" ref="H190:L190" si="101">H84+H85+H86+H87</f>
        <v>0</v>
      </c>
      <c r="I190" s="39">
        <f t="shared" si="101"/>
        <v>0</v>
      </c>
      <c r="J190" s="39">
        <f t="shared" si="101"/>
        <v>0</v>
      </c>
      <c r="K190" s="45">
        <f t="shared" si="101"/>
        <v>0</v>
      </c>
      <c r="L190" s="144">
        <f t="shared" si="101"/>
        <v>0</v>
      </c>
      <c r="M190" s="50">
        <f t="shared" si="87"/>
        <v>0</v>
      </c>
      <c r="N190" s="40">
        <f t="shared" si="88"/>
        <v>87</v>
      </c>
      <c r="O190" s="43">
        <f t="shared" si="89"/>
        <v>62.5</v>
      </c>
    </row>
    <row r="191" spans="1:15" ht="22.95" customHeight="1" x14ac:dyDescent="0.3">
      <c r="A191" s="52" t="s">
        <v>257</v>
      </c>
      <c r="B191" s="44">
        <f t="shared" si="90"/>
        <v>34</v>
      </c>
      <c r="C191" s="39">
        <f t="shared" si="90"/>
        <v>73</v>
      </c>
      <c r="D191" s="39">
        <f t="shared" si="90"/>
        <v>4</v>
      </c>
      <c r="E191" s="39">
        <f t="shared" si="90"/>
        <v>3</v>
      </c>
      <c r="F191" s="39">
        <f t="shared" si="90"/>
        <v>0</v>
      </c>
      <c r="G191" s="50">
        <f t="shared" si="84"/>
        <v>114</v>
      </c>
      <c r="H191" s="44">
        <f t="shared" ref="H191:L191" si="102">H85+H86+H87+H88</f>
        <v>1</v>
      </c>
      <c r="I191" s="39">
        <f t="shared" si="102"/>
        <v>0</v>
      </c>
      <c r="J191" s="39">
        <f t="shared" si="102"/>
        <v>0</v>
      </c>
      <c r="K191" s="45">
        <f t="shared" si="102"/>
        <v>0</v>
      </c>
      <c r="L191" s="144">
        <f t="shared" si="102"/>
        <v>0</v>
      </c>
      <c r="M191" s="50">
        <f t="shared" si="87"/>
        <v>1</v>
      </c>
      <c r="N191" s="40">
        <f t="shared" si="88"/>
        <v>115</v>
      </c>
      <c r="O191" s="43">
        <f t="shared" si="89"/>
        <v>86</v>
      </c>
    </row>
    <row r="192" spans="1:15" ht="22.95" customHeight="1" x14ac:dyDescent="0.3">
      <c r="A192" s="52" t="s">
        <v>258</v>
      </c>
      <c r="B192" s="44">
        <f t="shared" si="90"/>
        <v>37</v>
      </c>
      <c r="C192" s="39">
        <f t="shared" si="90"/>
        <v>87</v>
      </c>
      <c r="D192" s="39">
        <f t="shared" si="90"/>
        <v>5</v>
      </c>
      <c r="E192" s="39">
        <f t="shared" si="90"/>
        <v>5</v>
      </c>
      <c r="F192" s="39">
        <f t="shared" si="90"/>
        <v>0</v>
      </c>
      <c r="G192" s="50">
        <f t="shared" si="84"/>
        <v>134</v>
      </c>
      <c r="H192" s="44">
        <f t="shared" ref="H192:L192" si="103">H86+H87+H88+H89</f>
        <v>1</v>
      </c>
      <c r="I192" s="39">
        <f t="shared" si="103"/>
        <v>0</v>
      </c>
      <c r="J192" s="39">
        <f t="shared" si="103"/>
        <v>0</v>
      </c>
      <c r="K192" s="45">
        <f t="shared" si="103"/>
        <v>0</v>
      </c>
      <c r="L192" s="144">
        <f t="shared" si="103"/>
        <v>0</v>
      </c>
      <c r="M192" s="50">
        <f t="shared" si="87"/>
        <v>1</v>
      </c>
      <c r="N192" s="40">
        <f t="shared" si="88"/>
        <v>135</v>
      </c>
      <c r="O192" s="43">
        <f t="shared" si="89"/>
        <v>103.5</v>
      </c>
    </row>
    <row r="193" spans="1:15" ht="22.95" customHeight="1" x14ac:dyDescent="0.3">
      <c r="A193" s="52" t="s">
        <v>259</v>
      </c>
      <c r="B193" s="44">
        <f t="shared" si="90"/>
        <v>45</v>
      </c>
      <c r="C193" s="39">
        <f t="shared" si="90"/>
        <v>100</v>
      </c>
      <c r="D193" s="39">
        <f t="shared" si="90"/>
        <v>4</v>
      </c>
      <c r="E193" s="39">
        <f t="shared" si="90"/>
        <v>4</v>
      </c>
      <c r="F193" s="39">
        <f t="shared" si="90"/>
        <v>0</v>
      </c>
      <c r="G193" s="50">
        <f t="shared" si="84"/>
        <v>153</v>
      </c>
      <c r="H193" s="44">
        <f t="shared" ref="H193:L193" si="104">H87+H88+H89+H90</f>
        <v>2</v>
      </c>
      <c r="I193" s="39">
        <f t="shared" si="104"/>
        <v>0</v>
      </c>
      <c r="J193" s="39">
        <f t="shared" si="104"/>
        <v>0</v>
      </c>
      <c r="K193" s="45">
        <f t="shared" si="104"/>
        <v>0</v>
      </c>
      <c r="L193" s="144">
        <f t="shared" si="104"/>
        <v>0</v>
      </c>
      <c r="M193" s="50">
        <f t="shared" si="87"/>
        <v>2</v>
      </c>
      <c r="N193" s="40">
        <f t="shared" si="88"/>
        <v>155</v>
      </c>
      <c r="O193" s="43">
        <f t="shared" si="89"/>
        <v>114</v>
      </c>
    </row>
    <row r="194" spans="1:15" ht="22.95" customHeight="1" x14ac:dyDescent="0.3">
      <c r="A194" s="52" t="s">
        <v>260</v>
      </c>
      <c r="B194" s="44">
        <f t="shared" si="90"/>
        <v>50</v>
      </c>
      <c r="C194" s="39">
        <f t="shared" si="90"/>
        <v>114</v>
      </c>
      <c r="D194" s="39">
        <f t="shared" si="90"/>
        <v>4</v>
      </c>
      <c r="E194" s="39">
        <f t="shared" si="90"/>
        <v>5</v>
      </c>
      <c r="F194" s="39">
        <f t="shared" si="90"/>
        <v>0</v>
      </c>
      <c r="G194" s="50">
        <f t="shared" si="84"/>
        <v>173</v>
      </c>
      <c r="H194" s="44">
        <f t="shared" ref="H194:L194" si="105">H88+H89+H90+H91</f>
        <v>2</v>
      </c>
      <c r="I194" s="39">
        <f t="shared" si="105"/>
        <v>0</v>
      </c>
      <c r="J194" s="39">
        <f t="shared" si="105"/>
        <v>0</v>
      </c>
      <c r="K194" s="45">
        <f t="shared" si="105"/>
        <v>0</v>
      </c>
      <c r="L194" s="144">
        <f t="shared" si="105"/>
        <v>0</v>
      </c>
      <c r="M194" s="50">
        <f t="shared" si="87"/>
        <v>2</v>
      </c>
      <c r="N194" s="40">
        <f t="shared" si="88"/>
        <v>175</v>
      </c>
      <c r="O194" s="43">
        <f t="shared" si="89"/>
        <v>129</v>
      </c>
    </row>
    <row r="195" spans="1:15" ht="22.95" customHeight="1" x14ac:dyDescent="0.3">
      <c r="A195" s="52" t="s">
        <v>261</v>
      </c>
      <c r="B195" s="44">
        <f t="shared" si="90"/>
        <v>52</v>
      </c>
      <c r="C195" s="39">
        <f t="shared" si="90"/>
        <v>127</v>
      </c>
      <c r="D195" s="39">
        <f t="shared" si="90"/>
        <v>3</v>
      </c>
      <c r="E195" s="39">
        <f t="shared" si="90"/>
        <v>3</v>
      </c>
      <c r="F195" s="39">
        <f t="shared" si="90"/>
        <v>1</v>
      </c>
      <c r="G195" s="50">
        <f t="shared" si="84"/>
        <v>186</v>
      </c>
      <c r="H195" s="44">
        <f t="shared" ref="H195:L195" si="106">H89+H90+H91+H92</f>
        <v>1</v>
      </c>
      <c r="I195" s="39">
        <f t="shared" si="106"/>
        <v>0</v>
      </c>
      <c r="J195" s="39">
        <f t="shared" si="106"/>
        <v>0</v>
      </c>
      <c r="K195" s="45">
        <f t="shared" si="106"/>
        <v>0</v>
      </c>
      <c r="L195" s="144">
        <f t="shared" si="106"/>
        <v>0</v>
      </c>
      <c r="M195" s="50">
        <f t="shared" si="87"/>
        <v>1</v>
      </c>
      <c r="N195" s="40">
        <f t="shared" si="88"/>
        <v>187</v>
      </c>
      <c r="O195" s="43">
        <f t="shared" si="89"/>
        <v>134</v>
      </c>
    </row>
    <row r="196" spans="1:15" ht="22.95" customHeight="1" x14ac:dyDescent="0.3">
      <c r="A196" s="52" t="s">
        <v>270</v>
      </c>
      <c r="B196" s="44">
        <f t="shared" ref="B196:F206" si="107">B90+B91+B92+B93</f>
        <v>72</v>
      </c>
      <c r="C196" s="39">
        <f t="shared" si="107"/>
        <v>183</v>
      </c>
      <c r="D196" s="39">
        <f t="shared" si="107"/>
        <v>2</v>
      </c>
      <c r="E196" s="39">
        <f t="shared" si="107"/>
        <v>2</v>
      </c>
      <c r="F196" s="39">
        <f t="shared" si="107"/>
        <v>1</v>
      </c>
      <c r="G196" s="50">
        <f t="shared" si="84"/>
        <v>260</v>
      </c>
      <c r="H196" s="44">
        <f t="shared" ref="H196:L196" si="108">H90+H91+H92+H93</f>
        <v>1</v>
      </c>
      <c r="I196" s="39">
        <f t="shared" si="108"/>
        <v>0</v>
      </c>
      <c r="J196" s="39">
        <f t="shared" si="108"/>
        <v>0</v>
      </c>
      <c r="K196" s="45">
        <f t="shared" si="108"/>
        <v>0</v>
      </c>
      <c r="L196" s="144">
        <f t="shared" si="108"/>
        <v>0</v>
      </c>
      <c r="M196" s="50">
        <f t="shared" si="87"/>
        <v>1</v>
      </c>
      <c r="N196" s="40">
        <f t="shared" si="88"/>
        <v>261</v>
      </c>
      <c r="O196" s="43">
        <f t="shared" si="89"/>
        <v>177.5</v>
      </c>
    </row>
    <row r="197" spans="1:15" ht="22.95" customHeight="1" x14ac:dyDescent="0.3">
      <c r="A197" s="52" t="s">
        <v>271</v>
      </c>
      <c r="B197" s="44">
        <f t="shared" si="107"/>
        <v>101</v>
      </c>
      <c r="C197" s="39">
        <f t="shared" si="107"/>
        <v>258</v>
      </c>
      <c r="D197" s="39">
        <f t="shared" si="107"/>
        <v>1</v>
      </c>
      <c r="E197" s="39">
        <f t="shared" si="107"/>
        <v>4</v>
      </c>
      <c r="F197" s="39">
        <f t="shared" si="107"/>
        <v>1</v>
      </c>
      <c r="G197" s="50">
        <f t="shared" si="84"/>
        <v>365</v>
      </c>
      <c r="H197" s="44">
        <f t="shared" ref="H197:L197" si="109">H91+H92+H93+H94</f>
        <v>1</v>
      </c>
      <c r="I197" s="39">
        <f t="shared" si="109"/>
        <v>0</v>
      </c>
      <c r="J197" s="39">
        <f t="shared" si="109"/>
        <v>0</v>
      </c>
      <c r="K197" s="45">
        <f t="shared" si="109"/>
        <v>0</v>
      </c>
      <c r="L197" s="144">
        <f t="shared" si="109"/>
        <v>1</v>
      </c>
      <c r="M197" s="50">
        <f t="shared" si="87"/>
        <v>1</v>
      </c>
      <c r="N197" s="40">
        <f t="shared" si="88"/>
        <v>366</v>
      </c>
      <c r="O197" s="43">
        <f t="shared" si="89"/>
        <v>256.5</v>
      </c>
    </row>
    <row r="198" spans="1:15" ht="22.95" customHeight="1" x14ac:dyDescent="0.3">
      <c r="A198" s="52" t="s">
        <v>279</v>
      </c>
      <c r="B198" s="44">
        <f t="shared" si="107"/>
        <v>156</v>
      </c>
      <c r="C198" s="39">
        <f t="shared" si="107"/>
        <v>382</v>
      </c>
      <c r="D198" s="39">
        <f t="shared" si="107"/>
        <v>1</v>
      </c>
      <c r="E198" s="39">
        <f t="shared" si="107"/>
        <v>6</v>
      </c>
      <c r="F198" s="39">
        <f t="shared" si="107"/>
        <v>1</v>
      </c>
      <c r="G198" s="50">
        <f t="shared" si="84"/>
        <v>546</v>
      </c>
      <c r="H198" s="44">
        <f t="shared" ref="H198:L198" si="110">H92+H93+H94+H95</f>
        <v>1</v>
      </c>
      <c r="I198" s="39">
        <f t="shared" si="110"/>
        <v>0</v>
      </c>
      <c r="J198" s="39">
        <f t="shared" si="110"/>
        <v>0</v>
      </c>
      <c r="K198" s="45">
        <f t="shared" si="110"/>
        <v>0</v>
      </c>
      <c r="L198" s="144">
        <f t="shared" si="110"/>
        <v>3</v>
      </c>
      <c r="M198" s="50">
        <f t="shared" si="87"/>
        <v>1</v>
      </c>
      <c r="N198" s="40">
        <f t="shared" si="88"/>
        <v>547</v>
      </c>
      <c r="O198" s="43">
        <f t="shared" si="89"/>
        <v>395.5</v>
      </c>
    </row>
    <row r="199" spans="1:15" ht="22.95" customHeight="1" x14ac:dyDescent="0.3">
      <c r="A199" s="52" t="s">
        <v>62</v>
      </c>
      <c r="B199" s="44">
        <f t="shared" si="107"/>
        <v>215</v>
      </c>
      <c r="C199" s="39">
        <f t="shared" si="107"/>
        <v>525</v>
      </c>
      <c r="D199" s="39">
        <f t="shared" si="107"/>
        <v>2</v>
      </c>
      <c r="E199" s="39">
        <f t="shared" si="107"/>
        <v>6</v>
      </c>
      <c r="F199" s="39">
        <f t="shared" si="107"/>
        <v>1</v>
      </c>
      <c r="G199" s="50">
        <f t="shared" si="84"/>
        <v>749</v>
      </c>
      <c r="H199" s="44">
        <f t="shared" ref="H199:L199" si="111">H93+H94+H95+H96</f>
        <v>1</v>
      </c>
      <c r="I199" s="39">
        <f t="shared" si="111"/>
        <v>0</v>
      </c>
      <c r="J199" s="39">
        <f t="shared" si="111"/>
        <v>0</v>
      </c>
      <c r="K199" s="45">
        <f t="shared" si="111"/>
        <v>0</v>
      </c>
      <c r="L199" s="144">
        <f t="shared" si="111"/>
        <v>3</v>
      </c>
      <c r="M199" s="50">
        <f t="shared" si="87"/>
        <v>1</v>
      </c>
      <c r="N199" s="40">
        <f t="shared" si="88"/>
        <v>750</v>
      </c>
      <c r="O199" s="43">
        <f t="shared" si="89"/>
        <v>527.5</v>
      </c>
    </row>
    <row r="200" spans="1:15" ht="22.95" customHeight="1" x14ac:dyDescent="0.3">
      <c r="A200" s="52" t="s">
        <v>63</v>
      </c>
      <c r="B200" s="44">
        <f t="shared" si="107"/>
        <v>286</v>
      </c>
      <c r="C200" s="39">
        <f t="shared" si="107"/>
        <v>680</v>
      </c>
      <c r="D200" s="39">
        <f t="shared" si="107"/>
        <v>3</v>
      </c>
      <c r="E200" s="39">
        <f t="shared" si="107"/>
        <v>6</v>
      </c>
      <c r="F200" s="39">
        <f t="shared" si="107"/>
        <v>3</v>
      </c>
      <c r="G200" s="50">
        <f t="shared" si="84"/>
        <v>978</v>
      </c>
      <c r="H200" s="44">
        <f t="shared" ref="H200:L200" si="112">H94+H95+H96+H97</f>
        <v>2</v>
      </c>
      <c r="I200" s="39">
        <f t="shared" si="112"/>
        <v>0</v>
      </c>
      <c r="J200" s="39">
        <f t="shared" si="112"/>
        <v>0</v>
      </c>
      <c r="K200" s="45">
        <f t="shared" si="112"/>
        <v>0</v>
      </c>
      <c r="L200" s="144">
        <f t="shared" si="112"/>
        <v>4</v>
      </c>
      <c r="M200" s="50">
        <f t="shared" si="87"/>
        <v>2</v>
      </c>
      <c r="N200" s="40">
        <f t="shared" si="88"/>
        <v>980</v>
      </c>
      <c r="O200" s="43">
        <f t="shared" si="89"/>
        <v>695</v>
      </c>
    </row>
    <row r="201" spans="1:15" ht="22.95" customHeight="1" x14ac:dyDescent="0.3">
      <c r="A201" s="52" t="s">
        <v>64</v>
      </c>
      <c r="B201" s="44">
        <f t="shared" si="107"/>
        <v>382</v>
      </c>
      <c r="C201" s="39">
        <f t="shared" si="107"/>
        <v>873</v>
      </c>
      <c r="D201" s="39">
        <f t="shared" si="107"/>
        <v>3</v>
      </c>
      <c r="E201" s="39">
        <f t="shared" si="107"/>
        <v>6</v>
      </c>
      <c r="F201" s="39">
        <f t="shared" si="107"/>
        <v>3</v>
      </c>
      <c r="G201" s="50">
        <f t="shared" si="84"/>
        <v>1267</v>
      </c>
      <c r="H201" s="44">
        <f t="shared" ref="H201:L201" si="113">H95+H96+H97+H98</f>
        <v>3</v>
      </c>
      <c r="I201" s="39">
        <f t="shared" si="113"/>
        <v>0</v>
      </c>
      <c r="J201" s="39">
        <f t="shared" si="113"/>
        <v>0</v>
      </c>
      <c r="K201" s="45">
        <f t="shared" si="113"/>
        <v>0</v>
      </c>
      <c r="L201" s="144">
        <f t="shared" si="113"/>
        <v>5</v>
      </c>
      <c r="M201" s="50">
        <f t="shared" si="87"/>
        <v>3</v>
      </c>
      <c r="N201" s="40">
        <f t="shared" si="88"/>
        <v>1270</v>
      </c>
      <c r="O201" s="43">
        <f t="shared" si="89"/>
        <v>896</v>
      </c>
    </row>
    <row r="202" spans="1:15" ht="22.95" customHeight="1" x14ac:dyDescent="0.3">
      <c r="A202" s="52" t="s">
        <v>65</v>
      </c>
      <c r="B202" s="44">
        <f t="shared" si="107"/>
        <v>476</v>
      </c>
      <c r="C202" s="39">
        <f t="shared" si="107"/>
        <v>1052</v>
      </c>
      <c r="D202" s="39">
        <f t="shared" si="107"/>
        <v>4</v>
      </c>
      <c r="E202" s="39">
        <f t="shared" si="107"/>
        <v>4</v>
      </c>
      <c r="F202" s="39">
        <f t="shared" si="107"/>
        <v>4</v>
      </c>
      <c r="G202" s="50">
        <f t="shared" si="84"/>
        <v>1540</v>
      </c>
      <c r="H202" s="44">
        <f t="shared" ref="H202:L202" si="114">H96+H97+H98+H99</f>
        <v>3</v>
      </c>
      <c r="I202" s="39">
        <f t="shared" si="114"/>
        <v>0</v>
      </c>
      <c r="J202" s="39">
        <f t="shared" si="114"/>
        <v>0</v>
      </c>
      <c r="K202" s="45">
        <f t="shared" si="114"/>
        <v>0</v>
      </c>
      <c r="L202" s="144">
        <f t="shared" si="114"/>
        <v>3</v>
      </c>
      <c r="M202" s="50">
        <f t="shared" si="87"/>
        <v>3</v>
      </c>
      <c r="N202" s="40">
        <f t="shared" si="88"/>
        <v>1543</v>
      </c>
      <c r="O202" s="43">
        <f t="shared" si="89"/>
        <v>1063.5</v>
      </c>
    </row>
    <row r="203" spans="1:15" ht="22.95" customHeight="1" x14ac:dyDescent="0.3">
      <c r="A203" s="52" t="s">
        <v>66</v>
      </c>
      <c r="B203" s="44">
        <f t="shared" si="107"/>
        <v>583</v>
      </c>
      <c r="C203" s="39">
        <f t="shared" si="107"/>
        <v>1240</v>
      </c>
      <c r="D203" s="39">
        <f t="shared" si="107"/>
        <v>5</v>
      </c>
      <c r="E203" s="39">
        <f t="shared" si="107"/>
        <v>6</v>
      </c>
      <c r="F203" s="39">
        <f t="shared" si="107"/>
        <v>3</v>
      </c>
      <c r="G203" s="50">
        <f t="shared" si="84"/>
        <v>1837</v>
      </c>
      <c r="H203" s="44">
        <f t="shared" ref="H203:L203" si="115">H97+H98+H99+H100</f>
        <v>4</v>
      </c>
      <c r="I203" s="39">
        <f t="shared" si="115"/>
        <v>0</v>
      </c>
      <c r="J203" s="39">
        <f t="shared" si="115"/>
        <v>0</v>
      </c>
      <c r="K203" s="45">
        <f t="shared" si="115"/>
        <v>0</v>
      </c>
      <c r="L203" s="144">
        <f t="shared" si="115"/>
        <v>4</v>
      </c>
      <c r="M203" s="50">
        <f t="shared" si="87"/>
        <v>4</v>
      </c>
      <c r="N203" s="40">
        <f t="shared" si="88"/>
        <v>1841</v>
      </c>
      <c r="O203" s="43">
        <f t="shared" si="89"/>
        <v>1276</v>
      </c>
    </row>
    <row r="204" spans="1:15" ht="22.95" customHeight="1" x14ac:dyDescent="0.3">
      <c r="A204" s="52" t="s">
        <v>67</v>
      </c>
      <c r="B204" s="44">
        <f t="shared" si="107"/>
        <v>712</v>
      </c>
      <c r="C204" s="39">
        <f t="shared" si="107"/>
        <v>1457</v>
      </c>
      <c r="D204" s="39">
        <f t="shared" si="107"/>
        <v>4</v>
      </c>
      <c r="E204" s="39">
        <f t="shared" si="107"/>
        <v>11</v>
      </c>
      <c r="F204" s="39">
        <f t="shared" si="107"/>
        <v>2</v>
      </c>
      <c r="G204" s="50">
        <f t="shared" si="84"/>
        <v>2186</v>
      </c>
      <c r="H204" s="44">
        <f t="shared" ref="H204:L204" si="116">H98+H99+H100+H101</f>
        <v>5</v>
      </c>
      <c r="I204" s="39">
        <f t="shared" si="116"/>
        <v>0</v>
      </c>
      <c r="J204" s="39">
        <f t="shared" si="116"/>
        <v>0</v>
      </c>
      <c r="K204" s="45">
        <f t="shared" si="116"/>
        <v>0</v>
      </c>
      <c r="L204" s="144">
        <f t="shared" si="116"/>
        <v>5</v>
      </c>
      <c r="M204" s="50">
        <f t="shared" si="87"/>
        <v>5</v>
      </c>
      <c r="N204" s="40">
        <f t="shared" si="88"/>
        <v>2191</v>
      </c>
      <c r="O204" s="43">
        <f t="shared" si="89"/>
        <v>1531</v>
      </c>
    </row>
    <row r="205" spans="1:15" ht="22.95" customHeight="1" x14ac:dyDescent="0.3">
      <c r="A205" s="52" t="s">
        <v>68</v>
      </c>
      <c r="B205" s="44">
        <f t="shared" si="107"/>
        <v>825</v>
      </c>
      <c r="C205" s="39">
        <f t="shared" si="107"/>
        <v>1682</v>
      </c>
      <c r="D205" s="39">
        <f t="shared" si="107"/>
        <v>6</v>
      </c>
      <c r="E205" s="39">
        <f t="shared" si="107"/>
        <v>14</v>
      </c>
      <c r="F205" s="39">
        <f t="shared" si="107"/>
        <v>3</v>
      </c>
      <c r="G205" s="50">
        <f t="shared" si="84"/>
        <v>2530</v>
      </c>
      <c r="H205" s="44">
        <f t="shared" ref="H205:L205" si="117">H99+H100+H101+H102</f>
        <v>5</v>
      </c>
      <c r="I205" s="39">
        <f t="shared" si="117"/>
        <v>0</v>
      </c>
      <c r="J205" s="39">
        <f t="shared" si="117"/>
        <v>0</v>
      </c>
      <c r="K205" s="45">
        <f t="shared" si="117"/>
        <v>0</v>
      </c>
      <c r="L205" s="144">
        <f t="shared" si="117"/>
        <v>7</v>
      </c>
      <c r="M205" s="50">
        <f t="shared" si="87"/>
        <v>5</v>
      </c>
      <c r="N205" s="40">
        <f t="shared" si="88"/>
        <v>2535</v>
      </c>
      <c r="O205" s="43">
        <f t="shared" si="89"/>
        <v>1789</v>
      </c>
    </row>
    <row r="206" spans="1:15" ht="22.95" customHeight="1" thickBot="1" x14ac:dyDescent="0.35">
      <c r="A206" s="52" t="s">
        <v>69</v>
      </c>
      <c r="B206" s="46">
        <f t="shared" si="107"/>
        <v>954</v>
      </c>
      <c r="C206" s="47">
        <f t="shared" si="107"/>
        <v>1922</v>
      </c>
      <c r="D206" s="47">
        <f t="shared" si="107"/>
        <v>8</v>
      </c>
      <c r="E206" s="47">
        <f t="shared" si="107"/>
        <v>22</v>
      </c>
      <c r="F206" s="47">
        <f t="shared" si="107"/>
        <v>4</v>
      </c>
      <c r="G206" s="50">
        <f t="shared" si="84"/>
        <v>2910</v>
      </c>
      <c r="H206" s="44">
        <f t="shared" ref="H206:L206" si="118">H100+H101+H102+H103</f>
        <v>8</v>
      </c>
      <c r="I206" s="39">
        <f t="shared" si="118"/>
        <v>0</v>
      </c>
      <c r="J206" s="39">
        <f t="shared" si="118"/>
        <v>0</v>
      </c>
      <c r="K206" s="45">
        <f t="shared" si="118"/>
        <v>0</v>
      </c>
      <c r="L206" s="145">
        <f t="shared" si="118"/>
        <v>10</v>
      </c>
      <c r="M206" s="50">
        <f t="shared" si="87"/>
        <v>8</v>
      </c>
      <c r="N206" s="40">
        <f t="shared" si="88"/>
        <v>2918</v>
      </c>
      <c r="O206" s="43">
        <f t="shared" si="89"/>
        <v>2095</v>
      </c>
    </row>
  </sheetData>
  <mergeCells count="31">
    <mergeCell ref="E112:E113"/>
    <mergeCell ref="C6:C7"/>
    <mergeCell ref="D6:D7"/>
    <mergeCell ref="E6:E7"/>
    <mergeCell ref="A1:M1"/>
    <mergeCell ref="H112:H113"/>
    <mergeCell ref="I112:I113"/>
    <mergeCell ref="J112:J113"/>
    <mergeCell ref="K112:K113"/>
    <mergeCell ref="M112:M113"/>
    <mergeCell ref="I6:I7"/>
    <mergeCell ref="J6:J7"/>
    <mergeCell ref="K6:K7"/>
    <mergeCell ref="M6:M7"/>
    <mergeCell ref="A6:A7"/>
    <mergeCell ref="F6:F7"/>
    <mergeCell ref="A112:A113"/>
    <mergeCell ref="C112:C113"/>
    <mergeCell ref="B6:B7"/>
    <mergeCell ref="B112:B113"/>
    <mergeCell ref="D112:D113"/>
    <mergeCell ref="N6:N7"/>
    <mergeCell ref="O6:O7"/>
    <mergeCell ref="F112:F113"/>
    <mergeCell ref="G112:G113"/>
    <mergeCell ref="N112:N113"/>
    <mergeCell ref="O112:O113"/>
    <mergeCell ref="H6:H7"/>
    <mergeCell ref="G6:G7"/>
    <mergeCell ref="L6:L7"/>
    <mergeCell ref="L112:L113"/>
  </mergeCells>
  <pageMargins left="0.7" right="0.7" top="0.75" bottom="0.75" header="0.3" footer="0.3"/>
  <pageSetup paperSize="9" scale="29" orientation="portrait" r:id="rId1"/>
  <rowBreaks count="1" manualBreakCount="1">
    <brk id="106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9FFCC"/>
  </sheetPr>
  <dimension ref="A1:O206"/>
  <sheetViews>
    <sheetView view="pageBreakPreview" zoomScale="40" zoomScaleNormal="70" zoomScaleSheetLayoutView="40" workbookViewId="0">
      <selection activeCell="AF20" sqref="AF20"/>
    </sheetView>
  </sheetViews>
  <sheetFormatPr defaultColWidth="9" defaultRowHeight="15.6" x14ac:dyDescent="0.3"/>
  <cols>
    <col min="1" max="1" width="21.59765625" customWidth="1"/>
    <col min="2" max="13" width="11.69921875" customWidth="1"/>
  </cols>
  <sheetData>
    <row r="1" spans="1:15" x14ac:dyDescent="0.3">
      <c r="A1" s="247" t="s">
        <v>99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</row>
    <row r="2" spans="1:15" s="4" customFormat="1" x14ac:dyDescent="0.3">
      <c r="A2" s="4" t="s">
        <v>103</v>
      </c>
      <c r="B2" s="4" t="str">
        <f>Summary!B2</f>
        <v>TMC-14 Number (D2)</v>
      </c>
    </row>
    <row r="3" spans="1:15" s="4" customFormat="1" x14ac:dyDescent="0.3">
      <c r="A3" s="4" t="s">
        <v>102</v>
      </c>
      <c r="B3" s="4" t="str">
        <f>Summary!B3</f>
        <v>D2</v>
      </c>
    </row>
    <row r="4" spans="1:15" s="4" customFormat="1" x14ac:dyDescent="0.3">
      <c r="A4" s="4" t="s">
        <v>104</v>
      </c>
      <c r="B4" s="4" t="str">
        <f>+Summary!A6</f>
        <v>Nindar</v>
      </c>
      <c r="D4" s="4" t="s">
        <v>1</v>
      </c>
      <c r="E4" s="4" t="str">
        <f>Summary!F11</f>
        <v>Mansarover</v>
      </c>
    </row>
    <row r="5" spans="1:15" ht="16.2" thickBot="1" x14ac:dyDescent="0.35"/>
    <row r="6" spans="1:15" ht="25.2" customHeight="1" x14ac:dyDescent="0.3">
      <c r="A6" s="252" t="s">
        <v>95</v>
      </c>
      <c r="B6" s="258" t="s">
        <v>280</v>
      </c>
      <c r="C6" s="254" t="s">
        <v>281</v>
      </c>
      <c r="D6" s="250" t="s">
        <v>282</v>
      </c>
      <c r="E6" s="260" t="s">
        <v>283</v>
      </c>
      <c r="F6" s="256" t="s">
        <v>284</v>
      </c>
      <c r="G6" s="250" t="s">
        <v>129</v>
      </c>
      <c r="H6" s="248" t="s">
        <v>150</v>
      </c>
      <c r="I6" s="250" t="s">
        <v>151</v>
      </c>
      <c r="J6" s="250" t="s">
        <v>285</v>
      </c>
      <c r="K6" s="248" t="s">
        <v>286</v>
      </c>
      <c r="L6" s="250" t="s">
        <v>287</v>
      </c>
      <c r="M6" s="250" t="s">
        <v>78</v>
      </c>
      <c r="N6" s="250" t="s">
        <v>131</v>
      </c>
      <c r="O6" s="250" t="s">
        <v>132</v>
      </c>
    </row>
    <row r="7" spans="1:15" ht="43.5" customHeight="1" thickBot="1" x14ac:dyDescent="0.35">
      <c r="A7" s="262"/>
      <c r="B7" s="263"/>
      <c r="C7" s="264"/>
      <c r="D7" s="265"/>
      <c r="E7" s="266"/>
      <c r="F7" s="267"/>
      <c r="G7" s="259"/>
      <c r="H7" s="268"/>
      <c r="I7" s="265"/>
      <c r="J7" s="265"/>
      <c r="K7" s="268"/>
      <c r="L7" s="265"/>
      <c r="M7" s="265"/>
      <c r="N7" s="251"/>
      <c r="O7" s="251"/>
    </row>
    <row r="8" spans="1:15" ht="22.5" customHeight="1" x14ac:dyDescent="0.3">
      <c r="A8" s="189" t="s">
        <v>177</v>
      </c>
      <c r="B8" s="192">
        <v>130</v>
      </c>
      <c r="C8" s="157">
        <v>66</v>
      </c>
      <c r="D8" s="157">
        <v>6</v>
      </c>
      <c r="E8" s="157">
        <v>0</v>
      </c>
      <c r="F8" s="193">
        <v>9</v>
      </c>
      <c r="G8" s="198">
        <f t="shared" ref="G8:G39" si="0">SUM(B8:F8)</f>
        <v>211</v>
      </c>
      <c r="H8" s="200">
        <v>0</v>
      </c>
      <c r="I8" s="201">
        <v>0</v>
      </c>
      <c r="J8" s="201">
        <v>0</v>
      </c>
      <c r="K8" s="201">
        <v>0</v>
      </c>
      <c r="L8" s="201">
        <v>0</v>
      </c>
      <c r="M8" s="202">
        <v>1</v>
      </c>
      <c r="N8" s="85">
        <f>G8+M8</f>
        <v>212</v>
      </c>
      <c r="O8" s="115">
        <f>B8*1+C8*0.5+D8*1.5+E8*3+F8*4.5+H8*0.5+I8*1.5+J8*3+K8*4+L8*8</f>
        <v>212.5</v>
      </c>
    </row>
    <row r="9" spans="1:15" ht="22.5" customHeight="1" x14ac:dyDescent="0.3">
      <c r="A9" s="190" t="s">
        <v>178</v>
      </c>
      <c r="B9" s="44">
        <v>97</v>
      </c>
      <c r="C9" s="39">
        <v>104</v>
      </c>
      <c r="D9" s="39">
        <v>7</v>
      </c>
      <c r="E9" s="39">
        <v>1</v>
      </c>
      <c r="F9" s="194">
        <v>5</v>
      </c>
      <c r="G9" s="196">
        <f t="shared" si="0"/>
        <v>214</v>
      </c>
      <c r="H9" s="203">
        <v>1</v>
      </c>
      <c r="I9" s="204">
        <v>0</v>
      </c>
      <c r="J9" s="204">
        <v>0</v>
      </c>
      <c r="K9" s="204">
        <v>0</v>
      </c>
      <c r="L9" s="204">
        <v>0</v>
      </c>
      <c r="M9" s="205">
        <v>0</v>
      </c>
      <c r="N9" s="85">
        <f t="shared" ref="N9:N72" si="1">G9+M9</f>
        <v>214</v>
      </c>
      <c r="O9" s="43">
        <f t="shared" ref="O9:O72" si="2">B9*1+C9*0.5+D9*1.5+E9*3+F9*4.5+H9*0.5+I9*1.5+J9*3+K9*4+L9*8</f>
        <v>185.5</v>
      </c>
    </row>
    <row r="10" spans="1:15" ht="22.5" customHeight="1" x14ac:dyDescent="0.3">
      <c r="A10" s="190" t="s">
        <v>179</v>
      </c>
      <c r="B10" s="44">
        <v>87</v>
      </c>
      <c r="C10" s="39">
        <v>111</v>
      </c>
      <c r="D10" s="39">
        <v>6</v>
      </c>
      <c r="E10" s="39">
        <v>1</v>
      </c>
      <c r="F10" s="194">
        <v>7</v>
      </c>
      <c r="G10" s="196">
        <f t="shared" si="0"/>
        <v>212</v>
      </c>
      <c r="H10" s="203">
        <v>0</v>
      </c>
      <c r="I10" s="204">
        <v>0</v>
      </c>
      <c r="J10" s="204">
        <v>0</v>
      </c>
      <c r="K10" s="204">
        <v>0</v>
      </c>
      <c r="L10" s="204">
        <v>0</v>
      </c>
      <c r="M10" s="205">
        <v>0</v>
      </c>
      <c r="N10" s="85">
        <f t="shared" si="1"/>
        <v>212</v>
      </c>
      <c r="O10" s="43">
        <f t="shared" si="2"/>
        <v>186</v>
      </c>
    </row>
    <row r="11" spans="1:15" ht="22.5" customHeight="1" x14ac:dyDescent="0.3">
      <c r="A11" s="190" t="s">
        <v>180</v>
      </c>
      <c r="B11" s="44">
        <v>91</v>
      </c>
      <c r="C11" s="39">
        <v>60</v>
      </c>
      <c r="D11" s="39">
        <v>4</v>
      </c>
      <c r="E11" s="39">
        <v>0</v>
      </c>
      <c r="F11" s="194">
        <v>2</v>
      </c>
      <c r="G11" s="196">
        <f t="shared" si="0"/>
        <v>157</v>
      </c>
      <c r="H11" s="203">
        <v>0</v>
      </c>
      <c r="I11" s="204">
        <v>0</v>
      </c>
      <c r="J11" s="204">
        <v>0</v>
      </c>
      <c r="K11" s="204">
        <v>0</v>
      </c>
      <c r="L11" s="204">
        <v>0</v>
      </c>
      <c r="M11" s="205">
        <v>0</v>
      </c>
      <c r="N11" s="85">
        <f t="shared" si="1"/>
        <v>157</v>
      </c>
      <c r="O11" s="43">
        <f t="shared" si="2"/>
        <v>136</v>
      </c>
    </row>
    <row r="12" spans="1:15" ht="22.5" customHeight="1" x14ac:dyDescent="0.3">
      <c r="A12" s="190" t="s">
        <v>181</v>
      </c>
      <c r="B12" s="44">
        <v>95</v>
      </c>
      <c r="C12" s="39">
        <v>78</v>
      </c>
      <c r="D12" s="39">
        <v>3</v>
      </c>
      <c r="E12" s="39">
        <v>1</v>
      </c>
      <c r="F12" s="194">
        <v>8</v>
      </c>
      <c r="G12" s="196">
        <f t="shared" si="0"/>
        <v>185</v>
      </c>
      <c r="H12" s="203">
        <v>0</v>
      </c>
      <c r="I12" s="204">
        <v>0</v>
      </c>
      <c r="J12" s="204">
        <v>0</v>
      </c>
      <c r="K12" s="204">
        <v>0</v>
      </c>
      <c r="L12" s="204">
        <v>0</v>
      </c>
      <c r="M12" s="205">
        <v>0</v>
      </c>
      <c r="N12" s="85">
        <f t="shared" si="1"/>
        <v>185</v>
      </c>
      <c r="O12" s="43">
        <f t="shared" si="2"/>
        <v>177.5</v>
      </c>
    </row>
    <row r="13" spans="1:15" ht="22.5" customHeight="1" x14ac:dyDescent="0.3">
      <c r="A13" s="190" t="s">
        <v>182</v>
      </c>
      <c r="B13" s="44">
        <v>108</v>
      </c>
      <c r="C13" s="39">
        <v>86</v>
      </c>
      <c r="D13" s="39">
        <v>5</v>
      </c>
      <c r="E13" s="39">
        <v>1</v>
      </c>
      <c r="F13" s="194">
        <v>4</v>
      </c>
      <c r="G13" s="196">
        <f t="shared" si="0"/>
        <v>204</v>
      </c>
      <c r="H13" s="203">
        <v>0</v>
      </c>
      <c r="I13" s="204">
        <v>0</v>
      </c>
      <c r="J13" s="204">
        <v>0</v>
      </c>
      <c r="K13" s="204">
        <v>0</v>
      </c>
      <c r="L13" s="204">
        <v>0</v>
      </c>
      <c r="M13" s="205">
        <v>0</v>
      </c>
      <c r="N13" s="85">
        <f t="shared" si="1"/>
        <v>204</v>
      </c>
      <c r="O13" s="43">
        <f t="shared" si="2"/>
        <v>179.5</v>
      </c>
    </row>
    <row r="14" spans="1:15" ht="22.5" customHeight="1" x14ac:dyDescent="0.3">
      <c r="A14" s="190" t="s">
        <v>183</v>
      </c>
      <c r="B14" s="44">
        <v>125</v>
      </c>
      <c r="C14" s="39">
        <v>111</v>
      </c>
      <c r="D14" s="39">
        <v>2</v>
      </c>
      <c r="E14" s="39">
        <v>1</v>
      </c>
      <c r="F14" s="194">
        <v>5</v>
      </c>
      <c r="G14" s="196">
        <f t="shared" si="0"/>
        <v>244</v>
      </c>
      <c r="H14" s="203">
        <v>0</v>
      </c>
      <c r="I14" s="204">
        <v>0</v>
      </c>
      <c r="J14" s="204">
        <v>0</v>
      </c>
      <c r="K14" s="204">
        <v>0</v>
      </c>
      <c r="L14" s="204">
        <v>0</v>
      </c>
      <c r="M14" s="205">
        <v>0</v>
      </c>
      <c r="N14" s="85">
        <f t="shared" si="1"/>
        <v>244</v>
      </c>
      <c r="O14" s="43">
        <f t="shared" si="2"/>
        <v>209</v>
      </c>
    </row>
    <row r="15" spans="1:15" ht="22.5" customHeight="1" x14ac:dyDescent="0.3">
      <c r="A15" s="190" t="s">
        <v>184</v>
      </c>
      <c r="B15" s="44">
        <v>176</v>
      </c>
      <c r="C15" s="39">
        <v>94</v>
      </c>
      <c r="D15" s="39">
        <v>5</v>
      </c>
      <c r="E15" s="39">
        <v>1</v>
      </c>
      <c r="F15" s="194">
        <v>10</v>
      </c>
      <c r="G15" s="196">
        <f t="shared" si="0"/>
        <v>286</v>
      </c>
      <c r="H15" s="203">
        <v>0</v>
      </c>
      <c r="I15" s="204">
        <v>0</v>
      </c>
      <c r="J15" s="204">
        <v>0</v>
      </c>
      <c r="K15" s="204">
        <v>0</v>
      </c>
      <c r="L15" s="204">
        <v>0</v>
      </c>
      <c r="M15" s="205">
        <v>0</v>
      </c>
      <c r="N15" s="85">
        <f t="shared" si="1"/>
        <v>286</v>
      </c>
      <c r="O15" s="43">
        <f t="shared" si="2"/>
        <v>278.5</v>
      </c>
    </row>
    <row r="16" spans="1:15" ht="22.5" customHeight="1" x14ac:dyDescent="0.3">
      <c r="A16" s="190" t="s">
        <v>185</v>
      </c>
      <c r="B16" s="44">
        <v>116</v>
      </c>
      <c r="C16" s="39">
        <v>63</v>
      </c>
      <c r="D16" s="39">
        <v>4</v>
      </c>
      <c r="E16" s="39">
        <v>1</v>
      </c>
      <c r="F16" s="194">
        <v>6</v>
      </c>
      <c r="G16" s="196">
        <f t="shared" si="0"/>
        <v>190</v>
      </c>
      <c r="H16" s="203">
        <v>0</v>
      </c>
      <c r="I16" s="204">
        <v>0</v>
      </c>
      <c r="J16" s="204">
        <v>0</v>
      </c>
      <c r="K16" s="204">
        <v>0</v>
      </c>
      <c r="L16" s="204">
        <v>0</v>
      </c>
      <c r="M16" s="205">
        <v>0</v>
      </c>
      <c r="N16" s="85">
        <f t="shared" si="1"/>
        <v>190</v>
      </c>
      <c r="O16" s="43">
        <f t="shared" si="2"/>
        <v>183.5</v>
      </c>
    </row>
    <row r="17" spans="1:15" ht="22.5" customHeight="1" x14ac:dyDescent="0.3">
      <c r="A17" s="190" t="s">
        <v>186</v>
      </c>
      <c r="B17" s="44">
        <v>121</v>
      </c>
      <c r="C17" s="39">
        <v>72</v>
      </c>
      <c r="D17" s="39">
        <v>8</v>
      </c>
      <c r="E17" s="39">
        <v>0</v>
      </c>
      <c r="F17" s="194">
        <v>9</v>
      </c>
      <c r="G17" s="196">
        <f t="shared" si="0"/>
        <v>210</v>
      </c>
      <c r="H17" s="203">
        <v>0</v>
      </c>
      <c r="I17" s="204">
        <v>0</v>
      </c>
      <c r="J17" s="204">
        <v>0</v>
      </c>
      <c r="K17" s="204">
        <v>0</v>
      </c>
      <c r="L17" s="204">
        <v>0</v>
      </c>
      <c r="M17" s="205">
        <v>0</v>
      </c>
      <c r="N17" s="85">
        <f t="shared" si="1"/>
        <v>210</v>
      </c>
      <c r="O17" s="43">
        <f t="shared" si="2"/>
        <v>209.5</v>
      </c>
    </row>
    <row r="18" spans="1:15" ht="22.5" customHeight="1" x14ac:dyDescent="0.3">
      <c r="A18" s="190" t="s">
        <v>187</v>
      </c>
      <c r="B18" s="44">
        <v>105</v>
      </c>
      <c r="C18" s="39">
        <v>33</v>
      </c>
      <c r="D18" s="39">
        <v>4</v>
      </c>
      <c r="E18" s="39">
        <v>1</v>
      </c>
      <c r="F18" s="194">
        <v>7</v>
      </c>
      <c r="G18" s="196">
        <f t="shared" si="0"/>
        <v>150</v>
      </c>
      <c r="H18" s="203">
        <v>0</v>
      </c>
      <c r="I18" s="204">
        <v>0</v>
      </c>
      <c r="J18" s="204">
        <v>0</v>
      </c>
      <c r="K18" s="204">
        <v>0</v>
      </c>
      <c r="L18" s="204">
        <v>0</v>
      </c>
      <c r="M18" s="205">
        <v>0</v>
      </c>
      <c r="N18" s="85">
        <f t="shared" si="1"/>
        <v>150</v>
      </c>
      <c r="O18" s="43">
        <f t="shared" si="2"/>
        <v>162</v>
      </c>
    </row>
    <row r="19" spans="1:15" ht="22.5" customHeight="1" x14ac:dyDescent="0.3">
      <c r="A19" s="190" t="s">
        <v>188</v>
      </c>
      <c r="B19" s="44">
        <v>111</v>
      </c>
      <c r="C19" s="39">
        <v>33</v>
      </c>
      <c r="D19" s="39">
        <v>9</v>
      </c>
      <c r="E19" s="39">
        <v>1</v>
      </c>
      <c r="F19" s="194">
        <v>7</v>
      </c>
      <c r="G19" s="196">
        <f t="shared" si="0"/>
        <v>161</v>
      </c>
      <c r="H19" s="203">
        <v>0</v>
      </c>
      <c r="I19" s="204">
        <v>0</v>
      </c>
      <c r="J19" s="204">
        <v>0</v>
      </c>
      <c r="K19" s="204">
        <v>0</v>
      </c>
      <c r="L19" s="204">
        <v>0</v>
      </c>
      <c r="M19" s="205">
        <v>0</v>
      </c>
      <c r="N19" s="85">
        <f t="shared" si="1"/>
        <v>161</v>
      </c>
      <c r="O19" s="43">
        <f t="shared" si="2"/>
        <v>175.5</v>
      </c>
    </row>
    <row r="20" spans="1:15" ht="22.5" customHeight="1" x14ac:dyDescent="0.3">
      <c r="A20" s="190" t="s">
        <v>189</v>
      </c>
      <c r="B20" s="44">
        <v>126</v>
      </c>
      <c r="C20" s="39">
        <v>41</v>
      </c>
      <c r="D20" s="39">
        <v>8</v>
      </c>
      <c r="E20" s="39">
        <v>2</v>
      </c>
      <c r="F20" s="194">
        <v>9</v>
      </c>
      <c r="G20" s="196">
        <f t="shared" si="0"/>
        <v>186</v>
      </c>
      <c r="H20" s="203">
        <v>0</v>
      </c>
      <c r="I20" s="204">
        <v>0</v>
      </c>
      <c r="J20" s="204">
        <v>0</v>
      </c>
      <c r="K20" s="204">
        <v>0</v>
      </c>
      <c r="L20" s="204">
        <v>0</v>
      </c>
      <c r="M20" s="205">
        <v>0</v>
      </c>
      <c r="N20" s="85">
        <f t="shared" si="1"/>
        <v>186</v>
      </c>
      <c r="O20" s="43">
        <f t="shared" si="2"/>
        <v>205</v>
      </c>
    </row>
    <row r="21" spans="1:15" ht="22.5" customHeight="1" x14ac:dyDescent="0.3">
      <c r="A21" s="190" t="s">
        <v>190</v>
      </c>
      <c r="B21" s="44">
        <v>133</v>
      </c>
      <c r="C21" s="39">
        <v>27</v>
      </c>
      <c r="D21" s="39">
        <v>7</v>
      </c>
      <c r="E21" s="39">
        <v>2</v>
      </c>
      <c r="F21" s="194">
        <v>9</v>
      </c>
      <c r="G21" s="196">
        <f t="shared" si="0"/>
        <v>178</v>
      </c>
      <c r="H21" s="203">
        <v>0</v>
      </c>
      <c r="I21" s="204">
        <v>0</v>
      </c>
      <c r="J21" s="204">
        <v>0</v>
      </c>
      <c r="K21" s="204">
        <v>0</v>
      </c>
      <c r="L21" s="204">
        <v>0</v>
      </c>
      <c r="M21" s="205">
        <v>0</v>
      </c>
      <c r="N21" s="85">
        <f t="shared" si="1"/>
        <v>178</v>
      </c>
      <c r="O21" s="43">
        <f t="shared" si="2"/>
        <v>203.5</v>
      </c>
    </row>
    <row r="22" spans="1:15" ht="22.5" customHeight="1" x14ac:dyDescent="0.3">
      <c r="A22" s="190" t="s">
        <v>191</v>
      </c>
      <c r="B22" s="44">
        <v>107</v>
      </c>
      <c r="C22" s="39">
        <v>18</v>
      </c>
      <c r="D22" s="39">
        <v>9</v>
      </c>
      <c r="E22" s="39">
        <v>2</v>
      </c>
      <c r="F22" s="194">
        <v>14</v>
      </c>
      <c r="G22" s="196">
        <f t="shared" si="0"/>
        <v>150</v>
      </c>
      <c r="H22" s="203">
        <v>0</v>
      </c>
      <c r="I22" s="204">
        <v>0</v>
      </c>
      <c r="J22" s="204">
        <v>0</v>
      </c>
      <c r="K22" s="204">
        <v>0</v>
      </c>
      <c r="L22" s="204">
        <v>0</v>
      </c>
      <c r="M22" s="205">
        <v>0</v>
      </c>
      <c r="N22" s="85">
        <f t="shared" si="1"/>
        <v>150</v>
      </c>
      <c r="O22" s="43">
        <f t="shared" si="2"/>
        <v>198.5</v>
      </c>
    </row>
    <row r="23" spans="1:15" ht="22.5" customHeight="1" x14ac:dyDescent="0.3">
      <c r="A23" s="190" t="s">
        <v>192</v>
      </c>
      <c r="B23" s="44">
        <v>100</v>
      </c>
      <c r="C23" s="39">
        <v>19</v>
      </c>
      <c r="D23" s="39">
        <v>7</v>
      </c>
      <c r="E23" s="39">
        <v>5</v>
      </c>
      <c r="F23" s="194">
        <v>6</v>
      </c>
      <c r="G23" s="196">
        <f t="shared" si="0"/>
        <v>137</v>
      </c>
      <c r="H23" s="203">
        <v>0</v>
      </c>
      <c r="I23" s="204">
        <v>0</v>
      </c>
      <c r="J23" s="204">
        <v>0</v>
      </c>
      <c r="K23" s="204">
        <v>0</v>
      </c>
      <c r="L23" s="204">
        <v>0</v>
      </c>
      <c r="M23" s="205">
        <v>0</v>
      </c>
      <c r="N23" s="85">
        <f t="shared" si="1"/>
        <v>137</v>
      </c>
      <c r="O23" s="43">
        <f t="shared" si="2"/>
        <v>162</v>
      </c>
    </row>
    <row r="24" spans="1:15" ht="22.5" customHeight="1" x14ac:dyDescent="0.3">
      <c r="A24" s="190" t="s">
        <v>193</v>
      </c>
      <c r="B24" s="44">
        <v>121</v>
      </c>
      <c r="C24" s="39">
        <v>17</v>
      </c>
      <c r="D24" s="39">
        <v>13</v>
      </c>
      <c r="E24" s="39">
        <v>0</v>
      </c>
      <c r="F24" s="194">
        <v>16</v>
      </c>
      <c r="G24" s="196">
        <f t="shared" si="0"/>
        <v>167</v>
      </c>
      <c r="H24" s="203">
        <v>0</v>
      </c>
      <c r="I24" s="204">
        <v>0</v>
      </c>
      <c r="J24" s="204">
        <v>0</v>
      </c>
      <c r="K24" s="204">
        <v>0</v>
      </c>
      <c r="L24" s="204">
        <v>0</v>
      </c>
      <c r="M24" s="205">
        <v>0</v>
      </c>
      <c r="N24" s="85">
        <f t="shared" si="1"/>
        <v>167</v>
      </c>
      <c r="O24" s="43">
        <f t="shared" si="2"/>
        <v>221</v>
      </c>
    </row>
    <row r="25" spans="1:15" ht="22.5" customHeight="1" x14ac:dyDescent="0.3">
      <c r="A25" s="190" t="s">
        <v>194</v>
      </c>
      <c r="B25" s="44">
        <v>105</v>
      </c>
      <c r="C25" s="39">
        <v>9</v>
      </c>
      <c r="D25" s="39">
        <v>9</v>
      </c>
      <c r="E25" s="39">
        <v>3</v>
      </c>
      <c r="F25" s="194">
        <v>9</v>
      </c>
      <c r="G25" s="196">
        <f t="shared" si="0"/>
        <v>135</v>
      </c>
      <c r="H25" s="203">
        <v>0</v>
      </c>
      <c r="I25" s="204">
        <v>0</v>
      </c>
      <c r="J25" s="204">
        <v>0</v>
      </c>
      <c r="K25" s="204">
        <v>0</v>
      </c>
      <c r="L25" s="204">
        <v>0</v>
      </c>
      <c r="M25" s="205">
        <v>1</v>
      </c>
      <c r="N25" s="85">
        <f t="shared" si="1"/>
        <v>136</v>
      </c>
      <c r="O25" s="43">
        <f t="shared" si="2"/>
        <v>172.5</v>
      </c>
    </row>
    <row r="26" spans="1:15" ht="22.5" customHeight="1" x14ac:dyDescent="0.3">
      <c r="A26" s="190" t="s">
        <v>195</v>
      </c>
      <c r="B26" s="44">
        <v>94</v>
      </c>
      <c r="C26" s="39">
        <v>22</v>
      </c>
      <c r="D26" s="39">
        <v>18</v>
      </c>
      <c r="E26" s="39">
        <v>5</v>
      </c>
      <c r="F26" s="194">
        <v>15</v>
      </c>
      <c r="G26" s="196">
        <f t="shared" si="0"/>
        <v>154</v>
      </c>
      <c r="H26" s="203">
        <v>0</v>
      </c>
      <c r="I26" s="204">
        <v>0</v>
      </c>
      <c r="J26" s="204">
        <v>0</v>
      </c>
      <c r="K26" s="204">
        <v>0</v>
      </c>
      <c r="L26" s="204">
        <v>0</v>
      </c>
      <c r="M26" s="205">
        <v>0</v>
      </c>
      <c r="N26" s="85">
        <f t="shared" si="1"/>
        <v>154</v>
      </c>
      <c r="O26" s="43">
        <f t="shared" si="2"/>
        <v>214.5</v>
      </c>
    </row>
    <row r="27" spans="1:15" ht="22.5" customHeight="1" x14ac:dyDescent="0.3">
      <c r="A27" s="190" t="s">
        <v>196</v>
      </c>
      <c r="B27" s="44">
        <v>85</v>
      </c>
      <c r="C27" s="39">
        <v>24</v>
      </c>
      <c r="D27" s="39">
        <v>9</v>
      </c>
      <c r="E27" s="39">
        <v>1</v>
      </c>
      <c r="F27" s="194">
        <v>11</v>
      </c>
      <c r="G27" s="196">
        <f t="shared" si="0"/>
        <v>130</v>
      </c>
      <c r="H27" s="203">
        <v>0</v>
      </c>
      <c r="I27" s="204">
        <v>0</v>
      </c>
      <c r="J27" s="204">
        <v>0</v>
      </c>
      <c r="K27" s="204">
        <v>0</v>
      </c>
      <c r="L27" s="204">
        <v>0</v>
      </c>
      <c r="M27" s="205">
        <v>0</v>
      </c>
      <c r="N27" s="85">
        <f t="shared" si="1"/>
        <v>130</v>
      </c>
      <c r="O27" s="43">
        <f t="shared" si="2"/>
        <v>163</v>
      </c>
    </row>
    <row r="28" spans="1:15" ht="22.5" customHeight="1" x14ac:dyDescent="0.3">
      <c r="A28" s="190" t="s">
        <v>197</v>
      </c>
      <c r="B28" s="44">
        <v>110</v>
      </c>
      <c r="C28" s="39">
        <v>24</v>
      </c>
      <c r="D28" s="39">
        <v>11</v>
      </c>
      <c r="E28" s="39">
        <v>0</v>
      </c>
      <c r="F28" s="194">
        <v>15</v>
      </c>
      <c r="G28" s="196">
        <f t="shared" si="0"/>
        <v>160</v>
      </c>
      <c r="H28" s="203">
        <v>0</v>
      </c>
      <c r="I28" s="204">
        <v>0</v>
      </c>
      <c r="J28" s="204">
        <v>0</v>
      </c>
      <c r="K28" s="204">
        <v>0</v>
      </c>
      <c r="L28" s="204">
        <v>0</v>
      </c>
      <c r="M28" s="205">
        <v>0</v>
      </c>
      <c r="N28" s="85">
        <f t="shared" si="1"/>
        <v>160</v>
      </c>
      <c r="O28" s="43">
        <f t="shared" si="2"/>
        <v>206</v>
      </c>
    </row>
    <row r="29" spans="1:15" ht="22.5" customHeight="1" x14ac:dyDescent="0.3">
      <c r="A29" s="190" t="s">
        <v>198</v>
      </c>
      <c r="B29" s="44">
        <v>82</v>
      </c>
      <c r="C29" s="39">
        <v>20</v>
      </c>
      <c r="D29" s="39">
        <v>9</v>
      </c>
      <c r="E29" s="39">
        <v>2</v>
      </c>
      <c r="F29" s="194">
        <v>13</v>
      </c>
      <c r="G29" s="196">
        <f t="shared" si="0"/>
        <v>126</v>
      </c>
      <c r="H29" s="203">
        <v>0</v>
      </c>
      <c r="I29" s="204">
        <v>0</v>
      </c>
      <c r="J29" s="204">
        <v>0</v>
      </c>
      <c r="K29" s="204">
        <v>0</v>
      </c>
      <c r="L29" s="204">
        <v>0</v>
      </c>
      <c r="M29" s="205">
        <v>0</v>
      </c>
      <c r="N29" s="85">
        <f t="shared" si="1"/>
        <v>126</v>
      </c>
      <c r="O29" s="43">
        <f t="shared" si="2"/>
        <v>170</v>
      </c>
    </row>
    <row r="30" spans="1:15" ht="22.5" customHeight="1" x14ac:dyDescent="0.3">
      <c r="A30" s="190" t="s">
        <v>199</v>
      </c>
      <c r="B30" s="44">
        <v>91</v>
      </c>
      <c r="C30" s="39">
        <v>6</v>
      </c>
      <c r="D30" s="39">
        <v>3</v>
      </c>
      <c r="E30" s="39">
        <v>4</v>
      </c>
      <c r="F30" s="194">
        <v>12</v>
      </c>
      <c r="G30" s="196">
        <f t="shared" si="0"/>
        <v>116</v>
      </c>
      <c r="H30" s="203">
        <v>0</v>
      </c>
      <c r="I30" s="204">
        <v>0</v>
      </c>
      <c r="J30" s="204">
        <v>0</v>
      </c>
      <c r="K30" s="204">
        <v>0</v>
      </c>
      <c r="L30" s="204">
        <v>0</v>
      </c>
      <c r="M30" s="205">
        <v>0</v>
      </c>
      <c r="N30" s="85">
        <f t="shared" si="1"/>
        <v>116</v>
      </c>
      <c r="O30" s="43">
        <f t="shared" si="2"/>
        <v>164.5</v>
      </c>
    </row>
    <row r="31" spans="1:15" ht="22.5" customHeight="1" x14ac:dyDescent="0.3">
      <c r="A31" s="190" t="s">
        <v>200</v>
      </c>
      <c r="B31" s="44">
        <v>111</v>
      </c>
      <c r="C31" s="39">
        <v>26</v>
      </c>
      <c r="D31" s="39">
        <v>10</v>
      </c>
      <c r="E31" s="39">
        <v>1</v>
      </c>
      <c r="F31" s="194">
        <v>11</v>
      </c>
      <c r="G31" s="196">
        <f t="shared" si="0"/>
        <v>159</v>
      </c>
      <c r="H31" s="203">
        <v>0</v>
      </c>
      <c r="I31" s="204">
        <v>0</v>
      </c>
      <c r="J31" s="204">
        <v>0</v>
      </c>
      <c r="K31" s="204">
        <v>0</v>
      </c>
      <c r="L31" s="204">
        <v>0</v>
      </c>
      <c r="M31" s="205">
        <v>0</v>
      </c>
      <c r="N31" s="85">
        <f t="shared" si="1"/>
        <v>159</v>
      </c>
      <c r="O31" s="43">
        <f t="shared" si="2"/>
        <v>191.5</v>
      </c>
    </row>
    <row r="32" spans="1:15" ht="22.5" customHeight="1" x14ac:dyDescent="0.3">
      <c r="A32" s="190" t="s">
        <v>201</v>
      </c>
      <c r="B32" s="44">
        <v>95</v>
      </c>
      <c r="C32" s="39">
        <v>17</v>
      </c>
      <c r="D32" s="39">
        <v>7</v>
      </c>
      <c r="E32" s="39">
        <v>2</v>
      </c>
      <c r="F32" s="194">
        <v>8</v>
      </c>
      <c r="G32" s="196">
        <f t="shared" si="0"/>
        <v>129</v>
      </c>
      <c r="H32" s="203">
        <v>0</v>
      </c>
      <c r="I32" s="204">
        <v>0</v>
      </c>
      <c r="J32" s="204">
        <v>0</v>
      </c>
      <c r="K32" s="204">
        <v>0</v>
      </c>
      <c r="L32" s="204">
        <v>0</v>
      </c>
      <c r="M32" s="205">
        <v>0</v>
      </c>
      <c r="N32" s="85">
        <f t="shared" si="1"/>
        <v>129</v>
      </c>
      <c r="O32" s="43">
        <f t="shared" si="2"/>
        <v>156</v>
      </c>
    </row>
    <row r="33" spans="1:15" ht="22.5" customHeight="1" x14ac:dyDescent="0.3">
      <c r="A33" s="190" t="s">
        <v>202</v>
      </c>
      <c r="B33" s="44">
        <v>119</v>
      </c>
      <c r="C33" s="39">
        <v>22</v>
      </c>
      <c r="D33" s="39">
        <v>9</v>
      </c>
      <c r="E33" s="39">
        <v>1</v>
      </c>
      <c r="F33" s="194">
        <v>8</v>
      </c>
      <c r="G33" s="196">
        <f t="shared" si="0"/>
        <v>159</v>
      </c>
      <c r="H33" s="203">
        <v>0</v>
      </c>
      <c r="I33" s="204">
        <v>0</v>
      </c>
      <c r="J33" s="204">
        <v>0</v>
      </c>
      <c r="K33" s="204">
        <v>0</v>
      </c>
      <c r="L33" s="204">
        <v>0</v>
      </c>
      <c r="M33" s="205">
        <v>0</v>
      </c>
      <c r="N33" s="85">
        <f t="shared" si="1"/>
        <v>159</v>
      </c>
      <c r="O33" s="43">
        <f t="shared" si="2"/>
        <v>182.5</v>
      </c>
    </row>
    <row r="34" spans="1:15" ht="22.5" customHeight="1" x14ac:dyDescent="0.3">
      <c r="A34" s="190" t="s">
        <v>203</v>
      </c>
      <c r="B34" s="44">
        <v>103</v>
      </c>
      <c r="C34" s="39">
        <v>9</v>
      </c>
      <c r="D34" s="39">
        <v>7</v>
      </c>
      <c r="E34" s="39">
        <v>1</v>
      </c>
      <c r="F34" s="194">
        <v>10</v>
      </c>
      <c r="G34" s="196">
        <f t="shared" si="0"/>
        <v>130</v>
      </c>
      <c r="H34" s="203">
        <v>0</v>
      </c>
      <c r="I34" s="204">
        <v>0</v>
      </c>
      <c r="J34" s="204">
        <v>0</v>
      </c>
      <c r="K34" s="204">
        <v>0</v>
      </c>
      <c r="L34" s="204">
        <v>1</v>
      </c>
      <c r="M34" s="205">
        <v>1</v>
      </c>
      <c r="N34" s="85">
        <f t="shared" si="1"/>
        <v>131</v>
      </c>
      <c r="O34" s="43">
        <f t="shared" si="2"/>
        <v>174</v>
      </c>
    </row>
    <row r="35" spans="1:15" ht="22.5" customHeight="1" x14ac:dyDescent="0.3">
      <c r="A35" s="190" t="s">
        <v>204</v>
      </c>
      <c r="B35" s="44">
        <v>79</v>
      </c>
      <c r="C35" s="39">
        <v>6</v>
      </c>
      <c r="D35" s="39">
        <v>7</v>
      </c>
      <c r="E35" s="39">
        <v>2</v>
      </c>
      <c r="F35" s="194">
        <v>6</v>
      </c>
      <c r="G35" s="196">
        <f t="shared" si="0"/>
        <v>100</v>
      </c>
      <c r="H35" s="203">
        <v>0</v>
      </c>
      <c r="I35" s="204">
        <v>0</v>
      </c>
      <c r="J35" s="204">
        <v>0</v>
      </c>
      <c r="K35" s="204">
        <v>0</v>
      </c>
      <c r="L35" s="204">
        <v>0</v>
      </c>
      <c r="M35" s="205">
        <v>0</v>
      </c>
      <c r="N35" s="85">
        <f t="shared" si="1"/>
        <v>100</v>
      </c>
      <c r="O35" s="43">
        <f t="shared" si="2"/>
        <v>125.5</v>
      </c>
    </row>
    <row r="36" spans="1:15" ht="22.5" customHeight="1" x14ac:dyDescent="0.3">
      <c r="A36" s="190" t="s">
        <v>205</v>
      </c>
      <c r="B36" s="44">
        <v>64</v>
      </c>
      <c r="C36" s="39">
        <v>12</v>
      </c>
      <c r="D36" s="39">
        <v>6</v>
      </c>
      <c r="E36" s="39">
        <v>3</v>
      </c>
      <c r="F36" s="194">
        <v>5</v>
      </c>
      <c r="G36" s="196">
        <f t="shared" si="0"/>
        <v>90</v>
      </c>
      <c r="H36" s="203">
        <v>0</v>
      </c>
      <c r="I36" s="204">
        <v>0</v>
      </c>
      <c r="J36" s="204">
        <v>0</v>
      </c>
      <c r="K36" s="204">
        <v>0</v>
      </c>
      <c r="L36" s="204">
        <v>0</v>
      </c>
      <c r="M36" s="205">
        <v>0</v>
      </c>
      <c r="N36" s="85">
        <f t="shared" si="1"/>
        <v>90</v>
      </c>
      <c r="O36" s="43">
        <f t="shared" si="2"/>
        <v>110.5</v>
      </c>
    </row>
    <row r="37" spans="1:15" ht="22.5" customHeight="1" x14ac:dyDescent="0.3">
      <c r="A37" s="190" t="s">
        <v>206</v>
      </c>
      <c r="B37" s="44">
        <v>109</v>
      </c>
      <c r="C37" s="39">
        <v>7</v>
      </c>
      <c r="D37" s="39">
        <v>4</v>
      </c>
      <c r="E37" s="39">
        <v>4</v>
      </c>
      <c r="F37" s="194">
        <v>9</v>
      </c>
      <c r="G37" s="196">
        <f t="shared" si="0"/>
        <v>133</v>
      </c>
      <c r="H37" s="203">
        <v>0</v>
      </c>
      <c r="I37" s="204">
        <v>0</v>
      </c>
      <c r="J37" s="204">
        <v>0</v>
      </c>
      <c r="K37" s="204">
        <v>0</v>
      </c>
      <c r="L37" s="204">
        <v>0</v>
      </c>
      <c r="M37" s="205">
        <v>0</v>
      </c>
      <c r="N37" s="85">
        <f t="shared" si="1"/>
        <v>133</v>
      </c>
      <c r="O37" s="43">
        <f t="shared" si="2"/>
        <v>171</v>
      </c>
    </row>
    <row r="38" spans="1:15" ht="22.5" customHeight="1" x14ac:dyDescent="0.3">
      <c r="A38" s="190" t="s">
        <v>207</v>
      </c>
      <c r="B38" s="44">
        <v>85</v>
      </c>
      <c r="C38" s="39">
        <v>7</v>
      </c>
      <c r="D38" s="39">
        <v>7</v>
      </c>
      <c r="E38" s="39">
        <v>1</v>
      </c>
      <c r="F38" s="194">
        <v>7</v>
      </c>
      <c r="G38" s="196">
        <f t="shared" si="0"/>
        <v>107</v>
      </c>
      <c r="H38" s="203">
        <v>0</v>
      </c>
      <c r="I38" s="204">
        <v>0</v>
      </c>
      <c r="J38" s="204">
        <v>0</v>
      </c>
      <c r="K38" s="204">
        <v>0</v>
      </c>
      <c r="L38" s="204">
        <v>0</v>
      </c>
      <c r="M38" s="205">
        <v>0</v>
      </c>
      <c r="N38" s="85">
        <f t="shared" si="1"/>
        <v>107</v>
      </c>
      <c r="O38" s="43">
        <f t="shared" si="2"/>
        <v>133.5</v>
      </c>
    </row>
    <row r="39" spans="1:15" ht="22.5" customHeight="1" x14ac:dyDescent="0.3">
      <c r="A39" s="190" t="s">
        <v>208</v>
      </c>
      <c r="B39" s="44">
        <v>134</v>
      </c>
      <c r="C39" s="39">
        <v>16</v>
      </c>
      <c r="D39" s="39">
        <v>7</v>
      </c>
      <c r="E39" s="39">
        <v>2</v>
      </c>
      <c r="F39" s="194">
        <v>9</v>
      </c>
      <c r="G39" s="196">
        <f t="shared" si="0"/>
        <v>168</v>
      </c>
      <c r="H39" s="203">
        <v>0</v>
      </c>
      <c r="I39" s="204">
        <v>0</v>
      </c>
      <c r="J39" s="204">
        <v>0</v>
      </c>
      <c r="K39" s="204">
        <v>0</v>
      </c>
      <c r="L39" s="204">
        <v>0</v>
      </c>
      <c r="M39" s="205">
        <v>0</v>
      </c>
      <c r="N39" s="85">
        <f t="shared" si="1"/>
        <v>168</v>
      </c>
      <c r="O39" s="43">
        <f t="shared" si="2"/>
        <v>199</v>
      </c>
    </row>
    <row r="40" spans="1:15" ht="22.5" customHeight="1" x14ac:dyDescent="0.3">
      <c r="A40" s="190" t="s">
        <v>209</v>
      </c>
      <c r="B40" s="44">
        <v>84</v>
      </c>
      <c r="C40" s="39">
        <v>4</v>
      </c>
      <c r="D40" s="39">
        <v>0</v>
      </c>
      <c r="E40" s="39">
        <v>2</v>
      </c>
      <c r="F40" s="194">
        <v>4</v>
      </c>
      <c r="G40" s="196">
        <f t="shared" ref="G40:G71" si="3">SUM(B40:F40)</f>
        <v>94</v>
      </c>
      <c r="H40" s="203">
        <v>0</v>
      </c>
      <c r="I40" s="204">
        <v>0</v>
      </c>
      <c r="J40" s="204">
        <v>0</v>
      </c>
      <c r="K40" s="204">
        <v>0</v>
      </c>
      <c r="L40" s="204">
        <v>0</v>
      </c>
      <c r="M40" s="205">
        <v>0</v>
      </c>
      <c r="N40" s="85">
        <f t="shared" si="1"/>
        <v>94</v>
      </c>
      <c r="O40" s="43">
        <f t="shared" si="2"/>
        <v>110</v>
      </c>
    </row>
    <row r="41" spans="1:15" ht="22.5" customHeight="1" x14ac:dyDescent="0.3">
      <c r="A41" s="190" t="s">
        <v>210</v>
      </c>
      <c r="B41" s="44">
        <v>103</v>
      </c>
      <c r="C41" s="39">
        <v>37</v>
      </c>
      <c r="D41" s="39">
        <v>3</v>
      </c>
      <c r="E41" s="39">
        <v>0</v>
      </c>
      <c r="F41" s="194">
        <v>6</v>
      </c>
      <c r="G41" s="196">
        <f t="shared" si="3"/>
        <v>149</v>
      </c>
      <c r="H41" s="203">
        <v>0</v>
      </c>
      <c r="I41" s="204">
        <v>0</v>
      </c>
      <c r="J41" s="204">
        <v>0</v>
      </c>
      <c r="K41" s="204">
        <v>0</v>
      </c>
      <c r="L41" s="204">
        <v>0</v>
      </c>
      <c r="M41" s="205">
        <v>0</v>
      </c>
      <c r="N41" s="85">
        <f t="shared" si="1"/>
        <v>149</v>
      </c>
      <c r="O41" s="43">
        <f t="shared" si="2"/>
        <v>153</v>
      </c>
    </row>
    <row r="42" spans="1:15" ht="22.5" customHeight="1" x14ac:dyDescent="0.3">
      <c r="A42" s="190" t="s">
        <v>211</v>
      </c>
      <c r="B42" s="44">
        <v>73</v>
      </c>
      <c r="C42" s="39">
        <v>12</v>
      </c>
      <c r="D42" s="39">
        <v>2</v>
      </c>
      <c r="E42" s="39">
        <v>1</v>
      </c>
      <c r="F42" s="194">
        <v>3</v>
      </c>
      <c r="G42" s="196">
        <f t="shared" si="3"/>
        <v>91</v>
      </c>
      <c r="H42" s="203">
        <v>0</v>
      </c>
      <c r="I42" s="204">
        <v>0</v>
      </c>
      <c r="J42" s="204">
        <v>0</v>
      </c>
      <c r="K42" s="204">
        <v>0</v>
      </c>
      <c r="L42" s="204">
        <v>0</v>
      </c>
      <c r="M42" s="205">
        <v>0</v>
      </c>
      <c r="N42" s="85">
        <f t="shared" si="1"/>
        <v>91</v>
      </c>
      <c r="O42" s="43">
        <f t="shared" si="2"/>
        <v>98.5</v>
      </c>
    </row>
    <row r="43" spans="1:15" ht="22.5" customHeight="1" x14ac:dyDescent="0.3">
      <c r="A43" s="190" t="s">
        <v>212</v>
      </c>
      <c r="B43" s="44">
        <v>74</v>
      </c>
      <c r="C43" s="39">
        <v>18</v>
      </c>
      <c r="D43" s="39">
        <v>4</v>
      </c>
      <c r="E43" s="39">
        <v>1</v>
      </c>
      <c r="F43" s="194">
        <v>6</v>
      </c>
      <c r="G43" s="196">
        <f t="shared" si="3"/>
        <v>103</v>
      </c>
      <c r="H43" s="203">
        <v>0</v>
      </c>
      <c r="I43" s="204">
        <v>0</v>
      </c>
      <c r="J43" s="204">
        <v>0</v>
      </c>
      <c r="K43" s="204">
        <v>0</v>
      </c>
      <c r="L43" s="204">
        <v>0</v>
      </c>
      <c r="M43" s="205">
        <v>0</v>
      </c>
      <c r="N43" s="85">
        <f t="shared" si="1"/>
        <v>103</v>
      </c>
      <c r="O43" s="43">
        <f t="shared" si="2"/>
        <v>119</v>
      </c>
    </row>
    <row r="44" spans="1:15" ht="22.5" customHeight="1" x14ac:dyDescent="0.3">
      <c r="A44" s="190" t="s">
        <v>213</v>
      </c>
      <c r="B44" s="44">
        <v>107</v>
      </c>
      <c r="C44" s="39">
        <v>25</v>
      </c>
      <c r="D44" s="39">
        <v>3</v>
      </c>
      <c r="E44" s="39">
        <v>1</v>
      </c>
      <c r="F44" s="194">
        <v>5</v>
      </c>
      <c r="G44" s="196">
        <f t="shared" si="3"/>
        <v>141</v>
      </c>
      <c r="H44" s="203">
        <v>0</v>
      </c>
      <c r="I44" s="204">
        <v>0</v>
      </c>
      <c r="J44" s="204">
        <v>0</v>
      </c>
      <c r="K44" s="204">
        <v>0</v>
      </c>
      <c r="L44" s="204">
        <v>0</v>
      </c>
      <c r="M44" s="205">
        <v>0</v>
      </c>
      <c r="N44" s="85">
        <f t="shared" si="1"/>
        <v>141</v>
      </c>
      <c r="O44" s="43">
        <f t="shared" si="2"/>
        <v>149.5</v>
      </c>
    </row>
    <row r="45" spans="1:15" ht="22.5" customHeight="1" x14ac:dyDescent="0.3">
      <c r="A45" s="190" t="s">
        <v>214</v>
      </c>
      <c r="B45" s="44">
        <v>98</v>
      </c>
      <c r="C45" s="39">
        <v>15</v>
      </c>
      <c r="D45" s="39">
        <v>3</v>
      </c>
      <c r="E45" s="39">
        <v>0</v>
      </c>
      <c r="F45" s="194">
        <v>7</v>
      </c>
      <c r="G45" s="196">
        <f t="shared" si="3"/>
        <v>123</v>
      </c>
      <c r="H45" s="203">
        <v>0</v>
      </c>
      <c r="I45" s="204">
        <v>0</v>
      </c>
      <c r="J45" s="204">
        <v>0</v>
      </c>
      <c r="K45" s="204">
        <v>0</v>
      </c>
      <c r="L45" s="204">
        <v>0</v>
      </c>
      <c r="M45" s="205">
        <v>0</v>
      </c>
      <c r="N45" s="85">
        <f t="shared" si="1"/>
        <v>123</v>
      </c>
      <c r="O45" s="43">
        <f t="shared" si="2"/>
        <v>141.5</v>
      </c>
    </row>
    <row r="46" spans="1:15" ht="22.5" customHeight="1" x14ac:dyDescent="0.3">
      <c r="A46" s="190" t="s">
        <v>215</v>
      </c>
      <c r="B46" s="44">
        <v>111</v>
      </c>
      <c r="C46" s="39">
        <v>16</v>
      </c>
      <c r="D46" s="39">
        <v>4</v>
      </c>
      <c r="E46" s="39">
        <v>1</v>
      </c>
      <c r="F46" s="194">
        <v>9</v>
      </c>
      <c r="G46" s="196">
        <f t="shared" si="3"/>
        <v>141</v>
      </c>
      <c r="H46" s="203">
        <v>0</v>
      </c>
      <c r="I46" s="204">
        <v>0</v>
      </c>
      <c r="J46" s="204">
        <v>0</v>
      </c>
      <c r="K46" s="204">
        <v>0</v>
      </c>
      <c r="L46" s="204">
        <v>0</v>
      </c>
      <c r="M46" s="205">
        <v>0</v>
      </c>
      <c r="N46" s="85">
        <f t="shared" si="1"/>
        <v>141</v>
      </c>
      <c r="O46" s="43">
        <f t="shared" si="2"/>
        <v>168.5</v>
      </c>
    </row>
    <row r="47" spans="1:15" ht="22.5" customHeight="1" x14ac:dyDescent="0.3">
      <c r="A47" s="190" t="s">
        <v>216</v>
      </c>
      <c r="B47" s="44">
        <v>125</v>
      </c>
      <c r="C47" s="39">
        <v>19</v>
      </c>
      <c r="D47" s="39">
        <v>2</v>
      </c>
      <c r="E47" s="39">
        <v>5</v>
      </c>
      <c r="F47" s="194">
        <v>5</v>
      </c>
      <c r="G47" s="196">
        <f t="shared" si="3"/>
        <v>156</v>
      </c>
      <c r="H47" s="203">
        <v>0</v>
      </c>
      <c r="I47" s="204">
        <v>0</v>
      </c>
      <c r="J47" s="204">
        <v>0</v>
      </c>
      <c r="K47" s="204">
        <v>0</v>
      </c>
      <c r="L47" s="204">
        <v>0</v>
      </c>
      <c r="M47" s="205">
        <v>0</v>
      </c>
      <c r="N47" s="85">
        <f t="shared" si="1"/>
        <v>156</v>
      </c>
      <c r="O47" s="43">
        <f t="shared" si="2"/>
        <v>175</v>
      </c>
    </row>
    <row r="48" spans="1:15" ht="22.5" customHeight="1" x14ac:dyDescent="0.3">
      <c r="A48" s="190" t="s">
        <v>217</v>
      </c>
      <c r="B48" s="44">
        <v>78</v>
      </c>
      <c r="C48" s="39">
        <v>10</v>
      </c>
      <c r="D48" s="39">
        <v>2</v>
      </c>
      <c r="E48" s="39">
        <v>1</v>
      </c>
      <c r="F48" s="194">
        <v>7</v>
      </c>
      <c r="G48" s="196">
        <f t="shared" si="3"/>
        <v>98</v>
      </c>
      <c r="H48" s="203">
        <v>0</v>
      </c>
      <c r="I48" s="204">
        <v>0</v>
      </c>
      <c r="J48" s="204">
        <v>0</v>
      </c>
      <c r="K48" s="204">
        <v>0</v>
      </c>
      <c r="L48" s="204">
        <v>0</v>
      </c>
      <c r="M48" s="205">
        <v>0</v>
      </c>
      <c r="N48" s="85">
        <f t="shared" si="1"/>
        <v>98</v>
      </c>
      <c r="O48" s="43">
        <f t="shared" si="2"/>
        <v>120.5</v>
      </c>
    </row>
    <row r="49" spans="1:15" ht="22.5" customHeight="1" x14ac:dyDescent="0.3">
      <c r="A49" s="190" t="s">
        <v>218</v>
      </c>
      <c r="B49" s="44">
        <v>97</v>
      </c>
      <c r="C49" s="39">
        <v>13</v>
      </c>
      <c r="D49" s="39">
        <v>2</v>
      </c>
      <c r="E49" s="39">
        <v>0</v>
      </c>
      <c r="F49" s="194">
        <v>15</v>
      </c>
      <c r="G49" s="196">
        <f t="shared" si="3"/>
        <v>127</v>
      </c>
      <c r="H49" s="203">
        <v>0</v>
      </c>
      <c r="I49" s="204">
        <v>0</v>
      </c>
      <c r="J49" s="204">
        <v>0</v>
      </c>
      <c r="K49" s="204">
        <v>0</v>
      </c>
      <c r="L49" s="204">
        <v>0</v>
      </c>
      <c r="M49" s="205">
        <v>0</v>
      </c>
      <c r="N49" s="85">
        <f t="shared" si="1"/>
        <v>127</v>
      </c>
      <c r="O49" s="43">
        <f t="shared" si="2"/>
        <v>174</v>
      </c>
    </row>
    <row r="50" spans="1:15" ht="22.5" customHeight="1" x14ac:dyDescent="0.3">
      <c r="A50" s="190" t="s">
        <v>219</v>
      </c>
      <c r="B50" s="44">
        <v>76</v>
      </c>
      <c r="C50" s="39">
        <v>14</v>
      </c>
      <c r="D50" s="39">
        <v>2</v>
      </c>
      <c r="E50" s="39">
        <v>1</v>
      </c>
      <c r="F50" s="194">
        <v>4</v>
      </c>
      <c r="G50" s="196">
        <f t="shared" si="3"/>
        <v>97</v>
      </c>
      <c r="H50" s="203">
        <v>0</v>
      </c>
      <c r="I50" s="204">
        <v>0</v>
      </c>
      <c r="J50" s="204">
        <v>0</v>
      </c>
      <c r="K50" s="204">
        <v>0</v>
      </c>
      <c r="L50" s="204">
        <v>0</v>
      </c>
      <c r="M50" s="205">
        <v>0</v>
      </c>
      <c r="N50" s="85">
        <f t="shared" si="1"/>
        <v>97</v>
      </c>
      <c r="O50" s="43">
        <f t="shared" si="2"/>
        <v>107</v>
      </c>
    </row>
    <row r="51" spans="1:15" ht="22.5" customHeight="1" x14ac:dyDescent="0.3">
      <c r="A51" s="190" t="s">
        <v>220</v>
      </c>
      <c r="B51" s="44">
        <v>92</v>
      </c>
      <c r="C51" s="39">
        <v>17</v>
      </c>
      <c r="D51" s="39">
        <v>1</v>
      </c>
      <c r="E51" s="39">
        <v>2</v>
      </c>
      <c r="F51" s="194">
        <v>6</v>
      </c>
      <c r="G51" s="196">
        <f t="shared" si="3"/>
        <v>118</v>
      </c>
      <c r="H51" s="203">
        <v>0</v>
      </c>
      <c r="I51" s="204">
        <v>0</v>
      </c>
      <c r="J51" s="204">
        <v>0</v>
      </c>
      <c r="K51" s="204">
        <v>0</v>
      </c>
      <c r="L51" s="204">
        <v>0</v>
      </c>
      <c r="M51" s="205">
        <v>0</v>
      </c>
      <c r="N51" s="85">
        <f t="shared" si="1"/>
        <v>118</v>
      </c>
      <c r="O51" s="43">
        <f t="shared" si="2"/>
        <v>135</v>
      </c>
    </row>
    <row r="52" spans="1:15" ht="22.5" customHeight="1" x14ac:dyDescent="0.3">
      <c r="A52" s="190" t="s">
        <v>221</v>
      </c>
      <c r="B52" s="44">
        <v>81</v>
      </c>
      <c r="C52" s="39">
        <v>14</v>
      </c>
      <c r="D52" s="39">
        <v>8</v>
      </c>
      <c r="E52" s="39">
        <v>2</v>
      </c>
      <c r="F52" s="194">
        <v>6</v>
      </c>
      <c r="G52" s="196">
        <f t="shared" si="3"/>
        <v>111</v>
      </c>
      <c r="H52" s="203">
        <v>0</v>
      </c>
      <c r="I52" s="204">
        <v>0</v>
      </c>
      <c r="J52" s="204">
        <v>0</v>
      </c>
      <c r="K52" s="204">
        <v>0</v>
      </c>
      <c r="L52" s="204">
        <v>0</v>
      </c>
      <c r="M52" s="205">
        <v>0</v>
      </c>
      <c r="N52" s="85">
        <f t="shared" si="1"/>
        <v>111</v>
      </c>
      <c r="O52" s="43">
        <f t="shared" si="2"/>
        <v>133</v>
      </c>
    </row>
    <row r="53" spans="1:15" ht="22.5" customHeight="1" x14ac:dyDescent="0.3">
      <c r="A53" s="190" t="s">
        <v>222</v>
      </c>
      <c r="B53" s="44">
        <v>60</v>
      </c>
      <c r="C53" s="39">
        <v>10</v>
      </c>
      <c r="D53" s="39">
        <v>4</v>
      </c>
      <c r="E53" s="39">
        <v>0</v>
      </c>
      <c r="F53" s="194">
        <v>6</v>
      </c>
      <c r="G53" s="196">
        <f t="shared" si="3"/>
        <v>80</v>
      </c>
      <c r="H53" s="203">
        <v>0</v>
      </c>
      <c r="I53" s="204">
        <v>0</v>
      </c>
      <c r="J53" s="204">
        <v>0</v>
      </c>
      <c r="K53" s="204">
        <v>0</v>
      </c>
      <c r="L53" s="204">
        <v>0</v>
      </c>
      <c r="M53" s="205">
        <v>0</v>
      </c>
      <c r="N53" s="85">
        <f t="shared" si="1"/>
        <v>80</v>
      </c>
      <c r="O53" s="43">
        <f t="shared" si="2"/>
        <v>98</v>
      </c>
    </row>
    <row r="54" spans="1:15" ht="22.5" customHeight="1" x14ac:dyDescent="0.3">
      <c r="A54" s="190" t="s">
        <v>223</v>
      </c>
      <c r="B54" s="44">
        <v>36</v>
      </c>
      <c r="C54" s="39">
        <v>3</v>
      </c>
      <c r="D54" s="39">
        <v>4</v>
      </c>
      <c r="E54" s="39">
        <v>0</v>
      </c>
      <c r="F54" s="194">
        <v>12</v>
      </c>
      <c r="G54" s="196">
        <f t="shared" si="3"/>
        <v>55</v>
      </c>
      <c r="H54" s="203">
        <v>0</v>
      </c>
      <c r="I54" s="204">
        <v>0</v>
      </c>
      <c r="J54" s="204">
        <v>0</v>
      </c>
      <c r="K54" s="204">
        <v>0</v>
      </c>
      <c r="L54" s="204">
        <v>0</v>
      </c>
      <c r="M54" s="205">
        <v>0</v>
      </c>
      <c r="N54" s="85">
        <f t="shared" si="1"/>
        <v>55</v>
      </c>
      <c r="O54" s="43">
        <f t="shared" si="2"/>
        <v>97.5</v>
      </c>
    </row>
    <row r="55" spans="1:15" ht="22.5" customHeight="1" x14ac:dyDescent="0.3">
      <c r="A55" s="190" t="s">
        <v>224</v>
      </c>
      <c r="B55" s="44">
        <v>37</v>
      </c>
      <c r="C55" s="39">
        <v>4</v>
      </c>
      <c r="D55" s="39">
        <v>8</v>
      </c>
      <c r="E55" s="39">
        <v>4</v>
      </c>
      <c r="F55" s="194">
        <v>8</v>
      </c>
      <c r="G55" s="196">
        <f t="shared" si="3"/>
        <v>61</v>
      </c>
      <c r="H55" s="203">
        <v>0</v>
      </c>
      <c r="I55" s="204">
        <v>0</v>
      </c>
      <c r="J55" s="204">
        <v>0</v>
      </c>
      <c r="K55" s="204">
        <v>0</v>
      </c>
      <c r="L55" s="204">
        <v>0</v>
      </c>
      <c r="M55" s="205">
        <v>0</v>
      </c>
      <c r="N55" s="85">
        <f t="shared" si="1"/>
        <v>61</v>
      </c>
      <c r="O55" s="43">
        <f t="shared" si="2"/>
        <v>99</v>
      </c>
    </row>
    <row r="56" spans="1:15" ht="22.5" customHeight="1" x14ac:dyDescent="0.3">
      <c r="A56" s="190" t="s">
        <v>225</v>
      </c>
      <c r="B56" s="44">
        <v>63</v>
      </c>
      <c r="C56" s="39">
        <v>1</v>
      </c>
      <c r="D56" s="39">
        <v>0</v>
      </c>
      <c r="E56" s="39">
        <v>3</v>
      </c>
      <c r="F56" s="194">
        <v>9</v>
      </c>
      <c r="G56" s="196">
        <f t="shared" si="3"/>
        <v>76</v>
      </c>
      <c r="H56" s="203">
        <v>0</v>
      </c>
      <c r="I56" s="204">
        <v>0</v>
      </c>
      <c r="J56" s="204">
        <v>0</v>
      </c>
      <c r="K56" s="204">
        <v>0</v>
      </c>
      <c r="L56" s="204">
        <v>0</v>
      </c>
      <c r="M56" s="205">
        <v>0</v>
      </c>
      <c r="N56" s="85">
        <f t="shared" si="1"/>
        <v>76</v>
      </c>
      <c r="O56" s="43">
        <f t="shared" si="2"/>
        <v>113</v>
      </c>
    </row>
    <row r="57" spans="1:15" ht="22.5" customHeight="1" x14ac:dyDescent="0.3">
      <c r="A57" s="190" t="s">
        <v>226</v>
      </c>
      <c r="B57" s="44">
        <v>61</v>
      </c>
      <c r="C57" s="39">
        <v>5</v>
      </c>
      <c r="D57" s="39">
        <v>3</v>
      </c>
      <c r="E57" s="39">
        <v>3</v>
      </c>
      <c r="F57" s="194">
        <v>2</v>
      </c>
      <c r="G57" s="196">
        <f t="shared" si="3"/>
        <v>74</v>
      </c>
      <c r="H57" s="203">
        <v>0</v>
      </c>
      <c r="I57" s="204">
        <v>0</v>
      </c>
      <c r="J57" s="204">
        <v>0</v>
      </c>
      <c r="K57" s="204">
        <v>0</v>
      </c>
      <c r="L57" s="204">
        <v>0</v>
      </c>
      <c r="M57" s="205">
        <v>0</v>
      </c>
      <c r="N57" s="85">
        <f t="shared" si="1"/>
        <v>74</v>
      </c>
      <c r="O57" s="43">
        <f t="shared" si="2"/>
        <v>86</v>
      </c>
    </row>
    <row r="58" spans="1:15" ht="22.5" customHeight="1" x14ac:dyDescent="0.3">
      <c r="A58" s="190" t="s">
        <v>227</v>
      </c>
      <c r="B58" s="44">
        <v>49</v>
      </c>
      <c r="C58" s="39">
        <v>7</v>
      </c>
      <c r="D58" s="39">
        <v>3</v>
      </c>
      <c r="E58" s="39">
        <v>1</v>
      </c>
      <c r="F58" s="194">
        <v>10</v>
      </c>
      <c r="G58" s="196">
        <f t="shared" si="3"/>
        <v>70</v>
      </c>
      <c r="H58" s="203">
        <v>0</v>
      </c>
      <c r="I58" s="204">
        <v>0</v>
      </c>
      <c r="J58" s="204">
        <v>0</v>
      </c>
      <c r="K58" s="204">
        <v>0</v>
      </c>
      <c r="L58" s="204">
        <v>0</v>
      </c>
      <c r="M58" s="205">
        <v>0</v>
      </c>
      <c r="N58" s="85">
        <f t="shared" si="1"/>
        <v>70</v>
      </c>
      <c r="O58" s="43">
        <f t="shared" si="2"/>
        <v>105</v>
      </c>
    </row>
    <row r="59" spans="1:15" ht="22.5" customHeight="1" x14ac:dyDescent="0.3">
      <c r="A59" s="190" t="s">
        <v>228</v>
      </c>
      <c r="B59" s="44">
        <v>54</v>
      </c>
      <c r="C59" s="39">
        <v>1</v>
      </c>
      <c r="D59" s="39">
        <v>0</v>
      </c>
      <c r="E59" s="39">
        <v>1</v>
      </c>
      <c r="F59" s="194">
        <v>14</v>
      </c>
      <c r="G59" s="196">
        <f t="shared" si="3"/>
        <v>70</v>
      </c>
      <c r="H59" s="203">
        <v>0</v>
      </c>
      <c r="I59" s="204">
        <v>0</v>
      </c>
      <c r="J59" s="204">
        <v>0</v>
      </c>
      <c r="K59" s="204">
        <v>0</v>
      </c>
      <c r="L59" s="204">
        <v>0</v>
      </c>
      <c r="M59" s="205">
        <v>0</v>
      </c>
      <c r="N59" s="85">
        <f t="shared" si="1"/>
        <v>70</v>
      </c>
      <c r="O59" s="43">
        <f t="shared" si="2"/>
        <v>120.5</v>
      </c>
    </row>
    <row r="60" spans="1:15" ht="22.5" customHeight="1" x14ac:dyDescent="0.3">
      <c r="A60" s="190" t="s">
        <v>229</v>
      </c>
      <c r="B60" s="44">
        <v>69</v>
      </c>
      <c r="C60" s="39">
        <v>5</v>
      </c>
      <c r="D60" s="39">
        <v>1</v>
      </c>
      <c r="E60" s="39">
        <v>2</v>
      </c>
      <c r="F60" s="194">
        <v>14</v>
      </c>
      <c r="G60" s="196">
        <f t="shared" si="3"/>
        <v>91</v>
      </c>
      <c r="H60" s="203">
        <v>0</v>
      </c>
      <c r="I60" s="204">
        <v>0</v>
      </c>
      <c r="J60" s="204">
        <v>0</v>
      </c>
      <c r="K60" s="204">
        <v>0</v>
      </c>
      <c r="L60" s="204">
        <v>0</v>
      </c>
      <c r="M60" s="205">
        <v>0</v>
      </c>
      <c r="N60" s="85">
        <f t="shared" si="1"/>
        <v>91</v>
      </c>
      <c r="O60" s="43">
        <f t="shared" si="2"/>
        <v>142</v>
      </c>
    </row>
    <row r="61" spans="1:15" ht="22.5" customHeight="1" x14ac:dyDescent="0.3">
      <c r="A61" s="190" t="s">
        <v>230</v>
      </c>
      <c r="B61" s="44">
        <v>41</v>
      </c>
      <c r="C61" s="39">
        <v>6</v>
      </c>
      <c r="D61" s="39">
        <v>1</v>
      </c>
      <c r="E61" s="39">
        <v>4</v>
      </c>
      <c r="F61" s="194">
        <v>10</v>
      </c>
      <c r="G61" s="196">
        <f t="shared" si="3"/>
        <v>62</v>
      </c>
      <c r="H61" s="203">
        <v>0</v>
      </c>
      <c r="I61" s="204">
        <v>0</v>
      </c>
      <c r="J61" s="204">
        <v>0</v>
      </c>
      <c r="K61" s="204">
        <v>0</v>
      </c>
      <c r="L61" s="204">
        <v>0</v>
      </c>
      <c r="M61" s="205">
        <v>0</v>
      </c>
      <c r="N61" s="85">
        <f t="shared" si="1"/>
        <v>62</v>
      </c>
      <c r="O61" s="43">
        <f t="shared" si="2"/>
        <v>102.5</v>
      </c>
    </row>
    <row r="62" spans="1:15" ht="22.5" customHeight="1" x14ac:dyDescent="0.3">
      <c r="A62" s="190" t="s">
        <v>231</v>
      </c>
      <c r="B62" s="44">
        <v>69</v>
      </c>
      <c r="C62" s="39">
        <v>3</v>
      </c>
      <c r="D62" s="39">
        <v>8</v>
      </c>
      <c r="E62" s="39">
        <v>3</v>
      </c>
      <c r="F62" s="194">
        <v>9</v>
      </c>
      <c r="G62" s="196">
        <f t="shared" si="3"/>
        <v>92</v>
      </c>
      <c r="H62" s="203">
        <v>0</v>
      </c>
      <c r="I62" s="204">
        <v>0</v>
      </c>
      <c r="J62" s="204">
        <v>0</v>
      </c>
      <c r="K62" s="204">
        <v>0</v>
      </c>
      <c r="L62" s="204">
        <v>0</v>
      </c>
      <c r="M62" s="205">
        <v>0</v>
      </c>
      <c r="N62" s="85">
        <f t="shared" si="1"/>
        <v>92</v>
      </c>
      <c r="O62" s="43">
        <f t="shared" si="2"/>
        <v>132</v>
      </c>
    </row>
    <row r="63" spans="1:15" ht="22.5" customHeight="1" x14ac:dyDescent="0.3">
      <c r="A63" s="190" t="s">
        <v>232</v>
      </c>
      <c r="B63" s="44">
        <v>56</v>
      </c>
      <c r="C63" s="39">
        <v>12</v>
      </c>
      <c r="D63" s="39">
        <v>8</v>
      </c>
      <c r="E63" s="39">
        <v>1</v>
      </c>
      <c r="F63" s="194">
        <v>8</v>
      </c>
      <c r="G63" s="196">
        <f t="shared" si="3"/>
        <v>85</v>
      </c>
      <c r="H63" s="203">
        <v>0</v>
      </c>
      <c r="I63" s="204">
        <v>0</v>
      </c>
      <c r="J63" s="204">
        <v>0</v>
      </c>
      <c r="K63" s="204">
        <v>0</v>
      </c>
      <c r="L63" s="204">
        <v>0</v>
      </c>
      <c r="M63" s="205">
        <v>0</v>
      </c>
      <c r="N63" s="85">
        <f t="shared" si="1"/>
        <v>85</v>
      </c>
      <c r="O63" s="43">
        <f t="shared" si="2"/>
        <v>113</v>
      </c>
    </row>
    <row r="64" spans="1:15" ht="22.5" customHeight="1" x14ac:dyDescent="0.3">
      <c r="A64" s="190" t="s">
        <v>233</v>
      </c>
      <c r="B64" s="44">
        <v>58</v>
      </c>
      <c r="C64" s="39">
        <v>3</v>
      </c>
      <c r="D64" s="39">
        <v>2</v>
      </c>
      <c r="E64" s="39">
        <v>4</v>
      </c>
      <c r="F64" s="194">
        <v>6</v>
      </c>
      <c r="G64" s="196">
        <f t="shared" si="3"/>
        <v>73</v>
      </c>
      <c r="H64" s="203">
        <v>0</v>
      </c>
      <c r="I64" s="204">
        <v>0</v>
      </c>
      <c r="J64" s="204">
        <v>0</v>
      </c>
      <c r="K64" s="204">
        <v>0</v>
      </c>
      <c r="L64" s="204">
        <v>0</v>
      </c>
      <c r="M64" s="205">
        <v>0</v>
      </c>
      <c r="N64" s="85">
        <f t="shared" si="1"/>
        <v>73</v>
      </c>
      <c r="O64" s="43">
        <f t="shared" si="2"/>
        <v>101.5</v>
      </c>
    </row>
    <row r="65" spans="1:15" ht="22.5" customHeight="1" x14ac:dyDescent="0.3">
      <c r="A65" s="190" t="s">
        <v>234</v>
      </c>
      <c r="B65" s="44">
        <v>40</v>
      </c>
      <c r="C65" s="39">
        <v>2</v>
      </c>
      <c r="D65" s="39">
        <v>4</v>
      </c>
      <c r="E65" s="39">
        <v>0</v>
      </c>
      <c r="F65" s="194">
        <v>6</v>
      </c>
      <c r="G65" s="196">
        <f t="shared" si="3"/>
        <v>52</v>
      </c>
      <c r="H65" s="203">
        <v>0</v>
      </c>
      <c r="I65" s="204">
        <v>0</v>
      </c>
      <c r="J65" s="204">
        <v>0</v>
      </c>
      <c r="K65" s="204">
        <v>0</v>
      </c>
      <c r="L65" s="204">
        <v>0</v>
      </c>
      <c r="M65" s="205">
        <v>0</v>
      </c>
      <c r="N65" s="85">
        <f t="shared" si="1"/>
        <v>52</v>
      </c>
      <c r="O65" s="43">
        <f t="shared" si="2"/>
        <v>74</v>
      </c>
    </row>
    <row r="66" spans="1:15" ht="22.5" customHeight="1" x14ac:dyDescent="0.3">
      <c r="A66" s="190" t="s">
        <v>235</v>
      </c>
      <c r="B66" s="44">
        <v>47</v>
      </c>
      <c r="C66" s="39">
        <v>5</v>
      </c>
      <c r="D66" s="39">
        <v>4</v>
      </c>
      <c r="E66" s="39">
        <v>2</v>
      </c>
      <c r="F66" s="194">
        <v>15</v>
      </c>
      <c r="G66" s="196">
        <f t="shared" si="3"/>
        <v>73</v>
      </c>
      <c r="H66" s="203">
        <v>0</v>
      </c>
      <c r="I66" s="204">
        <v>0</v>
      </c>
      <c r="J66" s="204">
        <v>0</v>
      </c>
      <c r="K66" s="204">
        <v>0</v>
      </c>
      <c r="L66" s="204">
        <v>0</v>
      </c>
      <c r="M66" s="205">
        <v>0</v>
      </c>
      <c r="N66" s="85">
        <f t="shared" si="1"/>
        <v>73</v>
      </c>
      <c r="O66" s="43">
        <f t="shared" si="2"/>
        <v>129</v>
      </c>
    </row>
    <row r="67" spans="1:15" ht="22.5" customHeight="1" x14ac:dyDescent="0.3">
      <c r="A67" s="190" t="s">
        <v>236</v>
      </c>
      <c r="B67" s="44">
        <v>31</v>
      </c>
      <c r="C67" s="39">
        <v>2</v>
      </c>
      <c r="D67" s="39">
        <v>6</v>
      </c>
      <c r="E67" s="39">
        <v>2</v>
      </c>
      <c r="F67" s="194">
        <v>4</v>
      </c>
      <c r="G67" s="196">
        <f t="shared" si="3"/>
        <v>45</v>
      </c>
      <c r="H67" s="203">
        <v>0</v>
      </c>
      <c r="I67" s="204">
        <v>0</v>
      </c>
      <c r="J67" s="204">
        <v>0</v>
      </c>
      <c r="K67" s="204">
        <v>0</v>
      </c>
      <c r="L67" s="204">
        <v>0</v>
      </c>
      <c r="M67" s="205">
        <v>0</v>
      </c>
      <c r="N67" s="85">
        <f t="shared" si="1"/>
        <v>45</v>
      </c>
      <c r="O67" s="43">
        <f t="shared" si="2"/>
        <v>65</v>
      </c>
    </row>
    <row r="68" spans="1:15" ht="22.5" customHeight="1" x14ac:dyDescent="0.3">
      <c r="A68" s="190" t="s">
        <v>237</v>
      </c>
      <c r="B68" s="44">
        <v>29</v>
      </c>
      <c r="C68" s="39">
        <v>3</v>
      </c>
      <c r="D68" s="39">
        <v>4</v>
      </c>
      <c r="E68" s="39">
        <v>2</v>
      </c>
      <c r="F68" s="194">
        <v>5</v>
      </c>
      <c r="G68" s="196">
        <f t="shared" si="3"/>
        <v>43</v>
      </c>
      <c r="H68" s="203">
        <v>0</v>
      </c>
      <c r="I68" s="204">
        <v>0</v>
      </c>
      <c r="J68" s="204">
        <v>0</v>
      </c>
      <c r="K68" s="204">
        <v>0</v>
      </c>
      <c r="L68" s="204">
        <v>0</v>
      </c>
      <c r="M68" s="205">
        <v>0</v>
      </c>
      <c r="N68" s="85">
        <f t="shared" si="1"/>
        <v>43</v>
      </c>
      <c r="O68" s="43">
        <f t="shared" si="2"/>
        <v>65</v>
      </c>
    </row>
    <row r="69" spans="1:15" ht="22.5" customHeight="1" x14ac:dyDescent="0.3">
      <c r="A69" s="190" t="s">
        <v>238</v>
      </c>
      <c r="B69" s="44">
        <v>16</v>
      </c>
      <c r="C69" s="39">
        <v>2</v>
      </c>
      <c r="D69" s="39">
        <v>2</v>
      </c>
      <c r="E69" s="39">
        <v>1</v>
      </c>
      <c r="F69" s="194">
        <v>4</v>
      </c>
      <c r="G69" s="196">
        <f t="shared" si="3"/>
        <v>25</v>
      </c>
      <c r="H69" s="203">
        <v>0</v>
      </c>
      <c r="I69" s="204">
        <v>0</v>
      </c>
      <c r="J69" s="204">
        <v>0</v>
      </c>
      <c r="K69" s="204">
        <v>0</v>
      </c>
      <c r="L69" s="204">
        <v>0</v>
      </c>
      <c r="M69" s="205">
        <v>0</v>
      </c>
      <c r="N69" s="85">
        <f t="shared" si="1"/>
        <v>25</v>
      </c>
      <c r="O69" s="43">
        <f t="shared" si="2"/>
        <v>41</v>
      </c>
    </row>
    <row r="70" spans="1:15" ht="22.5" customHeight="1" x14ac:dyDescent="0.3">
      <c r="A70" s="190" t="s">
        <v>239</v>
      </c>
      <c r="B70" s="44">
        <v>11</v>
      </c>
      <c r="C70" s="39">
        <v>4</v>
      </c>
      <c r="D70" s="39">
        <v>3</v>
      </c>
      <c r="E70" s="39">
        <v>2</v>
      </c>
      <c r="F70" s="194">
        <v>8</v>
      </c>
      <c r="G70" s="196">
        <f t="shared" si="3"/>
        <v>28</v>
      </c>
      <c r="H70" s="203">
        <v>0</v>
      </c>
      <c r="I70" s="204">
        <v>0</v>
      </c>
      <c r="J70" s="204">
        <v>0</v>
      </c>
      <c r="K70" s="204">
        <v>0</v>
      </c>
      <c r="L70" s="204">
        <v>0</v>
      </c>
      <c r="M70" s="205">
        <v>0</v>
      </c>
      <c r="N70" s="85">
        <f t="shared" si="1"/>
        <v>28</v>
      </c>
      <c r="O70" s="43">
        <f t="shared" si="2"/>
        <v>59.5</v>
      </c>
    </row>
    <row r="71" spans="1:15" ht="22.5" customHeight="1" x14ac:dyDescent="0.3">
      <c r="A71" s="190" t="s">
        <v>240</v>
      </c>
      <c r="B71" s="44">
        <v>9</v>
      </c>
      <c r="C71" s="39">
        <v>2</v>
      </c>
      <c r="D71" s="39">
        <v>2</v>
      </c>
      <c r="E71" s="39">
        <v>1</v>
      </c>
      <c r="F71" s="194">
        <v>4</v>
      </c>
      <c r="G71" s="196">
        <f t="shared" si="3"/>
        <v>18</v>
      </c>
      <c r="H71" s="203">
        <v>0</v>
      </c>
      <c r="I71" s="204">
        <v>0</v>
      </c>
      <c r="J71" s="204">
        <v>0</v>
      </c>
      <c r="K71" s="204">
        <v>0</v>
      </c>
      <c r="L71" s="204">
        <v>0</v>
      </c>
      <c r="M71" s="205">
        <v>0</v>
      </c>
      <c r="N71" s="85">
        <f t="shared" si="1"/>
        <v>18</v>
      </c>
      <c r="O71" s="43">
        <f t="shared" si="2"/>
        <v>34</v>
      </c>
    </row>
    <row r="72" spans="1:15" ht="22.5" customHeight="1" x14ac:dyDescent="0.3">
      <c r="A72" s="190" t="s">
        <v>153</v>
      </c>
      <c r="B72" s="44">
        <v>4</v>
      </c>
      <c r="C72" s="39">
        <v>1</v>
      </c>
      <c r="D72" s="39">
        <v>1</v>
      </c>
      <c r="E72" s="39">
        <v>0</v>
      </c>
      <c r="F72" s="194">
        <v>2</v>
      </c>
      <c r="G72" s="196">
        <f t="shared" ref="G72:G103" si="4">SUM(B72:F72)</f>
        <v>8</v>
      </c>
      <c r="H72" s="203">
        <v>0</v>
      </c>
      <c r="I72" s="204">
        <v>0</v>
      </c>
      <c r="J72" s="204">
        <v>0</v>
      </c>
      <c r="K72" s="204">
        <v>0</v>
      </c>
      <c r="L72" s="204">
        <v>0</v>
      </c>
      <c r="M72" s="205">
        <v>0</v>
      </c>
      <c r="N72" s="85">
        <f t="shared" si="1"/>
        <v>8</v>
      </c>
      <c r="O72" s="43">
        <f t="shared" si="2"/>
        <v>15</v>
      </c>
    </row>
    <row r="73" spans="1:15" ht="22.5" customHeight="1" x14ac:dyDescent="0.3">
      <c r="A73" s="190" t="s">
        <v>154</v>
      </c>
      <c r="B73" s="44">
        <v>7</v>
      </c>
      <c r="C73" s="39">
        <v>0</v>
      </c>
      <c r="D73" s="39">
        <v>2</v>
      </c>
      <c r="E73" s="39">
        <v>2</v>
      </c>
      <c r="F73" s="194">
        <v>0</v>
      </c>
      <c r="G73" s="196">
        <f t="shared" si="4"/>
        <v>11</v>
      </c>
      <c r="H73" s="203">
        <v>0</v>
      </c>
      <c r="I73" s="204">
        <v>0</v>
      </c>
      <c r="J73" s="204">
        <v>0</v>
      </c>
      <c r="K73" s="204">
        <v>0</v>
      </c>
      <c r="L73" s="204">
        <v>0</v>
      </c>
      <c r="M73" s="205">
        <v>0</v>
      </c>
      <c r="N73" s="85">
        <f t="shared" ref="N73:N103" si="5">G73+M73</f>
        <v>11</v>
      </c>
      <c r="O73" s="43">
        <f t="shared" ref="O73:O103" si="6">B73*1+C73*0.5+D73*1.5+E73*3+F73*4.5+H73*0.5+I73*1.5+J73*3+K73*4+L73*8</f>
        <v>16</v>
      </c>
    </row>
    <row r="74" spans="1:15" ht="22.5" customHeight="1" x14ac:dyDescent="0.3">
      <c r="A74" s="190" t="s">
        <v>155</v>
      </c>
      <c r="B74" s="44">
        <v>2</v>
      </c>
      <c r="C74" s="39">
        <v>0</v>
      </c>
      <c r="D74" s="39">
        <v>1</v>
      </c>
      <c r="E74" s="39">
        <v>1</v>
      </c>
      <c r="F74" s="194">
        <v>0</v>
      </c>
      <c r="G74" s="196">
        <f t="shared" si="4"/>
        <v>4</v>
      </c>
      <c r="H74" s="203">
        <v>0</v>
      </c>
      <c r="I74" s="204">
        <v>0</v>
      </c>
      <c r="J74" s="204">
        <v>0</v>
      </c>
      <c r="K74" s="204">
        <v>0</v>
      </c>
      <c r="L74" s="204">
        <v>0</v>
      </c>
      <c r="M74" s="205">
        <v>0</v>
      </c>
      <c r="N74" s="85">
        <f t="shared" si="5"/>
        <v>4</v>
      </c>
      <c r="O74" s="43">
        <f t="shared" si="6"/>
        <v>6.5</v>
      </c>
    </row>
    <row r="75" spans="1:15" ht="22.5" customHeight="1" x14ac:dyDescent="0.3">
      <c r="A75" s="190" t="s">
        <v>156</v>
      </c>
      <c r="B75" s="44">
        <v>3</v>
      </c>
      <c r="C75" s="39">
        <v>2</v>
      </c>
      <c r="D75" s="39">
        <v>0</v>
      </c>
      <c r="E75" s="39">
        <v>0</v>
      </c>
      <c r="F75" s="194">
        <v>2</v>
      </c>
      <c r="G75" s="196">
        <f t="shared" si="4"/>
        <v>7</v>
      </c>
      <c r="H75" s="203">
        <v>0</v>
      </c>
      <c r="I75" s="204">
        <v>0</v>
      </c>
      <c r="J75" s="204">
        <v>0</v>
      </c>
      <c r="K75" s="204">
        <v>0</v>
      </c>
      <c r="L75" s="204">
        <v>0</v>
      </c>
      <c r="M75" s="205">
        <v>0</v>
      </c>
      <c r="N75" s="85">
        <f t="shared" si="5"/>
        <v>7</v>
      </c>
      <c r="O75" s="43">
        <f t="shared" si="6"/>
        <v>13</v>
      </c>
    </row>
    <row r="76" spans="1:15" ht="22.5" customHeight="1" x14ac:dyDescent="0.3">
      <c r="A76" s="190" t="s">
        <v>157</v>
      </c>
      <c r="B76" s="44">
        <v>2</v>
      </c>
      <c r="C76" s="39">
        <v>1</v>
      </c>
      <c r="D76" s="39">
        <v>2</v>
      </c>
      <c r="E76" s="39">
        <v>0</v>
      </c>
      <c r="F76" s="194">
        <v>0</v>
      </c>
      <c r="G76" s="196">
        <f t="shared" si="4"/>
        <v>5</v>
      </c>
      <c r="H76" s="203">
        <v>0</v>
      </c>
      <c r="I76" s="204">
        <v>0</v>
      </c>
      <c r="J76" s="204">
        <v>0</v>
      </c>
      <c r="K76" s="204">
        <v>0</v>
      </c>
      <c r="L76" s="204">
        <v>0</v>
      </c>
      <c r="M76" s="205">
        <v>0</v>
      </c>
      <c r="N76" s="85">
        <f t="shared" si="5"/>
        <v>5</v>
      </c>
      <c r="O76" s="43">
        <f t="shared" si="6"/>
        <v>5.5</v>
      </c>
    </row>
    <row r="77" spans="1:15" ht="22.5" customHeight="1" x14ac:dyDescent="0.3">
      <c r="A77" s="190" t="s">
        <v>158</v>
      </c>
      <c r="B77" s="44">
        <v>1</v>
      </c>
      <c r="C77" s="39">
        <v>0</v>
      </c>
      <c r="D77" s="39">
        <v>1</v>
      </c>
      <c r="E77" s="39">
        <v>0</v>
      </c>
      <c r="F77" s="194">
        <v>0</v>
      </c>
      <c r="G77" s="196">
        <f t="shared" si="4"/>
        <v>2</v>
      </c>
      <c r="H77" s="203">
        <v>0</v>
      </c>
      <c r="I77" s="204">
        <v>0</v>
      </c>
      <c r="J77" s="204">
        <v>0</v>
      </c>
      <c r="K77" s="204">
        <v>0</v>
      </c>
      <c r="L77" s="204">
        <v>0</v>
      </c>
      <c r="M77" s="205">
        <v>0</v>
      </c>
      <c r="N77" s="85">
        <f t="shared" si="5"/>
        <v>2</v>
      </c>
      <c r="O77" s="43">
        <f t="shared" si="6"/>
        <v>2.5</v>
      </c>
    </row>
    <row r="78" spans="1:15" ht="22.5" customHeight="1" x14ac:dyDescent="0.3">
      <c r="A78" s="190" t="s">
        <v>159</v>
      </c>
      <c r="B78" s="44">
        <v>2</v>
      </c>
      <c r="C78" s="39">
        <v>0</v>
      </c>
      <c r="D78" s="39">
        <v>0</v>
      </c>
      <c r="E78" s="39">
        <v>0</v>
      </c>
      <c r="F78" s="194">
        <v>0</v>
      </c>
      <c r="G78" s="196">
        <f t="shared" si="4"/>
        <v>2</v>
      </c>
      <c r="H78" s="203">
        <v>0</v>
      </c>
      <c r="I78" s="204">
        <v>0</v>
      </c>
      <c r="J78" s="204">
        <v>0</v>
      </c>
      <c r="K78" s="204">
        <v>0</v>
      </c>
      <c r="L78" s="204">
        <v>0</v>
      </c>
      <c r="M78" s="205">
        <v>0</v>
      </c>
      <c r="N78" s="85">
        <f t="shared" si="5"/>
        <v>2</v>
      </c>
      <c r="O78" s="43">
        <f t="shared" si="6"/>
        <v>2</v>
      </c>
    </row>
    <row r="79" spans="1:15" ht="22.5" customHeight="1" x14ac:dyDescent="0.3">
      <c r="A79" s="190" t="s">
        <v>160</v>
      </c>
      <c r="B79" s="44">
        <v>1</v>
      </c>
      <c r="C79" s="39">
        <v>0</v>
      </c>
      <c r="D79" s="39">
        <v>0</v>
      </c>
      <c r="E79" s="39">
        <v>0</v>
      </c>
      <c r="F79" s="194">
        <v>0</v>
      </c>
      <c r="G79" s="196">
        <f t="shared" si="4"/>
        <v>1</v>
      </c>
      <c r="H79" s="203">
        <v>0</v>
      </c>
      <c r="I79" s="204">
        <v>0</v>
      </c>
      <c r="J79" s="204">
        <v>0</v>
      </c>
      <c r="K79" s="204">
        <v>0</v>
      </c>
      <c r="L79" s="204">
        <v>0</v>
      </c>
      <c r="M79" s="205">
        <v>0</v>
      </c>
      <c r="N79" s="85">
        <f t="shared" si="5"/>
        <v>1</v>
      </c>
      <c r="O79" s="43">
        <f t="shared" si="6"/>
        <v>1</v>
      </c>
    </row>
    <row r="80" spans="1:15" ht="22.5" customHeight="1" x14ac:dyDescent="0.3">
      <c r="A80" s="190" t="s">
        <v>161</v>
      </c>
      <c r="B80" s="44">
        <v>0</v>
      </c>
      <c r="C80" s="39">
        <v>0</v>
      </c>
      <c r="D80" s="39">
        <v>2</v>
      </c>
      <c r="E80" s="39">
        <v>1</v>
      </c>
      <c r="F80" s="194">
        <v>0</v>
      </c>
      <c r="G80" s="196">
        <f t="shared" si="4"/>
        <v>3</v>
      </c>
      <c r="H80" s="203">
        <v>0</v>
      </c>
      <c r="I80" s="204">
        <v>0</v>
      </c>
      <c r="J80" s="204">
        <v>0</v>
      </c>
      <c r="K80" s="204">
        <v>0</v>
      </c>
      <c r="L80" s="204">
        <v>0</v>
      </c>
      <c r="M80" s="205">
        <v>0</v>
      </c>
      <c r="N80" s="85">
        <f t="shared" si="5"/>
        <v>3</v>
      </c>
      <c r="O80" s="43">
        <f t="shared" si="6"/>
        <v>6</v>
      </c>
    </row>
    <row r="81" spans="1:15" ht="22.5" customHeight="1" x14ac:dyDescent="0.3">
      <c r="A81" s="190" t="s">
        <v>162</v>
      </c>
      <c r="B81" s="44">
        <v>2</v>
      </c>
      <c r="C81" s="39">
        <v>0</v>
      </c>
      <c r="D81" s="39">
        <v>0</v>
      </c>
      <c r="E81" s="39">
        <v>0</v>
      </c>
      <c r="F81" s="194">
        <v>0</v>
      </c>
      <c r="G81" s="196">
        <f t="shared" si="4"/>
        <v>2</v>
      </c>
      <c r="H81" s="203">
        <v>0</v>
      </c>
      <c r="I81" s="204">
        <v>0</v>
      </c>
      <c r="J81" s="204">
        <v>0</v>
      </c>
      <c r="K81" s="204">
        <v>0</v>
      </c>
      <c r="L81" s="204">
        <v>0</v>
      </c>
      <c r="M81" s="205">
        <v>0</v>
      </c>
      <c r="N81" s="85">
        <f t="shared" si="5"/>
        <v>2</v>
      </c>
      <c r="O81" s="43">
        <f t="shared" si="6"/>
        <v>2</v>
      </c>
    </row>
    <row r="82" spans="1:15" ht="22.5" customHeight="1" x14ac:dyDescent="0.3">
      <c r="A82" s="190" t="s">
        <v>163</v>
      </c>
      <c r="B82" s="44">
        <v>4</v>
      </c>
      <c r="C82" s="39">
        <v>0</v>
      </c>
      <c r="D82" s="39">
        <v>0</v>
      </c>
      <c r="E82" s="39">
        <v>0</v>
      </c>
      <c r="F82" s="194">
        <v>0</v>
      </c>
      <c r="G82" s="196">
        <f t="shared" si="4"/>
        <v>4</v>
      </c>
      <c r="H82" s="203">
        <v>0</v>
      </c>
      <c r="I82" s="204">
        <v>0</v>
      </c>
      <c r="J82" s="204">
        <v>0</v>
      </c>
      <c r="K82" s="204">
        <v>0</v>
      </c>
      <c r="L82" s="204">
        <v>0</v>
      </c>
      <c r="M82" s="205">
        <v>0</v>
      </c>
      <c r="N82" s="85">
        <f t="shared" si="5"/>
        <v>4</v>
      </c>
      <c r="O82" s="43">
        <f t="shared" si="6"/>
        <v>4</v>
      </c>
    </row>
    <row r="83" spans="1:15" ht="22.5" customHeight="1" x14ac:dyDescent="0.3">
      <c r="A83" s="190" t="s">
        <v>164</v>
      </c>
      <c r="B83" s="44">
        <v>2</v>
      </c>
      <c r="C83" s="39">
        <v>0</v>
      </c>
      <c r="D83" s="39">
        <v>0</v>
      </c>
      <c r="E83" s="39">
        <v>0</v>
      </c>
      <c r="F83" s="194">
        <v>1</v>
      </c>
      <c r="G83" s="196">
        <f t="shared" si="4"/>
        <v>3</v>
      </c>
      <c r="H83" s="203">
        <v>0</v>
      </c>
      <c r="I83" s="204">
        <v>0</v>
      </c>
      <c r="J83" s="204">
        <v>0</v>
      </c>
      <c r="K83" s="204">
        <v>0</v>
      </c>
      <c r="L83" s="204">
        <v>0</v>
      </c>
      <c r="M83" s="205">
        <v>0</v>
      </c>
      <c r="N83" s="85">
        <f t="shared" si="5"/>
        <v>3</v>
      </c>
      <c r="O83" s="43">
        <f t="shared" si="6"/>
        <v>6.5</v>
      </c>
    </row>
    <row r="84" spans="1:15" ht="22.5" customHeight="1" x14ac:dyDescent="0.3">
      <c r="A84" s="190" t="s">
        <v>165</v>
      </c>
      <c r="B84" s="44">
        <v>1</v>
      </c>
      <c r="C84" s="39">
        <v>0</v>
      </c>
      <c r="D84" s="39">
        <v>0</v>
      </c>
      <c r="E84" s="39">
        <v>0</v>
      </c>
      <c r="F84" s="194">
        <v>0</v>
      </c>
      <c r="G84" s="196">
        <f t="shared" si="4"/>
        <v>1</v>
      </c>
      <c r="H84" s="203">
        <v>0</v>
      </c>
      <c r="I84" s="204">
        <v>0</v>
      </c>
      <c r="J84" s="204">
        <v>0</v>
      </c>
      <c r="K84" s="204">
        <v>0</v>
      </c>
      <c r="L84" s="204">
        <v>0</v>
      </c>
      <c r="M84" s="205">
        <v>0</v>
      </c>
      <c r="N84" s="85">
        <f t="shared" si="5"/>
        <v>1</v>
      </c>
      <c r="O84" s="43">
        <f t="shared" si="6"/>
        <v>1</v>
      </c>
    </row>
    <row r="85" spans="1:15" ht="22.5" customHeight="1" x14ac:dyDescent="0.3">
      <c r="A85" s="190" t="s">
        <v>166</v>
      </c>
      <c r="B85" s="44">
        <v>0</v>
      </c>
      <c r="C85" s="39">
        <v>1</v>
      </c>
      <c r="D85" s="39">
        <v>1</v>
      </c>
      <c r="E85" s="39">
        <v>0</v>
      </c>
      <c r="F85" s="194">
        <v>0</v>
      </c>
      <c r="G85" s="196">
        <f t="shared" si="4"/>
        <v>2</v>
      </c>
      <c r="H85" s="203">
        <v>0</v>
      </c>
      <c r="I85" s="204">
        <v>0</v>
      </c>
      <c r="J85" s="204">
        <v>0</v>
      </c>
      <c r="K85" s="204">
        <v>0</v>
      </c>
      <c r="L85" s="204">
        <v>0</v>
      </c>
      <c r="M85" s="205">
        <v>0</v>
      </c>
      <c r="N85" s="85">
        <f t="shared" si="5"/>
        <v>2</v>
      </c>
      <c r="O85" s="43">
        <f t="shared" si="6"/>
        <v>2</v>
      </c>
    </row>
    <row r="86" spans="1:15" ht="22.5" customHeight="1" x14ac:dyDescent="0.3">
      <c r="A86" s="190" t="s">
        <v>167</v>
      </c>
      <c r="B86" s="44">
        <v>2</v>
      </c>
      <c r="C86" s="39">
        <v>0</v>
      </c>
      <c r="D86" s="39">
        <v>0</v>
      </c>
      <c r="E86" s="39">
        <v>0</v>
      </c>
      <c r="F86" s="194">
        <v>0</v>
      </c>
      <c r="G86" s="196">
        <f t="shared" si="4"/>
        <v>2</v>
      </c>
      <c r="H86" s="203">
        <v>0</v>
      </c>
      <c r="I86" s="204">
        <v>0</v>
      </c>
      <c r="J86" s="204">
        <v>0</v>
      </c>
      <c r="K86" s="204">
        <v>0</v>
      </c>
      <c r="L86" s="204">
        <v>0</v>
      </c>
      <c r="M86" s="205">
        <v>0</v>
      </c>
      <c r="N86" s="85">
        <f t="shared" si="5"/>
        <v>2</v>
      </c>
      <c r="O86" s="43">
        <f t="shared" si="6"/>
        <v>2</v>
      </c>
    </row>
    <row r="87" spans="1:15" ht="22.5" customHeight="1" x14ac:dyDescent="0.3">
      <c r="A87" s="190" t="s">
        <v>168</v>
      </c>
      <c r="B87" s="44">
        <v>1</v>
      </c>
      <c r="C87" s="39">
        <v>1</v>
      </c>
      <c r="D87" s="39">
        <v>0</v>
      </c>
      <c r="E87" s="39">
        <v>0</v>
      </c>
      <c r="F87" s="194">
        <v>0</v>
      </c>
      <c r="G87" s="196">
        <f t="shared" si="4"/>
        <v>2</v>
      </c>
      <c r="H87" s="203">
        <v>0</v>
      </c>
      <c r="I87" s="204">
        <v>0</v>
      </c>
      <c r="J87" s="204">
        <v>0</v>
      </c>
      <c r="K87" s="204">
        <v>0</v>
      </c>
      <c r="L87" s="204">
        <v>0</v>
      </c>
      <c r="M87" s="205">
        <v>0</v>
      </c>
      <c r="N87" s="85">
        <f t="shared" si="5"/>
        <v>2</v>
      </c>
      <c r="O87" s="43">
        <f t="shared" si="6"/>
        <v>1.5</v>
      </c>
    </row>
    <row r="88" spans="1:15" ht="22.5" customHeight="1" x14ac:dyDescent="0.3">
      <c r="A88" s="190" t="s">
        <v>169</v>
      </c>
      <c r="B88" s="44">
        <v>2</v>
      </c>
      <c r="C88" s="39">
        <v>0</v>
      </c>
      <c r="D88" s="39">
        <v>0</v>
      </c>
      <c r="E88" s="39">
        <v>0</v>
      </c>
      <c r="F88" s="194">
        <v>0</v>
      </c>
      <c r="G88" s="196">
        <f t="shared" si="4"/>
        <v>2</v>
      </c>
      <c r="H88" s="203">
        <v>0</v>
      </c>
      <c r="I88" s="204">
        <v>0</v>
      </c>
      <c r="J88" s="204">
        <v>0</v>
      </c>
      <c r="K88" s="204">
        <v>0</v>
      </c>
      <c r="L88" s="204">
        <v>0</v>
      </c>
      <c r="M88" s="205">
        <v>0</v>
      </c>
      <c r="N88" s="85">
        <f t="shared" si="5"/>
        <v>2</v>
      </c>
      <c r="O88" s="43">
        <f t="shared" si="6"/>
        <v>2</v>
      </c>
    </row>
    <row r="89" spans="1:15" ht="22.5" customHeight="1" x14ac:dyDescent="0.3">
      <c r="A89" s="190" t="s">
        <v>170</v>
      </c>
      <c r="B89" s="44">
        <v>3</v>
      </c>
      <c r="C89" s="39">
        <v>1</v>
      </c>
      <c r="D89" s="39">
        <v>0</v>
      </c>
      <c r="E89" s="39">
        <v>0</v>
      </c>
      <c r="F89" s="194">
        <v>0</v>
      </c>
      <c r="G89" s="196">
        <f t="shared" si="4"/>
        <v>4</v>
      </c>
      <c r="H89" s="203">
        <v>0</v>
      </c>
      <c r="I89" s="204">
        <v>0</v>
      </c>
      <c r="J89" s="204">
        <v>0</v>
      </c>
      <c r="K89" s="204">
        <v>0</v>
      </c>
      <c r="L89" s="204">
        <v>0</v>
      </c>
      <c r="M89" s="205">
        <v>0</v>
      </c>
      <c r="N89" s="85">
        <f t="shared" si="5"/>
        <v>4</v>
      </c>
      <c r="O89" s="43">
        <f t="shared" si="6"/>
        <v>3.5</v>
      </c>
    </row>
    <row r="90" spans="1:15" ht="22.5" customHeight="1" x14ac:dyDescent="0.3">
      <c r="A90" s="190" t="s">
        <v>171</v>
      </c>
      <c r="B90" s="44">
        <v>2</v>
      </c>
      <c r="C90" s="39">
        <v>0</v>
      </c>
      <c r="D90" s="39">
        <v>0</v>
      </c>
      <c r="E90" s="39">
        <v>0</v>
      </c>
      <c r="F90" s="194">
        <v>1</v>
      </c>
      <c r="G90" s="196">
        <f t="shared" si="4"/>
        <v>3</v>
      </c>
      <c r="H90" s="203">
        <v>0</v>
      </c>
      <c r="I90" s="204">
        <v>0</v>
      </c>
      <c r="J90" s="204">
        <v>0</v>
      </c>
      <c r="K90" s="204">
        <v>0</v>
      </c>
      <c r="L90" s="204">
        <v>0</v>
      </c>
      <c r="M90" s="205">
        <v>0</v>
      </c>
      <c r="N90" s="85">
        <f t="shared" si="5"/>
        <v>3</v>
      </c>
      <c r="O90" s="43">
        <f t="shared" si="6"/>
        <v>6.5</v>
      </c>
    </row>
    <row r="91" spans="1:15" ht="22.5" customHeight="1" x14ac:dyDescent="0.3">
      <c r="A91" s="190" t="s">
        <v>172</v>
      </c>
      <c r="B91" s="44">
        <v>7</v>
      </c>
      <c r="C91" s="39">
        <v>0</v>
      </c>
      <c r="D91" s="39">
        <v>0</v>
      </c>
      <c r="E91" s="39">
        <v>0</v>
      </c>
      <c r="F91" s="194">
        <v>0</v>
      </c>
      <c r="G91" s="196">
        <f t="shared" si="4"/>
        <v>7</v>
      </c>
      <c r="H91" s="203">
        <v>0</v>
      </c>
      <c r="I91" s="204">
        <v>0</v>
      </c>
      <c r="J91" s="204">
        <v>0</v>
      </c>
      <c r="K91" s="204">
        <v>0</v>
      </c>
      <c r="L91" s="204">
        <v>0</v>
      </c>
      <c r="M91" s="205">
        <v>0</v>
      </c>
      <c r="N91" s="85">
        <f t="shared" si="5"/>
        <v>7</v>
      </c>
      <c r="O91" s="43">
        <f t="shared" si="6"/>
        <v>7</v>
      </c>
    </row>
    <row r="92" spans="1:15" ht="22.5" customHeight="1" x14ac:dyDescent="0.3">
      <c r="A92" s="190" t="s">
        <v>173</v>
      </c>
      <c r="B92" s="44">
        <v>4</v>
      </c>
      <c r="C92" s="39">
        <v>2</v>
      </c>
      <c r="D92" s="39">
        <v>0</v>
      </c>
      <c r="E92" s="39">
        <v>0</v>
      </c>
      <c r="F92" s="194">
        <v>0</v>
      </c>
      <c r="G92" s="196">
        <f t="shared" si="4"/>
        <v>6</v>
      </c>
      <c r="H92" s="203">
        <v>0</v>
      </c>
      <c r="I92" s="204">
        <v>0</v>
      </c>
      <c r="J92" s="204">
        <v>0</v>
      </c>
      <c r="K92" s="204">
        <v>0</v>
      </c>
      <c r="L92" s="204">
        <v>0</v>
      </c>
      <c r="M92" s="205">
        <v>0</v>
      </c>
      <c r="N92" s="85">
        <f t="shared" si="5"/>
        <v>6</v>
      </c>
      <c r="O92" s="43">
        <f t="shared" si="6"/>
        <v>5</v>
      </c>
    </row>
    <row r="93" spans="1:15" ht="22.5" customHeight="1" x14ac:dyDescent="0.3">
      <c r="A93" s="190" t="s">
        <v>174</v>
      </c>
      <c r="B93" s="44">
        <v>5</v>
      </c>
      <c r="C93" s="39">
        <v>1</v>
      </c>
      <c r="D93" s="39">
        <v>0</v>
      </c>
      <c r="E93" s="39">
        <v>0</v>
      </c>
      <c r="F93" s="194">
        <v>1</v>
      </c>
      <c r="G93" s="196">
        <f t="shared" si="4"/>
        <v>7</v>
      </c>
      <c r="H93" s="203">
        <v>0</v>
      </c>
      <c r="I93" s="204">
        <v>0</v>
      </c>
      <c r="J93" s="204">
        <v>0</v>
      </c>
      <c r="K93" s="204">
        <v>0</v>
      </c>
      <c r="L93" s="204">
        <v>0</v>
      </c>
      <c r="M93" s="205">
        <v>0</v>
      </c>
      <c r="N93" s="85">
        <f t="shared" si="5"/>
        <v>7</v>
      </c>
      <c r="O93" s="43">
        <f t="shared" si="6"/>
        <v>10</v>
      </c>
    </row>
    <row r="94" spans="1:15" ht="22.5" customHeight="1" x14ac:dyDescent="0.3">
      <c r="A94" s="190" t="s">
        <v>175</v>
      </c>
      <c r="B94" s="44">
        <v>12</v>
      </c>
      <c r="C94" s="39">
        <v>3</v>
      </c>
      <c r="D94" s="39">
        <v>1</v>
      </c>
      <c r="E94" s="39">
        <v>0</v>
      </c>
      <c r="F94" s="194">
        <v>2</v>
      </c>
      <c r="G94" s="196">
        <f t="shared" si="4"/>
        <v>18</v>
      </c>
      <c r="H94" s="203">
        <v>0</v>
      </c>
      <c r="I94" s="204">
        <v>0</v>
      </c>
      <c r="J94" s="204">
        <v>0</v>
      </c>
      <c r="K94" s="204">
        <v>0</v>
      </c>
      <c r="L94" s="204">
        <v>0</v>
      </c>
      <c r="M94" s="205">
        <v>0</v>
      </c>
      <c r="N94" s="85">
        <f t="shared" si="5"/>
        <v>18</v>
      </c>
      <c r="O94" s="43">
        <f t="shared" si="6"/>
        <v>24</v>
      </c>
    </row>
    <row r="95" spans="1:15" ht="22.5" customHeight="1" x14ac:dyDescent="0.3">
      <c r="A95" s="190" t="s">
        <v>176</v>
      </c>
      <c r="B95" s="44">
        <v>17</v>
      </c>
      <c r="C95" s="39">
        <v>2</v>
      </c>
      <c r="D95" s="39">
        <v>0</v>
      </c>
      <c r="E95" s="39">
        <v>0</v>
      </c>
      <c r="F95" s="194">
        <v>3</v>
      </c>
      <c r="G95" s="196">
        <f t="shared" si="4"/>
        <v>22</v>
      </c>
      <c r="H95" s="203">
        <v>0</v>
      </c>
      <c r="I95" s="204">
        <v>0</v>
      </c>
      <c r="J95" s="204">
        <v>0</v>
      </c>
      <c r="K95" s="204">
        <v>0</v>
      </c>
      <c r="L95" s="204">
        <v>0</v>
      </c>
      <c r="M95" s="205">
        <v>0</v>
      </c>
      <c r="N95" s="85">
        <f t="shared" si="5"/>
        <v>22</v>
      </c>
      <c r="O95" s="43">
        <f t="shared" si="6"/>
        <v>31.5</v>
      </c>
    </row>
    <row r="96" spans="1:15" ht="22.5" customHeight="1" x14ac:dyDescent="0.3">
      <c r="A96" s="190" t="s">
        <v>135</v>
      </c>
      <c r="B96" s="44">
        <v>33</v>
      </c>
      <c r="C96" s="39">
        <v>6</v>
      </c>
      <c r="D96" s="39">
        <v>1</v>
      </c>
      <c r="E96" s="39">
        <v>0</v>
      </c>
      <c r="F96" s="194">
        <v>1</v>
      </c>
      <c r="G96" s="196">
        <f t="shared" si="4"/>
        <v>41</v>
      </c>
      <c r="H96" s="203">
        <v>0</v>
      </c>
      <c r="I96" s="204">
        <v>0</v>
      </c>
      <c r="J96" s="204">
        <v>0</v>
      </c>
      <c r="K96" s="204">
        <v>0</v>
      </c>
      <c r="L96" s="204">
        <v>0</v>
      </c>
      <c r="M96" s="205">
        <v>0</v>
      </c>
      <c r="N96" s="85">
        <f t="shared" si="5"/>
        <v>41</v>
      </c>
      <c r="O96" s="43">
        <f t="shared" si="6"/>
        <v>42</v>
      </c>
    </row>
    <row r="97" spans="1:15" ht="22.5" customHeight="1" x14ac:dyDescent="0.3">
      <c r="A97" s="190" t="s">
        <v>136</v>
      </c>
      <c r="B97" s="44">
        <v>54</v>
      </c>
      <c r="C97" s="39">
        <v>4</v>
      </c>
      <c r="D97" s="39">
        <v>0</v>
      </c>
      <c r="E97" s="39">
        <v>1</v>
      </c>
      <c r="F97" s="194">
        <v>2</v>
      </c>
      <c r="G97" s="196">
        <f t="shared" si="4"/>
        <v>61</v>
      </c>
      <c r="H97" s="203">
        <v>0</v>
      </c>
      <c r="I97" s="204">
        <v>0</v>
      </c>
      <c r="J97" s="204">
        <v>0</v>
      </c>
      <c r="K97" s="204">
        <v>0</v>
      </c>
      <c r="L97" s="204">
        <v>0</v>
      </c>
      <c r="M97" s="205">
        <v>0</v>
      </c>
      <c r="N97" s="85">
        <f t="shared" si="5"/>
        <v>61</v>
      </c>
      <c r="O97" s="43">
        <f t="shared" si="6"/>
        <v>68</v>
      </c>
    </row>
    <row r="98" spans="1:15" ht="22.5" customHeight="1" x14ac:dyDescent="0.3">
      <c r="A98" s="190" t="s">
        <v>137</v>
      </c>
      <c r="B98" s="44">
        <v>78</v>
      </c>
      <c r="C98" s="39">
        <v>5</v>
      </c>
      <c r="D98" s="39">
        <v>0</v>
      </c>
      <c r="E98" s="39">
        <v>0</v>
      </c>
      <c r="F98" s="194">
        <v>0</v>
      </c>
      <c r="G98" s="196">
        <f t="shared" si="4"/>
        <v>83</v>
      </c>
      <c r="H98" s="203">
        <v>0</v>
      </c>
      <c r="I98" s="204">
        <v>0</v>
      </c>
      <c r="J98" s="204">
        <v>0</v>
      </c>
      <c r="K98" s="204">
        <v>0</v>
      </c>
      <c r="L98" s="204">
        <v>0</v>
      </c>
      <c r="M98" s="205">
        <v>0</v>
      </c>
      <c r="N98" s="85">
        <f t="shared" si="5"/>
        <v>83</v>
      </c>
      <c r="O98" s="43">
        <f t="shared" si="6"/>
        <v>80.5</v>
      </c>
    </row>
    <row r="99" spans="1:15" ht="22.5" customHeight="1" x14ac:dyDescent="0.3">
      <c r="A99" s="190" t="s">
        <v>138</v>
      </c>
      <c r="B99" s="44">
        <v>95</v>
      </c>
      <c r="C99" s="39">
        <v>11</v>
      </c>
      <c r="D99" s="39">
        <v>1</v>
      </c>
      <c r="E99" s="39">
        <v>0</v>
      </c>
      <c r="F99" s="194">
        <v>1</v>
      </c>
      <c r="G99" s="196">
        <f t="shared" si="4"/>
        <v>108</v>
      </c>
      <c r="H99" s="203">
        <v>0</v>
      </c>
      <c r="I99" s="204">
        <v>0</v>
      </c>
      <c r="J99" s="204">
        <v>0</v>
      </c>
      <c r="K99" s="204">
        <v>0</v>
      </c>
      <c r="L99" s="204">
        <v>0</v>
      </c>
      <c r="M99" s="205">
        <v>0</v>
      </c>
      <c r="N99" s="85">
        <f t="shared" si="5"/>
        <v>108</v>
      </c>
      <c r="O99" s="43">
        <f t="shared" si="6"/>
        <v>106.5</v>
      </c>
    </row>
    <row r="100" spans="1:15" ht="22.5" customHeight="1" x14ac:dyDescent="0.3">
      <c r="A100" s="190" t="s">
        <v>139</v>
      </c>
      <c r="B100" s="44">
        <v>108</v>
      </c>
      <c r="C100" s="39">
        <v>15</v>
      </c>
      <c r="D100" s="39">
        <v>2</v>
      </c>
      <c r="E100" s="39">
        <v>0</v>
      </c>
      <c r="F100" s="194">
        <v>2</v>
      </c>
      <c r="G100" s="196">
        <f t="shared" si="4"/>
        <v>127</v>
      </c>
      <c r="H100" s="203">
        <v>1</v>
      </c>
      <c r="I100" s="204">
        <v>0</v>
      </c>
      <c r="J100" s="204">
        <v>0</v>
      </c>
      <c r="K100" s="204">
        <v>0</v>
      </c>
      <c r="L100" s="204">
        <v>0</v>
      </c>
      <c r="M100" s="205">
        <v>0</v>
      </c>
      <c r="N100" s="85">
        <f t="shared" si="5"/>
        <v>127</v>
      </c>
      <c r="O100" s="43">
        <f t="shared" si="6"/>
        <v>128</v>
      </c>
    </row>
    <row r="101" spans="1:15" ht="22.5" customHeight="1" x14ac:dyDescent="0.3">
      <c r="A101" s="190" t="s">
        <v>140</v>
      </c>
      <c r="B101" s="44">
        <v>128</v>
      </c>
      <c r="C101" s="39">
        <v>25</v>
      </c>
      <c r="D101" s="39">
        <v>3</v>
      </c>
      <c r="E101" s="39">
        <v>1</v>
      </c>
      <c r="F101" s="194">
        <v>4</v>
      </c>
      <c r="G101" s="196">
        <f t="shared" si="4"/>
        <v>161</v>
      </c>
      <c r="H101" s="203">
        <v>0</v>
      </c>
      <c r="I101" s="204">
        <v>0</v>
      </c>
      <c r="J101" s="204">
        <v>0</v>
      </c>
      <c r="K101" s="204">
        <v>0</v>
      </c>
      <c r="L101" s="204">
        <v>0</v>
      </c>
      <c r="M101" s="205">
        <v>0</v>
      </c>
      <c r="N101" s="85">
        <f t="shared" si="5"/>
        <v>161</v>
      </c>
      <c r="O101" s="43">
        <f t="shared" si="6"/>
        <v>166</v>
      </c>
    </row>
    <row r="102" spans="1:15" ht="22.5" customHeight="1" x14ac:dyDescent="0.3">
      <c r="A102" s="190" t="s">
        <v>141</v>
      </c>
      <c r="B102" s="44">
        <v>152</v>
      </c>
      <c r="C102" s="39">
        <v>37</v>
      </c>
      <c r="D102" s="39">
        <v>4</v>
      </c>
      <c r="E102" s="39">
        <v>2</v>
      </c>
      <c r="F102" s="194">
        <v>2</v>
      </c>
      <c r="G102" s="196">
        <f t="shared" si="4"/>
        <v>197</v>
      </c>
      <c r="H102" s="203">
        <v>0</v>
      </c>
      <c r="I102" s="204">
        <v>0</v>
      </c>
      <c r="J102" s="204">
        <v>0</v>
      </c>
      <c r="K102" s="204">
        <v>0</v>
      </c>
      <c r="L102" s="204">
        <v>0</v>
      </c>
      <c r="M102" s="205">
        <v>0</v>
      </c>
      <c r="N102" s="85">
        <f t="shared" si="5"/>
        <v>197</v>
      </c>
      <c r="O102" s="43">
        <f t="shared" si="6"/>
        <v>191.5</v>
      </c>
    </row>
    <row r="103" spans="1:15" ht="22.5" customHeight="1" thickBot="1" x14ac:dyDescent="0.35">
      <c r="A103" s="191" t="s">
        <v>142</v>
      </c>
      <c r="B103" s="46">
        <v>177</v>
      </c>
      <c r="C103" s="47">
        <v>45</v>
      </c>
      <c r="D103" s="47">
        <v>2</v>
      </c>
      <c r="E103" s="47">
        <v>1</v>
      </c>
      <c r="F103" s="195">
        <v>6</v>
      </c>
      <c r="G103" s="197">
        <f t="shared" si="4"/>
        <v>231</v>
      </c>
      <c r="H103" s="206">
        <v>0</v>
      </c>
      <c r="I103" s="207">
        <v>0</v>
      </c>
      <c r="J103" s="207">
        <v>0</v>
      </c>
      <c r="K103" s="207">
        <v>0</v>
      </c>
      <c r="L103" s="207">
        <v>0</v>
      </c>
      <c r="M103" s="208">
        <v>0</v>
      </c>
      <c r="N103" s="116">
        <f t="shared" si="5"/>
        <v>231</v>
      </c>
      <c r="O103" s="84">
        <f t="shared" si="6"/>
        <v>232.5</v>
      </c>
    </row>
    <row r="104" spans="1:15" ht="22.5" customHeight="1" thickBot="1" x14ac:dyDescent="0.35">
      <c r="A104" s="86" t="s">
        <v>11</v>
      </c>
      <c r="B104" s="117">
        <f t="shared" ref="B104:N104" si="7">SUM(B8:B103)</f>
        <v>6361</v>
      </c>
      <c r="C104" s="117">
        <f t="shared" si="7"/>
        <v>1717</v>
      </c>
      <c r="D104" s="117">
        <f t="shared" si="7"/>
        <v>357</v>
      </c>
      <c r="E104" s="118">
        <f t="shared" si="7"/>
        <v>114</v>
      </c>
      <c r="F104" s="118">
        <f t="shared" si="7"/>
        <v>548</v>
      </c>
      <c r="G104" s="94">
        <f t="shared" si="7"/>
        <v>9097</v>
      </c>
      <c r="H104" s="117">
        <f t="shared" si="7"/>
        <v>2</v>
      </c>
      <c r="I104" s="117">
        <f t="shared" si="7"/>
        <v>0</v>
      </c>
      <c r="J104" s="117">
        <f t="shared" si="7"/>
        <v>0</v>
      </c>
      <c r="K104" s="118">
        <f t="shared" si="7"/>
        <v>0</v>
      </c>
      <c r="L104" s="118">
        <f t="shared" si="7"/>
        <v>1</v>
      </c>
      <c r="M104" s="199">
        <f>SUM(M8:M103)</f>
        <v>3</v>
      </c>
      <c r="N104" s="95">
        <f t="shared" si="7"/>
        <v>9100</v>
      </c>
      <c r="O104" s="142">
        <f>SUM(O8:O103)</f>
        <v>10572</v>
      </c>
    </row>
    <row r="105" spans="1:15" ht="22.5" customHeight="1" thickBot="1" x14ac:dyDescent="0.35">
      <c r="A105" s="41" t="s">
        <v>143</v>
      </c>
      <c r="B105" s="88">
        <f>+B104*1</f>
        <v>6361</v>
      </c>
      <c r="C105" s="88">
        <f>+C104*0.5</f>
        <v>858.5</v>
      </c>
      <c r="D105" s="88">
        <f>+D104*1.5</f>
        <v>535.5</v>
      </c>
      <c r="E105" s="88">
        <f>+E104*3</f>
        <v>342</v>
      </c>
      <c r="F105" s="89">
        <f>+F104*4.5</f>
        <v>2466</v>
      </c>
      <c r="G105" s="90">
        <f>SUM(B105:F105)</f>
        <v>10563</v>
      </c>
      <c r="H105" s="88">
        <f>+H104*0.5</f>
        <v>1</v>
      </c>
      <c r="I105" s="89">
        <f>+I104*1.5</f>
        <v>0</v>
      </c>
      <c r="J105" s="89">
        <f>+J104*3</f>
        <v>0</v>
      </c>
      <c r="K105" s="96">
        <f>+K104*4</f>
        <v>0</v>
      </c>
      <c r="L105" s="96">
        <f>+L104*8</f>
        <v>8</v>
      </c>
      <c r="M105" s="147">
        <f>SUM(H105:L105)</f>
        <v>9</v>
      </c>
      <c r="N105" s="91"/>
      <c r="O105" s="92">
        <f>G105+M105</f>
        <v>10572</v>
      </c>
    </row>
    <row r="106" spans="1:15" ht="22.5" customHeight="1" thickBot="1" x14ac:dyDescent="0.35">
      <c r="A106" s="42" t="s">
        <v>12</v>
      </c>
      <c r="B106" s="93">
        <f t="shared" ref="B106:N106" si="8">B104/$N$104</f>
        <v>0.69901098901098901</v>
      </c>
      <c r="C106" s="93">
        <f t="shared" si="8"/>
        <v>0.18868131868131868</v>
      </c>
      <c r="D106" s="93">
        <f t="shared" si="8"/>
        <v>3.9230769230769229E-2</v>
      </c>
      <c r="E106" s="93">
        <f t="shared" si="8"/>
        <v>1.2527472527472527E-2</v>
      </c>
      <c r="F106" s="93">
        <f t="shared" si="8"/>
        <v>6.0219780219780222E-2</v>
      </c>
      <c r="G106" s="98">
        <f t="shared" si="8"/>
        <v>0.99967032967032965</v>
      </c>
      <c r="H106" s="93">
        <f t="shared" si="8"/>
        <v>2.1978021978021978E-4</v>
      </c>
      <c r="I106" s="93">
        <f t="shared" si="8"/>
        <v>0</v>
      </c>
      <c r="J106" s="93">
        <f t="shared" si="8"/>
        <v>0</v>
      </c>
      <c r="K106" s="97">
        <f t="shared" si="8"/>
        <v>0</v>
      </c>
      <c r="L106" s="97">
        <f t="shared" si="8"/>
        <v>1.0989010989010989E-4</v>
      </c>
      <c r="M106" s="98">
        <f t="shared" si="8"/>
        <v>3.2967032967032967E-4</v>
      </c>
      <c r="N106" s="99">
        <f t="shared" si="8"/>
        <v>1</v>
      </c>
      <c r="O106" s="94"/>
    </row>
    <row r="108" spans="1:15" s="4" customFormat="1" x14ac:dyDescent="0.3">
      <c r="A108" s="4" t="s">
        <v>103</v>
      </c>
      <c r="B108" s="4" t="str">
        <f>B2</f>
        <v>TMC-14 Number (D2)</v>
      </c>
    </row>
    <row r="109" spans="1:15" s="4" customFormat="1" x14ac:dyDescent="0.3">
      <c r="A109" s="4" t="s">
        <v>102</v>
      </c>
      <c r="B109" s="4" t="str">
        <f>B3</f>
        <v>D2</v>
      </c>
    </row>
    <row r="110" spans="1:15" s="4" customFormat="1" x14ac:dyDescent="0.3">
      <c r="A110" s="4" t="s">
        <v>104</v>
      </c>
      <c r="B110" s="4" t="str">
        <f>B4</f>
        <v>Nindar</v>
      </c>
      <c r="D110" s="4" t="str">
        <f>D4</f>
        <v>To:</v>
      </c>
    </row>
    <row r="111" spans="1:15" ht="16.2" thickBot="1" x14ac:dyDescent="0.35"/>
    <row r="112" spans="1:15" ht="25.2" customHeight="1" x14ac:dyDescent="0.3">
      <c r="A112" s="252" t="s">
        <v>95</v>
      </c>
      <c r="B112" s="258" t="s">
        <v>280</v>
      </c>
      <c r="C112" s="254" t="s">
        <v>281</v>
      </c>
      <c r="D112" s="250" t="s">
        <v>282</v>
      </c>
      <c r="E112" s="260" t="s">
        <v>283</v>
      </c>
      <c r="F112" s="256" t="s">
        <v>284</v>
      </c>
      <c r="G112" s="250" t="s">
        <v>129</v>
      </c>
      <c r="H112" s="248" t="s">
        <v>150</v>
      </c>
      <c r="I112" s="250" t="s">
        <v>151</v>
      </c>
      <c r="J112" s="250" t="s">
        <v>285</v>
      </c>
      <c r="K112" s="248" t="s">
        <v>286</v>
      </c>
      <c r="L112" s="250" t="s">
        <v>287</v>
      </c>
      <c r="M112" s="250" t="s">
        <v>78</v>
      </c>
      <c r="N112" s="250" t="s">
        <v>131</v>
      </c>
      <c r="O112" s="250" t="s">
        <v>132</v>
      </c>
    </row>
    <row r="113" spans="1:15" ht="43.5" customHeight="1" thickBot="1" x14ac:dyDescent="0.35">
      <c r="A113" s="253"/>
      <c r="B113" s="259"/>
      <c r="C113" s="255"/>
      <c r="D113" s="251"/>
      <c r="E113" s="261"/>
      <c r="F113" s="257"/>
      <c r="G113" s="259"/>
      <c r="H113" s="249"/>
      <c r="I113" s="251"/>
      <c r="J113" s="251"/>
      <c r="K113" s="249"/>
      <c r="L113" s="251"/>
      <c r="M113" s="251"/>
      <c r="N113" s="251"/>
      <c r="O113" s="251"/>
    </row>
    <row r="114" spans="1:15" ht="22.95" customHeight="1" x14ac:dyDescent="0.3">
      <c r="A114" s="52" t="s">
        <v>15</v>
      </c>
      <c r="B114" s="112">
        <f>B8+B9+B10+B11</f>
        <v>405</v>
      </c>
      <c r="C114" s="113">
        <f t="shared" ref="C114:F115" si="9">C8+C9+C10+C11</f>
        <v>341</v>
      </c>
      <c r="D114" s="113">
        <f t="shared" si="9"/>
        <v>23</v>
      </c>
      <c r="E114" s="113">
        <f t="shared" si="9"/>
        <v>2</v>
      </c>
      <c r="F114" s="113">
        <f t="shared" si="9"/>
        <v>23</v>
      </c>
      <c r="G114" s="49">
        <f t="shared" ref="G114:G145" si="10">SUM(B114:F114)</f>
        <v>794</v>
      </c>
      <c r="H114" s="112">
        <f t="shared" ref="H114" si="11">H8+H9+H10+H11</f>
        <v>1</v>
      </c>
      <c r="I114" s="113">
        <f t="shared" ref="I114:L114" si="12">I8+I9+I10+I11</f>
        <v>0</v>
      </c>
      <c r="J114" s="113">
        <f t="shared" si="12"/>
        <v>0</v>
      </c>
      <c r="K114" s="114">
        <f t="shared" si="12"/>
        <v>0</v>
      </c>
      <c r="L114" s="143">
        <f t="shared" si="12"/>
        <v>0</v>
      </c>
      <c r="M114" s="49">
        <f>SUM(H114:K114)</f>
        <v>1</v>
      </c>
      <c r="N114" s="40">
        <f>G114+M114</f>
        <v>795</v>
      </c>
      <c r="O114" s="115">
        <f>B114*1+C114*0.5+D114*1.5+E114*3+F114*4.5+H114*0.5+I114*1.5+J114*3+K114*4+L114*8</f>
        <v>720</v>
      </c>
    </row>
    <row r="115" spans="1:15" ht="22.95" customHeight="1" x14ac:dyDescent="0.3">
      <c r="A115" s="52" t="s">
        <v>16</v>
      </c>
      <c r="B115" s="44">
        <f>B9+B10+B11+B12</f>
        <v>370</v>
      </c>
      <c r="C115" s="39">
        <f t="shared" si="9"/>
        <v>353</v>
      </c>
      <c r="D115" s="39">
        <f t="shared" si="9"/>
        <v>20</v>
      </c>
      <c r="E115" s="39">
        <f t="shared" si="9"/>
        <v>3</v>
      </c>
      <c r="F115" s="39">
        <f t="shared" si="9"/>
        <v>22</v>
      </c>
      <c r="G115" s="50">
        <f t="shared" si="10"/>
        <v>768</v>
      </c>
      <c r="H115" s="44">
        <f t="shared" ref="H115:L115" si="13">H9+H10+H11+H12</f>
        <v>1</v>
      </c>
      <c r="I115" s="39">
        <f t="shared" si="13"/>
        <v>0</v>
      </c>
      <c r="J115" s="39">
        <f t="shared" si="13"/>
        <v>0</v>
      </c>
      <c r="K115" s="45">
        <f t="shared" si="13"/>
        <v>0</v>
      </c>
      <c r="L115" s="144">
        <f t="shared" si="13"/>
        <v>0</v>
      </c>
      <c r="M115" s="50">
        <f t="shared" ref="M115:M178" si="14">SUM(H115:K115)</f>
        <v>1</v>
      </c>
      <c r="N115" s="40">
        <f t="shared" ref="N115:N178" si="15">G115+M115</f>
        <v>769</v>
      </c>
      <c r="O115" s="43">
        <f t="shared" ref="O115:O178" si="16">B115*1+C115*0.5+D115*1.5+E115*3+F115*4.5+H115*0.5+I115*1.5+J115*3+K115*4+L115*8</f>
        <v>685</v>
      </c>
    </row>
    <row r="116" spans="1:15" ht="22.95" customHeight="1" x14ac:dyDescent="0.3">
      <c r="A116" s="52" t="s">
        <v>17</v>
      </c>
      <c r="B116" s="44">
        <f t="shared" ref="B116:F131" si="17">B10+B11+B12+B13</f>
        <v>381</v>
      </c>
      <c r="C116" s="39">
        <f t="shared" si="17"/>
        <v>335</v>
      </c>
      <c r="D116" s="39">
        <f t="shared" si="17"/>
        <v>18</v>
      </c>
      <c r="E116" s="39">
        <f t="shared" si="17"/>
        <v>3</v>
      </c>
      <c r="F116" s="39">
        <f t="shared" si="17"/>
        <v>21</v>
      </c>
      <c r="G116" s="50">
        <f t="shared" si="10"/>
        <v>758</v>
      </c>
      <c r="H116" s="44">
        <f t="shared" ref="H116:L116" si="18">H10+H11+H12+H13</f>
        <v>0</v>
      </c>
      <c r="I116" s="39">
        <f t="shared" si="18"/>
        <v>0</v>
      </c>
      <c r="J116" s="39">
        <f t="shared" si="18"/>
        <v>0</v>
      </c>
      <c r="K116" s="45">
        <f t="shared" si="18"/>
        <v>0</v>
      </c>
      <c r="L116" s="144">
        <f t="shared" si="18"/>
        <v>0</v>
      </c>
      <c r="M116" s="50">
        <f t="shared" si="14"/>
        <v>0</v>
      </c>
      <c r="N116" s="40">
        <f t="shared" si="15"/>
        <v>758</v>
      </c>
      <c r="O116" s="43">
        <f t="shared" si="16"/>
        <v>679</v>
      </c>
    </row>
    <row r="117" spans="1:15" ht="22.95" customHeight="1" x14ac:dyDescent="0.3">
      <c r="A117" s="52" t="s">
        <v>18</v>
      </c>
      <c r="B117" s="44">
        <f t="shared" si="17"/>
        <v>419</v>
      </c>
      <c r="C117" s="39">
        <f t="shared" si="17"/>
        <v>335</v>
      </c>
      <c r="D117" s="39">
        <f t="shared" si="17"/>
        <v>14</v>
      </c>
      <c r="E117" s="39">
        <f t="shared" si="17"/>
        <v>3</v>
      </c>
      <c r="F117" s="39">
        <f t="shared" si="17"/>
        <v>19</v>
      </c>
      <c r="G117" s="50">
        <f t="shared" si="10"/>
        <v>790</v>
      </c>
      <c r="H117" s="44">
        <f t="shared" ref="H117:L117" si="19">H11+H12+H13+H14</f>
        <v>0</v>
      </c>
      <c r="I117" s="39">
        <f t="shared" si="19"/>
        <v>0</v>
      </c>
      <c r="J117" s="39">
        <f t="shared" si="19"/>
        <v>0</v>
      </c>
      <c r="K117" s="45">
        <f t="shared" si="19"/>
        <v>0</v>
      </c>
      <c r="L117" s="144">
        <f t="shared" si="19"/>
        <v>0</v>
      </c>
      <c r="M117" s="50">
        <f t="shared" si="14"/>
        <v>0</v>
      </c>
      <c r="N117" s="40">
        <f t="shared" si="15"/>
        <v>790</v>
      </c>
      <c r="O117" s="43">
        <f t="shared" si="16"/>
        <v>702</v>
      </c>
    </row>
    <row r="118" spans="1:15" ht="22.95" customHeight="1" x14ac:dyDescent="0.3">
      <c r="A118" s="52" t="s">
        <v>19</v>
      </c>
      <c r="B118" s="44">
        <f t="shared" si="17"/>
        <v>504</v>
      </c>
      <c r="C118" s="39">
        <f t="shared" si="17"/>
        <v>369</v>
      </c>
      <c r="D118" s="39">
        <f t="shared" si="17"/>
        <v>15</v>
      </c>
      <c r="E118" s="39">
        <f t="shared" si="17"/>
        <v>4</v>
      </c>
      <c r="F118" s="39">
        <f t="shared" si="17"/>
        <v>27</v>
      </c>
      <c r="G118" s="50">
        <f t="shared" si="10"/>
        <v>919</v>
      </c>
      <c r="H118" s="44">
        <f t="shared" ref="H118:L118" si="20">H12+H13+H14+H15</f>
        <v>0</v>
      </c>
      <c r="I118" s="39">
        <f t="shared" si="20"/>
        <v>0</v>
      </c>
      <c r="J118" s="39">
        <f t="shared" si="20"/>
        <v>0</v>
      </c>
      <c r="K118" s="45">
        <f t="shared" si="20"/>
        <v>0</v>
      </c>
      <c r="L118" s="144">
        <f t="shared" si="20"/>
        <v>0</v>
      </c>
      <c r="M118" s="50">
        <f t="shared" si="14"/>
        <v>0</v>
      </c>
      <c r="N118" s="40">
        <f t="shared" si="15"/>
        <v>919</v>
      </c>
      <c r="O118" s="43">
        <f t="shared" si="16"/>
        <v>844.5</v>
      </c>
    </row>
    <row r="119" spans="1:15" ht="22.95" customHeight="1" x14ac:dyDescent="0.3">
      <c r="A119" s="52" t="s">
        <v>20</v>
      </c>
      <c r="B119" s="44">
        <f t="shared" si="17"/>
        <v>525</v>
      </c>
      <c r="C119" s="39">
        <f t="shared" si="17"/>
        <v>354</v>
      </c>
      <c r="D119" s="39">
        <f t="shared" si="17"/>
        <v>16</v>
      </c>
      <c r="E119" s="39">
        <f t="shared" si="17"/>
        <v>4</v>
      </c>
      <c r="F119" s="39">
        <f t="shared" si="17"/>
        <v>25</v>
      </c>
      <c r="G119" s="50">
        <f t="shared" si="10"/>
        <v>924</v>
      </c>
      <c r="H119" s="44">
        <f t="shared" ref="H119:L119" si="21">H13+H14+H15+H16</f>
        <v>0</v>
      </c>
      <c r="I119" s="39">
        <f t="shared" si="21"/>
        <v>0</v>
      </c>
      <c r="J119" s="39">
        <f t="shared" si="21"/>
        <v>0</v>
      </c>
      <c r="K119" s="45">
        <f t="shared" si="21"/>
        <v>0</v>
      </c>
      <c r="L119" s="144">
        <f t="shared" si="21"/>
        <v>0</v>
      </c>
      <c r="M119" s="50">
        <f t="shared" si="14"/>
        <v>0</v>
      </c>
      <c r="N119" s="40">
        <f t="shared" si="15"/>
        <v>924</v>
      </c>
      <c r="O119" s="43">
        <f t="shared" si="16"/>
        <v>850.5</v>
      </c>
    </row>
    <row r="120" spans="1:15" ht="22.95" customHeight="1" x14ac:dyDescent="0.3">
      <c r="A120" s="52" t="s">
        <v>21</v>
      </c>
      <c r="B120" s="44">
        <f t="shared" si="17"/>
        <v>538</v>
      </c>
      <c r="C120" s="39">
        <f t="shared" si="17"/>
        <v>340</v>
      </c>
      <c r="D120" s="39">
        <f t="shared" si="17"/>
        <v>19</v>
      </c>
      <c r="E120" s="39">
        <f t="shared" si="17"/>
        <v>3</v>
      </c>
      <c r="F120" s="39">
        <f t="shared" si="17"/>
        <v>30</v>
      </c>
      <c r="G120" s="50">
        <f t="shared" si="10"/>
        <v>930</v>
      </c>
      <c r="H120" s="44">
        <f t="shared" ref="H120:L120" si="22">H14+H15+H16+H17</f>
        <v>0</v>
      </c>
      <c r="I120" s="39">
        <f t="shared" si="22"/>
        <v>0</v>
      </c>
      <c r="J120" s="39">
        <f t="shared" si="22"/>
        <v>0</v>
      </c>
      <c r="K120" s="45">
        <f t="shared" si="22"/>
        <v>0</v>
      </c>
      <c r="L120" s="144">
        <f t="shared" si="22"/>
        <v>0</v>
      </c>
      <c r="M120" s="50">
        <f t="shared" si="14"/>
        <v>0</v>
      </c>
      <c r="N120" s="40">
        <f t="shared" si="15"/>
        <v>930</v>
      </c>
      <c r="O120" s="43">
        <f t="shared" si="16"/>
        <v>880.5</v>
      </c>
    </row>
    <row r="121" spans="1:15" ht="22.95" customHeight="1" x14ac:dyDescent="0.3">
      <c r="A121" s="52" t="s">
        <v>22</v>
      </c>
      <c r="B121" s="44">
        <f t="shared" si="17"/>
        <v>518</v>
      </c>
      <c r="C121" s="39">
        <f t="shared" si="17"/>
        <v>262</v>
      </c>
      <c r="D121" s="39">
        <f t="shared" si="17"/>
        <v>21</v>
      </c>
      <c r="E121" s="39">
        <f t="shared" si="17"/>
        <v>3</v>
      </c>
      <c r="F121" s="39">
        <f t="shared" si="17"/>
        <v>32</v>
      </c>
      <c r="G121" s="50">
        <f t="shared" si="10"/>
        <v>836</v>
      </c>
      <c r="H121" s="44">
        <f t="shared" ref="H121:L121" si="23">H15+H16+H17+H18</f>
        <v>0</v>
      </c>
      <c r="I121" s="39">
        <f t="shared" si="23"/>
        <v>0</v>
      </c>
      <c r="J121" s="39">
        <f t="shared" si="23"/>
        <v>0</v>
      </c>
      <c r="K121" s="45">
        <f t="shared" si="23"/>
        <v>0</v>
      </c>
      <c r="L121" s="144">
        <f t="shared" si="23"/>
        <v>0</v>
      </c>
      <c r="M121" s="50">
        <f t="shared" si="14"/>
        <v>0</v>
      </c>
      <c r="N121" s="40">
        <f t="shared" si="15"/>
        <v>836</v>
      </c>
      <c r="O121" s="43">
        <f t="shared" si="16"/>
        <v>833.5</v>
      </c>
    </row>
    <row r="122" spans="1:15" ht="22.95" customHeight="1" x14ac:dyDescent="0.3">
      <c r="A122" s="52" t="s">
        <v>23</v>
      </c>
      <c r="B122" s="44">
        <f t="shared" si="17"/>
        <v>453</v>
      </c>
      <c r="C122" s="39">
        <f t="shared" si="17"/>
        <v>201</v>
      </c>
      <c r="D122" s="39">
        <f t="shared" si="17"/>
        <v>25</v>
      </c>
      <c r="E122" s="39">
        <f t="shared" si="17"/>
        <v>3</v>
      </c>
      <c r="F122" s="39">
        <f t="shared" si="17"/>
        <v>29</v>
      </c>
      <c r="G122" s="50">
        <f t="shared" si="10"/>
        <v>711</v>
      </c>
      <c r="H122" s="44">
        <f t="shared" ref="H122:L122" si="24">H16+H17+H18+H19</f>
        <v>0</v>
      </c>
      <c r="I122" s="39">
        <f t="shared" si="24"/>
        <v>0</v>
      </c>
      <c r="J122" s="39">
        <f t="shared" si="24"/>
        <v>0</v>
      </c>
      <c r="K122" s="45">
        <f t="shared" si="24"/>
        <v>0</v>
      </c>
      <c r="L122" s="144">
        <f t="shared" si="24"/>
        <v>0</v>
      </c>
      <c r="M122" s="50">
        <f t="shared" si="14"/>
        <v>0</v>
      </c>
      <c r="N122" s="40">
        <f t="shared" si="15"/>
        <v>711</v>
      </c>
      <c r="O122" s="43">
        <f t="shared" si="16"/>
        <v>730.5</v>
      </c>
    </row>
    <row r="123" spans="1:15" ht="22.95" customHeight="1" x14ac:dyDescent="0.3">
      <c r="A123" s="52" t="s">
        <v>24</v>
      </c>
      <c r="B123" s="44">
        <f t="shared" si="17"/>
        <v>463</v>
      </c>
      <c r="C123" s="39">
        <f t="shared" si="17"/>
        <v>179</v>
      </c>
      <c r="D123" s="39">
        <f t="shared" si="17"/>
        <v>29</v>
      </c>
      <c r="E123" s="39">
        <f t="shared" si="17"/>
        <v>4</v>
      </c>
      <c r="F123" s="39">
        <f t="shared" si="17"/>
        <v>32</v>
      </c>
      <c r="G123" s="50">
        <f t="shared" si="10"/>
        <v>707</v>
      </c>
      <c r="H123" s="44">
        <f t="shared" ref="H123:L123" si="25">H17+H18+H19+H20</f>
        <v>0</v>
      </c>
      <c r="I123" s="39">
        <f t="shared" si="25"/>
        <v>0</v>
      </c>
      <c r="J123" s="39">
        <f t="shared" si="25"/>
        <v>0</v>
      </c>
      <c r="K123" s="45">
        <f t="shared" si="25"/>
        <v>0</v>
      </c>
      <c r="L123" s="144">
        <f t="shared" si="25"/>
        <v>0</v>
      </c>
      <c r="M123" s="50">
        <f t="shared" si="14"/>
        <v>0</v>
      </c>
      <c r="N123" s="40">
        <f t="shared" si="15"/>
        <v>707</v>
      </c>
      <c r="O123" s="43">
        <f t="shared" si="16"/>
        <v>752</v>
      </c>
    </row>
    <row r="124" spans="1:15" ht="22.95" customHeight="1" x14ac:dyDescent="0.3">
      <c r="A124" s="52" t="s">
        <v>25</v>
      </c>
      <c r="B124" s="44">
        <f t="shared" si="17"/>
        <v>475</v>
      </c>
      <c r="C124" s="39">
        <f t="shared" si="17"/>
        <v>134</v>
      </c>
      <c r="D124" s="39">
        <f t="shared" si="17"/>
        <v>28</v>
      </c>
      <c r="E124" s="39">
        <f t="shared" si="17"/>
        <v>6</v>
      </c>
      <c r="F124" s="39">
        <f t="shared" si="17"/>
        <v>32</v>
      </c>
      <c r="G124" s="50">
        <f t="shared" si="10"/>
        <v>675</v>
      </c>
      <c r="H124" s="44">
        <f t="shared" ref="H124:L124" si="26">H18+H19+H20+H21</f>
        <v>0</v>
      </c>
      <c r="I124" s="39">
        <f t="shared" si="26"/>
        <v>0</v>
      </c>
      <c r="J124" s="39">
        <f t="shared" si="26"/>
        <v>0</v>
      </c>
      <c r="K124" s="45">
        <f t="shared" si="26"/>
        <v>0</v>
      </c>
      <c r="L124" s="144">
        <f t="shared" si="26"/>
        <v>0</v>
      </c>
      <c r="M124" s="50">
        <f t="shared" si="14"/>
        <v>0</v>
      </c>
      <c r="N124" s="40">
        <f t="shared" si="15"/>
        <v>675</v>
      </c>
      <c r="O124" s="43">
        <f t="shared" si="16"/>
        <v>746</v>
      </c>
    </row>
    <row r="125" spans="1:15" ht="22.95" customHeight="1" x14ac:dyDescent="0.3">
      <c r="A125" s="52" t="s">
        <v>26</v>
      </c>
      <c r="B125" s="44">
        <f t="shared" si="17"/>
        <v>477</v>
      </c>
      <c r="C125" s="39">
        <f t="shared" si="17"/>
        <v>119</v>
      </c>
      <c r="D125" s="39">
        <f t="shared" si="17"/>
        <v>33</v>
      </c>
      <c r="E125" s="39">
        <f t="shared" si="17"/>
        <v>7</v>
      </c>
      <c r="F125" s="39">
        <f t="shared" si="17"/>
        <v>39</v>
      </c>
      <c r="G125" s="50">
        <f t="shared" si="10"/>
        <v>675</v>
      </c>
      <c r="H125" s="44">
        <f t="shared" ref="H125:L125" si="27">H19+H20+H21+H22</f>
        <v>0</v>
      </c>
      <c r="I125" s="39">
        <f t="shared" si="27"/>
        <v>0</v>
      </c>
      <c r="J125" s="39">
        <f t="shared" si="27"/>
        <v>0</v>
      </c>
      <c r="K125" s="45">
        <f t="shared" si="27"/>
        <v>0</v>
      </c>
      <c r="L125" s="144">
        <f t="shared" si="27"/>
        <v>0</v>
      </c>
      <c r="M125" s="50">
        <f t="shared" si="14"/>
        <v>0</v>
      </c>
      <c r="N125" s="40">
        <f t="shared" si="15"/>
        <v>675</v>
      </c>
      <c r="O125" s="43">
        <f t="shared" si="16"/>
        <v>782.5</v>
      </c>
    </row>
    <row r="126" spans="1:15" ht="22.95" customHeight="1" x14ac:dyDescent="0.3">
      <c r="A126" s="52" t="s">
        <v>27</v>
      </c>
      <c r="B126" s="44">
        <f t="shared" si="17"/>
        <v>466</v>
      </c>
      <c r="C126" s="39">
        <f t="shared" si="17"/>
        <v>105</v>
      </c>
      <c r="D126" s="39">
        <f t="shared" si="17"/>
        <v>31</v>
      </c>
      <c r="E126" s="39">
        <f t="shared" si="17"/>
        <v>11</v>
      </c>
      <c r="F126" s="39">
        <f t="shared" si="17"/>
        <v>38</v>
      </c>
      <c r="G126" s="50">
        <f t="shared" si="10"/>
        <v>651</v>
      </c>
      <c r="H126" s="44">
        <f t="shared" ref="H126:L126" si="28">H20+H21+H22+H23</f>
        <v>0</v>
      </c>
      <c r="I126" s="39">
        <f t="shared" si="28"/>
        <v>0</v>
      </c>
      <c r="J126" s="39">
        <f t="shared" si="28"/>
        <v>0</v>
      </c>
      <c r="K126" s="45">
        <f t="shared" si="28"/>
        <v>0</v>
      </c>
      <c r="L126" s="144">
        <f t="shared" si="28"/>
        <v>0</v>
      </c>
      <c r="M126" s="50">
        <f t="shared" si="14"/>
        <v>0</v>
      </c>
      <c r="N126" s="40">
        <f t="shared" si="15"/>
        <v>651</v>
      </c>
      <c r="O126" s="43">
        <f t="shared" si="16"/>
        <v>769</v>
      </c>
    </row>
    <row r="127" spans="1:15" ht="22.95" customHeight="1" x14ac:dyDescent="0.3">
      <c r="A127" s="52" t="s">
        <v>28</v>
      </c>
      <c r="B127" s="44">
        <f t="shared" si="17"/>
        <v>461</v>
      </c>
      <c r="C127" s="39">
        <f t="shared" si="17"/>
        <v>81</v>
      </c>
      <c r="D127" s="39">
        <f t="shared" si="17"/>
        <v>36</v>
      </c>
      <c r="E127" s="39">
        <f t="shared" si="17"/>
        <v>9</v>
      </c>
      <c r="F127" s="39">
        <f t="shared" si="17"/>
        <v>45</v>
      </c>
      <c r="G127" s="50">
        <f t="shared" si="10"/>
        <v>632</v>
      </c>
      <c r="H127" s="44">
        <f t="shared" ref="H127:L127" si="29">H21+H22+H23+H24</f>
        <v>0</v>
      </c>
      <c r="I127" s="39">
        <f t="shared" si="29"/>
        <v>0</v>
      </c>
      <c r="J127" s="39">
        <f t="shared" si="29"/>
        <v>0</v>
      </c>
      <c r="K127" s="45">
        <f t="shared" si="29"/>
        <v>0</v>
      </c>
      <c r="L127" s="144">
        <f t="shared" si="29"/>
        <v>0</v>
      </c>
      <c r="M127" s="50">
        <f t="shared" si="14"/>
        <v>0</v>
      </c>
      <c r="N127" s="40">
        <f t="shared" si="15"/>
        <v>632</v>
      </c>
      <c r="O127" s="43">
        <f t="shared" si="16"/>
        <v>785</v>
      </c>
    </row>
    <row r="128" spans="1:15" ht="22.95" customHeight="1" x14ac:dyDescent="0.3">
      <c r="A128" s="52" t="s">
        <v>29</v>
      </c>
      <c r="B128" s="44">
        <f t="shared" si="17"/>
        <v>433</v>
      </c>
      <c r="C128" s="39">
        <f t="shared" si="17"/>
        <v>63</v>
      </c>
      <c r="D128" s="39">
        <f t="shared" si="17"/>
        <v>38</v>
      </c>
      <c r="E128" s="39">
        <f t="shared" si="17"/>
        <v>10</v>
      </c>
      <c r="F128" s="39">
        <f t="shared" si="17"/>
        <v>45</v>
      </c>
      <c r="G128" s="50">
        <f t="shared" si="10"/>
        <v>589</v>
      </c>
      <c r="H128" s="44">
        <f t="shared" ref="H128:L128" si="30">H22+H23+H24+H25</f>
        <v>0</v>
      </c>
      <c r="I128" s="39">
        <f t="shared" si="30"/>
        <v>0</v>
      </c>
      <c r="J128" s="39">
        <f t="shared" si="30"/>
        <v>0</v>
      </c>
      <c r="K128" s="45">
        <f t="shared" si="30"/>
        <v>0</v>
      </c>
      <c r="L128" s="144">
        <f t="shared" si="30"/>
        <v>0</v>
      </c>
      <c r="M128" s="50">
        <f t="shared" si="14"/>
        <v>0</v>
      </c>
      <c r="N128" s="40">
        <f t="shared" si="15"/>
        <v>589</v>
      </c>
      <c r="O128" s="43">
        <f t="shared" si="16"/>
        <v>754</v>
      </c>
    </row>
    <row r="129" spans="1:15" ht="22.95" customHeight="1" x14ac:dyDescent="0.3">
      <c r="A129" s="52" t="s">
        <v>30</v>
      </c>
      <c r="B129" s="44">
        <f t="shared" si="17"/>
        <v>420</v>
      </c>
      <c r="C129" s="39">
        <f t="shared" si="17"/>
        <v>67</v>
      </c>
      <c r="D129" s="39">
        <f t="shared" si="17"/>
        <v>47</v>
      </c>
      <c r="E129" s="39">
        <f t="shared" si="17"/>
        <v>13</v>
      </c>
      <c r="F129" s="39">
        <f t="shared" si="17"/>
        <v>46</v>
      </c>
      <c r="G129" s="50">
        <f t="shared" si="10"/>
        <v>593</v>
      </c>
      <c r="H129" s="44">
        <f t="shared" ref="H129:L129" si="31">H23+H24+H25+H26</f>
        <v>0</v>
      </c>
      <c r="I129" s="39">
        <f t="shared" si="31"/>
        <v>0</v>
      </c>
      <c r="J129" s="39">
        <f t="shared" si="31"/>
        <v>0</v>
      </c>
      <c r="K129" s="45">
        <f t="shared" si="31"/>
        <v>0</v>
      </c>
      <c r="L129" s="144">
        <f t="shared" si="31"/>
        <v>0</v>
      </c>
      <c r="M129" s="50">
        <f t="shared" si="14"/>
        <v>0</v>
      </c>
      <c r="N129" s="40">
        <f t="shared" si="15"/>
        <v>593</v>
      </c>
      <c r="O129" s="43">
        <f t="shared" si="16"/>
        <v>770</v>
      </c>
    </row>
    <row r="130" spans="1:15" ht="22.95" customHeight="1" x14ac:dyDescent="0.3">
      <c r="A130" s="52" t="s">
        <v>31</v>
      </c>
      <c r="B130" s="44">
        <f t="shared" si="17"/>
        <v>405</v>
      </c>
      <c r="C130" s="39">
        <f t="shared" si="17"/>
        <v>72</v>
      </c>
      <c r="D130" s="39">
        <f t="shared" si="17"/>
        <v>49</v>
      </c>
      <c r="E130" s="39">
        <f t="shared" si="17"/>
        <v>9</v>
      </c>
      <c r="F130" s="39">
        <f t="shared" si="17"/>
        <v>51</v>
      </c>
      <c r="G130" s="50">
        <f t="shared" si="10"/>
        <v>586</v>
      </c>
      <c r="H130" s="44">
        <f t="shared" ref="H130:L130" si="32">H24+H25+H26+H27</f>
        <v>0</v>
      </c>
      <c r="I130" s="39">
        <f t="shared" si="32"/>
        <v>0</v>
      </c>
      <c r="J130" s="39">
        <f t="shared" si="32"/>
        <v>0</v>
      </c>
      <c r="K130" s="45">
        <f t="shared" si="32"/>
        <v>0</v>
      </c>
      <c r="L130" s="144">
        <f t="shared" si="32"/>
        <v>0</v>
      </c>
      <c r="M130" s="50">
        <f t="shared" si="14"/>
        <v>0</v>
      </c>
      <c r="N130" s="40">
        <f t="shared" si="15"/>
        <v>586</v>
      </c>
      <c r="O130" s="43">
        <f t="shared" si="16"/>
        <v>771</v>
      </c>
    </row>
    <row r="131" spans="1:15" ht="22.95" customHeight="1" x14ac:dyDescent="0.3">
      <c r="A131" s="52" t="s">
        <v>32</v>
      </c>
      <c r="B131" s="44">
        <f t="shared" si="17"/>
        <v>394</v>
      </c>
      <c r="C131" s="39">
        <f t="shared" si="17"/>
        <v>79</v>
      </c>
      <c r="D131" s="39">
        <f t="shared" si="17"/>
        <v>47</v>
      </c>
      <c r="E131" s="39">
        <f t="shared" si="17"/>
        <v>9</v>
      </c>
      <c r="F131" s="39">
        <f t="shared" si="17"/>
        <v>50</v>
      </c>
      <c r="G131" s="50">
        <f t="shared" si="10"/>
        <v>579</v>
      </c>
      <c r="H131" s="44">
        <f t="shared" ref="H131:L131" si="33">H25+H26+H27+H28</f>
        <v>0</v>
      </c>
      <c r="I131" s="39">
        <f t="shared" si="33"/>
        <v>0</v>
      </c>
      <c r="J131" s="39">
        <f t="shared" si="33"/>
        <v>0</v>
      </c>
      <c r="K131" s="45">
        <f t="shared" si="33"/>
        <v>0</v>
      </c>
      <c r="L131" s="144">
        <f t="shared" si="33"/>
        <v>0</v>
      </c>
      <c r="M131" s="50">
        <f t="shared" si="14"/>
        <v>0</v>
      </c>
      <c r="N131" s="40">
        <f t="shared" si="15"/>
        <v>579</v>
      </c>
      <c r="O131" s="43">
        <f t="shared" si="16"/>
        <v>756</v>
      </c>
    </row>
    <row r="132" spans="1:15" ht="22.95" customHeight="1" x14ac:dyDescent="0.3">
      <c r="A132" s="52" t="s">
        <v>33</v>
      </c>
      <c r="B132" s="44">
        <f t="shared" ref="B132:F147" si="34">B26+B27+B28+B29</f>
        <v>371</v>
      </c>
      <c r="C132" s="39">
        <f t="shared" si="34"/>
        <v>90</v>
      </c>
      <c r="D132" s="39">
        <f t="shared" si="34"/>
        <v>47</v>
      </c>
      <c r="E132" s="39">
        <f t="shared" si="34"/>
        <v>8</v>
      </c>
      <c r="F132" s="39">
        <f t="shared" si="34"/>
        <v>54</v>
      </c>
      <c r="G132" s="50">
        <f t="shared" si="10"/>
        <v>570</v>
      </c>
      <c r="H132" s="44">
        <f t="shared" ref="H132:L132" si="35">H26+H27+H28+H29</f>
        <v>0</v>
      </c>
      <c r="I132" s="39">
        <f t="shared" si="35"/>
        <v>0</v>
      </c>
      <c r="J132" s="39">
        <f t="shared" si="35"/>
        <v>0</v>
      </c>
      <c r="K132" s="45">
        <f t="shared" si="35"/>
        <v>0</v>
      </c>
      <c r="L132" s="144">
        <f t="shared" si="35"/>
        <v>0</v>
      </c>
      <c r="M132" s="50">
        <f t="shared" si="14"/>
        <v>0</v>
      </c>
      <c r="N132" s="40">
        <f t="shared" si="15"/>
        <v>570</v>
      </c>
      <c r="O132" s="43">
        <f t="shared" si="16"/>
        <v>753.5</v>
      </c>
    </row>
    <row r="133" spans="1:15" ht="22.95" customHeight="1" x14ac:dyDescent="0.3">
      <c r="A133" s="52" t="s">
        <v>34</v>
      </c>
      <c r="B133" s="44">
        <f t="shared" si="34"/>
        <v>368</v>
      </c>
      <c r="C133" s="39">
        <f t="shared" si="34"/>
        <v>74</v>
      </c>
      <c r="D133" s="39">
        <f t="shared" si="34"/>
        <v>32</v>
      </c>
      <c r="E133" s="39">
        <f t="shared" si="34"/>
        <v>7</v>
      </c>
      <c r="F133" s="39">
        <f t="shared" si="34"/>
        <v>51</v>
      </c>
      <c r="G133" s="50">
        <f t="shared" si="10"/>
        <v>532</v>
      </c>
      <c r="H133" s="44">
        <f t="shared" ref="H133:L133" si="36">H27+H28+H29+H30</f>
        <v>0</v>
      </c>
      <c r="I133" s="39">
        <f t="shared" si="36"/>
        <v>0</v>
      </c>
      <c r="J133" s="39">
        <f t="shared" si="36"/>
        <v>0</v>
      </c>
      <c r="K133" s="45">
        <f t="shared" si="36"/>
        <v>0</v>
      </c>
      <c r="L133" s="144">
        <f t="shared" si="36"/>
        <v>0</v>
      </c>
      <c r="M133" s="50">
        <f t="shared" si="14"/>
        <v>0</v>
      </c>
      <c r="N133" s="40">
        <f t="shared" si="15"/>
        <v>532</v>
      </c>
      <c r="O133" s="43">
        <f t="shared" si="16"/>
        <v>703.5</v>
      </c>
    </row>
    <row r="134" spans="1:15" ht="22.95" customHeight="1" x14ac:dyDescent="0.3">
      <c r="A134" s="52" t="s">
        <v>35</v>
      </c>
      <c r="B134" s="44">
        <f t="shared" si="34"/>
        <v>394</v>
      </c>
      <c r="C134" s="39">
        <f t="shared" si="34"/>
        <v>76</v>
      </c>
      <c r="D134" s="39">
        <f t="shared" si="34"/>
        <v>33</v>
      </c>
      <c r="E134" s="39">
        <f t="shared" si="34"/>
        <v>7</v>
      </c>
      <c r="F134" s="39">
        <f t="shared" si="34"/>
        <v>51</v>
      </c>
      <c r="G134" s="50">
        <f t="shared" si="10"/>
        <v>561</v>
      </c>
      <c r="H134" s="44">
        <f t="shared" ref="H134:L134" si="37">H28+H29+H30+H31</f>
        <v>0</v>
      </c>
      <c r="I134" s="39">
        <f t="shared" si="37"/>
        <v>0</v>
      </c>
      <c r="J134" s="39">
        <f t="shared" si="37"/>
        <v>0</v>
      </c>
      <c r="K134" s="45">
        <f t="shared" si="37"/>
        <v>0</v>
      </c>
      <c r="L134" s="144">
        <f t="shared" si="37"/>
        <v>0</v>
      </c>
      <c r="M134" s="50">
        <f t="shared" si="14"/>
        <v>0</v>
      </c>
      <c r="N134" s="40">
        <f t="shared" si="15"/>
        <v>561</v>
      </c>
      <c r="O134" s="43">
        <f t="shared" si="16"/>
        <v>732</v>
      </c>
    </row>
    <row r="135" spans="1:15" ht="22.95" customHeight="1" x14ac:dyDescent="0.3">
      <c r="A135" s="52" t="s">
        <v>36</v>
      </c>
      <c r="B135" s="44">
        <f t="shared" si="34"/>
        <v>379</v>
      </c>
      <c r="C135" s="39">
        <f t="shared" si="34"/>
        <v>69</v>
      </c>
      <c r="D135" s="39">
        <f t="shared" si="34"/>
        <v>29</v>
      </c>
      <c r="E135" s="39">
        <f t="shared" si="34"/>
        <v>9</v>
      </c>
      <c r="F135" s="39">
        <f t="shared" si="34"/>
        <v>44</v>
      </c>
      <c r="G135" s="50">
        <f t="shared" si="10"/>
        <v>530</v>
      </c>
      <c r="H135" s="44">
        <f t="shared" ref="H135:L135" si="38">H29+H30+H31+H32</f>
        <v>0</v>
      </c>
      <c r="I135" s="39">
        <f t="shared" si="38"/>
        <v>0</v>
      </c>
      <c r="J135" s="39">
        <f t="shared" si="38"/>
        <v>0</v>
      </c>
      <c r="K135" s="45">
        <f t="shared" si="38"/>
        <v>0</v>
      </c>
      <c r="L135" s="144">
        <f t="shared" si="38"/>
        <v>0</v>
      </c>
      <c r="M135" s="50">
        <f t="shared" si="14"/>
        <v>0</v>
      </c>
      <c r="N135" s="40">
        <f t="shared" si="15"/>
        <v>530</v>
      </c>
      <c r="O135" s="43">
        <f t="shared" si="16"/>
        <v>682</v>
      </c>
    </row>
    <row r="136" spans="1:15" ht="22.95" customHeight="1" x14ac:dyDescent="0.3">
      <c r="A136" s="52" t="s">
        <v>37</v>
      </c>
      <c r="B136" s="44">
        <f t="shared" si="34"/>
        <v>416</v>
      </c>
      <c r="C136" s="39">
        <f t="shared" si="34"/>
        <v>71</v>
      </c>
      <c r="D136" s="39">
        <f t="shared" si="34"/>
        <v>29</v>
      </c>
      <c r="E136" s="39">
        <f t="shared" si="34"/>
        <v>8</v>
      </c>
      <c r="F136" s="39">
        <f t="shared" si="34"/>
        <v>39</v>
      </c>
      <c r="G136" s="50">
        <f t="shared" si="10"/>
        <v>563</v>
      </c>
      <c r="H136" s="44">
        <f t="shared" ref="H136:L136" si="39">H30+H31+H32+H33</f>
        <v>0</v>
      </c>
      <c r="I136" s="39">
        <f t="shared" si="39"/>
        <v>0</v>
      </c>
      <c r="J136" s="39">
        <f t="shared" si="39"/>
        <v>0</v>
      </c>
      <c r="K136" s="45">
        <f t="shared" si="39"/>
        <v>0</v>
      </c>
      <c r="L136" s="144">
        <f t="shared" si="39"/>
        <v>0</v>
      </c>
      <c r="M136" s="50">
        <f t="shared" si="14"/>
        <v>0</v>
      </c>
      <c r="N136" s="40">
        <f t="shared" si="15"/>
        <v>563</v>
      </c>
      <c r="O136" s="43">
        <f t="shared" si="16"/>
        <v>694.5</v>
      </c>
    </row>
    <row r="137" spans="1:15" ht="22.95" customHeight="1" x14ac:dyDescent="0.3">
      <c r="A137" s="52" t="s">
        <v>38</v>
      </c>
      <c r="B137" s="44">
        <f t="shared" si="34"/>
        <v>428</v>
      </c>
      <c r="C137" s="39">
        <f t="shared" si="34"/>
        <v>74</v>
      </c>
      <c r="D137" s="39">
        <f t="shared" si="34"/>
        <v>33</v>
      </c>
      <c r="E137" s="39">
        <f t="shared" si="34"/>
        <v>5</v>
      </c>
      <c r="F137" s="39">
        <f t="shared" si="34"/>
        <v>37</v>
      </c>
      <c r="G137" s="50">
        <f t="shared" si="10"/>
        <v>577</v>
      </c>
      <c r="H137" s="44">
        <f t="shared" ref="H137:L137" si="40">H31+H32+H33+H34</f>
        <v>0</v>
      </c>
      <c r="I137" s="39">
        <f t="shared" si="40"/>
        <v>0</v>
      </c>
      <c r="J137" s="39">
        <f t="shared" si="40"/>
        <v>0</v>
      </c>
      <c r="K137" s="45">
        <f t="shared" si="40"/>
        <v>0</v>
      </c>
      <c r="L137" s="144">
        <f t="shared" si="40"/>
        <v>1</v>
      </c>
      <c r="M137" s="50">
        <f t="shared" si="14"/>
        <v>0</v>
      </c>
      <c r="N137" s="40">
        <f t="shared" si="15"/>
        <v>577</v>
      </c>
      <c r="O137" s="43">
        <f t="shared" si="16"/>
        <v>704</v>
      </c>
    </row>
    <row r="138" spans="1:15" ht="22.95" customHeight="1" x14ac:dyDescent="0.3">
      <c r="A138" s="52" t="s">
        <v>39</v>
      </c>
      <c r="B138" s="44">
        <f t="shared" si="34"/>
        <v>396</v>
      </c>
      <c r="C138" s="39">
        <f t="shared" si="34"/>
        <v>54</v>
      </c>
      <c r="D138" s="39">
        <f t="shared" si="34"/>
        <v>30</v>
      </c>
      <c r="E138" s="39">
        <f t="shared" si="34"/>
        <v>6</v>
      </c>
      <c r="F138" s="39">
        <f t="shared" si="34"/>
        <v>32</v>
      </c>
      <c r="G138" s="50">
        <f t="shared" si="10"/>
        <v>518</v>
      </c>
      <c r="H138" s="44">
        <f t="shared" ref="H138:L138" si="41">H32+H33+H34+H35</f>
        <v>0</v>
      </c>
      <c r="I138" s="39">
        <f t="shared" si="41"/>
        <v>0</v>
      </c>
      <c r="J138" s="39">
        <f t="shared" si="41"/>
        <v>0</v>
      </c>
      <c r="K138" s="45">
        <f t="shared" si="41"/>
        <v>0</v>
      </c>
      <c r="L138" s="144">
        <f t="shared" si="41"/>
        <v>1</v>
      </c>
      <c r="M138" s="50">
        <f t="shared" si="14"/>
        <v>0</v>
      </c>
      <c r="N138" s="40">
        <f t="shared" si="15"/>
        <v>518</v>
      </c>
      <c r="O138" s="43">
        <f t="shared" si="16"/>
        <v>638</v>
      </c>
    </row>
    <row r="139" spans="1:15" ht="22.95" customHeight="1" x14ac:dyDescent="0.3">
      <c r="A139" s="52" t="s">
        <v>40</v>
      </c>
      <c r="B139" s="44">
        <f t="shared" si="34"/>
        <v>365</v>
      </c>
      <c r="C139" s="39">
        <f t="shared" si="34"/>
        <v>49</v>
      </c>
      <c r="D139" s="39">
        <f t="shared" si="34"/>
        <v>29</v>
      </c>
      <c r="E139" s="39">
        <f t="shared" si="34"/>
        <v>7</v>
      </c>
      <c r="F139" s="39">
        <f t="shared" si="34"/>
        <v>29</v>
      </c>
      <c r="G139" s="50">
        <f t="shared" si="10"/>
        <v>479</v>
      </c>
      <c r="H139" s="44">
        <f t="shared" ref="H139:L139" si="42">H33+H34+H35+H36</f>
        <v>0</v>
      </c>
      <c r="I139" s="39">
        <f t="shared" si="42"/>
        <v>0</v>
      </c>
      <c r="J139" s="39">
        <f t="shared" si="42"/>
        <v>0</v>
      </c>
      <c r="K139" s="45">
        <f t="shared" si="42"/>
        <v>0</v>
      </c>
      <c r="L139" s="144">
        <f t="shared" si="42"/>
        <v>1</v>
      </c>
      <c r="M139" s="50">
        <f t="shared" si="14"/>
        <v>0</v>
      </c>
      <c r="N139" s="40">
        <f t="shared" si="15"/>
        <v>479</v>
      </c>
      <c r="O139" s="43">
        <f t="shared" si="16"/>
        <v>592.5</v>
      </c>
    </row>
    <row r="140" spans="1:15" ht="22.95" customHeight="1" x14ac:dyDescent="0.3">
      <c r="A140" s="52" t="s">
        <v>41</v>
      </c>
      <c r="B140" s="44">
        <f t="shared" si="34"/>
        <v>355</v>
      </c>
      <c r="C140" s="39">
        <f t="shared" si="34"/>
        <v>34</v>
      </c>
      <c r="D140" s="39">
        <f t="shared" si="34"/>
        <v>24</v>
      </c>
      <c r="E140" s="39">
        <f t="shared" si="34"/>
        <v>10</v>
      </c>
      <c r="F140" s="39">
        <f t="shared" si="34"/>
        <v>30</v>
      </c>
      <c r="G140" s="50">
        <f t="shared" si="10"/>
        <v>453</v>
      </c>
      <c r="H140" s="44">
        <f t="shared" ref="H140:L140" si="43">H34+H35+H36+H37</f>
        <v>0</v>
      </c>
      <c r="I140" s="39">
        <f t="shared" si="43"/>
        <v>0</v>
      </c>
      <c r="J140" s="39">
        <f t="shared" si="43"/>
        <v>0</v>
      </c>
      <c r="K140" s="45">
        <f t="shared" si="43"/>
        <v>0</v>
      </c>
      <c r="L140" s="144">
        <f t="shared" si="43"/>
        <v>1</v>
      </c>
      <c r="M140" s="50">
        <f t="shared" si="14"/>
        <v>0</v>
      </c>
      <c r="N140" s="40">
        <f t="shared" si="15"/>
        <v>453</v>
      </c>
      <c r="O140" s="43">
        <f t="shared" si="16"/>
        <v>581</v>
      </c>
    </row>
    <row r="141" spans="1:15" ht="22.95" customHeight="1" x14ac:dyDescent="0.3">
      <c r="A141" s="52" t="s">
        <v>42</v>
      </c>
      <c r="B141" s="44">
        <f t="shared" si="34"/>
        <v>337</v>
      </c>
      <c r="C141" s="39">
        <f t="shared" si="34"/>
        <v>32</v>
      </c>
      <c r="D141" s="39">
        <f t="shared" si="34"/>
        <v>24</v>
      </c>
      <c r="E141" s="39">
        <f t="shared" si="34"/>
        <v>10</v>
      </c>
      <c r="F141" s="39">
        <f t="shared" si="34"/>
        <v>27</v>
      </c>
      <c r="G141" s="50">
        <f t="shared" si="10"/>
        <v>430</v>
      </c>
      <c r="H141" s="44">
        <f t="shared" ref="H141:L141" si="44">H35+H36+H37+H38</f>
        <v>0</v>
      </c>
      <c r="I141" s="39">
        <f t="shared" si="44"/>
        <v>0</v>
      </c>
      <c r="J141" s="39">
        <f t="shared" si="44"/>
        <v>0</v>
      </c>
      <c r="K141" s="45">
        <f t="shared" si="44"/>
        <v>0</v>
      </c>
      <c r="L141" s="144">
        <f t="shared" si="44"/>
        <v>0</v>
      </c>
      <c r="M141" s="50">
        <f t="shared" si="14"/>
        <v>0</v>
      </c>
      <c r="N141" s="40">
        <f t="shared" si="15"/>
        <v>430</v>
      </c>
      <c r="O141" s="43">
        <f t="shared" si="16"/>
        <v>540.5</v>
      </c>
    </row>
    <row r="142" spans="1:15" ht="22.95" customHeight="1" x14ac:dyDescent="0.3">
      <c r="A142" s="52" t="s">
        <v>43</v>
      </c>
      <c r="B142" s="44">
        <f t="shared" si="34"/>
        <v>392</v>
      </c>
      <c r="C142" s="39">
        <f t="shared" si="34"/>
        <v>42</v>
      </c>
      <c r="D142" s="39">
        <f t="shared" si="34"/>
        <v>24</v>
      </c>
      <c r="E142" s="39">
        <f t="shared" si="34"/>
        <v>10</v>
      </c>
      <c r="F142" s="39">
        <f t="shared" si="34"/>
        <v>30</v>
      </c>
      <c r="G142" s="50">
        <f t="shared" si="10"/>
        <v>498</v>
      </c>
      <c r="H142" s="44">
        <f t="shared" ref="H142:L142" si="45">H36+H37+H38+H39</f>
        <v>0</v>
      </c>
      <c r="I142" s="39">
        <f t="shared" si="45"/>
        <v>0</v>
      </c>
      <c r="J142" s="39">
        <f t="shared" si="45"/>
        <v>0</v>
      </c>
      <c r="K142" s="45">
        <f t="shared" si="45"/>
        <v>0</v>
      </c>
      <c r="L142" s="144">
        <f t="shared" si="45"/>
        <v>0</v>
      </c>
      <c r="M142" s="50">
        <f t="shared" si="14"/>
        <v>0</v>
      </c>
      <c r="N142" s="40">
        <f t="shared" si="15"/>
        <v>498</v>
      </c>
      <c r="O142" s="43">
        <f t="shared" si="16"/>
        <v>614</v>
      </c>
    </row>
    <row r="143" spans="1:15" ht="22.95" customHeight="1" x14ac:dyDescent="0.3">
      <c r="A143" s="52" t="s">
        <v>44</v>
      </c>
      <c r="B143" s="44">
        <f t="shared" si="34"/>
        <v>412</v>
      </c>
      <c r="C143" s="39">
        <f t="shared" si="34"/>
        <v>34</v>
      </c>
      <c r="D143" s="39">
        <f t="shared" si="34"/>
        <v>18</v>
      </c>
      <c r="E143" s="39">
        <f t="shared" si="34"/>
        <v>9</v>
      </c>
      <c r="F143" s="39">
        <f t="shared" si="34"/>
        <v>29</v>
      </c>
      <c r="G143" s="50">
        <f t="shared" si="10"/>
        <v>502</v>
      </c>
      <c r="H143" s="44">
        <f t="shared" ref="H143:L143" si="46">H37+H38+H39+H40</f>
        <v>0</v>
      </c>
      <c r="I143" s="39">
        <f t="shared" si="46"/>
        <v>0</v>
      </c>
      <c r="J143" s="39">
        <f t="shared" si="46"/>
        <v>0</v>
      </c>
      <c r="K143" s="45">
        <f t="shared" si="46"/>
        <v>0</v>
      </c>
      <c r="L143" s="144">
        <f t="shared" si="46"/>
        <v>0</v>
      </c>
      <c r="M143" s="50">
        <f t="shared" si="14"/>
        <v>0</v>
      </c>
      <c r="N143" s="40">
        <f t="shared" si="15"/>
        <v>502</v>
      </c>
      <c r="O143" s="43">
        <f t="shared" si="16"/>
        <v>613.5</v>
      </c>
    </row>
    <row r="144" spans="1:15" ht="22.95" customHeight="1" x14ac:dyDescent="0.3">
      <c r="A144" s="52" t="s">
        <v>45</v>
      </c>
      <c r="B144" s="44">
        <f t="shared" si="34"/>
        <v>406</v>
      </c>
      <c r="C144" s="39">
        <f t="shared" si="34"/>
        <v>64</v>
      </c>
      <c r="D144" s="39">
        <f t="shared" si="34"/>
        <v>17</v>
      </c>
      <c r="E144" s="39">
        <f t="shared" si="34"/>
        <v>5</v>
      </c>
      <c r="F144" s="39">
        <f t="shared" si="34"/>
        <v>26</v>
      </c>
      <c r="G144" s="50">
        <f t="shared" si="10"/>
        <v>518</v>
      </c>
      <c r="H144" s="44">
        <f t="shared" ref="H144:L144" si="47">H38+H39+H40+H41</f>
        <v>0</v>
      </c>
      <c r="I144" s="39">
        <f t="shared" si="47"/>
        <v>0</v>
      </c>
      <c r="J144" s="39">
        <f t="shared" si="47"/>
        <v>0</v>
      </c>
      <c r="K144" s="45">
        <f t="shared" si="47"/>
        <v>0</v>
      </c>
      <c r="L144" s="144">
        <f t="shared" si="47"/>
        <v>0</v>
      </c>
      <c r="M144" s="50">
        <f t="shared" si="14"/>
        <v>0</v>
      </c>
      <c r="N144" s="40">
        <f t="shared" si="15"/>
        <v>518</v>
      </c>
      <c r="O144" s="43">
        <f t="shared" si="16"/>
        <v>595.5</v>
      </c>
    </row>
    <row r="145" spans="1:15" ht="22.95" customHeight="1" x14ac:dyDescent="0.3">
      <c r="A145" s="52" t="s">
        <v>46</v>
      </c>
      <c r="B145" s="44">
        <f t="shared" si="34"/>
        <v>394</v>
      </c>
      <c r="C145" s="39">
        <f t="shared" si="34"/>
        <v>69</v>
      </c>
      <c r="D145" s="39">
        <f t="shared" si="34"/>
        <v>12</v>
      </c>
      <c r="E145" s="39">
        <f t="shared" si="34"/>
        <v>5</v>
      </c>
      <c r="F145" s="39">
        <f t="shared" si="34"/>
        <v>22</v>
      </c>
      <c r="G145" s="50">
        <f t="shared" si="10"/>
        <v>502</v>
      </c>
      <c r="H145" s="44">
        <f t="shared" ref="H145:L145" si="48">H39+H40+H41+H42</f>
        <v>0</v>
      </c>
      <c r="I145" s="39">
        <f t="shared" si="48"/>
        <v>0</v>
      </c>
      <c r="J145" s="39">
        <f t="shared" si="48"/>
        <v>0</v>
      </c>
      <c r="K145" s="45">
        <f t="shared" si="48"/>
        <v>0</v>
      </c>
      <c r="L145" s="144">
        <f t="shared" si="48"/>
        <v>0</v>
      </c>
      <c r="M145" s="50">
        <f t="shared" si="14"/>
        <v>0</v>
      </c>
      <c r="N145" s="40">
        <f t="shared" si="15"/>
        <v>502</v>
      </c>
      <c r="O145" s="43">
        <f t="shared" si="16"/>
        <v>560.5</v>
      </c>
    </row>
    <row r="146" spans="1:15" ht="22.95" customHeight="1" x14ac:dyDescent="0.3">
      <c r="A146" s="52" t="s">
        <v>47</v>
      </c>
      <c r="B146" s="44">
        <f t="shared" si="34"/>
        <v>334</v>
      </c>
      <c r="C146" s="39">
        <f t="shared" si="34"/>
        <v>71</v>
      </c>
      <c r="D146" s="39">
        <f t="shared" si="34"/>
        <v>9</v>
      </c>
      <c r="E146" s="39">
        <f t="shared" si="34"/>
        <v>4</v>
      </c>
      <c r="F146" s="39">
        <f t="shared" si="34"/>
        <v>19</v>
      </c>
      <c r="G146" s="50">
        <f t="shared" ref="G146:G177" si="49">SUM(B146:F146)</f>
        <v>437</v>
      </c>
      <c r="H146" s="44">
        <f t="shared" ref="H146:L146" si="50">H40+H41+H42+H43</f>
        <v>0</v>
      </c>
      <c r="I146" s="39">
        <f t="shared" si="50"/>
        <v>0</v>
      </c>
      <c r="J146" s="39">
        <f t="shared" si="50"/>
        <v>0</v>
      </c>
      <c r="K146" s="45">
        <f t="shared" si="50"/>
        <v>0</v>
      </c>
      <c r="L146" s="144">
        <f t="shared" si="50"/>
        <v>0</v>
      </c>
      <c r="M146" s="50">
        <f t="shared" si="14"/>
        <v>0</v>
      </c>
      <c r="N146" s="40">
        <f t="shared" si="15"/>
        <v>437</v>
      </c>
      <c r="O146" s="43">
        <f t="shared" si="16"/>
        <v>480.5</v>
      </c>
    </row>
    <row r="147" spans="1:15" ht="22.95" customHeight="1" x14ac:dyDescent="0.3">
      <c r="A147" s="52" t="s">
        <v>48</v>
      </c>
      <c r="B147" s="44">
        <f t="shared" si="34"/>
        <v>357</v>
      </c>
      <c r="C147" s="39">
        <f t="shared" si="34"/>
        <v>92</v>
      </c>
      <c r="D147" s="39">
        <f t="shared" si="34"/>
        <v>12</v>
      </c>
      <c r="E147" s="39">
        <f t="shared" si="34"/>
        <v>3</v>
      </c>
      <c r="F147" s="39">
        <f t="shared" si="34"/>
        <v>20</v>
      </c>
      <c r="G147" s="50">
        <f t="shared" si="49"/>
        <v>484</v>
      </c>
      <c r="H147" s="44">
        <f t="shared" ref="H147:L147" si="51">H41+H42+H43+H44</f>
        <v>0</v>
      </c>
      <c r="I147" s="39">
        <f t="shared" si="51"/>
        <v>0</v>
      </c>
      <c r="J147" s="39">
        <f t="shared" si="51"/>
        <v>0</v>
      </c>
      <c r="K147" s="45">
        <f t="shared" si="51"/>
        <v>0</v>
      </c>
      <c r="L147" s="144">
        <f t="shared" si="51"/>
        <v>0</v>
      </c>
      <c r="M147" s="50">
        <f t="shared" si="14"/>
        <v>0</v>
      </c>
      <c r="N147" s="40">
        <f t="shared" si="15"/>
        <v>484</v>
      </c>
      <c r="O147" s="43">
        <f t="shared" si="16"/>
        <v>520</v>
      </c>
    </row>
    <row r="148" spans="1:15" ht="22.95" customHeight="1" x14ac:dyDescent="0.3">
      <c r="A148" s="52" t="s">
        <v>49</v>
      </c>
      <c r="B148" s="44">
        <f t="shared" ref="B148:F163" si="52">B42+B43+B44+B45</f>
        <v>352</v>
      </c>
      <c r="C148" s="39">
        <f t="shared" si="52"/>
        <v>70</v>
      </c>
      <c r="D148" s="39">
        <f t="shared" si="52"/>
        <v>12</v>
      </c>
      <c r="E148" s="39">
        <f t="shared" si="52"/>
        <v>3</v>
      </c>
      <c r="F148" s="39">
        <f t="shared" si="52"/>
        <v>21</v>
      </c>
      <c r="G148" s="50">
        <f t="shared" si="49"/>
        <v>458</v>
      </c>
      <c r="H148" s="44">
        <f t="shared" ref="H148:L148" si="53">H42+H43+H44+H45</f>
        <v>0</v>
      </c>
      <c r="I148" s="39">
        <f t="shared" si="53"/>
        <v>0</v>
      </c>
      <c r="J148" s="39">
        <f t="shared" si="53"/>
        <v>0</v>
      </c>
      <c r="K148" s="45">
        <f t="shared" si="53"/>
        <v>0</v>
      </c>
      <c r="L148" s="144">
        <f t="shared" si="53"/>
        <v>0</v>
      </c>
      <c r="M148" s="50">
        <f t="shared" si="14"/>
        <v>0</v>
      </c>
      <c r="N148" s="40">
        <f t="shared" si="15"/>
        <v>458</v>
      </c>
      <c r="O148" s="43">
        <f t="shared" si="16"/>
        <v>508.5</v>
      </c>
    </row>
    <row r="149" spans="1:15" ht="22.95" customHeight="1" x14ac:dyDescent="0.3">
      <c r="A149" s="52" t="s">
        <v>50</v>
      </c>
      <c r="B149" s="44">
        <f t="shared" si="52"/>
        <v>390</v>
      </c>
      <c r="C149" s="39">
        <f t="shared" si="52"/>
        <v>74</v>
      </c>
      <c r="D149" s="39">
        <f t="shared" si="52"/>
        <v>14</v>
      </c>
      <c r="E149" s="39">
        <f t="shared" si="52"/>
        <v>3</v>
      </c>
      <c r="F149" s="39">
        <f t="shared" si="52"/>
        <v>27</v>
      </c>
      <c r="G149" s="50">
        <f t="shared" si="49"/>
        <v>508</v>
      </c>
      <c r="H149" s="44">
        <f t="shared" ref="H149:L149" si="54">H43+H44+H45+H46</f>
        <v>0</v>
      </c>
      <c r="I149" s="39">
        <f t="shared" si="54"/>
        <v>0</v>
      </c>
      <c r="J149" s="39">
        <f t="shared" si="54"/>
        <v>0</v>
      </c>
      <c r="K149" s="45">
        <f t="shared" si="54"/>
        <v>0</v>
      </c>
      <c r="L149" s="144">
        <f t="shared" si="54"/>
        <v>0</v>
      </c>
      <c r="M149" s="50">
        <f t="shared" si="14"/>
        <v>0</v>
      </c>
      <c r="N149" s="40">
        <f t="shared" si="15"/>
        <v>508</v>
      </c>
      <c r="O149" s="43">
        <f t="shared" si="16"/>
        <v>578.5</v>
      </c>
    </row>
    <row r="150" spans="1:15" ht="22.95" customHeight="1" x14ac:dyDescent="0.3">
      <c r="A150" s="52" t="s">
        <v>51</v>
      </c>
      <c r="B150" s="44">
        <f t="shared" si="52"/>
        <v>441</v>
      </c>
      <c r="C150" s="39">
        <f t="shared" si="52"/>
        <v>75</v>
      </c>
      <c r="D150" s="39">
        <f t="shared" si="52"/>
        <v>12</v>
      </c>
      <c r="E150" s="39">
        <f t="shared" si="52"/>
        <v>7</v>
      </c>
      <c r="F150" s="39">
        <f t="shared" si="52"/>
        <v>26</v>
      </c>
      <c r="G150" s="50">
        <f t="shared" si="49"/>
        <v>561</v>
      </c>
      <c r="H150" s="44">
        <f t="shared" ref="H150:L150" si="55">H44+H45+H46+H47</f>
        <v>0</v>
      </c>
      <c r="I150" s="39">
        <f t="shared" si="55"/>
        <v>0</v>
      </c>
      <c r="J150" s="39">
        <f t="shared" si="55"/>
        <v>0</v>
      </c>
      <c r="K150" s="45">
        <f t="shared" si="55"/>
        <v>0</v>
      </c>
      <c r="L150" s="144">
        <f t="shared" si="55"/>
        <v>0</v>
      </c>
      <c r="M150" s="50">
        <f t="shared" si="14"/>
        <v>0</v>
      </c>
      <c r="N150" s="40">
        <f t="shared" si="15"/>
        <v>561</v>
      </c>
      <c r="O150" s="43">
        <f t="shared" si="16"/>
        <v>634.5</v>
      </c>
    </row>
    <row r="151" spans="1:15" ht="22.95" customHeight="1" x14ac:dyDescent="0.3">
      <c r="A151" s="52" t="s">
        <v>52</v>
      </c>
      <c r="B151" s="44">
        <f t="shared" si="52"/>
        <v>412</v>
      </c>
      <c r="C151" s="39">
        <f t="shared" si="52"/>
        <v>60</v>
      </c>
      <c r="D151" s="39">
        <f t="shared" si="52"/>
        <v>11</v>
      </c>
      <c r="E151" s="39">
        <f t="shared" si="52"/>
        <v>7</v>
      </c>
      <c r="F151" s="39">
        <f t="shared" si="52"/>
        <v>28</v>
      </c>
      <c r="G151" s="50">
        <f t="shared" si="49"/>
        <v>518</v>
      </c>
      <c r="H151" s="44">
        <f t="shared" ref="H151:L151" si="56">H45+H46+H47+H48</f>
        <v>0</v>
      </c>
      <c r="I151" s="39">
        <f t="shared" si="56"/>
        <v>0</v>
      </c>
      <c r="J151" s="39">
        <f t="shared" si="56"/>
        <v>0</v>
      </c>
      <c r="K151" s="45">
        <f t="shared" si="56"/>
        <v>0</v>
      </c>
      <c r="L151" s="144">
        <f t="shared" si="56"/>
        <v>0</v>
      </c>
      <c r="M151" s="50">
        <f t="shared" si="14"/>
        <v>0</v>
      </c>
      <c r="N151" s="40">
        <f t="shared" si="15"/>
        <v>518</v>
      </c>
      <c r="O151" s="43">
        <f t="shared" si="16"/>
        <v>605.5</v>
      </c>
    </row>
    <row r="152" spans="1:15" ht="22.95" customHeight="1" x14ac:dyDescent="0.3">
      <c r="A152" s="52" t="s">
        <v>53</v>
      </c>
      <c r="B152" s="44">
        <f t="shared" si="52"/>
        <v>411</v>
      </c>
      <c r="C152" s="39">
        <f t="shared" si="52"/>
        <v>58</v>
      </c>
      <c r="D152" s="39">
        <f t="shared" si="52"/>
        <v>10</v>
      </c>
      <c r="E152" s="39">
        <f t="shared" si="52"/>
        <v>7</v>
      </c>
      <c r="F152" s="39">
        <f t="shared" si="52"/>
        <v>36</v>
      </c>
      <c r="G152" s="50">
        <f t="shared" si="49"/>
        <v>522</v>
      </c>
      <c r="H152" s="44">
        <f t="shared" ref="H152:L152" si="57">H46+H47+H48+H49</f>
        <v>0</v>
      </c>
      <c r="I152" s="39">
        <f t="shared" si="57"/>
        <v>0</v>
      </c>
      <c r="J152" s="39">
        <f t="shared" si="57"/>
        <v>0</v>
      </c>
      <c r="K152" s="45">
        <f t="shared" si="57"/>
        <v>0</v>
      </c>
      <c r="L152" s="144">
        <f t="shared" si="57"/>
        <v>0</v>
      </c>
      <c r="M152" s="50">
        <f t="shared" si="14"/>
        <v>0</v>
      </c>
      <c r="N152" s="40">
        <f t="shared" si="15"/>
        <v>522</v>
      </c>
      <c r="O152" s="43">
        <f t="shared" si="16"/>
        <v>638</v>
      </c>
    </row>
    <row r="153" spans="1:15" ht="22.95" customHeight="1" x14ac:dyDescent="0.3">
      <c r="A153" s="52" t="s">
        <v>54</v>
      </c>
      <c r="B153" s="44">
        <f t="shared" si="52"/>
        <v>376</v>
      </c>
      <c r="C153" s="39">
        <f t="shared" si="52"/>
        <v>56</v>
      </c>
      <c r="D153" s="39">
        <f t="shared" si="52"/>
        <v>8</v>
      </c>
      <c r="E153" s="39">
        <f t="shared" si="52"/>
        <v>7</v>
      </c>
      <c r="F153" s="39">
        <f t="shared" si="52"/>
        <v>31</v>
      </c>
      <c r="G153" s="50">
        <f t="shared" si="49"/>
        <v>478</v>
      </c>
      <c r="H153" s="44">
        <f t="shared" ref="H153:L153" si="58">H47+H48+H49+H50</f>
        <v>0</v>
      </c>
      <c r="I153" s="39">
        <f t="shared" si="58"/>
        <v>0</v>
      </c>
      <c r="J153" s="39">
        <f t="shared" si="58"/>
        <v>0</v>
      </c>
      <c r="K153" s="45">
        <f t="shared" si="58"/>
        <v>0</v>
      </c>
      <c r="L153" s="144">
        <f t="shared" si="58"/>
        <v>0</v>
      </c>
      <c r="M153" s="50">
        <f t="shared" si="14"/>
        <v>0</v>
      </c>
      <c r="N153" s="40">
        <f t="shared" si="15"/>
        <v>478</v>
      </c>
      <c r="O153" s="43">
        <f t="shared" si="16"/>
        <v>576.5</v>
      </c>
    </row>
    <row r="154" spans="1:15" ht="22.95" customHeight="1" x14ac:dyDescent="0.3">
      <c r="A154" s="52" t="s">
        <v>55</v>
      </c>
      <c r="B154" s="44">
        <f t="shared" si="52"/>
        <v>343</v>
      </c>
      <c r="C154" s="39">
        <f t="shared" si="52"/>
        <v>54</v>
      </c>
      <c r="D154" s="39">
        <f t="shared" si="52"/>
        <v>7</v>
      </c>
      <c r="E154" s="39">
        <f t="shared" si="52"/>
        <v>4</v>
      </c>
      <c r="F154" s="39">
        <f t="shared" si="52"/>
        <v>32</v>
      </c>
      <c r="G154" s="50">
        <f t="shared" si="49"/>
        <v>440</v>
      </c>
      <c r="H154" s="44">
        <f t="shared" ref="H154:L154" si="59">H48+H49+H50+H51</f>
        <v>0</v>
      </c>
      <c r="I154" s="39">
        <f t="shared" si="59"/>
        <v>0</v>
      </c>
      <c r="J154" s="39">
        <f t="shared" si="59"/>
        <v>0</v>
      </c>
      <c r="K154" s="45">
        <f t="shared" si="59"/>
        <v>0</v>
      </c>
      <c r="L154" s="144">
        <f t="shared" si="59"/>
        <v>0</v>
      </c>
      <c r="M154" s="50">
        <f t="shared" si="14"/>
        <v>0</v>
      </c>
      <c r="N154" s="40">
        <f t="shared" si="15"/>
        <v>440</v>
      </c>
      <c r="O154" s="43">
        <f t="shared" si="16"/>
        <v>536.5</v>
      </c>
    </row>
    <row r="155" spans="1:15" ht="22.95" customHeight="1" x14ac:dyDescent="0.3">
      <c r="A155" s="52" t="s">
        <v>56</v>
      </c>
      <c r="B155" s="44">
        <f t="shared" si="52"/>
        <v>346</v>
      </c>
      <c r="C155" s="39">
        <f t="shared" si="52"/>
        <v>58</v>
      </c>
      <c r="D155" s="39">
        <f t="shared" si="52"/>
        <v>13</v>
      </c>
      <c r="E155" s="39">
        <f t="shared" si="52"/>
        <v>5</v>
      </c>
      <c r="F155" s="39">
        <f t="shared" si="52"/>
        <v>31</v>
      </c>
      <c r="G155" s="50">
        <f t="shared" si="49"/>
        <v>453</v>
      </c>
      <c r="H155" s="44">
        <f t="shared" ref="H155:L155" si="60">H49+H50+H51+H52</f>
        <v>0</v>
      </c>
      <c r="I155" s="39">
        <f t="shared" si="60"/>
        <v>0</v>
      </c>
      <c r="J155" s="39">
        <f t="shared" si="60"/>
        <v>0</v>
      </c>
      <c r="K155" s="45">
        <f t="shared" si="60"/>
        <v>0</v>
      </c>
      <c r="L155" s="144">
        <f t="shared" si="60"/>
        <v>0</v>
      </c>
      <c r="M155" s="50">
        <f t="shared" si="14"/>
        <v>0</v>
      </c>
      <c r="N155" s="40">
        <f t="shared" si="15"/>
        <v>453</v>
      </c>
      <c r="O155" s="43">
        <f t="shared" si="16"/>
        <v>549</v>
      </c>
    </row>
    <row r="156" spans="1:15" ht="22.95" customHeight="1" x14ac:dyDescent="0.3">
      <c r="A156" s="52" t="s">
        <v>57</v>
      </c>
      <c r="B156" s="44">
        <f t="shared" si="52"/>
        <v>309</v>
      </c>
      <c r="C156" s="39">
        <f t="shared" si="52"/>
        <v>55</v>
      </c>
      <c r="D156" s="39">
        <f t="shared" si="52"/>
        <v>15</v>
      </c>
      <c r="E156" s="39">
        <f t="shared" si="52"/>
        <v>5</v>
      </c>
      <c r="F156" s="39">
        <f t="shared" si="52"/>
        <v>22</v>
      </c>
      <c r="G156" s="50">
        <f t="shared" si="49"/>
        <v>406</v>
      </c>
      <c r="H156" s="44">
        <f t="shared" ref="H156:L156" si="61">H50+H51+H52+H53</f>
        <v>0</v>
      </c>
      <c r="I156" s="39">
        <f t="shared" si="61"/>
        <v>0</v>
      </c>
      <c r="J156" s="39">
        <f t="shared" si="61"/>
        <v>0</v>
      </c>
      <c r="K156" s="45">
        <f t="shared" si="61"/>
        <v>0</v>
      </c>
      <c r="L156" s="144">
        <f t="shared" si="61"/>
        <v>0</v>
      </c>
      <c r="M156" s="50">
        <f t="shared" si="14"/>
        <v>0</v>
      </c>
      <c r="N156" s="40">
        <f t="shared" si="15"/>
        <v>406</v>
      </c>
      <c r="O156" s="43">
        <f t="shared" si="16"/>
        <v>473</v>
      </c>
    </row>
    <row r="157" spans="1:15" ht="22.95" customHeight="1" x14ac:dyDescent="0.3">
      <c r="A157" s="52" t="s">
        <v>58</v>
      </c>
      <c r="B157" s="44">
        <f t="shared" si="52"/>
        <v>269</v>
      </c>
      <c r="C157" s="39">
        <f t="shared" si="52"/>
        <v>44</v>
      </c>
      <c r="D157" s="39">
        <f t="shared" si="52"/>
        <v>17</v>
      </c>
      <c r="E157" s="39">
        <f t="shared" si="52"/>
        <v>4</v>
      </c>
      <c r="F157" s="39">
        <f t="shared" si="52"/>
        <v>30</v>
      </c>
      <c r="G157" s="50">
        <f t="shared" si="49"/>
        <v>364</v>
      </c>
      <c r="H157" s="44">
        <f t="shared" ref="H157:L157" si="62">H51+H52+H53+H54</f>
        <v>0</v>
      </c>
      <c r="I157" s="39">
        <f t="shared" si="62"/>
        <v>0</v>
      </c>
      <c r="J157" s="39">
        <f t="shared" si="62"/>
        <v>0</v>
      </c>
      <c r="K157" s="45">
        <f t="shared" si="62"/>
        <v>0</v>
      </c>
      <c r="L157" s="144">
        <f t="shared" si="62"/>
        <v>0</v>
      </c>
      <c r="M157" s="50">
        <f t="shared" si="14"/>
        <v>0</v>
      </c>
      <c r="N157" s="40">
        <f t="shared" si="15"/>
        <v>364</v>
      </c>
      <c r="O157" s="43">
        <f t="shared" si="16"/>
        <v>463.5</v>
      </c>
    </row>
    <row r="158" spans="1:15" ht="22.95" customHeight="1" x14ac:dyDescent="0.3">
      <c r="A158" s="52" t="s">
        <v>59</v>
      </c>
      <c r="B158" s="44">
        <f t="shared" si="52"/>
        <v>214</v>
      </c>
      <c r="C158" s="39">
        <f t="shared" si="52"/>
        <v>31</v>
      </c>
      <c r="D158" s="39">
        <f t="shared" si="52"/>
        <v>24</v>
      </c>
      <c r="E158" s="39">
        <f t="shared" si="52"/>
        <v>6</v>
      </c>
      <c r="F158" s="39">
        <f t="shared" si="52"/>
        <v>32</v>
      </c>
      <c r="G158" s="50">
        <f t="shared" si="49"/>
        <v>307</v>
      </c>
      <c r="H158" s="44">
        <f t="shared" ref="H158:L158" si="63">H52+H53+H54+H55</f>
        <v>0</v>
      </c>
      <c r="I158" s="39">
        <f t="shared" si="63"/>
        <v>0</v>
      </c>
      <c r="J158" s="39">
        <f t="shared" si="63"/>
        <v>0</v>
      </c>
      <c r="K158" s="45">
        <f t="shared" si="63"/>
        <v>0</v>
      </c>
      <c r="L158" s="144">
        <f t="shared" si="63"/>
        <v>0</v>
      </c>
      <c r="M158" s="50">
        <f t="shared" si="14"/>
        <v>0</v>
      </c>
      <c r="N158" s="40">
        <f t="shared" si="15"/>
        <v>307</v>
      </c>
      <c r="O158" s="43">
        <f t="shared" si="16"/>
        <v>427.5</v>
      </c>
    </row>
    <row r="159" spans="1:15" ht="22.95" customHeight="1" x14ac:dyDescent="0.3">
      <c r="A159" s="52" t="s">
        <v>77</v>
      </c>
      <c r="B159" s="44">
        <f t="shared" si="52"/>
        <v>196</v>
      </c>
      <c r="C159" s="39">
        <f t="shared" si="52"/>
        <v>18</v>
      </c>
      <c r="D159" s="39">
        <f t="shared" si="52"/>
        <v>16</v>
      </c>
      <c r="E159" s="39">
        <f t="shared" si="52"/>
        <v>7</v>
      </c>
      <c r="F159" s="39">
        <f t="shared" si="52"/>
        <v>35</v>
      </c>
      <c r="G159" s="50">
        <f t="shared" si="49"/>
        <v>272</v>
      </c>
      <c r="H159" s="44">
        <f t="shared" ref="H159:L159" si="64">H53+H54+H55+H56</f>
        <v>0</v>
      </c>
      <c r="I159" s="39">
        <f t="shared" si="64"/>
        <v>0</v>
      </c>
      <c r="J159" s="39">
        <f t="shared" si="64"/>
        <v>0</v>
      </c>
      <c r="K159" s="45">
        <f t="shared" si="64"/>
        <v>0</v>
      </c>
      <c r="L159" s="144">
        <f t="shared" si="64"/>
        <v>0</v>
      </c>
      <c r="M159" s="50">
        <f t="shared" si="14"/>
        <v>0</v>
      </c>
      <c r="N159" s="40">
        <f t="shared" si="15"/>
        <v>272</v>
      </c>
      <c r="O159" s="43">
        <f t="shared" si="16"/>
        <v>407.5</v>
      </c>
    </row>
    <row r="160" spans="1:15" ht="22.95" customHeight="1" x14ac:dyDescent="0.3">
      <c r="A160" s="52" t="s">
        <v>75</v>
      </c>
      <c r="B160" s="44">
        <f t="shared" si="52"/>
        <v>197</v>
      </c>
      <c r="C160" s="39">
        <f t="shared" si="52"/>
        <v>13</v>
      </c>
      <c r="D160" s="39">
        <f t="shared" si="52"/>
        <v>15</v>
      </c>
      <c r="E160" s="39">
        <f t="shared" si="52"/>
        <v>10</v>
      </c>
      <c r="F160" s="39">
        <f t="shared" si="52"/>
        <v>31</v>
      </c>
      <c r="G160" s="50">
        <f t="shared" si="49"/>
        <v>266</v>
      </c>
      <c r="H160" s="44">
        <f t="shared" ref="H160:L160" si="65">H54+H55+H56+H57</f>
        <v>0</v>
      </c>
      <c r="I160" s="39">
        <f t="shared" si="65"/>
        <v>0</v>
      </c>
      <c r="J160" s="39">
        <f t="shared" si="65"/>
        <v>0</v>
      </c>
      <c r="K160" s="45">
        <f t="shared" si="65"/>
        <v>0</v>
      </c>
      <c r="L160" s="144">
        <f t="shared" si="65"/>
        <v>0</v>
      </c>
      <c r="M160" s="50">
        <f t="shared" si="14"/>
        <v>0</v>
      </c>
      <c r="N160" s="40">
        <f t="shared" si="15"/>
        <v>266</v>
      </c>
      <c r="O160" s="43">
        <f t="shared" si="16"/>
        <v>395.5</v>
      </c>
    </row>
    <row r="161" spans="1:15" ht="22.95" customHeight="1" x14ac:dyDescent="0.3">
      <c r="A161" s="52" t="s">
        <v>76</v>
      </c>
      <c r="B161" s="44">
        <f t="shared" si="52"/>
        <v>210</v>
      </c>
      <c r="C161" s="39">
        <f t="shared" si="52"/>
        <v>17</v>
      </c>
      <c r="D161" s="39">
        <f t="shared" si="52"/>
        <v>14</v>
      </c>
      <c r="E161" s="39">
        <f t="shared" si="52"/>
        <v>11</v>
      </c>
      <c r="F161" s="39">
        <f t="shared" si="52"/>
        <v>29</v>
      </c>
      <c r="G161" s="50">
        <f t="shared" si="49"/>
        <v>281</v>
      </c>
      <c r="H161" s="44">
        <f t="shared" ref="H161:L161" si="66">H55+H56+H57+H58</f>
        <v>0</v>
      </c>
      <c r="I161" s="39">
        <f t="shared" si="66"/>
        <v>0</v>
      </c>
      <c r="J161" s="39">
        <f t="shared" si="66"/>
        <v>0</v>
      </c>
      <c r="K161" s="45">
        <f t="shared" si="66"/>
        <v>0</v>
      </c>
      <c r="L161" s="144">
        <f t="shared" si="66"/>
        <v>0</v>
      </c>
      <c r="M161" s="50">
        <f t="shared" si="14"/>
        <v>0</v>
      </c>
      <c r="N161" s="40">
        <f t="shared" si="15"/>
        <v>281</v>
      </c>
      <c r="O161" s="43">
        <f t="shared" si="16"/>
        <v>403</v>
      </c>
    </row>
    <row r="162" spans="1:15" ht="22.95" customHeight="1" x14ac:dyDescent="0.3">
      <c r="A162" s="52" t="s">
        <v>70</v>
      </c>
      <c r="B162" s="44">
        <f t="shared" si="52"/>
        <v>227</v>
      </c>
      <c r="C162" s="39">
        <f t="shared" si="52"/>
        <v>14</v>
      </c>
      <c r="D162" s="39">
        <f t="shared" si="52"/>
        <v>6</v>
      </c>
      <c r="E162" s="39">
        <f t="shared" si="52"/>
        <v>8</v>
      </c>
      <c r="F162" s="39">
        <f t="shared" si="52"/>
        <v>35</v>
      </c>
      <c r="G162" s="50">
        <f t="shared" si="49"/>
        <v>290</v>
      </c>
      <c r="H162" s="44">
        <f t="shared" ref="H162:L162" si="67">H56+H57+H58+H59</f>
        <v>0</v>
      </c>
      <c r="I162" s="39">
        <f t="shared" si="67"/>
        <v>0</v>
      </c>
      <c r="J162" s="39">
        <f t="shared" si="67"/>
        <v>0</v>
      </c>
      <c r="K162" s="45">
        <f t="shared" si="67"/>
        <v>0</v>
      </c>
      <c r="L162" s="144">
        <f t="shared" si="67"/>
        <v>0</v>
      </c>
      <c r="M162" s="50">
        <f t="shared" si="14"/>
        <v>0</v>
      </c>
      <c r="N162" s="40">
        <f t="shared" si="15"/>
        <v>290</v>
      </c>
      <c r="O162" s="43">
        <f t="shared" si="16"/>
        <v>424.5</v>
      </c>
    </row>
    <row r="163" spans="1:15" ht="22.95" customHeight="1" x14ac:dyDescent="0.3">
      <c r="A163" s="52" t="s">
        <v>71</v>
      </c>
      <c r="B163" s="44">
        <f t="shared" si="52"/>
        <v>233</v>
      </c>
      <c r="C163" s="39">
        <f t="shared" si="52"/>
        <v>18</v>
      </c>
      <c r="D163" s="39">
        <f t="shared" si="52"/>
        <v>7</v>
      </c>
      <c r="E163" s="39">
        <f t="shared" si="52"/>
        <v>7</v>
      </c>
      <c r="F163" s="39">
        <f t="shared" si="52"/>
        <v>40</v>
      </c>
      <c r="G163" s="50">
        <f t="shared" si="49"/>
        <v>305</v>
      </c>
      <c r="H163" s="44">
        <f t="shared" ref="H163:L163" si="68">H57+H58+H59+H60</f>
        <v>0</v>
      </c>
      <c r="I163" s="39">
        <f t="shared" si="68"/>
        <v>0</v>
      </c>
      <c r="J163" s="39">
        <f t="shared" si="68"/>
        <v>0</v>
      </c>
      <c r="K163" s="45">
        <f t="shared" si="68"/>
        <v>0</v>
      </c>
      <c r="L163" s="144">
        <f t="shared" si="68"/>
        <v>0</v>
      </c>
      <c r="M163" s="50">
        <f t="shared" si="14"/>
        <v>0</v>
      </c>
      <c r="N163" s="40">
        <f t="shared" si="15"/>
        <v>305</v>
      </c>
      <c r="O163" s="43">
        <f t="shared" si="16"/>
        <v>453.5</v>
      </c>
    </row>
    <row r="164" spans="1:15" ht="22.95" customHeight="1" x14ac:dyDescent="0.3">
      <c r="A164" s="52" t="s">
        <v>72</v>
      </c>
      <c r="B164" s="44">
        <f t="shared" ref="B164:F179" si="69">B58+B59+B60+B61</f>
        <v>213</v>
      </c>
      <c r="C164" s="39">
        <f t="shared" si="69"/>
        <v>19</v>
      </c>
      <c r="D164" s="39">
        <f t="shared" si="69"/>
        <v>5</v>
      </c>
      <c r="E164" s="39">
        <f t="shared" si="69"/>
        <v>8</v>
      </c>
      <c r="F164" s="39">
        <f t="shared" si="69"/>
        <v>48</v>
      </c>
      <c r="G164" s="50">
        <f t="shared" si="49"/>
        <v>293</v>
      </c>
      <c r="H164" s="44">
        <f t="shared" ref="H164:L164" si="70">H58+H59+H60+H61</f>
        <v>0</v>
      </c>
      <c r="I164" s="39">
        <f t="shared" si="70"/>
        <v>0</v>
      </c>
      <c r="J164" s="39">
        <f t="shared" si="70"/>
        <v>0</v>
      </c>
      <c r="K164" s="45">
        <f t="shared" si="70"/>
        <v>0</v>
      </c>
      <c r="L164" s="144">
        <f t="shared" si="70"/>
        <v>0</v>
      </c>
      <c r="M164" s="50">
        <f t="shared" si="14"/>
        <v>0</v>
      </c>
      <c r="N164" s="40">
        <f t="shared" si="15"/>
        <v>293</v>
      </c>
      <c r="O164" s="43">
        <f t="shared" si="16"/>
        <v>470</v>
      </c>
    </row>
    <row r="165" spans="1:15" ht="22.95" customHeight="1" x14ac:dyDescent="0.3">
      <c r="A165" s="52" t="s">
        <v>73</v>
      </c>
      <c r="B165" s="44">
        <f t="shared" si="69"/>
        <v>233</v>
      </c>
      <c r="C165" s="39">
        <f t="shared" si="69"/>
        <v>15</v>
      </c>
      <c r="D165" s="39">
        <f t="shared" si="69"/>
        <v>10</v>
      </c>
      <c r="E165" s="39">
        <f t="shared" si="69"/>
        <v>10</v>
      </c>
      <c r="F165" s="39">
        <f t="shared" si="69"/>
        <v>47</v>
      </c>
      <c r="G165" s="50">
        <f t="shared" si="49"/>
        <v>315</v>
      </c>
      <c r="H165" s="44">
        <f t="shared" ref="H165:L165" si="71">H59+H60+H61+H62</f>
        <v>0</v>
      </c>
      <c r="I165" s="39">
        <f t="shared" si="71"/>
        <v>0</v>
      </c>
      <c r="J165" s="39">
        <f t="shared" si="71"/>
        <v>0</v>
      </c>
      <c r="K165" s="45">
        <f t="shared" si="71"/>
        <v>0</v>
      </c>
      <c r="L165" s="144">
        <f t="shared" si="71"/>
        <v>0</v>
      </c>
      <c r="M165" s="50">
        <f t="shared" si="14"/>
        <v>0</v>
      </c>
      <c r="N165" s="40">
        <f t="shared" si="15"/>
        <v>315</v>
      </c>
      <c r="O165" s="43">
        <f t="shared" si="16"/>
        <v>497</v>
      </c>
    </row>
    <row r="166" spans="1:15" ht="22.95" customHeight="1" x14ac:dyDescent="0.3">
      <c r="A166" s="52" t="s">
        <v>74</v>
      </c>
      <c r="B166" s="44">
        <f t="shared" si="69"/>
        <v>235</v>
      </c>
      <c r="C166" s="39">
        <f t="shared" si="69"/>
        <v>26</v>
      </c>
      <c r="D166" s="39">
        <f t="shared" si="69"/>
        <v>18</v>
      </c>
      <c r="E166" s="39">
        <f t="shared" si="69"/>
        <v>10</v>
      </c>
      <c r="F166" s="39">
        <f t="shared" si="69"/>
        <v>41</v>
      </c>
      <c r="G166" s="50">
        <f t="shared" si="49"/>
        <v>330</v>
      </c>
      <c r="H166" s="44">
        <f t="shared" ref="H166:L166" si="72">H60+H61+H62+H63</f>
        <v>0</v>
      </c>
      <c r="I166" s="39">
        <f t="shared" si="72"/>
        <v>0</v>
      </c>
      <c r="J166" s="39">
        <f t="shared" si="72"/>
        <v>0</v>
      </c>
      <c r="K166" s="45">
        <f t="shared" si="72"/>
        <v>0</v>
      </c>
      <c r="L166" s="144">
        <f t="shared" si="72"/>
        <v>0</v>
      </c>
      <c r="M166" s="50">
        <f t="shared" si="14"/>
        <v>0</v>
      </c>
      <c r="N166" s="40">
        <f t="shared" si="15"/>
        <v>330</v>
      </c>
      <c r="O166" s="43">
        <f t="shared" si="16"/>
        <v>489.5</v>
      </c>
    </row>
    <row r="167" spans="1:15" ht="22.95" customHeight="1" x14ac:dyDescent="0.3">
      <c r="A167" s="52" t="s">
        <v>262</v>
      </c>
      <c r="B167" s="44">
        <f t="shared" si="69"/>
        <v>224</v>
      </c>
      <c r="C167" s="39">
        <f t="shared" si="69"/>
        <v>24</v>
      </c>
      <c r="D167" s="39">
        <f t="shared" si="69"/>
        <v>19</v>
      </c>
      <c r="E167" s="39">
        <f t="shared" si="69"/>
        <v>12</v>
      </c>
      <c r="F167" s="39">
        <f t="shared" si="69"/>
        <v>33</v>
      </c>
      <c r="G167" s="50">
        <f t="shared" si="49"/>
        <v>312</v>
      </c>
      <c r="H167" s="44">
        <f t="shared" ref="H167:L167" si="73">H61+H62+H63+H64</f>
        <v>0</v>
      </c>
      <c r="I167" s="39">
        <f t="shared" si="73"/>
        <v>0</v>
      </c>
      <c r="J167" s="39">
        <f t="shared" si="73"/>
        <v>0</v>
      </c>
      <c r="K167" s="45">
        <f t="shared" si="73"/>
        <v>0</v>
      </c>
      <c r="L167" s="144">
        <f t="shared" si="73"/>
        <v>0</v>
      </c>
      <c r="M167" s="50">
        <f t="shared" si="14"/>
        <v>0</v>
      </c>
      <c r="N167" s="40">
        <f t="shared" si="15"/>
        <v>312</v>
      </c>
      <c r="O167" s="43">
        <f t="shared" si="16"/>
        <v>449</v>
      </c>
    </row>
    <row r="168" spans="1:15" ht="22.95" customHeight="1" x14ac:dyDescent="0.3">
      <c r="A168" s="52" t="s">
        <v>263</v>
      </c>
      <c r="B168" s="44">
        <f t="shared" si="69"/>
        <v>223</v>
      </c>
      <c r="C168" s="39">
        <f t="shared" si="69"/>
        <v>20</v>
      </c>
      <c r="D168" s="39">
        <f t="shared" si="69"/>
        <v>22</v>
      </c>
      <c r="E168" s="39">
        <f t="shared" si="69"/>
        <v>8</v>
      </c>
      <c r="F168" s="39">
        <f t="shared" si="69"/>
        <v>29</v>
      </c>
      <c r="G168" s="50">
        <f t="shared" si="49"/>
        <v>302</v>
      </c>
      <c r="H168" s="44">
        <f t="shared" ref="H168:L168" si="74">H62+H63+H64+H65</f>
        <v>0</v>
      </c>
      <c r="I168" s="39">
        <f t="shared" si="74"/>
        <v>0</v>
      </c>
      <c r="J168" s="39">
        <f t="shared" si="74"/>
        <v>0</v>
      </c>
      <c r="K168" s="45">
        <f t="shared" si="74"/>
        <v>0</v>
      </c>
      <c r="L168" s="144">
        <f t="shared" si="74"/>
        <v>0</v>
      </c>
      <c r="M168" s="50">
        <f t="shared" si="14"/>
        <v>0</v>
      </c>
      <c r="N168" s="40">
        <f t="shared" si="15"/>
        <v>302</v>
      </c>
      <c r="O168" s="43">
        <f t="shared" si="16"/>
        <v>420.5</v>
      </c>
    </row>
    <row r="169" spans="1:15" ht="22.95" customHeight="1" x14ac:dyDescent="0.3">
      <c r="A169" s="52" t="s">
        <v>264</v>
      </c>
      <c r="B169" s="44">
        <f t="shared" si="69"/>
        <v>201</v>
      </c>
      <c r="C169" s="39">
        <f t="shared" si="69"/>
        <v>22</v>
      </c>
      <c r="D169" s="39">
        <f t="shared" si="69"/>
        <v>18</v>
      </c>
      <c r="E169" s="39">
        <f t="shared" si="69"/>
        <v>7</v>
      </c>
      <c r="F169" s="39">
        <f t="shared" si="69"/>
        <v>35</v>
      </c>
      <c r="G169" s="50">
        <f t="shared" si="49"/>
        <v>283</v>
      </c>
      <c r="H169" s="44">
        <f t="shared" ref="H169:L169" si="75">H63+H64+H65+H66</f>
        <v>0</v>
      </c>
      <c r="I169" s="39">
        <f t="shared" si="75"/>
        <v>0</v>
      </c>
      <c r="J169" s="39">
        <f t="shared" si="75"/>
        <v>0</v>
      </c>
      <c r="K169" s="45">
        <f t="shared" si="75"/>
        <v>0</v>
      </c>
      <c r="L169" s="144">
        <f t="shared" si="75"/>
        <v>0</v>
      </c>
      <c r="M169" s="50">
        <f t="shared" si="14"/>
        <v>0</v>
      </c>
      <c r="N169" s="40">
        <f t="shared" si="15"/>
        <v>283</v>
      </c>
      <c r="O169" s="43">
        <f t="shared" si="16"/>
        <v>417.5</v>
      </c>
    </row>
    <row r="170" spans="1:15" ht="22.95" customHeight="1" x14ac:dyDescent="0.3">
      <c r="A170" s="52" t="s">
        <v>265</v>
      </c>
      <c r="B170" s="44">
        <f t="shared" si="69"/>
        <v>176</v>
      </c>
      <c r="C170" s="39">
        <f t="shared" si="69"/>
        <v>12</v>
      </c>
      <c r="D170" s="39">
        <f t="shared" si="69"/>
        <v>16</v>
      </c>
      <c r="E170" s="39">
        <f t="shared" si="69"/>
        <v>8</v>
      </c>
      <c r="F170" s="39">
        <f t="shared" si="69"/>
        <v>31</v>
      </c>
      <c r="G170" s="50">
        <f t="shared" si="49"/>
        <v>243</v>
      </c>
      <c r="H170" s="44">
        <f t="shared" ref="H170:L170" si="76">H64+H65+H66+H67</f>
        <v>0</v>
      </c>
      <c r="I170" s="39">
        <f t="shared" si="76"/>
        <v>0</v>
      </c>
      <c r="J170" s="39">
        <f t="shared" si="76"/>
        <v>0</v>
      </c>
      <c r="K170" s="45">
        <f t="shared" si="76"/>
        <v>0</v>
      </c>
      <c r="L170" s="144">
        <f t="shared" si="76"/>
        <v>0</v>
      </c>
      <c r="M170" s="50">
        <f t="shared" si="14"/>
        <v>0</v>
      </c>
      <c r="N170" s="40">
        <f t="shared" si="15"/>
        <v>243</v>
      </c>
      <c r="O170" s="43">
        <f t="shared" si="16"/>
        <v>369.5</v>
      </c>
    </row>
    <row r="171" spans="1:15" ht="22.95" customHeight="1" x14ac:dyDescent="0.3">
      <c r="A171" s="52" t="s">
        <v>266</v>
      </c>
      <c r="B171" s="44">
        <f t="shared" si="69"/>
        <v>147</v>
      </c>
      <c r="C171" s="39">
        <f t="shared" si="69"/>
        <v>12</v>
      </c>
      <c r="D171" s="39">
        <f t="shared" si="69"/>
        <v>18</v>
      </c>
      <c r="E171" s="39">
        <f t="shared" si="69"/>
        <v>6</v>
      </c>
      <c r="F171" s="39">
        <f t="shared" si="69"/>
        <v>30</v>
      </c>
      <c r="G171" s="50">
        <f t="shared" si="49"/>
        <v>213</v>
      </c>
      <c r="H171" s="44">
        <f t="shared" ref="H171:L171" si="77">H65+H66+H67+H68</f>
        <v>0</v>
      </c>
      <c r="I171" s="39">
        <f t="shared" si="77"/>
        <v>0</v>
      </c>
      <c r="J171" s="39">
        <f t="shared" si="77"/>
        <v>0</v>
      </c>
      <c r="K171" s="45">
        <f t="shared" si="77"/>
        <v>0</v>
      </c>
      <c r="L171" s="144">
        <f t="shared" si="77"/>
        <v>0</v>
      </c>
      <c r="M171" s="50">
        <f t="shared" si="14"/>
        <v>0</v>
      </c>
      <c r="N171" s="40">
        <f t="shared" si="15"/>
        <v>213</v>
      </c>
      <c r="O171" s="43">
        <f t="shared" si="16"/>
        <v>333</v>
      </c>
    </row>
    <row r="172" spans="1:15" ht="22.95" customHeight="1" x14ac:dyDescent="0.3">
      <c r="A172" s="52" t="s">
        <v>267</v>
      </c>
      <c r="B172" s="44">
        <f t="shared" si="69"/>
        <v>123</v>
      </c>
      <c r="C172" s="39">
        <f t="shared" si="69"/>
        <v>12</v>
      </c>
      <c r="D172" s="39">
        <f t="shared" si="69"/>
        <v>16</v>
      </c>
      <c r="E172" s="39">
        <f t="shared" si="69"/>
        <v>7</v>
      </c>
      <c r="F172" s="39">
        <f t="shared" si="69"/>
        <v>28</v>
      </c>
      <c r="G172" s="50">
        <f t="shared" si="49"/>
        <v>186</v>
      </c>
      <c r="H172" s="44">
        <f t="shared" ref="H172:L172" si="78">H66+H67+H68+H69</f>
        <v>0</v>
      </c>
      <c r="I172" s="39">
        <f t="shared" si="78"/>
        <v>0</v>
      </c>
      <c r="J172" s="39">
        <f t="shared" si="78"/>
        <v>0</v>
      </c>
      <c r="K172" s="45">
        <f t="shared" si="78"/>
        <v>0</v>
      </c>
      <c r="L172" s="144">
        <f t="shared" si="78"/>
        <v>0</v>
      </c>
      <c r="M172" s="50">
        <f t="shared" si="14"/>
        <v>0</v>
      </c>
      <c r="N172" s="40">
        <f t="shared" si="15"/>
        <v>186</v>
      </c>
      <c r="O172" s="43">
        <f t="shared" si="16"/>
        <v>300</v>
      </c>
    </row>
    <row r="173" spans="1:15" ht="22.95" customHeight="1" x14ac:dyDescent="0.3">
      <c r="A173" s="52" t="s">
        <v>268</v>
      </c>
      <c r="B173" s="44">
        <f t="shared" si="69"/>
        <v>87</v>
      </c>
      <c r="C173" s="39">
        <f t="shared" si="69"/>
        <v>11</v>
      </c>
      <c r="D173" s="39">
        <f t="shared" si="69"/>
        <v>15</v>
      </c>
      <c r="E173" s="39">
        <f t="shared" si="69"/>
        <v>7</v>
      </c>
      <c r="F173" s="39">
        <f t="shared" si="69"/>
        <v>21</v>
      </c>
      <c r="G173" s="50">
        <f t="shared" si="49"/>
        <v>141</v>
      </c>
      <c r="H173" s="44">
        <f t="shared" ref="H173:L173" si="79">H67+H68+H69+H70</f>
        <v>0</v>
      </c>
      <c r="I173" s="39">
        <f t="shared" si="79"/>
        <v>0</v>
      </c>
      <c r="J173" s="39">
        <f t="shared" si="79"/>
        <v>0</v>
      </c>
      <c r="K173" s="45">
        <f t="shared" si="79"/>
        <v>0</v>
      </c>
      <c r="L173" s="144">
        <f t="shared" si="79"/>
        <v>0</v>
      </c>
      <c r="M173" s="50">
        <f t="shared" si="14"/>
        <v>0</v>
      </c>
      <c r="N173" s="40">
        <f t="shared" si="15"/>
        <v>141</v>
      </c>
      <c r="O173" s="43">
        <f t="shared" si="16"/>
        <v>230.5</v>
      </c>
    </row>
    <row r="174" spans="1:15" ht="22.95" customHeight="1" x14ac:dyDescent="0.3">
      <c r="A174" s="52" t="s">
        <v>269</v>
      </c>
      <c r="B174" s="44">
        <f t="shared" si="69"/>
        <v>65</v>
      </c>
      <c r="C174" s="39">
        <f t="shared" si="69"/>
        <v>11</v>
      </c>
      <c r="D174" s="39">
        <f t="shared" si="69"/>
        <v>11</v>
      </c>
      <c r="E174" s="39">
        <f t="shared" si="69"/>
        <v>6</v>
      </c>
      <c r="F174" s="39">
        <f t="shared" si="69"/>
        <v>21</v>
      </c>
      <c r="G174" s="50">
        <f t="shared" si="49"/>
        <v>114</v>
      </c>
      <c r="H174" s="44">
        <f t="shared" ref="H174:L174" si="80">H68+H69+H70+H71</f>
        <v>0</v>
      </c>
      <c r="I174" s="39">
        <f t="shared" si="80"/>
        <v>0</v>
      </c>
      <c r="J174" s="39">
        <f t="shared" si="80"/>
        <v>0</v>
      </c>
      <c r="K174" s="45">
        <f t="shared" si="80"/>
        <v>0</v>
      </c>
      <c r="L174" s="144">
        <f t="shared" si="80"/>
        <v>0</v>
      </c>
      <c r="M174" s="50">
        <f t="shared" si="14"/>
        <v>0</v>
      </c>
      <c r="N174" s="40">
        <f t="shared" si="15"/>
        <v>114</v>
      </c>
      <c r="O174" s="43">
        <f t="shared" si="16"/>
        <v>199.5</v>
      </c>
    </row>
    <row r="175" spans="1:15" ht="22.95" customHeight="1" x14ac:dyDescent="0.3">
      <c r="A175" s="54" t="s">
        <v>241</v>
      </c>
      <c r="B175" s="44">
        <f t="shared" si="69"/>
        <v>40</v>
      </c>
      <c r="C175" s="39">
        <f t="shared" si="69"/>
        <v>9</v>
      </c>
      <c r="D175" s="39">
        <f t="shared" si="69"/>
        <v>8</v>
      </c>
      <c r="E175" s="39">
        <f t="shared" si="69"/>
        <v>4</v>
      </c>
      <c r="F175" s="39">
        <f t="shared" si="69"/>
        <v>18</v>
      </c>
      <c r="G175" s="50">
        <f t="shared" si="49"/>
        <v>79</v>
      </c>
      <c r="H175" s="44">
        <f t="shared" ref="H175:L175" si="81">H69+H70+H71+H72</f>
        <v>0</v>
      </c>
      <c r="I175" s="39">
        <f t="shared" si="81"/>
        <v>0</v>
      </c>
      <c r="J175" s="39">
        <f t="shared" si="81"/>
        <v>0</v>
      </c>
      <c r="K175" s="45">
        <f t="shared" si="81"/>
        <v>0</v>
      </c>
      <c r="L175" s="144">
        <f t="shared" si="81"/>
        <v>0</v>
      </c>
      <c r="M175" s="50">
        <f t="shared" si="14"/>
        <v>0</v>
      </c>
      <c r="N175" s="40">
        <f t="shared" si="15"/>
        <v>79</v>
      </c>
      <c r="O175" s="43">
        <f t="shared" si="16"/>
        <v>149.5</v>
      </c>
    </row>
    <row r="176" spans="1:15" ht="22.95" customHeight="1" x14ac:dyDescent="0.3">
      <c r="A176" s="52" t="s">
        <v>242</v>
      </c>
      <c r="B176" s="44">
        <f t="shared" si="69"/>
        <v>31</v>
      </c>
      <c r="C176" s="39">
        <f t="shared" si="69"/>
        <v>7</v>
      </c>
      <c r="D176" s="39">
        <f t="shared" si="69"/>
        <v>8</v>
      </c>
      <c r="E176" s="39">
        <f t="shared" si="69"/>
        <v>5</v>
      </c>
      <c r="F176" s="39">
        <f t="shared" si="69"/>
        <v>14</v>
      </c>
      <c r="G176" s="50">
        <f t="shared" si="49"/>
        <v>65</v>
      </c>
      <c r="H176" s="44">
        <f t="shared" ref="H176:L176" si="82">H70+H71+H72+H73</f>
        <v>0</v>
      </c>
      <c r="I176" s="39">
        <f t="shared" si="82"/>
        <v>0</v>
      </c>
      <c r="J176" s="39">
        <f t="shared" si="82"/>
        <v>0</v>
      </c>
      <c r="K176" s="45">
        <f t="shared" si="82"/>
        <v>0</v>
      </c>
      <c r="L176" s="144">
        <f t="shared" si="82"/>
        <v>0</v>
      </c>
      <c r="M176" s="50">
        <f t="shared" si="14"/>
        <v>0</v>
      </c>
      <c r="N176" s="40">
        <f t="shared" si="15"/>
        <v>65</v>
      </c>
      <c r="O176" s="43">
        <f t="shared" si="16"/>
        <v>124.5</v>
      </c>
    </row>
    <row r="177" spans="1:15" ht="22.95" customHeight="1" x14ac:dyDescent="0.3">
      <c r="A177" s="52" t="s">
        <v>243</v>
      </c>
      <c r="B177" s="44">
        <f t="shared" si="69"/>
        <v>22</v>
      </c>
      <c r="C177" s="39">
        <f t="shared" si="69"/>
        <v>3</v>
      </c>
      <c r="D177" s="39">
        <f t="shared" si="69"/>
        <v>6</v>
      </c>
      <c r="E177" s="39">
        <f t="shared" si="69"/>
        <v>4</v>
      </c>
      <c r="F177" s="39">
        <f t="shared" si="69"/>
        <v>6</v>
      </c>
      <c r="G177" s="50">
        <f t="shared" si="49"/>
        <v>41</v>
      </c>
      <c r="H177" s="44">
        <f t="shared" ref="H177:L177" si="83">H71+H72+H73+H74</f>
        <v>0</v>
      </c>
      <c r="I177" s="39">
        <f t="shared" si="83"/>
        <v>0</v>
      </c>
      <c r="J177" s="39">
        <f t="shared" si="83"/>
        <v>0</v>
      </c>
      <c r="K177" s="45">
        <f t="shared" si="83"/>
        <v>0</v>
      </c>
      <c r="L177" s="144">
        <f t="shared" si="83"/>
        <v>0</v>
      </c>
      <c r="M177" s="50">
        <f t="shared" si="14"/>
        <v>0</v>
      </c>
      <c r="N177" s="40">
        <f t="shared" si="15"/>
        <v>41</v>
      </c>
      <c r="O177" s="43">
        <f t="shared" si="16"/>
        <v>71.5</v>
      </c>
    </row>
    <row r="178" spans="1:15" ht="22.95" customHeight="1" x14ac:dyDescent="0.3">
      <c r="A178" s="52" t="s">
        <v>244</v>
      </c>
      <c r="B178" s="44">
        <f t="shared" si="69"/>
        <v>16</v>
      </c>
      <c r="C178" s="39">
        <f t="shared" si="69"/>
        <v>3</v>
      </c>
      <c r="D178" s="39">
        <f t="shared" si="69"/>
        <v>4</v>
      </c>
      <c r="E178" s="39">
        <f t="shared" si="69"/>
        <v>3</v>
      </c>
      <c r="F178" s="39">
        <f t="shared" si="69"/>
        <v>4</v>
      </c>
      <c r="G178" s="50">
        <f t="shared" ref="G178:G206" si="84">SUM(B178:F178)</f>
        <v>30</v>
      </c>
      <c r="H178" s="44">
        <f t="shared" ref="H178:L178" si="85">H72+H73+H74+H75</f>
        <v>0</v>
      </c>
      <c r="I178" s="39">
        <f t="shared" si="85"/>
        <v>0</v>
      </c>
      <c r="J178" s="39">
        <f t="shared" si="85"/>
        <v>0</v>
      </c>
      <c r="K178" s="45">
        <f t="shared" si="85"/>
        <v>0</v>
      </c>
      <c r="L178" s="144">
        <f t="shared" si="85"/>
        <v>0</v>
      </c>
      <c r="M178" s="50">
        <f t="shared" si="14"/>
        <v>0</v>
      </c>
      <c r="N178" s="40">
        <f t="shared" si="15"/>
        <v>30</v>
      </c>
      <c r="O178" s="43">
        <f t="shared" si="16"/>
        <v>50.5</v>
      </c>
    </row>
    <row r="179" spans="1:15" ht="22.95" customHeight="1" x14ac:dyDescent="0.3">
      <c r="A179" s="52" t="s">
        <v>245</v>
      </c>
      <c r="B179" s="44">
        <f t="shared" si="69"/>
        <v>14</v>
      </c>
      <c r="C179" s="39">
        <f t="shared" si="69"/>
        <v>3</v>
      </c>
      <c r="D179" s="39">
        <f t="shared" si="69"/>
        <v>5</v>
      </c>
      <c r="E179" s="39">
        <f t="shared" si="69"/>
        <v>3</v>
      </c>
      <c r="F179" s="39">
        <f t="shared" si="69"/>
        <v>2</v>
      </c>
      <c r="G179" s="50">
        <f t="shared" si="84"/>
        <v>27</v>
      </c>
      <c r="H179" s="44">
        <f t="shared" ref="H179:L179" si="86">H73+H74+H75+H76</f>
        <v>0</v>
      </c>
      <c r="I179" s="39">
        <f t="shared" si="86"/>
        <v>0</v>
      </c>
      <c r="J179" s="39">
        <f t="shared" si="86"/>
        <v>0</v>
      </c>
      <c r="K179" s="45">
        <f t="shared" si="86"/>
        <v>0</v>
      </c>
      <c r="L179" s="144">
        <f t="shared" si="86"/>
        <v>0</v>
      </c>
      <c r="M179" s="50">
        <f t="shared" ref="M179:M206" si="87">SUM(H179:K179)</f>
        <v>0</v>
      </c>
      <c r="N179" s="40">
        <f t="shared" ref="N179:N206" si="88">G179+M179</f>
        <v>27</v>
      </c>
      <c r="O179" s="43">
        <f t="shared" ref="O179:O206" si="89">B179*1+C179*0.5+D179*1.5+E179*3+F179*4.5+H179*0.5+I179*1.5+J179*3+K179*4+L179*8</f>
        <v>41</v>
      </c>
    </row>
    <row r="180" spans="1:15" ht="22.95" customHeight="1" x14ac:dyDescent="0.3">
      <c r="A180" s="52" t="s">
        <v>246</v>
      </c>
      <c r="B180" s="44">
        <f t="shared" ref="B180:F195" si="90">B74+B75+B76+B77</f>
        <v>8</v>
      </c>
      <c r="C180" s="39">
        <f t="shared" si="90"/>
        <v>3</v>
      </c>
      <c r="D180" s="39">
        <f t="shared" si="90"/>
        <v>4</v>
      </c>
      <c r="E180" s="39">
        <f t="shared" si="90"/>
        <v>1</v>
      </c>
      <c r="F180" s="39">
        <f t="shared" si="90"/>
        <v>2</v>
      </c>
      <c r="G180" s="50">
        <f t="shared" si="84"/>
        <v>18</v>
      </c>
      <c r="H180" s="44">
        <f t="shared" ref="H180:L180" si="91">H74+H75+H76+H77</f>
        <v>0</v>
      </c>
      <c r="I180" s="39">
        <f t="shared" si="91"/>
        <v>0</v>
      </c>
      <c r="J180" s="39">
        <f t="shared" si="91"/>
        <v>0</v>
      </c>
      <c r="K180" s="45">
        <f t="shared" si="91"/>
        <v>0</v>
      </c>
      <c r="L180" s="144">
        <f t="shared" si="91"/>
        <v>0</v>
      </c>
      <c r="M180" s="50">
        <f t="shared" si="87"/>
        <v>0</v>
      </c>
      <c r="N180" s="40">
        <f t="shared" si="88"/>
        <v>18</v>
      </c>
      <c r="O180" s="43">
        <f t="shared" si="89"/>
        <v>27.5</v>
      </c>
    </row>
    <row r="181" spans="1:15" ht="22.95" customHeight="1" x14ac:dyDescent="0.3">
      <c r="A181" s="52" t="s">
        <v>247</v>
      </c>
      <c r="B181" s="44">
        <f t="shared" si="90"/>
        <v>8</v>
      </c>
      <c r="C181" s="39">
        <f t="shared" si="90"/>
        <v>3</v>
      </c>
      <c r="D181" s="39">
        <f t="shared" si="90"/>
        <v>3</v>
      </c>
      <c r="E181" s="39">
        <f t="shared" si="90"/>
        <v>0</v>
      </c>
      <c r="F181" s="39">
        <f t="shared" si="90"/>
        <v>2</v>
      </c>
      <c r="G181" s="50">
        <f t="shared" si="84"/>
        <v>16</v>
      </c>
      <c r="H181" s="44">
        <f t="shared" ref="H181:L181" si="92">H75+H76+H77+H78</f>
        <v>0</v>
      </c>
      <c r="I181" s="39">
        <f t="shared" si="92"/>
        <v>0</v>
      </c>
      <c r="J181" s="39">
        <f t="shared" si="92"/>
        <v>0</v>
      </c>
      <c r="K181" s="45">
        <f t="shared" si="92"/>
        <v>0</v>
      </c>
      <c r="L181" s="144">
        <f t="shared" si="92"/>
        <v>0</v>
      </c>
      <c r="M181" s="50">
        <f t="shared" si="87"/>
        <v>0</v>
      </c>
      <c r="N181" s="40">
        <f t="shared" si="88"/>
        <v>16</v>
      </c>
      <c r="O181" s="43">
        <f t="shared" si="89"/>
        <v>23</v>
      </c>
    </row>
    <row r="182" spans="1:15" ht="22.95" customHeight="1" x14ac:dyDescent="0.3">
      <c r="A182" s="52" t="s">
        <v>248</v>
      </c>
      <c r="B182" s="44">
        <f t="shared" si="90"/>
        <v>6</v>
      </c>
      <c r="C182" s="39">
        <f t="shared" si="90"/>
        <v>1</v>
      </c>
      <c r="D182" s="39">
        <f t="shared" si="90"/>
        <v>3</v>
      </c>
      <c r="E182" s="39">
        <f t="shared" si="90"/>
        <v>0</v>
      </c>
      <c r="F182" s="39">
        <f t="shared" si="90"/>
        <v>0</v>
      </c>
      <c r="G182" s="50">
        <f t="shared" si="84"/>
        <v>10</v>
      </c>
      <c r="H182" s="44">
        <f t="shared" ref="H182:L182" si="93">H76+H77+H78+H79</f>
        <v>0</v>
      </c>
      <c r="I182" s="39">
        <f t="shared" si="93"/>
        <v>0</v>
      </c>
      <c r="J182" s="39">
        <f t="shared" si="93"/>
        <v>0</v>
      </c>
      <c r="K182" s="45">
        <f t="shared" si="93"/>
        <v>0</v>
      </c>
      <c r="L182" s="144">
        <f t="shared" si="93"/>
        <v>0</v>
      </c>
      <c r="M182" s="50">
        <f t="shared" si="87"/>
        <v>0</v>
      </c>
      <c r="N182" s="40">
        <f t="shared" si="88"/>
        <v>10</v>
      </c>
      <c r="O182" s="43">
        <f t="shared" si="89"/>
        <v>11</v>
      </c>
    </row>
    <row r="183" spans="1:15" ht="22.95" customHeight="1" x14ac:dyDescent="0.3">
      <c r="A183" s="52" t="s">
        <v>249</v>
      </c>
      <c r="B183" s="44">
        <f t="shared" si="90"/>
        <v>4</v>
      </c>
      <c r="C183" s="39">
        <f t="shared" si="90"/>
        <v>0</v>
      </c>
      <c r="D183" s="39">
        <f t="shared" si="90"/>
        <v>3</v>
      </c>
      <c r="E183" s="39">
        <f t="shared" si="90"/>
        <v>1</v>
      </c>
      <c r="F183" s="39">
        <f t="shared" si="90"/>
        <v>0</v>
      </c>
      <c r="G183" s="50">
        <f t="shared" si="84"/>
        <v>8</v>
      </c>
      <c r="H183" s="44">
        <f t="shared" ref="H183:L183" si="94">H77+H78+H79+H80</f>
        <v>0</v>
      </c>
      <c r="I183" s="39">
        <f t="shared" si="94"/>
        <v>0</v>
      </c>
      <c r="J183" s="39">
        <f t="shared" si="94"/>
        <v>0</v>
      </c>
      <c r="K183" s="45">
        <f t="shared" si="94"/>
        <v>0</v>
      </c>
      <c r="L183" s="144">
        <f t="shared" si="94"/>
        <v>0</v>
      </c>
      <c r="M183" s="50">
        <f t="shared" si="87"/>
        <v>0</v>
      </c>
      <c r="N183" s="40">
        <f t="shared" si="88"/>
        <v>8</v>
      </c>
      <c r="O183" s="43">
        <f t="shared" si="89"/>
        <v>11.5</v>
      </c>
    </row>
    <row r="184" spans="1:15" ht="22.95" customHeight="1" x14ac:dyDescent="0.3">
      <c r="A184" s="52" t="s">
        <v>250</v>
      </c>
      <c r="B184" s="44">
        <f t="shared" si="90"/>
        <v>5</v>
      </c>
      <c r="C184" s="39">
        <f t="shared" si="90"/>
        <v>0</v>
      </c>
      <c r="D184" s="39">
        <f t="shared" si="90"/>
        <v>2</v>
      </c>
      <c r="E184" s="39">
        <f t="shared" si="90"/>
        <v>1</v>
      </c>
      <c r="F184" s="39">
        <f t="shared" si="90"/>
        <v>0</v>
      </c>
      <c r="G184" s="50">
        <f t="shared" si="84"/>
        <v>8</v>
      </c>
      <c r="H184" s="44">
        <f t="shared" ref="H184:L184" si="95">H78+H79+H80+H81</f>
        <v>0</v>
      </c>
      <c r="I184" s="39">
        <f t="shared" si="95"/>
        <v>0</v>
      </c>
      <c r="J184" s="39">
        <f t="shared" si="95"/>
        <v>0</v>
      </c>
      <c r="K184" s="45">
        <f t="shared" si="95"/>
        <v>0</v>
      </c>
      <c r="L184" s="144">
        <f t="shared" si="95"/>
        <v>0</v>
      </c>
      <c r="M184" s="50">
        <f t="shared" si="87"/>
        <v>0</v>
      </c>
      <c r="N184" s="40">
        <f t="shared" si="88"/>
        <v>8</v>
      </c>
      <c r="O184" s="43">
        <f t="shared" si="89"/>
        <v>11</v>
      </c>
    </row>
    <row r="185" spans="1:15" ht="22.95" customHeight="1" x14ac:dyDescent="0.3">
      <c r="A185" s="52" t="s">
        <v>251</v>
      </c>
      <c r="B185" s="44">
        <f t="shared" si="90"/>
        <v>7</v>
      </c>
      <c r="C185" s="39">
        <f t="shared" si="90"/>
        <v>0</v>
      </c>
      <c r="D185" s="39">
        <f t="shared" si="90"/>
        <v>2</v>
      </c>
      <c r="E185" s="39">
        <f t="shared" si="90"/>
        <v>1</v>
      </c>
      <c r="F185" s="39">
        <f t="shared" si="90"/>
        <v>0</v>
      </c>
      <c r="G185" s="50">
        <f t="shared" si="84"/>
        <v>10</v>
      </c>
      <c r="H185" s="44">
        <f t="shared" ref="H185:L185" si="96">H79+H80+H81+H82</f>
        <v>0</v>
      </c>
      <c r="I185" s="39">
        <f t="shared" si="96"/>
        <v>0</v>
      </c>
      <c r="J185" s="39">
        <f t="shared" si="96"/>
        <v>0</v>
      </c>
      <c r="K185" s="45">
        <f t="shared" si="96"/>
        <v>0</v>
      </c>
      <c r="L185" s="144">
        <f t="shared" si="96"/>
        <v>0</v>
      </c>
      <c r="M185" s="50">
        <f t="shared" si="87"/>
        <v>0</v>
      </c>
      <c r="N185" s="40">
        <f t="shared" si="88"/>
        <v>10</v>
      </c>
      <c r="O185" s="43">
        <f t="shared" si="89"/>
        <v>13</v>
      </c>
    </row>
    <row r="186" spans="1:15" ht="22.95" customHeight="1" x14ac:dyDescent="0.3">
      <c r="A186" s="52" t="s">
        <v>252</v>
      </c>
      <c r="B186" s="44">
        <f t="shared" si="90"/>
        <v>8</v>
      </c>
      <c r="C186" s="39">
        <f t="shared" si="90"/>
        <v>0</v>
      </c>
      <c r="D186" s="39">
        <f t="shared" si="90"/>
        <v>2</v>
      </c>
      <c r="E186" s="39">
        <f t="shared" si="90"/>
        <v>1</v>
      </c>
      <c r="F186" s="39">
        <f t="shared" si="90"/>
        <v>1</v>
      </c>
      <c r="G186" s="50">
        <f t="shared" si="84"/>
        <v>12</v>
      </c>
      <c r="H186" s="44">
        <f t="shared" ref="H186:L186" si="97">H80+H81+H82+H83</f>
        <v>0</v>
      </c>
      <c r="I186" s="39">
        <f t="shared" si="97"/>
        <v>0</v>
      </c>
      <c r="J186" s="39">
        <f t="shared" si="97"/>
        <v>0</v>
      </c>
      <c r="K186" s="45">
        <f t="shared" si="97"/>
        <v>0</v>
      </c>
      <c r="L186" s="144">
        <f t="shared" si="97"/>
        <v>0</v>
      </c>
      <c r="M186" s="50">
        <f t="shared" si="87"/>
        <v>0</v>
      </c>
      <c r="N186" s="40">
        <f t="shared" si="88"/>
        <v>12</v>
      </c>
      <c r="O186" s="43">
        <f t="shared" si="89"/>
        <v>18.5</v>
      </c>
    </row>
    <row r="187" spans="1:15" ht="22.95" customHeight="1" x14ac:dyDescent="0.3">
      <c r="A187" s="52" t="s">
        <v>253</v>
      </c>
      <c r="B187" s="44">
        <f t="shared" si="90"/>
        <v>9</v>
      </c>
      <c r="C187" s="39">
        <f t="shared" si="90"/>
        <v>0</v>
      </c>
      <c r="D187" s="39">
        <f t="shared" si="90"/>
        <v>0</v>
      </c>
      <c r="E187" s="39">
        <f t="shared" si="90"/>
        <v>0</v>
      </c>
      <c r="F187" s="39">
        <f t="shared" si="90"/>
        <v>1</v>
      </c>
      <c r="G187" s="50">
        <f t="shared" si="84"/>
        <v>10</v>
      </c>
      <c r="H187" s="44">
        <f t="shared" ref="H187:L187" si="98">H81+H82+H83+H84</f>
        <v>0</v>
      </c>
      <c r="I187" s="39">
        <f t="shared" si="98"/>
        <v>0</v>
      </c>
      <c r="J187" s="39">
        <f t="shared" si="98"/>
        <v>0</v>
      </c>
      <c r="K187" s="45">
        <f t="shared" si="98"/>
        <v>0</v>
      </c>
      <c r="L187" s="144">
        <f t="shared" si="98"/>
        <v>0</v>
      </c>
      <c r="M187" s="50">
        <f t="shared" si="87"/>
        <v>0</v>
      </c>
      <c r="N187" s="40">
        <f t="shared" si="88"/>
        <v>10</v>
      </c>
      <c r="O187" s="43">
        <f t="shared" si="89"/>
        <v>13.5</v>
      </c>
    </row>
    <row r="188" spans="1:15" ht="22.95" customHeight="1" x14ac:dyDescent="0.3">
      <c r="A188" s="52" t="s">
        <v>254</v>
      </c>
      <c r="B188" s="44">
        <f t="shared" si="90"/>
        <v>7</v>
      </c>
      <c r="C188" s="39">
        <f t="shared" si="90"/>
        <v>1</v>
      </c>
      <c r="D188" s="39">
        <f t="shared" si="90"/>
        <v>1</v>
      </c>
      <c r="E188" s="39">
        <f t="shared" si="90"/>
        <v>0</v>
      </c>
      <c r="F188" s="39">
        <f t="shared" si="90"/>
        <v>1</v>
      </c>
      <c r="G188" s="50">
        <f t="shared" si="84"/>
        <v>10</v>
      </c>
      <c r="H188" s="44">
        <f t="shared" ref="H188:L188" si="99">H82+H83+H84+H85</f>
        <v>0</v>
      </c>
      <c r="I188" s="39">
        <f t="shared" si="99"/>
        <v>0</v>
      </c>
      <c r="J188" s="39">
        <f t="shared" si="99"/>
        <v>0</v>
      </c>
      <c r="K188" s="45">
        <f t="shared" si="99"/>
        <v>0</v>
      </c>
      <c r="L188" s="144">
        <f t="shared" si="99"/>
        <v>0</v>
      </c>
      <c r="M188" s="50">
        <f t="shared" si="87"/>
        <v>0</v>
      </c>
      <c r="N188" s="40">
        <f t="shared" si="88"/>
        <v>10</v>
      </c>
      <c r="O188" s="43">
        <f t="shared" si="89"/>
        <v>13.5</v>
      </c>
    </row>
    <row r="189" spans="1:15" ht="22.95" customHeight="1" x14ac:dyDescent="0.3">
      <c r="A189" s="52" t="s">
        <v>255</v>
      </c>
      <c r="B189" s="44">
        <f t="shared" si="90"/>
        <v>5</v>
      </c>
      <c r="C189" s="39">
        <f t="shared" si="90"/>
        <v>1</v>
      </c>
      <c r="D189" s="39">
        <f t="shared" si="90"/>
        <v>1</v>
      </c>
      <c r="E189" s="39">
        <f t="shared" si="90"/>
        <v>0</v>
      </c>
      <c r="F189" s="39">
        <f t="shared" si="90"/>
        <v>1</v>
      </c>
      <c r="G189" s="50">
        <f t="shared" si="84"/>
        <v>8</v>
      </c>
      <c r="H189" s="44">
        <f t="shared" ref="H189:L189" si="100">H83+H84+H85+H86</f>
        <v>0</v>
      </c>
      <c r="I189" s="39">
        <f t="shared" si="100"/>
        <v>0</v>
      </c>
      <c r="J189" s="39">
        <f t="shared" si="100"/>
        <v>0</v>
      </c>
      <c r="K189" s="45">
        <f t="shared" si="100"/>
        <v>0</v>
      </c>
      <c r="L189" s="144">
        <f t="shared" si="100"/>
        <v>0</v>
      </c>
      <c r="M189" s="50">
        <f t="shared" si="87"/>
        <v>0</v>
      </c>
      <c r="N189" s="40">
        <f t="shared" si="88"/>
        <v>8</v>
      </c>
      <c r="O189" s="43">
        <f t="shared" si="89"/>
        <v>11.5</v>
      </c>
    </row>
    <row r="190" spans="1:15" ht="22.95" customHeight="1" x14ac:dyDescent="0.3">
      <c r="A190" s="52" t="s">
        <v>256</v>
      </c>
      <c r="B190" s="44">
        <f t="shared" si="90"/>
        <v>4</v>
      </c>
      <c r="C190" s="39">
        <f t="shared" si="90"/>
        <v>2</v>
      </c>
      <c r="D190" s="39">
        <f t="shared" si="90"/>
        <v>1</v>
      </c>
      <c r="E190" s="39">
        <f t="shared" si="90"/>
        <v>0</v>
      </c>
      <c r="F190" s="39">
        <f t="shared" si="90"/>
        <v>0</v>
      </c>
      <c r="G190" s="50">
        <f t="shared" si="84"/>
        <v>7</v>
      </c>
      <c r="H190" s="44">
        <f t="shared" ref="H190:L190" si="101">H84+H85+H86+H87</f>
        <v>0</v>
      </c>
      <c r="I190" s="39">
        <f t="shared" si="101"/>
        <v>0</v>
      </c>
      <c r="J190" s="39">
        <f t="shared" si="101"/>
        <v>0</v>
      </c>
      <c r="K190" s="45">
        <f t="shared" si="101"/>
        <v>0</v>
      </c>
      <c r="L190" s="144">
        <f t="shared" si="101"/>
        <v>0</v>
      </c>
      <c r="M190" s="50">
        <f t="shared" si="87"/>
        <v>0</v>
      </c>
      <c r="N190" s="40">
        <f t="shared" si="88"/>
        <v>7</v>
      </c>
      <c r="O190" s="43">
        <f t="shared" si="89"/>
        <v>6.5</v>
      </c>
    </row>
    <row r="191" spans="1:15" ht="22.95" customHeight="1" x14ac:dyDescent="0.3">
      <c r="A191" s="52" t="s">
        <v>257</v>
      </c>
      <c r="B191" s="44">
        <f t="shared" si="90"/>
        <v>5</v>
      </c>
      <c r="C191" s="39">
        <f t="shared" si="90"/>
        <v>2</v>
      </c>
      <c r="D191" s="39">
        <f t="shared" si="90"/>
        <v>1</v>
      </c>
      <c r="E191" s="39">
        <f t="shared" si="90"/>
        <v>0</v>
      </c>
      <c r="F191" s="39">
        <f t="shared" si="90"/>
        <v>0</v>
      </c>
      <c r="G191" s="50">
        <f t="shared" si="84"/>
        <v>8</v>
      </c>
      <c r="H191" s="44">
        <f t="shared" ref="H191:L191" si="102">H85+H86+H87+H88</f>
        <v>0</v>
      </c>
      <c r="I191" s="39">
        <f t="shared" si="102"/>
        <v>0</v>
      </c>
      <c r="J191" s="39">
        <f t="shared" si="102"/>
        <v>0</v>
      </c>
      <c r="K191" s="45">
        <f t="shared" si="102"/>
        <v>0</v>
      </c>
      <c r="L191" s="144">
        <f t="shared" si="102"/>
        <v>0</v>
      </c>
      <c r="M191" s="50">
        <f t="shared" si="87"/>
        <v>0</v>
      </c>
      <c r="N191" s="40">
        <f t="shared" si="88"/>
        <v>8</v>
      </c>
      <c r="O191" s="43">
        <f t="shared" si="89"/>
        <v>7.5</v>
      </c>
    </row>
    <row r="192" spans="1:15" ht="22.95" customHeight="1" x14ac:dyDescent="0.3">
      <c r="A192" s="52" t="s">
        <v>258</v>
      </c>
      <c r="B192" s="44">
        <f t="shared" si="90"/>
        <v>8</v>
      </c>
      <c r="C192" s="39">
        <f t="shared" si="90"/>
        <v>2</v>
      </c>
      <c r="D192" s="39">
        <f t="shared" si="90"/>
        <v>0</v>
      </c>
      <c r="E192" s="39">
        <f t="shared" si="90"/>
        <v>0</v>
      </c>
      <c r="F192" s="39">
        <f t="shared" si="90"/>
        <v>0</v>
      </c>
      <c r="G192" s="50">
        <f t="shared" si="84"/>
        <v>10</v>
      </c>
      <c r="H192" s="44">
        <f t="shared" ref="H192:L192" si="103">H86+H87+H88+H89</f>
        <v>0</v>
      </c>
      <c r="I192" s="39">
        <f t="shared" si="103"/>
        <v>0</v>
      </c>
      <c r="J192" s="39">
        <f t="shared" si="103"/>
        <v>0</v>
      </c>
      <c r="K192" s="45">
        <f t="shared" si="103"/>
        <v>0</v>
      </c>
      <c r="L192" s="144">
        <f t="shared" si="103"/>
        <v>0</v>
      </c>
      <c r="M192" s="50">
        <f t="shared" si="87"/>
        <v>0</v>
      </c>
      <c r="N192" s="40">
        <f t="shared" si="88"/>
        <v>10</v>
      </c>
      <c r="O192" s="43">
        <f t="shared" si="89"/>
        <v>9</v>
      </c>
    </row>
    <row r="193" spans="1:15" ht="22.95" customHeight="1" x14ac:dyDescent="0.3">
      <c r="A193" s="52" t="s">
        <v>259</v>
      </c>
      <c r="B193" s="44">
        <f t="shared" si="90"/>
        <v>8</v>
      </c>
      <c r="C193" s="39">
        <f t="shared" si="90"/>
        <v>2</v>
      </c>
      <c r="D193" s="39">
        <f t="shared" si="90"/>
        <v>0</v>
      </c>
      <c r="E193" s="39">
        <f t="shared" si="90"/>
        <v>0</v>
      </c>
      <c r="F193" s="39">
        <f t="shared" si="90"/>
        <v>1</v>
      </c>
      <c r="G193" s="50">
        <f t="shared" si="84"/>
        <v>11</v>
      </c>
      <c r="H193" s="44">
        <f t="shared" ref="H193:L193" si="104">H87+H88+H89+H90</f>
        <v>0</v>
      </c>
      <c r="I193" s="39">
        <f t="shared" si="104"/>
        <v>0</v>
      </c>
      <c r="J193" s="39">
        <f t="shared" si="104"/>
        <v>0</v>
      </c>
      <c r="K193" s="45">
        <f t="shared" si="104"/>
        <v>0</v>
      </c>
      <c r="L193" s="144">
        <f t="shared" si="104"/>
        <v>0</v>
      </c>
      <c r="M193" s="50">
        <f t="shared" si="87"/>
        <v>0</v>
      </c>
      <c r="N193" s="40">
        <f t="shared" si="88"/>
        <v>11</v>
      </c>
      <c r="O193" s="43">
        <f t="shared" si="89"/>
        <v>13.5</v>
      </c>
    </row>
    <row r="194" spans="1:15" ht="22.95" customHeight="1" x14ac:dyDescent="0.3">
      <c r="A194" s="52" t="s">
        <v>260</v>
      </c>
      <c r="B194" s="44">
        <f t="shared" si="90"/>
        <v>14</v>
      </c>
      <c r="C194" s="39">
        <f t="shared" si="90"/>
        <v>1</v>
      </c>
      <c r="D194" s="39">
        <f t="shared" si="90"/>
        <v>0</v>
      </c>
      <c r="E194" s="39">
        <f t="shared" si="90"/>
        <v>0</v>
      </c>
      <c r="F194" s="39">
        <f t="shared" si="90"/>
        <v>1</v>
      </c>
      <c r="G194" s="50">
        <f t="shared" si="84"/>
        <v>16</v>
      </c>
      <c r="H194" s="44">
        <f t="shared" ref="H194:L194" si="105">H88+H89+H90+H91</f>
        <v>0</v>
      </c>
      <c r="I194" s="39">
        <f t="shared" si="105"/>
        <v>0</v>
      </c>
      <c r="J194" s="39">
        <f t="shared" si="105"/>
        <v>0</v>
      </c>
      <c r="K194" s="45">
        <f t="shared" si="105"/>
        <v>0</v>
      </c>
      <c r="L194" s="144">
        <f t="shared" si="105"/>
        <v>0</v>
      </c>
      <c r="M194" s="50">
        <f t="shared" si="87"/>
        <v>0</v>
      </c>
      <c r="N194" s="40">
        <f t="shared" si="88"/>
        <v>16</v>
      </c>
      <c r="O194" s="43">
        <f t="shared" si="89"/>
        <v>19</v>
      </c>
    </row>
    <row r="195" spans="1:15" ht="22.95" customHeight="1" x14ac:dyDescent="0.3">
      <c r="A195" s="52" t="s">
        <v>261</v>
      </c>
      <c r="B195" s="44">
        <f t="shared" si="90"/>
        <v>16</v>
      </c>
      <c r="C195" s="39">
        <f t="shared" si="90"/>
        <v>3</v>
      </c>
      <c r="D195" s="39">
        <f t="shared" si="90"/>
        <v>0</v>
      </c>
      <c r="E195" s="39">
        <f t="shared" si="90"/>
        <v>0</v>
      </c>
      <c r="F195" s="39">
        <f t="shared" si="90"/>
        <v>1</v>
      </c>
      <c r="G195" s="50">
        <f t="shared" si="84"/>
        <v>20</v>
      </c>
      <c r="H195" s="44">
        <f t="shared" ref="H195:L195" si="106">H89+H90+H91+H92</f>
        <v>0</v>
      </c>
      <c r="I195" s="39">
        <f t="shared" si="106"/>
        <v>0</v>
      </c>
      <c r="J195" s="39">
        <f t="shared" si="106"/>
        <v>0</v>
      </c>
      <c r="K195" s="45">
        <f t="shared" si="106"/>
        <v>0</v>
      </c>
      <c r="L195" s="144">
        <f t="shared" si="106"/>
        <v>0</v>
      </c>
      <c r="M195" s="50">
        <f t="shared" si="87"/>
        <v>0</v>
      </c>
      <c r="N195" s="40">
        <f t="shared" si="88"/>
        <v>20</v>
      </c>
      <c r="O195" s="43">
        <f t="shared" si="89"/>
        <v>22</v>
      </c>
    </row>
    <row r="196" spans="1:15" ht="22.95" customHeight="1" x14ac:dyDescent="0.3">
      <c r="A196" s="52" t="s">
        <v>270</v>
      </c>
      <c r="B196" s="44">
        <f t="shared" ref="B196:F206" si="107">B90+B91+B92+B93</f>
        <v>18</v>
      </c>
      <c r="C196" s="39">
        <f t="shared" si="107"/>
        <v>3</v>
      </c>
      <c r="D196" s="39">
        <f t="shared" si="107"/>
        <v>0</v>
      </c>
      <c r="E196" s="39">
        <f t="shared" si="107"/>
        <v>0</v>
      </c>
      <c r="F196" s="39">
        <f t="shared" si="107"/>
        <v>2</v>
      </c>
      <c r="G196" s="50">
        <f t="shared" si="84"/>
        <v>23</v>
      </c>
      <c r="H196" s="44">
        <f t="shared" ref="H196:L196" si="108">H90+H91+H92+H93</f>
        <v>0</v>
      </c>
      <c r="I196" s="39">
        <f t="shared" si="108"/>
        <v>0</v>
      </c>
      <c r="J196" s="39">
        <f t="shared" si="108"/>
        <v>0</v>
      </c>
      <c r="K196" s="45">
        <f t="shared" si="108"/>
        <v>0</v>
      </c>
      <c r="L196" s="144">
        <f t="shared" si="108"/>
        <v>0</v>
      </c>
      <c r="M196" s="50">
        <f t="shared" si="87"/>
        <v>0</v>
      </c>
      <c r="N196" s="40">
        <f t="shared" si="88"/>
        <v>23</v>
      </c>
      <c r="O196" s="43">
        <f t="shared" si="89"/>
        <v>28.5</v>
      </c>
    </row>
    <row r="197" spans="1:15" ht="22.95" customHeight="1" x14ac:dyDescent="0.3">
      <c r="A197" s="52" t="s">
        <v>271</v>
      </c>
      <c r="B197" s="44">
        <f t="shared" si="107"/>
        <v>28</v>
      </c>
      <c r="C197" s="39">
        <f t="shared" si="107"/>
        <v>6</v>
      </c>
      <c r="D197" s="39">
        <f t="shared" si="107"/>
        <v>1</v>
      </c>
      <c r="E197" s="39">
        <f t="shared" si="107"/>
        <v>0</v>
      </c>
      <c r="F197" s="39">
        <f t="shared" si="107"/>
        <v>3</v>
      </c>
      <c r="G197" s="50">
        <f t="shared" si="84"/>
        <v>38</v>
      </c>
      <c r="H197" s="44">
        <f t="shared" ref="H197:L197" si="109">H91+H92+H93+H94</f>
        <v>0</v>
      </c>
      <c r="I197" s="39">
        <f t="shared" si="109"/>
        <v>0</v>
      </c>
      <c r="J197" s="39">
        <f t="shared" si="109"/>
        <v>0</v>
      </c>
      <c r="K197" s="45">
        <f t="shared" si="109"/>
        <v>0</v>
      </c>
      <c r="L197" s="144">
        <f t="shared" si="109"/>
        <v>0</v>
      </c>
      <c r="M197" s="50">
        <f t="shared" si="87"/>
        <v>0</v>
      </c>
      <c r="N197" s="40">
        <f t="shared" si="88"/>
        <v>38</v>
      </c>
      <c r="O197" s="43">
        <f t="shared" si="89"/>
        <v>46</v>
      </c>
    </row>
    <row r="198" spans="1:15" ht="22.95" customHeight="1" x14ac:dyDescent="0.3">
      <c r="A198" s="52" t="s">
        <v>279</v>
      </c>
      <c r="B198" s="44">
        <f t="shared" si="107"/>
        <v>38</v>
      </c>
      <c r="C198" s="39">
        <f t="shared" si="107"/>
        <v>8</v>
      </c>
      <c r="D198" s="39">
        <f t="shared" si="107"/>
        <v>1</v>
      </c>
      <c r="E198" s="39">
        <f t="shared" si="107"/>
        <v>0</v>
      </c>
      <c r="F198" s="39">
        <f t="shared" si="107"/>
        <v>6</v>
      </c>
      <c r="G198" s="50">
        <f t="shared" si="84"/>
        <v>53</v>
      </c>
      <c r="H198" s="44">
        <f t="shared" ref="H198:L198" si="110">H92+H93+H94+H95</f>
        <v>0</v>
      </c>
      <c r="I198" s="39">
        <f t="shared" si="110"/>
        <v>0</v>
      </c>
      <c r="J198" s="39">
        <f t="shared" si="110"/>
        <v>0</v>
      </c>
      <c r="K198" s="45">
        <f t="shared" si="110"/>
        <v>0</v>
      </c>
      <c r="L198" s="144">
        <f t="shared" si="110"/>
        <v>0</v>
      </c>
      <c r="M198" s="50">
        <f t="shared" si="87"/>
        <v>0</v>
      </c>
      <c r="N198" s="40">
        <f t="shared" si="88"/>
        <v>53</v>
      </c>
      <c r="O198" s="43">
        <f t="shared" si="89"/>
        <v>70.5</v>
      </c>
    </row>
    <row r="199" spans="1:15" ht="22.95" customHeight="1" x14ac:dyDescent="0.3">
      <c r="A199" s="52" t="s">
        <v>62</v>
      </c>
      <c r="B199" s="44">
        <f t="shared" si="107"/>
        <v>67</v>
      </c>
      <c r="C199" s="39">
        <f t="shared" si="107"/>
        <v>12</v>
      </c>
      <c r="D199" s="39">
        <f t="shared" si="107"/>
        <v>2</v>
      </c>
      <c r="E199" s="39">
        <f t="shared" si="107"/>
        <v>0</v>
      </c>
      <c r="F199" s="39">
        <f t="shared" si="107"/>
        <v>7</v>
      </c>
      <c r="G199" s="50">
        <f t="shared" si="84"/>
        <v>88</v>
      </c>
      <c r="H199" s="44">
        <f t="shared" ref="H199:L199" si="111">H93+H94+H95+H96</f>
        <v>0</v>
      </c>
      <c r="I199" s="39">
        <f t="shared" si="111"/>
        <v>0</v>
      </c>
      <c r="J199" s="39">
        <f t="shared" si="111"/>
        <v>0</v>
      </c>
      <c r="K199" s="45">
        <f t="shared" si="111"/>
        <v>0</v>
      </c>
      <c r="L199" s="144">
        <f t="shared" si="111"/>
        <v>0</v>
      </c>
      <c r="M199" s="50">
        <f t="shared" si="87"/>
        <v>0</v>
      </c>
      <c r="N199" s="40">
        <f t="shared" si="88"/>
        <v>88</v>
      </c>
      <c r="O199" s="43">
        <f t="shared" si="89"/>
        <v>107.5</v>
      </c>
    </row>
    <row r="200" spans="1:15" ht="22.95" customHeight="1" x14ac:dyDescent="0.3">
      <c r="A200" s="52" t="s">
        <v>63</v>
      </c>
      <c r="B200" s="44">
        <f t="shared" si="107"/>
        <v>116</v>
      </c>
      <c r="C200" s="39">
        <f t="shared" si="107"/>
        <v>15</v>
      </c>
      <c r="D200" s="39">
        <f t="shared" si="107"/>
        <v>2</v>
      </c>
      <c r="E200" s="39">
        <f t="shared" si="107"/>
        <v>1</v>
      </c>
      <c r="F200" s="39">
        <f t="shared" si="107"/>
        <v>8</v>
      </c>
      <c r="G200" s="50">
        <f t="shared" si="84"/>
        <v>142</v>
      </c>
      <c r="H200" s="44">
        <f t="shared" ref="H200:L200" si="112">H94+H95+H96+H97</f>
        <v>0</v>
      </c>
      <c r="I200" s="39">
        <f t="shared" si="112"/>
        <v>0</v>
      </c>
      <c r="J200" s="39">
        <f t="shared" si="112"/>
        <v>0</v>
      </c>
      <c r="K200" s="45">
        <f t="shared" si="112"/>
        <v>0</v>
      </c>
      <c r="L200" s="144">
        <f t="shared" si="112"/>
        <v>0</v>
      </c>
      <c r="M200" s="50">
        <f t="shared" si="87"/>
        <v>0</v>
      </c>
      <c r="N200" s="40">
        <f t="shared" si="88"/>
        <v>142</v>
      </c>
      <c r="O200" s="43">
        <f t="shared" si="89"/>
        <v>165.5</v>
      </c>
    </row>
    <row r="201" spans="1:15" ht="22.95" customHeight="1" x14ac:dyDescent="0.3">
      <c r="A201" s="52" t="s">
        <v>64</v>
      </c>
      <c r="B201" s="44">
        <f t="shared" si="107"/>
        <v>182</v>
      </c>
      <c r="C201" s="39">
        <f t="shared" si="107"/>
        <v>17</v>
      </c>
      <c r="D201" s="39">
        <f t="shared" si="107"/>
        <v>1</v>
      </c>
      <c r="E201" s="39">
        <f t="shared" si="107"/>
        <v>1</v>
      </c>
      <c r="F201" s="39">
        <f t="shared" si="107"/>
        <v>6</v>
      </c>
      <c r="G201" s="50">
        <f t="shared" si="84"/>
        <v>207</v>
      </c>
      <c r="H201" s="44">
        <f t="shared" ref="H201:L201" si="113">H95+H96+H97+H98</f>
        <v>0</v>
      </c>
      <c r="I201" s="39">
        <f t="shared" si="113"/>
        <v>0</v>
      </c>
      <c r="J201" s="39">
        <f t="shared" si="113"/>
        <v>0</v>
      </c>
      <c r="K201" s="45">
        <f t="shared" si="113"/>
        <v>0</v>
      </c>
      <c r="L201" s="144">
        <f t="shared" si="113"/>
        <v>0</v>
      </c>
      <c r="M201" s="50">
        <f t="shared" si="87"/>
        <v>0</v>
      </c>
      <c r="N201" s="40">
        <f t="shared" si="88"/>
        <v>207</v>
      </c>
      <c r="O201" s="43">
        <f t="shared" si="89"/>
        <v>222</v>
      </c>
    </row>
    <row r="202" spans="1:15" ht="22.95" customHeight="1" x14ac:dyDescent="0.3">
      <c r="A202" s="52" t="s">
        <v>65</v>
      </c>
      <c r="B202" s="44">
        <f t="shared" si="107"/>
        <v>260</v>
      </c>
      <c r="C202" s="39">
        <f t="shared" si="107"/>
        <v>26</v>
      </c>
      <c r="D202" s="39">
        <f t="shared" si="107"/>
        <v>2</v>
      </c>
      <c r="E202" s="39">
        <f t="shared" si="107"/>
        <v>1</v>
      </c>
      <c r="F202" s="39">
        <f t="shared" si="107"/>
        <v>4</v>
      </c>
      <c r="G202" s="50">
        <f t="shared" si="84"/>
        <v>293</v>
      </c>
      <c r="H202" s="44">
        <f t="shared" ref="H202:L202" si="114">H96+H97+H98+H99</f>
        <v>0</v>
      </c>
      <c r="I202" s="39">
        <f t="shared" si="114"/>
        <v>0</v>
      </c>
      <c r="J202" s="39">
        <f t="shared" si="114"/>
        <v>0</v>
      </c>
      <c r="K202" s="45">
        <f t="shared" si="114"/>
        <v>0</v>
      </c>
      <c r="L202" s="144">
        <f t="shared" si="114"/>
        <v>0</v>
      </c>
      <c r="M202" s="50">
        <f t="shared" si="87"/>
        <v>0</v>
      </c>
      <c r="N202" s="40">
        <f t="shared" si="88"/>
        <v>293</v>
      </c>
      <c r="O202" s="43">
        <f t="shared" si="89"/>
        <v>297</v>
      </c>
    </row>
    <row r="203" spans="1:15" ht="22.95" customHeight="1" x14ac:dyDescent="0.3">
      <c r="A203" s="52" t="s">
        <v>66</v>
      </c>
      <c r="B203" s="44">
        <f t="shared" si="107"/>
        <v>335</v>
      </c>
      <c r="C203" s="39">
        <f t="shared" si="107"/>
        <v>35</v>
      </c>
      <c r="D203" s="39">
        <f t="shared" si="107"/>
        <v>3</v>
      </c>
      <c r="E203" s="39">
        <f t="shared" si="107"/>
        <v>1</v>
      </c>
      <c r="F203" s="39">
        <f t="shared" si="107"/>
        <v>5</v>
      </c>
      <c r="G203" s="50">
        <f t="shared" si="84"/>
        <v>379</v>
      </c>
      <c r="H203" s="44">
        <f t="shared" ref="H203:L203" si="115">H97+H98+H99+H100</f>
        <v>1</v>
      </c>
      <c r="I203" s="39">
        <f t="shared" si="115"/>
        <v>0</v>
      </c>
      <c r="J203" s="39">
        <f t="shared" si="115"/>
        <v>0</v>
      </c>
      <c r="K203" s="45">
        <f t="shared" si="115"/>
        <v>0</v>
      </c>
      <c r="L203" s="144">
        <f t="shared" si="115"/>
        <v>0</v>
      </c>
      <c r="M203" s="50">
        <f t="shared" si="87"/>
        <v>1</v>
      </c>
      <c r="N203" s="40">
        <f t="shared" si="88"/>
        <v>380</v>
      </c>
      <c r="O203" s="43">
        <f t="shared" si="89"/>
        <v>383</v>
      </c>
    </row>
    <row r="204" spans="1:15" ht="22.95" customHeight="1" x14ac:dyDescent="0.3">
      <c r="A204" s="52" t="s">
        <v>67</v>
      </c>
      <c r="B204" s="44">
        <f t="shared" si="107"/>
        <v>409</v>
      </c>
      <c r="C204" s="39">
        <f t="shared" si="107"/>
        <v>56</v>
      </c>
      <c r="D204" s="39">
        <f t="shared" si="107"/>
        <v>6</v>
      </c>
      <c r="E204" s="39">
        <f t="shared" si="107"/>
        <v>1</v>
      </c>
      <c r="F204" s="39">
        <f t="shared" si="107"/>
        <v>7</v>
      </c>
      <c r="G204" s="50">
        <f t="shared" si="84"/>
        <v>479</v>
      </c>
      <c r="H204" s="44">
        <f t="shared" ref="H204:L204" si="116">H98+H99+H100+H101</f>
        <v>1</v>
      </c>
      <c r="I204" s="39">
        <f t="shared" si="116"/>
        <v>0</v>
      </c>
      <c r="J204" s="39">
        <f t="shared" si="116"/>
        <v>0</v>
      </c>
      <c r="K204" s="45">
        <f t="shared" si="116"/>
        <v>0</v>
      </c>
      <c r="L204" s="144">
        <f t="shared" si="116"/>
        <v>0</v>
      </c>
      <c r="M204" s="50">
        <f t="shared" si="87"/>
        <v>1</v>
      </c>
      <c r="N204" s="40">
        <f t="shared" si="88"/>
        <v>480</v>
      </c>
      <c r="O204" s="43">
        <f t="shared" si="89"/>
        <v>481</v>
      </c>
    </row>
    <row r="205" spans="1:15" ht="22.95" customHeight="1" x14ac:dyDescent="0.3">
      <c r="A205" s="52" t="s">
        <v>68</v>
      </c>
      <c r="B205" s="44">
        <f t="shared" si="107"/>
        <v>483</v>
      </c>
      <c r="C205" s="39">
        <f t="shared" si="107"/>
        <v>88</v>
      </c>
      <c r="D205" s="39">
        <f t="shared" si="107"/>
        <v>10</v>
      </c>
      <c r="E205" s="39">
        <f t="shared" si="107"/>
        <v>3</v>
      </c>
      <c r="F205" s="39">
        <f t="shared" si="107"/>
        <v>9</v>
      </c>
      <c r="G205" s="50">
        <f t="shared" si="84"/>
        <v>593</v>
      </c>
      <c r="H205" s="44">
        <f t="shared" ref="H205:L205" si="117">H99+H100+H101+H102</f>
        <v>1</v>
      </c>
      <c r="I205" s="39">
        <f t="shared" si="117"/>
        <v>0</v>
      </c>
      <c r="J205" s="39">
        <f t="shared" si="117"/>
        <v>0</v>
      </c>
      <c r="K205" s="45">
        <f t="shared" si="117"/>
        <v>0</v>
      </c>
      <c r="L205" s="144">
        <f t="shared" si="117"/>
        <v>0</v>
      </c>
      <c r="M205" s="50">
        <f t="shared" si="87"/>
        <v>1</v>
      </c>
      <c r="N205" s="40">
        <f t="shared" si="88"/>
        <v>594</v>
      </c>
      <c r="O205" s="43">
        <f t="shared" si="89"/>
        <v>592</v>
      </c>
    </row>
    <row r="206" spans="1:15" ht="22.95" customHeight="1" thickBot="1" x14ac:dyDescent="0.35">
      <c r="A206" s="52" t="s">
        <v>69</v>
      </c>
      <c r="B206" s="46">
        <f t="shared" si="107"/>
        <v>565</v>
      </c>
      <c r="C206" s="47">
        <f t="shared" si="107"/>
        <v>122</v>
      </c>
      <c r="D206" s="47">
        <f t="shared" si="107"/>
        <v>11</v>
      </c>
      <c r="E206" s="47">
        <f t="shared" si="107"/>
        <v>4</v>
      </c>
      <c r="F206" s="47">
        <f t="shared" si="107"/>
        <v>14</v>
      </c>
      <c r="G206" s="50">
        <f t="shared" si="84"/>
        <v>716</v>
      </c>
      <c r="H206" s="44">
        <f t="shared" ref="H206:L206" si="118">H100+H101+H102+H103</f>
        <v>1</v>
      </c>
      <c r="I206" s="39">
        <f t="shared" si="118"/>
        <v>0</v>
      </c>
      <c r="J206" s="39">
        <f t="shared" si="118"/>
        <v>0</v>
      </c>
      <c r="K206" s="45">
        <f t="shared" si="118"/>
        <v>0</v>
      </c>
      <c r="L206" s="145">
        <f t="shared" si="118"/>
        <v>0</v>
      </c>
      <c r="M206" s="50">
        <f t="shared" si="87"/>
        <v>1</v>
      </c>
      <c r="N206" s="40">
        <f t="shared" si="88"/>
        <v>717</v>
      </c>
      <c r="O206" s="43">
        <f t="shared" si="89"/>
        <v>718</v>
      </c>
    </row>
  </sheetData>
  <mergeCells count="31">
    <mergeCell ref="E112:E113"/>
    <mergeCell ref="C6:C7"/>
    <mergeCell ref="D6:D7"/>
    <mergeCell ref="E6:E7"/>
    <mergeCell ref="A1:M1"/>
    <mergeCell ref="H112:H113"/>
    <mergeCell ref="I112:I113"/>
    <mergeCell ref="J112:J113"/>
    <mergeCell ref="K112:K113"/>
    <mergeCell ref="M112:M113"/>
    <mergeCell ref="I6:I7"/>
    <mergeCell ref="J6:J7"/>
    <mergeCell ref="K6:K7"/>
    <mergeCell ref="M6:M7"/>
    <mergeCell ref="A6:A7"/>
    <mergeCell ref="F6:F7"/>
    <mergeCell ref="A112:A113"/>
    <mergeCell ref="C112:C113"/>
    <mergeCell ref="B6:B7"/>
    <mergeCell ref="B112:B113"/>
    <mergeCell ref="D112:D113"/>
    <mergeCell ref="N6:N7"/>
    <mergeCell ref="O6:O7"/>
    <mergeCell ref="F112:F113"/>
    <mergeCell ref="G112:G113"/>
    <mergeCell ref="N112:N113"/>
    <mergeCell ref="O112:O113"/>
    <mergeCell ref="H6:H7"/>
    <mergeCell ref="G6:G7"/>
    <mergeCell ref="L6:L7"/>
    <mergeCell ref="L112:L113"/>
  </mergeCells>
  <pageMargins left="0.7" right="0.7" top="0.75" bottom="0.75" header="0.3" footer="0.3"/>
  <pageSetup paperSize="9" scale="29" orientation="portrait" r:id="rId1"/>
  <rowBreaks count="1" manualBreakCount="1">
    <brk id="106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9FFCC"/>
  </sheetPr>
  <dimension ref="A1:O206"/>
  <sheetViews>
    <sheetView view="pageBreakPreview" zoomScale="40" zoomScaleNormal="70" zoomScaleSheetLayoutView="40" workbookViewId="0">
      <selection activeCell="R32" sqref="R32"/>
    </sheetView>
  </sheetViews>
  <sheetFormatPr defaultColWidth="9" defaultRowHeight="15.6" x14ac:dyDescent="0.3"/>
  <cols>
    <col min="1" max="1" width="21.59765625" customWidth="1"/>
    <col min="2" max="13" width="11.69921875" customWidth="1"/>
    <col min="14" max="14" width="15.19921875" bestFit="1" customWidth="1"/>
  </cols>
  <sheetData>
    <row r="1" spans="1:15" x14ac:dyDescent="0.3">
      <c r="A1" s="247" t="s">
        <v>99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</row>
    <row r="2" spans="1:15" s="4" customFormat="1" x14ac:dyDescent="0.3">
      <c r="A2" s="4" t="s">
        <v>103</v>
      </c>
      <c r="B2" s="4" t="str">
        <f>Summary!B2</f>
        <v>TMC-14 Number (D2)</v>
      </c>
    </row>
    <row r="3" spans="1:15" s="4" customFormat="1" x14ac:dyDescent="0.3">
      <c r="A3" s="4" t="s">
        <v>102</v>
      </c>
      <c r="B3" s="4" t="str">
        <f>Summary!B3</f>
        <v>D2</v>
      </c>
    </row>
    <row r="4" spans="1:15" s="4" customFormat="1" x14ac:dyDescent="0.3">
      <c r="A4" s="4" t="s">
        <v>104</v>
      </c>
      <c r="B4" s="4" t="str">
        <f>Summary!J11</f>
        <v>Delhi</v>
      </c>
      <c r="D4" s="4" t="s">
        <v>1</v>
      </c>
      <c r="E4" s="4" t="str">
        <f>Summary!H16</f>
        <v>Chomu Pulia</v>
      </c>
    </row>
    <row r="5" spans="1:15" ht="16.2" thickBot="1" x14ac:dyDescent="0.35"/>
    <row r="6" spans="1:15" ht="25.2" customHeight="1" x14ac:dyDescent="0.3">
      <c r="A6" s="252" t="s">
        <v>95</v>
      </c>
      <c r="B6" s="258" t="s">
        <v>280</v>
      </c>
      <c r="C6" s="254" t="s">
        <v>281</v>
      </c>
      <c r="D6" s="250" t="s">
        <v>282</v>
      </c>
      <c r="E6" s="260" t="s">
        <v>283</v>
      </c>
      <c r="F6" s="256" t="s">
        <v>284</v>
      </c>
      <c r="G6" s="250" t="s">
        <v>129</v>
      </c>
      <c r="H6" s="248" t="s">
        <v>150</v>
      </c>
      <c r="I6" s="250" t="s">
        <v>151</v>
      </c>
      <c r="J6" s="250" t="s">
        <v>285</v>
      </c>
      <c r="K6" s="248" t="s">
        <v>286</v>
      </c>
      <c r="L6" s="250" t="s">
        <v>287</v>
      </c>
      <c r="M6" s="250" t="s">
        <v>78</v>
      </c>
      <c r="N6" s="250" t="s">
        <v>131</v>
      </c>
      <c r="O6" s="250" t="s">
        <v>132</v>
      </c>
    </row>
    <row r="7" spans="1:15" ht="43.5" customHeight="1" thickBot="1" x14ac:dyDescent="0.35">
      <c r="A7" s="262"/>
      <c r="B7" s="263"/>
      <c r="C7" s="264"/>
      <c r="D7" s="265"/>
      <c r="E7" s="266"/>
      <c r="F7" s="267"/>
      <c r="G7" s="259"/>
      <c r="H7" s="268"/>
      <c r="I7" s="265"/>
      <c r="J7" s="265"/>
      <c r="K7" s="268"/>
      <c r="L7" s="265"/>
      <c r="M7" s="265"/>
      <c r="N7" s="251"/>
      <c r="O7" s="251"/>
    </row>
    <row r="8" spans="1:15" ht="22.5" customHeight="1" x14ac:dyDescent="0.3">
      <c r="A8" s="189" t="s">
        <v>177</v>
      </c>
      <c r="B8" s="192">
        <v>14</v>
      </c>
      <c r="C8" s="157">
        <v>25</v>
      </c>
      <c r="D8" s="157">
        <v>1</v>
      </c>
      <c r="E8" s="157">
        <v>1</v>
      </c>
      <c r="F8" s="193">
        <v>6</v>
      </c>
      <c r="G8" s="198">
        <f t="shared" ref="G8:G39" si="0">SUM(B8:F8)</f>
        <v>47</v>
      </c>
      <c r="H8" s="200">
        <v>0</v>
      </c>
      <c r="I8" s="201">
        <v>0</v>
      </c>
      <c r="J8" s="201">
        <v>0</v>
      </c>
      <c r="K8" s="201">
        <v>0</v>
      </c>
      <c r="L8" s="201">
        <v>1</v>
      </c>
      <c r="M8" s="202">
        <v>0</v>
      </c>
      <c r="N8" s="85">
        <f>G8+M8</f>
        <v>47</v>
      </c>
      <c r="O8" s="115">
        <f>B8*1+C8*0.5+D8*1.5+E8*3+F8*4.5+H8*0.5+I8*1.5+J8*3+K8*4+L8*8</f>
        <v>66</v>
      </c>
    </row>
    <row r="9" spans="1:15" ht="22.5" customHeight="1" x14ac:dyDescent="0.3">
      <c r="A9" s="190" t="s">
        <v>178</v>
      </c>
      <c r="B9" s="44">
        <v>15</v>
      </c>
      <c r="C9" s="39">
        <v>13</v>
      </c>
      <c r="D9" s="39">
        <v>1</v>
      </c>
      <c r="E9" s="39">
        <v>1</v>
      </c>
      <c r="F9" s="194">
        <v>4</v>
      </c>
      <c r="G9" s="196">
        <f t="shared" si="0"/>
        <v>34</v>
      </c>
      <c r="H9" s="203">
        <v>0</v>
      </c>
      <c r="I9" s="204">
        <v>0</v>
      </c>
      <c r="J9" s="204">
        <v>0</v>
      </c>
      <c r="K9" s="204">
        <v>0</v>
      </c>
      <c r="L9" s="204">
        <v>0</v>
      </c>
      <c r="M9" s="205">
        <v>0</v>
      </c>
      <c r="N9" s="85">
        <f t="shared" ref="N9:N72" si="1">G9+M9</f>
        <v>34</v>
      </c>
      <c r="O9" s="43">
        <f t="shared" ref="O9:O72" si="2">B9*1+C9*0.5+D9*1.5+E9*3+F9*4.5+H9*0.5+I9*1.5+J9*3+K9*4+L9*8</f>
        <v>44</v>
      </c>
    </row>
    <row r="10" spans="1:15" ht="22.5" customHeight="1" x14ac:dyDescent="0.3">
      <c r="A10" s="190" t="s">
        <v>179</v>
      </c>
      <c r="B10" s="44">
        <v>31</v>
      </c>
      <c r="C10" s="39">
        <v>51</v>
      </c>
      <c r="D10" s="39">
        <v>3</v>
      </c>
      <c r="E10" s="39">
        <v>2</v>
      </c>
      <c r="F10" s="194">
        <v>2</v>
      </c>
      <c r="G10" s="196">
        <f t="shared" si="0"/>
        <v>89</v>
      </c>
      <c r="H10" s="203">
        <v>0</v>
      </c>
      <c r="I10" s="204">
        <v>0</v>
      </c>
      <c r="J10" s="204">
        <v>0</v>
      </c>
      <c r="K10" s="204">
        <v>0</v>
      </c>
      <c r="L10" s="204">
        <v>2</v>
      </c>
      <c r="M10" s="205">
        <v>0</v>
      </c>
      <c r="N10" s="85">
        <f t="shared" si="1"/>
        <v>89</v>
      </c>
      <c r="O10" s="43">
        <f t="shared" si="2"/>
        <v>92</v>
      </c>
    </row>
    <row r="11" spans="1:15" ht="22.5" customHeight="1" x14ac:dyDescent="0.3">
      <c r="A11" s="190" t="s">
        <v>180</v>
      </c>
      <c r="B11" s="44">
        <v>30</v>
      </c>
      <c r="C11" s="39">
        <v>52</v>
      </c>
      <c r="D11" s="39">
        <v>1</v>
      </c>
      <c r="E11" s="39">
        <v>1</v>
      </c>
      <c r="F11" s="194">
        <v>3</v>
      </c>
      <c r="G11" s="196">
        <f t="shared" si="0"/>
        <v>87</v>
      </c>
      <c r="H11" s="203">
        <v>0</v>
      </c>
      <c r="I11" s="204">
        <v>0</v>
      </c>
      <c r="J11" s="204">
        <v>0</v>
      </c>
      <c r="K11" s="204">
        <v>0</v>
      </c>
      <c r="L11" s="204">
        <v>0</v>
      </c>
      <c r="M11" s="205">
        <v>0</v>
      </c>
      <c r="N11" s="85">
        <f t="shared" si="1"/>
        <v>87</v>
      </c>
      <c r="O11" s="43">
        <f t="shared" si="2"/>
        <v>74</v>
      </c>
    </row>
    <row r="12" spans="1:15" ht="22.5" customHeight="1" x14ac:dyDescent="0.3">
      <c r="A12" s="190" t="s">
        <v>181</v>
      </c>
      <c r="B12" s="44">
        <v>45</v>
      </c>
      <c r="C12" s="39">
        <v>59</v>
      </c>
      <c r="D12" s="39">
        <v>1</v>
      </c>
      <c r="E12" s="39">
        <v>2</v>
      </c>
      <c r="F12" s="194">
        <v>1</v>
      </c>
      <c r="G12" s="196">
        <f t="shared" si="0"/>
        <v>108</v>
      </c>
      <c r="H12" s="203">
        <v>1</v>
      </c>
      <c r="I12" s="204">
        <v>0</v>
      </c>
      <c r="J12" s="204">
        <v>0</v>
      </c>
      <c r="K12" s="204">
        <v>0</v>
      </c>
      <c r="L12" s="204">
        <v>2</v>
      </c>
      <c r="M12" s="205">
        <v>0</v>
      </c>
      <c r="N12" s="85">
        <f t="shared" si="1"/>
        <v>108</v>
      </c>
      <c r="O12" s="43">
        <f t="shared" si="2"/>
        <v>103</v>
      </c>
    </row>
    <row r="13" spans="1:15" ht="22.5" customHeight="1" x14ac:dyDescent="0.3">
      <c r="A13" s="190" t="s">
        <v>182</v>
      </c>
      <c r="B13" s="44">
        <v>44</v>
      </c>
      <c r="C13" s="39">
        <v>53</v>
      </c>
      <c r="D13" s="39">
        <v>3</v>
      </c>
      <c r="E13" s="39">
        <v>1</v>
      </c>
      <c r="F13" s="194">
        <v>6</v>
      </c>
      <c r="G13" s="196">
        <f t="shared" si="0"/>
        <v>107</v>
      </c>
      <c r="H13" s="203">
        <v>1</v>
      </c>
      <c r="I13" s="204">
        <v>0</v>
      </c>
      <c r="J13" s="204">
        <v>0</v>
      </c>
      <c r="K13" s="204">
        <v>0</v>
      </c>
      <c r="L13" s="204">
        <v>3</v>
      </c>
      <c r="M13" s="205">
        <v>0</v>
      </c>
      <c r="N13" s="85">
        <f t="shared" si="1"/>
        <v>107</v>
      </c>
      <c r="O13" s="43">
        <f t="shared" si="2"/>
        <v>129.5</v>
      </c>
    </row>
    <row r="14" spans="1:15" ht="22.5" customHeight="1" x14ac:dyDescent="0.3">
      <c r="A14" s="190" t="s">
        <v>183</v>
      </c>
      <c r="B14" s="44">
        <v>39</v>
      </c>
      <c r="C14" s="39">
        <v>51</v>
      </c>
      <c r="D14" s="39">
        <v>4</v>
      </c>
      <c r="E14" s="39">
        <v>0</v>
      </c>
      <c r="F14" s="194">
        <v>6</v>
      </c>
      <c r="G14" s="196">
        <f t="shared" si="0"/>
        <v>100</v>
      </c>
      <c r="H14" s="203">
        <v>0</v>
      </c>
      <c r="I14" s="204">
        <v>0</v>
      </c>
      <c r="J14" s="204">
        <v>0</v>
      </c>
      <c r="K14" s="204">
        <v>0</v>
      </c>
      <c r="L14" s="204">
        <v>7</v>
      </c>
      <c r="M14" s="205">
        <v>0</v>
      </c>
      <c r="N14" s="85">
        <f t="shared" si="1"/>
        <v>100</v>
      </c>
      <c r="O14" s="43">
        <f t="shared" si="2"/>
        <v>153.5</v>
      </c>
    </row>
    <row r="15" spans="1:15" ht="22.5" customHeight="1" x14ac:dyDescent="0.3">
      <c r="A15" s="190" t="s">
        <v>184</v>
      </c>
      <c r="B15" s="44">
        <v>41</v>
      </c>
      <c r="C15" s="39">
        <v>43</v>
      </c>
      <c r="D15" s="39">
        <v>6</v>
      </c>
      <c r="E15" s="39">
        <v>5</v>
      </c>
      <c r="F15" s="194">
        <v>0</v>
      </c>
      <c r="G15" s="196">
        <f t="shared" si="0"/>
        <v>95</v>
      </c>
      <c r="H15" s="203">
        <v>0</v>
      </c>
      <c r="I15" s="204">
        <v>0</v>
      </c>
      <c r="J15" s="204">
        <v>0</v>
      </c>
      <c r="K15" s="204">
        <v>0</v>
      </c>
      <c r="L15" s="204">
        <v>0</v>
      </c>
      <c r="M15" s="205">
        <v>0</v>
      </c>
      <c r="N15" s="85">
        <f t="shared" si="1"/>
        <v>95</v>
      </c>
      <c r="O15" s="43">
        <f t="shared" si="2"/>
        <v>86.5</v>
      </c>
    </row>
    <row r="16" spans="1:15" ht="22.5" customHeight="1" x14ac:dyDescent="0.3">
      <c r="A16" s="190" t="s">
        <v>185</v>
      </c>
      <c r="B16" s="44">
        <v>42</v>
      </c>
      <c r="C16" s="39">
        <v>35</v>
      </c>
      <c r="D16" s="39">
        <v>5</v>
      </c>
      <c r="E16" s="39">
        <v>1</v>
      </c>
      <c r="F16" s="194">
        <v>8</v>
      </c>
      <c r="G16" s="196">
        <f t="shared" si="0"/>
        <v>91</v>
      </c>
      <c r="H16" s="203">
        <v>0</v>
      </c>
      <c r="I16" s="204">
        <v>0</v>
      </c>
      <c r="J16" s="204">
        <v>0</v>
      </c>
      <c r="K16" s="204">
        <v>0</v>
      </c>
      <c r="L16" s="204">
        <v>0</v>
      </c>
      <c r="M16" s="205">
        <v>0</v>
      </c>
      <c r="N16" s="85">
        <f t="shared" si="1"/>
        <v>91</v>
      </c>
      <c r="O16" s="43">
        <f t="shared" si="2"/>
        <v>106</v>
      </c>
    </row>
    <row r="17" spans="1:15" ht="22.5" customHeight="1" x14ac:dyDescent="0.3">
      <c r="A17" s="190" t="s">
        <v>186</v>
      </c>
      <c r="B17" s="44">
        <v>40</v>
      </c>
      <c r="C17" s="39">
        <v>32</v>
      </c>
      <c r="D17" s="39">
        <v>5</v>
      </c>
      <c r="E17" s="39">
        <v>0</v>
      </c>
      <c r="F17" s="194">
        <v>0</v>
      </c>
      <c r="G17" s="196">
        <f t="shared" si="0"/>
        <v>77</v>
      </c>
      <c r="H17" s="203">
        <v>0</v>
      </c>
      <c r="I17" s="204">
        <v>0</v>
      </c>
      <c r="J17" s="204">
        <v>0</v>
      </c>
      <c r="K17" s="204">
        <v>0</v>
      </c>
      <c r="L17" s="204">
        <v>2</v>
      </c>
      <c r="M17" s="205">
        <v>0</v>
      </c>
      <c r="N17" s="85">
        <f t="shared" si="1"/>
        <v>77</v>
      </c>
      <c r="O17" s="43">
        <f t="shared" si="2"/>
        <v>79.5</v>
      </c>
    </row>
    <row r="18" spans="1:15" ht="22.5" customHeight="1" x14ac:dyDescent="0.3">
      <c r="A18" s="190" t="s">
        <v>187</v>
      </c>
      <c r="B18" s="44">
        <v>64</v>
      </c>
      <c r="C18" s="39">
        <v>37</v>
      </c>
      <c r="D18" s="39">
        <v>7</v>
      </c>
      <c r="E18" s="39">
        <v>0</v>
      </c>
      <c r="F18" s="194">
        <v>6</v>
      </c>
      <c r="G18" s="196">
        <f t="shared" si="0"/>
        <v>114</v>
      </c>
      <c r="H18" s="203">
        <v>0</v>
      </c>
      <c r="I18" s="204">
        <v>0</v>
      </c>
      <c r="J18" s="204">
        <v>0</v>
      </c>
      <c r="K18" s="204">
        <v>0</v>
      </c>
      <c r="L18" s="204">
        <v>2</v>
      </c>
      <c r="M18" s="205">
        <v>0</v>
      </c>
      <c r="N18" s="85">
        <f t="shared" si="1"/>
        <v>114</v>
      </c>
      <c r="O18" s="43">
        <f t="shared" si="2"/>
        <v>136</v>
      </c>
    </row>
    <row r="19" spans="1:15" ht="22.5" customHeight="1" x14ac:dyDescent="0.3">
      <c r="A19" s="190" t="s">
        <v>188</v>
      </c>
      <c r="B19" s="44">
        <v>56</v>
      </c>
      <c r="C19" s="39">
        <v>39</v>
      </c>
      <c r="D19" s="39">
        <v>7</v>
      </c>
      <c r="E19" s="39">
        <v>0</v>
      </c>
      <c r="F19" s="194">
        <v>0</v>
      </c>
      <c r="G19" s="196">
        <f t="shared" si="0"/>
        <v>102</v>
      </c>
      <c r="H19" s="203">
        <v>0</v>
      </c>
      <c r="I19" s="204">
        <v>0</v>
      </c>
      <c r="J19" s="204">
        <v>0</v>
      </c>
      <c r="K19" s="204">
        <v>0</v>
      </c>
      <c r="L19" s="204">
        <v>1</v>
      </c>
      <c r="M19" s="205">
        <v>0</v>
      </c>
      <c r="N19" s="85">
        <f t="shared" si="1"/>
        <v>102</v>
      </c>
      <c r="O19" s="43">
        <f t="shared" si="2"/>
        <v>94</v>
      </c>
    </row>
    <row r="20" spans="1:15" ht="22.5" customHeight="1" x14ac:dyDescent="0.3">
      <c r="A20" s="190" t="s">
        <v>189</v>
      </c>
      <c r="B20" s="44">
        <v>51</v>
      </c>
      <c r="C20" s="39">
        <v>24</v>
      </c>
      <c r="D20" s="39">
        <v>6</v>
      </c>
      <c r="E20" s="39">
        <v>3</v>
      </c>
      <c r="F20" s="194">
        <v>3</v>
      </c>
      <c r="G20" s="196">
        <f t="shared" si="0"/>
        <v>87</v>
      </c>
      <c r="H20" s="203">
        <v>0</v>
      </c>
      <c r="I20" s="204">
        <v>0</v>
      </c>
      <c r="J20" s="204">
        <v>0</v>
      </c>
      <c r="K20" s="204">
        <v>0</v>
      </c>
      <c r="L20" s="204">
        <v>1</v>
      </c>
      <c r="M20" s="205">
        <v>0</v>
      </c>
      <c r="N20" s="85">
        <f t="shared" si="1"/>
        <v>87</v>
      </c>
      <c r="O20" s="43">
        <f t="shared" si="2"/>
        <v>102.5</v>
      </c>
    </row>
    <row r="21" spans="1:15" ht="22.5" customHeight="1" x14ac:dyDescent="0.3">
      <c r="A21" s="190" t="s">
        <v>190</v>
      </c>
      <c r="B21" s="44">
        <v>52</v>
      </c>
      <c r="C21" s="39">
        <v>27</v>
      </c>
      <c r="D21" s="39">
        <v>8</v>
      </c>
      <c r="E21" s="39">
        <v>0</v>
      </c>
      <c r="F21" s="194">
        <v>0</v>
      </c>
      <c r="G21" s="196">
        <f t="shared" si="0"/>
        <v>87</v>
      </c>
      <c r="H21" s="203">
        <v>0</v>
      </c>
      <c r="I21" s="204">
        <v>0</v>
      </c>
      <c r="J21" s="204">
        <v>0</v>
      </c>
      <c r="K21" s="204">
        <v>0</v>
      </c>
      <c r="L21" s="204">
        <v>2</v>
      </c>
      <c r="M21" s="205">
        <v>0</v>
      </c>
      <c r="N21" s="85">
        <f t="shared" si="1"/>
        <v>87</v>
      </c>
      <c r="O21" s="43">
        <f t="shared" si="2"/>
        <v>93.5</v>
      </c>
    </row>
    <row r="22" spans="1:15" ht="22.5" customHeight="1" x14ac:dyDescent="0.3">
      <c r="A22" s="190" t="s">
        <v>191</v>
      </c>
      <c r="B22" s="44">
        <v>47</v>
      </c>
      <c r="C22" s="39">
        <v>30</v>
      </c>
      <c r="D22" s="39">
        <v>2</v>
      </c>
      <c r="E22" s="39">
        <v>2</v>
      </c>
      <c r="F22" s="194">
        <v>3</v>
      </c>
      <c r="G22" s="196">
        <f t="shared" si="0"/>
        <v>84</v>
      </c>
      <c r="H22" s="203">
        <v>0</v>
      </c>
      <c r="I22" s="204">
        <v>0</v>
      </c>
      <c r="J22" s="204">
        <v>0</v>
      </c>
      <c r="K22" s="204">
        <v>0</v>
      </c>
      <c r="L22" s="204">
        <v>1</v>
      </c>
      <c r="M22" s="205">
        <v>0</v>
      </c>
      <c r="N22" s="85">
        <f t="shared" si="1"/>
        <v>84</v>
      </c>
      <c r="O22" s="43">
        <f t="shared" si="2"/>
        <v>92.5</v>
      </c>
    </row>
    <row r="23" spans="1:15" ht="22.5" customHeight="1" x14ac:dyDescent="0.3">
      <c r="A23" s="190" t="s">
        <v>192</v>
      </c>
      <c r="B23" s="44">
        <v>39</v>
      </c>
      <c r="C23" s="39">
        <v>28</v>
      </c>
      <c r="D23" s="39">
        <v>2</v>
      </c>
      <c r="E23" s="39">
        <v>2</v>
      </c>
      <c r="F23" s="194">
        <v>1</v>
      </c>
      <c r="G23" s="196">
        <f t="shared" si="0"/>
        <v>72</v>
      </c>
      <c r="H23" s="203">
        <v>0</v>
      </c>
      <c r="I23" s="204">
        <v>0</v>
      </c>
      <c r="J23" s="204">
        <v>0</v>
      </c>
      <c r="K23" s="204">
        <v>0</v>
      </c>
      <c r="L23" s="204">
        <v>1</v>
      </c>
      <c r="M23" s="205">
        <v>0</v>
      </c>
      <c r="N23" s="85">
        <f t="shared" si="1"/>
        <v>72</v>
      </c>
      <c r="O23" s="43">
        <f t="shared" si="2"/>
        <v>74.5</v>
      </c>
    </row>
    <row r="24" spans="1:15" ht="22.5" customHeight="1" x14ac:dyDescent="0.3">
      <c r="A24" s="190" t="s">
        <v>193</v>
      </c>
      <c r="B24" s="44">
        <v>42</v>
      </c>
      <c r="C24" s="39">
        <v>31</v>
      </c>
      <c r="D24" s="39">
        <v>2</v>
      </c>
      <c r="E24" s="39">
        <v>2</v>
      </c>
      <c r="F24" s="194">
        <v>7</v>
      </c>
      <c r="G24" s="196">
        <f t="shared" si="0"/>
        <v>84</v>
      </c>
      <c r="H24" s="203">
        <v>0</v>
      </c>
      <c r="I24" s="204">
        <v>0</v>
      </c>
      <c r="J24" s="204">
        <v>0</v>
      </c>
      <c r="K24" s="204">
        <v>0</v>
      </c>
      <c r="L24" s="204">
        <v>2</v>
      </c>
      <c r="M24" s="205">
        <v>0</v>
      </c>
      <c r="N24" s="85">
        <f t="shared" si="1"/>
        <v>84</v>
      </c>
      <c r="O24" s="43">
        <f t="shared" si="2"/>
        <v>114</v>
      </c>
    </row>
    <row r="25" spans="1:15" ht="22.5" customHeight="1" x14ac:dyDescent="0.3">
      <c r="A25" s="190" t="s">
        <v>194</v>
      </c>
      <c r="B25" s="44">
        <v>49</v>
      </c>
      <c r="C25" s="39">
        <v>32</v>
      </c>
      <c r="D25" s="39">
        <v>7</v>
      </c>
      <c r="E25" s="39">
        <v>3</v>
      </c>
      <c r="F25" s="194">
        <v>8</v>
      </c>
      <c r="G25" s="196">
        <f t="shared" si="0"/>
        <v>99</v>
      </c>
      <c r="H25" s="203">
        <v>0</v>
      </c>
      <c r="I25" s="204">
        <v>0</v>
      </c>
      <c r="J25" s="204">
        <v>0</v>
      </c>
      <c r="K25" s="204">
        <v>0</v>
      </c>
      <c r="L25" s="204">
        <v>2</v>
      </c>
      <c r="M25" s="205">
        <v>0</v>
      </c>
      <c r="N25" s="85">
        <f t="shared" si="1"/>
        <v>99</v>
      </c>
      <c r="O25" s="43">
        <f t="shared" si="2"/>
        <v>136.5</v>
      </c>
    </row>
    <row r="26" spans="1:15" ht="22.5" customHeight="1" x14ac:dyDescent="0.3">
      <c r="A26" s="190" t="s">
        <v>195</v>
      </c>
      <c r="B26" s="44">
        <v>46</v>
      </c>
      <c r="C26" s="39">
        <v>31</v>
      </c>
      <c r="D26" s="39">
        <v>6</v>
      </c>
      <c r="E26" s="39">
        <v>3</v>
      </c>
      <c r="F26" s="194">
        <v>8</v>
      </c>
      <c r="G26" s="196">
        <f t="shared" si="0"/>
        <v>94</v>
      </c>
      <c r="H26" s="203">
        <v>0</v>
      </c>
      <c r="I26" s="204">
        <v>0</v>
      </c>
      <c r="J26" s="204">
        <v>0</v>
      </c>
      <c r="K26" s="204">
        <v>0</v>
      </c>
      <c r="L26" s="204">
        <v>1</v>
      </c>
      <c r="M26" s="205">
        <v>0</v>
      </c>
      <c r="N26" s="85">
        <f t="shared" si="1"/>
        <v>94</v>
      </c>
      <c r="O26" s="43">
        <f t="shared" si="2"/>
        <v>123.5</v>
      </c>
    </row>
    <row r="27" spans="1:15" ht="22.5" customHeight="1" x14ac:dyDescent="0.3">
      <c r="A27" s="190" t="s">
        <v>196</v>
      </c>
      <c r="B27" s="44">
        <v>49</v>
      </c>
      <c r="C27" s="39">
        <v>32</v>
      </c>
      <c r="D27" s="39">
        <v>3</v>
      </c>
      <c r="E27" s="39">
        <v>5</v>
      </c>
      <c r="F27" s="194">
        <v>3</v>
      </c>
      <c r="G27" s="196">
        <f t="shared" si="0"/>
        <v>92</v>
      </c>
      <c r="H27" s="203">
        <v>0</v>
      </c>
      <c r="I27" s="204">
        <v>0</v>
      </c>
      <c r="J27" s="204">
        <v>0</v>
      </c>
      <c r="K27" s="204">
        <v>0</v>
      </c>
      <c r="L27" s="204">
        <v>1</v>
      </c>
      <c r="M27" s="205">
        <v>0</v>
      </c>
      <c r="N27" s="85">
        <f t="shared" si="1"/>
        <v>92</v>
      </c>
      <c r="O27" s="43">
        <f t="shared" si="2"/>
        <v>106</v>
      </c>
    </row>
    <row r="28" spans="1:15" ht="22.5" customHeight="1" x14ac:dyDescent="0.3">
      <c r="A28" s="190" t="s">
        <v>197</v>
      </c>
      <c r="B28" s="44">
        <v>61</v>
      </c>
      <c r="C28" s="39">
        <v>37</v>
      </c>
      <c r="D28" s="39">
        <v>3</v>
      </c>
      <c r="E28" s="39">
        <v>3</v>
      </c>
      <c r="F28" s="194">
        <v>2</v>
      </c>
      <c r="G28" s="196">
        <f t="shared" si="0"/>
        <v>106</v>
      </c>
      <c r="H28" s="203">
        <v>0</v>
      </c>
      <c r="I28" s="204">
        <v>0</v>
      </c>
      <c r="J28" s="204">
        <v>0</v>
      </c>
      <c r="K28" s="204">
        <v>0</v>
      </c>
      <c r="L28" s="204">
        <v>3</v>
      </c>
      <c r="M28" s="205">
        <v>0</v>
      </c>
      <c r="N28" s="85">
        <f t="shared" si="1"/>
        <v>106</v>
      </c>
      <c r="O28" s="43">
        <f t="shared" si="2"/>
        <v>126</v>
      </c>
    </row>
    <row r="29" spans="1:15" ht="22.5" customHeight="1" x14ac:dyDescent="0.3">
      <c r="A29" s="190" t="s">
        <v>198</v>
      </c>
      <c r="B29" s="44">
        <v>56</v>
      </c>
      <c r="C29" s="39">
        <v>42</v>
      </c>
      <c r="D29" s="39">
        <v>1</v>
      </c>
      <c r="E29" s="39">
        <v>1</v>
      </c>
      <c r="F29" s="194">
        <v>1</v>
      </c>
      <c r="G29" s="196">
        <f t="shared" si="0"/>
        <v>101</v>
      </c>
      <c r="H29" s="203">
        <v>0</v>
      </c>
      <c r="I29" s="204">
        <v>0</v>
      </c>
      <c r="J29" s="204">
        <v>0</v>
      </c>
      <c r="K29" s="204">
        <v>0</v>
      </c>
      <c r="L29" s="204">
        <v>0</v>
      </c>
      <c r="M29" s="205">
        <v>0</v>
      </c>
      <c r="N29" s="85">
        <f t="shared" si="1"/>
        <v>101</v>
      </c>
      <c r="O29" s="43">
        <f t="shared" si="2"/>
        <v>86</v>
      </c>
    </row>
    <row r="30" spans="1:15" ht="22.5" customHeight="1" x14ac:dyDescent="0.3">
      <c r="A30" s="190" t="s">
        <v>199</v>
      </c>
      <c r="B30" s="44">
        <v>58</v>
      </c>
      <c r="C30" s="39">
        <v>41</v>
      </c>
      <c r="D30" s="39">
        <v>5</v>
      </c>
      <c r="E30" s="39">
        <v>1</v>
      </c>
      <c r="F30" s="194">
        <v>2</v>
      </c>
      <c r="G30" s="196">
        <f t="shared" si="0"/>
        <v>107</v>
      </c>
      <c r="H30" s="203">
        <v>0</v>
      </c>
      <c r="I30" s="204">
        <v>0</v>
      </c>
      <c r="J30" s="204">
        <v>0</v>
      </c>
      <c r="K30" s="204">
        <v>0</v>
      </c>
      <c r="L30" s="204">
        <v>0</v>
      </c>
      <c r="M30" s="205">
        <v>0</v>
      </c>
      <c r="N30" s="85">
        <f t="shared" si="1"/>
        <v>107</v>
      </c>
      <c r="O30" s="43">
        <f t="shared" si="2"/>
        <v>98</v>
      </c>
    </row>
    <row r="31" spans="1:15" ht="22.5" customHeight="1" x14ac:dyDescent="0.3">
      <c r="A31" s="190" t="s">
        <v>200</v>
      </c>
      <c r="B31" s="44">
        <v>42</v>
      </c>
      <c r="C31" s="39">
        <v>37</v>
      </c>
      <c r="D31" s="39">
        <v>3</v>
      </c>
      <c r="E31" s="39">
        <v>2</v>
      </c>
      <c r="F31" s="194">
        <v>3</v>
      </c>
      <c r="G31" s="196">
        <f t="shared" si="0"/>
        <v>87</v>
      </c>
      <c r="H31" s="203">
        <v>0</v>
      </c>
      <c r="I31" s="204">
        <v>0</v>
      </c>
      <c r="J31" s="204">
        <v>0</v>
      </c>
      <c r="K31" s="204">
        <v>0</v>
      </c>
      <c r="L31" s="204">
        <v>0</v>
      </c>
      <c r="M31" s="205">
        <v>0</v>
      </c>
      <c r="N31" s="85">
        <f t="shared" si="1"/>
        <v>87</v>
      </c>
      <c r="O31" s="43">
        <f t="shared" si="2"/>
        <v>84.5</v>
      </c>
    </row>
    <row r="32" spans="1:15" ht="22.5" customHeight="1" x14ac:dyDescent="0.3">
      <c r="A32" s="190" t="s">
        <v>201</v>
      </c>
      <c r="B32" s="44">
        <v>65</v>
      </c>
      <c r="C32" s="39">
        <v>15</v>
      </c>
      <c r="D32" s="39">
        <v>1</v>
      </c>
      <c r="E32" s="39">
        <v>1</v>
      </c>
      <c r="F32" s="194">
        <v>4</v>
      </c>
      <c r="G32" s="196">
        <f t="shared" si="0"/>
        <v>86</v>
      </c>
      <c r="H32" s="203">
        <v>0</v>
      </c>
      <c r="I32" s="204">
        <v>0</v>
      </c>
      <c r="J32" s="204">
        <v>0</v>
      </c>
      <c r="K32" s="204">
        <v>0</v>
      </c>
      <c r="L32" s="204">
        <v>3</v>
      </c>
      <c r="M32" s="205">
        <v>0</v>
      </c>
      <c r="N32" s="85">
        <f t="shared" si="1"/>
        <v>86</v>
      </c>
      <c r="O32" s="43">
        <f t="shared" si="2"/>
        <v>119</v>
      </c>
    </row>
    <row r="33" spans="1:15" ht="22.5" customHeight="1" x14ac:dyDescent="0.3">
      <c r="A33" s="190" t="s">
        <v>202</v>
      </c>
      <c r="B33" s="44">
        <v>52</v>
      </c>
      <c r="C33" s="39">
        <v>22</v>
      </c>
      <c r="D33" s="39">
        <v>1</v>
      </c>
      <c r="E33" s="39">
        <v>1</v>
      </c>
      <c r="F33" s="194">
        <v>3</v>
      </c>
      <c r="G33" s="196">
        <f t="shared" si="0"/>
        <v>79</v>
      </c>
      <c r="H33" s="203">
        <v>0</v>
      </c>
      <c r="I33" s="204">
        <v>0</v>
      </c>
      <c r="J33" s="204">
        <v>0</v>
      </c>
      <c r="K33" s="204">
        <v>0</v>
      </c>
      <c r="L33" s="204">
        <v>1</v>
      </c>
      <c r="M33" s="205">
        <v>0</v>
      </c>
      <c r="N33" s="85">
        <f t="shared" si="1"/>
        <v>79</v>
      </c>
      <c r="O33" s="43">
        <f t="shared" si="2"/>
        <v>89</v>
      </c>
    </row>
    <row r="34" spans="1:15" ht="22.5" customHeight="1" x14ac:dyDescent="0.3">
      <c r="A34" s="190" t="s">
        <v>203</v>
      </c>
      <c r="B34" s="44">
        <v>47</v>
      </c>
      <c r="C34" s="39">
        <v>25</v>
      </c>
      <c r="D34" s="39">
        <v>3</v>
      </c>
      <c r="E34" s="39">
        <v>1</v>
      </c>
      <c r="F34" s="194">
        <v>1</v>
      </c>
      <c r="G34" s="196">
        <f t="shared" si="0"/>
        <v>77</v>
      </c>
      <c r="H34" s="203">
        <v>0</v>
      </c>
      <c r="I34" s="204">
        <v>0</v>
      </c>
      <c r="J34" s="204">
        <v>0</v>
      </c>
      <c r="K34" s="204">
        <v>0</v>
      </c>
      <c r="L34" s="204">
        <v>1</v>
      </c>
      <c r="M34" s="205">
        <v>0</v>
      </c>
      <c r="N34" s="85">
        <f t="shared" si="1"/>
        <v>77</v>
      </c>
      <c r="O34" s="43">
        <f t="shared" si="2"/>
        <v>79.5</v>
      </c>
    </row>
    <row r="35" spans="1:15" ht="22.5" customHeight="1" x14ac:dyDescent="0.3">
      <c r="A35" s="190" t="s">
        <v>204</v>
      </c>
      <c r="B35" s="44">
        <v>42</v>
      </c>
      <c r="C35" s="39">
        <v>31</v>
      </c>
      <c r="D35" s="39">
        <v>2</v>
      </c>
      <c r="E35" s="39">
        <v>2</v>
      </c>
      <c r="F35" s="194">
        <v>2</v>
      </c>
      <c r="G35" s="196">
        <f t="shared" si="0"/>
        <v>79</v>
      </c>
      <c r="H35" s="203">
        <v>0</v>
      </c>
      <c r="I35" s="204">
        <v>0</v>
      </c>
      <c r="J35" s="204">
        <v>0</v>
      </c>
      <c r="K35" s="204">
        <v>0</v>
      </c>
      <c r="L35" s="204">
        <v>2</v>
      </c>
      <c r="M35" s="205">
        <v>0</v>
      </c>
      <c r="N35" s="85">
        <f t="shared" si="1"/>
        <v>79</v>
      </c>
      <c r="O35" s="43">
        <f t="shared" si="2"/>
        <v>91.5</v>
      </c>
    </row>
    <row r="36" spans="1:15" ht="22.5" customHeight="1" x14ac:dyDescent="0.3">
      <c r="A36" s="190" t="s">
        <v>205</v>
      </c>
      <c r="B36" s="44">
        <v>44</v>
      </c>
      <c r="C36" s="39">
        <v>24</v>
      </c>
      <c r="D36" s="39">
        <v>1</v>
      </c>
      <c r="E36" s="39">
        <v>2</v>
      </c>
      <c r="F36" s="194">
        <v>2</v>
      </c>
      <c r="G36" s="196">
        <f t="shared" si="0"/>
        <v>73</v>
      </c>
      <c r="H36" s="203">
        <v>0</v>
      </c>
      <c r="I36" s="204">
        <v>0</v>
      </c>
      <c r="J36" s="204">
        <v>0</v>
      </c>
      <c r="K36" s="204">
        <v>0</v>
      </c>
      <c r="L36" s="204">
        <v>0</v>
      </c>
      <c r="M36" s="205">
        <v>0</v>
      </c>
      <c r="N36" s="85">
        <f t="shared" si="1"/>
        <v>73</v>
      </c>
      <c r="O36" s="43">
        <f t="shared" si="2"/>
        <v>72.5</v>
      </c>
    </row>
    <row r="37" spans="1:15" ht="22.5" customHeight="1" x14ac:dyDescent="0.3">
      <c r="A37" s="190" t="s">
        <v>206</v>
      </c>
      <c r="B37" s="44">
        <v>25</v>
      </c>
      <c r="C37" s="39">
        <v>14</v>
      </c>
      <c r="D37" s="39">
        <v>3</v>
      </c>
      <c r="E37" s="39">
        <v>2</v>
      </c>
      <c r="F37" s="194">
        <v>3</v>
      </c>
      <c r="G37" s="196">
        <f t="shared" si="0"/>
        <v>47</v>
      </c>
      <c r="H37" s="203">
        <v>0</v>
      </c>
      <c r="I37" s="204">
        <v>0</v>
      </c>
      <c r="J37" s="204">
        <v>0</v>
      </c>
      <c r="K37" s="204">
        <v>0</v>
      </c>
      <c r="L37" s="204">
        <v>0</v>
      </c>
      <c r="M37" s="205">
        <v>0</v>
      </c>
      <c r="N37" s="85">
        <f t="shared" si="1"/>
        <v>47</v>
      </c>
      <c r="O37" s="43">
        <f t="shared" si="2"/>
        <v>56</v>
      </c>
    </row>
    <row r="38" spans="1:15" ht="22.5" customHeight="1" x14ac:dyDescent="0.3">
      <c r="A38" s="190" t="s">
        <v>207</v>
      </c>
      <c r="B38" s="44">
        <v>47</v>
      </c>
      <c r="C38" s="39">
        <v>11</v>
      </c>
      <c r="D38" s="39">
        <v>8</v>
      </c>
      <c r="E38" s="39">
        <v>3</v>
      </c>
      <c r="F38" s="194">
        <v>5</v>
      </c>
      <c r="G38" s="196">
        <f t="shared" si="0"/>
        <v>74</v>
      </c>
      <c r="H38" s="203">
        <v>0</v>
      </c>
      <c r="I38" s="204">
        <v>0</v>
      </c>
      <c r="J38" s="204">
        <v>0</v>
      </c>
      <c r="K38" s="204">
        <v>0</v>
      </c>
      <c r="L38" s="204">
        <v>0</v>
      </c>
      <c r="M38" s="205">
        <v>0</v>
      </c>
      <c r="N38" s="85">
        <f t="shared" si="1"/>
        <v>74</v>
      </c>
      <c r="O38" s="43">
        <f t="shared" si="2"/>
        <v>96</v>
      </c>
    </row>
    <row r="39" spans="1:15" ht="22.5" customHeight="1" x14ac:dyDescent="0.3">
      <c r="A39" s="190" t="s">
        <v>208</v>
      </c>
      <c r="B39" s="44">
        <v>39</v>
      </c>
      <c r="C39" s="39">
        <v>11</v>
      </c>
      <c r="D39" s="39">
        <v>7</v>
      </c>
      <c r="E39" s="39">
        <v>2</v>
      </c>
      <c r="F39" s="194">
        <v>2</v>
      </c>
      <c r="G39" s="196">
        <f t="shared" si="0"/>
        <v>61</v>
      </c>
      <c r="H39" s="203">
        <v>0</v>
      </c>
      <c r="I39" s="204">
        <v>0</v>
      </c>
      <c r="J39" s="204">
        <v>0</v>
      </c>
      <c r="K39" s="204">
        <v>0</v>
      </c>
      <c r="L39" s="204">
        <v>0</v>
      </c>
      <c r="M39" s="205">
        <v>0</v>
      </c>
      <c r="N39" s="85">
        <f t="shared" si="1"/>
        <v>61</v>
      </c>
      <c r="O39" s="43">
        <f t="shared" si="2"/>
        <v>70</v>
      </c>
    </row>
    <row r="40" spans="1:15" ht="22.5" customHeight="1" x14ac:dyDescent="0.3">
      <c r="A40" s="190" t="s">
        <v>209</v>
      </c>
      <c r="B40" s="44">
        <v>53</v>
      </c>
      <c r="C40" s="39">
        <v>16</v>
      </c>
      <c r="D40" s="39">
        <v>3</v>
      </c>
      <c r="E40" s="39">
        <v>0</v>
      </c>
      <c r="F40" s="194">
        <v>4</v>
      </c>
      <c r="G40" s="196">
        <f t="shared" ref="G40:G71" si="3">SUM(B40:F40)</f>
        <v>76</v>
      </c>
      <c r="H40" s="203">
        <v>0</v>
      </c>
      <c r="I40" s="204">
        <v>0</v>
      </c>
      <c r="J40" s="204">
        <v>0</v>
      </c>
      <c r="K40" s="204">
        <v>0</v>
      </c>
      <c r="L40" s="204">
        <v>0</v>
      </c>
      <c r="M40" s="205">
        <v>0</v>
      </c>
      <c r="N40" s="85">
        <f t="shared" si="1"/>
        <v>76</v>
      </c>
      <c r="O40" s="43">
        <f t="shared" si="2"/>
        <v>83.5</v>
      </c>
    </row>
    <row r="41" spans="1:15" ht="22.5" customHeight="1" x14ac:dyDescent="0.3">
      <c r="A41" s="190" t="s">
        <v>210</v>
      </c>
      <c r="B41" s="44">
        <v>58</v>
      </c>
      <c r="C41" s="39">
        <v>16</v>
      </c>
      <c r="D41" s="39">
        <v>3</v>
      </c>
      <c r="E41" s="39">
        <v>0</v>
      </c>
      <c r="F41" s="194">
        <v>2</v>
      </c>
      <c r="G41" s="196">
        <f t="shared" si="3"/>
        <v>79</v>
      </c>
      <c r="H41" s="203">
        <v>0</v>
      </c>
      <c r="I41" s="204">
        <v>0</v>
      </c>
      <c r="J41" s="204">
        <v>0</v>
      </c>
      <c r="K41" s="204">
        <v>0</v>
      </c>
      <c r="L41" s="204">
        <v>1</v>
      </c>
      <c r="M41" s="205">
        <v>0</v>
      </c>
      <c r="N41" s="85">
        <f t="shared" si="1"/>
        <v>79</v>
      </c>
      <c r="O41" s="43">
        <f t="shared" si="2"/>
        <v>87.5</v>
      </c>
    </row>
    <row r="42" spans="1:15" ht="22.5" customHeight="1" x14ac:dyDescent="0.3">
      <c r="A42" s="190" t="s">
        <v>211</v>
      </c>
      <c r="B42" s="44">
        <v>58</v>
      </c>
      <c r="C42" s="39">
        <v>20</v>
      </c>
      <c r="D42" s="39">
        <v>3</v>
      </c>
      <c r="E42" s="39">
        <v>1</v>
      </c>
      <c r="F42" s="194">
        <v>2</v>
      </c>
      <c r="G42" s="196">
        <f t="shared" si="3"/>
        <v>84</v>
      </c>
      <c r="H42" s="203">
        <v>0</v>
      </c>
      <c r="I42" s="204">
        <v>0</v>
      </c>
      <c r="J42" s="204">
        <v>0</v>
      </c>
      <c r="K42" s="204">
        <v>0</v>
      </c>
      <c r="L42" s="204">
        <v>2</v>
      </c>
      <c r="M42" s="205">
        <v>0</v>
      </c>
      <c r="N42" s="85">
        <f t="shared" si="1"/>
        <v>84</v>
      </c>
      <c r="O42" s="43">
        <f t="shared" si="2"/>
        <v>100.5</v>
      </c>
    </row>
    <row r="43" spans="1:15" ht="22.5" customHeight="1" x14ac:dyDescent="0.3">
      <c r="A43" s="190" t="s">
        <v>212</v>
      </c>
      <c r="B43" s="44">
        <v>55</v>
      </c>
      <c r="C43" s="39">
        <v>17</v>
      </c>
      <c r="D43" s="39">
        <v>1</v>
      </c>
      <c r="E43" s="39">
        <v>0</v>
      </c>
      <c r="F43" s="194">
        <v>1</v>
      </c>
      <c r="G43" s="196">
        <f t="shared" si="3"/>
        <v>74</v>
      </c>
      <c r="H43" s="203">
        <v>0</v>
      </c>
      <c r="I43" s="204">
        <v>0</v>
      </c>
      <c r="J43" s="204">
        <v>0</v>
      </c>
      <c r="K43" s="204">
        <v>0</v>
      </c>
      <c r="L43" s="204">
        <v>1</v>
      </c>
      <c r="M43" s="205">
        <v>0</v>
      </c>
      <c r="N43" s="85">
        <f t="shared" si="1"/>
        <v>74</v>
      </c>
      <c r="O43" s="43">
        <f t="shared" si="2"/>
        <v>77.5</v>
      </c>
    </row>
    <row r="44" spans="1:15" ht="22.5" customHeight="1" x14ac:dyDescent="0.3">
      <c r="A44" s="190" t="s">
        <v>213</v>
      </c>
      <c r="B44" s="44">
        <v>37</v>
      </c>
      <c r="C44" s="39">
        <v>19</v>
      </c>
      <c r="D44" s="39">
        <v>3</v>
      </c>
      <c r="E44" s="39">
        <v>0</v>
      </c>
      <c r="F44" s="194">
        <v>2</v>
      </c>
      <c r="G44" s="196">
        <f t="shared" si="3"/>
        <v>61</v>
      </c>
      <c r="H44" s="203">
        <v>0</v>
      </c>
      <c r="I44" s="204">
        <v>0</v>
      </c>
      <c r="J44" s="204">
        <v>0</v>
      </c>
      <c r="K44" s="204">
        <v>0</v>
      </c>
      <c r="L44" s="204">
        <v>2</v>
      </c>
      <c r="M44" s="205">
        <v>0</v>
      </c>
      <c r="N44" s="85">
        <f t="shared" si="1"/>
        <v>61</v>
      </c>
      <c r="O44" s="43">
        <f t="shared" si="2"/>
        <v>76</v>
      </c>
    </row>
    <row r="45" spans="1:15" ht="22.5" customHeight="1" x14ac:dyDescent="0.3">
      <c r="A45" s="190" t="s">
        <v>214</v>
      </c>
      <c r="B45" s="44">
        <v>49</v>
      </c>
      <c r="C45" s="39">
        <v>21</v>
      </c>
      <c r="D45" s="39">
        <v>2</v>
      </c>
      <c r="E45" s="39">
        <v>0</v>
      </c>
      <c r="F45" s="194">
        <v>3</v>
      </c>
      <c r="G45" s="196">
        <f t="shared" si="3"/>
        <v>75</v>
      </c>
      <c r="H45" s="203">
        <v>0</v>
      </c>
      <c r="I45" s="204">
        <v>0</v>
      </c>
      <c r="J45" s="204">
        <v>0</v>
      </c>
      <c r="K45" s="204">
        <v>0</v>
      </c>
      <c r="L45" s="204">
        <v>3</v>
      </c>
      <c r="M45" s="205">
        <v>0</v>
      </c>
      <c r="N45" s="85">
        <f t="shared" si="1"/>
        <v>75</v>
      </c>
      <c r="O45" s="43">
        <f t="shared" si="2"/>
        <v>100</v>
      </c>
    </row>
    <row r="46" spans="1:15" ht="22.5" customHeight="1" x14ac:dyDescent="0.3">
      <c r="A46" s="190" t="s">
        <v>215</v>
      </c>
      <c r="B46" s="44">
        <v>54</v>
      </c>
      <c r="C46" s="39">
        <v>16</v>
      </c>
      <c r="D46" s="39">
        <v>4</v>
      </c>
      <c r="E46" s="39">
        <v>0</v>
      </c>
      <c r="F46" s="194">
        <v>3</v>
      </c>
      <c r="G46" s="196">
        <f t="shared" si="3"/>
        <v>77</v>
      </c>
      <c r="H46" s="203">
        <v>0</v>
      </c>
      <c r="I46" s="204">
        <v>0</v>
      </c>
      <c r="J46" s="204">
        <v>0</v>
      </c>
      <c r="K46" s="204">
        <v>0</v>
      </c>
      <c r="L46" s="204">
        <v>4</v>
      </c>
      <c r="M46" s="205">
        <v>0</v>
      </c>
      <c r="N46" s="85">
        <f t="shared" si="1"/>
        <v>77</v>
      </c>
      <c r="O46" s="43">
        <f t="shared" si="2"/>
        <v>113.5</v>
      </c>
    </row>
    <row r="47" spans="1:15" ht="22.5" customHeight="1" x14ac:dyDescent="0.3">
      <c r="A47" s="190" t="s">
        <v>216</v>
      </c>
      <c r="B47" s="44">
        <v>56</v>
      </c>
      <c r="C47" s="39">
        <v>26</v>
      </c>
      <c r="D47" s="39">
        <v>3</v>
      </c>
      <c r="E47" s="39">
        <v>0</v>
      </c>
      <c r="F47" s="194">
        <v>2</v>
      </c>
      <c r="G47" s="196">
        <f t="shared" si="3"/>
        <v>87</v>
      </c>
      <c r="H47" s="203">
        <v>0</v>
      </c>
      <c r="I47" s="204">
        <v>0</v>
      </c>
      <c r="J47" s="204">
        <v>0</v>
      </c>
      <c r="K47" s="204">
        <v>0</v>
      </c>
      <c r="L47" s="204">
        <v>0</v>
      </c>
      <c r="M47" s="205">
        <v>0</v>
      </c>
      <c r="N47" s="85">
        <f t="shared" si="1"/>
        <v>87</v>
      </c>
      <c r="O47" s="43">
        <f t="shared" si="2"/>
        <v>82.5</v>
      </c>
    </row>
    <row r="48" spans="1:15" ht="22.5" customHeight="1" x14ac:dyDescent="0.3">
      <c r="A48" s="190" t="s">
        <v>217</v>
      </c>
      <c r="B48" s="44">
        <v>44</v>
      </c>
      <c r="C48" s="39">
        <v>32</v>
      </c>
      <c r="D48" s="39">
        <v>2</v>
      </c>
      <c r="E48" s="39">
        <v>0</v>
      </c>
      <c r="F48" s="194">
        <v>2</v>
      </c>
      <c r="G48" s="196">
        <f t="shared" si="3"/>
        <v>80</v>
      </c>
      <c r="H48" s="203">
        <v>0</v>
      </c>
      <c r="I48" s="204">
        <v>0</v>
      </c>
      <c r="J48" s="204">
        <v>0</v>
      </c>
      <c r="K48" s="204">
        <v>0</v>
      </c>
      <c r="L48" s="204">
        <v>5</v>
      </c>
      <c r="M48" s="205">
        <v>0</v>
      </c>
      <c r="N48" s="85">
        <f t="shared" si="1"/>
        <v>80</v>
      </c>
      <c r="O48" s="43">
        <f t="shared" si="2"/>
        <v>112</v>
      </c>
    </row>
    <row r="49" spans="1:15" ht="22.5" customHeight="1" x14ac:dyDescent="0.3">
      <c r="A49" s="190" t="s">
        <v>218</v>
      </c>
      <c r="B49" s="44">
        <v>41</v>
      </c>
      <c r="C49" s="39">
        <v>31</v>
      </c>
      <c r="D49" s="39">
        <v>2</v>
      </c>
      <c r="E49" s="39">
        <v>0</v>
      </c>
      <c r="F49" s="194">
        <v>1</v>
      </c>
      <c r="G49" s="196">
        <f t="shared" si="3"/>
        <v>75</v>
      </c>
      <c r="H49" s="203">
        <v>0</v>
      </c>
      <c r="I49" s="204">
        <v>0</v>
      </c>
      <c r="J49" s="204">
        <v>0</v>
      </c>
      <c r="K49" s="204">
        <v>0</v>
      </c>
      <c r="L49" s="204">
        <v>0</v>
      </c>
      <c r="M49" s="205">
        <v>0</v>
      </c>
      <c r="N49" s="85">
        <f t="shared" si="1"/>
        <v>75</v>
      </c>
      <c r="O49" s="43">
        <f t="shared" si="2"/>
        <v>64</v>
      </c>
    </row>
    <row r="50" spans="1:15" ht="22.5" customHeight="1" x14ac:dyDescent="0.3">
      <c r="A50" s="190" t="s">
        <v>219</v>
      </c>
      <c r="B50" s="44">
        <v>55</v>
      </c>
      <c r="C50" s="39">
        <v>11</v>
      </c>
      <c r="D50" s="39">
        <v>6</v>
      </c>
      <c r="E50" s="39">
        <v>1</v>
      </c>
      <c r="F50" s="194">
        <v>2</v>
      </c>
      <c r="G50" s="196">
        <f t="shared" si="3"/>
        <v>75</v>
      </c>
      <c r="H50" s="203">
        <v>0</v>
      </c>
      <c r="I50" s="204">
        <v>0</v>
      </c>
      <c r="J50" s="204">
        <v>0</v>
      </c>
      <c r="K50" s="204">
        <v>0</v>
      </c>
      <c r="L50" s="204">
        <v>0</v>
      </c>
      <c r="M50" s="205">
        <v>0</v>
      </c>
      <c r="N50" s="85">
        <f t="shared" si="1"/>
        <v>75</v>
      </c>
      <c r="O50" s="43">
        <f t="shared" si="2"/>
        <v>81.5</v>
      </c>
    </row>
    <row r="51" spans="1:15" ht="22.5" customHeight="1" x14ac:dyDescent="0.3">
      <c r="A51" s="190" t="s">
        <v>220</v>
      </c>
      <c r="B51" s="44">
        <v>61</v>
      </c>
      <c r="C51" s="39">
        <v>32</v>
      </c>
      <c r="D51" s="39">
        <v>3</v>
      </c>
      <c r="E51" s="39">
        <v>0</v>
      </c>
      <c r="F51" s="194">
        <v>1</v>
      </c>
      <c r="G51" s="196">
        <f t="shared" si="3"/>
        <v>97</v>
      </c>
      <c r="H51" s="203">
        <v>0</v>
      </c>
      <c r="I51" s="204">
        <v>0</v>
      </c>
      <c r="J51" s="204">
        <v>0</v>
      </c>
      <c r="K51" s="204">
        <v>0</v>
      </c>
      <c r="L51" s="204">
        <v>1</v>
      </c>
      <c r="M51" s="205">
        <v>0</v>
      </c>
      <c r="N51" s="85">
        <f t="shared" si="1"/>
        <v>97</v>
      </c>
      <c r="O51" s="43">
        <f t="shared" si="2"/>
        <v>94</v>
      </c>
    </row>
    <row r="52" spans="1:15" ht="22.5" customHeight="1" x14ac:dyDescent="0.3">
      <c r="A52" s="190" t="s">
        <v>221</v>
      </c>
      <c r="B52" s="44">
        <v>66</v>
      </c>
      <c r="C52" s="39">
        <v>25</v>
      </c>
      <c r="D52" s="39">
        <v>0</v>
      </c>
      <c r="E52" s="39">
        <v>0</v>
      </c>
      <c r="F52" s="194">
        <v>0</v>
      </c>
      <c r="G52" s="196">
        <f t="shared" si="3"/>
        <v>91</v>
      </c>
      <c r="H52" s="203">
        <v>0</v>
      </c>
      <c r="I52" s="204">
        <v>0</v>
      </c>
      <c r="J52" s="204">
        <v>0</v>
      </c>
      <c r="K52" s="204">
        <v>0</v>
      </c>
      <c r="L52" s="204">
        <v>0</v>
      </c>
      <c r="M52" s="205">
        <v>0</v>
      </c>
      <c r="N52" s="85">
        <f t="shared" si="1"/>
        <v>91</v>
      </c>
      <c r="O52" s="43">
        <f t="shared" si="2"/>
        <v>78.5</v>
      </c>
    </row>
    <row r="53" spans="1:15" ht="22.5" customHeight="1" x14ac:dyDescent="0.3">
      <c r="A53" s="190" t="s">
        <v>222</v>
      </c>
      <c r="B53" s="44">
        <v>76</v>
      </c>
      <c r="C53" s="39">
        <v>10</v>
      </c>
      <c r="D53" s="39">
        <v>3</v>
      </c>
      <c r="E53" s="39">
        <v>0</v>
      </c>
      <c r="F53" s="194">
        <v>2</v>
      </c>
      <c r="G53" s="196">
        <f t="shared" si="3"/>
        <v>91</v>
      </c>
      <c r="H53" s="203">
        <v>0</v>
      </c>
      <c r="I53" s="204">
        <v>0</v>
      </c>
      <c r="J53" s="204">
        <v>0</v>
      </c>
      <c r="K53" s="204">
        <v>0</v>
      </c>
      <c r="L53" s="204">
        <v>0</v>
      </c>
      <c r="M53" s="205">
        <v>0</v>
      </c>
      <c r="N53" s="85">
        <f t="shared" si="1"/>
        <v>91</v>
      </c>
      <c r="O53" s="43">
        <f t="shared" si="2"/>
        <v>94.5</v>
      </c>
    </row>
    <row r="54" spans="1:15" ht="22.5" customHeight="1" x14ac:dyDescent="0.3">
      <c r="A54" s="190" t="s">
        <v>223</v>
      </c>
      <c r="B54" s="44">
        <v>91</v>
      </c>
      <c r="C54" s="39">
        <v>14</v>
      </c>
      <c r="D54" s="39">
        <v>3</v>
      </c>
      <c r="E54" s="39">
        <v>0</v>
      </c>
      <c r="F54" s="194">
        <v>3</v>
      </c>
      <c r="G54" s="196">
        <f t="shared" si="3"/>
        <v>111</v>
      </c>
      <c r="H54" s="203">
        <v>1</v>
      </c>
      <c r="I54" s="204">
        <v>0</v>
      </c>
      <c r="J54" s="204">
        <v>0</v>
      </c>
      <c r="K54" s="204">
        <v>0</v>
      </c>
      <c r="L54" s="204">
        <v>3</v>
      </c>
      <c r="M54" s="205">
        <v>0</v>
      </c>
      <c r="N54" s="85">
        <f t="shared" si="1"/>
        <v>111</v>
      </c>
      <c r="O54" s="43">
        <f t="shared" si="2"/>
        <v>140.5</v>
      </c>
    </row>
    <row r="55" spans="1:15" ht="22.5" customHeight="1" x14ac:dyDescent="0.3">
      <c r="A55" s="190" t="s">
        <v>224</v>
      </c>
      <c r="B55" s="44">
        <v>82</v>
      </c>
      <c r="C55" s="39">
        <v>15</v>
      </c>
      <c r="D55" s="39">
        <v>2</v>
      </c>
      <c r="E55" s="39">
        <v>0</v>
      </c>
      <c r="F55" s="194">
        <v>1</v>
      </c>
      <c r="G55" s="196">
        <f t="shared" si="3"/>
        <v>100</v>
      </c>
      <c r="H55" s="203">
        <v>0</v>
      </c>
      <c r="I55" s="204">
        <v>0</v>
      </c>
      <c r="J55" s="204">
        <v>0</v>
      </c>
      <c r="K55" s="204">
        <v>0</v>
      </c>
      <c r="L55" s="204">
        <v>2</v>
      </c>
      <c r="M55" s="205">
        <v>0</v>
      </c>
      <c r="N55" s="85">
        <f t="shared" si="1"/>
        <v>100</v>
      </c>
      <c r="O55" s="43">
        <f t="shared" si="2"/>
        <v>113</v>
      </c>
    </row>
    <row r="56" spans="1:15" ht="22.5" customHeight="1" x14ac:dyDescent="0.3">
      <c r="A56" s="190" t="s">
        <v>225</v>
      </c>
      <c r="B56" s="44">
        <v>65</v>
      </c>
      <c r="C56" s="39">
        <v>10</v>
      </c>
      <c r="D56" s="39">
        <v>3</v>
      </c>
      <c r="E56" s="39">
        <v>2</v>
      </c>
      <c r="F56" s="194">
        <v>2</v>
      </c>
      <c r="G56" s="196">
        <f t="shared" si="3"/>
        <v>82</v>
      </c>
      <c r="H56" s="203">
        <v>0</v>
      </c>
      <c r="I56" s="204">
        <v>0</v>
      </c>
      <c r="J56" s="204">
        <v>0</v>
      </c>
      <c r="K56" s="204">
        <v>0</v>
      </c>
      <c r="L56" s="204">
        <v>0</v>
      </c>
      <c r="M56" s="205">
        <v>0</v>
      </c>
      <c r="N56" s="85">
        <f t="shared" si="1"/>
        <v>82</v>
      </c>
      <c r="O56" s="43">
        <f t="shared" si="2"/>
        <v>89.5</v>
      </c>
    </row>
    <row r="57" spans="1:15" ht="22.5" customHeight="1" x14ac:dyDescent="0.3">
      <c r="A57" s="190" t="s">
        <v>226</v>
      </c>
      <c r="B57" s="44">
        <v>47</v>
      </c>
      <c r="C57" s="39">
        <v>5</v>
      </c>
      <c r="D57" s="39">
        <v>2</v>
      </c>
      <c r="E57" s="39">
        <v>3</v>
      </c>
      <c r="F57" s="194">
        <v>1</v>
      </c>
      <c r="G57" s="196">
        <f t="shared" si="3"/>
        <v>58</v>
      </c>
      <c r="H57" s="203">
        <v>0</v>
      </c>
      <c r="I57" s="204">
        <v>0</v>
      </c>
      <c r="J57" s="204">
        <v>0</v>
      </c>
      <c r="K57" s="204">
        <v>0</v>
      </c>
      <c r="L57" s="204">
        <v>0</v>
      </c>
      <c r="M57" s="205">
        <v>0</v>
      </c>
      <c r="N57" s="85">
        <f t="shared" si="1"/>
        <v>58</v>
      </c>
      <c r="O57" s="43">
        <f t="shared" si="2"/>
        <v>66</v>
      </c>
    </row>
    <row r="58" spans="1:15" ht="22.5" customHeight="1" x14ac:dyDescent="0.3">
      <c r="A58" s="190" t="s">
        <v>227</v>
      </c>
      <c r="B58" s="44">
        <v>46</v>
      </c>
      <c r="C58" s="39">
        <v>5</v>
      </c>
      <c r="D58" s="39">
        <v>2</v>
      </c>
      <c r="E58" s="39">
        <v>0</v>
      </c>
      <c r="F58" s="194">
        <v>1</v>
      </c>
      <c r="G58" s="196">
        <f t="shared" si="3"/>
        <v>54</v>
      </c>
      <c r="H58" s="203">
        <v>0</v>
      </c>
      <c r="I58" s="204">
        <v>0</v>
      </c>
      <c r="J58" s="204">
        <v>0</v>
      </c>
      <c r="K58" s="204">
        <v>0</v>
      </c>
      <c r="L58" s="204">
        <v>0</v>
      </c>
      <c r="M58" s="205">
        <v>0</v>
      </c>
      <c r="N58" s="85">
        <f t="shared" si="1"/>
        <v>54</v>
      </c>
      <c r="O58" s="43">
        <f t="shared" si="2"/>
        <v>56</v>
      </c>
    </row>
    <row r="59" spans="1:15" ht="22.5" customHeight="1" x14ac:dyDescent="0.3">
      <c r="A59" s="190" t="s">
        <v>228</v>
      </c>
      <c r="B59" s="44">
        <v>40</v>
      </c>
      <c r="C59" s="39">
        <v>4</v>
      </c>
      <c r="D59" s="39">
        <v>2</v>
      </c>
      <c r="E59" s="39">
        <v>1</v>
      </c>
      <c r="F59" s="194">
        <v>1</v>
      </c>
      <c r="G59" s="196">
        <f t="shared" si="3"/>
        <v>48</v>
      </c>
      <c r="H59" s="203">
        <v>0</v>
      </c>
      <c r="I59" s="204">
        <v>0</v>
      </c>
      <c r="J59" s="204">
        <v>0</v>
      </c>
      <c r="K59" s="204">
        <v>0</v>
      </c>
      <c r="L59" s="204">
        <v>0</v>
      </c>
      <c r="M59" s="205">
        <v>0</v>
      </c>
      <c r="N59" s="85">
        <f t="shared" si="1"/>
        <v>48</v>
      </c>
      <c r="O59" s="43">
        <f t="shared" si="2"/>
        <v>52.5</v>
      </c>
    </row>
    <row r="60" spans="1:15" ht="22.5" customHeight="1" x14ac:dyDescent="0.3">
      <c r="A60" s="190" t="s">
        <v>229</v>
      </c>
      <c r="B60" s="44">
        <v>41</v>
      </c>
      <c r="C60" s="39">
        <v>6</v>
      </c>
      <c r="D60" s="39">
        <v>1</v>
      </c>
      <c r="E60" s="39">
        <v>0</v>
      </c>
      <c r="F60" s="194">
        <v>1</v>
      </c>
      <c r="G60" s="196">
        <f t="shared" si="3"/>
        <v>49</v>
      </c>
      <c r="H60" s="203">
        <v>0</v>
      </c>
      <c r="I60" s="204">
        <v>0</v>
      </c>
      <c r="J60" s="204">
        <v>0</v>
      </c>
      <c r="K60" s="204">
        <v>0</v>
      </c>
      <c r="L60" s="204">
        <v>0</v>
      </c>
      <c r="M60" s="205">
        <v>0</v>
      </c>
      <c r="N60" s="85">
        <f t="shared" si="1"/>
        <v>49</v>
      </c>
      <c r="O60" s="43">
        <f t="shared" si="2"/>
        <v>50</v>
      </c>
    </row>
    <row r="61" spans="1:15" ht="22.5" customHeight="1" x14ac:dyDescent="0.3">
      <c r="A61" s="190" t="s">
        <v>230</v>
      </c>
      <c r="B61" s="44">
        <v>25</v>
      </c>
      <c r="C61" s="39">
        <v>5</v>
      </c>
      <c r="D61" s="39">
        <v>1</v>
      </c>
      <c r="E61" s="39">
        <v>3</v>
      </c>
      <c r="F61" s="194">
        <v>1</v>
      </c>
      <c r="G61" s="196">
        <f t="shared" si="3"/>
        <v>35</v>
      </c>
      <c r="H61" s="203">
        <v>0</v>
      </c>
      <c r="I61" s="204">
        <v>0</v>
      </c>
      <c r="J61" s="204">
        <v>0</v>
      </c>
      <c r="K61" s="204">
        <v>0</v>
      </c>
      <c r="L61" s="204">
        <v>0</v>
      </c>
      <c r="M61" s="205">
        <v>0</v>
      </c>
      <c r="N61" s="85">
        <f t="shared" si="1"/>
        <v>35</v>
      </c>
      <c r="O61" s="43">
        <f t="shared" si="2"/>
        <v>42.5</v>
      </c>
    </row>
    <row r="62" spans="1:15" ht="22.5" customHeight="1" x14ac:dyDescent="0.3">
      <c r="A62" s="190" t="s">
        <v>231</v>
      </c>
      <c r="B62" s="44">
        <v>25</v>
      </c>
      <c r="C62" s="39">
        <v>8</v>
      </c>
      <c r="D62" s="39">
        <v>4</v>
      </c>
      <c r="E62" s="39">
        <v>1</v>
      </c>
      <c r="F62" s="194">
        <v>3</v>
      </c>
      <c r="G62" s="196">
        <f t="shared" si="3"/>
        <v>41</v>
      </c>
      <c r="H62" s="203">
        <v>0</v>
      </c>
      <c r="I62" s="204">
        <v>0</v>
      </c>
      <c r="J62" s="204">
        <v>0</v>
      </c>
      <c r="K62" s="204">
        <v>0</v>
      </c>
      <c r="L62" s="204">
        <v>0</v>
      </c>
      <c r="M62" s="205">
        <v>0</v>
      </c>
      <c r="N62" s="85">
        <f t="shared" si="1"/>
        <v>41</v>
      </c>
      <c r="O62" s="43">
        <f t="shared" si="2"/>
        <v>51.5</v>
      </c>
    </row>
    <row r="63" spans="1:15" ht="22.5" customHeight="1" x14ac:dyDescent="0.3">
      <c r="A63" s="190" t="s">
        <v>232</v>
      </c>
      <c r="B63" s="44">
        <v>26</v>
      </c>
      <c r="C63" s="39">
        <v>7</v>
      </c>
      <c r="D63" s="39">
        <v>0</v>
      </c>
      <c r="E63" s="39">
        <v>2</v>
      </c>
      <c r="F63" s="194">
        <v>1</v>
      </c>
      <c r="G63" s="196">
        <f t="shared" si="3"/>
        <v>36</v>
      </c>
      <c r="H63" s="203">
        <v>0</v>
      </c>
      <c r="I63" s="204">
        <v>0</v>
      </c>
      <c r="J63" s="204">
        <v>0</v>
      </c>
      <c r="K63" s="204">
        <v>0</v>
      </c>
      <c r="L63" s="204">
        <v>0</v>
      </c>
      <c r="M63" s="205">
        <v>0</v>
      </c>
      <c r="N63" s="85">
        <f t="shared" si="1"/>
        <v>36</v>
      </c>
      <c r="O63" s="43">
        <f t="shared" si="2"/>
        <v>40</v>
      </c>
    </row>
    <row r="64" spans="1:15" ht="22.5" customHeight="1" x14ac:dyDescent="0.3">
      <c r="A64" s="190" t="s">
        <v>233</v>
      </c>
      <c r="B64" s="44">
        <v>28</v>
      </c>
      <c r="C64" s="39">
        <v>5</v>
      </c>
      <c r="D64" s="39">
        <v>1</v>
      </c>
      <c r="E64" s="39">
        <v>3</v>
      </c>
      <c r="F64" s="194">
        <v>3</v>
      </c>
      <c r="G64" s="196">
        <f t="shared" si="3"/>
        <v>40</v>
      </c>
      <c r="H64" s="203">
        <v>0</v>
      </c>
      <c r="I64" s="204">
        <v>0</v>
      </c>
      <c r="J64" s="204">
        <v>0</v>
      </c>
      <c r="K64" s="204">
        <v>0</v>
      </c>
      <c r="L64" s="204">
        <v>0</v>
      </c>
      <c r="M64" s="205">
        <v>0</v>
      </c>
      <c r="N64" s="85">
        <f t="shared" si="1"/>
        <v>40</v>
      </c>
      <c r="O64" s="43">
        <f t="shared" si="2"/>
        <v>54.5</v>
      </c>
    </row>
    <row r="65" spans="1:15" ht="22.5" customHeight="1" x14ac:dyDescent="0.3">
      <c r="A65" s="190" t="s">
        <v>234</v>
      </c>
      <c r="B65" s="44">
        <v>16</v>
      </c>
      <c r="C65" s="39">
        <v>2</v>
      </c>
      <c r="D65" s="39">
        <v>3</v>
      </c>
      <c r="E65" s="39">
        <v>1</v>
      </c>
      <c r="F65" s="194">
        <v>3</v>
      </c>
      <c r="G65" s="196">
        <f t="shared" si="3"/>
        <v>25</v>
      </c>
      <c r="H65" s="203">
        <v>0</v>
      </c>
      <c r="I65" s="204">
        <v>0</v>
      </c>
      <c r="J65" s="204">
        <v>0</v>
      </c>
      <c r="K65" s="204">
        <v>0</v>
      </c>
      <c r="L65" s="204">
        <v>0</v>
      </c>
      <c r="M65" s="205">
        <v>0</v>
      </c>
      <c r="N65" s="85">
        <f t="shared" si="1"/>
        <v>25</v>
      </c>
      <c r="O65" s="43">
        <f t="shared" si="2"/>
        <v>38</v>
      </c>
    </row>
    <row r="66" spans="1:15" ht="22.5" customHeight="1" x14ac:dyDescent="0.3">
      <c r="A66" s="190" t="s">
        <v>235</v>
      </c>
      <c r="B66" s="44">
        <v>15</v>
      </c>
      <c r="C66" s="39">
        <v>7</v>
      </c>
      <c r="D66" s="39">
        <v>1</v>
      </c>
      <c r="E66" s="39">
        <v>4</v>
      </c>
      <c r="F66" s="194">
        <v>2</v>
      </c>
      <c r="G66" s="196">
        <f t="shared" si="3"/>
        <v>29</v>
      </c>
      <c r="H66" s="203">
        <v>0</v>
      </c>
      <c r="I66" s="204">
        <v>0</v>
      </c>
      <c r="J66" s="204">
        <v>0</v>
      </c>
      <c r="K66" s="204">
        <v>0</v>
      </c>
      <c r="L66" s="204">
        <v>0</v>
      </c>
      <c r="M66" s="205">
        <v>0</v>
      </c>
      <c r="N66" s="85">
        <f t="shared" si="1"/>
        <v>29</v>
      </c>
      <c r="O66" s="43">
        <f t="shared" si="2"/>
        <v>41</v>
      </c>
    </row>
    <row r="67" spans="1:15" ht="22.5" customHeight="1" x14ac:dyDescent="0.3">
      <c r="A67" s="190" t="s">
        <v>236</v>
      </c>
      <c r="B67" s="44">
        <v>20</v>
      </c>
      <c r="C67" s="39">
        <v>5</v>
      </c>
      <c r="D67" s="39">
        <v>2</v>
      </c>
      <c r="E67" s="39">
        <v>2</v>
      </c>
      <c r="F67" s="194">
        <v>3</v>
      </c>
      <c r="G67" s="196">
        <f t="shared" si="3"/>
        <v>32</v>
      </c>
      <c r="H67" s="203">
        <v>0</v>
      </c>
      <c r="I67" s="204">
        <v>0</v>
      </c>
      <c r="J67" s="204">
        <v>0</v>
      </c>
      <c r="K67" s="204">
        <v>0</v>
      </c>
      <c r="L67" s="204">
        <v>0</v>
      </c>
      <c r="M67" s="205">
        <v>0</v>
      </c>
      <c r="N67" s="85">
        <f t="shared" si="1"/>
        <v>32</v>
      </c>
      <c r="O67" s="43">
        <f t="shared" si="2"/>
        <v>45</v>
      </c>
    </row>
    <row r="68" spans="1:15" ht="22.5" customHeight="1" x14ac:dyDescent="0.3">
      <c r="A68" s="190" t="s">
        <v>237</v>
      </c>
      <c r="B68" s="44">
        <v>19</v>
      </c>
      <c r="C68" s="39">
        <v>8</v>
      </c>
      <c r="D68" s="39">
        <v>3</v>
      </c>
      <c r="E68" s="39">
        <v>6</v>
      </c>
      <c r="F68" s="194">
        <v>4</v>
      </c>
      <c r="G68" s="196">
        <f t="shared" si="3"/>
        <v>40</v>
      </c>
      <c r="H68" s="203">
        <v>0</v>
      </c>
      <c r="I68" s="204">
        <v>0</v>
      </c>
      <c r="J68" s="204">
        <v>0</v>
      </c>
      <c r="K68" s="204">
        <v>0</v>
      </c>
      <c r="L68" s="204">
        <v>0</v>
      </c>
      <c r="M68" s="205">
        <v>0</v>
      </c>
      <c r="N68" s="85">
        <f t="shared" si="1"/>
        <v>40</v>
      </c>
      <c r="O68" s="43">
        <f t="shared" si="2"/>
        <v>63.5</v>
      </c>
    </row>
    <row r="69" spans="1:15" ht="22.5" customHeight="1" x14ac:dyDescent="0.3">
      <c r="A69" s="190" t="s">
        <v>238</v>
      </c>
      <c r="B69" s="44">
        <v>11</v>
      </c>
      <c r="C69" s="39">
        <v>7</v>
      </c>
      <c r="D69" s="39">
        <v>1</v>
      </c>
      <c r="E69" s="39">
        <v>3</v>
      </c>
      <c r="F69" s="194">
        <v>3</v>
      </c>
      <c r="G69" s="196">
        <f t="shared" si="3"/>
        <v>25</v>
      </c>
      <c r="H69" s="203">
        <v>0</v>
      </c>
      <c r="I69" s="204">
        <v>0</v>
      </c>
      <c r="J69" s="204">
        <v>0</v>
      </c>
      <c r="K69" s="204">
        <v>0</v>
      </c>
      <c r="L69" s="204">
        <v>0</v>
      </c>
      <c r="M69" s="205">
        <v>0</v>
      </c>
      <c r="N69" s="85">
        <f t="shared" si="1"/>
        <v>25</v>
      </c>
      <c r="O69" s="43">
        <f t="shared" si="2"/>
        <v>38.5</v>
      </c>
    </row>
    <row r="70" spans="1:15" ht="22.5" customHeight="1" x14ac:dyDescent="0.3">
      <c r="A70" s="190" t="s">
        <v>239</v>
      </c>
      <c r="B70" s="44">
        <v>5</v>
      </c>
      <c r="C70" s="39">
        <v>2</v>
      </c>
      <c r="D70" s="39">
        <v>4</v>
      </c>
      <c r="E70" s="39">
        <v>2</v>
      </c>
      <c r="F70" s="194">
        <v>2</v>
      </c>
      <c r="G70" s="196">
        <f t="shared" si="3"/>
        <v>15</v>
      </c>
      <c r="H70" s="203">
        <v>0</v>
      </c>
      <c r="I70" s="204">
        <v>0</v>
      </c>
      <c r="J70" s="204">
        <v>0</v>
      </c>
      <c r="K70" s="204">
        <v>0</v>
      </c>
      <c r="L70" s="204">
        <v>3</v>
      </c>
      <c r="M70" s="205">
        <v>0</v>
      </c>
      <c r="N70" s="85">
        <f t="shared" si="1"/>
        <v>15</v>
      </c>
      <c r="O70" s="43">
        <f t="shared" si="2"/>
        <v>51</v>
      </c>
    </row>
    <row r="71" spans="1:15" ht="22.5" customHeight="1" x14ac:dyDescent="0.3">
      <c r="A71" s="190" t="s">
        <v>240</v>
      </c>
      <c r="B71" s="44">
        <v>2</v>
      </c>
      <c r="C71" s="39">
        <v>3</v>
      </c>
      <c r="D71" s="39">
        <v>2</v>
      </c>
      <c r="E71" s="39">
        <v>1</v>
      </c>
      <c r="F71" s="194">
        <v>2</v>
      </c>
      <c r="G71" s="196">
        <f t="shared" si="3"/>
        <v>10</v>
      </c>
      <c r="H71" s="203">
        <v>0</v>
      </c>
      <c r="I71" s="204">
        <v>0</v>
      </c>
      <c r="J71" s="204">
        <v>0</v>
      </c>
      <c r="K71" s="204">
        <v>0</v>
      </c>
      <c r="L71" s="204">
        <v>3</v>
      </c>
      <c r="M71" s="205">
        <v>0</v>
      </c>
      <c r="N71" s="85">
        <f t="shared" si="1"/>
        <v>10</v>
      </c>
      <c r="O71" s="43">
        <f t="shared" si="2"/>
        <v>42.5</v>
      </c>
    </row>
    <row r="72" spans="1:15" ht="22.5" customHeight="1" x14ac:dyDescent="0.3">
      <c r="A72" s="190" t="s">
        <v>153</v>
      </c>
      <c r="B72" s="44">
        <v>4</v>
      </c>
      <c r="C72" s="39">
        <v>3</v>
      </c>
      <c r="D72" s="39">
        <v>6</v>
      </c>
      <c r="E72" s="39">
        <v>2</v>
      </c>
      <c r="F72" s="194">
        <v>2</v>
      </c>
      <c r="G72" s="196">
        <f t="shared" ref="G72:G103" si="4">SUM(B72:F72)</f>
        <v>17</v>
      </c>
      <c r="H72" s="203">
        <v>0</v>
      </c>
      <c r="I72" s="204">
        <v>0</v>
      </c>
      <c r="J72" s="204">
        <v>0</v>
      </c>
      <c r="K72" s="204">
        <v>0</v>
      </c>
      <c r="L72" s="204">
        <v>3</v>
      </c>
      <c r="M72" s="205">
        <v>0</v>
      </c>
      <c r="N72" s="85">
        <f t="shared" si="1"/>
        <v>17</v>
      </c>
      <c r="O72" s="43">
        <f t="shared" si="2"/>
        <v>53.5</v>
      </c>
    </row>
    <row r="73" spans="1:15" ht="22.5" customHeight="1" x14ac:dyDescent="0.3">
      <c r="A73" s="190" t="s">
        <v>154</v>
      </c>
      <c r="B73" s="44">
        <v>4</v>
      </c>
      <c r="C73" s="39">
        <v>4</v>
      </c>
      <c r="D73" s="39">
        <v>3</v>
      </c>
      <c r="E73" s="39">
        <v>0</v>
      </c>
      <c r="F73" s="194">
        <v>0</v>
      </c>
      <c r="G73" s="196">
        <f t="shared" si="4"/>
        <v>11</v>
      </c>
      <c r="H73" s="203">
        <v>0</v>
      </c>
      <c r="I73" s="204">
        <v>0</v>
      </c>
      <c r="J73" s="204">
        <v>0</v>
      </c>
      <c r="K73" s="204">
        <v>0</v>
      </c>
      <c r="L73" s="204">
        <v>0</v>
      </c>
      <c r="M73" s="205">
        <v>0</v>
      </c>
      <c r="N73" s="85">
        <f t="shared" ref="N73:N103" si="5">G73+M73</f>
        <v>11</v>
      </c>
      <c r="O73" s="43">
        <f t="shared" ref="O73:O103" si="6">B73*1+C73*0.5+D73*1.5+E73*3+F73*4.5+H73*0.5+I73*1.5+J73*3+K73*4+L73*8</f>
        <v>10.5</v>
      </c>
    </row>
    <row r="74" spans="1:15" ht="22.5" customHeight="1" x14ac:dyDescent="0.3">
      <c r="A74" s="190" t="s">
        <v>155</v>
      </c>
      <c r="B74" s="44">
        <v>7</v>
      </c>
      <c r="C74" s="39">
        <v>2</v>
      </c>
      <c r="D74" s="39">
        <v>2</v>
      </c>
      <c r="E74" s="39">
        <v>1</v>
      </c>
      <c r="F74" s="194">
        <v>1</v>
      </c>
      <c r="G74" s="196">
        <f t="shared" si="4"/>
        <v>13</v>
      </c>
      <c r="H74" s="203">
        <v>0</v>
      </c>
      <c r="I74" s="204">
        <v>0</v>
      </c>
      <c r="J74" s="204">
        <v>0</v>
      </c>
      <c r="K74" s="204">
        <v>0</v>
      </c>
      <c r="L74" s="204">
        <v>0</v>
      </c>
      <c r="M74" s="205">
        <v>0</v>
      </c>
      <c r="N74" s="85">
        <f t="shared" si="5"/>
        <v>13</v>
      </c>
      <c r="O74" s="43">
        <f t="shared" si="6"/>
        <v>18.5</v>
      </c>
    </row>
    <row r="75" spans="1:15" ht="22.5" customHeight="1" x14ac:dyDescent="0.3">
      <c r="A75" s="190" t="s">
        <v>156</v>
      </c>
      <c r="B75" s="44">
        <v>5</v>
      </c>
      <c r="C75" s="39">
        <v>2</v>
      </c>
      <c r="D75" s="39">
        <v>1</v>
      </c>
      <c r="E75" s="39">
        <v>0</v>
      </c>
      <c r="F75" s="194">
        <v>1</v>
      </c>
      <c r="G75" s="196">
        <f t="shared" si="4"/>
        <v>9</v>
      </c>
      <c r="H75" s="203">
        <v>0</v>
      </c>
      <c r="I75" s="204">
        <v>0</v>
      </c>
      <c r="J75" s="204">
        <v>0</v>
      </c>
      <c r="K75" s="204">
        <v>0</v>
      </c>
      <c r="L75" s="204">
        <v>0</v>
      </c>
      <c r="M75" s="205">
        <v>0</v>
      </c>
      <c r="N75" s="85">
        <f t="shared" si="5"/>
        <v>9</v>
      </c>
      <c r="O75" s="43">
        <f t="shared" si="6"/>
        <v>12</v>
      </c>
    </row>
    <row r="76" spans="1:15" ht="22.5" customHeight="1" x14ac:dyDescent="0.3">
      <c r="A76" s="190" t="s">
        <v>157</v>
      </c>
      <c r="B76" s="44">
        <v>2</v>
      </c>
      <c r="C76" s="39">
        <v>2</v>
      </c>
      <c r="D76" s="39">
        <v>2</v>
      </c>
      <c r="E76" s="39">
        <v>0</v>
      </c>
      <c r="F76" s="194">
        <v>1</v>
      </c>
      <c r="G76" s="196">
        <f t="shared" si="4"/>
        <v>7</v>
      </c>
      <c r="H76" s="203">
        <v>0</v>
      </c>
      <c r="I76" s="204">
        <v>0</v>
      </c>
      <c r="J76" s="204">
        <v>0</v>
      </c>
      <c r="K76" s="204">
        <v>0</v>
      </c>
      <c r="L76" s="204">
        <v>0</v>
      </c>
      <c r="M76" s="205">
        <v>0</v>
      </c>
      <c r="N76" s="85">
        <f t="shared" si="5"/>
        <v>7</v>
      </c>
      <c r="O76" s="43">
        <f t="shared" si="6"/>
        <v>10.5</v>
      </c>
    </row>
    <row r="77" spans="1:15" ht="22.5" customHeight="1" x14ac:dyDescent="0.3">
      <c r="A77" s="190" t="s">
        <v>158</v>
      </c>
      <c r="B77" s="44">
        <v>3</v>
      </c>
      <c r="C77" s="39">
        <v>1</v>
      </c>
      <c r="D77" s="39">
        <v>0</v>
      </c>
      <c r="E77" s="39">
        <v>0</v>
      </c>
      <c r="F77" s="194">
        <v>0</v>
      </c>
      <c r="G77" s="196">
        <f t="shared" si="4"/>
        <v>4</v>
      </c>
      <c r="H77" s="203">
        <v>0</v>
      </c>
      <c r="I77" s="204">
        <v>0</v>
      </c>
      <c r="J77" s="204">
        <v>0</v>
      </c>
      <c r="K77" s="204">
        <v>0</v>
      </c>
      <c r="L77" s="204">
        <v>0</v>
      </c>
      <c r="M77" s="205">
        <v>0</v>
      </c>
      <c r="N77" s="85">
        <f t="shared" si="5"/>
        <v>4</v>
      </c>
      <c r="O77" s="43">
        <f t="shared" si="6"/>
        <v>3.5</v>
      </c>
    </row>
    <row r="78" spans="1:15" ht="22.5" customHeight="1" x14ac:dyDescent="0.3">
      <c r="A78" s="190" t="s">
        <v>159</v>
      </c>
      <c r="B78" s="44">
        <v>2</v>
      </c>
      <c r="C78" s="39">
        <v>0</v>
      </c>
      <c r="D78" s="39">
        <v>1</v>
      </c>
      <c r="E78" s="39">
        <v>0</v>
      </c>
      <c r="F78" s="194">
        <v>0</v>
      </c>
      <c r="G78" s="196">
        <f t="shared" si="4"/>
        <v>3</v>
      </c>
      <c r="H78" s="203">
        <v>0</v>
      </c>
      <c r="I78" s="204">
        <v>0</v>
      </c>
      <c r="J78" s="204">
        <v>0</v>
      </c>
      <c r="K78" s="204">
        <v>0</v>
      </c>
      <c r="L78" s="204">
        <v>0</v>
      </c>
      <c r="M78" s="205">
        <v>0</v>
      </c>
      <c r="N78" s="85">
        <f t="shared" si="5"/>
        <v>3</v>
      </c>
      <c r="O78" s="43">
        <f t="shared" si="6"/>
        <v>3.5</v>
      </c>
    </row>
    <row r="79" spans="1:15" ht="22.5" customHeight="1" x14ac:dyDescent="0.3">
      <c r="A79" s="190" t="s">
        <v>160</v>
      </c>
      <c r="B79" s="44">
        <v>0</v>
      </c>
      <c r="C79" s="39">
        <v>2</v>
      </c>
      <c r="D79" s="39">
        <v>0</v>
      </c>
      <c r="E79" s="39">
        <v>0</v>
      </c>
      <c r="F79" s="194">
        <v>1</v>
      </c>
      <c r="G79" s="196">
        <f t="shared" si="4"/>
        <v>3</v>
      </c>
      <c r="H79" s="203">
        <v>0</v>
      </c>
      <c r="I79" s="204">
        <v>0</v>
      </c>
      <c r="J79" s="204">
        <v>0</v>
      </c>
      <c r="K79" s="204">
        <v>0</v>
      </c>
      <c r="L79" s="204">
        <v>0</v>
      </c>
      <c r="M79" s="205">
        <v>0</v>
      </c>
      <c r="N79" s="85">
        <f t="shared" si="5"/>
        <v>3</v>
      </c>
      <c r="O79" s="43">
        <f t="shared" si="6"/>
        <v>5.5</v>
      </c>
    </row>
    <row r="80" spans="1:15" ht="22.5" customHeight="1" x14ac:dyDescent="0.3">
      <c r="A80" s="190" t="s">
        <v>161</v>
      </c>
      <c r="B80" s="44">
        <v>1</v>
      </c>
      <c r="C80" s="39">
        <v>0</v>
      </c>
      <c r="D80" s="39">
        <v>0</v>
      </c>
      <c r="E80" s="39">
        <v>0</v>
      </c>
      <c r="F80" s="194">
        <v>0</v>
      </c>
      <c r="G80" s="196">
        <f t="shared" si="4"/>
        <v>1</v>
      </c>
      <c r="H80" s="203">
        <v>0</v>
      </c>
      <c r="I80" s="204">
        <v>0</v>
      </c>
      <c r="J80" s="204">
        <v>0</v>
      </c>
      <c r="K80" s="204">
        <v>0</v>
      </c>
      <c r="L80" s="204">
        <v>0</v>
      </c>
      <c r="M80" s="205">
        <v>0</v>
      </c>
      <c r="N80" s="85">
        <f t="shared" si="5"/>
        <v>1</v>
      </c>
      <c r="O80" s="43">
        <f t="shared" si="6"/>
        <v>1</v>
      </c>
    </row>
    <row r="81" spans="1:15" ht="22.5" customHeight="1" x14ac:dyDescent="0.3">
      <c r="A81" s="190" t="s">
        <v>162</v>
      </c>
      <c r="B81" s="44">
        <v>0</v>
      </c>
      <c r="C81" s="39">
        <v>0</v>
      </c>
      <c r="D81" s="39">
        <v>0</v>
      </c>
      <c r="E81" s="39">
        <v>0</v>
      </c>
      <c r="F81" s="194">
        <v>0</v>
      </c>
      <c r="G81" s="196">
        <f t="shared" si="4"/>
        <v>0</v>
      </c>
      <c r="H81" s="203">
        <v>0</v>
      </c>
      <c r="I81" s="204">
        <v>0</v>
      </c>
      <c r="J81" s="204">
        <v>0</v>
      </c>
      <c r="K81" s="204">
        <v>0</v>
      </c>
      <c r="L81" s="204">
        <v>0</v>
      </c>
      <c r="M81" s="205">
        <v>0</v>
      </c>
      <c r="N81" s="85">
        <f t="shared" si="5"/>
        <v>0</v>
      </c>
      <c r="O81" s="43">
        <f t="shared" si="6"/>
        <v>0</v>
      </c>
    </row>
    <row r="82" spans="1:15" ht="22.5" customHeight="1" x14ac:dyDescent="0.3">
      <c r="A82" s="190" t="s">
        <v>163</v>
      </c>
      <c r="B82" s="44">
        <v>0</v>
      </c>
      <c r="C82" s="39">
        <v>0</v>
      </c>
      <c r="D82" s="39">
        <v>1</v>
      </c>
      <c r="E82" s="39">
        <v>1</v>
      </c>
      <c r="F82" s="194">
        <v>1</v>
      </c>
      <c r="G82" s="196">
        <f t="shared" si="4"/>
        <v>3</v>
      </c>
      <c r="H82" s="203">
        <v>0</v>
      </c>
      <c r="I82" s="204">
        <v>0</v>
      </c>
      <c r="J82" s="204">
        <v>0</v>
      </c>
      <c r="K82" s="204">
        <v>0</v>
      </c>
      <c r="L82" s="204">
        <v>0</v>
      </c>
      <c r="M82" s="205">
        <v>0</v>
      </c>
      <c r="N82" s="85">
        <f t="shared" si="5"/>
        <v>3</v>
      </c>
      <c r="O82" s="43">
        <f t="shared" si="6"/>
        <v>9</v>
      </c>
    </row>
    <row r="83" spans="1:15" ht="22.5" customHeight="1" x14ac:dyDescent="0.3">
      <c r="A83" s="190" t="s">
        <v>164</v>
      </c>
      <c r="B83" s="44">
        <v>2</v>
      </c>
      <c r="C83" s="39">
        <v>0</v>
      </c>
      <c r="D83" s="39">
        <v>2</v>
      </c>
      <c r="E83" s="39">
        <v>2</v>
      </c>
      <c r="F83" s="194">
        <v>0</v>
      </c>
      <c r="G83" s="196">
        <f t="shared" si="4"/>
        <v>6</v>
      </c>
      <c r="H83" s="203">
        <v>0</v>
      </c>
      <c r="I83" s="204">
        <v>0</v>
      </c>
      <c r="J83" s="204">
        <v>0</v>
      </c>
      <c r="K83" s="204">
        <v>0</v>
      </c>
      <c r="L83" s="204">
        <v>0</v>
      </c>
      <c r="M83" s="205">
        <v>0</v>
      </c>
      <c r="N83" s="85">
        <f t="shared" si="5"/>
        <v>6</v>
      </c>
      <c r="O83" s="43">
        <f t="shared" si="6"/>
        <v>11</v>
      </c>
    </row>
    <row r="84" spans="1:15" ht="22.5" customHeight="1" x14ac:dyDescent="0.3">
      <c r="A84" s="190" t="s">
        <v>165</v>
      </c>
      <c r="B84" s="44">
        <v>4</v>
      </c>
      <c r="C84" s="39">
        <v>0</v>
      </c>
      <c r="D84" s="39">
        <v>1</v>
      </c>
      <c r="E84" s="39">
        <v>0</v>
      </c>
      <c r="F84" s="194">
        <v>0</v>
      </c>
      <c r="G84" s="196">
        <f t="shared" si="4"/>
        <v>5</v>
      </c>
      <c r="H84" s="203">
        <v>0</v>
      </c>
      <c r="I84" s="204">
        <v>0</v>
      </c>
      <c r="J84" s="204">
        <v>0</v>
      </c>
      <c r="K84" s="204">
        <v>0</v>
      </c>
      <c r="L84" s="204">
        <v>0</v>
      </c>
      <c r="M84" s="205">
        <v>0</v>
      </c>
      <c r="N84" s="85">
        <f t="shared" si="5"/>
        <v>5</v>
      </c>
      <c r="O84" s="43">
        <f t="shared" si="6"/>
        <v>5.5</v>
      </c>
    </row>
    <row r="85" spans="1:15" ht="22.5" customHeight="1" x14ac:dyDescent="0.3">
      <c r="A85" s="190" t="s">
        <v>166</v>
      </c>
      <c r="B85" s="44">
        <v>2</v>
      </c>
      <c r="C85" s="39">
        <v>1</v>
      </c>
      <c r="D85" s="39">
        <v>0</v>
      </c>
      <c r="E85" s="39">
        <v>0</v>
      </c>
      <c r="F85" s="194">
        <v>2</v>
      </c>
      <c r="G85" s="196">
        <f t="shared" si="4"/>
        <v>5</v>
      </c>
      <c r="H85" s="203">
        <v>0</v>
      </c>
      <c r="I85" s="204">
        <v>0</v>
      </c>
      <c r="J85" s="204">
        <v>0</v>
      </c>
      <c r="K85" s="204">
        <v>0</v>
      </c>
      <c r="L85" s="204">
        <v>0</v>
      </c>
      <c r="M85" s="205">
        <v>0</v>
      </c>
      <c r="N85" s="85">
        <f t="shared" si="5"/>
        <v>5</v>
      </c>
      <c r="O85" s="43">
        <f t="shared" si="6"/>
        <v>11.5</v>
      </c>
    </row>
    <row r="86" spans="1:15" ht="22.5" customHeight="1" x14ac:dyDescent="0.3">
      <c r="A86" s="190" t="s">
        <v>167</v>
      </c>
      <c r="B86" s="44">
        <v>1</v>
      </c>
      <c r="C86" s="39">
        <v>2</v>
      </c>
      <c r="D86" s="39">
        <v>1</v>
      </c>
      <c r="E86" s="39">
        <v>0</v>
      </c>
      <c r="F86" s="194">
        <v>4</v>
      </c>
      <c r="G86" s="196">
        <f t="shared" si="4"/>
        <v>8</v>
      </c>
      <c r="H86" s="203">
        <v>0</v>
      </c>
      <c r="I86" s="204">
        <v>0</v>
      </c>
      <c r="J86" s="204">
        <v>0</v>
      </c>
      <c r="K86" s="204">
        <v>0</v>
      </c>
      <c r="L86" s="204">
        <v>0</v>
      </c>
      <c r="M86" s="205">
        <v>0</v>
      </c>
      <c r="N86" s="85">
        <f t="shared" si="5"/>
        <v>8</v>
      </c>
      <c r="O86" s="43">
        <f t="shared" si="6"/>
        <v>21.5</v>
      </c>
    </row>
    <row r="87" spans="1:15" ht="22.5" customHeight="1" x14ac:dyDescent="0.3">
      <c r="A87" s="190" t="s">
        <v>168</v>
      </c>
      <c r="B87" s="44">
        <v>2</v>
      </c>
      <c r="C87" s="39">
        <v>0</v>
      </c>
      <c r="D87" s="39">
        <v>0</v>
      </c>
      <c r="E87" s="39">
        <v>1</v>
      </c>
      <c r="F87" s="194">
        <v>2</v>
      </c>
      <c r="G87" s="196">
        <f t="shared" si="4"/>
        <v>5</v>
      </c>
      <c r="H87" s="203">
        <v>0</v>
      </c>
      <c r="I87" s="204">
        <v>0</v>
      </c>
      <c r="J87" s="204">
        <v>0</v>
      </c>
      <c r="K87" s="204">
        <v>0</v>
      </c>
      <c r="L87" s="204">
        <v>0</v>
      </c>
      <c r="M87" s="205">
        <v>0</v>
      </c>
      <c r="N87" s="85">
        <f t="shared" si="5"/>
        <v>5</v>
      </c>
      <c r="O87" s="43">
        <f t="shared" si="6"/>
        <v>14</v>
      </c>
    </row>
    <row r="88" spans="1:15" ht="22.5" customHeight="1" x14ac:dyDescent="0.3">
      <c r="A88" s="190" t="s">
        <v>169</v>
      </c>
      <c r="B88" s="44">
        <v>3</v>
      </c>
      <c r="C88" s="39">
        <v>0</v>
      </c>
      <c r="D88" s="39">
        <v>0</v>
      </c>
      <c r="E88" s="39">
        <v>0</v>
      </c>
      <c r="F88" s="194">
        <v>2</v>
      </c>
      <c r="G88" s="196">
        <f t="shared" si="4"/>
        <v>5</v>
      </c>
      <c r="H88" s="203">
        <v>0</v>
      </c>
      <c r="I88" s="204">
        <v>0</v>
      </c>
      <c r="J88" s="204">
        <v>0</v>
      </c>
      <c r="K88" s="204">
        <v>0</v>
      </c>
      <c r="L88" s="204">
        <v>0</v>
      </c>
      <c r="M88" s="205">
        <v>0</v>
      </c>
      <c r="N88" s="85">
        <f t="shared" si="5"/>
        <v>5</v>
      </c>
      <c r="O88" s="43">
        <f t="shared" si="6"/>
        <v>12</v>
      </c>
    </row>
    <row r="89" spans="1:15" ht="22.5" customHeight="1" x14ac:dyDescent="0.3">
      <c r="A89" s="190" t="s">
        <v>170</v>
      </c>
      <c r="B89" s="44">
        <v>3</v>
      </c>
      <c r="C89" s="39">
        <v>2</v>
      </c>
      <c r="D89" s="39">
        <v>1</v>
      </c>
      <c r="E89" s="39">
        <v>2</v>
      </c>
      <c r="F89" s="194">
        <v>3</v>
      </c>
      <c r="G89" s="196">
        <f t="shared" si="4"/>
        <v>11</v>
      </c>
      <c r="H89" s="203">
        <v>0</v>
      </c>
      <c r="I89" s="204">
        <v>0</v>
      </c>
      <c r="J89" s="204">
        <v>0</v>
      </c>
      <c r="K89" s="204">
        <v>0</v>
      </c>
      <c r="L89" s="204">
        <v>0</v>
      </c>
      <c r="M89" s="205">
        <v>0</v>
      </c>
      <c r="N89" s="85">
        <f t="shared" si="5"/>
        <v>11</v>
      </c>
      <c r="O89" s="43">
        <f t="shared" si="6"/>
        <v>25</v>
      </c>
    </row>
    <row r="90" spans="1:15" ht="22.5" customHeight="1" x14ac:dyDescent="0.3">
      <c r="A90" s="190" t="s">
        <v>171</v>
      </c>
      <c r="B90" s="44">
        <v>4</v>
      </c>
      <c r="C90" s="39">
        <v>1</v>
      </c>
      <c r="D90" s="39">
        <v>6</v>
      </c>
      <c r="E90" s="39">
        <v>0</v>
      </c>
      <c r="F90" s="194">
        <v>2</v>
      </c>
      <c r="G90" s="196">
        <f t="shared" si="4"/>
        <v>13</v>
      </c>
      <c r="H90" s="203">
        <v>0</v>
      </c>
      <c r="I90" s="204">
        <v>0</v>
      </c>
      <c r="J90" s="204">
        <v>0</v>
      </c>
      <c r="K90" s="204">
        <v>0</v>
      </c>
      <c r="L90" s="204">
        <v>0</v>
      </c>
      <c r="M90" s="205">
        <v>0</v>
      </c>
      <c r="N90" s="85">
        <f t="shared" si="5"/>
        <v>13</v>
      </c>
      <c r="O90" s="43">
        <f t="shared" si="6"/>
        <v>22.5</v>
      </c>
    </row>
    <row r="91" spans="1:15" ht="22.5" customHeight="1" x14ac:dyDescent="0.3">
      <c r="A91" s="190" t="s">
        <v>172</v>
      </c>
      <c r="B91" s="44">
        <v>6</v>
      </c>
      <c r="C91" s="39">
        <v>0</v>
      </c>
      <c r="D91" s="39">
        <v>1</v>
      </c>
      <c r="E91" s="39">
        <v>3</v>
      </c>
      <c r="F91" s="194">
        <v>2</v>
      </c>
      <c r="G91" s="196">
        <f t="shared" si="4"/>
        <v>12</v>
      </c>
      <c r="H91" s="203">
        <v>0</v>
      </c>
      <c r="I91" s="204">
        <v>0</v>
      </c>
      <c r="J91" s="204">
        <v>0</v>
      </c>
      <c r="K91" s="204">
        <v>0</v>
      </c>
      <c r="L91" s="204">
        <v>0</v>
      </c>
      <c r="M91" s="205">
        <v>0</v>
      </c>
      <c r="N91" s="85">
        <f t="shared" si="5"/>
        <v>12</v>
      </c>
      <c r="O91" s="43">
        <f t="shared" si="6"/>
        <v>25.5</v>
      </c>
    </row>
    <row r="92" spans="1:15" ht="22.5" customHeight="1" x14ac:dyDescent="0.3">
      <c r="A92" s="190" t="s">
        <v>173</v>
      </c>
      <c r="B92" s="44">
        <v>6</v>
      </c>
      <c r="C92" s="39">
        <v>3</v>
      </c>
      <c r="D92" s="39">
        <v>2</v>
      </c>
      <c r="E92" s="39">
        <v>1</v>
      </c>
      <c r="F92" s="194">
        <v>3</v>
      </c>
      <c r="G92" s="196">
        <f t="shared" si="4"/>
        <v>15</v>
      </c>
      <c r="H92" s="203">
        <v>0</v>
      </c>
      <c r="I92" s="204">
        <v>0</v>
      </c>
      <c r="J92" s="204">
        <v>0</v>
      </c>
      <c r="K92" s="204">
        <v>0</v>
      </c>
      <c r="L92" s="204">
        <v>0</v>
      </c>
      <c r="M92" s="205">
        <v>0</v>
      </c>
      <c r="N92" s="85">
        <f t="shared" si="5"/>
        <v>15</v>
      </c>
      <c r="O92" s="43">
        <f t="shared" si="6"/>
        <v>27</v>
      </c>
    </row>
    <row r="93" spans="1:15" ht="22.5" customHeight="1" x14ac:dyDescent="0.3">
      <c r="A93" s="190" t="s">
        <v>174</v>
      </c>
      <c r="B93" s="44">
        <v>7</v>
      </c>
      <c r="C93" s="39">
        <v>3</v>
      </c>
      <c r="D93" s="39">
        <v>1</v>
      </c>
      <c r="E93" s="39">
        <v>0</v>
      </c>
      <c r="F93" s="194">
        <v>3</v>
      </c>
      <c r="G93" s="196">
        <f t="shared" si="4"/>
        <v>14</v>
      </c>
      <c r="H93" s="203">
        <v>0</v>
      </c>
      <c r="I93" s="204">
        <v>0</v>
      </c>
      <c r="J93" s="204">
        <v>0</v>
      </c>
      <c r="K93" s="204">
        <v>0</v>
      </c>
      <c r="L93" s="204">
        <v>0</v>
      </c>
      <c r="M93" s="205">
        <v>0</v>
      </c>
      <c r="N93" s="85">
        <f t="shared" si="5"/>
        <v>14</v>
      </c>
      <c r="O93" s="43">
        <f t="shared" si="6"/>
        <v>23.5</v>
      </c>
    </row>
    <row r="94" spans="1:15" ht="22.5" customHeight="1" x14ac:dyDescent="0.3">
      <c r="A94" s="190" t="s">
        <v>175</v>
      </c>
      <c r="B94" s="44">
        <v>10</v>
      </c>
      <c r="C94" s="39">
        <v>6</v>
      </c>
      <c r="D94" s="39">
        <v>1</v>
      </c>
      <c r="E94" s="39">
        <v>0</v>
      </c>
      <c r="F94" s="194">
        <v>5</v>
      </c>
      <c r="G94" s="196">
        <f t="shared" si="4"/>
        <v>22</v>
      </c>
      <c r="H94" s="203">
        <v>0</v>
      </c>
      <c r="I94" s="204">
        <v>0</v>
      </c>
      <c r="J94" s="204">
        <v>0</v>
      </c>
      <c r="K94" s="204">
        <v>0</v>
      </c>
      <c r="L94" s="204">
        <v>0</v>
      </c>
      <c r="M94" s="205">
        <v>0</v>
      </c>
      <c r="N94" s="85">
        <f t="shared" si="5"/>
        <v>22</v>
      </c>
      <c r="O94" s="43">
        <f t="shared" si="6"/>
        <v>37</v>
      </c>
    </row>
    <row r="95" spans="1:15" ht="22.5" customHeight="1" x14ac:dyDescent="0.3">
      <c r="A95" s="190" t="s">
        <v>176</v>
      </c>
      <c r="B95" s="44">
        <v>6</v>
      </c>
      <c r="C95" s="39">
        <v>10</v>
      </c>
      <c r="D95" s="39">
        <v>1</v>
      </c>
      <c r="E95" s="39">
        <v>2</v>
      </c>
      <c r="F95" s="194">
        <v>1</v>
      </c>
      <c r="G95" s="196">
        <f t="shared" si="4"/>
        <v>20</v>
      </c>
      <c r="H95" s="203">
        <v>0</v>
      </c>
      <c r="I95" s="204">
        <v>0</v>
      </c>
      <c r="J95" s="204">
        <v>0</v>
      </c>
      <c r="K95" s="204">
        <v>0</v>
      </c>
      <c r="L95" s="204">
        <v>0</v>
      </c>
      <c r="M95" s="205">
        <v>0</v>
      </c>
      <c r="N95" s="85">
        <f t="shared" si="5"/>
        <v>20</v>
      </c>
      <c r="O95" s="43">
        <f t="shared" si="6"/>
        <v>23</v>
      </c>
    </row>
    <row r="96" spans="1:15" ht="22.5" customHeight="1" x14ac:dyDescent="0.3">
      <c r="A96" s="190" t="s">
        <v>135</v>
      </c>
      <c r="B96" s="44">
        <v>21</v>
      </c>
      <c r="C96" s="39">
        <v>11</v>
      </c>
      <c r="D96" s="39">
        <v>1</v>
      </c>
      <c r="E96" s="39">
        <v>3</v>
      </c>
      <c r="F96" s="194">
        <v>1</v>
      </c>
      <c r="G96" s="196">
        <f t="shared" si="4"/>
        <v>37</v>
      </c>
      <c r="H96" s="203">
        <v>0</v>
      </c>
      <c r="I96" s="204">
        <v>0</v>
      </c>
      <c r="J96" s="204">
        <v>0</v>
      </c>
      <c r="K96" s="204">
        <v>0</v>
      </c>
      <c r="L96" s="204">
        <v>1</v>
      </c>
      <c r="M96" s="205">
        <v>0</v>
      </c>
      <c r="N96" s="85">
        <f t="shared" si="5"/>
        <v>37</v>
      </c>
      <c r="O96" s="43">
        <f t="shared" si="6"/>
        <v>49.5</v>
      </c>
    </row>
    <row r="97" spans="1:15" ht="22.5" customHeight="1" x14ac:dyDescent="0.3">
      <c r="A97" s="190" t="s">
        <v>136</v>
      </c>
      <c r="B97" s="44">
        <v>21</v>
      </c>
      <c r="C97" s="39">
        <v>13</v>
      </c>
      <c r="D97" s="39">
        <v>2</v>
      </c>
      <c r="E97" s="39">
        <v>4</v>
      </c>
      <c r="F97" s="194">
        <v>2</v>
      </c>
      <c r="G97" s="196">
        <f t="shared" si="4"/>
        <v>42</v>
      </c>
      <c r="H97" s="203">
        <v>0</v>
      </c>
      <c r="I97" s="204">
        <v>0</v>
      </c>
      <c r="J97" s="204">
        <v>0</v>
      </c>
      <c r="K97" s="204">
        <v>0</v>
      </c>
      <c r="L97" s="204">
        <v>1</v>
      </c>
      <c r="M97" s="205">
        <v>0</v>
      </c>
      <c r="N97" s="85">
        <f t="shared" si="5"/>
        <v>42</v>
      </c>
      <c r="O97" s="43">
        <f t="shared" si="6"/>
        <v>59.5</v>
      </c>
    </row>
    <row r="98" spans="1:15" ht="22.5" customHeight="1" x14ac:dyDescent="0.3">
      <c r="A98" s="190" t="s">
        <v>137</v>
      </c>
      <c r="B98" s="44">
        <v>41</v>
      </c>
      <c r="C98" s="39">
        <v>29</v>
      </c>
      <c r="D98" s="39">
        <v>2</v>
      </c>
      <c r="E98" s="39">
        <v>3</v>
      </c>
      <c r="F98" s="194">
        <v>3</v>
      </c>
      <c r="G98" s="196">
        <f t="shared" si="4"/>
        <v>78</v>
      </c>
      <c r="H98" s="203">
        <v>0</v>
      </c>
      <c r="I98" s="204">
        <v>0</v>
      </c>
      <c r="J98" s="204">
        <v>0</v>
      </c>
      <c r="K98" s="204">
        <v>0</v>
      </c>
      <c r="L98" s="204">
        <v>2</v>
      </c>
      <c r="M98" s="205">
        <v>0</v>
      </c>
      <c r="N98" s="85">
        <f t="shared" si="5"/>
        <v>78</v>
      </c>
      <c r="O98" s="43">
        <f t="shared" si="6"/>
        <v>97</v>
      </c>
    </row>
    <row r="99" spans="1:15" ht="22.5" customHeight="1" x14ac:dyDescent="0.3">
      <c r="A99" s="190" t="s">
        <v>138</v>
      </c>
      <c r="B99" s="44">
        <v>21</v>
      </c>
      <c r="C99" s="39">
        <v>13</v>
      </c>
      <c r="D99" s="39">
        <v>2</v>
      </c>
      <c r="E99" s="39">
        <v>5</v>
      </c>
      <c r="F99" s="194">
        <v>1</v>
      </c>
      <c r="G99" s="196">
        <f t="shared" si="4"/>
        <v>42</v>
      </c>
      <c r="H99" s="203">
        <v>0</v>
      </c>
      <c r="I99" s="204">
        <v>0</v>
      </c>
      <c r="J99" s="204">
        <v>0</v>
      </c>
      <c r="K99" s="204">
        <v>0</v>
      </c>
      <c r="L99" s="204">
        <v>2</v>
      </c>
      <c r="M99" s="205">
        <v>0</v>
      </c>
      <c r="N99" s="85">
        <f t="shared" si="5"/>
        <v>42</v>
      </c>
      <c r="O99" s="43">
        <f t="shared" si="6"/>
        <v>66</v>
      </c>
    </row>
    <row r="100" spans="1:15" ht="22.5" customHeight="1" x14ac:dyDescent="0.3">
      <c r="A100" s="190" t="s">
        <v>139</v>
      </c>
      <c r="B100" s="44">
        <v>15</v>
      </c>
      <c r="C100" s="39">
        <v>21</v>
      </c>
      <c r="D100" s="39">
        <v>1</v>
      </c>
      <c r="E100" s="39">
        <v>0</v>
      </c>
      <c r="F100" s="194">
        <v>2</v>
      </c>
      <c r="G100" s="196">
        <f t="shared" si="4"/>
        <v>39</v>
      </c>
      <c r="H100" s="203">
        <v>1</v>
      </c>
      <c r="I100" s="204">
        <v>0</v>
      </c>
      <c r="J100" s="204">
        <v>0</v>
      </c>
      <c r="K100" s="204">
        <v>0</v>
      </c>
      <c r="L100" s="204">
        <v>3</v>
      </c>
      <c r="M100" s="205">
        <v>0</v>
      </c>
      <c r="N100" s="85">
        <f t="shared" si="5"/>
        <v>39</v>
      </c>
      <c r="O100" s="43">
        <f t="shared" si="6"/>
        <v>60.5</v>
      </c>
    </row>
    <row r="101" spans="1:15" ht="22.5" customHeight="1" x14ac:dyDescent="0.3">
      <c r="A101" s="190" t="s">
        <v>140</v>
      </c>
      <c r="B101" s="44">
        <v>18</v>
      </c>
      <c r="C101" s="39">
        <v>23</v>
      </c>
      <c r="D101" s="39">
        <v>5</v>
      </c>
      <c r="E101" s="39">
        <v>2</v>
      </c>
      <c r="F101" s="194">
        <v>2</v>
      </c>
      <c r="G101" s="196">
        <f t="shared" si="4"/>
        <v>50</v>
      </c>
      <c r="H101" s="203">
        <v>0</v>
      </c>
      <c r="I101" s="204">
        <v>0</v>
      </c>
      <c r="J101" s="204">
        <v>0</v>
      </c>
      <c r="K101" s="204">
        <v>0</v>
      </c>
      <c r="L101" s="204">
        <v>0</v>
      </c>
      <c r="M101" s="205">
        <v>0</v>
      </c>
      <c r="N101" s="85">
        <f t="shared" si="5"/>
        <v>50</v>
      </c>
      <c r="O101" s="43">
        <f t="shared" si="6"/>
        <v>52</v>
      </c>
    </row>
    <row r="102" spans="1:15" ht="22.5" customHeight="1" x14ac:dyDescent="0.3">
      <c r="A102" s="190" t="s">
        <v>141</v>
      </c>
      <c r="B102" s="44">
        <v>15</v>
      </c>
      <c r="C102" s="39">
        <v>28</v>
      </c>
      <c r="D102" s="39">
        <v>1</v>
      </c>
      <c r="E102" s="39">
        <v>1</v>
      </c>
      <c r="F102" s="194">
        <v>4</v>
      </c>
      <c r="G102" s="196">
        <f t="shared" si="4"/>
        <v>49</v>
      </c>
      <c r="H102" s="203">
        <v>0</v>
      </c>
      <c r="I102" s="204">
        <v>0</v>
      </c>
      <c r="J102" s="204">
        <v>0</v>
      </c>
      <c r="K102" s="204">
        <v>0</v>
      </c>
      <c r="L102" s="204">
        <v>0</v>
      </c>
      <c r="M102" s="205">
        <v>0</v>
      </c>
      <c r="N102" s="85">
        <f t="shared" si="5"/>
        <v>49</v>
      </c>
      <c r="O102" s="43">
        <f t="shared" si="6"/>
        <v>51.5</v>
      </c>
    </row>
    <row r="103" spans="1:15" ht="22.5" customHeight="1" thickBot="1" x14ac:dyDescent="0.35">
      <c r="A103" s="191" t="s">
        <v>142</v>
      </c>
      <c r="B103" s="46">
        <v>20</v>
      </c>
      <c r="C103" s="47">
        <v>26</v>
      </c>
      <c r="D103" s="47">
        <v>1</v>
      </c>
      <c r="E103" s="47">
        <v>1</v>
      </c>
      <c r="F103" s="195">
        <v>3</v>
      </c>
      <c r="G103" s="197">
        <f t="shared" si="4"/>
        <v>51</v>
      </c>
      <c r="H103" s="206">
        <v>0</v>
      </c>
      <c r="I103" s="207">
        <v>0</v>
      </c>
      <c r="J103" s="207">
        <v>0</v>
      </c>
      <c r="K103" s="207">
        <v>0</v>
      </c>
      <c r="L103" s="207">
        <v>0</v>
      </c>
      <c r="M103" s="208">
        <v>0</v>
      </c>
      <c r="N103" s="116">
        <f t="shared" si="5"/>
        <v>51</v>
      </c>
      <c r="O103" s="84">
        <f t="shared" si="6"/>
        <v>51</v>
      </c>
    </row>
    <row r="104" spans="1:15" ht="22.5" customHeight="1" thickBot="1" x14ac:dyDescent="0.35">
      <c r="A104" s="86" t="s">
        <v>11</v>
      </c>
      <c r="B104" s="117">
        <f t="shared" ref="B104:N104" si="7">SUM(B8:B103)</f>
        <v>3037</v>
      </c>
      <c r="C104" s="117">
        <f t="shared" si="7"/>
        <v>1653</v>
      </c>
      <c r="D104" s="117">
        <f t="shared" si="7"/>
        <v>241</v>
      </c>
      <c r="E104" s="118">
        <f t="shared" si="7"/>
        <v>125</v>
      </c>
      <c r="F104" s="118">
        <f t="shared" si="7"/>
        <v>223</v>
      </c>
      <c r="G104" s="94">
        <f t="shared" si="7"/>
        <v>5279</v>
      </c>
      <c r="H104" s="117">
        <f t="shared" si="7"/>
        <v>4</v>
      </c>
      <c r="I104" s="117">
        <f t="shared" si="7"/>
        <v>0</v>
      </c>
      <c r="J104" s="117">
        <f t="shared" si="7"/>
        <v>0</v>
      </c>
      <c r="K104" s="118">
        <f t="shared" si="7"/>
        <v>0</v>
      </c>
      <c r="L104" s="118">
        <f t="shared" si="7"/>
        <v>83</v>
      </c>
      <c r="M104" s="199">
        <f>SUM(M8:M103)</f>
        <v>0</v>
      </c>
      <c r="N104" s="95">
        <f t="shared" si="7"/>
        <v>5279</v>
      </c>
      <c r="O104" s="142">
        <f>SUM(O8:O103)</f>
        <v>6269.5</v>
      </c>
    </row>
    <row r="105" spans="1:15" ht="22.5" customHeight="1" thickBot="1" x14ac:dyDescent="0.35">
      <c r="A105" s="41" t="s">
        <v>143</v>
      </c>
      <c r="B105" s="88">
        <f>+B104*1</f>
        <v>3037</v>
      </c>
      <c r="C105" s="88">
        <f>+C104*0.5</f>
        <v>826.5</v>
      </c>
      <c r="D105" s="88">
        <f>+D104*1.5</f>
        <v>361.5</v>
      </c>
      <c r="E105" s="88">
        <f>+E104*3</f>
        <v>375</v>
      </c>
      <c r="F105" s="89">
        <f>+F104*4.5</f>
        <v>1003.5</v>
      </c>
      <c r="G105" s="90">
        <f>SUM(B105:F105)</f>
        <v>5603.5</v>
      </c>
      <c r="H105" s="88">
        <f>+H104*0.5</f>
        <v>2</v>
      </c>
      <c r="I105" s="89">
        <f>+I104*1.5</f>
        <v>0</v>
      </c>
      <c r="J105" s="89">
        <f>+J104*3</f>
        <v>0</v>
      </c>
      <c r="K105" s="96">
        <f>+K104*4</f>
        <v>0</v>
      </c>
      <c r="L105" s="96">
        <f>+L104*8</f>
        <v>664</v>
      </c>
      <c r="M105" s="147">
        <f>SUM(H105:L105)</f>
        <v>666</v>
      </c>
      <c r="N105" s="91"/>
      <c r="O105" s="92">
        <f>G105+M105</f>
        <v>6269.5</v>
      </c>
    </row>
    <row r="106" spans="1:15" ht="22.5" customHeight="1" thickBot="1" x14ac:dyDescent="0.35">
      <c r="A106" s="42" t="s">
        <v>12</v>
      </c>
      <c r="B106" s="93">
        <f t="shared" ref="B106:N106" si="8">B104/$N$104</f>
        <v>0.57529835196059864</v>
      </c>
      <c r="C106" s="93">
        <f t="shared" si="8"/>
        <v>0.3131274862663383</v>
      </c>
      <c r="D106" s="93">
        <f t="shared" si="8"/>
        <v>4.5652585716991857E-2</v>
      </c>
      <c r="E106" s="93">
        <f t="shared" si="8"/>
        <v>2.3678727031634778E-2</v>
      </c>
      <c r="F106" s="93">
        <f t="shared" si="8"/>
        <v>4.2242849024436445E-2</v>
      </c>
      <c r="G106" s="98">
        <f t="shared" si="8"/>
        <v>1</v>
      </c>
      <c r="H106" s="93">
        <f t="shared" si="8"/>
        <v>7.5771926501231289E-4</v>
      </c>
      <c r="I106" s="93">
        <f t="shared" si="8"/>
        <v>0</v>
      </c>
      <c r="J106" s="93">
        <f t="shared" si="8"/>
        <v>0</v>
      </c>
      <c r="K106" s="97">
        <f t="shared" si="8"/>
        <v>0</v>
      </c>
      <c r="L106" s="97">
        <f t="shared" si="8"/>
        <v>1.5722674749005492E-2</v>
      </c>
      <c r="M106" s="98">
        <f t="shared" si="8"/>
        <v>0</v>
      </c>
      <c r="N106" s="99">
        <f t="shared" si="8"/>
        <v>1</v>
      </c>
      <c r="O106" s="94"/>
    </row>
    <row r="108" spans="1:15" s="4" customFormat="1" x14ac:dyDescent="0.3">
      <c r="A108" s="4" t="s">
        <v>103</v>
      </c>
      <c r="B108" s="4" t="str">
        <f>B2</f>
        <v>TMC-14 Number (D2)</v>
      </c>
    </row>
    <row r="109" spans="1:15" s="4" customFormat="1" x14ac:dyDescent="0.3">
      <c r="A109" s="4" t="s">
        <v>102</v>
      </c>
      <c r="B109" s="4" t="str">
        <f>B3</f>
        <v>D2</v>
      </c>
    </row>
    <row r="110" spans="1:15" s="4" customFormat="1" x14ac:dyDescent="0.3">
      <c r="A110" s="4" t="s">
        <v>104</v>
      </c>
      <c r="B110" s="4" t="str">
        <f>B4</f>
        <v>Delhi</v>
      </c>
      <c r="D110" s="4" t="str">
        <f>D4</f>
        <v>To:</v>
      </c>
    </row>
    <row r="111" spans="1:15" ht="16.2" thickBot="1" x14ac:dyDescent="0.35"/>
    <row r="112" spans="1:15" ht="25.2" customHeight="1" x14ac:dyDescent="0.3">
      <c r="A112" s="252" t="s">
        <v>95</v>
      </c>
      <c r="B112" s="258" t="s">
        <v>280</v>
      </c>
      <c r="C112" s="254" t="s">
        <v>281</v>
      </c>
      <c r="D112" s="250" t="s">
        <v>282</v>
      </c>
      <c r="E112" s="260" t="s">
        <v>283</v>
      </c>
      <c r="F112" s="256" t="s">
        <v>284</v>
      </c>
      <c r="G112" s="250" t="s">
        <v>129</v>
      </c>
      <c r="H112" s="248" t="s">
        <v>150</v>
      </c>
      <c r="I112" s="250" t="s">
        <v>151</v>
      </c>
      <c r="J112" s="250" t="s">
        <v>285</v>
      </c>
      <c r="K112" s="248" t="s">
        <v>286</v>
      </c>
      <c r="L112" s="250" t="s">
        <v>287</v>
      </c>
      <c r="M112" s="250" t="s">
        <v>78</v>
      </c>
      <c r="N112" s="250" t="s">
        <v>131</v>
      </c>
      <c r="O112" s="250" t="s">
        <v>132</v>
      </c>
    </row>
    <row r="113" spans="1:15" ht="43.5" customHeight="1" thickBot="1" x14ac:dyDescent="0.35">
      <c r="A113" s="253"/>
      <c r="B113" s="259"/>
      <c r="C113" s="255"/>
      <c r="D113" s="251"/>
      <c r="E113" s="261"/>
      <c r="F113" s="257"/>
      <c r="G113" s="259"/>
      <c r="H113" s="249"/>
      <c r="I113" s="251"/>
      <c r="J113" s="251"/>
      <c r="K113" s="249"/>
      <c r="L113" s="251"/>
      <c r="M113" s="251"/>
      <c r="N113" s="251"/>
      <c r="O113" s="251"/>
    </row>
    <row r="114" spans="1:15" ht="22.95" customHeight="1" x14ac:dyDescent="0.3">
      <c r="A114" s="52" t="s">
        <v>15</v>
      </c>
      <c r="B114" s="112">
        <f>B8+B9+B10+B11</f>
        <v>90</v>
      </c>
      <c r="C114" s="113">
        <f t="shared" ref="C114:F115" si="9">C8+C9+C10+C11</f>
        <v>141</v>
      </c>
      <c r="D114" s="113">
        <f t="shared" si="9"/>
        <v>6</v>
      </c>
      <c r="E114" s="113">
        <f t="shared" si="9"/>
        <v>5</v>
      </c>
      <c r="F114" s="113">
        <f t="shared" si="9"/>
        <v>15</v>
      </c>
      <c r="G114" s="49">
        <f t="shared" ref="G114:G145" si="10">SUM(B114:F114)</f>
        <v>257</v>
      </c>
      <c r="H114" s="112">
        <f t="shared" ref="H114" si="11">H8+H9+H10+H11</f>
        <v>0</v>
      </c>
      <c r="I114" s="113">
        <f t="shared" ref="I114:L114" si="12">I8+I9+I10+I11</f>
        <v>0</v>
      </c>
      <c r="J114" s="113">
        <f t="shared" si="12"/>
        <v>0</v>
      </c>
      <c r="K114" s="114">
        <f t="shared" si="12"/>
        <v>0</v>
      </c>
      <c r="L114" s="143">
        <f t="shared" si="12"/>
        <v>3</v>
      </c>
      <c r="M114" s="49">
        <f>SUM(H114:K114)</f>
        <v>0</v>
      </c>
      <c r="N114" s="40">
        <f>G114+M114</f>
        <v>257</v>
      </c>
      <c r="O114" s="115">
        <f>B114*1+C114*0.5+D114*1.5+E114*3+F114*4.5+H114*0.5+I114*1.5+J114*3+K114*4+L114*8</f>
        <v>276</v>
      </c>
    </row>
    <row r="115" spans="1:15" ht="22.95" customHeight="1" x14ac:dyDescent="0.3">
      <c r="A115" s="52" t="s">
        <v>16</v>
      </c>
      <c r="B115" s="44">
        <f>B9+B10+B11+B12</f>
        <v>121</v>
      </c>
      <c r="C115" s="39">
        <f t="shared" si="9"/>
        <v>175</v>
      </c>
      <c r="D115" s="39">
        <f t="shared" si="9"/>
        <v>6</v>
      </c>
      <c r="E115" s="39">
        <f t="shared" si="9"/>
        <v>6</v>
      </c>
      <c r="F115" s="39">
        <f t="shared" si="9"/>
        <v>10</v>
      </c>
      <c r="G115" s="50">
        <f t="shared" si="10"/>
        <v>318</v>
      </c>
      <c r="H115" s="44">
        <f t="shared" ref="H115:L115" si="13">H9+H10+H11+H12</f>
        <v>1</v>
      </c>
      <c r="I115" s="39">
        <f t="shared" si="13"/>
        <v>0</v>
      </c>
      <c r="J115" s="39">
        <f t="shared" si="13"/>
        <v>0</v>
      </c>
      <c r="K115" s="45">
        <f t="shared" si="13"/>
        <v>0</v>
      </c>
      <c r="L115" s="144">
        <f t="shared" si="13"/>
        <v>4</v>
      </c>
      <c r="M115" s="50">
        <f t="shared" ref="M115:M178" si="14">SUM(H115:K115)</f>
        <v>1</v>
      </c>
      <c r="N115" s="40">
        <f t="shared" ref="N115:N178" si="15">G115+M115</f>
        <v>319</v>
      </c>
      <c r="O115" s="43">
        <f t="shared" ref="O115:O178" si="16">B115*1+C115*0.5+D115*1.5+E115*3+F115*4.5+H115*0.5+I115*1.5+J115*3+K115*4+L115*8</f>
        <v>313</v>
      </c>
    </row>
    <row r="116" spans="1:15" ht="22.95" customHeight="1" x14ac:dyDescent="0.3">
      <c r="A116" s="52" t="s">
        <v>17</v>
      </c>
      <c r="B116" s="44">
        <f t="shared" ref="B116:F131" si="17">B10+B11+B12+B13</f>
        <v>150</v>
      </c>
      <c r="C116" s="39">
        <f t="shared" si="17"/>
        <v>215</v>
      </c>
      <c r="D116" s="39">
        <f t="shared" si="17"/>
        <v>8</v>
      </c>
      <c r="E116" s="39">
        <f t="shared" si="17"/>
        <v>6</v>
      </c>
      <c r="F116" s="39">
        <f t="shared" si="17"/>
        <v>12</v>
      </c>
      <c r="G116" s="50">
        <f t="shared" si="10"/>
        <v>391</v>
      </c>
      <c r="H116" s="44">
        <f t="shared" ref="H116:L116" si="18">H10+H11+H12+H13</f>
        <v>2</v>
      </c>
      <c r="I116" s="39">
        <f t="shared" si="18"/>
        <v>0</v>
      </c>
      <c r="J116" s="39">
        <f t="shared" si="18"/>
        <v>0</v>
      </c>
      <c r="K116" s="45">
        <f t="shared" si="18"/>
        <v>0</v>
      </c>
      <c r="L116" s="144">
        <f t="shared" si="18"/>
        <v>7</v>
      </c>
      <c r="M116" s="50">
        <f t="shared" si="14"/>
        <v>2</v>
      </c>
      <c r="N116" s="40">
        <f t="shared" si="15"/>
        <v>393</v>
      </c>
      <c r="O116" s="43">
        <f t="shared" si="16"/>
        <v>398.5</v>
      </c>
    </row>
    <row r="117" spans="1:15" ht="22.95" customHeight="1" x14ac:dyDescent="0.3">
      <c r="A117" s="52" t="s">
        <v>18</v>
      </c>
      <c r="B117" s="44">
        <f t="shared" si="17"/>
        <v>158</v>
      </c>
      <c r="C117" s="39">
        <f t="shared" si="17"/>
        <v>215</v>
      </c>
      <c r="D117" s="39">
        <f t="shared" si="17"/>
        <v>9</v>
      </c>
      <c r="E117" s="39">
        <f t="shared" si="17"/>
        <v>4</v>
      </c>
      <c r="F117" s="39">
        <f t="shared" si="17"/>
        <v>16</v>
      </c>
      <c r="G117" s="50">
        <f t="shared" si="10"/>
        <v>402</v>
      </c>
      <c r="H117" s="44">
        <f t="shared" ref="H117:L117" si="19">H11+H12+H13+H14</f>
        <v>2</v>
      </c>
      <c r="I117" s="39">
        <f t="shared" si="19"/>
        <v>0</v>
      </c>
      <c r="J117" s="39">
        <f t="shared" si="19"/>
        <v>0</v>
      </c>
      <c r="K117" s="45">
        <f t="shared" si="19"/>
        <v>0</v>
      </c>
      <c r="L117" s="144">
        <f t="shared" si="19"/>
        <v>12</v>
      </c>
      <c r="M117" s="50">
        <f t="shared" si="14"/>
        <v>2</v>
      </c>
      <c r="N117" s="40">
        <f t="shared" si="15"/>
        <v>404</v>
      </c>
      <c r="O117" s="43">
        <f t="shared" si="16"/>
        <v>460</v>
      </c>
    </row>
    <row r="118" spans="1:15" ht="22.95" customHeight="1" x14ac:dyDescent="0.3">
      <c r="A118" s="52" t="s">
        <v>19</v>
      </c>
      <c r="B118" s="44">
        <f t="shared" si="17"/>
        <v>169</v>
      </c>
      <c r="C118" s="39">
        <f t="shared" si="17"/>
        <v>206</v>
      </c>
      <c r="D118" s="39">
        <f t="shared" si="17"/>
        <v>14</v>
      </c>
      <c r="E118" s="39">
        <f t="shared" si="17"/>
        <v>8</v>
      </c>
      <c r="F118" s="39">
        <f t="shared" si="17"/>
        <v>13</v>
      </c>
      <c r="G118" s="50">
        <f t="shared" si="10"/>
        <v>410</v>
      </c>
      <c r="H118" s="44">
        <f t="shared" ref="H118:L118" si="20">H12+H13+H14+H15</f>
        <v>2</v>
      </c>
      <c r="I118" s="39">
        <f t="shared" si="20"/>
        <v>0</v>
      </c>
      <c r="J118" s="39">
        <f t="shared" si="20"/>
        <v>0</v>
      </c>
      <c r="K118" s="45">
        <f t="shared" si="20"/>
        <v>0</v>
      </c>
      <c r="L118" s="144">
        <f t="shared" si="20"/>
        <v>12</v>
      </c>
      <c r="M118" s="50">
        <f t="shared" si="14"/>
        <v>2</v>
      </c>
      <c r="N118" s="40">
        <f t="shared" si="15"/>
        <v>412</v>
      </c>
      <c r="O118" s="43">
        <f t="shared" si="16"/>
        <v>472.5</v>
      </c>
    </row>
    <row r="119" spans="1:15" ht="22.95" customHeight="1" x14ac:dyDescent="0.3">
      <c r="A119" s="52" t="s">
        <v>20</v>
      </c>
      <c r="B119" s="44">
        <f t="shared" si="17"/>
        <v>166</v>
      </c>
      <c r="C119" s="39">
        <f t="shared" si="17"/>
        <v>182</v>
      </c>
      <c r="D119" s="39">
        <f t="shared" si="17"/>
        <v>18</v>
      </c>
      <c r="E119" s="39">
        <f t="shared" si="17"/>
        <v>7</v>
      </c>
      <c r="F119" s="39">
        <f t="shared" si="17"/>
        <v>20</v>
      </c>
      <c r="G119" s="50">
        <f t="shared" si="10"/>
        <v>393</v>
      </c>
      <c r="H119" s="44">
        <f t="shared" ref="H119:L119" si="21">H13+H14+H15+H16</f>
        <v>1</v>
      </c>
      <c r="I119" s="39">
        <f t="shared" si="21"/>
        <v>0</v>
      </c>
      <c r="J119" s="39">
        <f t="shared" si="21"/>
        <v>0</v>
      </c>
      <c r="K119" s="45">
        <f t="shared" si="21"/>
        <v>0</v>
      </c>
      <c r="L119" s="144">
        <f t="shared" si="21"/>
        <v>10</v>
      </c>
      <c r="M119" s="50">
        <f t="shared" si="14"/>
        <v>1</v>
      </c>
      <c r="N119" s="40">
        <f t="shared" si="15"/>
        <v>394</v>
      </c>
      <c r="O119" s="43">
        <f t="shared" si="16"/>
        <v>475.5</v>
      </c>
    </row>
    <row r="120" spans="1:15" ht="22.95" customHeight="1" x14ac:dyDescent="0.3">
      <c r="A120" s="52" t="s">
        <v>21</v>
      </c>
      <c r="B120" s="44">
        <f t="shared" si="17"/>
        <v>162</v>
      </c>
      <c r="C120" s="39">
        <f t="shared" si="17"/>
        <v>161</v>
      </c>
      <c r="D120" s="39">
        <f t="shared" si="17"/>
        <v>20</v>
      </c>
      <c r="E120" s="39">
        <f t="shared" si="17"/>
        <v>6</v>
      </c>
      <c r="F120" s="39">
        <f t="shared" si="17"/>
        <v>14</v>
      </c>
      <c r="G120" s="50">
        <f t="shared" si="10"/>
        <v>363</v>
      </c>
      <c r="H120" s="44">
        <f t="shared" ref="H120:L120" si="22">H14+H15+H16+H17</f>
        <v>0</v>
      </c>
      <c r="I120" s="39">
        <f t="shared" si="22"/>
        <v>0</v>
      </c>
      <c r="J120" s="39">
        <f t="shared" si="22"/>
        <v>0</v>
      </c>
      <c r="K120" s="45">
        <f t="shared" si="22"/>
        <v>0</v>
      </c>
      <c r="L120" s="144">
        <f t="shared" si="22"/>
        <v>9</v>
      </c>
      <c r="M120" s="50">
        <f t="shared" si="14"/>
        <v>0</v>
      </c>
      <c r="N120" s="40">
        <f t="shared" si="15"/>
        <v>363</v>
      </c>
      <c r="O120" s="43">
        <f t="shared" si="16"/>
        <v>425.5</v>
      </c>
    </row>
    <row r="121" spans="1:15" ht="22.95" customHeight="1" x14ac:dyDescent="0.3">
      <c r="A121" s="52" t="s">
        <v>22</v>
      </c>
      <c r="B121" s="44">
        <f t="shared" si="17"/>
        <v>187</v>
      </c>
      <c r="C121" s="39">
        <f t="shared" si="17"/>
        <v>147</v>
      </c>
      <c r="D121" s="39">
        <f t="shared" si="17"/>
        <v>23</v>
      </c>
      <c r="E121" s="39">
        <f t="shared" si="17"/>
        <v>6</v>
      </c>
      <c r="F121" s="39">
        <f t="shared" si="17"/>
        <v>14</v>
      </c>
      <c r="G121" s="50">
        <f t="shared" si="10"/>
        <v>377</v>
      </c>
      <c r="H121" s="44">
        <f t="shared" ref="H121:L121" si="23">H15+H16+H17+H18</f>
        <v>0</v>
      </c>
      <c r="I121" s="39">
        <f t="shared" si="23"/>
        <v>0</v>
      </c>
      <c r="J121" s="39">
        <f t="shared" si="23"/>
        <v>0</v>
      </c>
      <c r="K121" s="45">
        <f t="shared" si="23"/>
        <v>0</v>
      </c>
      <c r="L121" s="144">
        <f t="shared" si="23"/>
        <v>4</v>
      </c>
      <c r="M121" s="50">
        <f t="shared" si="14"/>
        <v>0</v>
      </c>
      <c r="N121" s="40">
        <f t="shared" si="15"/>
        <v>377</v>
      </c>
      <c r="O121" s="43">
        <f t="shared" si="16"/>
        <v>408</v>
      </c>
    </row>
    <row r="122" spans="1:15" ht="22.95" customHeight="1" x14ac:dyDescent="0.3">
      <c r="A122" s="52" t="s">
        <v>23</v>
      </c>
      <c r="B122" s="44">
        <f t="shared" si="17"/>
        <v>202</v>
      </c>
      <c r="C122" s="39">
        <f t="shared" si="17"/>
        <v>143</v>
      </c>
      <c r="D122" s="39">
        <f t="shared" si="17"/>
        <v>24</v>
      </c>
      <c r="E122" s="39">
        <f t="shared" si="17"/>
        <v>1</v>
      </c>
      <c r="F122" s="39">
        <f t="shared" si="17"/>
        <v>14</v>
      </c>
      <c r="G122" s="50">
        <f t="shared" si="10"/>
        <v>384</v>
      </c>
      <c r="H122" s="44">
        <f t="shared" ref="H122:L122" si="24">H16+H17+H18+H19</f>
        <v>0</v>
      </c>
      <c r="I122" s="39">
        <f t="shared" si="24"/>
        <v>0</v>
      </c>
      <c r="J122" s="39">
        <f t="shared" si="24"/>
        <v>0</v>
      </c>
      <c r="K122" s="45">
        <f t="shared" si="24"/>
        <v>0</v>
      </c>
      <c r="L122" s="144">
        <f t="shared" si="24"/>
        <v>5</v>
      </c>
      <c r="M122" s="50">
        <f t="shared" si="14"/>
        <v>0</v>
      </c>
      <c r="N122" s="40">
        <f t="shared" si="15"/>
        <v>384</v>
      </c>
      <c r="O122" s="43">
        <f t="shared" si="16"/>
        <v>415.5</v>
      </c>
    </row>
    <row r="123" spans="1:15" ht="22.95" customHeight="1" x14ac:dyDescent="0.3">
      <c r="A123" s="52" t="s">
        <v>24</v>
      </c>
      <c r="B123" s="44">
        <f t="shared" si="17"/>
        <v>211</v>
      </c>
      <c r="C123" s="39">
        <f t="shared" si="17"/>
        <v>132</v>
      </c>
      <c r="D123" s="39">
        <f t="shared" si="17"/>
        <v>25</v>
      </c>
      <c r="E123" s="39">
        <f t="shared" si="17"/>
        <v>3</v>
      </c>
      <c r="F123" s="39">
        <f t="shared" si="17"/>
        <v>9</v>
      </c>
      <c r="G123" s="50">
        <f t="shared" si="10"/>
        <v>380</v>
      </c>
      <c r="H123" s="44">
        <f t="shared" ref="H123:L123" si="25">H17+H18+H19+H20</f>
        <v>0</v>
      </c>
      <c r="I123" s="39">
        <f t="shared" si="25"/>
        <v>0</v>
      </c>
      <c r="J123" s="39">
        <f t="shared" si="25"/>
        <v>0</v>
      </c>
      <c r="K123" s="45">
        <f t="shared" si="25"/>
        <v>0</v>
      </c>
      <c r="L123" s="144">
        <f t="shared" si="25"/>
        <v>6</v>
      </c>
      <c r="M123" s="50">
        <f t="shared" si="14"/>
        <v>0</v>
      </c>
      <c r="N123" s="40">
        <f t="shared" si="15"/>
        <v>380</v>
      </c>
      <c r="O123" s="43">
        <f t="shared" si="16"/>
        <v>412</v>
      </c>
    </row>
    <row r="124" spans="1:15" ht="22.95" customHeight="1" x14ac:dyDescent="0.3">
      <c r="A124" s="52" t="s">
        <v>25</v>
      </c>
      <c r="B124" s="44">
        <f t="shared" si="17"/>
        <v>223</v>
      </c>
      <c r="C124" s="39">
        <f t="shared" si="17"/>
        <v>127</v>
      </c>
      <c r="D124" s="39">
        <f t="shared" si="17"/>
        <v>28</v>
      </c>
      <c r="E124" s="39">
        <f t="shared" si="17"/>
        <v>3</v>
      </c>
      <c r="F124" s="39">
        <f t="shared" si="17"/>
        <v>9</v>
      </c>
      <c r="G124" s="50">
        <f t="shared" si="10"/>
        <v>390</v>
      </c>
      <c r="H124" s="44">
        <f t="shared" ref="H124:L124" si="26">H18+H19+H20+H21</f>
        <v>0</v>
      </c>
      <c r="I124" s="39">
        <f t="shared" si="26"/>
        <v>0</v>
      </c>
      <c r="J124" s="39">
        <f t="shared" si="26"/>
        <v>0</v>
      </c>
      <c r="K124" s="45">
        <f t="shared" si="26"/>
        <v>0</v>
      </c>
      <c r="L124" s="144">
        <f t="shared" si="26"/>
        <v>6</v>
      </c>
      <c r="M124" s="50">
        <f t="shared" si="14"/>
        <v>0</v>
      </c>
      <c r="N124" s="40">
        <f t="shared" si="15"/>
        <v>390</v>
      </c>
      <c r="O124" s="43">
        <f t="shared" si="16"/>
        <v>426</v>
      </c>
    </row>
    <row r="125" spans="1:15" ht="22.95" customHeight="1" x14ac:dyDescent="0.3">
      <c r="A125" s="52" t="s">
        <v>26</v>
      </c>
      <c r="B125" s="44">
        <f t="shared" si="17"/>
        <v>206</v>
      </c>
      <c r="C125" s="39">
        <f t="shared" si="17"/>
        <v>120</v>
      </c>
      <c r="D125" s="39">
        <f t="shared" si="17"/>
        <v>23</v>
      </c>
      <c r="E125" s="39">
        <f t="shared" si="17"/>
        <v>5</v>
      </c>
      <c r="F125" s="39">
        <f t="shared" si="17"/>
        <v>6</v>
      </c>
      <c r="G125" s="50">
        <f t="shared" si="10"/>
        <v>360</v>
      </c>
      <c r="H125" s="44">
        <f t="shared" ref="H125:L125" si="27">H19+H20+H21+H22</f>
        <v>0</v>
      </c>
      <c r="I125" s="39">
        <f t="shared" si="27"/>
        <v>0</v>
      </c>
      <c r="J125" s="39">
        <f t="shared" si="27"/>
        <v>0</v>
      </c>
      <c r="K125" s="45">
        <f t="shared" si="27"/>
        <v>0</v>
      </c>
      <c r="L125" s="144">
        <f t="shared" si="27"/>
        <v>5</v>
      </c>
      <c r="M125" s="50">
        <f t="shared" si="14"/>
        <v>0</v>
      </c>
      <c r="N125" s="40">
        <f t="shared" si="15"/>
        <v>360</v>
      </c>
      <c r="O125" s="43">
        <f t="shared" si="16"/>
        <v>382.5</v>
      </c>
    </row>
    <row r="126" spans="1:15" ht="22.95" customHeight="1" x14ac:dyDescent="0.3">
      <c r="A126" s="52" t="s">
        <v>27</v>
      </c>
      <c r="B126" s="44">
        <f t="shared" si="17"/>
        <v>189</v>
      </c>
      <c r="C126" s="39">
        <f t="shared" si="17"/>
        <v>109</v>
      </c>
      <c r="D126" s="39">
        <f t="shared" si="17"/>
        <v>18</v>
      </c>
      <c r="E126" s="39">
        <f t="shared" si="17"/>
        <v>7</v>
      </c>
      <c r="F126" s="39">
        <f t="shared" si="17"/>
        <v>7</v>
      </c>
      <c r="G126" s="50">
        <f t="shared" si="10"/>
        <v>330</v>
      </c>
      <c r="H126" s="44">
        <f t="shared" ref="H126:L126" si="28">H20+H21+H22+H23</f>
        <v>0</v>
      </c>
      <c r="I126" s="39">
        <f t="shared" si="28"/>
        <v>0</v>
      </c>
      <c r="J126" s="39">
        <f t="shared" si="28"/>
        <v>0</v>
      </c>
      <c r="K126" s="45">
        <f t="shared" si="28"/>
        <v>0</v>
      </c>
      <c r="L126" s="144">
        <f t="shared" si="28"/>
        <v>5</v>
      </c>
      <c r="M126" s="50">
        <f t="shared" si="14"/>
        <v>0</v>
      </c>
      <c r="N126" s="40">
        <f t="shared" si="15"/>
        <v>330</v>
      </c>
      <c r="O126" s="43">
        <f t="shared" si="16"/>
        <v>363</v>
      </c>
    </row>
    <row r="127" spans="1:15" ht="22.95" customHeight="1" x14ac:dyDescent="0.3">
      <c r="A127" s="52" t="s">
        <v>28</v>
      </c>
      <c r="B127" s="44">
        <f t="shared" si="17"/>
        <v>180</v>
      </c>
      <c r="C127" s="39">
        <f t="shared" si="17"/>
        <v>116</v>
      </c>
      <c r="D127" s="39">
        <f t="shared" si="17"/>
        <v>14</v>
      </c>
      <c r="E127" s="39">
        <f t="shared" si="17"/>
        <v>6</v>
      </c>
      <c r="F127" s="39">
        <f t="shared" si="17"/>
        <v>11</v>
      </c>
      <c r="G127" s="50">
        <f t="shared" si="10"/>
        <v>327</v>
      </c>
      <c r="H127" s="44">
        <f t="shared" ref="H127:L127" si="29">H21+H22+H23+H24</f>
        <v>0</v>
      </c>
      <c r="I127" s="39">
        <f t="shared" si="29"/>
        <v>0</v>
      </c>
      <c r="J127" s="39">
        <f t="shared" si="29"/>
        <v>0</v>
      </c>
      <c r="K127" s="45">
        <f t="shared" si="29"/>
        <v>0</v>
      </c>
      <c r="L127" s="144">
        <f t="shared" si="29"/>
        <v>6</v>
      </c>
      <c r="M127" s="50">
        <f t="shared" si="14"/>
        <v>0</v>
      </c>
      <c r="N127" s="40">
        <f t="shared" si="15"/>
        <v>327</v>
      </c>
      <c r="O127" s="43">
        <f t="shared" si="16"/>
        <v>374.5</v>
      </c>
    </row>
    <row r="128" spans="1:15" ht="22.95" customHeight="1" x14ac:dyDescent="0.3">
      <c r="A128" s="52" t="s">
        <v>29</v>
      </c>
      <c r="B128" s="44">
        <f t="shared" si="17"/>
        <v>177</v>
      </c>
      <c r="C128" s="39">
        <f t="shared" si="17"/>
        <v>121</v>
      </c>
      <c r="D128" s="39">
        <f t="shared" si="17"/>
        <v>13</v>
      </c>
      <c r="E128" s="39">
        <f t="shared" si="17"/>
        <v>9</v>
      </c>
      <c r="F128" s="39">
        <f t="shared" si="17"/>
        <v>19</v>
      </c>
      <c r="G128" s="50">
        <f t="shared" si="10"/>
        <v>339</v>
      </c>
      <c r="H128" s="44">
        <f t="shared" ref="H128:L128" si="30">H22+H23+H24+H25</f>
        <v>0</v>
      </c>
      <c r="I128" s="39">
        <f t="shared" si="30"/>
        <v>0</v>
      </c>
      <c r="J128" s="39">
        <f t="shared" si="30"/>
        <v>0</v>
      </c>
      <c r="K128" s="45">
        <f t="shared" si="30"/>
        <v>0</v>
      </c>
      <c r="L128" s="144">
        <f t="shared" si="30"/>
        <v>6</v>
      </c>
      <c r="M128" s="50">
        <f t="shared" si="14"/>
        <v>0</v>
      </c>
      <c r="N128" s="40">
        <f t="shared" si="15"/>
        <v>339</v>
      </c>
      <c r="O128" s="43">
        <f t="shared" si="16"/>
        <v>417.5</v>
      </c>
    </row>
    <row r="129" spans="1:15" ht="22.95" customHeight="1" x14ac:dyDescent="0.3">
      <c r="A129" s="52" t="s">
        <v>30</v>
      </c>
      <c r="B129" s="44">
        <f t="shared" si="17"/>
        <v>176</v>
      </c>
      <c r="C129" s="39">
        <f t="shared" si="17"/>
        <v>122</v>
      </c>
      <c r="D129" s="39">
        <f t="shared" si="17"/>
        <v>17</v>
      </c>
      <c r="E129" s="39">
        <f t="shared" si="17"/>
        <v>10</v>
      </c>
      <c r="F129" s="39">
        <f t="shared" si="17"/>
        <v>24</v>
      </c>
      <c r="G129" s="50">
        <f t="shared" si="10"/>
        <v>349</v>
      </c>
      <c r="H129" s="44">
        <f t="shared" ref="H129:L129" si="31">H23+H24+H25+H26</f>
        <v>0</v>
      </c>
      <c r="I129" s="39">
        <f t="shared" si="31"/>
        <v>0</v>
      </c>
      <c r="J129" s="39">
        <f t="shared" si="31"/>
        <v>0</v>
      </c>
      <c r="K129" s="45">
        <f t="shared" si="31"/>
        <v>0</v>
      </c>
      <c r="L129" s="144">
        <f t="shared" si="31"/>
        <v>6</v>
      </c>
      <c r="M129" s="50">
        <f t="shared" si="14"/>
        <v>0</v>
      </c>
      <c r="N129" s="40">
        <f t="shared" si="15"/>
        <v>349</v>
      </c>
      <c r="O129" s="43">
        <f t="shared" si="16"/>
        <v>448.5</v>
      </c>
    </row>
    <row r="130" spans="1:15" ht="22.95" customHeight="1" x14ac:dyDescent="0.3">
      <c r="A130" s="52" t="s">
        <v>31</v>
      </c>
      <c r="B130" s="44">
        <f t="shared" si="17"/>
        <v>186</v>
      </c>
      <c r="C130" s="39">
        <f t="shared" si="17"/>
        <v>126</v>
      </c>
      <c r="D130" s="39">
        <f t="shared" si="17"/>
        <v>18</v>
      </c>
      <c r="E130" s="39">
        <f t="shared" si="17"/>
        <v>13</v>
      </c>
      <c r="F130" s="39">
        <f t="shared" si="17"/>
        <v>26</v>
      </c>
      <c r="G130" s="50">
        <f t="shared" si="10"/>
        <v>369</v>
      </c>
      <c r="H130" s="44">
        <f t="shared" ref="H130:L130" si="32">H24+H25+H26+H27</f>
        <v>0</v>
      </c>
      <c r="I130" s="39">
        <f t="shared" si="32"/>
        <v>0</v>
      </c>
      <c r="J130" s="39">
        <f t="shared" si="32"/>
        <v>0</v>
      </c>
      <c r="K130" s="45">
        <f t="shared" si="32"/>
        <v>0</v>
      </c>
      <c r="L130" s="144">
        <f t="shared" si="32"/>
        <v>6</v>
      </c>
      <c r="M130" s="50">
        <f t="shared" si="14"/>
        <v>0</v>
      </c>
      <c r="N130" s="40">
        <f t="shared" si="15"/>
        <v>369</v>
      </c>
      <c r="O130" s="43">
        <f t="shared" si="16"/>
        <v>480</v>
      </c>
    </row>
    <row r="131" spans="1:15" ht="22.95" customHeight="1" x14ac:dyDescent="0.3">
      <c r="A131" s="52" t="s">
        <v>32</v>
      </c>
      <c r="B131" s="44">
        <f t="shared" si="17"/>
        <v>205</v>
      </c>
      <c r="C131" s="39">
        <f t="shared" si="17"/>
        <v>132</v>
      </c>
      <c r="D131" s="39">
        <f t="shared" si="17"/>
        <v>19</v>
      </c>
      <c r="E131" s="39">
        <f t="shared" si="17"/>
        <v>14</v>
      </c>
      <c r="F131" s="39">
        <f t="shared" si="17"/>
        <v>21</v>
      </c>
      <c r="G131" s="50">
        <f t="shared" si="10"/>
        <v>391</v>
      </c>
      <c r="H131" s="44">
        <f t="shared" ref="H131:L131" si="33">H25+H26+H27+H28</f>
        <v>0</v>
      </c>
      <c r="I131" s="39">
        <f t="shared" si="33"/>
        <v>0</v>
      </c>
      <c r="J131" s="39">
        <f t="shared" si="33"/>
        <v>0</v>
      </c>
      <c r="K131" s="45">
        <f t="shared" si="33"/>
        <v>0</v>
      </c>
      <c r="L131" s="144">
        <f t="shared" si="33"/>
        <v>7</v>
      </c>
      <c r="M131" s="50">
        <f t="shared" si="14"/>
        <v>0</v>
      </c>
      <c r="N131" s="40">
        <f t="shared" si="15"/>
        <v>391</v>
      </c>
      <c r="O131" s="43">
        <f t="shared" si="16"/>
        <v>492</v>
      </c>
    </row>
    <row r="132" spans="1:15" ht="22.95" customHeight="1" x14ac:dyDescent="0.3">
      <c r="A132" s="52" t="s">
        <v>33</v>
      </c>
      <c r="B132" s="44">
        <f t="shared" ref="B132:F147" si="34">B26+B27+B28+B29</f>
        <v>212</v>
      </c>
      <c r="C132" s="39">
        <f t="shared" si="34"/>
        <v>142</v>
      </c>
      <c r="D132" s="39">
        <f t="shared" si="34"/>
        <v>13</v>
      </c>
      <c r="E132" s="39">
        <f t="shared" si="34"/>
        <v>12</v>
      </c>
      <c r="F132" s="39">
        <f t="shared" si="34"/>
        <v>14</v>
      </c>
      <c r="G132" s="50">
        <f t="shared" si="10"/>
        <v>393</v>
      </c>
      <c r="H132" s="44">
        <f t="shared" ref="H132:L132" si="35">H26+H27+H28+H29</f>
        <v>0</v>
      </c>
      <c r="I132" s="39">
        <f t="shared" si="35"/>
        <v>0</v>
      </c>
      <c r="J132" s="39">
        <f t="shared" si="35"/>
        <v>0</v>
      </c>
      <c r="K132" s="45">
        <f t="shared" si="35"/>
        <v>0</v>
      </c>
      <c r="L132" s="144">
        <f t="shared" si="35"/>
        <v>5</v>
      </c>
      <c r="M132" s="50">
        <f t="shared" si="14"/>
        <v>0</v>
      </c>
      <c r="N132" s="40">
        <f t="shared" si="15"/>
        <v>393</v>
      </c>
      <c r="O132" s="43">
        <f t="shared" si="16"/>
        <v>441.5</v>
      </c>
    </row>
    <row r="133" spans="1:15" ht="22.95" customHeight="1" x14ac:dyDescent="0.3">
      <c r="A133" s="52" t="s">
        <v>34</v>
      </c>
      <c r="B133" s="44">
        <f t="shared" si="34"/>
        <v>224</v>
      </c>
      <c r="C133" s="39">
        <f t="shared" si="34"/>
        <v>152</v>
      </c>
      <c r="D133" s="39">
        <f t="shared" si="34"/>
        <v>12</v>
      </c>
      <c r="E133" s="39">
        <f t="shared" si="34"/>
        <v>10</v>
      </c>
      <c r="F133" s="39">
        <f t="shared" si="34"/>
        <v>8</v>
      </c>
      <c r="G133" s="50">
        <f t="shared" si="10"/>
        <v>406</v>
      </c>
      <c r="H133" s="44">
        <f t="shared" ref="H133:L133" si="36">H27+H28+H29+H30</f>
        <v>0</v>
      </c>
      <c r="I133" s="39">
        <f t="shared" si="36"/>
        <v>0</v>
      </c>
      <c r="J133" s="39">
        <f t="shared" si="36"/>
        <v>0</v>
      </c>
      <c r="K133" s="45">
        <f t="shared" si="36"/>
        <v>0</v>
      </c>
      <c r="L133" s="144">
        <f t="shared" si="36"/>
        <v>4</v>
      </c>
      <c r="M133" s="50">
        <f t="shared" si="14"/>
        <v>0</v>
      </c>
      <c r="N133" s="40">
        <f t="shared" si="15"/>
        <v>406</v>
      </c>
      <c r="O133" s="43">
        <f t="shared" si="16"/>
        <v>416</v>
      </c>
    </row>
    <row r="134" spans="1:15" ht="22.95" customHeight="1" x14ac:dyDescent="0.3">
      <c r="A134" s="52" t="s">
        <v>35</v>
      </c>
      <c r="B134" s="44">
        <f t="shared" si="34"/>
        <v>217</v>
      </c>
      <c r="C134" s="39">
        <f t="shared" si="34"/>
        <v>157</v>
      </c>
      <c r="D134" s="39">
        <f t="shared" si="34"/>
        <v>12</v>
      </c>
      <c r="E134" s="39">
        <f t="shared" si="34"/>
        <v>7</v>
      </c>
      <c r="F134" s="39">
        <f t="shared" si="34"/>
        <v>8</v>
      </c>
      <c r="G134" s="50">
        <f t="shared" si="10"/>
        <v>401</v>
      </c>
      <c r="H134" s="44">
        <f t="shared" ref="H134:L134" si="37">H28+H29+H30+H31</f>
        <v>0</v>
      </c>
      <c r="I134" s="39">
        <f t="shared" si="37"/>
        <v>0</v>
      </c>
      <c r="J134" s="39">
        <f t="shared" si="37"/>
        <v>0</v>
      </c>
      <c r="K134" s="45">
        <f t="shared" si="37"/>
        <v>0</v>
      </c>
      <c r="L134" s="144">
        <f t="shared" si="37"/>
        <v>3</v>
      </c>
      <c r="M134" s="50">
        <f t="shared" si="14"/>
        <v>0</v>
      </c>
      <c r="N134" s="40">
        <f t="shared" si="15"/>
        <v>401</v>
      </c>
      <c r="O134" s="43">
        <f t="shared" si="16"/>
        <v>394.5</v>
      </c>
    </row>
    <row r="135" spans="1:15" ht="22.95" customHeight="1" x14ac:dyDescent="0.3">
      <c r="A135" s="52" t="s">
        <v>36</v>
      </c>
      <c r="B135" s="44">
        <f t="shared" si="34"/>
        <v>221</v>
      </c>
      <c r="C135" s="39">
        <f t="shared" si="34"/>
        <v>135</v>
      </c>
      <c r="D135" s="39">
        <f t="shared" si="34"/>
        <v>10</v>
      </c>
      <c r="E135" s="39">
        <f t="shared" si="34"/>
        <v>5</v>
      </c>
      <c r="F135" s="39">
        <f t="shared" si="34"/>
        <v>10</v>
      </c>
      <c r="G135" s="50">
        <f t="shared" si="10"/>
        <v>381</v>
      </c>
      <c r="H135" s="44">
        <f t="shared" ref="H135:L135" si="38">H29+H30+H31+H32</f>
        <v>0</v>
      </c>
      <c r="I135" s="39">
        <f t="shared" si="38"/>
        <v>0</v>
      </c>
      <c r="J135" s="39">
        <f t="shared" si="38"/>
        <v>0</v>
      </c>
      <c r="K135" s="45">
        <f t="shared" si="38"/>
        <v>0</v>
      </c>
      <c r="L135" s="144">
        <f t="shared" si="38"/>
        <v>3</v>
      </c>
      <c r="M135" s="50">
        <f t="shared" si="14"/>
        <v>0</v>
      </c>
      <c r="N135" s="40">
        <f t="shared" si="15"/>
        <v>381</v>
      </c>
      <c r="O135" s="43">
        <f t="shared" si="16"/>
        <v>387.5</v>
      </c>
    </row>
    <row r="136" spans="1:15" ht="22.95" customHeight="1" x14ac:dyDescent="0.3">
      <c r="A136" s="52" t="s">
        <v>37</v>
      </c>
      <c r="B136" s="44">
        <f t="shared" si="34"/>
        <v>217</v>
      </c>
      <c r="C136" s="39">
        <f t="shared" si="34"/>
        <v>115</v>
      </c>
      <c r="D136" s="39">
        <f t="shared" si="34"/>
        <v>10</v>
      </c>
      <c r="E136" s="39">
        <f t="shared" si="34"/>
        <v>5</v>
      </c>
      <c r="F136" s="39">
        <f t="shared" si="34"/>
        <v>12</v>
      </c>
      <c r="G136" s="50">
        <f t="shared" si="10"/>
        <v>359</v>
      </c>
      <c r="H136" s="44">
        <f t="shared" ref="H136:L136" si="39">H30+H31+H32+H33</f>
        <v>0</v>
      </c>
      <c r="I136" s="39">
        <f t="shared" si="39"/>
        <v>0</v>
      </c>
      <c r="J136" s="39">
        <f t="shared" si="39"/>
        <v>0</v>
      </c>
      <c r="K136" s="45">
        <f t="shared" si="39"/>
        <v>0</v>
      </c>
      <c r="L136" s="144">
        <f t="shared" si="39"/>
        <v>4</v>
      </c>
      <c r="M136" s="50">
        <f t="shared" si="14"/>
        <v>0</v>
      </c>
      <c r="N136" s="40">
        <f t="shared" si="15"/>
        <v>359</v>
      </c>
      <c r="O136" s="43">
        <f t="shared" si="16"/>
        <v>390.5</v>
      </c>
    </row>
    <row r="137" spans="1:15" ht="22.95" customHeight="1" x14ac:dyDescent="0.3">
      <c r="A137" s="52" t="s">
        <v>38</v>
      </c>
      <c r="B137" s="44">
        <f t="shared" si="34"/>
        <v>206</v>
      </c>
      <c r="C137" s="39">
        <f t="shared" si="34"/>
        <v>99</v>
      </c>
      <c r="D137" s="39">
        <f t="shared" si="34"/>
        <v>8</v>
      </c>
      <c r="E137" s="39">
        <f t="shared" si="34"/>
        <v>5</v>
      </c>
      <c r="F137" s="39">
        <f t="shared" si="34"/>
        <v>11</v>
      </c>
      <c r="G137" s="50">
        <f t="shared" si="10"/>
        <v>329</v>
      </c>
      <c r="H137" s="44">
        <f t="shared" ref="H137:L137" si="40">H31+H32+H33+H34</f>
        <v>0</v>
      </c>
      <c r="I137" s="39">
        <f t="shared" si="40"/>
        <v>0</v>
      </c>
      <c r="J137" s="39">
        <f t="shared" si="40"/>
        <v>0</v>
      </c>
      <c r="K137" s="45">
        <f t="shared" si="40"/>
        <v>0</v>
      </c>
      <c r="L137" s="144">
        <f t="shared" si="40"/>
        <v>5</v>
      </c>
      <c r="M137" s="50">
        <f t="shared" si="14"/>
        <v>0</v>
      </c>
      <c r="N137" s="40">
        <f t="shared" si="15"/>
        <v>329</v>
      </c>
      <c r="O137" s="43">
        <f t="shared" si="16"/>
        <v>372</v>
      </c>
    </row>
    <row r="138" spans="1:15" ht="22.95" customHeight="1" x14ac:dyDescent="0.3">
      <c r="A138" s="52" t="s">
        <v>39</v>
      </c>
      <c r="B138" s="44">
        <f t="shared" si="34"/>
        <v>206</v>
      </c>
      <c r="C138" s="39">
        <f t="shared" si="34"/>
        <v>93</v>
      </c>
      <c r="D138" s="39">
        <f t="shared" si="34"/>
        <v>7</v>
      </c>
      <c r="E138" s="39">
        <f t="shared" si="34"/>
        <v>5</v>
      </c>
      <c r="F138" s="39">
        <f t="shared" si="34"/>
        <v>10</v>
      </c>
      <c r="G138" s="50">
        <f t="shared" si="10"/>
        <v>321</v>
      </c>
      <c r="H138" s="44">
        <f t="shared" ref="H138:L138" si="41">H32+H33+H34+H35</f>
        <v>0</v>
      </c>
      <c r="I138" s="39">
        <f t="shared" si="41"/>
        <v>0</v>
      </c>
      <c r="J138" s="39">
        <f t="shared" si="41"/>
        <v>0</v>
      </c>
      <c r="K138" s="45">
        <f t="shared" si="41"/>
        <v>0</v>
      </c>
      <c r="L138" s="144">
        <f t="shared" si="41"/>
        <v>7</v>
      </c>
      <c r="M138" s="50">
        <f t="shared" si="14"/>
        <v>0</v>
      </c>
      <c r="N138" s="40">
        <f t="shared" si="15"/>
        <v>321</v>
      </c>
      <c r="O138" s="43">
        <f t="shared" si="16"/>
        <v>379</v>
      </c>
    </row>
    <row r="139" spans="1:15" ht="22.95" customHeight="1" x14ac:dyDescent="0.3">
      <c r="A139" s="52" t="s">
        <v>40</v>
      </c>
      <c r="B139" s="44">
        <f t="shared" si="34"/>
        <v>185</v>
      </c>
      <c r="C139" s="39">
        <f t="shared" si="34"/>
        <v>102</v>
      </c>
      <c r="D139" s="39">
        <f t="shared" si="34"/>
        <v>7</v>
      </c>
      <c r="E139" s="39">
        <f t="shared" si="34"/>
        <v>6</v>
      </c>
      <c r="F139" s="39">
        <f t="shared" si="34"/>
        <v>8</v>
      </c>
      <c r="G139" s="50">
        <f t="shared" si="10"/>
        <v>308</v>
      </c>
      <c r="H139" s="44">
        <f t="shared" ref="H139:L139" si="42">H33+H34+H35+H36</f>
        <v>0</v>
      </c>
      <c r="I139" s="39">
        <f t="shared" si="42"/>
        <v>0</v>
      </c>
      <c r="J139" s="39">
        <f t="shared" si="42"/>
        <v>0</v>
      </c>
      <c r="K139" s="45">
        <f t="shared" si="42"/>
        <v>0</v>
      </c>
      <c r="L139" s="144">
        <f t="shared" si="42"/>
        <v>4</v>
      </c>
      <c r="M139" s="50">
        <f t="shared" si="14"/>
        <v>0</v>
      </c>
      <c r="N139" s="40">
        <f t="shared" si="15"/>
        <v>308</v>
      </c>
      <c r="O139" s="43">
        <f t="shared" si="16"/>
        <v>332.5</v>
      </c>
    </row>
    <row r="140" spans="1:15" ht="22.95" customHeight="1" x14ac:dyDescent="0.3">
      <c r="A140" s="52" t="s">
        <v>41</v>
      </c>
      <c r="B140" s="44">
        <f t="shared" si="34"/>
        <v>158</v>
      </c>
      <c r="C140" s="39">
        <f t="shared" si="34"/>
        <v>94</v>
      </c>
      <c r="D140" s="39">
        <f t="shared" si="34"/>
        <v>9</v>
      </c>
      <c r="E140" s="39">
        <f t="shared" si="34"/>
        <v>7</v>
      </c>
      <c r="F140" s="39">
        <f t="shared" si="34"/>
        <v>8</v>
      </c>
      <c r="G140" s="50">
        <f t="shared" si="10"/>
        <v>276</v>
      </c>
      <c r="H140" s="44">
        <f t="shared" ref="H140:L140" si="43">H34+H35+H36+H37</f>
        <v>0</v>
      </c>
      <c r="I140" s="39">
        <f t="shared" si="43"/>
        <v>0</v>
      </c>
      <c r="J140" s="39">
        <f t="shared" si="43"/>
        <v>0</v>
      </c>
      <c r="K140" s="45">
        <f t="shared" si="43"/>
        <v>0</v>
      </c>
      <c r="L140" s="144">
        <f t="shared" si="43"/>
        <v>3</v>
      </c>
      <c r="M140" s="50">
        <f t="shared" si="14"/>
        <v>0</v>
      </c>
      <c r="N140" s="40">
        <f t="shared" si="15"/>
        <v>276</v>
      </c>
      <c r="O140" s="43">
        <f t="shared" si="16"/>
        <v>299.5</v>
      </c>
    </row>
    <row r="141" spans="1:15" ht="22.95" customHeight="1" x14ac:dyDescent="0.3">
      <c r="A141" s="52" t="s">
        <v>42</v>
      </c>
      <c r="B141" s="44">
        <f t="shared" si="34"/>
        <v>158</v>
      </c>
      <c r="C141" s="39">
        <f t="shared" si="34"/>
        <v>80</v>
      </c>
      <c r="D141" s="39">
        <f t="shared" si="34"/>
        <v>14</v>
      </c>
      <c r="E141" s="39">
        <f t="shared" si="34"/>
        <v>9</v>
      </c>
      <c r="F141" s="39">
        <f t="shared" si="34"/>
        <v>12</v>
      </c>
      <c r="G141" s="50">
        <f t="shared" si="10"/>
        <v>273</v>
      </c>
      <c r="H141" s="44">
        <f t="shared" ref="H141:L141" si="44">H35+H36+H37+H38</f>
        <v>0</v>
      </c>
      <c r="I141" s="39">
        <f t="shared" si="44"/>
        <v>0</v>
      </c>
      <c r="J141" s="39">
        <f t="shared" si="44"/>
        <v>0</v>
      </c>
      <c r="K141" s="45">
        <f t="shared" si="44"/>
        <v>0</v>
      </c>
      <c r="L141" s="144">
        <f t="shared" si="44"/>
        <v>2</v>
      </c>
      <c r="M141" s="50">
        <f t="shared" si="14"/>
        <v>0</v>
      </c>
      <c r="N141" s="40">
        <f t="shared" si="15"/>
        <v>273</v>
      </c>
      <c r="O141" s="43">
        <f t="shared" si="16"/>
        <v>316</v>
      </c>
    </row>
    <row r="142" spans="1:15" ht="22.95" customHeight="1" x14ac:dyDescent="0.3">
      <c r="A142" s="52" t="s">
        <v>43</v>
      </c>
      <c r="B142" s="44">
        <f t="shared" si="34"/>
        <v>155</v>
      </c>
      <c r="C142" s="39">
        <f t="shared" si="34"/>
        <v>60</v>
      </c>
      <c r="D142" s="39">
        <f t="shared" si="34"/>
        <v>19</v>
      </c>
      <c r="E142" s="39">
        <f t="shared" si="34"/>
        <v>9</v>
      </c>
      <c r="F142" s="39">
        <f t="shared" si="34"/>
        <v>12</v>
      </c>
      <c r="G142" s="50">
        <f t="shared" si="10"/>
        <v>255</v>
      </c>
      <c r="H142" s="44">
        <f t="shared" ref="H142:L142" si="45">H36+H37+H38+H39</f>
        <v>0</v>
      </c>
      <c r="I142" s="39">
        <f t="shared" si="45"/>
        <v>0</v>
      </c>
      <c r="J142" s="39">
        <f t="shared" si="45"/>
        <v>0</v>
      </c>
      <c r="K142" s="45">
        <f t="shared" si="45"/>
        <v>0</v>
      </c>
      <c r="L142" s="144">
        <f t="shared" si="45"/>
        <v>0</v>
      </c>
      <c r="M142" s="50">
        <f t="shared" si="14"/>
        <v>0</v>
      </c>
      <c r="N142" s="40">
        <f t="shared" si="15"/>
        <v>255</v>
      </c>
      <c r="O142" s="43">
        <f t="shared" si="16"/>
        <v>294.5</v>
      </c>
    </row>
    <row r="143" spans="1:15" ht="22.95" customHeight="1" x14ac:dyDescent="0.3">
      <c r="A143" s="52" t="s">
        <v>44</v>
      </c>
      <c r="B143" s="44">
        <f t="shared" si="34"/>
        <v>164</v>
      </c>
      <c r="C143" s="39">
        <f t="shared" si="34"/>
        <v>52</v>
      </c>
      <c r="D143" s="39">
        <f t="shared" si="34"/>
        <v>21</v>
      </c>
      <c r="E143" s="39">
        <f t="shared" si="34"/>
        <v>7</v>
      </c>
      <c r="F143" s="39">
        <f t="shared" si="34"/>
        <v>14</v>
      </c>
      <c r="G143" s="50">
        <f t="shared" si="10"/>
        <v>258</v>
      </c>
      <c r="H143" s="44">
        <f t="shared" ref="H143:L143" si="46">H37+H38+H39+H40</f>
        <v>0</v>
      </c>
      <c r="I143" s="39">
        <f t="shared" si="46"/>
        <v>0</v>
      </c>
      <c r="J143" s="39">
        <f t="shared" si="46"/>
        <v>0</v>
      </c>
      <c r="K143" s="45">
        <f t="shared" si="46"/>
        <v>0</v>
      </c>
      <c r="L143" s="144">
        <f t="shared" si="46"/>
        <v>0</v>
      </c>
      <c r="M143" s="50">
        <f t="shared" si="14"/>
        <v>0</v>
      </c>
      <c r="N143" s="40">
        <f t="shared" si="15"/>
        <v>258</v>
      </c>
      <c r="O143" s="43">
        <f t="shared" si="16"/>
        <v>305.5</v>
      </c>
    </row>
    <row r="144" spans="1:15" ht="22.95" customHeight="1" x14ac:dyDescent="0.3">
      <c r="A144" s="52" t="s">
        <v>45</v>
      </c>
      <c r="B144" s="44">
        <f t="shared" si="34"/>
        <v>197</v>
      </c>
      <c r="C144" s="39">
        <f t="shared" si="34"/>
        <v>54</v>
      </c>
      <c r="D144" s="39">
        <f t="shared" si="34"/>
        <v>21</v>
      </c>
      <c r="E144" s="39">
        <f t="shared" si="34"/>
        <v>5</v>
      </c>
      <c r="F144" s="39">
        <f t="shared" si="34"/>
        <v>13</v>
      </c>
      <c r="G144" s="50">
        <f t="shared" si="10"/>
        <v>290</v>
      </c>
      <c r="H144" s="44">
        <f t="shared" ref="H144:L144" si="47">H38+H39+H40+H41</f>
        <v>0</v>
      </c>
      <c r="I144" s="39">
        <f t="shared" si="47"/>
        <v>0</v>
      </c>
      <c r="J144" s="39">
        <f t="shared" si="47"/>
        <v>0</v>
      </c>
      <c r="K144" s="45">
        <f t="shared" si="47"/>
        <v>0</v>
      </c>
      <c r="L144" s="144">
        <f t="shared" si="47"/>
        <v>1</v>
      </c>
      <c r="M144" s="50">
        <f t="shared" si="14"/>
        <v>0</v>
      </c>
      <c r="N144" s="40">
        <f t="shared" si="15"/>
        <v>290</v>
      </c>
      <c r="O144" s="43">
        <f t="shared" si="16"/>
        <v>337</v>
      </c>
    </row>
    <row r="145" spans="1:15" ht="22.95" customHeight="1" x14ac:dyDescent="0.3">
      <c r="A145" s="52" t="s">
        <v>46</v>
      </c>
      <c r="B145" s="44">
        <f t="shared" si="34"/>
        <v>208</v>
      </c>
      <c r="C145" s="39">
        <f t="shared" si="34"/>
        <v>63</v>
      </c>
      <c r="D145" s="39">
        <f t="shared" si="34"/>
        <v>16</v>
      </c>
      <c r="E145" s="39">
        <f t="shared" si="34"/>
        <v>3</v>
      </c>
      <c r="F145" s="39">
        <f t="shared" si="34"/>
        <v>10</v>
      </c>
      <c r="G145" s="50">
        <f t="shared" si="10"/>
        <v>300</v>
      </c>
      <c r="H145" s="44">
        <f t="shared" ref="H145:L145" si="48">H39+H40+H41+H42</f>
        <v>0</v>
      </c>
      <c r="I145" s="39">
        <f t="shared" si="48"/>
        <v>0</v>
      </c>
      <c r="J145" s="39">
        <f t="shared" si="48"/>
        <v>0</v>
      </c>
      <c r="K145" s="45">
        <f t="shared" si="48"/>
        <v>0</v>
      </c>
      <c r="L145" s="144">
        <f t="shared" si="48"/>
        <v>3</v>
      </c>
      <c r="M145" s="50">
        <f t="shared" si="14"/>
        <v>0</v>
      </c>
      <c r="N145" s="40">
        <f t="shared" si="15"/>
        <v>300</v>
      </c>
      <c r="O145" s="43">
        <f t="shared" si="16"/>
        <v>341.5</v>
      </c>
    </row>
    <row r="146" spans="1:15" ht="22.95" customHeight="1" x14ac:dyDescent="0.3">
      <c r="A146" s="52" t="s">
        <v>47</v>
      </c>
      <c r="B146" s="44">
        <f t="shared" si="34"/>
        <v>224</v>
      </c>
      <c r="C146" s="39">
        <f t="shared" si="34"/>
        <v>69</v>
      </c>
      <c r="D146" s="39">
        <f t="shared" si="34"/>
        <v>10</v>
      </c>
      <c r="E146" s="39">
        <f t="shared" si="34"/>
        <v>1</v>
      </c>
      <c r="F146" s="39">
        <f t="shared" si="34"/>
        <v>9</v>
      </c>
      <c r="G146" s="50">
        <f t="shared" ref="G146:G177" si="49">SUM(B146:F146)</f>
        <v>313</v>
      </c>
      <c r="H146" s="44">
        <f t="shared" ref="H146:L146" si="50">H40+H41+H42+H43</f>
        <v>0</v>
      </c>
      <c r="I146" s="39">
        <f t="shared" si="50"/>
        <v>0</v>
      </c>
      <c r="J146" s="39">
        <f t="shared" si="50"/>
        <v>0</v>
      </c>
      <c r="K146" s="45">
        <f t="shared" si="50"/>
        <v>0</v>
      </c>
      <c r="L146" s="144">
        <f t="shared" si="50"/>
        <v>4</v>
      </c>
      <c r="M146" s="50">
        <f t="shared" si="14"/>
        <v>0</v>
      </c>
      <c r="N146" s="40">
        <f t="shared" si="15"/>
        <v>313</v>
      </c>
      <c r="O146" s="43">
        <f t="shared" si="16"/>
        <v>349</v>
      </c>
    </row>
    <row r="147" spans="1:15" ht="22.95" customHeight="1" x14ac:dyDescent="0.3">
      <c r="A147" s="52" t="s">
        <v>48</v>
      </c>
      <c r="B147" s="44">
        <f t="shared" si="34"/>
        <v>208</v>
      </c>
      <c r="C147" s="39">
        <f t="shared" si="34"/>
        <v>72</v>
      </c>
      <c r="D147" s="39">
        <f t="shared" si="34"/>
        <v>10</v>
      </c>
      <c r="E147" s="39">
        <f t="shared" si="34"/>
        <v>1</v>
      </c>
      <c r="F147" s="39">
        <f t="shared" si="34"/>
        <v>7</v>
      </c>
      <c r="G147" s="50">
        <f t="shared" si="49"/>
        <v>298</v>
      </c>
      <c r="H147" s="44">
        <f t="shared" ref="H147:L147" si="51">H41+H42+H43+H44</f>
        <v>0</v>
      </c>
      <c r="I147" s="39">
        <f t="shared" si="51"/>
        <v>0</v>
      </c>
      <c r="J147" s="39">
        <f t="shared" si="51"/>
        <v>0</v>
      </c>
      <c r="K147" s="45">
        <f t="shared" si="51"/>
        <v>0</v>
      </c>
      <c r="L147" s="144">
        <f t="shared" si="51"/>
        <v>6</v>
      </c>
      <c r="M147" s="50">
        <f t="shared" si="14"/>
        <v>0</v>
      </c>
      <c r="N147" s="40">
        <f t="shared" si="15"/>
        <v>298</v>
      </c>
      <c r="O147" s="43">
        <f t="shared" si="16"/>
        <v>341.5</v>
      </c>
    </row>
    <row r="148" spans="1:15" ht="22.95" customHeight="1" x14ac:dyDescent="0.3">
      <c r="A148" s="52" t="s">
        <v>49</v>
      </c>
      <c r="B148" s="44">
        <f t="shared" ref="B148:F163" si="52">B42+B43+B44+B45</f>
        <v>199</v>
      </c>
      <c r="C148" s="39">
        <f t="shared" si="52"/>
        <v>77</v>
      </c>
      <c r="D148" s="39">
        <f t="shared" si="52"/>
        <v>9</v>
      </c>
      <c r="E148" s="39">
        <f t="shared" si="52"/>
        <v>1</v>
      </c>
      <c r="F148" s="39">
        <f t="shared" si="52"/>
        <v>8</v>
      </c>
      <c r="G148" s="50">
        <f t="shared" si="49"/>
        <v>294</v>
      </c>
      <c r="H148" s="44">
        <f t="shared" ref="H148:L148" si="53">H42+H43+H44+H45</f>
        <v>0</v>
      </c>
      <c r="I148" s="39">
        <f t="shared" si="53"/>
        <v>0</v>
      </c>
      <c r="J148" s="39">
        <f t="shared" si="53"/>
        <v>0</v>
      </c>
      <c r="K148" s="45">
        <f t="shared" si="53"/>
        <v>0</v>
      </c>
      <c r="L148" s="144">
        <f t="shared" si="53"/>
        <v>8</v>
      </c>
      <c r="M148" s="50">
        <f t="shared" si="14"/>
        <v>0</v>
      </c>
      <c r="N148" s="40">
        <f t="shared" si="15"/>
        <v>294</v>
      </c>
      <c r="O148" s="43">
        <f t="shared" si="16"/>
        <v>354</v>
      </c>
    </row>
    <row r="149" spans="1:15" ht="22.95" customHeight="1" x14ac:dyDescent="0.3">
      <c r="A149" s="52" t="s">
        <v>50</v>
      </c>
      <c r="B149" s="44">
        <f t="shared" si="52"/>
        <v>195</v>
      </c>
      <c r="C149" s="39">
        <f t="shared" si="52"/>
        <v>73</v>
      </c>
      <c r="D149" s="39">
        <f t="shared" si="52"/>
        <v>10</v>
      </c>
      <c r="E149" s="39">
        <f t="shared" si="52"/>
        <v>0</v>
      </c>
      <c r="F149" s="39">
        <f t="shared" si="52"/>
        <v>9</v>
      </c>
      <c r="G149" s="50">
        <f t="shared" si="49"/>
        <v>287</v>
      </c>
      <c r="H149" s="44">
        <f t="shared" ref="H149:L149" si="54">H43+H44+H45+H46</f>
        <v>0</v>
      </c>
      <c r="I149" s="39">
        <f t="shared" si="54"/>
        <v>0</v>
      </c>
      <c r="J149" s="39">
        <f t="shared" si="54"/>
        <v>0</v>
      </c>
      <c r="K149" s="45">
        <f t="shared" si="54"/>
        <v>0</v>
      </c>
      <c r="L149" s="144">
        <f t="shared" si="54"/>
        <v>10</v>
      </c>
      <c r="M149" s="50">
        <f t="shared" si="14"/>
        <v>0</v>
      </c>
      <c r="N149" s="40">
        <f t="shared" si="15"/>
        <v>287</v>
      </c>
      <c r="O149" s="43">
        <f t="shared" si="16"/>
        <v>367</v>
      </c>
    </row>
    <row r="150" spans="1:15" ht="22.95" customHeight="1" x14ac:dyDescent="0.3">
      <c r="A150" s="52" t="s">
        <v>51</v>
      </c>
      <c r="B150" s="44">
        <f t="shared" si="52"/>
        <v>196</v>
      </c>
      <c r="C150" s="39">
        <f t="shared" si="52"/>
        <v>82</v>
      </c>
      <c r="D150" s="39">
        <f t="shared" si="52"/>
        <v>12</v>
      </c>
      <c r="E150" s="39">
        <f t="shared" si="52"/>
        <v>0</v>
      </c>
      <c r="F150" s="39">
        <f t="shared" si="52"/>
        <v>10</v>
      </c>
      <c r="G150" s="50">
        <f t="shared" si="49"/>
        <v>300</v>
      </c>
      <c r="H150" s="44">
        <f t="shared" ref="H150:L150" si="55">H44+H45+H46+H47</f>
        <v>0</v>
      </c>
      <c r="I150" s="39">
        <f t="shared" si="55"/>
        <v>0</v>
      </c>
      <c r="J150" s="39">
        <f t="shared" si="55"/>
        <v>0</v>
      </c>
      <c r="K150" s="45">
        <f t="shared" si="55"/>
        <v>0</v>
      </c>
      <c r="L150" s="144">
        <f t="shared" si="55"/>
        <v>9</v>
      </c>
      <c r="M150" s="50">
        <f t="shared" si="14"/>
        <v>0</v>
      </c>
      <c r="N150" s="40">
        <f t="shared" si="15"/>
        <v>300</v>
      </c>
      <c r="O150" s="43">
        <f t="shared" si="16"/>
        <v>372</v>
      </c>
    </row>
    <row r="151" spans="1:15" ht="22.95" customHeight="1" x14ac:dyDescent="0.3">
      <c r="A151" s="52" t="s">
        <v>52</v>
      </c>
      <c r="B151" s="44">
        <f t="shared" si="52"/>
        <v>203</v>
      </c>
      <c r="C151" s="39">
        <f t="shared" si="52"/>
        <v>95</v>
      </c>
      <c r="D151" s="39">
        <f t="shared" si="52"/>
        <v>11</v>
      </c>
      <c r="E151" s="39">
        <f t="shared" si="52"/>
        <v>0</v>
      </c>
      <c r="F151" s="39">
        <f t="shared" si="52"/>
        <v>10</v>
      </c>
      <c r="G151" s="50">
        <f t="shared" si="49"/>
        <v>319</v>
      </c>
      <c r="H151" s="44">
        <f t="shared" ref="H151:L151" si="56">H45+H46+H47+H48</f>
        <v>0</v>
      </c>
      <c r="I151" s="39">
        <f t="shared" si="56"/>
        <v>0</v>
      </c>
      <c r="J151" s="39">
        <f t="shared" si="56"/>
        <v>0</v>
      </c>
      <c r="K151" s="45">
        <f t="shared" si="56"/>
        <v>0</v>
      </c>
      <c r="L151" s="144">
        <f t="shared" si="56"/>
        <v>12</v>
      </c>
      <c r="M151" s="50">
        <f t="shared" si="14"/>
        <v>0</v>
      </c>
      <c r="N151" s="40">
        <f t="shared" si="15"/>
        <v>319</v>
      </c>
      <c r="O151" s="43">
        <f t="shared" si="16"/>
        <v>408</v>
      </c>
    </row>
    <row r="152" spans="1:15" ht="22.95" customHeight="1" x14ac:dyDescent="0.3">
      <c r="A152" s="52" t="s">
        <v>53</v>
      </c>
      <c r="B152" s="44">
        <f t="shared" si="52"/>
        <v>195</v>
      </c>
      <c r="C152" s="39">
        <f t="shared" si="52"/>
        <v>105</v>
      </c>
      <c r="D152" s="39">
        <f t="shared" si="52"/>
        <v>11</v>
      </c>
      <c r="E152" s="39">
        <f t="shared" si="52"/>
        <v>0</v>
      </c>
      <c r="F152" s="39">
        <f t="shared" si="52"/>
        <v>8</v>
      </c>
      <c r="G152" s="50">
        <f t="shared" si="49"/>
        <v>319</v>
      </c>
      <c r="H152" s="44">
        <f t="shared" ref="H152:L152" si="57">H46+H47+H48+H49</f>
        <v>0</v>
      </c>
      <c r="I152" s="39">
        <f t="shared" si="57"/>
        <v>0</v>
      </c>
      <c r="J152" s="39">
        <f t="shared" si="57"/>
        <v>0</v>
      </c>
      <c r="K152" s="45">
        <f t="shared" si="57"/>
        <v>0</v>
      </c>
      <c r="L152" s="144">
        <f t="shared" si="57"/>
        <v>9</v>
      </c>
      <c r="M152" s="50">
        <f t="shared" si="14"/>
        <v>0</v>
      </c>
      <c r="N152" s="40">
        <f t="shared" si="15"/>
        <v>319</v>
      </c>
      <c r="O152" s="43">
        <f t="shared" si="16"/>
        <v>372</v>
      </c>
    </row>
    <row r="153" spans="1:15" ht="22.95" customHeight="1" x14ac:dyDescent="0.3">
      <c r="A153" s="52" t="s">
        <v>54</v>
      </c>
      <c r="B153" s="44">
        <f t="shared" si="52"/>
        <v>196</v>
      </c>
      <c r="C153" s="39">
        <f t="shared" si="52"/>
        <v>100</v>
      </c>
      <c r="D153" s="39">
        <f t="shared" si="52"/>
        <v>13</v>
      </c>
      <c r="E153" s="39">
        <f t="shared" si="52"/>
        <v>1</v>
      </c>
      <c r="F153" s="39">
        <f t="shared" si="52"/>
        <v>7</v>
      </c>
      <c r="G153" s="50">
        <f t="shared" si="49"/>
        <v>317</v>
      </c>
      <c r="H153" s="44">
        <f t="shared" ref="H153:L153" si="58">H47+H48+H49+H50</f>
        <v>0</v>
      </c>
      <c r="I153" s="39">
        <f t="shared" si="58"/>
        <v>0</v>
      </c>
      <c r="J153" s="39">
        <f t="shared" si="58"/>
        <v>0</v>
      </c>
      <c r="K153" s="45">
        <f t="shared" si="58"/>
        <v>0</v>
      </c>
      <c r="L153" s="144">
        <f t="shared" si="58"/>
        <v>5</v>
      </c>
      <c r="M153" s="50">
        <f t="shared" si="14"/>
        <v>0</v>
      </c>
      <c r="N153" s="40">
        <f t="shared" si="15"/>
        <v>317</v>
      </c>
      <c r="O153" s="43">
        <f t="shared" si="16"/>
        <v>340</v>
      </c>
    </row>
    <row r="154" spans="1:15" ht="22.95" customHeight="1" x14ac:dyDescent="0.3">
      <c r="A154" s="52" t="s">
        <v>55</v>
      </c>
      <c r="B154" s="44">
        <f t="shared" si="52"/>
        <v>201</v>
      </c>
      <c r="C154" s="39">
        <f t="shared" si="52"/>
        <v>106</v>
      </c>
      <c r="D154" s="39">
        <f t="shared" si="52"/>
        <v>13</v>
      </c>
      <c r="E154" s="39">
        <f t="shared" si="52"/>
        <v>1</v>
      </c>
      <c r="F154" s="39">
        <f t="shared" si="52"/>
        <v>6</v>
      </c>
      <c r="G154" s="50">
        <f t="shared" si="49"/>
        <v>327</v>
      </c>
      <c r="H154" s="44">
        <f t="shared" ref="H154:L154" si="59">H48+H49+H50+H51</f>
        <v>0</v>
      </c>
      <c r="I154" s="39">
        <f t="shared" si="59"/>
        <v>0</v>
      </c>
      <c r="J154" s="39">
        <f t="shared" si="59"/>
        <v>0</v>
      </c>
      <c r="K154" s="45">
        <f t="shared" si="59"/>
        <v>0</v>
      </c>
      <c r="L154" s="144">
        <f t="shared" si="59"/>
        <v>6</v>
      </c>
      <c r="M154" s="50">
        <f t="shared" si="14"/>
        <v>0</v>
      </c>
      <c r="N154" s="40">
        <f t="shared" si="15"/>
        <v>327</v>
      </c>
      <c r="O154" s="43">
        <f t="shared" si="16"/>
        <v>351.5</v>
      </c>
    </row>
    <row r="155" spans="1:15" ht="22.95" customHeight="1" x14ac:dyDescent="0.3">
      <c r="A155" s="52" t="s">
        <v>56</v>
      </c>
      <c r="B155" s="44">
        <f t="shared" si="52"/>
        <v>223</v>
      </c>
      <c r="C155" s="39">
        <f t="shared" si="52"/>
        <v>99</v>
      </c>
      <c r="D155" s="39">
        <f t="shared" si="52"/>
        <v>11</v>
      </c>
      <c r="E155" s="39">
        <f t="shared" si="52"/>
        <v>1</v>
      </c>
      <c r="F155" s="39">
        <f t="shared" si="52"/>
        <v>4</v>
      </c>
      <c r="G155" s="50">
        <f t="shared" si="49"/>
        <v>338</v>
      </c>
      <c r="H155" s="44">
        <f t="shared" ref="H155:L155" si="60">H49+H50+H51+H52</f>
        <v>0</v>
      </c>
      <c r="I155" s="39">
        <f t="shared" si="60"/>
        <v>0</v>
      </c>
      <c r="J155" s="39">
        <f t="shared" si="60"/>
        <v>0</v>
      </c>
      <c r="K155" s="45">
        <f t="shared" si="60"/>
        <v>0</v>
      </c>
      <c r="L155" s="144">
        <f t="shared" si="60"/>
        <v>1</v>
      </c>
      <c r="M155" s="50">
        <f t="shared" si="14"/>
        <v>0</v>
      </c>
      <c r="N155" s="40">
        <f t="shared" si="15"/>
        <v>338</v>
      </c>
      <c r="O155" s="43">
        <f t="shared" si="16"/>
        <v>318</v>
      </c>
    </row>
    <row r="156" spans="1:15" ht="22.95" customHeight="1" x14ac:dyDescent="0.3">
      <c r="A156" s="52" t="s">
        <v>57</v>
      </c>
      <c r="B156" s="44">
        <f t="shared" si="52"/>
        <v>258</v>
      </c>
      <c r="C156" s="39">
        <f t="shared" si="52"/>
        <v>78</v>
      </c>
      <c r="D156" s="39">
        <f t="shared" si="52"/>
        <v>12</v>
      </c>
      <c r="E156" s="39">
        <f t="shared" si="52"/>
        <v>1</v>
      </c>
      <c r="F156" s="39">
        <f t="shared" si="52"/>
        <v>5</v>
      </c>
      <c r="G156" s="50">
        <f t="shared" si="49"/>
        <v>354</v>
      </c>
      <c r="H156" s="44">
        <f t="shared" ref="H156:L156" si="61">H50+H51+H52+H53</f>
        <v>0</v>
      </c>
      <c r="I156" s="39">
        <f t="shared" si="61"/>
        <v>0</v>
      </c>
      <c r="J156" s="39">
        <f t="shared" si="61"/>
        <v>0</v>
      </c>
      <c r="K156" s="45">
        <f t="shared" si="61"/>
        <v>0</v>
      </c>
      <c r="L156" s="144">
        <f t="shared" si="61"/>
        <v>1</v>
      </c>
      <c r="M156" s="50">
        <f t="shared" si="14"/>
        <v>0</v>
      </c>
      <c r="N156" s="40">
        <f t="shared" si="15"/>
        <v>354</v>
      </c>
      <c r="O156" s="43">
        <f t="shared" si="16"/>
        <v>348.5</v>
      </c>
    </row>
    <row r="157" spans="1:15" ht="22.95" customHeight="1" x14ac:dyDescent="0.3">
      <c r="A157" s="52" t="s">
        <v>58</v>
      </c>
      <c r="B157" s="44">
        <f t="shared" si="52"/>
        <v>294</v>
      </c>
      <c r="C157" s="39">
        <f t="shared" si="52"/>
        <v>81</v>
      </c>
      <c r="D157" s="39">
        <f t="shared" si="52"/>
        <v>9</v>
      </c>
      <c r="E157" s="39">
        <f t="shared" si="52"/>
        <v>0</v>
      </c>
      <c r="F157" s="39">
        <f t="shared" si="52"/>
        <v>6</v>
      </c>
      <c r="G157" s="50">
        <f t="shared" si="49"/>
        <v>390</v>
      </c>
      <c r="H157" s="44">
        <f t="shared" ref="H157:L157" si="62">H51+H52+H53+H54</f>
        <v>1</v>
      </c>
      <c r="I157" s="39">
        <f t="shared" si="62"/>
        <v>0</v>
      </c>
      <c r="J157" s="39">
        <f t="shared" si="62"/>
        <v>0</v>
      </c>
      <c r="K157" s="45">
        <f t="shared" si="62"/>
        <v>0</v>
      </c>
      <c r="L157" s="144">
        <f t="shared" si="62"/>
        <v>4</v>
      </c>
      <c r="M157" s="50">
        <f t="shared" si="14"/>
        <v>1</v>
      </c>
      <c r="N157" s="40">
        <f t="shared" si="15"/>
        <v>391</v>
      </c>
      <c r="O157" s="43">
        <f t="shared" si="16"/>
        <v>407.5</v>
      </c>
    </row>
    <row r="158" spans="1:15" ht="22.95" customHeight="1" x14ac:dyDescent="0.3">
      <c r="A158" s="52" t="s">
        <v>59</v>
      </c>
      <c r="B158" s="44">
        <f t="shared" si="52"/>
        <v>315</v>
      </c>
      <c r="C158" s="39">
        <f t="shared" si="52"/>
        <v>64</v>
      </c>
      <c r="D158" s="39">
        <f t="shared" si="52"/>
        <v>8</v>
      </c>
      <c r="E158" s="39">
        <f t="shared" si="52"/>
        <v>0</v>
      </c>
      <c r="F158" s="39">
        <f t="shared" si="52"/>
        <v>6</v>
      </c>
      <c r="G158" s="50">
        <f t="shared" si="49"/>
        <v>393</v>
      </c>
      <c r="H158" s="44">
        <f t="shared" ref="H158:L158" si="63">H52+H53+H54+H55</f>
        <v>1</v>
      </c>
      <c r="I158" s="39">
        <f t="shared" si="63"/>
        <v>0</v>
      </c>
      <c r="J158" s="39">
        <f t="shared" si="63"/>
        <v>0</v>
      </c>
      <c r="K158" s="45">
        <f t="shared" si="63"/>
        <v>0</v>
      </c>
      <c r="L158" s="144">
        <f t="shared" si="63"/>
        <v>5</v>
      </c>
      <c r="M158" s="50">
        <f t="shared" si="14"/>
        <v>1</v>
      </c>
      <c r="N158" s="40">
        <f t="shared" si="15"/>
        <v>394</v>
      </c>
      <c r="O158" s="43">
        <f t="shared" si="16"/>
        <v>426.5</v>
      </c>
    </row>
    <row r="159" spans="1:15" ht="22.95" customHeight="1" x14ac:dyDescent="0.3">
      <c r="A159" s="52" t="s">
        <v>77</v>
      </c>
      <c r="B159" s="44">
        <f t="shared" si="52"/>
        <v>314</v>
      </c>
      <c r="C159" s="39">
        <f t="shared" si="52"/>
        <v>49</v>
      </c>
      <c r="D159" s="39">
        <f t="shared" si="52"/>
        <v>11</v>
      </c>
      <c r="E159" s="39">
        <f t="shared" si="52"/>
        <v>2</v>
      </c>
      <c r="F159" s="39">
        <f t="shared" si="52"/>
        <v>8</v>
      </c>
      <c r="G159" s="50">
        <f t="shared" si="49"/>
        <v>384</v>
      </c>
      <c r="H159" s="44">
        <f t="shared" ref="H159:L159" si="64">H53+H54+H55+H56</f>
        <v>1</v>
      </c>
      <c r="I159" s="39">
        <f t="shared" si="64"/>
        <v>0</v>
      </c>
      <c r="J159" s="39">
        <f t="shared" si="64"/>
        <v>0</v>
      </c>
      <c r="K159" s="45">
        <f t="shared" si="64"/>
        <v>0</v>
      </c>
      <c r="L159" s="144">
        <f t="shared" si="64"/>
        <v>5</v>
      </c>
      <c r="M159" s="50">
        <f t="shared" si="14"/>
        <v>1</v>
      </c>
      <c r="N159" s="40">
        <f t="shared" si="15"/>
        <v>385</v>
      </c>
      <c r="O159" s="43">
        <f t="shared" si="16"/>
        <v>437.5</v>
      </c>
    </row>
    <row r="160" spans="1:15" ht="22.95" customHeight="1" x14ac:dyDescent="0.3">
      <c r="A160" s="52" t="s">
        <v>75</v>
      </c>
      <c r="B160" s="44">
        <f t="shared" si="52"/>
        <v>285</v>
      </c>
      <c r="C160" s="39">
        <f t="shared" si="52"/>
        <v>44</v>
      </c>
      <c r="D160" s="39">
        <f t="shared" si="52"/>
        <v>10</v>
      </c>
      <c r="E160" s="39">
        <f t="shared" si="52"/>
        <v>5</v>
      </c>
      <c r="F160" s="39">
        <f t="shared" si="52"/>
        <v>7</v>
      </c>
      <c r="G160" s="50">
        <f t="shared" si="49"/>
        <v>351</v>
      </c>
      <c r="H160" s="44">
        <f t="shared" ref="H160:L160" si="65">H54+H55+H56+H57</f>
        <v>1</v>
      </c>
      <c r="I160" s="39">
        <f t="shared" si="65"/>
        <v>0</v>
      </c>
      <c r="J160" s="39">
        <f t="shared" si="65"/>
        <v>0</v>
      </c>
      <c r="K160" s="45">
        <f t="shared" si="65"/>
        <v>0</v>
      </c>
      <c r="L160" s="144">
        <f t="shared" si="65"/>
        <v>5</v>
      </c>
      <c r="M160" s="50">
        <f t="shared" si="14"/>
        <v>1</v>
      </c>
      <c r="N160" s="40">
        <f t="shared" si="15"/>
        <v>352</v>
      </c>
      <c r="O160" s="43">
        <f t="shared" si="16"/>
        <v>409</v>
      </c>
    </row>
    <row r="161" spans="1:15" ht="22.95" customHeight="1" x14ac:dyDescent="0.3">
      <c r="A161" s="52" t="s">
        <v>76</v>
      </c>
      <c r="B161" s="44">
        <f t="shared" si="52"/>
        <v>240</v>
      </c>
      <c r="C161" s="39">
        <f t="shared" si="52"/>
        <v>35</v>
      </c>
      <c r="D161" s="39">
        <f t="shared" si="52"/>
        <v>9</v>
      </c>
      <c r="E161" s="39">
        <f t="shared" si="52"/>
        <v>5</v>
      </c>
      <c r="F161" s="39">
        <f t="shared" si="52"/>
        <v>5</v>
      </c>
      <c r="G161" s="50">
        <f t="shared" si="49"/>
        <v>294</v>
      </c>
      <c r="H161" s="44">
        <f t="shared" ref="H161:L161" si="66">H55+H56+H57+H58</f>
        <v>0</v>
      </c>
      <c r="I161" s="39">
        <f t="shared" si="66"/>
        <v>0</v>
      </c>
      <c r="J161" s="39">
        <f t="shared" si="66"/>
        <v>0</v>
      </c>
      <c r="K161" s="45">
        <f t="shared" si="66"/>
        <v>0</v>
      </c>
      <c r="L161" s="144">
        <f t="shared" si="66"/>
        <v>2</v>
      </c>
      <c r="M161" s="50">
        <f t="shared" si="14"/>
        <v>0</v>
      </c>
      <c r="N161" s="40">
        <f t="shared" si="15"/>
        <v>294</v>
      </c>
      <c r="O161" s="43">
        <f t="shared" si="16"/>
        <v>324.5</v>
      </c>
    </row>
    <row r="162" spans="1:15" ht="22.95" customHeight="1" x14ac:dyDescent="0.3">
      <c r="A162" s="52" t="s">
        <v>70</v>
      </c>
      <c r="B162" s="44">
        <f t="shared" si="52"/>
        <v>198</v>
      </c>
      <c r="C162" s="39">
        <f t="shared" si="52"/>
        <v>24</v>
      </c>
      <c r="D162" s="39">
        <f t="shared" si="52"/>
        <v>9</v>
      </c>
      <c r="E162" s="39">
        <f t="shared" si="52"/>
        <v>6</v>
      </c>
      <c r="F162" s="39">
        <f t="shared" si="52"/>
        <v>5</v>
      </c>
      <c r="G162" s="50">
        <f t="shared" si="49"/>
        <v>242</v>
      </c>
      <c r="H162" s="44">
        <f t="shared" ref="H162:L162" si="67">H56+H57+H58+H59</f>
        <v>0</v>
      </c>
      <c r="I162" s="39">
        <f t="shared" si="67"/>
        <v>0</v>
      </c>
      <c r="J162" s="39">
        <f t="shared" si="67"/>
        <v>0</v>
      </c>
      <c r="K162" s="45">
        <f t="shared" si="67"/>
        <v>0</v>
      </c>
      <c r="L162" s="144">
        <f t="shared" si="67"/>
        <v>0</v>
      </c>
      <c r="M162" s="50">
        <f t="shared" si="14"/>
        <v>0</v>
      </c>
      <c r="N162" s="40">
        <f t="shared" si="15"/>
        <v>242</v>
      </c>
      <c r="O162" s="43">
        <f t="shared" si="16"/>
        <v>264</v>
      </c>
    </row>
    <row r="163" spans="1:15" ht="22.95" customHeight="1" x14ac:dyDescent="0.3">
      <c r="A163" s="52" t="s">
        <v>71</v>
      </c>
      <c r="B163" s="44">
        <f t="shared" si="52"/>
        <v>174</v>
      </c>
      <c r="C163" s="39">
        <f t="shared" si="52"/>
        <v>20</v>
      </c>
      <c r="D163" s="39">
        <f t="shared" si="52"/>
        <v>7</v>
      </c>
      <c r="E163" s="39">
        <f t="shared" si="52"/>
        <v>4</v>
      </c>
      <c r="F163" s="39">
        <f t="shared" si="52"/>
        <v>4</v>
      </c>
      <c r="G163" s="50">
        <f t="shared" si="49"/>
        <v>209</v>
      </c>
      <c r="H163" s="44">
        <f t="shared" ref="H163:L163" si="68">H57+H58+H59+H60</f>
        <v>0</v>
      </c>
      <c r="I163" s="39">
        <f t="shared" si="68"/>
        <v>0</v>
      </c>
      <c r="J163" s="39">
        <f t="shared" si="68"/>
        <v>0</v>
      </c>
      <c r="K163" s="45">
        <f t="shared" si="68"/>
        <v>0</v>
      </c>
      <c r="L163" s="144">
        <f t="shared" si="68"/>
        <v>0</v>
      </c>
      <c r="M163" s="50">
        <f t="shared" si="14"/>
        <v>0</v>
      </c>
      <c r="N163" s="40">
        <f t="shared" si="15"/>
        <v>209</v>
      </c>
      <c r="O163" s="43">
        <f t="shared" si="16"/>
        <v>224.5</v>
      </c>
    </row>
    <row r="164" spans="1:15" ht="22.95" customHeight="1" x14ac:dyDescent="0.3">
      <c r="A164" s="52" t="s">
        <v>72</v>
      </c>
      <c r="B164" s="44">
        <f t="shared" ref="B164:F179" si="69">B58+B59+B60+B61</f>
        <v>152</v>
      </c>
      <c r="C164" s="39">
        <f t="shared" si="69"/>
        <v>20</v>
      </c>
      <c r="D164" s="39">
        <f t="shared" si="69"/>
        <v>6</v>
      </c>
      <c r="E164" s="39">
        <f t="shared" si="69"/>
        <v>4</v>
      </c>
      <c r="F164" s="39">
        <f t="shared" si="69"/>
        <v>4</v>
      </c>
      <c r="G164" s="50">
        <f t="shared" si="49"/>
        <v>186</v>
      </c>
      <c r="H164" s="44">
        <f t="shared" ref="H164:L164" si="70">H58+H59+H60+H61</f>
        <v>0</v>
      </c>
      <c r="I164" s="39">
        <f t="shared" si="70"/>
        <v>0</v>
      </c>
      <c r="J164" s="39">
        <f t="shared" si="70"/>
        <v>0</v>
      </c>
      <c r="K164" s="45">
        <f t="shared" si="70"/>
        <v>0</v>
      </c>
      <c r="L164" s="144">
        <f t="shared" si="70"/>
        <v>0</v>
      </c>
      <c r="M164" s="50">
        <f t="shared" si="14"/>
        <v>0</v>
      </c>
      <c r="N164" s="40">
        <f t="shared" si="15"/>
        <v>186</v>
      </c>
      <c r="O164" s="43">
        <f t="shared" si="16"/>
        <v>201</v>
      </c>
    </row>
    <row r="165" spans="1:15" ht="22.95" customHeight="1" x14ac:dyDescent="0.3">
      <c r="A165" s="52" t="s">
        <v>73</v>
      </c>
      <c r="B165" s="44">
        <f t="shared" si="69"/>
        <v>131</v>
      </c>
      <c r="C165" s="39">
        <f t="shared" si="69"/>
        <v>23</v>
      </c>
      <c r="D165" s="39">
        <f t="shared" si="69"/>
        <v>8</v>
      </c>
      <c r="E165" s="39">
        <f t="shared" si="69"/>
        <v>5</v>
      </c>
      <c r="F165" s="39">
        <f t="shared" si="69"/>
        <v>6</v>
      </c>
      <c r="G165" s="50">
        <f t="shared" si="49"/>
        <v>173</v>
      </c>
      <c r="H165" s="44">
        <f t="shared" ref="H165:L165" si="71">H59+H60+H61+H62</f>
        <v>0</v>
      </c>
      <c r="I165" s="39">
        <f t="shared" si="71"/>
        <v>0</v>
      </c>
      <c r="J165" s="39">
        <f t="shared" si="71"/>
        <v>0</v>
      </c>
      <c r="K165" s="45">
        <f t="shared" si="71"/>
        <v>0</v>
      </c>
      <c r="L165" s="144">
        <f t="shared" si="71"/>
        <v>0</v>
      </c>
      <c r="M165" s="50">
        <f t="shared" si="14"/>
        <v>0</v>
      </c>
      <c r="N165" s="40">
        <f t="shared" si="15"/>
        <v>173</v>
      </c>
      <c r="O165" s="43">
        <f t="shared" si="16"/>
        <v>196.5</v>
      </c>
    </row>
    <row r="166" spans="1:15" ht="22.95" customHeight="1" x14ac:dyDescent="0.3">
      <c r="A166" s="52" t="s">
        <v>74</v>
      </c>
      <c r="B166" s="44">
        <f t="shared" si="69"/>
        <v>117</v>
      </c>
      <c r="C166" s="39">
        <f t="shared" si="69"/>
        <v>26</v>
      </c>
      <c r="D166" s="39">
        <f t="shared" si="69"/>
        <v>6</v>
      </c>
      <c r="E166" s="39">
        <f t="shared" si="69"/>
        <v>6</v>
      </c>
      <c r="F166" s="39">
        <f t="shared" si="69"/>
        <v>6</v>
      </c>
      <c r="G166" s="50">
        <f t="shared" si="49"/>
        <v>161</v>
      </c>
      <c r="H166" s="44">
        <f t="shared" ref="H166:L166" si="72">H60+H61+H62+H63</f>
        <v>0</v>
      </c>
      <c r="I166" s="39">
        <f t="shared" si="72"/>
        <v>0</v>
      </c>
      <c r="J166" s="39">
        <f t="shared" si="72"/>
        <v>0</v>
      </c>
      <c r="K166" s="45">
        <f t="shared" si="72"/>
        <v>0</v>
      </c>
      <c r="L166" s="144">
        <f t="shared" si="72"/>
        <v>0</v>
      </c>
      <c r="M166" s="50">
        <f t="shared" si="14"/>
        <v>0</v>
      </c>
      <c r="N166" s="40">
        <f t="shared" si="15"/>
        <v>161</v>
      </c>
      <c r="O166" s="43">
        <f t="shared" si="16"/>
        <v>184</v>
      </c>
    </row>
    <row r="167" spans="1:15" ht="22.95" customHeight="1" x14ac:dyDescent="0.3">
      <c r="A167" s="52" t="s">
        <v>262</v>
      </c>
      <c r="B167" s="44">
        <f t="shared" si="69"/>
        <v>104</v>
      </c>
      <c r="C167" s="39">
        <f t="shared" si="69"/>
        <v>25</v>
      </c>
      <c r="D167" s="39">
        <f t="shared" si="69"/>
        <v>6</v>
      </c>
      <c r="E167" s="39">
        <f t="shared" si="69"/>
        <v>9</v>
      </c>
      <c r="F167" s="39">
        <f t="shared" si="69"/>
        <v>8</v>
      </c>
      <c r="G167" s="50">
        <f t="shared" si="49"/>
        <v>152</v>
      </c>
      <c r="H167" s="44">
        <f t="shared" ref="H167:L167" si="73">H61+H62+H63+H64</f>
        <v>0</v>
      </c>
      <c r="I167" s="39">
        <f t="shared" si="73"/>
        <v>0</v>
      </c>
      <c r="J167" s="39">
        <f t="shared" si="73"/>
        <v>0</v>
      </c>
      <c r="K167" s="45">
        <f t="shared" si="73"/>
        <v>0</v>
      </c>
      <c r="L167" s="144">
        <f t="shared" si="73"/>
        <v>0</v>
      </c>
      <c r="M167" s="50">
        <f t="shared" si="14"/>
        <v>0</v>
      </c>
      <c r="N167" s="40">
        <f t="shared" si="15"/>
        <v>152</v>
      </c>
      <c r="O167" s="43">
        <f t="shared" si="16"/>
        <v>188.5</v>
      </c>
    </row>
    <row r="168" spans="1:15" ht="22.95" customHeight="1" x14ac:dyDescent="0.3">
      <c r="A168" s="52" t="s">
        <v>263</v>
      </c>
      <c r="B168" s="44">
        <f t="shared" si="69"/>
        <v>95</v>
      </c>
      <c r="C168" s="39">
        <f t="shared" si="69"/>
        <v>22</v>
      </c>
      <c r="D168" s="39">
        <f t="shared" si="69"/>
        <v>8</v>
      </c>
      <c r="E168" s="39">
        <f t="shared" si="69"/>
        <v>7</v>
      </c>
      <c r="F168" s="39">
        <f t="shared" si="69"/>
        <v>10</v>
      </c>
      <c r="G168" s="50">
        <f t="shared" si="49"/>
        <v>142</v>
      </c>
      <c r="H168" s="44">
        <f t="shared" ref="H168:L168" si="74">H62+H63+H64+H65</f>
        <v>0</v>
      </c>
      <c r="I168" s="39">
        <f t="shared" si="74"/>
        <v>0</v>
      </c>
      <c r="J168" s="39">
        <f t="shared" si="74"/>
        <v>0</v>
      </c>
      <c r="K168" s="45">
        <f t="shared" si="74"/>
        <v>0</v>
      </c>
      <c r="L168" s="144">
        <f t="shared" si="74"/>
        <v>0</v>
      </c>
      <c r="M168" s="50">
        <f t="shared" si="14"/>
        <v>0</v>
      </c>
      <c r="N168" s="40">
        <f t="shared" si="15"/>
        <v>142</v>
      </c>
      <c r="O168" s="43">
        <f t="shared" si="16"/>
        <v>184</v>
      </c>
    </row>
    <row r="169" spans="1:15" ht="22.95" customHeight="1" x14ac:dyDescent="0.3">
      <c r="A169" s="52" t="s">
        <v>264</v>
      </c>
      <c r="B169" s="44">
        <f t="shared" si="69"/>
        <v>85</v>
      </c>
      <c r="C169" s="39">
        <f t="shared" si="69"/>
        <v>21</v>
      </c>
      <c r="D169" s="39">
        <f t="shared" si="69"/>
        <v>5</v>
      </c>
      <c r="E169" s="39">
        <f t="shared" si="69"/>
        <v>10</v>
      </c>
      <c r="F169" s="39">
        <f t="shared" si="69"/>
        <v>9</v>
      </c>
      <c r="G169" s="50">
        <f t="shared" si="49"/>
        <v>130</v>
      </c>
      <c r="H169" s="44">
        <f t="shared" ref="H169:L169" si="75">H63+H64+H65+H66</f>
        <v>0</v>
      </c>
      <c r="I169" s="39">
        <f t="shared" si="75"/>
        <v>0</v>
      </c>
      <c r="J169" s="39">
        <f t="shared" si="75"/>
        <v>0</v>
      </c>
      <c r="K169" s="45">
        <f t="shared" si="75"/>
        <v>0</v>
      </c>
      <c r="L169" s="144">
        <f t="shared" si="75"/>
        <v>0</v>
      </c>
      <c r="M169" s="50">
        <f t="shared" si="14"/>
        <v>0</v>
      </c>
      <c r="N169" s="40">
        <f t="shared" si="15"/>
        <v>130</v>
      </c>
      <c r="O169" s="43">
        <f t="shared" si="16"/>
        <v>173.5</v>
      </c>
    </row>
    <row r="170" spans="1:15" ht="22.95" customHeight="1" x14ac:dyDescent="0.3">
      <c r="A170" s="52" t="s">
        <v>265</v>
      </c>
      <c r="B170" s="44">
        <f t="shared" si="69"/>
        <v>79</v>
      </c>
      <c r="C170" s="39">
        <f t="shared" si="69"/>
        <v>19</v>
      </c>
      <c r="D170" s="39">
        <f t="shared" si="69"/>
        <v>7</v>
      </c>
      <c r="E170" s="39">
        <f t="shared" si="69"/>
        <v>10</v>
      </c>
      <c r="F170" s="39">
        <f t="shared" si="69"/>
        <v>11</v>
      </c>
      <c r="G170" s="50">
        <f t="shared" si="49"/>
        <v>126</v>
      </c>
      <c r="H170" s="44">
        <f t="shared" ref="H170:L170" si="76">H64+H65+H66+H67</f>
        <v>0</v>
      </c>
      <c r="I170" s="39">
        <f t="shared" si="76"/>
        <v>0</v>
      </c>
      <c r="J170" s="39">
        <f t="shared" si="76"/>
        <v>0</v>
      </c>
      <c r="K170" s="45">
        <f t="shared" si="76"/>
        <v>0</v>
      </c>
      <c r="L170" s="144">
        <f t="shared" si="76"/>
        <v>0</v>
      </c>
      <c r="M170" s="50">
        <f t="shared" si="14"/>
        <v>0</v>
      </c>
      <c r="N170" s="40">
        <f t="shared" si="15"/>
        <v>126</v>
      </c>
      <c r="O170" s="43">
        <f t="shared" si="16"/>
        <v>178.5</v>
      </c>
    </row>
    <row r="171" spans="1:15" ht="22.95" customHeight="1" x14ac:dyDescent="0.3">
      <c r="A171" s="52" t="s">
        <v>266</v>
      </c>
      <c r="B171" s="44">
        <f t="shared" si="69"/>
        <v>70</v>
      </c>
      <c r="C171" s="39">
        <f t="shared" si="69"/>
        <v>22</v>
      </c>
      <c r="D171" s="39">
        <f t="shared" si="69"/>
        <v>9</v>
      </c>
      <c r="E171" s="39">
        <f t="shared" si="69"/>
        <v>13</v>
      </c>
      <c r="F171" s="39">
        <f t="shared" si="69"/>
        <v>12</v>
      </c>
      <c r="G171" s="50">
        <f t="shared" si="49"/>
        <v>126</v>
      </c>
      <c r="H171" s="44">
        <f t="shared" ref="H171:L171" si="77">H65+H66+H67+H68</f>
        <v>0</v>
      </c>
      <c r="I171" s="39">
        <f t="shared" si="77"/>
        <v>0</v>
      </c>
      <c r="J171" s="39">
        <f t="shared" si="77"/>
        <v>0</v>
      </c>
      <c r="K171" s="45">
        <f t="shared" si="77"/>
        <v>0</v>
      </c>
      <c r="L171" s="144">
        <f t="shared" si="77"/>
        <v>0</v>
      </c>
      <c r="M171" s="50">
        <f t="shared" si="14"/>
        <v>0</v>
      </c>
      <c r="N171" s="40">
        <f t="shared" si="15"/>
        <v>126</v>
      </c>
      <c r="O171" s="43">
        <f t="shared" si="16"/>
        <v>187.5</v>
      </c>
    </row>
    <row r="172" spans="1:15" ht="22.95" customHeight="1" x14ac:dyDescent="0.3">
      <c r="A172" s="52" t="s">
        <v>267</v>
      </c>
      <c r="B172" s="44">
        <f t="shared" si="69"/>
        <v>65</v>
      </c>
      <c r="C172" s="39">
        <f t="shared" si="69"/>
        <v>27</v>
      </c>
      <c r="D172" s="39">
        <f t="shared" si="69"/>
        <v>7</v>
      </c>
      <c r="E172" s="39">
        <f t="shared" si="69"/>
        <v>15</v>
      </c>
      <c r="F172" s="39">
        <f t="shared" si="69"/>
        <v>12</v>
      </c>
      <c r="G172" s="50">
        <f t="shared" si="49"/>
        <v>126</v>
      </c>
      <c r="H172" s="44">
        <f t="shared" ref="H172:L172" si="78">H66+H67+H68+H69</f>
        <v>0</v>
      </c>
      <c r="I172" s="39">
        <f t="shared" si="78"/>
        <v>0</v>
      </c>
      <c r="J172" s="39">
        <f t="shared" si="78"/>
        <v>0</v>
      </c>
      <c r="K172" s="45">
        <f t="shared" si="78"/>
        <v>0</v>
      </c>
      <c r="L172" s="144">
        <f t="shared" si="78"/>
        <v>0</v>
      </c>
      <c r="M172" s="50">
        <f t="shared" si="14"/>
        <v>0</v>
      </c>
      <c r="N172" s="40">
        <f t="shared" si="15"/>
        <v>126</v>
      </c>
      <c r="O172" s="43">
        <f t="shared" si="16"/>
        <v>188</v>
      </c>
    </row>
    <row r="173" spans="1:15" ht="22.95" customHeight="1" x14ac:dyDescent="0.3">
      <c r="A173" s="52" t="s">
        <v>268</v>
      </c>
      <c r="B173" s="44">
        <f t="shared" si="69"/>
        <v>55</v>
      </c>
      <c r="C173" s="39">
        <f t="shared" si="69"/>
        <v>22</v>
      </c>
      <c r="D173" s="39">
        <f t="shared" si="69"/>
        <v>10</v>
      </c>
      <c r="E173" s="39">
        <f t="shared" si="69"/>
        <v>13</v>
      </c>
      <c r="F173" s="39">
        <f t="shared" si="69"/>
        <v>12</v>
      </c>
      <c r="G173" s="50">
        <f t="shared" si="49"/>
        <v>112</v>
      </c>
      <c r="H173" s="44">
        <f t="shared" ref="H173:L173" si="79">H67+H68+H69+H70</f>
        <v>0</v>
      </c>
      <c r="I173" s="39">
        <f t="shared" si="79"/>
        <v>0</v>
      </c>
      <c r="J173" s="39">
        <f t="shared" si="79"/>
        <v>0</v>
      </c>
      <c r="K173" s="45">
        <f t="shared" si="79"/>
        <v>0</v>
      </c>
      <c r="L173" s="144">
        <f t="shared" si="79"/>
        <v>3</v>
      </c>
      <c r="M173" s="50">
        <f t="shared" si="14"/>
        <v>0</v>
      </c>
      <c r="N173" s="40">
        <f t="shared" si="15"/>
        <v>112</v>
      </c>
      <c r="O173" s="43">
        <f t="shared" si="16"/>
        <v>198</v>
      </c>
    </row>
    <row r="174" spans="1:15" ht="22.95" customHeight="1" x14ac:dyDescent="0.3">
      <c r="A174" s="52" t="s">
        <v>269</v>
      </c>
      <c r="B174" s="44">
        <f t="shared" si="69"/>
        <v>37</v>
      </c>
      <c r="C174" s="39">
        <f t="shared" si="69"/>
        <v>20</v>
      </c>
      <c r="D174" s="39">
        <f t="shared" si="69"/>
        <v>10</v>
      </c>
      <c r="E174" s="39">
        <f t="shared" si="69"/>
        <v>12</v>
      </c>
      <c r="F174" s="39">
        <f t="shared" si="69"/>
        <v>11</v>
      </c>
      <c r="G174" s="50">
        <f t="shared" si="49"/>
        <v>90</v>
      </c>
      <c r="H174" s="44">
        <f t="shared" ref="H174:L174" si="80">H68+H69+H70+H71</f>
        <v>0</v>
      </c>
      <c r="I174" s="39">
        <f t="shared" si="80"/>
        <v>0</v>
      </c>
      <c r="J174" s="39">
        <f t="shared" si="80"/>
        <v>0</v>
      </c>
      <c r="K174" s="45">
        <f t="shared" si="80"/>
        <v>0</v>
      </c>
      <c r="L174" s="144">
        <f t="shared" si="80"/>
        <v>6</v>
      </c>
      <c r="M174" s="50">
        <f t="shared" si="14"/>
        <v>0</v>
      </c>
      <c r="N174" s="40">
        <f t="shared" si="15"/>
        <v>90</v>
      </c>
      <c r="O174" s="43">
        <f t="shared" si="16"/>
        <v>195.5</v>
      </c>
    </row>
    <row r="175" spans="1:15" ht="22.95" customHeight="1" x14ac:dyDescent="0.3">
      <c r="A175" s="54" t="s">
        <v>241</v>
      </c>
      <c r="B175" s="44">
        <f t="shared" si="69"/>
        <v>22</v>
      </c>
      <c r="C175" s="39">
        <f t="shared" si="69"/>
        <v>15</v>
      </c>
      <c r="D175" s="39">
        <f t="shared" si="69"/>
        <v>13</v>
      </c>
      <c r="E175" s="39">
        <f t="shared" si="69"/>
        <v>8</v>
      </c>
      <c r="F175" s="39">
        <f t="shared" si="69"/>
        <v>9</v>
      </c>
      <c r="G175" s="50">
        <f t="shared" si="49"/>
        <v>67</v>
      </c>
      <c r="H175" s="44">
        <f t="shared" ref="H175:L175" si="81">H69+H70+H71+H72</f>
        <v>0</v>
      </c>
      <c r="I175" s="39">
        <f t="shared" si="81"/>
        <v>0</v>
      </c>
      <c r="J175" s="39">
        <f t="shared" si="81"/>
        <v>0</v>
      </c>
      <c r="K175" s="45">
        <f t="shared" si="81"/>
        <v>0</v>
      </c>
      <c r="L175" s="144">
        <f t="shared" si="81"/>
        <v>9</v>
      </c>
      <c r="M175" s="50">
        <f t="shared" si="14"/>
        <v>0</v>
      </c>
      <c r="N175" s="40">
        <f t="shared" si="15"/>
        <v>67</v>
      </c>
      <c r="O175" s="43">
        <f t="shared" si="16"/>
        <v>185.5</v>
      </c>
    </row>
    <row r="176" spans="1:15" ht="22.95" customHeight="1" x14ac:dyDescent="0.3">
      <c r="A176" s="52" t="s">
        <v>242</v>
      </c>
      <c r="B176" s="44">
        <f t="shared" si="69"/>
        <v>15</v>
      </c>
      <c r="C176" s="39">
        <f t="shared" si="69"/>
        <v>12</v>
      </c>
      <c r="D176" s="39">
        <f t="shared" si="69"/>
        <v>15</v>
      </c>
      <c r="E176" s="39">
        <f t="shared" si="69"/>
        <v>5</v>
      </c>
      <c r="F176" s="39">
        <f t="shared" si="69"/>
        <v>6</v>
      </c>
      <c r="G176" s="50">
        <f t="shared" si="49"/>
        <v>53</v>
      </c>
      <c r="H176" s="44">
        <f t="shared" ref="H176:L176" si="82">H70+H71+H72+H73</f>
        <v>0</v>
      </c>
      <c r="I176" s="39">
        <f t="shared" si="82"/>
        <v>0</v>
      </c>
      <c r="J176" s="39">
        <f t="shared" si="82"/>
        <v>0</v>
      </c>
      <c r="K176" s="45">
        <f t="shared" si="82"/>
        <v>0</v>
      </c>
      <c r="L176" s="144">
        <f t="shared" si="82"/>
        <v>9</v>
      </c>
      <c r="M176" s="50">
        <f t="shared" si="14"/>
        <v>0</v>
      </c>
      <c r="N176" s="40">
        <f t="shared" si="15"/>
        <v>53</v>
      </c>
      <c r="O176" s="43">
        <f t="shared" si="16"/>
        <v>157.5</v>
      </c>
    </row>
    <row r="177" spans="1:15" ht="22.95" customHeight="1" x14ac:dyDescent="0.3">
      <c r="A177" s="52" t="s">
        <v>243</v>
      </c>
      <c r="B177" s="44">
        <f t="shared" si="69"/>
        <v>17</v>
      </c>
      <c r="C177" s="39">
        <f t="shared" si="69"/>
        <v>12</v>
      </c>
      <c r="D177" s="39">
        <f t="shared" si="69"/>
        <v>13</v>
      </c>
      <c r="E177" s="39">
        <f t="shared" si="69"/>
        <v>4</v>
      </c>
      <c r="F177" s="39">
        <f t="shared" si="69"/>
        <v>5</v>
      </c>
      <c r="G177" s="50">
        <f t="shared" si="49"/>
        <v>51</v>
      </c>
      <c r="H177" s="44">
        <f t="shared" ref="H177:L177" si="83">H71+H72+H73+H74</f>
        <v>0</v>
      </c>
      <c r="I177" s="39">
        <f t="shared" si="83"/>
        <v>0</v>
      </c>
      <c r="J177" s="39">
        <f t="shared" si="83"/>
        <v>0</v>
      </c>
      <c r="K177" s="45">
        <f t="shared" si="83"/>
        <v>0</v>
      </c>
      <c r="L177" s="144">
        <f t="shared" si="83"/>
        <v>6</v>
      </c>
      <c r="M177" s="50">
        <f t="shared" si="14"/>
        <v>0</v>
      </c>
      <c r="N177" s="40">
        <f t="shared" si="15"/>
        <v>51</v>
      </c>
      <c r="O177" s="43">
        <f t="shared" si="16"/>
        <v>125</v>
      </c>
    </row>
    <row r="178" spans="1:15" ht="22.95" customHeight="1" x14ac:dyDescent="0.3">
      <c r="A178" s="52" t="s">
        <v>244</v>
      </c>
      <c r="B178" s="44">
        <f t="shared" si="69"/>
        <v>20</v>
      </c>
      <c r="C178" s="39">
        <f t="shared" si="69"/>
        <v>11</v>
      </c>
      <c r="D178" s="39">
        <f t="shared" si="69"/>
        <v>12</v>
      </c>
      <c r="E178" s="39">
        <f t="shared" si="69"/>
        <v>3</v>
      </c>
      <c r="F178" s="39">
        <f t="shared" si="69"/>
        <v>4</v>
      </c>
      <c r="G178" s="50">
        <f t="shared" ref="G178:G206" si="84">SUM(B178:F178)</f>
        <v>50</v>
      </c>
      <c r="H178" s="44">
        <f t="shared" ref="H178:L178" si="85">H72+H73+H74+H75</f>
        <v>0</v>
      </c>
      <c r="I178" s="39">
        <f t="shared" si="85"/>
        <v>0</v>
      </c>
      <c r="J178" s="39">
        <f t="shared" si="85"/>
        <v>0</v>
      </c>
      <c r="K178" s="45">
        <f t="shared" si="85"/>
        <v>0</v>
      </c>
      <c r="L178" s="144">
        <f t="shared" si="85"/>
        <v>3</v>
      </c>
      <c r="M178" s="50">
        <f t="shared" si="14"/>
        <v>0</v>
      </c>
      <c r="N178" s="40">
        <f t="shared" si="15"/>
        <v>50</v>
      </c>
      <c r="O178" s="43">
        <f t="shared" si="16"/>
        <v>94.5</v>
      </c>
    </row>
    <row r="179" spans="1:15" ht="22.95" customHeight="1" x14ac:dyDescent="0.3">
      <c r="A179" s="52" t="s">
        <v>245</v>
      </c>
      <c r="B179" s="44">
        <f t="shared" si="69"/>
        <v>18</v>
      </c>
      <c r="C179" s="39">
        <f t="shared" si="69"/>
        <v>10</v>
      </c>
      <c r="D179" s="39">
        <f t="shared" si="69"/>
        <v>8</v>
      </c>
      <c r="E179" s="39">
        <f t="shared" si="69"/>
        <v>1</v>
      </c>
      <c r="F179" s="39">
        <f t="shared" si="69"/>
        <v>3</v>
      </c>
      <c r="G179" s="50">
        <f t="shared" si="84"/>
        <v>40</v>
      </c>
      <c r="H179" s="44">
        <f t="shared" ref="H179:L179" si="86">H73+H74+H75+H76</f>
        <v>0</v>
      </c>
      <c r="I179" s="39">
        <f t="shared" si="86"/>
        <v>0</v>
      </c>
      <c r="J179" s="39">
        <f t="shared" si="86"/>
        <v>0</v>
      </c>
      <c r="K179" s="45">
        <f t="shared" si="86"/>
        <v>0</v>
      </c>
      <c r="L179" s="144">
        <f t="shared" si="86"/>
        <v>0</v>
      </c>
      <c r="M179" s="50">
        <f t="shared" ref="M179:M206" si="87">SUM(H179:K179)</f>
        <v>0</v>
      </c>
      <c r="N179" s="40">
        <f t="shared" ref="N179:N206" si="88">G179+M179</f>
        <v>40</v>
      </c>
      <c r="O179" s="43">
        <f t="shared" ref="O179:O206" si="89">B179*1+C179*0.5+D179*1.5+E179*3+F179*4.5+H179*0.5+I179*1.5+J179*3+K179*4+L179*8</f>
        <v>51.5</v>
      </c>
    </row>
    <row r="180" spans="1:15" ht="22.95" customHeight="1" x14ac:dyDescent="0.3">
      <c r="A180" s="52" t="s">
        <v>246</v>
      </c>
      <c r="B180" s="44">
        <f t="shared" ref="B180:F195" si="90">B74+B75+B76+B77</f>
        <v>17</v>
      </c>
      <c r="C180" s="39">
        <f t="shared" si="90"/>
        <v>7</v>
      </c>
      <c r="D180" s="39">
        <f t="shared" si="90"/>
        <v>5</v>
      </c>
      <c r="E180" s="39">
        <f t="shared" si="90"/>
        <v>1</v>
      </c>
      <c r="F180" s="39">
        <f t="shared" si="90"/>
        <v>3</v>
      </c>
      <c r="G180" s="50">
        <f t="shared" si="84"/>
        <v>33</v>
      </c>
      <c r="H180" s="44">
        <f t="shared" ref="H180:L180" si="91">H74+H75+H76+H77</f>
        <v>0</v>
      </c>
      <c r="I180" s="39">
        <f t="shared" si="91"/>
        <v>0</v>
      </c>
      <c r="J180" s="39">
        <f t="shared" si="91"/>
        <v>0</v>
      </c>
      <c r="K180" s="45">
        <f t="shared" si="91"/>
        <v>0</v>
      </c>
      <c r="L180" s="144">
        <f t="shared" si="91"/>
        <v>0</v>
      </c>
      <c r="M180" s="50">
        <f t="shared" si="87"/>
        <v>0</v>
      </c>
      <c r="N180" s="40">
        <f t="shared" si="88"/>
        <v>33</v>
      </c>
      <c r="O180" s="43">
        <f t="shared" si="89"/>
        <v>44.5</v>
      </c>
    </row>
    <row r="181" spans="1:15" ht="22.95" customHeight="1" x14ac:dyDescent="0.3">
      <c r="A181" s="52" t="s">
        <v>247</v>
      </c>
      <c r="B181" s="44">
        <f t="shared" si="90"/>
        <v>12</v>
      </c>
      <c r="C181" s="39">
        <f t="shared" si="90"/>
        <v>5</v>
      </c>
      <c r="D181" s="39">
        <f t="shared" si="90"/>
        <v>4</v>
      </c>
      <c r="E181" s="39">
        <f t="shared" si="90"/>
        <v>0</v>
      </c>
      <c r="F181" s="39">
        <f t="shared" si="90"/>
        <v>2</v>
      </c>
      <c r="G181" s="50">
        <f t="shared" si="84"/>
        <v>23</v>
      </c>
      <c r="H181" s="44">
        <f t="shared" ref="H181:L181" si="92">H75+H76+H77+H78</f>
        <v>0</v>
      </c>
      <c r="I181" s="39">
        <f t="shared" si="92"/>
        <v>0</v>
      </c>
      <c r="J181" s="39">
        <f t="shared" si="92"/>
        <v>0</v>
      </c>
      <c r="K181" s="45">
        <f t="shared" si="92"/>
        <v>0</v>
      </c>
      <c r="L181" s="144">
        <f t="shared" si="92"/>
        <v>0</v>
      </c>
      <c r="M181" s="50">
        <f t="shared" si="87"/>
        <v>0</v>
      </c>
      <c r="N181" s="40">
        <f t="shared" si="88"/>
        <v>23</v>
      </c>
      <c r="O181" s="43">
        <f t="shared" si="89"/>
        <v>29.5</v>
      </c>
    </row>
    <row r="182" spans="1:15" ht="22.95" customHeight="1" x14ac:dyDescent="0.3">
      <c r="A182" s="52" t="s">
        <v>248</v>
      </c>
      <c r="B182" s="44">
        <f t="shared" si="90"/>
        <v>7</v>
      </c>
      <c r="C182" s="39">
        <f t="shared" si="90"/>
        <v>5</v>
      </c>
      <c r="D182" s="39">
        <f t="shared" si="90"/>
        <v>3</v>
      </c>
      <c r="E182" s="39">
        <f t="shared" si="90"/>
        <v>0</v>
      </c>
      <c r="F182" s="39">
        <f t="shared" si="90"/>
        <v>2</v>
      </c>
      <c r="G182" s="50">
        <f t="shared" si="84"/>
        <v>17</v>
      </c>
      <c r="H182" s="44">
        <f t="shared" ref="H182:L182" si="93">H76+H77+H78+H79</f>
        <v>0</v>
      </c>
      <c r="I182" s="39">
        <f t="shared" si="93"/>
        <v>0</v>
      </c>
      <c r="J182" s="39">
        <f t="shared" si="93"/>
        <v>0</v>
      </c>
      <c r="K182" s="45">
        <f t="shared" si="93"/>
        <v>0</v>
      </c>
      <c r="L182" s="144">
        <f t="shared" si="93"/>
        <v>0</v>
      </c>
      <c r="M182" s="50">
        <f t="shared" si="87"/>
        <v>0</v>
      </c>
      <c r="N182" s="40">
        <f t="shared" si="88"/>
        <v>17</v>
      </c>
      <c r="O182" s="43">
        <f t="shared" si="89"/>
        <v>23</v>
      </c>
    </row>
    <row r="183" spans="1:15" ht="22.95" customHeight="1" x14ac:dyDescent="0.3">
      <c r="A183" s="52" t="s">
        <v>249</v>
      </c>
      <c r="B183" s="44">
        <f t="shared" si="90"/>
        <v>6</v>
      </c>
      <c r="C183" s="39">
        <f t="shared" si="90"/>
        <v>3</v>
      </c>
      <c r="D183" s="39">
        <f t="shared" si="90"/>
        <v>1</v>
      </c>
      <c r="E183" s="39">
        <f t="shared" si="90"/>
        <v>0</v>
      </c>
      <c r="F183" s="39">
        <f t="shared" si="90"/>
        <v>1</v>
      </c>
      <c r="G183" s="50">
        <f t="shared" si="84"/>
        <v>11</v>
      </c>
      <c r="H183" s="44">
        <f t="shared" ref="H183:L183" si="94">H77+H78+H79+H80</f>
        <v>0</v>
      </c>
      <c r="I183" s="39">
        <f t="shared" si="94"/>
        <v>0</v>
      </c>
      <c r="J183" s="39">
        <f t="shared" si="94"/>
        <v>0</v>
      </c>
      <c r="K183" s="45">
        <f t="shared" si="94"/>
        <v>0</v>
      </c>
      <c r="L183" s="144">
        <f t="shared" si="94"/>
        <v>0</v>
      </c>
      <c r="M183" s="50">
        <f t="shared" si="87"/>
        <v>0</v>
      </c>
      <c r="N183" s="40">
        <f t="shared" si="88"/>
        <v>11</v>
      </c>
      <c r="O183" s="43">
        <f t="shared" si="89"/>
        <v>13.5</v>
      </c>
    </row>
    <row r="184" spans="1:15" ht="22.95" customHeight="1" x14ac:dyDescent="0.3">
      <c r="A184" s="52" t="s">
        <v>250</v>
      </c>
      <c r="B184" s="44">
        <f t="shared" si="90"/>
        <v>3</v>
      </c>
      <c r="C184" s="39">
        <f t="shared" si="90"/>
        <v>2</v>
      </c>
      <c r="D184" s="39">
        <f t="shared" si="90"/>
        <v>1</v>
      </c>
      <c r="E184" s="39">
        <f t="shared" si="90"/>
        <v>0</v>
      </c>
      <c r="F184" s="39">
        <f t="shared" si="90"/>
        <v>1</v>
      </c>
      <c r="G184" s="50">
        <f t="shared" si="84"/>
        <v>7</v>
      </c>
      <c r="H184" s="44">
        <f t="shared" ref="H184:L184" si="95">H78+H79+H80+H81</f>
        <v>0</v>
      </c>
      <c r="I184" s="39">
        <f t="shared" si="95"/>
        <v>0</v>
      </c>
      <c r="J184" s="39">
        <f t="shared" si="95"/>
        <v>0</v>
      </c>
      <c r="K184" s="45">
        <f t="shared" si="95"/>
        <v>0</v>
      </c>
      <c r="L184" s="144">
        <f t="shared" si="95"/>
        <v>0</v>
      </c>
      <c r="M184" s="50">
        <f t="shared" si="87"/>
        <v>0</v>
      </c>
      <c r="N184" s="40">
        <f t="shared" si="88"/>
        <v>7</v>
      </c>
      <c r="O184" s="43">
        <f t="shared" si="89"/>
        <v>10</v>
      </c>
    </row>
    <row r="185" spans="1:15" ht="22.95" customHeight="1" x14ac:dyDescent="0.3">
      <c r="A185" s="52" t="s">
        <v>251</v>
      </c>
      <c r="B185" s="44">
        <f t="shared" si="90"/>
        <v>1</v>
      </c>
      <c r="C185" s="39">
        <f t="shared" si="90"/>
        <v>2</v>
      </c>
      <c r="D185" s="39">
        <f t="shared" si="90"/>
        <v>1</v>
      </c>
      <c r="E185" s="39">
        <f t="shared" si="90"/>
        <v>1</v>
      </c>
      <c r="F185" s="39">
        <f t="shared" si="90"/>
        <v>2</v>
      </c>
      <c r="G185" s="50">
        <f t="shared" si="84"/>
        <v>7</v>
      </c>
      <c r="H185" s="44">
        <f t="shared" ref="H185:L185" si="96">H79+H80+H81+H82</f>
        <v>0</v>
      </c>
      <c r="I185" s="39">
        <f t="shared" si="96"/>
        <v>0</v>
      </c>
      <c r="J185" s="39">
        <f t="shared" si="96"/>
        <v>0</v>
      </c>
      <c r="K185" s="45">
        <f t="shared" si="96"/>
        <v>0</v>
      </c>
      <c r="L185" s="144">
        <f t="shared" si="96"/>
        <v>0</v>
      </c>
      <c r="M185" s="50">
        <f t="shared" si="87"/>
        <v>0</v>
      </c>
      <c r="N185" s="40">
        <f t="shared" si="88"/>
        <v>7</v>
      </c>
      <c r="O185" s="43">
        <f t="shared" si="89"/>
        <v>15.5</v>
      </c>
    </row>
    <row r="186" spans="1:15" ht="22.95" customHeight="1" x14ac:dyDescent="0.3">
      <c r="A186" s="52" t="s">
        <v>252</v>
      </c>
      <c r="B186" s="44">
        <f t="shared" si="90"/>
        <v>3</v>
      </c>
      <c r="C186" s="39">
        <f t="shared" si="90"/>
        <v>0</v>
      </c>
      <c r="D186" s="39">
        <f t="shared" si="90"/>
        <v>3</v>
      </c>
      <c r="E186" s="39">
        <f t="shared" si="90"/>
        <v>3</v>
      </c>
      <c r="F186" s="39">
        <f t="shared" si="90"/>
        <v>1</v>
      </c>
      <c r="G186" s="50">
        <f t="shared" si="84"/>
        <v>10</v>
      </c>
      <c r="H186" s="44">
        <f t="shared" ref="H186:L186" si="97">H80+H81+H82+H83</f>
        <v>0</v>
      </c>
      <c r="I186" s="39">
        <f t="shared" si="97"/>
        <v>0</v>
      </c>
      <c r="J186" s="39">
        <f t="shared" si="97"/>
        <v>0</v>
      </c>
      <c r="K186" s="45">
        <f t="shared" si="97"/>
        <v>0</v>
      </c>
      <c r="L186" s="144">
        <f t="shared" si="97"/>
        <v>0</v>
      </c>
      <c r="M186" s="50">
        <f t="shared" si="87"/>
        <v>0</v>
      </c>
      <c r="N186" s="40">
        <f t="shared" si="88"/>
        <v>10</v>
      </c>
      <c r="O186" s="43">
        <f t="shared" si="89"/>
        <v>21</v>
      </c>
    </row>
    <row r="187" spans="1:15" ht="22.95" customHeight="1" x14ac:dyDescent="0.3">
      <c r="A187" s="52" t="s">
        <v>253</v>
      </c>
      <c r="B187" s="44">
        <f t="shared" si="90"/>
        <v>6</v>
      </c>
      <c r="C187" s="39">
        <f t="shared" si="90"/>
        <v>0</v>
      </c>
      <c r="D187" s="39">
        <f t="shared" si="90"/>
        <v>4</v>
      </c>
      <c r="E187" s="39">
        <f t="shared" si="90"/>
        <v>3</v>
      </c>
      <c r="F187" s="39">
        <f t="shared" si="90"/>
        <v>1</v>
      </c>
      <c r="G187" s="50">
        <f t="shared" si="84"/>
        <v>14</v>
      </c>
      <c r="H187" s="44">
        <f t="shared" ref="H187:L187" si="98">H81+H82+H83+H84</f>
        <v>0</v>
      </c>
      <c r="I187" s="39">
        <f t="shared" si="98"/>
        <v>0</v>
      </c>
      <c r="J187" s="39">
        <f t="shared" si="98"/>
        <v>0</v>
      </c>
      <c r="K187" s="45">
        <f t="shared" si="98"/>
        <v>0</v>
      </c>
      <c r="L187" s="144">
        <f t="shared" si="98"/>
        <v>0</v>
      </c>
      <c r="M187" s="50">
        <f t="shared" si="87"/>
        <v>0</v>
      </c>
      <c r="N187" s="40">
        <f t="shared" si="88"/>
        <v>14</v>
      </c>
      <c r="O187" s="43">
        <f t="shared" si="89"/>
        <v>25.5</v>
      </c>
    </row>
    <row r="188" spans="1:15" ht="22.95" customHeight="1" x14ac:dyDescent="0.3">
      <c r="A188" s="52" t="s">
        <v>254</v>
      </c>
      <c r="B188" s="44">
        <f t="shared" si="90"/>
        <v>8</v>
      </c>
      <c r="C188" s="39">
        <f t="shared" si="90"/>
        <v>1</v>
      </c>
      <c r="D188" s="39">
        <f t="shared" si="90"/>
        <v>4</v>
      </c>
      <c r="E188" s="39">
        <f t="shared" si="90"/>
        <v>3</v>
      </c>
      <c r="F188" s="39">
        <f t="shared" si="90"/>
        <v>3</v>
      </c>
      <c r="G188" s="50">
        <f t="shared" si="84"/>
        <v>19</v>
      </c>
      <c r="H188" s="44">
        <f t="shared" ref="H188:L188" si="99">H82+H83+H84+H85</f>
        <v>0</v>
      </c>
      <c r="I188" s="39">
        <f t="shared" si="99"/>
        <v>0</v>
      </c>
      <c r="J188" s="39">
        <f t="shared" si="99"/>
        <v>0</v>
      </c>
      <c r="K188" s="45">
        <f t="shared" si="99"/>
        <v>0</v>
      </c>
      <c r="L188" s="144">
        <f t="shared" si="99"/>
        <v>0</v>
      </c>
      <c r="M188" s="50">
        <f t="shared" si="87"/>
        <v>0</v>
      </c>
      <c r="N188" s="40">
        <f t="shared" si="88"/>
        <v>19</v>
      </c>
      <c r="O188" s="43">
        <f t="shared" si="89"/>
        <v>37</v>
      </c>
    </row>
    <row r="189" spans="1:15" ht="22.95" customHeight="1" x14ac:dyDescent="0.3">
      <c r="A189" s="52" t="s">
        <v>255</v>
      </c>
      <c r="B189" s="44">
        <f t="shared" si="90"/>
        <v>9</v>
      </c>
      <c r="C189" s="39">
        <f t="shared" si="90"/>
        <v>3</v>
      </c>
      <c r="D189" s="39">
        <f t="shared" si="90"/>
        <v>4</v>
      </c>
      <c r="E189" s="39">
        <f t="shared" si="90"/>
        <v>2</v>
      </c>
      <c r="F189" s="39">
        <f t="shared" si="90"/>
        <v>6</v>
      </c>
      <c r="G189" s="50">
        <f t="shared" si="84"/>
        <v>24</v>
      </c>
      <c r="H189" s="44">
        <f t="shared" ref="H189:L189" si="100">H83+H84+H85+H86</f>
        <v>0</v>
      </c>
      <c r="I189" s="39">
        <f t="shared" si="100"/>
        <v>0</v>
      </c>
      <c r="J189" s="39">
        <f t="shared" si="100"/>
        <v>0</v>
      </c>
      <c r="K189" s="45">
        <f t="shared" si="100"/>
        <v>0</v>
      </c>
      <c r="L189" s="144">
        <f t="shared" si="100"/>
        <v>0</v>
      </c>
      <c r="M189" s="50">
        <f t="shared" si="87"/>
        <v>0</v>
      </c>
      <c r="N189" s="40">
        <f t="shared" si="88"/>
        <v>24</v>
      </c>
      <c r="O189" s="43">
        <f t="shared" si="89"/>
        <v>49.5</v>
      </c>
    </row>
    <row r="190" spans="1:15" ht="22.95" customHeight="1" x14ac:dyDescent="0.3">
      <c r="A190" s="52" t="s">
        <v>256</v>
      </c>
      <c r="B190" s="44">
        <f t="shared" si="90"/>
        <v>9</v>
      </c>
      <c r="C190" s="39">
        <f t="shared" si="90"/>
        <v>3</v>
      </c>
      <c r="D190" s="39">
        <f t="shared" si="90"/>
        <v>2</v>
      </c>
      <c r="E190" s="39">
        <f t="shared" si="90"/>
        <v>1</v>
      </c>
      <c r="F190" s="39">
        <f t="shared" si="90"/>
        <v>8</v>
      </c>
      <c r="G190" s="50">
        <f t="shared" si="84"/>
        <v>23</v>
      </c>
      <c r="H190" s="44">
        <f t="shared" ref="H190:L190" si="101">H84+H85+H86+H87</f>
        <v>0</v>
      </c>
      <c r="I190" s="39">
        <f t="shared" si="101"/>
        <v>0</v>
      </c>
      <c r="J190" s="39">
        <f t="shared" si="101"/>
        <v>0</v>
      </c>
      <c r="K190" s="45">
        <f t="shared" si="101"/>
        <v>0</v>
      </c>
      <c r="L190" s="144">
        <f t="shared" si="101"/>
        <v>0</v>
      </c>
      <c r="M190" s="50">
        <f t="shared" si="87"/>
        <v>0</v>
      </c>
      <c r="N190" s="40">
        <f t="shared" si="88"/>
        <v>23</v>
      </c>
      <c r="O190" s="43">
        <f t="shared" si="89"/>
        <v>52.5</v>
      </c>
    </row>
    <row r="191" spans="1:15" ht="22.95" customHeight="1" x14ac:dyDescent="0.3">
      <c r="A191" s="52" t="s">
        <v>257</v>
      </c>
      <c r="B191" s="44">
        <f t="shared" si="90"/>
        <v>8</v>
      </c>
      <c r="C191" s="39">
        <f t="shared" si="90"/>
        <v>3</v>
      </c>
      <c r="D191" s="39">
        <f t="shared" si="90"/>
        <v>1</v>
      </c>
      <c r="E191" s="39">
        <f t="shared" si="90"/>
        <v>1</v>
      </c>
      <c r="F191" s="39">
        <f t="shared" si="90"/>
        <v>10</v>
      </c>
      <c r="G191" s="50">
        <f t="shared" si="84"/>
        <v>23</v>
      </c>
      <c r="H191" s="44">
        <f t="shared" ref="H191:L191" si="102">H85+H86+H87+H88</f>
        <v>0</v>
      </c>
      <c r="I191" s="39">
        <f t="shared" si="102"/>
        <v>0</v>
      </c>
      <c r="J191" s="39">
        <f t="shared" si="102"/>
        <v>0</v>
      </c>
      <c r="K191" s="45">
        <f t="shared" si="102"/>
        <v>0</v>
      </c>
      <c r="L191" s="144">
        <f t="shared" si="102"/>
        <v>0</v>
      </c>
      <c r="M191" s="50">
        <f t="shared" si="87"/>
        <v>0</v>
      </c>
      <c r="N191" s="40">
        <f t="shared" si="88"/>
        <v>23</v>
      </c>
      <c r="O191" s="43">
        <f t="shared" si="89"/>
        <v>59</v>
      </c>
    </row>
    <row r="192" spans="1:15" ht="22.95" customHeight="1" x14ac:dyDescent="0.3">
      <c r="A192" s="52" t="s">
        <v>258</v>
      </c>
      <c r="B192" s="44">
        <f t="shared" si="90"/>
        <v>9</v>
      </c>
      <c r="C192" s="39">
        <f t="shared" si="90"/>
        <v>4</v>
      </c>
      <c r="D192" s="39">
        <f t="shared" si="90"/>
        <v>2</v>
      </c>
      <c r="E192" s="39">
        <f t="shared" si="90"/>
        <v>3</v>
      </c>
      <c r="F192" s="39">
        <f t="shared" si="90"/>
        <v>11</v>
      </c>
      <c r="G192" s="50">
        <f t="shared" si="84"/>
        <v>29</v>
      </c>
      <c r="H192" s="44">
        <f t="shared" ref="H192:L192" si="103">H86+H87+H88+H89</f>
        <v>0</v>
      </c>
      <c r="I192" s="39">
        <f t="shared" si="103"/>
        <v>0</v>
      </c>
      <c r="J192" s="39">
        <f t="shared" si="103"/>
        <v>0</v>
      </c>
      <c r="K192" s="45">
        <f t="shared" si="103"/>
        <v>0</v>
      </c>
      <c r="L192" s="144">
        <f t="shared" si="103"/>
        <v>0</v>
      </c>
      <c r="M192" s="50">
        <f t="shared" si="87"/>
        <v>0</v>
      </c>
      <c r="N192" s="40">
        <f t="shared" si="88"/>
        <v>29</v>
      </c>
      <c r="O192" s="43">
        <f t="shared" si="89"/>
        <v>72.5</v>
      </c>
    </row>
    <row r="193" spans="1:15" ht="22.95" customHeight="1" x14ac:dyDescent="0.3">
      <c r="A193" s="52" t="s">
        <v>259</v>
      </c>
      <c r="B193" s="44">
        <f t="shared" si="90"/>
        <v>12</v>
      </c>
      <c r="C193" s="39">
        <f t="shared" si="90"/>
        <v>3</v>
      </c>
      <c r="D193" s="39">
        <f t="shared" si="90"/>
        <v>7</v>
      </c>
      <c r="E193" s="39">
        <f t="shared" si="90"/>
        <v>3</v>
      </c>
      <c r="F193" s="39">
        <f t="shared" si="90"/>
        <v>9</v>
      </c>
      <c r="G193" s="50">
        <f t="shared" si="84"/>
        <v>34</v>
      </c>
      <c r="H193" s="44">
        <f t="shared" ref="H193:L193" si="104">H87+H88+H89+H90</f>
        <v>0</v>
      </c>
      <c r="I193" s="39">
        <f t="shared" si="104"/>
        <v>0</v>
      </c>
      <c r="J193" s="39">
        <f t="shared" si="104"/>
        <v>0</v>
      </c>
      <c r="K193" s="45">
        <f t="shared" si="104"/>
        <v>0</v>
      </c>
      <c r="L193" s="144">
        <f t="shared" si="104"/>
        <v>0</v>
      </c>
      <c r="M193" s="50">
        <f t="shared" si="87"/>
        <v>0</v>
      </c>
      <c r="N193" s="40">
        <f t="shared" si="88"/>
        <v>34</v>
      </c>
      <c r="O193" s="43">
        <f t="shared" si="89"/>
        <v>73.5</v>
      </c>
    </row>
    <row r="194" spans="1:15" ht="22.95" customHeight="1" x14ac:dyDescent="0.3">
      <c r="A194" s="52" t="s">
        <v>260</v>
      </c>
      <c r="B194" s="44">
        <f t="shared" si="90"/>
        <v>16</v>
      </c>
      <c r="C194" s="39">
        <f t="shared" si="90"/>
        <v>3</v>
      </c>
      <c r="D194" s="39">
        <f t="shared" si="90"/>
        <v>8</v>
      </c>
      <c r="E194" s="39">
        <f t="shared" si="90"/>
        <v>5</v>
      </c>
      <c r="F194" s="39">
        <f t="shared" si="90"/>
        <v>9</v>
      </c>
      <c r="G194" s="50">
        <f t="shared" si="84"/>
        <v>41</v>
      </c>
      <c r="H194" s="44">
        <f t="shared" ref="H194:L194" si="105">H88+H89+H90+H91</f>
        <v>0</v>
      </c>
      <c r="I194" s="39">
        <f t="shared" si="105"/>
        <v>0</v>
      </c>
      <c r="J194" s="39">
        <f t="shared" si="105"/>
        <v>0</v>
      </c>
      <c r="K194" s="45">
        <f t="shared" si="105"/>
        <v>0</v>
      </c>
      <c r="L194" s="144">
        <f t="shared" si="105"/>
        <v>0</v>
      </c>
      <c r="M194" s="50">
        <f t="shared" si="87"/>
        <v>0</v>
      </c>
      <c r="N194" s="40">
        <f t="shared" si="88"/>
        <v>41</v>
      </c>
      <c r="O194" s="43">
        <f t="shared" si="89"/>
        <v>85</v>
      </c>
    </row>
    <row r="195" spans="1:15" ht="22.95" customHeight="1" x14ac:dyDescent="0.3">
      <c r="A195" s="52" t="s">
        <v>261</v>
      </c>
      <c r="B195" s="44">
        <f t="shared" si="90"/>
        <v>19</v>
      </c>
      <c r="C195" s="39">
        <f t="shared" si="90"/>
        <v>6</v>
      </c>
      <c r="D195" s="39">
        <f t="shared" si="90"/>
        <v>10</v>
      </c>
      <c r="E195" s="39">
        <f t="shared" si="90"/>
        <v>6</v>
      </c>
      <c r="F195" s="39">
        <f t="shared" si="90"/>
        <v>10</v>
      </c>
      <c r="G195" s="50">
        <f t="shared" si="84"/>
        <v>51</v>
      </c>
      <c r="H195" s="44">
        <f t="shared" ref="H195:L195" si="106">H89+H90+H91+H92</f>
        <v>0</v>
      </c>
      <c r="I195" s="39">
        <f t="shared" si="106"/>
        <v>0</v>
      </c>
      <c r="J195" s="39">
        <f t="shared" si="106"/>
        <v>0</v>
      </c>
      <c r="K195" s="45">
        <f t="shared" si="106"/>
        <v>0</v>
      </c>
      <c r="L195" s="144">
        <f t="shared" si="106"/>
        <v>0</v>
      </c>
      <c r="M195" s="50">
        <f t="shared" si="87"/>
        <v>0</v>
      </c>
      <c r="N195" s="40">
        <f t="shared" si="88"/>
        <v>51</v>
      </c>
      <c r="O195" s="43">
        <f t="shared" si="89"/>
        <v>100</v>
      </c>
    </row>
    <row r="196" spans="1:15" ht="22.95" customHeight="1" x14ac:dyDescent="0.3">
      <c r="A196" s="52" t="s">
        <v>270</v>
      </c>
      <c r="B196" s="44">
        <f t="shared" ref="B196:F206" si="107">B90+B91+B92+B93</f>
        <v>23</v>
      </c>
      <c r="C196" s="39">
        <f t="shared" si="107"/>
        <v>7</v>
      </c>
      <c r="D196" s="39">
        <f t="shared" si="107"/>
        <v>10</v>
      </c>
      <c r="E196" s="39">
        <f t="shared" si="107"/>
        <v>4</v>
      </c>
      <c r="F196" s="39">
        <f t="shared" si="107"/>
        <v>10</v>
      </c>
      <c r="G196" s="50">
        <f t="shared" si="84"/>
        <v>54</v>
      </c>
      <c r="H196" s="44">
        <f t="shared" ref="H196:L196" si="108">H90+H91+H92+H93</f>
        <v>0</v>
      </c>
      <c r="I196" s="39">
        <f t="shared" si="108"/>
        <v>0</v>
      </c>
      <c r="J196" s="39">
        <f t="shared" si="108"/>
        <v>0</v>
      </c>
      <c r="K196" s="45">
        <f t="shared" si="108"/>
        <v>0</v>
      </c>
      <c r="L196" s="144">
        <f t="shared" si="108"/>
        <v>0</v>
      </c>
      <c r="M196" s="50">
        <f t="shared" si="87"/>
        <v>0</v>
      </c>
      <c r="N196" s="40">
        <f t="shared" si="88"/>
        <v>54</v>
      </c>
      <c r="O196" s="43">
        <f t="shared" si="89"/>
        <v>98.5</v>
      </c>
    </row>
    <row r="197" spans="1:15" ht="22.95" customHeight="1" x14ac:dyDescent="0.3">
      <c r="A197" s="52" t="s">
        <v>271</v>
      </c>
      <c r="B197" s="44">
        <f t="shared" si="107"/>
        <v>29</v>
      </c>
      <c r="C197" s="39">
        <f t="shared" si="107"/>
        <v>12</v>
      </c>
      <c r="D197" s="39">
        <f t="shared" si="107"/>
        <v>5</v>
      </c>
      <c r="E197" s="39">
        <f t="shared" si="107"/>
        <v>4</v>
      </c>
      <c r="F197" s="39">
        <f t="shared" si="107"/>
        <v>13</v>
      </c>
      <c r="G197" s="50">
        <f t="shared" si="84"/>
        <v>63</v>
      </c>
      <c r="H197" s="44">
        <f t="shared" ref="H197:L197" si="109">H91+H92+H93+H94</f>
        <v>0</v>
      </c>
      <c r="I197" s="39">
        <f t="shared" si="109"/>
        <v>0</v>
      </c>
      <c r="J197" s="39">
        <f t="shared" si="109"/>
        <v>0</v>
      </c>
      <c r="K197" s="45">
        <f t="shared" si="109"/>
        <v>0</v>
      </c>
      <c r="L197" s="144">
        <f t="shared" si="109"/>
        <v>0</v>
      </c>
      <c r="M197" s="50">
        <f t="shared" si="87"/>
        <v>0</v>
      </c>
      <c r="N197" s="40">
        <f t="shared" si="88"/>
        <v>63</v>
      </c>
      <c r="O197" s="43">
        <f t="shared" si="89"/>
        <v>113</v>
      </c>
    </row>
    <row r="198" spans="1:15" ht="22.95" customHeight="1" x14ac:dyDescent="0.3">
      <c r="A198" s="52" t="s">
        <v>279</v>
      </c>
      <c r="B198" s="44">
        <f t="shared" si="107"/>
        <v>29</v>
      </c>
      <c r="C198" s="39">
        <f t="shared" si="107"/>
        <v>22</v>
      </c>
      <c r="D198" s="39">
        <f t="shared" si="107"/>
        <v>5</v>
      </c>
      <c r="E198" s="39">
        <f t="shared" si="107"/>
        <v>3</v>
      </c>
      <c r="F198" s="39">
        <f t="shared" si="107"/>
        <v>12</v>
      </c>
      <c r="G198" s="50">
        <f t="shared" si="84"/>
        <v>71</v>
      </c>
      <c r="H198" s="44">
        <f t="shared" ref="H198:L198" si="110">H92+H93+H94+H95</f>
        <v>0</v>
      </c>
      <c r="I198" s="39">
        <f t="shared" si="110"/>
        <v>0</v>
      </c>
      <c r="J198" s="39">
        <f t="shared" si="110"/>
        <v>0</v>
      </c>
      <c r="K198" s="45">
        <f t="shared" si="110"/>
        <v>0</v>
      </c>
      <c r="L198" s="144">
        <f t="shared" si="110"/>
        <v>0</v>
      </c>
      <c r="M198" s="50">
        <f t="shared" si="87"/>
        <v>0</v>
      </c>
      <c r="N198" s="40">
        <f t="shared" si="88"/>
        <v>71</v>
      </c>
      <c r="O198" s="43">
        <f t="shared" si="89"/>
        <v>110.5</v>
      </c>
    </row>
    <row r="199" spans="1:15" ht="22.95" customHeight="1" x14ac:dyDescent="0.3">
      <c r="A199" s="52" t="s">
        <v>62</v>
      </c>
      <c r="B199" s="44">
        <f t="shared" si="107"/>
        <v>44</v>
      </c>
      <c r="C199" s="39">
        <f t="shared" si="107"/>
        <v>30</v>
      </c>
      <c r="D199" s="39">
        <f t="shared" si="107"/>
        <v>4</v>
      </c>
      <c r="E199" s="39">
        <f t="shared" si="107"/>
        <v>5</v>
      </c>
      <c r="F199" s="39">
        <f t="shared" si="107"/>
        <v>10</v>
      </c>
      <c r="G199" s="50">
        <f t="shared" si="84"/>
        <v>93</v>
      </c>
      <c r="H199" s="44">
        <f t="shared" ref="H199:L199" si="111">H93+H94+H95+H96</f>
        <v>0</v>
      </c>
      <c r="I199" s="39">
        <f t="shared" si="111"/>
        <v>0</v>
      </c>
      <c r="J199" s="39">
        <f t="shared" si="111"/>
        <v>0</v>
      </c>
      <c r="K199" s="45">
        <f t="shared" si="111"/>
        <v>0</v>
      </c>
      <c r="L199" s="144">
        <f t="shared" si="111"/>
        <v>1</v>
      </c>
      <c r="M199" s="50">
        <f t="shared" si="87"/>
        <v>0</v>
      </c>
      <c r="N199" s="40">
        <f t="shared" si="88"/>
        <v>93</v>
      </c>
      <c r="O199" s="43">
        <f t="shared" si="89"/>
        <v>133</v>
      </c>
    </row>
    <row r="200" spans="1:15" ht="22.95" customHeight="1" x14ac:dyDescent="0.3">
      <c r="A200" s="52" t="s">
        <v>63</v>
      </c>
      <c r="B200" s="44">
        <f t="shared" si="107"/>
        <v>58</v>
      </c>
      <c r="C200" s="39">
        <f t="shared" si="107"/>
        <v>40</v>
      </c>
      <c r="D200" s="39">
        <f t="shared" si="107"/>
        <v>5</v>
      </c>
      <c r="E200" s="39">
        <f t="shared" si="107"/>
        <v>9</v>
      </c>
      <c r="F200" s="39">
        <f t="shared" si="107"/>
        <v>9</v>
      </c>
      <c r="G200" s="50">
        <f t="shared" si="84"/>
        <v>121</v>
      </c>
      <c r="H200" s="44">
        <f t="shared" ref="H200:L200" si="112">H94+H95+H96+H97</f>
        <v>0</v>
      </c>
      <c r="I200" s="39">
        <f t="shared" si="112"/>
        <v>0</v>
      </c>
      <c r="J200" s="39">
        <f t="shared" si="112"/>
        <v>0</v>
      </c>
      <c r="K200" s="45">
        <f t="shared" si="112"/>
        <v>0</v>
      </c>
      <c r="L200" s="144">
        <f t="shared" si="112"/>
        <v>2</v>
      </c>
      <c r="M200" s="50">
        <f t="shared" si="87"/>
        <v>0</v>
      </c>
      <c r="N200" s="40">
        <f t="shared" si="88"/>
        <v>121</v>
      </c>
      <c r="O200" s="43">
        <f t="shared" si="89"/>
        <v>169</v>
      </c>
    </row>
    <row r="201" spans="1:15" ht="22.95" customHeight="1" x14ac:dyDescent="0.3">
      <c r="A201" s="52" t="s">
        <v>64</v>
      </c>
      <c r="B201" s="44">
        <f t="shared" si="107"/>
        <v>89</v>
      </c>
      <c r="C201" s="39">
        <f t="shared" si="107"/>
        <v>63</v>
      </c>
      <c r="D201" s="39">
        <f t="shared" si="107"/>
        <v>6</v>
      </c>
      <c r="E201" s="39">
        <f t="shared" si="107"/>
        <v>12</v>
      </c>
      <c r="F201" s="39">
        <f t="shared" si="107"/>
        <v>7</v>
      </c>
      <c r="G201" s="50">
        <f t="shared" si="84"/>
        <v>177</v>
      </c>
      <c r="H201" s="44">
        <f t="shared" ref="H201:L201" si="113">H95+H96+H97+H98</f>
        <v>0</v>
      </c>
      <c r="I201" s="39">
        <f t="shared" si="113"/>
        <v>0</v>
      </c>
      <c r="J201" s="39">
        <f t="shared" si="113"/>
        <v>0</v>
      </c>
      <c r="K201" s="45">
        <f t="shared" si="113"/>
        <v>0</v>
      </c>
      <c r="L201" s="144">
        <f t="shared" si="113"/>
        <v>4</v>
      </c>
      <c r="M201" s="50">
        <f t="shared" si="87"/>
        <v>0</v>
      </c>
      <c r="N201" s="40">
        <f t="shared" si="88"/>
        <v>177</v>
      </c>
      <c r="O201" s="43">
        <f t="shared" si="89"/>
        <v>229</v>
      </c>
    </row>
    <row r="202" spans="1:15" ht="22.95" customHeight="1" x14ac:dyDescent="0.3">
      <c r="A202" s="52" t="s">
        <v>65</v>
      </c>
      <c r="B202" s="44">
        <f t="shared" si="107"/>
        <v>104</v>
      </c>
      <c r="C202" s="39">
        <f t="shared" si="107"/>
        <v>66</v>
      </c>
      <c r="D202" s="39">
        <f t="shared" si="107"/>
        <v>7</v>
      </c>
      <c r="E202" s="39">
        <f t="shared" si="107"/>
        <v>15</v>
      </c>
      <c r="F202" s="39">
        <f t="shared" si="107"/>
        <v>7</v>
      </c>
      <c r="G202" s="50">
        <f t="shared" si="84"/>
        <v>199</v>
      </c>
      <c r="H202" s="44">
        <f t="shared" ref="H202:L202" si="114">H96+H97+H98+H99</f>
        <v>0</v>
      </c>
      <c r="I202" s="39">
        <f t="shared" si="114"/>
        <v>0</v>
      </c>
      <c r="J202" s="39">
        <f t="shared" si="114"/>
        <v>0</v>
      </c>
      <c r="K202" s="45">
        <f t="shared" si="114"/>
        <v>0</v>
      </c>
      <c r="L202" s="144">
        <f t="shared" si="114"/>
        <v>6</v>
      </c>
      <c r="M202" s="50">
        <f t="shared" si="87"/>
        <v>0</v>
      </c>
      <c r="N202" s="40">
        <f t="shared" si="88"/>
        <v>199</v>
      </c>
      <c r="O202" s="43">
        <f t="shared" si="89"/>
        <v>272</v>
      </c>
    </row>
    <row r="203" spans="1:15" ht="22.95" customHeight="1" x14ac:dyDescent="0.3">
      <c r="A203" s="52" t="s">
        <v>66</v>
      </c>
      <c r="B203" s="44">
        <f t="shared" si="107"/>
        <v>98</v>
      </c>
      <c r="C203" s="39">
        <f t="shared" si="107"/>
        <v>76</v>
      </c>
      <c r="D203" s="39">
        <f t="shared" si="107"/>
        <v>7</v>
      </c>
      <c r="E203" s="39">
        <f t="shared" si="107"/>
        <v>12</v>
      </c>
      <c r="F203" s="39">
        <f t="shared" si="107"/>
        <v>8</v>
      </c>
      <c r="G203" s="50">
        <f t="shared" si="84"/>
        <v>201</v>
      </c>
      <c r="H203" s="44">
        <f t="shared" ref="H203:L203" si="115">H97+H98+H99+H100</f>
        <v>1</v>
      </c>
      <c r="I203" s="39">
        <f t="shared" si="115"/>
        <v>0</v>
      </c>
      <c r="J203" s="39">
        <f t="shared" si="115"/>
        <v>0</v>
      </c>
      <c r="K203" s="45">
        <f t="shared" si="115"/>
        <v>0</v>
      </c>
      <c r="L203" s="144">
        <f t="shared" si="115"/>
        <v>8</v>
      </c>
      <c r="M203" s="50">
        <f t="shared" si="87"/>
        <v>1</v>
      </c>
      <c r="N203" s="40">
        <f t="shared" si="88"/>
        <v>202</v>
      </c>
      <c r="O203" s="43">
        <f t="shared" si="89"/>
        <v>283</v>
      </c>
    </row>
    <row r="204" spans="1:15" ht="22.95" customHeight="1" x14ac:dyDescent="0.3">
      <c r="A204" s="52" t="s">
        <v>67</v>
      </c>
      <c r="B204" s="44">
        <f t="shared" si="107"/>
        <v>95</v>
      </c>
      <c r="C204" s="39">
        <f t="shared" si="107"/>
        <v>86</v>
      </c>
      <c r="D204" s="39">
        <f t="shared" si="107"/>
        <v>10</v>
      </c>
      <c r="E204" s="39">
        <f t="shared" si="107"/>
        <v>10</v>
      </c>
      <c r="F204" s="39">
        <f t="shared" si="107"/>
        <v>8</v>
      </c>
      <c r="G204" s="50">
        <f t="shared" si="84"/>
        <v>209</v>
      </c>
      <c r="H204" s="44">
        <f t="shared" ref="H204:L204" si="116">H98+H99+H100+H101</f>
        <v>1</v>
      </c>
      <c r="I204" s="39">
        <f t="shared" si="116"/>
        <v>0</v>
      </c>
      <c r="J204" s="39">
        <f t="shared" si="116"/>
        <v>0</v>
      </c>
      <c r="K204" s="45">
        <f t="shared" si="116"/>
        <v>0</v>
      </c>
      <c r="L204" s="144">
        <f t="shared" si="116"/>
        <v>7</v>
      </c>
      <c r="M204" s="50">
        <f t="shared" si="87"/>
        <v>1</v>
      </c>
      <c r="N204" s="40">
        <f t="shared" si="88"/>
        <v>210</v>
      </c>
      <c r="O204" s="43">
        <f t="shared" si="89"/>
        <v>275.5</v>
      </c>
    </row>
    <row r="205" spans="1:15" ht="22.95" customHeight="1" x14ac:dyDescent="0.3">
      <c r="A205" s="52" t="s">
        <v>68</v>
      </c>
      <c r="B205" s="44">
        <f t="shared" si="107"/>
        <v>69</v>
      </c>
      <c r="C205" s="39">
        <f t="shared" si="107"/>
        <v>85</v>
      </c>
      <c r="D205" s="39">
        <f t="shared" si="107"/>
        <v>9</v>
      </c>
      <c r="E205" s="39">
        <f t="shared" si="107"/>
        <v>8</v>
      </c>
      <c r="F205" s="39">
        <f t="shared" si="107"/>
        <v>9</v>
      </c>
      <c r="G205" s="50">
        <f t="shared" si="84"/>
        <v>180</v>
      </c>
      <c r="H205" s="44">
        <f t="shared" ref="H205:L205" si="117">H99+H100+H101+H102</f>
        <v>1</v>
      </c>
      <c r="I205" s="39">
        <f t="shared" si="117"/>
        <v>0</v>
      </c>
      <c r="J205" s="39">
        <f t="shared" si="117"/>
        <v>0</v>
      </c>
      <c r="K205" s="45">
        <f t="shared" si="117"/>
        <v>0</v>
      </c>
      <c r="L205" s="144">
        <f t="shared" si="117"/>
        <v>5</v>
      </c>
      <c r="M205" s="50">
        <f t="shared" si="87"/>
        <v>1</v>
      </c>
      <c r="N205" s="40">
        <f t="shared" si="88"/>
        <v>181</v>
      </c>
      <c r="O205" s="43">
        <f t="shared" si="89"/>
        <v>230</v>
      </c>
    </row>
    <row r="206" spans="1:15" ht="22.95" customHeight="1" thickBot="1" x14ac:dyDescent="0.35">
      <c r="A206" s="52" t="s">
        <v>69</v>
      </c>
      <c r="B206" s="46">
        <f t="shared" si="107"/>
        <v>68</v>
      </c>
      <c r="C206" s="47">
        <f t="shared" si="107"/>
        <v>98</v>
      </c>
      <c r="D206" s="47">
        <f t="shared" si="107"/>
        <v>8</v>
      </c>
      <c r="E206" s="47">
        <f t="shared" si="107"/>
        <v>4</v>
      </c>
      <c r="F206" s="47">
        <f t="shared" si="107"/>
        <v>11</v>
      </c>
      <c r="G206" s="50">
        <f t="shared" si="84"/>
        <v>189</v>
      </c>
      <c r="H206" s="44">
        <f t="shared" ref="H206:L206" si="118">H100+H101+H102+H103</f>
        <v>1</v>
      </c>
      <c r="I206" s="39">
        <f t="shared" si="118"/>
        <v>0</v>
      </c>
      <c r="J206" s="39">
        <f t="shared" si="118"/>
        <v>0</v>
      </c>
      <c r="K206" s="45">
        <f t="shared" si="118"/>
        <v>0</v>
      </c>
      <c r="L206" s="145">
        <f t="shared" si="118"/>
        <v>3</v>
      </c>
      <c r="M206" s="50">
        <f t="shared" si="87"/>
        <v>1</v>
      </c>
      <c r="N206" s="40">
        <f t="shared" si="88"/>
        <v>190</v>
      </c>
      <c r="O206" s="43">
        <f t="shared" si="89"/>
        <v>215</v>
      </c>
    </row>
  </sheetData>
  <mergeCells count="31">
    <mergeCell ref="A1:M1"/>
    <mergeCell ref="D6:D7"/>
    <mergeCell ref="E6:E7"/>
    <mergeCell ref="H6:H7"/>
    <mergeCell ref="I6:I7"/>
    <mergeCell ref="J6:J7"/>
    <mergeCell ref="K6:K7"/>
    <mergeCell ref="M6:M7"/>
    <mergeCell ref="A6:A7"/>
    <mergeCell ref="B6:B7"/>
    <mergeCell ref="F6:F7"/>
    <mergeCell ref="A112:A113"/>
    <mergeCell ref="C6:C7"/>
    <mergeCell ref="C112:C113"/>
    <mergeCell ref="D112:D113"/>
    <mergeCell ref="E112:E113"/>
    <mergeCell ref="B112:B113"/>
    <mergeCell ref="N6:N7"/>
    <mergeCell ref="O6:O7"/>
    <mergeCell ref="F112:F113"/>
    <mergeCell ref="G112:G113"/>
    <mergeCell ref="N112:N113"/>
    <mergeCell ref="O112:O113"/>
    <mergeCell ref="H112:H113"/>
    <mergeCell ref="I112:I113"/>
    <mergeCell ref="J112:J113"/>
    <mergeCell ref="K112:K113"/>
    <mergeCell ref="M112:M113"/>
    <mergeCell ref="L6:L7"/>
    <mergeCell ref="L112:L113"/>
    <mergeCell ref="G6:G7"/>
  </mergeCells>
  <pageMargins left="0.7" right="0.7" top="0.75" bottom="0.75" header="0.3" footer="0.3"/>
  <pageSetup paperSize="9" scale="28" orientation="portrait" r:id="rId1"/>
  <rowBreaks count="1" manualBreakCount="1">
    <brk id="10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9FFCC"/>
  </sheetPr>
  <dimension ref="A1:AC206"/>
  <sheetViews>
    <sheetView view="pageBreakPreview" zoomScale="40" zoomScaleNormal="70" zoomScaleSheetLayoutView="40" workbookViewId="0">
      <selection activeCell="K95" sqref="K95"/>
    </sheetView>
  </sheetViews>
  <sheetFormatPr defaultColWidth="9" defaultRowHeight="15.6" x14ac:dyDescent="0.3"/>
  <cols>
    <col min="1" max="1" width="17.19921875" customWidth="1"/>
    <col min="2" max="13" width="11.69921875" customWidth="1"/>
    <col min="14" max="14" width="12.3984375" customWidth="1"/>
  </cols>
  <sheetData>
    <row r="1" spans="1:29" x14ac:dyDescent="0.3">
      <c r="A1" s="247" t="s">
        <v>99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</row>
    <row r="2" spans="1:29" s="4" customFormat="1" x14ac:dyDescent="0.3">
      <c r="A2" s="4" t="s">
        <v>103</v>
      </c>
      <c r="B2" s="4" t="str">
        <f>Summary!B2</f>
        <v>TMC-14 Number (D2)</v>
      </c>
    </row>
    <row r="3" spans="1:29" s="4" customFormat="1" x14ac:dyDescent="0.3">
      <c r="A3" s="4" t="s">
        <v>102</v>
      </c>
      <c r="B3" s="4" t="str">
        <f>Summary!B3</f>
        <v>D2</v>
      </c>
    </row>
    <row r="4" spans="1:29" s="4" customFormat="1" x14ac:dyDescent="0.3">
      <c r="A4" s="4" t="s">
        <v>104</v>
      </c>
      <c r="B4" s="4" t="str">
        <f>Summary!J11</f>
        <v>Delhi</v>
      </c>
      <c r="D4" s="4" t="s">
        <v>1</v>
      </c>
      <c r="E4" s="4" t="str">
        <f>Summary!F11</f>
        <v>Mansarover</v>
      </c>
      <c r="G4" s="229" t="s">
        <v>296</v>
      </c>
      <c r="H4" s="229" t="s">
        <v>299</v>
      </c>
    </row>
    <row r="5" spans="1:29" ht="16.2" thickBot="1" x14ac:dyDescent="0.35"/>
    <row r="6" spans="1:29" ht="25.2" customHeight="1" x14ac:dyDescent="0.3">
      <c r="A6" s="252" t="s">
        <v>95</v>
      </c>
      <c r="B6" s="258" t="s">
        <v>280</v>
      </c>
      <c r="C6" s="254" t="s">
        <v>281</v>
      </c>
      <c r="D6" s="250" t="s">
        <v>282</v>
      </c>
      <c r="E6" s="260" t="s">
        <v>283</v>
      </c>
      <c r="F6" s="256" t="s">
        <v>284</v>
      </c>
      <c r="G6" s="250" t="s">
        <v>129</v>
      </c>
      <c r="H6" s="248" t="s">
        <v>150</v>
      </c>
      <c r="I6" s="250" t="s">
        <v>151</v>
      </c>
      <c r="J6" s="250" t="s">
        <v>285</v>
      </c>
      <c r="K6" s="248" t="s">
        <v>286</v>
      </c>
      <c r="L6" s="250" t="s">
        <v>287</v>
      </c>
      <c r="M6" s="250" t="s">
        <v>78</v>
      </c>
      <c r="N6" s="250" t="s">
        <v>131</v>
      </c>
      <c r="O6" s="250" t="s">
        <v>132</v>
      </c>
    </row>
    <row r="7" spans="1:29" ht="43.5" customHeight="1" thickBot="1" x14ac:dyDescent="0.45">
      <c r="A7" s="262"/>
      <c r="B7" s="263"/>
      <c r="C7" s="264"/>
      <c r="D7" s="265"/>
      <c r="E7" s="266"/>
      <c r="F7" s="267"/>
      <c r="G7" s="259"/>
      <c r="H7" s="268"/>
      <c r="I7" s="265"/>
      <c r="J7" s="265"/>
      <c r="K7" s="268"/>
      <c r="L7" s="265"/>
      <c r="M7" s="265"/>
      <c r="N7" s="251"/>
      <c r="O7" s="251"/>
      <c r="R7" s="230" t="s">
        <v>297</v>
      </c>
    </row>
    <row r="8" spans="1:29" ht="22.5" customHeight="1" thickBot="1" x14ac:dyDescent="0.35">
      <c r="A8" s="189" t="s">
        <v>177</v>
      </c>
      <c r="B8" s="192">
        <f>V_13!B8+V_5!R8</f>
        <v>36</v>
      </c>
      <c r="C8" s="157">
        <f>V_13!C8+V_5!S8</f>
        <v>73</v>
      </c>
      <c r="D8" s="157">
        <f>V_13!D8+V_5!T8</f>
        <v>18</v>
      </c>
      <c r="E8" s="157">
        <f>V_13!E8+V_5!U8</f>
        <v>6</v>
      </c>
      <c r="F8" s="193">
        <f>V_13!F8+V_5!V8</f>
        <v>34</v>
      </c>
      <c r="G8" s="198">
        <f t="shared" ref="G8:G39" si="0">SUM(B8:F8)</f>
        <v>167</v>
      </c>
      <c r="H8" s="200">
        <f>V_13!H8+V_5!X8</f>
        <v>0</v>
      </c>
      <c r="I8" s="201">
        <f>V_13!I8+V_5!Y8</f>
        <v>0</v>
      </c>
      <c r="J8" s="201">
        <f>V_13!J8+V_5!Z8</f>
        <v>0</v>
      </c>
      <c r="K8" s="201">
        <f>V_13!K8+V_5!AA8</f>
        <v>0</v>
      </c>
      <c r="L8" s="201">
        <f>V_13!L8+V_5!AB8</f>
        <v>3</v>
      </c>
      <c r="M8" s="202">
        <f>V_13!M8+V_5!AC8</f>
        <v>0</v>
      </c>
      <c r="N8" s="85">
        <f>G8+M8</f>
        <v>167</v>
      </c>
      <c r="O8" s="115">
        <f>B8*1+C8*0.5+D8*1.5+E8*3+F8*4.5+H8*0.5+I8*1.5+J8*3+K8*4+L8*8</f>
        <v>294.5</v>
      </c>
      <c r="R8" s="192">
        <v>2</v>
      </c>
      <c r="S8" s="157">
        <v>11</v>
      </c>
      <c r="T8" s="157">
        <v>0</v>
      </c>
      <c r="U8" s="157">
        <v>0</v>
      </c>
      <c r="V8" s="193">
        <v>1</v>
      </c>
      <c r="W8" s="198">
        <f>SUM(R8:V8)</f>
        <v>14</v>
      </c>
      <c r="X8" s="200">
        <v>0</v>
      </c>
      <c r="Y8" s="201">
        <v>0</v>
      </c>
      <c r="Z8" s="201">
        <v>0</v>
      </c>
      <c r="AA8" s="201">
        <v>0</v>
      </c>
      <c r="AB8" s="201">
        <v>0</v>
      </c>
      <c r="AC8" s="202">
        <v>0</v>
      </c>
    </row>
    <row r="9" spans="1:29" ht="22.5" customHeight="1" thickBot="1" x14ac:dyDescent="0.35">
      <c r="A9" s="190" t="s">
        <v>178</v>
      </c>
      <c r="B9" s="44">
        <f>V_13!B9+V_5!R9</f>
        <v>76</v>
      </c>
      <c r="C9" s="39">
        <f>V_13!C9+V_5!S9</f>
        <v>91</v>
      </c>
      <c r="D9" s="39">
        <f>V_13!D9+V_5!T9</f>
        <v>23</v>
      </c>
      <c r="E9" s="39">
        <f>V_13!E9+V_5!U9</f>
        <v>3</v>
      </c>
      <c r="F9" s="194">
        <f>V_13!F9+V_5!V9</f>
        <v>31</v>
      </c>
      <c r="G9" s="196">
        <f t="shared" si="0"/>
        <v>224</v>
      </c>
      <c r="H9" s="203">
        <f>V_13!H9+V_5!X9</f>
        <v>0</v>
      </c>
      <c r="I9" s="204">
        <f>V_13!I9+V_5!Y9</f>
        <v>0</v>
      </c>
      <c r="J9" s="204">
        <f>V_13!J9+V_5!Z9</f>
        <v>0</v>
      </c>
      <c r="K9" s="204">
        <f>V_13!K9+V_5!AA9</f>
        <v>0</v>
      </c>
      <c r="L9" s="204">
        <f>V_13!L9+V_5!AB9</f>
        <v>1</v>
      </c>
      <c r="M9" s="205">
        <f>V_13!M9+V_5!AC9</f>
        <v>0</v>
      </c>
      <c r="N9" s="85">
        <f t="shared" ref="N9:N72" si="1">G9+M9</f>
        <v>224</v>
      </c>
      <c r="O9" s="43">
        <f t="shared" ref="O9:O72" si="2">B9*1+C9*0.5+D9*1.5+E9*3+F9*4.5+H9*0.5+I9*1.5+J9*3+K9*4+L9*8</f>
        <v>312.5</v>
      </c>
      <c r="R9" s="44">
        <v>8</v>
      </c>
      <c r="S9" s="39">
        <v>2</v>
      </c>
      <c r="T9" s="39">
        <v>0</v>
      </c>
      <c r="U9" s="39">
        <v>0</v>
      </c>
      <c r="V9" s="194">
        <v>0</v>
      </c>
      <c r="W9" s="198">
        <f t="shared" ref="W9:W72" si="3">SUM(R9:V9)</f>
        <v>10</v>
      </c>
      <c r="X9" s="203">
        <v>0</v>
      </c>
      <c r="Y9" s="204">
        <v>0</v>
      </c>
      <c r="Z9" s="204">
        <v>0</v>
      </c>
      <c r="AA9" s="204">
        <v>0</v>
      </c>
      <c r="AB9" s="204">
        <v>0</v>
      </c>
      <c r="AC9" s="205">
        <v>0</v>
      </c>
    </row>
    <row r="10" spans="1:29" ht="22.5" customHeight="1" thickBot="1" x14ac:dyDescent="0.35">
      <c r="A10" s="190" t="s">
        <v>179</v>
      </c>
      <c r="B10" s="44">
        <f>V_13!B10+V_5!R10</f>
        <v>84</v>
      </c>
      <c r="C10" s="39">
        <f>V_13!C10+V_5!S10</f>
        <v>114</v>
      </c>
      <c r="D10" s="39">
        <f>V_13!D10+V_5!T10</f>
        <v>20</v>
      </c>
      <c r="E10" s="39">
        <f>V_13!E10+V_5!U10</f>
        <v>5</v>
      </c>
      <c r="F10" s="194">
        <f>V_13!F10+V_5!V10</f>
        <v>26</v>
      </c>
      <c r="G10" s="196">
        <f t="shared" si="0"/>
        <v>249</v>
      </c>
      <c r="H10" s="203">
        <f>V_13!H10+V_5!X10</f>
        <v>0</v>
      </c>
      <c r="I10" s="204">
        <f>V_13!I10+V_5!Y10</f>
        <v>0</v>
      </c>
      <c r="J10" s="204">
        <f>V_13!J10+V_5!Z10</f>
        <v>0</v>
      </c>
      <c r="K10" s="204">
        <f>V_13!K10+V_5!AA10</f>
        <v>0</v>
      </c>
      <c r="L10" s="204">
        <f>V_13!L10+V_5!AB10</f>
        <v>1</v>
      </c>
      <c r="M10" s="205">
        <f>V_13!M10+V_5!AC10</f>
        <v>0</v>
      </c>
      <c r="N10" s="85">
        <f t="shared" si="1"/>
        <v>249</v>
      </c>
      <c r="O10" s="43">
        <f t="shared" si="2"/>
        <v>311</v>
      </c>
      <c r="R10" s="44">
        <v>6</v>
      </c>
      <c r="S10" s="39">
        <v>4</v>
      </c>
      <c r="T10" s="39">
        <v>1</v>
      </c>
      <c r="U10" s="39">
        <v>0</v>
      </c>
      <c r="V10" s="194">
        <v>0</v>
      </c>
      <c r="W10" s="198">
        <f t="shared" si="3"/>
        <v>11</v>
      </c>
      <c r="X10" s="203">
        <v>0</v>
      </c>
      <c r="Y10" s="204">
        <v>0</v>
      </c>
      <c r="Z10" s="204">
        <v>0</v>
      </c>
      <c r="AA10" s="204">
        <v>0</v>
      </c>
      <c r="AB10" s="204">
        <v>0</v>
      </c>
      <c r="AC10" s="205">
        <v>0</v>
      </c>
    </row>
    <row r="11" spans="1:29" ht="22.5" customHeight="1" thickBot="1" x14ac:dyDescent="0.35">
      <c r="A11" s="190" t="s">
        <v>180</v>
      </c>
      <c r="B11" s="44">
        <f>V_13!B11+V_5!R11</f>
        <v>80</v>
      </c>
      <c r="C11" s="39">
        <f>V_13!C11+V_5!S11</f>
        <v>127</v>
      </c>
      <c r="D11" s="39">
        <f>V_13!D11+V_5!T11</f>
        <v>16</v>
      </c>
      <c r="E11" s="39">
        <f>V_13!E11+V_5!U11</f>
        <v>4</v>
      </c>
      <c r="F11" s="194">
        <f>V_13!F11+V_5!V11</f>
        <v>21</v>
      </c>
      <c r="G11" s="196">
        <f t="shared" si="0"/>
        <v>248</v>
      </c>
      <c r="H11" s="203">
        <f>V_13!H11+V_5!X11</f>
        <v>1</v>
      </c>
      <c r="I11" s="204">
        <f>V_13!I11+V_5!Y11</f>
        <v>0</v>
      </c>
      <c r="J11" s="204">
        <f>V_13!J11+V_5!Z11</f>
        <v>0</v>
      </c>
      <c r="K11" s="204">
        <f>V_13!K11+V_5!AA11</f>
        <v>0</v>
      </c>
      <c r="L11" s="204">
        <f>V_13!L11+V_5!AB11</f>
        <v>0</v>
      </c>
      <c r="M11" s="205">
        <f>V_13!M11+V_5!AC11</f>
        <v>0</v>
      </c>
      <c r="N11" s="85">
        <f t="shared" si="1"/>
        <v>248</v>
      </c>
      <c r="O11" s="43">
        <f t="shared" si="2"/>
        <v>274.5</v>
      </c>
      <c r="R11" s="44">
        <v>2</v>
      </c>
      <c r="S11" s="39">
        <v>12</v>
      </c>
      <c r="T11" s="39">
        <v>0</v>
      </c>
      <c r="U11" s="39">
        <v>1</v>
      </c>
      <c r="V11" s="194">
        <v>0</v>
      </c>
      <c r="W11" s="198">
        <f t="shared" si="3"/>
        <v>15</v>
      </c>
      <c r="X11" s="203">
        <v>1</v>
      </c>
      <c r="Y11" s="204">
        <v>0</v>
      </c>
      <c r="Z11" s="204">
        <v>0</v>
      </c>
      <c r="AA11" s="204">
        <v>0</v>
      </c>
      <c r="AB11" s="204">
        <v>0</v>
      </c>
      <c r="AC11" s="205">
        <v>0</v>
      </c>
    </row>
    <row r="12" spans="1:29" ht="22.5" customHeight="1" thickBot="1" x14ac:dyDescent="0.35">
      <c r="A12" s="190" t="s">
        <v>181</v>
      </c>
      <c r="B12" s="44">
        <f>V_13!B12+V_5!R12</f>
        <v>90</v>
      </c>
      <c r="C12" s="39">
        <f>V_13!C12+V_5!S12</f>
        <v>135</v>
      </c>
      <c r="D12" s="39">
        <f>V_13!D12+V_5!T12</f>
        <v>12</v>
      </c>
      <c r="E12" s="39">
        <f>V_13!E12+V_5!U12</f>
        <v>4</v>
      </c>
      <c r="F12" s="194">
        <f>V_13!F12+V_5!V12</f>
        <v>33</v>
      </c>
      <c r="G12" s="196">
        <f t="shared" si="0"/>
        <v>274</v>
      </c>
      <c r="H12" s="203">
        <f>V_13!H12+V_5!X12</f>
        <v>1</v>
      </c>
      <c r="I12" s="204">
        <f>V_13!I12+V_5!Y12</f>
        <v>0</v>
      </c>
      <c r="J12" s="204">
        <f>V_13!J12+V_5!Z12</f>
        <v>0</v>
      </c>
      <c r="K12" s="204">
        <f>V_13!K12+V_5!AA12</f>
        <v>0</v>
      </c>
      <c r="L12" s="204">
        <f>V_13!L12+V_5!AB12</f>
        <v>1</v>
      </c>
      <c r="M12" s="205">
        <f>V_13!M12+V_5!AC12</f>
        <v>0</v>
      </c>
      <c r="N12" s="85">
        <f t="shared" si="1"/>
        <v>274</v>
      </c>
      <c r="O12" s="43">
        <f t="shared" si="2"/>
        <v>344.5</v>
      </c>
      <c r="R12" s="44">
        <v>5</v>
      </c>
      <c r="S12" s="39">
        <v>13</v>
      </c>
      <c r="T12" s="39">
        <v>0</v>
      </c>
      <c r="U12" s="39">
        <v>0</v>
      </c>
      <c r="V12" s="194">
        <v>0</v>
      </c>
      <c r="W12" s="198">
        <f t="shared" si="3"/>
        <v>18</v>
      </c>
      <c r="X12" s="203">
        <v>1</v>
      </c>
      <c r="Y12" s="204">
        <v>0</v>
      </c>
      <c r="Z12" s="204">
        <v>0</v>
      </c>
      <c r="AA12" s="204">
        <v>0</v>
      </c>
      <c r="AB12" s="204">
        <v>1</v>
      </c>
      <c r="AC12" s="205">
        <v>0</v>
      </c>
    </row>
    <row r="13" spans="1:29" ht="22.5" customHeight="1" thickBot="1" x14ac:dyDescent="0.35">
      <c r="A13" s="190" t="s">
        <v>182</v>
      </c>
      <c r="B13" s="44">
        <f>V_13!B13+V_5!R13</f>
        <v>56</v>
      </c>
      <c r="C13" s="39">
        <f>V_13!C13+V_5!S13</f>
        <v>113</v>
      </c>
      <c r="D13" s="39">
        <f>V_13!D13+V_5!T13</f>
        <v>13</v>
      </c>
      <c r="E13" s="39">
        <f>V_13!E13+V_5!U13</f>
        <v>7</v>
      </c>
      <c r="F13" s="194">
        <f>V_13!F13+V_5!V13</f>
        <v>13</v>
      </c>
      <c r="G13" s="196">
        <f t="shared" si="0"/>
        <v>202</v>
      </c>
      <c r="H13" s="203">
        <f>V_13!H13+V_5!X13</f>
        <v>0</v>
      </c>
      <c r="I13" s="204">
        <f>V_13!I13+V_5!Y13</f>
        <v>0</v>
      </c>
      <c r="J13" s="204">
        <f>V_13!J13+V_5!Z13</f>
        <v>0</v>
      </c>
      <c r="K13" s="204">
        <f>V_13!K13+V_5!AA13</f>
        <v>0</v>
      </c>
      <c r="L13" s="204">
        <f>V_13!L13+V_5!AB13</f>
        <v>1</v>
      </c>
      <c r="M13" s="205">
        <f>V_13!M13+V_5!AC13</f>
        <v>0</v>
      </c>
      <c r="N13" s="85">
        <f t="shared" si="1"/>
        <v>202</v>
      </c>
      <c r="O13" s="43">
        <f t="shared" si="2"/>
        <v>219.5</v>
      </c>
      <c r="R13" s="44">
        <v>4</v>
      </c>
      <c r="S13" s="39">
        <v>6</v>
      </c>
      <c r="T13" s="39">
        <v>0</v>
      </c>
      <c r="U13" s="39">
        <v>1</v>
      </c>
      <c r="V13" s="194">
        <v>0</v>
      </c>
      <c r="W13" s="198">
        <f t="shared" si="3"/>
        <v>11</v>
      </c>
      <c r="X13" s="203">
        <v>0</v>
      </c>
      <c r="Y13" s="204">
        <v>0</v>
      </c>
      <c r="Z13" s="204">
        <v>0</v>
      </c>
      <c r="AA13" s="204">
        <v>0</v>
      </c>
      <c r="AB13" s="204">
        <v>0</v>
      </c>
      <c r="AC13" s="205">
        <v>0</v>
      </c>
    </row>
    <row r="14" spans="1:29" ht="22.5" customHeight="1" thickBot="1" x14ac:dyDescent="0.35">
      <c r="A14" s="190" t="s">
        <v>183</v>
      </c>
      <c r="B14" s="44">
        <f>V_13!B14+V_5!R14</f>
        <v>125</v>
      </c>
      <c r="C14" s="39">
        <f>V_13!C14+V_5!S14</f>
        <v>160</v>
      </c>
      <c r="D14" s="39">
        <f>V_13!D14+V_5!T14</f>
        <v>29</v>
      </c>
      <c r="E14" s="39">
        <f>V_13!E14+V_5!U14</f>
        <v>10</v>
      </c>
      <c r="F14" s="194">
        <f>V_13!F14+V_5!V14</f>
        <v>23</v>
      </c>
      <c r="G14" s="196">
        <f t="shared" si="0"/>
        <v>347</v>
      </c>
      <c r="H14" s="203">
        <f>V_13!H14+V_5!X14</f>
        <v>0</v>
      </c>
      <c r="I14" s="204">
        <f>V_13!I14+V_5!Y14</f>
        <v>0</v>
      </c>
      <c r="J14" s="204">
        <f>V_13!J14+V_5!Z14</f>
        <v>0</v>
      </c>
      <c r="K14" s="204">
        <f>V_13!K14+V_5!AA14</f>
        <v>0</v>
      </c>
      <c r="L14" s="204">
        <f>V_13!L14+V_5!AB14</f>
        <v>1</v>
      </c>
      <c r="M14" s="205">
        <f>V_13!M14+V_5!AC14</f>
        <v>0</v>
      </c>
      <c r="N14" s="85">
        <f t="shared" si="1"/>
        <v>347</v>
      </c>
      <c r="O14" s="43">
        <f t="shared" si="2"/>
        <v>390</v>
      </c>
      <c r="R14" s="44">
        <v>5</v>
      </c>
      <c r="S14" s="39">
        <v>18</v>
      </c>
      <c r="T14" s="39">
        <v>0</v>
      </c>
      <c r="U14" s="39">
        <v>0</v>
      </c>
      <c r="V14" s="194">
        <v>0</v>
      </c>
      <c r="W14" s="198">
        <f t="shared" si="3"/>
        <v>23</v>
      </c>
      <c r="X14" s="203">
        <v>0</v>
      </c>
      <c r="Y14" s="204">
        <v>0</v>
      </c>
      <c r="Z14" s="204">
        <v>0</v>
      </c>
      <c r="AA14" s="204">
        <v>0</v>
      </c>
      <c r="AB14" s="204">
        <v>0</v>
      </c>
      <c r="AC14" s="205">
        <v>0</v>
      </c>
    </row>
    <row r="15" spans="1:29" ht="22.5" customHeight="1" thickBot="1" x14ac:dyDescent="0.35">
      <c r="A15" s="190" t="s">
        <v>184</v>
      </c>
      <c r="B15" s="44">
        <f>V_13!B15+V_5!R15</f>
        <v>102</v>
      </c>
      <c r="C15" s="39">
        <f>V_13!C15+V_5!S15</f>
        <v>110</v>
      </c>
      <c r="D15" s="39">
        <f>V_13!D15+V_5!T15</f>
        <v>28</v>
      </c>
      <c r="E15" s="39">
        <f>V_13!E15+V_5!U15</f>
        <v>3</v>
      </c>
      <c r="F15" s="194">
        <f>V_13!F15+V_5!V15</f>
        <v>21</v>
      </c>
      <c r="G15" s="196">
        <f t="shared" si="0"/>
        <v>264</v>
      </c>
      <c r="H15" s="203">
        <f>V_13!H15+V_5!X15</f>
        <v>0</v>
      </c>
      <c r="I15" s="204">
        <f>V_13!I15+V_5!Y15</f>
        <v>0</v>
      </c>
      <c r="J15" s="204">
        <f>V_13!J15+V_5!Z15</f>
        <v>0</v>
      </c>
      <c r="K15" s="204">
        <f>V_13!K15+V_5!AA15</f>
        <v>0</v>
      </c>
      <c r="L15" s="204">
        <f>V_13!L15+V_5!AB15</f>
        <v>0</v>
      </c>
      <c r="M15" s="205">
        <f>V_13!M15+V_5!AC15</f>
        <v>0</v>
      </c>
      <c r="N15" s="85">
        <f t="shared" si="1"/>
        <v>264</v>
      </c>
      <c r="O15" s="43">
        <f t="shared" si="2"/>
        <v>302.5</v>
      </c>
      <c r="R15" s="44">
        <v>21</v>
      </c>
      <c r="S15" s="39">
        <v>3</v>
      </c>
      <c r="T15" s="39">
        <v>0</v>
      </c>
      <c r="U15" s="39">
        <v>0</v>
      </c>
      <c r="V15" s="194">
        <v>0</v>
      </c>
      <c r="W15" s="198">
        <f t="shared" si="3"/>
        <v>24</v>
      </c>
      <c r="X15" s="203">
        <v>0</v>
      </c>
      <c r="Y15" s="204">
        <v>0</v>
      </c>
      <c r="Z15" s="204">
        <v>0</v>
      </c>
      <c r="AA15" s="204">
        <v>0</v>
      </c>
      <c r="AB15" s="204">
        <v>0</v>
      </c>
      <c r="AC15" s="205">
        <v>0</v>
      </c>
    </row>
    <row r="16" spans="1:29" ht="22.5" customHeight="1" thickBot="1" x14ac:dyDescent="0.35">
      <c r="A16" s="190" t="s">
        <v>185</v>
      </c>
      <c r="B16" s="44">
        <f>V_13!B16+V_5!R16</f>
        <v>86</v>
      </c>
      <c r="C16" s="39">
        <f>V_13!C16+V_5!S16</f>
        <v>124</v>
      </c>
      <c r="D16" s="39">
        <f>V_13!D16+V_5!T16</f>
        <v>25</v>
      </c>
      <c r="E16" s="39">
        <f>V_13!E16+V_5!U16</f>
        <v>4</v>
      </c>
      <c r="F16" s="194">
        <f>V_13!F16+V_5!V16</f>
        <v>22</v>
      </c>
      <c r="G16" s="196">
        <f t="shared" si="0"/>
        <v>261</v>
      </c>
      <c r="H16" s="203">
        <f>V_13!H16+V_5!X16</f>
        <v>0</v>
      </c>
      <c r="I16" s="204">
        <f>V_13!I16+V_5!Y16</f>
        <v>0</v>
      </c>
      <c r="J16" s="204">
        <f>V_13!J16+V_5!Z16</f>
        <v>0</v>
      </c>
      <c r="K16" s="204">
        <f>V_13!K16+V_5!AA16</f>
        <v>0</v>
      </c>
      <c r="L16" s="204">
        <f>V_13!L16+V_5!AB16</f>
        <v>1</v>
      </c>
      <c r="M16" s="205">
        <f>V_13!M16+V_5!AC16</f>
        <v>0</v>
      </c>
      <c r="N16" s="85">
        <f t="shared" si="1"/>
        <v>261</v>
      </c>
      <c r="O16" s="43">
        <f t="shared" si="2"/>
        <v>304.5</v>
      </c>
      <c r="R16" s="44">
        <v>3</v>
      </c>
      <c r="S16" s="39">
        <v>8</v>
      </c>
      <c r="T16" s="39">
        <v>0</v>
      </c>
      <c r="U16" s="39">
        <v>0</v>
      </c>
      <c r="V16" s="194">
        <v>0</v>
      </c>
      <c r="W16" s="198">
        <f t="shared" si="3"/>
        <v>11</v>
      </c>
      <c r="X16" s="203">
        <v>0</v>
      </c>
      <c r="Y16" s="204">
        <v>0</v>
      </c>
      <c r="Z16" s="204">
        <v>0</v>
      </c>
      <c r="AA16" s="204">
        <v>0</v>
      </c>
      <c r="AB16" s="204">
        <v>0</v>
      </c>
      <c r="AC16" s="205">
        <v>0</v>
      </c>
    </row>
    <row r="17" spans="1:29" ht="22.5" customHeight="1" thickBot="1" x14ac:dyDescent="0.35">
      <c r="A17" s="190" t="s">
        <v>186</v>
      </c>
      <c r="B17" s="44">
        <f>V_13!B17+V_5!R17</f>
        <v>103</v>
      </c>
      <c r="C17" s="39">
        <f>V_13!C17+V_5!S17</f>
        <v>112</v>
      </c>
      <c r="D17" s="39">
        <f>V_13!D17+V_5!T17</f>
        <v>23</v>
      </c>
      <c r="E17" s="39">
        <f>V_13!E17+V_5!U17</f>
        <v>7</v>
      </c>
      <c r="F17" s="194">
        <f>V_13!F17+V_5!V17</f>
        <v>28</v>
      </c>
      <c r="G17" s="196">
        <f t="shared" si="0"/>
        <v>273</v>
      </c>
      <c r="H17" s="203">
        <f>V_13!H17+V_5!X17</f>
        <v>0</v>
      </c>
      <c r="I17" s="204">
        <f>V_13!I17+V_5!Y17</f>
        <v>0</v>
      </c>
      <c r="J17" s="204">
        <f>V_13!J17+V_5!Z17</f>
        <v>0</v>
      </c>
      <c r="K17" s="204">
        <f>V_13!K17+V_5!AA17</f>
        <v>0</v>
      </c>
      <c r="L17" s="204">
        <f>V_13!L17+V_5!AB17</f>
        <v>0</v>
      </c>
      <c r="M17" s="205">
        <f>V_13!M17+V_5!AC17</f>
        <v>0</v>
      </c>
      <c r="N17" s="85">
        <f t="shared" si="1"/>
        <v>273</v>
      </c>
      <c r="O17" s="43">
        <f t="shared" si="2"/>
        <v>340.5</v>
      </c>
      <c r="R17" s="44">
        <v>6</v>
      </c>
      <c r="S17" s="39">
        <v>2</v>
      </c>
      <c r="T17" s="39">
        <v>1</v>
      </c>
      <c r="U17" s="39">
        <v>0</v>
      </c>
      <c r="V17" s="194">
        <v>0</v>
      </c>
      <c r="W17" s="198">
        <f t="shared" si="3"/>
        <v>9</v>
      </c>
      <c r="X17" s="203">
        <v>0</v>
      </c>
      <c r="Y17" s="204">
        <v>0</v>
      </c>
      <c r="Z17" s="204">
        <v>0</v>
      </c>
      <c r="AA17" s="204">
        <v>0</v>
      </c>
      <c r="AB17" s="204">
        <v>0</v>
      </c>
      <c r="AC17" s="205">
        <v>0</v>
      </c>
    </row>
    <row r="18" spans="1:29" ht="22.5" customHeight="1" thickBot="1" x14ac:dyDescent="0.35">
      <c r="A18" s="190" t="s">
        <v>187</v>
      </c>
      <c r="B18" s="44">
        <f>V_13!B18+V_5!R18</f>
        <v>140</v>
      </c>
      <c r="C18" s="39">
        <f>V_13!C18+V_5!S18</f>
        <v>68</v>
      </c>
      <c r="D18" s="39">
        <f>V_13!D18+V_5!T18</f>
        <v>32</v>
      </c>
      <c r="E18" s="39">
        <f>V_13!E18+V_5!U18</f>
        <v>5</v>
      </c>
      <c r="F18" s="194">
        <f>V_13!F18+V_5!V18</f>
        <v>28</v>
      </c>
      <c r="G18" s="196">
        <f t="shared" si="0"/>
        <v>273</v>
      </c>
      <c r="H18" s="203">
        <f>V_13!H18+V_5!X18</f>
        <v>0</v>
      </c>
      <c r="I18" s="204">
        <f>V_13!I18+V_5!Y18</f>
        <v>0</v>
      </c>
      <c r="J18" s="204">
        <f>V_13!J18+V_5!Z18</f>
        <v>0</v>
      </c>
      <c r="K18" s="204">
        <f>V_13!K18+V_5!AA18</f>
        <v>0</v>
      </c>
      <c r="L18" s="204">
        <f>V_13!L18+V_5!AB18</f>
        <v>1</v>
      </c>
      <c r="M18" s="205">
        <f>V_13!M18+V_5!AC18</f>
        <v>0</v>
      </c>
      <c r="N18" s="85">
        <f t="shared" si="1"/>
        <v>273</v>
      </c>
      <c r="O18" s="43">
        <f t="shared" si="2"/>
        <v>371</v>
      </c>
      <c r="R18" s="44">
        <v>5</v>
      </c>
      <c r="S18" s="39">
        <v>7</v>
      </c>
      <c r="T18" s="39">
        <v>0</v>
      </c>
      <c r="U18" s="39">
        <v>0</v>
      </c>
      <c r="V18" s="194">
        <v>0</v>
      </c>
      <c r="W18" s="198">
        <f t="shared" si="3"/>
        <v>12</v>
      </c>
      <c r="X18" s="203">
        <v>0</v>
      </c>
      <c r="Y18" s="204">
        <v>0</v>
      </c>
      <c r="Z18" s="204">
        <v>0</v>
      </c>
      <c r="AA18" s="204">
        <v>0</v>
      </c>
      <c r="AB18" s="204">
        <v>0</v>
      </c>
      <c r="AC18" s="205">
        <v>0</v>
      </c>
    </row>
    <row r="19" spans="1:29" ht="22.5" customHeight="1" thickBot="1" x14ac:dyDescent="0.35">
      <c r="A19" s="190" t="s">
        <v>188</v>
      </c>
      <c r="B19" s="44">
        <f>V_13!B19+V_5!R19</f>
        <v>112</v>
      </c>
      <c r="C19" s="39">
        <f>V_13!C19+V_5!S19</f>
        <v>81</v>
      </c>
      <c r="D19" s="39">
        <f>V_13!D19+V_5!T19</f>
        <v>23</v>
      </c>
      <c r="E19" s="39">
        <f>V_13!E19+V_5!U19</f>
        <v>4</v>
      </c>
      <c r="F19" s="194">
        <f>V_13!F19+V_5!V19</f>
        <v>22</v>
      </c>
      <c r="G19" s="196">
        <f t="shared" si="0"/>
        <v>242</v>
      </c>
      <c r="H19" s="203">
        <f>V_13!H19+V_5!X19</f>
        <v>0</v>
      </c>
      <c r="I19" s="204">
        <f>V_13!I19+V_5!Y19</f>
        <v>0</v>
      </c>
      <c r="J19" s="204">
        <f>V_13!J19+V_5!Z19</f>
        <v>0</v>
      </c>
      <c r="K19" s="204">
        <f>V_13!K19+V_5!AA19</f>
        <v>0</v>
      </c>
      <c r="L19" s="204">
        <f>V_13!L19+V_5!AB19</f>
        <v>1</v>
      </c>
      <c r="M19" s="205">
        <f>V_13!M19+V_5!AC19</f>
        <v>0</v>
      </c>
      <c r="N19" s="85">
        <f t="shared" si="1"/>
        <v>242</v>
      </c>
      <c r="O19" s="43">
        <f t="shared" si="2"/>
        <v>306</v>
      </c>
      <c r="R19" s="44">
        <v>3</v>
      </c>
      <c r="S19" s="39">
        <v>4</v>
      </c>
      <c r="T19" s="39">
        <v>0</v>
      </c>
      <c r="U19" s="39">
        <v>0</v>
      </c>
      <c r="V19" s="194">
        <v>0</v>
      </c>
      <c r="W19" s="198">
        <f t="shared" si="3"/>
        <v>7</v>
      </c>
      <c r="X19" s="203">
        <v>0</v>
      </c>
      <c r="Y19" s="204">
        <v>0</v>
      </c>
      <c r="Z19" s="204">
        <v>0</v>
      </c>
      <c r="AA19" s="204">
        <v>0</v>
      </c>
      <c r="AB19" s="204">
        <v>1</v>
      </c>
      <c r="AC19" s="205">
        <v>0</v>
      </c>
    </row>
    <row r="20" spans="1:29" ht="22.5" customHeight="1" thickBot="1" x14ac:dyDescent="0.35">
      <c r="A20" s="190" t="s">
        <v>189</v>
      </c>
      <c r="B20" s="44">
        <f>V_13!B20+V_5!R20</f>
        <v>128</v>
      </c>
      <c r="C20" s="39">
        <f>V_13!C20+V_5!S20</f>
        <v>89</v>
      </c>
      <c r="D20" s="39">
        <f>V_13!D20+V_5!T20</f>
        <v>5</v>
      </c>
      <c r="E20" s="39">
        <f>V_13!E20+V_5!U20</f>
        <v>2</v>
      </c>
      <c r="F20" s="194">
        <f>V_13!F20+V_5!V20</f>
        <v>23</v>
      </c>
      <c r="G20" s="196">
        <f t="shared" si="0"/>
        <v>247</v>
      </c>
      <c r="H20" s="203">
        <f>V_13!H20+V_5!X20</f>
        <v>0</v>
      </c>
      <c r="I20" s="204">
        <f>V_13!I20+V_5!Y20</f>
        <v>0</v>
      </c>
      <c r="J20" s="204">
        <f>V_13!J20+V_5!Z20</f>
        <v>0</v>
      </c>
      <c r="K20" s="204">
        <f>V_13!K20+V_5!AA20</f>
        <v>0</v>
      </c>
      <c r="L20" s="204">
        <f>V_13!L20+V_5!AB20</f>
        <v>0</v>
      </c>
      <c r="M20" s="205">
        <f>V_13!M20+V_5!AC20</f>
        <v>0</v>
      </c>
      <c r="N20" s="85">
        <f t="shared" si="1"/>
        <v>247</v>
      </c>
      <c r="O20" s="43">
        <f t="shared" si="2"/>
        <v>289.5</v>
      </c>
      <c r="R20" s="44">
        <v>3</v>
      </c>
      <c r="S20" s="39">
        <v>16</v>
      </c>
      <c r="T20" s="39">
        <v>2</v>
      </c>
      <c r="U20" s="39">
        <v>0</v>
      </c>
      <c r="V20" s="194">
        <v>0</v>
      </c>
      <c r="W20" s="198">
        <f t="shared" si="3"/>
        <v>21</v>
      </c>
      <c r="X20" s="203">
        <v>0</v>
      </c>
      <c r="Y20" s="204">
        <v>0</v>
      </c>
      <c r="Z20" s="204">
        <v>0</v>
      </c>
      <c r="AA20" s="204">
        <v>0</v>
      </c>
      <c r="AB20" s="204">
        <v>0</v>
      </c>
      <c r="AC20" s="205">
        <v>0</v>
      </c>
    </row>
    <row r="21" spans="1:29" ht="22.5" customHeight="1" thickBot="1" x14ac:dyDescent="0.35">
      <c r="A21" s="190" t="s">
        <v>190</v>
      </c>
      <c r="B21" s="44">
        <f>V_13!B21+V_5!R21</f>
        <v>126</v>
      </c>
      <c r="C21" s="39">
        <f>V_13!C21+V_5!S21</f>
        <v>86</v>
      </c>
      <c r="D21" s="39">
        <f>V_13!D21+V_5!T21</f>
        <v>30</v>
      </c>
      <c r="E21" s="39">
        <f>V_13!E21+V_5!U21</f>
        <v>4</v>
      </c>
      <c r="F21" s="194">
        <f>V_13!F21+V_5!V21</f>
        <v>24</v>
      </c>
      <c r="G21" s="196">
        <f t="shared" si="0"/>
        <v>270</v>
      </c>
      <c r="H21" s="203">
        <f>V_13!H21+V_5!X21</f>
        <v>0</v>
      </c>
      <c r="I21" s="204">
        <f>V_13!I21+V_5!Y21</f>
        <v>0</v>
      </c>
      <c r="J21" s="204">
        <f>V_13!J21+V_5!Z21</f>
        <v>0</v>
      </c>
      <c r="K21" s="204">
        <f>V_13!K21+V_5!AA21</f>
        <v>0</v>
      </c>
      <c r="L21" s="204">
        <f>V_13!L21+V_5!AB21</f>
        <v>1</v>
      </c>
      <c r="M21" s="205">
        <f>V_13!M21+V_5!AC21</f>
        <v>0</v>
      </c>
      <c r="N21" s="85">
        <f t="shared" si="1"/>
        <v>270</v>
      </c>
      <c r="O21" s="43">
        <f t="shared" si="2"/>
        <v>342</v>
      </c>
      <c r="R21" s="44">
        <v>13</v>
      </c>
      <c r="S21" s="39">
        <v>9</v>
      </c>
      <c r="T21" s="39">
        <v>0</v>
      </c>
      <c r="U21" s="39">
        <v>0</v>
      </c>
      <c r="V21" s="194">
        <v>1</v>
      </c>
      <c r="W21" s="198">
        <f t="shared" si="3"/>
        <v>23</v>
      </c>
      <c r="X21" s="203">
        <v>0</v>
      </c>
      <c r="Y21" s="204">
        <v>0</v>
      </c>
      <c r="Z21" s="204">
        <v>0</v>
      </c>
      <c r="AA21" s="204">
        <v>0</v>
      </c>
      <c r="AB21" s="204">
        <v>0</v>
      </c>
      <c r="AC21" s="205">
        <v>0</v>
      </c>
    </row>
    <row r="22" spans="1:29" ht="22.5" customHeight="1" thickBot="1" x14ac:dyDescent="0.35">
      <c r="A22" s="190" t="s">
        <v>191</v>
      </c>
      <c r="B22" s="44">
        <f>V_13!B22+V_5!R22</f>
        <v>145</v>
      </c>
      <c r="C22" s="39">
        <f>V_13!C22+V_5!S22</f>
        <v>69</v>
      </c>
      <c r="D22" s="39">
        <f>V_13!D22+V_5!T22</f>
        <v>17</v>
      </c>
      <c r="E22" s="39">
        <f>V_13!E22+V_5!U22</f>
        <v>9</v>
      </c>
      <c r="F22" s="194">
        <f>V_13!F22+V_5!V22</f>
        <v>21</v>
      </c>
      <c r="G22" s="196">
        <f t="shared" si="0"/>
        <v>261</v>
      </c>
      <c r="H22" s="203">
        <f>V_13!H22+V_5!X22</f>
        <v>0</v>
      </c>
      <c r="I22" s="204">
        <f>V_13!I22+V_5!Y22</f>
        <v>0</v>
      </c>
      <c r="J22" s="204">
        <f>V_13!J22+V_5!Z22</f>
        <v>0</v>
      </c>
      <c r="K22" s="204">
        <f>V_13!K22+V_5!AA22</f>
        <v>0</v>
      </c>
      <c r="L22" s="204">
        <f>V_13!L22+V_5!AB22</f>
        <v>0</v>
      </c>
      <c r="M22" s="205">
        <f>V_13!M22+V_5!AC22</f>
        <v>0</v>
      </c>
      <c r="N22" s="85">
        <f t="shared" si="1"/>
        <v>261</v>
      </c>
      <c r="O22" s="43">
        <f t="shared" si="2"/>
        <v>326.5</v>
      </c>
      <c r="R22" s="44">
        <v>7</v>
      </c>
      <c r="S22" s="39">
        <v>7</v>
      </c>
      <c r="T22" s="39">
        <v>0</v>
      </c>
      <c r="U22" s="39">
        <v>1</v>
      </c>
      <c r="V22" s="194">
        <v>0</v>
      </c>
      <c r="W22" s="198">
        <f t="shared" si="3"/>
        <v>15</v>
      </c>
      <c r="X22" s="203">
        <v>0</v>
      </c>
      <c r="Y22" s="204">
        <v>0</v>
      </c>
      <c r="Z22" s="204">
        <v>0</v>
      </c>
      <c r="AA22" s="204">
        <v>0</v>
      </c>
      <c r="AB22" s="204">
        <v>0</v>
      </c>
      <c r="AC22" s="205">
        <v>0</v>
      </c>
    </row>
    <row r="23" spans="1:29" ht="22.5" customHeight="1" thickBot="1" x14ac:dyDescent="0.35">
      <c r="A23" s="190" t="s">
        <v>192</v>
      </c>
      <c r="B23" s="44">
        <f>V_13!B23+V_5!R23</f>
        <v>163</v>
      </c>
      <c r="C23" s="39">
        <f>V_13!C23+V_5!S23</f>
        <v>63</v>
      </c>
      <c r="D23" s="39">
        <f>V_13!D23+V_5!T23</f>
        <v>23</v>
      </c>
      <c r="E23" s="39">
        <f>V_13!E23+V_5!U23</f>
        <v>3</v>
      </c>
      <c r="F23" s="194">
        <f>V_13!F23+V_5!V23</f>
        <v>35</v>
      </c>
      <c r="G23" s="196">
        <f t="shared" si="0"/>
        <v>287</v>
      </c>
      <c r="H23" s="203">
        <f>V_13!H23+V_5!X23</f>
        <v>1</v>
      </c>
      <c r="I23" s="204">
        <f>V_13!I23+V_5!Y23</f>
        <v>0</v>
      </c>
      <c r="J23" s="204">
        <f>V_13!J23+V_5!Z23</f>
        <v>0</v>
      </c>
      <c r="K23" s="204">
        <f>V_13!K23+V_5!AA23</f>
        <v>0</v>
      </c>
      <c r="L23" s="204">
        <f>V_13!L23+V_5!AB23</f>
        <v>0</v>
      </c>
      <c r="M23" s="205">
        <f>V_13!M23+V_5!AC23</f>
        <v>0</v>
      </c>
      <c r="N23" s="85">
        <f t="shared" si="1"/>
        <v>287</v>
      </c>
      <c r="O23" s="43">
        <f t="shared" si="2"/>
        <v>396</v>
      </c>
      <c r="R23" s="44">
        <v>12</v>
      </c>
      <c r="S23" s="39">
        <v>12</v>
      </c>
      <c r="T23" s="39">
        <v>2</v>
      </c>
      <c r="U23" s="39">
        <v>0</v>
      </c>
      <c r="V23" s="194">
        <v>2</v>
      </c>
      <c r="W23" s="198">
        <f t="shared" si="3"/>
        <v>28</v>
      </c>
      <c r="X23" s="203">
        <v>1</v>
      </c>
      <c r="Y23" s="204">
        <v>0</v>
      </c>
      <c r="Z23" s="204">
        <v>0</v>
      </c>
      <c r="AA23" s="204">
        <v>0</v>
      </c>
      <c r="AB23" s="204">
        <v>0</v>
      </c>
      <c r="AC23" s="205">
        <v>0</v>
      </c>
    </row>
    <row r="24" spans="1:29" ht="22.5" customHeight="1" thickBot="1" x14ac:dyDescent="0.35">
      <c r="A24" s="190" t="s">
        <v>193</v>
      </c>
      <c r="B24" s="44">
        <f>V_13!B24+V_5!R24</f>
        <v>98</v>
      </c>
      <c r="C24" s="39">
        <f>V_13!C24+V_5!S24</f>
        <v>54</v>
      </c>
      <c r="D24" s="39">
        <f>V_13!D24+V_5!T24</f>
        <v>21</v>
      </c>
      <c r="E24" s="39">
        <f>V_13!E24+V_5!U24</f>
        <v>4</v>
      </c>
      <c r="F24" s="194">
        <f>V_13!F24+V_5!V24</f>
        <v>23</v>
      </c>
      <c r="G24" s="196">
        <f t="shared" si="0"/>
        <v>200</v>
      </c>
      <c r="H24" s="203">
        <f>V_13!H24+V_5!X24</f>
        <v>0</v>
      </c>
      <c r="I24" s="204">
        <f>V_13!I24+V_5!Y24</f>
        <v>0</v>
      </c>
      <c r="J24" s="204">
        <f>V_13!J24+V_5!Z24</f>
        <v>0</v>
      </c>
      <c r="K24" s="204">
        <f>V_13!K24+V_5!AA24</f>
        <v>0</v>
      </c>
      <c r="L24" s="204">
        <f>V_13!L24+V_5!AB24</f>
        <v>0</v>
      </c>
      <c r="M24" s="205">
        <f>V_13!M24+V_5!AC24</f>
        <v>0</v>
      </c>
      <c r="N24" s="85">
        <f t="shared" si="1"/>
        <v>200</v>
      </c>
      <c r="O24" s="43">
        <f t="shared" si="2"/>
        <v>272</v>
      </c>
      <c r="R24" s="44">
        <v>7</v>
      </c>
      <c r="S24" s="39">
        <v>10</v>
      </c>
      <c r="T24" s="39">
        <v>2</v>
      </c>
      <c r="U24" s="39">
        <v>0</v>
      </c>
      <c r="V24" s="194">
        <v>1</v>
      </c>
      <c r="W24" s="198">
        <f t="shared" si="3"/>
        <v>20</v>
      </c>
      <c r="X24" s="203">
        <v>0</v>
      </c>
      <c r="Y24" s="204">
        <v>0</v>
      </c>
      <c r="Z24" s="204">
        <v>0</v>
      </c>
      <c r="AA24" s="204">
        <v>0</v>
      </c>
      <c r="AB24" s="204">
        <v>0</v>
      </c>
      <c r="AC24" s="205">
        <v>0</v>
      </c>
    </row>
    <row r="25" spans="1:29" ht="22.5" customHeight="1" thickBot="1" x14ac:dyDescent="0.35">
      <c r="A25" s="190" t="s">
        <v>194</v>
      </c>
      <c r="B25" s="44">
        <f>V_13!B25+V_5!R25</f>
        <v>92</v>
      </c>
      <c r="C25" s="39">
        <f>V_13!C25+V_5!S25</f>
        <v>68</v>
      </c>
      <c r="D25" s="39">
        <f>V_13!D25+V_5!T25</f>
        <v>11</v>
      </c>
      <c r="E25" s="39">
        <f>V_13!E25+V_5!U25</f>
        <v>1</v>
      </c>
      <c r="F25" s="194">
        <f>V_13!F25+V_5!V25</f>
        <v>39</v>
      </c>
      <c r="G25" s="196">
        <f t="shared" si="0"/>
        <v>211</v>
      </c>
      <c r="H25" s="203">
        <f>V_13!H25+V_5!X25</f>
        <v>0</v>
      </c>
      <c r="I25" s="204">
        <f>V_13!I25+V_5!Y25</f>
        <v>0</v>
      </c>
      <c r="J25" s="204">
        <f>V_13!J25+V_5!Z25</f>
        <v>0</v>
      </c>
      <c r="K25" s="204">
        <f>V_13!K25+V_5!AA25</f>
        <v>0</v>
      </c>
      <c r="L25" s="204">
        <f>V_13!L25+V_5!AB25</f>
        <v>0</v>
      </c>
      <c r="M25" s="205">
        <f>V_13!M25+V_5!AC25</f>
        <v>0</v>
      </c>
      <c r="N25" s="85">
        <f t="shared" si="1"/>
        <v>211</v>
      </c>
      <c r="O25" s="43">
        <f t="shared" si="2"/>
        <v>321</v>
      </c>
      <c r="R25" s="44">
        <v>9</v>
      </c>
      <c r="S25" s="39">
        <v>12</v>
      </c>
      <c r="T25" s="39">
        <v>0</v>
      </c>
      <c r="U25" s="39">
        <v>0</v>
      </c>
      <c r="V25" s="194">
        <v>0</v>
      </c>
      <c r="W25" s="198">
        <f t="shared" si="3"/>
        <v>21</v>
      </c>
      <c r="X25" s="203">
        <v>0</v>
      </c>
      <c r="Y25" s="204">
        <v>0</v>
      </c>
      <c r="Z25" s="204">
        <v>0</v>
      </c>
      <c r="AA25" s="204">
        <v>0</v>
      </c>
      <c r="AB25" s="204">
        <v>0</v>
      </c>
      <c r="AC25" s="205">
        <v>0</v>
      </c>
    </row>
    <row r="26" spans="1:29" ht="22.5" customHeight="1" thickBot="1" x14ac:dyDescent="0.35">
      <c r="A26" s="190" t="s">
        <v>195</v>
      </c>
      <c r="B26" s="44">
        <f>V_13!B26+V_5!R26</f>
        <v>105</v>
      </c>
      <c r="C26" s="39">
        <f>V_13!C26+V_5!S26</f>
        <v>63</v>
      </c>
      <c r="D26" s="39">
        <f>V_13!D26+V_5!T26</f>
        <v>18</v>
      </c>
      <c r="E26" s="39">
        <f>V_13!E26+V_5!U26</f>
        <v>5</v>
      </c>
      <c r="F26" s="194">
        <f>V_13!F26+V_5!V26</f>
        <v>46</v>
      </c>
      <c r="G26" s="196">
        <f t="shared" si="0"/>
        <v>237</v>
      </c>
      <c r="H26" s="203">
        <f>V_13!H26+V_5!X26</f>
        <v>0</v>
      </c>
      <c r="I26" s="204">
        <f>V_13!I26+V_5!Y26</f>
        <v>0</v>
      </c>
      <c r="J26" s="204">
        <f>V_13!J26+V_5!Z26</f>
        <v>0</v>
      </c>
      <c r="K26" s="204">
        <f>V_13!K26+V_5!AA26</f>
        <v>0</v>
      </c>
      <c r="L26" s="204">
        <f>V_13!L26+V_5!AB26</f>
        <v>2</v>
      </c>
      <c r="M26" s="205">
        <f>V_13!M26+V_5!AC26</f>
        <v>0</v>
      </c>
      <c r="N26" s="85">
        <f t="shared" si="1"/>
        <v>237</v>
      </c>
      <c r="O26" s="43">
        <f t="shared" si="2"/>
        <v>401.5</v>
      </c>
      <c r="R26" s="44">
        <v>8</v>
      </c>
      <c r="S26" s="39">
        <v>8</v>
      </c>
      <c r="T26" s="39">
        <v>2</v>
      </c>
      <c r="U26" s="39">
        <v>0</v>
      </c>
      <c r="V26" s="194">
        <v>1</v>
      </c>
      <c r="W26" s="198">
        <f t="shared" si="3"/>
        <v>19</v>
      </c>
      <c r="X26" s="203">
        <v>0</v>
      </c>
      <c r="Y26" s="204">
        <v>0</v>
      </c>
      <c r="Z26" s="204">
        <v>0</v>
      </c>
      <c r="AA26" s="204">
        <v>0</v>
      </c>
      <c r="AB26" s="204">
        <v>1</v>
      </c>
      <c r="AC26" s="205">
        <v>0</v>
      </c>
    </row>
    <row r="27" spans="1:29" ht="22.5" customHeight="1" thickBot="1" x14ac:dyDescent="0.35">
      <c r="A27" s="190" t="s">
        <v>196</v>
      </c>
      <c r="B27" s="44">
        <f>V_13!B27+V_5!R27</f>
        <v>99</v>
      </c>
      <c r="C27" s="39">
        <f>V_13!C27+V_5!S27</f>
        <v>69</v>
      </c>
      <c r="D27" s="39">
        <f>V_13!D27+V_5!T27</f>
        <v>17</v>
      </c>
      <c r="E27" s="39">
        <f>V_13!E27+V_5!U27</f>
        <v>3</v>
      </c>
      <c r="F27" s="194">
        <f>V_13!F27+V_5!V27</f>
        <v>33</v>
      </c>
      <c r="G27" s="196">
        <f t="shared" si="0"/>
        <v>221</v>
      </c>
      <c r="H27" s="203">
        <f>V_13!H27+V_5!X27</f>
        <v>0</v>
      </c>
      <c r="I27" s="204">
        <f>V_13!I27+V_5!Y27</f>
        <v>0</v>
      </c>
      <c r="J27" s="204">
        <f>V_13!J27+V_5!Z27</f>
        <v>0</v>
      </c>
      <c r="K27" s="204">
        <f>V_13!K27+V_5!AA27</f>
        <v>0</v>
      </c>
      <c r="L27" s="204">
        <f>V_13!L27+V_5!AB27</f>
        <v>0</v>
      </c>
      <c r="M27" s="205">
        <f>V_13!M27+V_5!AC27</f>
        <v>0</v>
      </c>
      <c r="N27" s="85">
        <f t="shared" si="1"/>
        <v>221</v>
      </c>
      <c r="O27" s="43">
        <f t="shared" si="2"/>
        <v>316.5</v>
      </c>
      <c r="R27" s="44">
        <v>5</v>
      </c>
      <c r="S27" s="39">
        <v>7</v>
      </c>
      <c r="T27" s="39">
        <v>1</v>
      </c>
      <c r="U27" s="39">
        <v>0</v>
      </c>
      <c r="V27" s="194">
        <v>2</v>
      </c>
      <c r="W27" s="198">
        <f t="shared" si="3"/>
        <v>15</v>
      </c>
      <c r="X27" s="203">
        <v>0</v>
      </c>
      <c r="Y27" s="204">
        <v>0</v>
      </c>
      <c r="Z27" s="204">
        <v>0</v>
      </c>
      <c r="AA27" s="204">
        <v>0</v>
      </c>
      <c r="AB27" s="204">
        <v>0</v>
      </c>
      <c r="AC27" s="205">
        <v>0</v>
      </c>
    </row>
    <row r="28" spans="1:29" ht="22.5" customHeight="1" thickBot="1" x14ac:dyDescent="0.35">
      <c r="A28" s="190" t="s">
        <v>197</v>
      </c>
      <c r="B28" s="44">
        <f>V_13!B28+V_5!R28</f>
        <v>115</v>
      </c>
      <c r="C28" s="39">
        <f>V_13!C28+V_5!S28</f>
        <v>66</v>
      </c>
      <c r="D28" s="39">
        <f>V_13!D28+V_5!T28</f>
        <v>12</v>
      </c>
      <c r="E28" s="39">
        <f>V_13!E28+V_5!U28</f>
        <v>7</v>
      </c>
      <c r="F28" s="194">
        <f>V_13!F28+V_5!V28</f>
        <v>26</v>
      </c>
      <c r="G28" s="196">
        <f t="shared" si="0"/>
        <v>226</v>
      </c>
      <c r="H28" s="203">
        <f>V_13!H28+V_5!X28</f>
        <v>0</v>
      </c>
      <c r="I28" s="204">
        <f>V_13!I28+V_5!Y28</f>
        <v>0</v>
      </c>
      <c r="J28" s="204">
        <f>V_13!J28+V_5!Z28</f>
        <v>0</v>
      </c>
      <c r="K28" s="204">
        <f>V_13!K28+V_5!AA28</f>
        <v>0</v>
      </c>
      <c r="L28" s="204">
        <f>V_13!L28+V_5!AB28</f>
        <v>0</v>
      </c>
      <c r="M28" s="205">
        <f>V_13!M28+V_5!AC28</f>
        <v>0</v>
      </c>
      <c r="N28" s="85">
        <f t="shared" si="1"/>
        <v>226</v>
      </c>
      <c r="O28" s="43">
        <f t="shared" si="2"/>
        <v>304</v>
      </c>
      <c r="R28" s="44">
        <v>9</v>
      </c>
      <c r="S28" s="39">
        <v>6</v>
      </c>
      <c r="T28" s="39">
        <v>1</v>
      </c>
      <c r="U28" s="39">
        <v>1</v>
      </c>
      <c r="V28" s="194">
        <v>1</v>
      </c>
      <c r="W28" s="198">
        <f t="shared" si="3"/>
        <v>18</v>
      </c>
      <c r="X28" s="203">
        <v>0</v>
      </c>
      <c r="Y28" s="204">
        <v>0</v>
      </c>
      <c r="Z28" s="204">
        <v>0</v>
      </c>
      <c r="AA28" s="204">
        <v>0</v>
      </c>
      <c r="AB28" s="204">
        <v>0</v>
      </c>
      <c r="AC28" s="205">
        <v>0</v>
      </c>
    </row>
    <row r="29" spans="1:29" ht="22.5" customHeight="1" thickBot="1" x14ac:dyDescent="0.35">
      <c r="A29" s="190" t="s">
        <v>198</v>
      </c>
      <c r="B29" s="44">
        <f>V_13!B29+V_5!R29</f>
        <v>105</v>
      </c>
      <c r="C29" s="39">
        <f>V_13!C29+V_5!S29</f>
        <v>71</v>
      </c>
      <c r="D29" s="39">
        <f>V_13!D29+V_5!T29</f>
        <v>12</v>
      </c>
      <c r="E29" s="39">
        <f>V_13!E29+V_5!U29</f>
        <v>4</v>
      </c>
      <c r="F29" s="194">
        <f>V_13!F29+V_5!V29</f>
        <v>26</v>
      </c>
      <c r="G29" s="196">
        <f t="shared" si="0"/>
        <v>218</v>
      </c>
      <c r="H29" s="203">
        <f>V_13!H29+V_5!X29</f>
        <v>0</v>
      </c>
      <c r="I29" s="204">
        <f>V_13!I29+V_5!Y29</f>
        <v>0</v>
      </c>
      <c r="J29" s="204">
        <f>V_13!J29+V_5!Z29</f>
        <v>0</v>
      </c>
      <c r="K29" s="204">
        <f>V_13!K29+V_5!AA29</f>
        <v>0</v>
      </c>
      <c r="L29" s="204">
        <f>V_13!L29+V_5!AB29</f>
        <v>0</v>
      </c>
      <c r="M29" s="205">
        <f>V_13!M29+V_5!AC29</f>
        <v>0</v>
      </c>
      <c r="N29" s="85">
        <f t="shared" si="1"/>
        <v>218</v>
      </c>
      <c r="O29" s="43">
        <f t="shared" si="2"/>
        <v>287.5</v>
      </c>
      <c r="R29" s="44">
        <v>8</v>
      </c>
      <c r="S29" s="39">
        <v>15</v>
      </c>
      <c r="T29" s="39">
        <v>0</v>
      </c>
      <c r="U29" s="39">
        <v>0</v>
      </c>
      <c r="V29" s="194">
        <v>0</v>
      </c>
      <c r="W29" s="198">
        <f t="shared" si="3"/>
        <v>23</v>
      </c>
      <c r="X29" s="203">
        <v>0</v>
      </c>
      <c r="Y29" s="204">
        <v>0</v>
      </c>
      <c r="Z29" s="204">
        <v>0</v>
      </c>
      <c r="AA29" s="204">
        <v>0</v>
      </c>
      <c r="AB29" s="204">
        <v>0</v>
      </c>
      <c r="AC29" s="205">
        <v>0</v>
      </c>
    </row>
    <row r="30" spans="1:29" ht="22.5" customHeight="1" thickBot="1" x14ac:dyDescent="0.35">
      <c r="A30" s="190" t="s">
        <v>199</v>
      </c>
      <c r="B30" s="44">
        <f>V_13!B30+V_5!R30</f>
        <v>95</v>
      </c>
      <c r="C30" s="39">
        <f>V_13!C30+V_5!S30</f>
        <v>67</v>
      </c>
      <c r="D30" s="39">
        <f>V_13!D30+V_5!T30</f>
        <v>13</v>
      </c>
      <c r="E30" s="39">
        <f>V_13!E30+V_5!U30</f>
        <v>2</v>
      </c>
      <c r="F30" s="194">
        <f>V_13!F30+V_5!V30</f>
        <v>22</v>
      </c>
      <c r="G30" s="196">
        <f t="shared" si="0"/>
        <v>199</v>
      </c>
      <c r="H30" s="203">
        <f>V_13!H30+V_5!X30</f>
        <v>0</v>
      </c>
      <c r="I30" s="204">
        <f>V_13!I30+V_5!Y30</f>
        <v>0</v>
      </c>
      <c r="J30" s="204">
        <f>V_13!J30+V_5!Z30</f>
        <v>0</v>
      </c>
      <c r="K30" s="204">
        <f>V_13!K30+V_5!AA30</f>
        <v>0</v>
      </c>
      <c r="L30" s="204">
        <f>V_13!L30+V_5!AB30</f>
        <v>0</v>
      </c>
      <c r="M30" s="205">
        <f>V_13!M30+V_5!AC30</f>
        <v>0</v>
      </c>
      <c r="N30" s="85">
        <f t="shared" si="1"/>
        <v>199</v>
      </c>
      <c r="O30" s="43">
        <f t="shared" si="2"/>
        <v>253</v>
      </c>
      <c r="R30" s="44">
        <v>12</v>
      </c>
      <c r="S30" s="39">
        <v>4</v>
      </c>
      <c r="T30" s="39">
        <v>1</v>
      </c>
      <c r="U30" s="39">
        <v>0</v>
      </c>
      <c r="V30" s="194">
        <v>1</v>
      </c>
      <c r="W30" s="198">
        <f t="shared" si="3"/>
        <v>18</v>
      </c>
      <c r="X30" s="203">
        <v>0</v>
      </c>
      <c r="Y30" s="204">
        <v>0</v>
      </c>
      <c r="Z30" s="204">
        <v>0</v>
      </c>
      <c r="AA30" s="204">
        <v>0</v>
      </c>
      <c r="AB30" s="204">
        <v>0</v>
      </c>
      <c r="AC30" s="205">
        <v>0</v>
      </c>
    </row>
    <row r="31" spans="1:29" ht="22.5" customHeight="1" thickBot="1" x14ac:dyDescent="0.35">
      <c r="A31" s="190" t="s">
        <v>200</v>
      </c>
      <c r="B31" s="44">
        <f>V_13!B31+V_5!R31</f>
        <v>93</v>
      </c>
      <c r="C31" s="39">
        <f>V_13!C31+V_5!S31</f>
        <v>71</v>
      </c>
      <c r="D31" s="39">
        <f>V_13!D31+V_5!T31</f>
        <v>11</v>
      </c>
      <c r="E31" s="39">
        <f>V_13!E31+V_5!U31</f>
        <v>3</v>
      </c>
      <c r="F31" s="194">
        <f>V_13!F31+V_5!V31</f>
        <v>31</v>
      </c>
      <c r="G31" s="196">
        <f t="shared" si="0"/>
        <v>209</v>
      </c>
      <c r="H31" s="203">
        <f>V_13!H31+V_5!X31</f>
        <v>0</v>
      </c>
      <c r="I31" s="204">
        <f>V_13!I31+V_5!Y31</f>
        <v>0</v>
      </c>
      <c r="J31" s="204">
        <f>V_13!J31+V_5!Z31</f>
        <v>0</v>
      </c>
      <c r="K31" s="204">
        <f>V_13!K31+V_5!AA31</f>
        <v>0</v>
      </c>
      <c r="L31" s="204">
        <f>V_13!L31+V_5!AB31</f>
        <v>0</v>
      </c>
      <c r="M31" s="205">
        <f>V_13!M31+V_5!AC31</f>
        <v>0</v>
      </c>
      <c r="N31" s="85">
        <f t="shared" si="1"/>
        <v>209</v>
      </c>
      <c r="O31" s="43">
        <f t="shared" si="2"/>
        <v>293.5</v>
      </c>
      <c r="R31" s="44">
        <v>9</v>
      </c>
      <c r="S31" s="39">
        <v>11</v>
      </c>
      <c r="T31" s="39">
        <v>2</v>
      </c>
      <c r="U31" s="39">
        <v>0</v>
      </c>
      <c r="V31" s="194">
        <v>0</v>
      </c>
      <c r="W31" s="198">
        <f t="shared" si="3"/>
        <v>22</v>
      </c>
      <c r="X31" s="203">
        <v>0</v>
      </c>
      <c r="Y31" s="204">
        <v>0</v>
      </c>
      <c r="Z31" s="204">
        <v>0</v>
      </c>
      <c r="AA31" s="204">
        <v>0</v>
      </c>
      <c r="AB31" s="204">
        <v>0</v>
      </c>
      <c r="AC31" s="205">
        <v>0</v>
      </c>
    </row>
    <row r="32" spans="1:29" ht="22.5" customHeight="1" thickBot="1" x14ac:dyDescent="0.35">
      <c r="A32" s="190" t="s">
        <v>201</v>
      </c>
      <c r="B32" s="44">
        <f>V_13!B32+V_5!R32</f>
        <v>86</v>
      </c>
      <c r="C32" s="39">
        <f>V_13!C32+V_5!S32</f>
        <v>42</v>
      </c>
      <c r="D32" s="39">
        <f>V_13!D32+V_5!T32</f>
        <v>14</v>
      </c>
      <c r="E32" s="39">
        <f>V_13!E32+V_5!U32</f>
        <v>0</v>
      </c>
      <c r="F32" s="194">
        <f>V_13!F32+V_5!V32</f>
        <v>19</v>
      </c>
      <c r="G32" s="196">
        <f t="shared" si="0"/>
        <v>161</v>
      </c>
      <c r="H32" s="203">
        <f>V_13!H32+V_5!X32</f>
        <v>0</v>
      </c>
      <c r="I32" s="204">
        <f>V_13!I32+V_5!Y32</f>
        <v>0</v>
      </c>
      <c r="J32" s="204">
        <f>V_13!J32+V_5!Z32</f>
        <v>0</v>
      </c>
      <c r="K32" s="204">
        <f>V_13!K32+V_5!AA32</f>
        <v>0</v>
      </c>
      <c r="L32" s="204">
        <f>V_13!L32+V_5!AB32</f>
        <v>1</v>
      </c>
      <c r="M32" s="205">
        <f>V_13!M32+V_5!AC32</f>
        <v>0</v>
      </c>
      <c r="N32" s="85">
        <f t="shared" si="1"/>
        <v>161</v>
      </c>
      <c r="O32" s="43">
        <f t="shared" si="2"/>
        <v>221.5</v>
      </c>
      <c r="R32" s="44">
        <v>11</v>
      </c>
      <c r="S32" s="39">
        <v>11</v>
      </c>
      <c r="T32" s="39">
        <v>0</v>
      </c>
      <c r="U32" s="39">
        <v>0</v>
      </c>
      <c r="V32" s="194">
        <v>2</v>
      </c>
      <c r="W32" s="198">
        <f t="shared" si="3"/>
        <v>24</v>
      </c>
      <c r="X32" s="203">
        <v>0</v>
      </c>
      <c r="Y32" s="204">
        <v>0</v>
      </c>
      <c r="Z32" s="204">
        <v>0</v>
      </c>
      <c r="AA32" s="204">
        <v>0</v>
      </c>
      <c r="AB32" s="204">
        <v>1</v>
      </c>
      <c r="AC32" s="205">
        <v>0</v>
      </c>
    </row>
    <row r="33" spans="1:29" ht="22.5" customHeight="1" thickBot="1" x14ac:dyDescent="0.35">
      <c r="A33" s="190" t="s">
        <v>202</v>
      </c>
      <c r="B33" s="44">
        <f>V_13!B33+V_5!R33</f>
        <v>98</v>
      </c>
      <c r="C33" s="39">
        <f>V_13!C33+V_5!S33</f>
        <v>50</v>
      </c>
      <c r="D33" s="39">
        <f>V_13!D33+V_5!T33</f>
        <v>42</v>
      </c>
      <c r="E33" s="39">
        <f>V_13!E33+V_5!U33</f>
        <v>3</v>
      </c>
      <c r="F33" s="194">
        <f>V_13!F33+V_5!V33</f>
        <v>16</v>
      </c>
      <c r="G33" s="196">
        <f t="shared" si="0"/>
        <v>209</v>
      </c>
      <c r="H33" s="203">
        <f>V_13!H33+V_5!X33</f>
        <v>0</v>
      </c>
      <c r="I33" s="204">
        <f>V_13!I33+V_5!Y33</f>
        <v>0</v>
      </c>
      <c r="J33" s="204">
        <f>V_13!J33+V_5!Z33</f>
        <v>0</v>
      </c>
      <c r="K33" s="204">
        <f>V_13!K33+V_5!AA33</f>
        <v>0</v>
      </c>
      <c r="L33" s="204">
        <f>V_13!L33+V_5!AB33</f>
        <v>0</v>
      </c>
      <c r="M33" s="205">
        <f>V_13!M33+V_5!AC33</f>
        <v>0</v>
      </c>
      <c r="N33" s="85">
        <f t="shared" si="1"/>
        <v>209</v>
      </c>
      <c r="O33" s="43">
        <f t="shared" si="2"/>
        <v>267</v>
      </c>
      <c r="R33" s="44">
        <v>15</v>
      </c>
      <c r="S33" s="39">
        <v>8</v>
      </c>
      <c r="T33" s="39">
        <v>0</v>
      </c>
      <c r="U33" s="39">
        <v>0</v>
      </c>
      <c r="V33" s="194">
        <v>0</v>
      </c>
      <c r="W33" s="198">
        <f t="shared" si="3"/>
        <v>23</v>
      </c>
      <c r="X33" s="203">
        <v>0</v>
      </c>
      <c r="Y33" s="204">
        <v>0</v>
      </c>
      <c r="Z33" s="204">
        <v>0</v>
      </c>
      <c r="AA33" s="204">
        <v>0</v>
      </c>
      <c r="AB33" s="204">
        <v>0</v>
      </c>
      <c r="AC33" s="205">
        <v>0</v>
      </c>
    </row>
    <row r="34" spans="1:29" ht="22.5" customHeight="1" thickBot="1" x14ac:dyDescent="0.35">
      <c r="A34" s="190" t="s">
        <v>203</v>
      </c>
      <c r="B34" s="44">
        <f>V_13!B34+V_5!R34</f>
        <v>97</v>
      </c>
      <c r="C34" s="39">
        <f>V_13!C34+V_5!S34</f>
        <v>69</v>
      </c>
      <c r="D34" s="39">
        <f>V_13!D34+V_5!T34</f>
        <v>31</v>
      </c>
      <c r="E34" s="39">
        <f>V_13!E34+V_5!U34</f>
        <v>2</v>
      </c>
      <c r="F34" s="194">
        <f>V_13!F34+V_5!V34</f>
        <v>25</v>
      </c>
      <c r="G34" s="196">
        <f t="shared" si="0"/>
        <v>224</v>
      </c>
      <c r="H34" s="203">
        <f>V_13!H34+V_5!X34</f>
        <v>0</v>
      </c>
      <c r="I34" s="204">
        <f>V_13!I34+V_5!Y34</f>
        <v>0</v>
      </c>
      <c r="J34" s="204">
        <f>V_13!J34+V_5!Z34</f>
        <v>0</v>
      </c>
      <c r="K34" s="204">
        <f>V_13!K34+V_5!AA34</f>
        <v>0</v>
      </c>
      <c r="L34" s="204">
        <f>V_13!L34+V_5!AB34</f>
        <v>0</v>
      </c>
      <c r="M34" s="205">
        <f>V_13!M34+V_5!AC34</f>
        <v>0</v>
      </c>
      <c r="N34" s="85">
        <f t="shared" si="1"/>
        <v>224</v>
      </c>
      <c r="O34" s="43">
        <f t="shared" si="2"/>
        <v>296.5</v>
      </c>
      <c r="R34" s="44">
        <v>13</v>
      </c>
      <c r="S34" s="39">
        <v>7</v>
      </c>
      <c r="T34" s="39">
        <v>0</v>
      </c>
      <c r="U34" s="39">
        <v>1</v>
      </c>
      <c r="V34" s="194">
        <v>0</v>
      </c>
      <c r="W34" s="198">
        <f t="shared" si="3"/>
        <v>21</v>
      </c>
      <c r="X34" s="203">
        <v>0</v>
      </c>
      <c r="Y34" s="204">
        <v>0</v>
      </c>
      <c r="Z34" s="204">
        <v>0</v>
      </c>
      <c r="AA34" s="204">
        <v>0</v>
      </c>
      <c r="AB34" s="204">
        <v>0</v>
      </c>
      <c r="AC34" s="205">
        <v>0</v>
      </c>
    </row>
    <row r="35" spans="1:29" ht="22.5" customHeight="1" thickBot="1" x14ac:dyDescent="0.35">
      <c r="A35" s="190" t="s">
        <v>204</v>
      </c>
      <c r="B35" s="44">
        <f>V_13!B35+V_5!R35</f>
        <v>89</v>
      </c>
      <c r="C35" s="39">
        <f>V_13!C35+V_5!S35</f>
        <v>61</v>
      </c>
      <c r="D35" s="39">
        <f>V_13!D35+V_5!T35</f>
        <v>31</v>
      </c>
      <c r="E35" s="39">
        <f>V_13!E35+V_5!U35</f>
        <v>2</v>
      </c>
      <c r="F35" s="194">
        <f>V_13!F35+V_5!V35</f>
        <v>3</v>
      </c>
      <c r="G35" s="196">
        <f t="shared" si="0"/>
        <v>186</v>
      </c>
      <c r="H35" s="203">
        <f>V_13!H35+V_5!X35</f>
        <v>0</v>
      </c>
      <c r="I35" s="204">
        <f>V_13!I35+V_5!Y35</f>
        <v>0</v>
      </c>
      <c r="J35" s="204">
        <f>V_13!J35+V_5!Z35</f>
        <v>0</v>
      </c>
      <c r="K35" s="204">
        <f>V_13!K35+V_5!AA35</f>
        <v>0</v>
      </c>
      <c r="L35" s="204">
        <f>V_13!L35+V_5!AB35</f>
        <v>0</v>
      </c>
      <c r="M35" s="205">
        <f>V_13!M35+V_5!AC35</f>
        <v>0</v>
      </c>
      <c r="N35" s="85">
        <f t="shared" si="1"/>
        <v>186</v>
      </c>
      <c r="O35" s="43">
        <f t="shared" si="2"/>
        <v>185.5</v>
      </c>
      <c r="R35" s="44">
        <v>10</v>
      </c>
      <c r="S35" s="39">
        <v>9</v>
      </c>
      <c r="T35" s="39">
        <v>0</v>
      </c>
      <c r="U35" s="39">
        <v>0</v>
      </c>
      <c r="V35" s="194">
        <v>0</v>
      </c>
      <c r="W35" s="198">
        <f t="shared" si="3"/>
        <v>19</v>
      </c>
      <c r="X35" s="203">
        <v>0</v>
      </c>
      <c r="Y35" s="204">
        <v>0</v>
      </c>
      <c r="Z35" s="204">
        <v>0</v>
      </c>
      <c r="AA35" s="204">
        <v>0</v>
      </c>
      <c r="AB35" s="204">
        <v>0</v>
      </c>
      <c r="AC35" s="205">
        <v>0</v>
      </c>
    </row>
    <row r="36" spans="1:29" ht="22.5" customHeight="1" thickBot="1" x14ac:dyDescent="0.35">
      <c r="A36" s="190" t="s">
        <v>205</v>
      </c>
      <c r="B36" s="44">
        <f>V_13!B36+V_5!R36</f>
        <v>84</v>
      </c>
      <c r="C36" s="39">
        <f>V_13!C36+V_5!S36</f>
        <v>46</v>
      </c>
      <c r="D36" s="39">
        <f>V_13!D36+V_5!T36</f>
        <v>12</v>
      </c>
      <c r="E36" s="39">
        <f>V_13!E36+V_5!U36</f>
        <v>3</v>
      </c>
      <c r="F36" s="194">
        <f>V_13!F36+V_5!V36</f>
        <v>25</v>
      </c>
      <c r="G36" s="196">
        <f t="shared" si="0"/>
        <v>170</v>
      </c>
      <c r="H36" s="203">
        <f>V_13!H36+V_5!X36</f>
        <v>0</v>
      </c>
      <c r="I36" s="204">
        <f>V_13!I36+V_5!Y36</f>
        <v>0</v>
      </c>
      <c r="J36" s="204">
        <f>V_13!J36+V_5!Z36</f>
        <v>0</v>
      </c>
      <c r="K36" s="204">
        <f>V_13!K36+V_5!AA36</f>
        <v>0</v>
      </c>
      <c r="L36" s="204">
        <f>V_13!L36+V_5!AB36</f>
        <v>1</v>
      </c>
      <c r="M36" s="205">
        <f>V_13!M36+V_5!AC36</f>
        <v>0</v>
      </c>
      <c r="N36" s="85">
        <f t="shared" si="1"/>
        <v>170</v>
      </c>
      <c r="O36" s="43">
        <f t="shared" si="2"/>
        <v>254.5</v>
      </c>
      <c r="R36" s="44">
        <v>8</v>
      </c>
      <c r="S36" s="39">
        <v>3</v>
      </c>
      <c r="T36" s="39">
        <v>1</v>
      </c>
      <c r="U36" s="39">
        <v>0</v>
      </c>
      <c r="V36" s="194">
        <v>0</v>
      </c>
      <c r="W36" s="198">
        <f t="shared" si="3"/>
        <v>12</v>
      </c>
      <c r="X36" s="203">
        <v>0</v>
      </c>
      <c r="Y36" s="204">
        <v>0</v>
      </c>
      <c r="Z36" s="204">
        <v>0</v>
      </c>
      <c r="AA36" s="204">
        <v>0</v>
      </c>
      <c r="AB36" s="204">
        <v>0</v>
      </c>
      <c r="AC36" s="205">
        <v>0</v>
      </c>
    </row>
    <row r="37" spans="1:29" ht="22.5" customHeight="1" thickBot="1" x14ac:dyDescent="0.35">
      <c r="A37" s="190" t="s">
        <v>206</v>
      </c>
      <c r="B37" s="44">
        <f>V_13!B37+V_5!R37</f>
        <v>84</v>
      </c>
      <c r="C37" s="39">
        <f>V_13!C37+V_5!S37</f>
        <v>42</v>
      </c>
      <c r="D37" s="39">
        <f>V_13!D37+V_5!T37</f>
        <v>23</v>
      </c>
      <c r="E37" s="39">
        <f>V_13!E37+V_5!U37</f>
        <v>2</v>
      </c>
      <c r="F37" s="194">
        <f>V_13!F37+V_5!V37</f>
        <v>31</v>
      </c>
      <c r="G37" s="196">
        <f t="shared" si="0"/>
        <v>182</v>
      </c>
      <c r="H37" s="203">
        <f>V_13!H37+V_5!X37</f>
        <v>0</v>
      </c>
      <c r="I37" s="204">
        <f>V_13!I37+V_5!Y37</f>
        <v>0</v>
      </c>
      <c r="J37" s="204">
        <f>V_13!J37+V_5!Z37</f>
        <v>0</v>
      </c>
      <c r="K37" s="204">
        <f>V_13!K37+V_5!AA37</f>
        <v>0</v>
      </c>
      <c r="L37" s="204">
        <f>V_13!L37+V_5!AB37</f>
        <v>0</v>
      </c>
      <c r="M37" s="205">
        <f>V_13!M37+V_5!AC37</f>
        <v>0</v>
      </c>
      <c r="N37" s="85">
        <f t="shared" si="1"/>
        <v>182</v>
      </c>
      <c r="O37" s="43">
        <f t="shared" si="2"/>
        <v>285</v>
      </c>
      <c r="R37" s="44">
        <v>1</v>
      </c>
      <c r="S37" s="39">
        <v>2</v>
      </c>
      <c r="T37" s="39">
        <v>0</v>
      </c>
      <c r="U37" s="39">
        <v>0</v>
      </c>
      <c r="V37" s="194">
        <v>0</v>
      </c>
      <c r="W37" s="198">
        <f t="shared" si="3"/>
        <v>3</v>
      </c>
      <c r="X37" s="203">
        <v>0</v>
      </c>
      <c r="Y37" s="204">
        <v>0</v>
      </c>
      <c r="Z37" s="204">
        <v>0</v>
      </c>
      <c r="AA37" s="204">
        <v>0</v>
      </c>
      <c r="AB37" s="204">
        <v>0</v>
      </c>
      <c r="AC37" s="205">
        <v>0</v>
      </c>
    </row>
    <row r="38" spans="1:29" ht="22.5" customHeight="1" thickBot="1" x14ac:dyDescent="0.35">
      <c r="A38" s="190" t="s">
        <v>207</v>
      </c>
      <c r="B38" s="44">
        <f>V_13!B38+V_5!R38</f>
        <v>88</v>
      </c>
      <c r="C38" s="39">
        <f>V_13!C38+V_5!S38</f>
        <v>40</v>
      </c>
      <c r="D38" s="39">
        <f>V_13!D38+V_5!T38</f>
        <v>21</v>
      </c>
      <c r="E38" s="39">
        <f>V_13!E38+V_5!U38</f>
        <v>4</v>
      </c>
      <c r="F38" s="194">
        <f>V_13!F38+V_5!V38</f>
        <v>31</v>
      </c>
      <c r="G38" s="196">
        <f t="shared" si="0"/>
        <v>184</v>
      </c>
      <c r="H38" s="203">
        <f>V_13!H38+V_5!X38</f>
        <v>0</v>
      </c>
      <c r="I38" s="204">
        <f>V_13!I38+V_5!Y38</f>
        <v>0</v>
      </c>
      <c r="J38" s="204">
        <f>V_13!J38+V_5!Z38</f>
        <v>0</v>
      </c>
      <c r="K38" s="204">
        <f>V_13!K38+V_5!AA38</f>
        <v>0</v>
      </c>
      <c r="L38" s="204">
        <f>V_13!L38+V_5!AB38</f>
        <v>0</v>
      </c>
      <c r="M38" s="205">
        <f>V_13!M38+V_5!AC38</f>
        <v>0</v>
      </c>
      <c r="N38" s="85">
        <f t="shared" si="1"/>
        <v>184</v>
      </c>
      <c r="O38" s="43">
        <f t="shared" si="2"/>
        <v>291</v>
      </c>
      <c r="R38" s="44">
        <v>5</v>
      </c>
      <c r="S38" s="39">
        <v>3</v>
      </c>
      <c r="T38" s="39">
        <v>0</v>
      </c>
      <c r="U38" s="39">
        <v>0</v>
      </c>
      <c r="V38" s="194">
        <v>0</v>
      </c>
      <c r="W38" s="198">
        <f t="shared" si="3"/>
        <v>8</v>
      </c>
      <c r="X38" s="203">
        <v>0</v>
      </c>
      <c r="Y38" s="204">
        <v>0</v>
      </c>
      <c r="Z38" s="204">
        <v>0</v>
      </c>
      <c r="AA38" s="204">
        <v>0</v>
      </c>
      <c r="AB38" s="204">
        <v>0</v>
      </c>
      <c r="AC38" s="205">
        <v>0</v>
      </c>
    </row>
    <row r="39" spans="1:29" ht="22.5" customHeight="1" thickBot="1" x14ac:dyDescent="0.35">
      <c r="A39" s="190" t="s">
        <v>208</v>
      </c>
      <c r="B39" s="44">
        <f>V_13!B39+V_5!R39</f>
        <v>96</v>
      </c>
      <c r="C39" s="39">
        <f>V_13!C39+V_5!S39</f>
        <v>35</v>
      </c>
      <c r="D39" s="39">
        <f>V_13!D39+V_5!T39</f>
        <v>29</v>
      </c>
      <c r="E39" s="39">
        <f>V_13!E39+V_5!U39</f>
        <v>2</v>
      </c>
      <c r="F39" s="194">
        <f>V_13!F39+V_5!V39</f>
        <v>22</v>
      </c>
      <c r="G39" s="196">
        <f t="shared" si="0"/>
        <v>184</v>
      </c>
      <c r="H39" s="203">
        <f>V_13!H39+V_5!X39</f>
        <v>0</v>
      </c>
      <c r="I39" s="204">
        <f>V_13!I39+V_5!Y39</f>
        <v>0</v>
      </c>
      <c r="J39" s="204">
        <f>V_13!J39+V_5!Z39</f>
        <v>0</v>
      </c>
      <c r="K39" s="204">
        <f>V_13!K39+V_5!AA39</f>
        <v>0</v>
      </c>
      <c r="L39" s="204">
        <f>V_13!L39+V_5!AB39</f>
        <v>0</v>
      </c>
      <c r="M39" s="205">
        <f>V_13!M39+V_5!AC39</f>
        <v>0</v>
      </c>
      <c r="N39" s="85">
        <f t="shared" si="1"/>
        <v>184</v>
      </c>
      <c r="O39" s="43">
        <f t="shared" si="2"/>
        <v>262</v>
      </c>
      <c r="R39" s="44">
        <v>2</v>
      </c>
      <c r="S39" s="39">
        <v>3</v>
      </c>
      <c r="T39" s="39">
        <v>0</v>
      </c>
      <c r="U39" s="39">
        <v>0</v>
      </c>
      <c r="V39" s="194">
        <v>0</v>
      </c>
      <c r="W39" s="198">
        <f t="shared" si="3"/>
        <v>5</v>
      </c>
      <c r="X39" s="203">
        <v>0</v>
      </c>
      <c r="Y39" s="204">
        <v>0</v>
      </c>
      <c r="Z39" s="204">
        <v>0</v>
      </c>
      <c r="AA39" s="204">
        <v>0</v>
      </c>
      <c r="AB39" s="204">
        <v>0</v>
      </c>
      <c r="AC39" s="205">
        <v>0</v>
      </c>
    </row>
    <row r="40" spans="1:29" ht="22.5" customHeight="1" thickBot="1" x14ac:dyDescent="0.35">
      <c r="A40" s="190" t="s">
        <v>209</v>
      </c>
      <c r="B40" s="44">
        <f>V_13!B40+V_5!R40</f>
        <v>142</v>
      </c>
      <c r="C40" s="39">
        <f>V_13!C40+V_5!S40</f>
        <v>60</v>
      </c>
      <c r="D40" s="39">
        <f>V_13!D40+V_5!T40</f>
        <v>28</v>
      </c>
      <c r="E40" s="39">
        <f>V_13!E40+V_5!U40</f>
        <v>4</v>
      </c>
      <c r="F40" s="194">
        <f>V_13!F40+V_5!V40</f>
        <v>28</v>
      </c>
      <c r="G40" s="196">
        <f t="shared" ref="G40:G71" si="4">SUM(B40:F40)</f>
        <v>262</v>
      </c>
      <c r="H40" s="203">
        <f>V_13!H40+V_5!X40</f>
        <v>0</v>
      </c>
      <c r="I40" s="204">
        <f>V_13!I40+V_5!Y40</f>
        <v>0</v>
      </c>
      <c r="J40" s="204">
        <f>V_13!J40+V_5!Z40</f>
        <v>0</v>
      </c>
      <c r="K40" s="204">
        <f>V_13!K40+V_5!AA40</f>
        <v>0</v>
      </c>
      <c r="L40" s="204">
        <f>V_13!L40+V_5!AB40</f>
        <v>0</v>
      </c>
      <c r="M40" s="205">
        <f>V_13!M40+V_5!AC40</f>
        <v>0</v>
      </c>
      <c r="N40" s="85">
        <f t="shared" si="1"/>
        <v>262</v>
      </c>
      <c r="O40" s="43">
        <f t="shared" si="2"/>
        <v>352</v>
      </c>
      <c r="R40" s="44">
        <v>6</v>
      </c>
      <c r="S40" s="39">
        <v>4</v>
      </c>
      <c r="T40" s="39">
        <v>1</v>
      </c>
      <c r="U40" s="39">
        <v>0</v>
      </c>
      <c r="V40" s="194">
        <v>0</v>
      </c>
      <c r="W40" s="198">
        <f t="shared" si="3"/>
        <v>11</v>
      </c>
      <c r="X40" s="203">
        <v>0</v>
      </c>
      <c r="Y40" s="204">
        <v>0</v>
      </c>
      <c r="Z40" s="204">
        <v>0</v>
      </c>
      <c r="AA40" s="204">
        <v>0</v>
      </c>
      <c r="AB40" s="204">
        <v>0</v>
      </c>
      <c r="AC40" s="204">
        <v>0</v>
      </c>
    </row>
    <row r="41" spans="1:29" ht="22.5" customHeight="1" thickBot="1" x14ac:dyDescent="0.35">
      <c r="A41" s="190" t="s">
        <v>210</v>
      </c>
      <c r="B41" s="44">
        <f>V_13!B41+V_5!R41</f>
        <v>140</v>
      </c>
      <c r="C41" s="39">
        <f>V_13!C41+V_5!S41</f>
        <v>74</v>
      </c>
      <c r="D41" s="39">
        <f>V_13!D41+V_5!T41</f>
        <v>19</v>
      </c>
      <c r="E41" s="39">
        <f>V_13!E41+V_5!U41</f>
        <v>7</v>
      </c>
      <c r="F41" s="194">
        <f>V_13!F41+V_5!V41</f>
        <v>28</v>
      </c>
      <c r="G41" s="196">
        <f t="shared" si="4"/>
        <v>268</v>
      </c>
      <c r="H41" s="203">
        <f>V_13!H41+V_5!X41</f>
        <v>0</v>
      </c>
      <c r="I41" s="204">
        <f>V_13!I41+V_5!Y41</f>
        <v>0</v>
      </c>
      <c r="J41" s="204">
        <f>V_13!J41+V_5!Z41</f>
        <v>0</v>
      </c>
      <c r="K41" s="204">
        <f>V_13!K41+V_5!AA41</f>
        <v>0</v>
      </c>
      <c r="L41" s="204">
        <f>V_13!L41+V_5!AB41</f>
        <v>0</v>
      </c>
      <c r="M41" s="205">
        <f>V_13!M41+V_5!AC41</f>
        <v>0</v>
      </c>
      <c r="N41" s="85">
        <f t="shared" si="1"/>
        <v>268</v>
      </c>
      <c r="O41" s="43">
        <f t="shared" si="2"/>
        <v>352.5</v>
      </c>
      <c r="R41" s="44">
        <v>16</v>
      </c>
      <c r="S41" s="39">
        <v>9</v>
      </c>
      <c r="T41" s="39">
        <v>0</v>
      </c>
      <c r="U41" s="39">
        <v>0</v>
      </c>
      <c r="V41" s="194">
        <v>0</v>
      </c>
      <c r="W41" s="198">
        <f t="shared" si="3"/>
        <v>25</v>
      </c>
      <c r="X41" s="203">
        <v>0</v>
      </c>
      <c r="Y41" s="204">
        <v>0</v>
      </c>
      <c r="Z41" s="204">
        <v>0</v>
      </c>
      <c r="AA41" s="204">
        <v>0</v>
      </c>
      <c r="AB41" s="204">
        <v>0</v>
      </c>
      <c r="AC41" s="204">
        <v>0</v>
      </c>
    </row>
    <row r="42" spans="1:29" ht="22.5" customHeight="1" thickBot="1" x14ac:dyDescent="0.35">
      <c r="A42" s="190" t="s">
        <v>211</v>
      </c>
      <c r="B42" s="44">
        <f>V_13!B42+V_5!R42</f>
        <v>175</v>
      </c>
      <c r="C42" s="39">
        <f>V_13!C42+V_5!S42</f>
        <v>57</v>
      </c>
      <c r="D42" s="39">
        <f>V_13!D42+V_5!T42</f>
        <v>28</v>
      </c>
      <c r="E42" s="39">
        <f>V_13!E42+V_5!U42</f>
        <v>4</v>
      </c>
      <c r="F42" s="194">
        <f>V_13!F42+V_5!V42</f>
        <v>33</v>
      </c>
      <c r="G42" s="196">
        <f t="shared" si="4"/>
        <v>297</v>
      </c>
      <c r="H42" s="203">
        <f>V_13!H42+V_5!X42</f>
        <v>0</v>
      </c>
      <c r="I42" s="204">
        <f>V_13!I42+V_5!Y42</f>
        <v>0</v>
      </c>
      <c r="J42" s="204">
        <f>V_13!J42+V_5!Z42</f>
        <v>0</v>
      </c>
      <c r="K42" s="204">
        <f>V_13!K42+V_5!AA42</f>
        <v>0</v>
      </c>
      <c r="L42" s="204">
        <f>V_13!L42+V_5!AB42</f>
        <v>0</v>
      </c>
      <c r="M42" s="205">
        <f>V_13!M42+V_5!AC42</f>
        <v>0</v>
      </c>
      <c r="N42" s="85">
        <f t="shared" si="1"/>
        <v>297</v>
      </c>
      <c r="O42" s="43">
        <f t="shared" si="2"/>
        <v>406</v>
      </c>
      <c r="R42" s="44">
        <v>6</v>
      </c>
      <c r="S42" s="39">
        <v>2</v>
      </c>
      <c r="T42" s="39">
        <v>2</v>
      </c>
      <c r="U42" s="39">
        <v>0</v>
      </c>
      <c r="V42" s="194">
        <v>0</v>
      </c>
      <c r="W42" s="198">
        <f t="shared" si="3"/>
        <v>10</v>
      </c>
      <c r="X42" s="203">
        <v>0</v>
      </c>
      <c r="Y42" s="204">
        <v>0</v>
      </c>
      <c r="Z42" s="204">
        <v>0</v>
      </c>
      <c r="AA42" s="204">
        <v>0</v>
      </c>
      <c r="AB42" s="204">
        <v>0</v>
      </c>
      <c r="AC42" s="204">
        <v>0</v>
      </c>
    </row>
    <row r="43" spans="1:29" ht="22.5" customHeight="1" thickBot="1" x14ac:dyDescent="0.35">
      <c r="A43" s="190" t="s">
        <v>212</v>
      </c>
      <c r="B43" s="44">
        <f>V_13!B43+V_5!R43</f>
        <v>171</v>
      </c>
      <c r="C43" s="39">
        <f>V_13!C43+V_5!S43</f>
        <v>44</v>
      </c>
      <c r="D43" s="39">
        <f>V_13!D43+V_5!T43</f>
        <v>11</v>
      </c>
      <c r="E43" s="39">
        <f>V_13!E43+V_5!U43</f>
        <v>12</v>
      </c>
      <c r="F43" s="194">
        <f>V_13!F43+V_5!V43</f>
        <v>33</v>
      </c>
      <c r="G43" s="196">
        <f t="shared" si="4"/>
        <v>271</v>
      </c>
      <c r="H43" s="203">
        <f>V_13!H43+V_5!X43</f>
        <v>1</v>
      </c>
      <c r="I43" s="204">
        <f>V_13!I43+V_5!Y43</f>
        <v>0</v>
      </c>
      <c r="J43" s="204">
        <f>V_13!J43+V_5!Z43</f>
        <v>0</v>
      </c>
      <c r="K43" s="204">
        <f>V_13!K43+V_5!AA43</f>
        <v>0</v>
      </c>
      <c r="L43" s="204">
        <f>V_13!L43+V_5!AB43</f>
        <v>0</v>
      </c>
      <c r="M43" s="205">
        <f>V_13!M43+V_5!AC43</f>
        <v>0</v>
      </c>
      <c r="N43" s="85">
        <f t="shared" si="1"/>
        <v>271</v>
      </c>
      <c r="O43" s="43">
        <f t="shared" si="2"/>
        <v>394.5</v>
      </c>
      <c r="R43" s="44">
        <v>8</v>
      </c>
      <c r="S43" s="39">
        <v>7</v>
      </c>
      <c r="T43" s="39">
        <v>0</v>
      </c>
      <c r="U43" s="39">
        <v>0</v>
      </c>
      <c r="V43" s="194">
        <v>0</v>
      </c>
      <c r="W43" s="198">
        <f t="shared" si="3"/>
        <v>15</v>
      </c>
      <c r="X43" s="203">
        <v>0</v>
      </c>
      <c r="Y43" s="204">
        <v>0</v>
      </c>
      <c r="Z43" s="204">
        <v>0</v>
      </c>
      <c r="AA43" s="204">
        <v>0</v>
      </c>
      <c r="AB43" s="204">
        <v>0</v>
      </c>
      <c r="AC43" s="204">
        <v>0</v>
      </c>
    </row>
    <row r="44" spans="1:29" ht="22.5" customHeight="1" thickBot="1" x14ac:dyDescent="0.35">
      <c r="A44" s="190" t="s">
        <v>213</v>
      </c>
      <c r="B44" s="44">
        <f>V_13!B44+V_5!R44</f>
        <v>182</v>
      </c>
      <c r="C44" s="39">
        <f>V_13!C44+V_5!S44</f>
        <v>57</v>
      </c>
      <c r="D44" s="39">
        <f>V_13!D44+V_5!T44</f>
        <v>13</v>
      </c>
      <c r="E44" s="39">
        <f>V_13!E44+V_5!U44</f>
        <v>4</v>
      </c>
      <c r="F44" s="194">
        <f>V_13!F44+V_5!V44</f>
        <v>32</v>
      </c>
      <c r="G44" s="196">
        <f t="shared" si="4"/>
        <v>288</v>
      </c>
      <c r="H44" s="203">
        <f>V_13!H44+V_5!X44</f>
        <v>0</v>
      </c>
      <c r="I44" s="204">
        <f>V_13!I44+V_5!Y44</f>
        <v>0</v>
      </c>
      <c r="J44" s="204">
        <f>V_13!J44+V_5!Z44</f>
        <v>0</v>
      </c>
      <c r="K44" s="204">
        <f>V_13!K44+V_5!AA44</f>
        <v>0</v>
      </c>
      <c r="L44" s="204">
        <f>V_13!L44+V_5!AB44</f>
        <v>0</v>
      </c>
      <c r="M44" s="205">
        <f>V_13!M44+V_5!AC44</f>
        <v>0</v>
      </c>
      <c r="N44" s="85">
        <f t="shared" si="1"/>
        <v>288</v>
      </c>
      <c r="O44" s="43">
        <f t="shared" si="2"/>
        <v>386</v>
      </c>
      <c r="R44" s="44">
        <v>7</v>
      </c>
      <c r="S44" s="39">
        <v>3</v>
      </c>
      <c r="T44" s="39">
        <v>1</v>
      </c>
      <c r="U44" s="39">
        <v>0</v>
      </c>
      <c r="V44" s="194">
        <v>1</v>
      </c>
      <c r="W44" s="198">
        <f t="shared" si="3"/>
        <v>12</v>
      </c>
      <c r="X44" s="203">
        <v>0</v>
      </c>
      <c r="Y44" s="204">
        <v>0</v>
      </c>
      <c r="Z44" s="204">
        <v>0</v>
      </c>
      <c r="AA44" s="204">
        <v>0</v>
      </c>
      <c r="AB44" s="204">
        <v>0</v>
      </c>
      <c r="AC44" s="204">
        <v>0</v>
      </c>
    </row>
    <row r="45" spans="1:29" ht="22.5" customHeight="1" thickBot="1" x14ac:dyDescent="0.35">
      <c r="A45" s="190" t="s">
        <v>214</v>
      </c>
      <c r="B45" s="44">
        <f>V_13!B45+V_5!R45</f>
        <v>203</v>
      </c>
      <c r="C45" s="39">
        <f>V_13!C45+V_5!S45</f>
        <v>52</v>
      </c>
      <c r="D45" s="39">
        <f>V_13!D45+V_5!T45</f>
        <v>19</v>
      </c>
      <c r="E45" s="39">
        <f>V_13!E45+V_5!U45</f>
        <v>9</v>
      </c>
      <c r="F45" s="194">
        <f>V_13!F45+V_5!V45</f>
        <v>17</v>
      </c>
      <c r="G45" s="196">
        <f t="shared" si="4"/>
        <v>300</v>
      </c>
      <c r="H45" s="203">
        <f>V_13!H45+V_5!X45</f>
        <v>0</v>
      </c>
      <c r="I45" s="204">
        <f>V_13!I45+V_5!Y45</f>
        <v>0</v>
      </c>
      <c r="J45" s="204">
        <f>V_13!J45+V_5!Z45</f>
        <v>0</v>
      </c>
      <c r="K45" s="204">
        <f>V_13!K45+V_5!AA45</f>
        <v>0</v>
      </c>
      <c r="L45" s="204">
        <f>V_13!L45+V_5!AB45</f>
        <v>1</v>
      </c>
      <c r="M45" s="205">
        <f>V_13!M45+V_5!AC45</f>
        <v>0</v>
      </c>
      <c r="N45" s="85">
        <f t="shared" si="1"/>
        <v>300</v>
      </c>
      <c r="O45" s="43">
        <f t="shared" si="2"/>
        <v>369</v>
      </c>
      <c r="R45" s="44">
        <v>4</v>
      </c>
      <c r="S45" s="39">
        <v>9</v>
      </c>
      <c r="T45" s="39">
        <v>1</v>
      </c>
      <c r="U45" s="39">
        <v>1</v>
      </c>
      <c r="V45" s="194">
        <v>0</v>
      </c>
      <c r="W45" s="198">
        <f t="shared" si="3"/>
        <v>15</v>
      </c>
      <c r="X45" s="203">
        <v>0</v>
      </c>
      <c r="Y45" s="204">
        <v>0</v>
      </c>
      <c r="Z45" s="204">
        <v>0</v>
      </c>
      <c r="AA45" s="204">
        <v>0</v>
      </c>
      <c r="AB45" s="204">
        <v>0</v>
      </c>
      <c r="AC45" s="204">
        <v>0</v>
      </c>
    </row>
    <row r="46" spans="1:29" ht="22.5" customHeight="1" thickBot="1" x14ac:dyDescent="0.35">
      <c r="A46" s="190" t="s">
        <v>215</v>
      </c>
      <c r="B46" s="44">
        <f>V_13!B46+V_5!R46</f>
        <v>145</v>
      </c>
      <c r="C46" s="39">
        <f>V_13!C46+V_5!S46</f>
        <v>90</v>
      </c>
      <c r="D46" s="39">
        <f>V_13!D46+V_5!T46</f>
        <v>24</v>
      </c>
      <c r="E46" s="39">
        <f>V_13!E46+V_5!U46</f>
        <v>8</v>
      </c>
      <c r="F46" s="194">
        <f>V_13!F46+V_5!V46</f>
        <v>42</v>
      </c>
      <c r="G46" s="196">
        <f t="shared" si="4"/>
        <v>309</v>
      </c>
      <c r="H46" s="203">
        <f>V_13!H46+V_5!X46</f>
        <v>0</v>
      </c>
      <c r="I46" s="204">
        <f>V_13!I46+V_5!Y46</f>
        <v>0</v>
      </c>
      <c r="J46" s="204">
        <f>V_13!J46+V_5!Z46</f>
        <v>0</v>
      </c>
      <c r="K46" s="204">
        <f>V_13!K46+V_5!AA46</f>
        <v>0</v>
      </c>
      <c r="L46" s="204">
        <f>V_13!L46+V_5!AB46</f>
        <v>1</v>
      </c>
      <c r="M46" s="205">
        <f>V_13!M46+V_5!AC46</f>
        <v>0</v>
      </c>
      <c r="N46" s="85">
        <f t="shared" si="1"/>
        <v>309</v>
      </c>
      <c r="O46" s="43">
        <f t="shared" si="2"/>
        <v>447</v>
      </c>
      <c r="R46" s="44">
        <v>9</v>
      </c>
      <c r="S46" s="39">
        <v>7</v>
      </c>
      <c r="T46" s="39">
        <v>6</v>
      </c>
      <c r="U46" s="39">
        <v>0</v>
      </c>
      <c r="V46" s="194">
        <v>0</v>
      </c>
      <c r="W46" s="198">
        <f t="shared" si="3"/>
        <v>22</v>
      </c>
      <c r="X46" s="203">
        <v>0</v>
      </c>
      <c r="Y46" s="204">
        <v>0</v>
      </c>
      <c r="Z46" s="204">
        <v>0</v>
      </c>
      <c r="AA46" s="204">
        <v>0</v>
      </c>
      <c r="AB46" s="204">
        <v>0</v>
      </c>
      <c r="AC46" s="204">
        <v>0</v>
      </c>
    </row>
    <row r="47" spans="1:29" ht="22.5" customHeight="1" thickBot="1" x14ac:dyDescent="0.35">
      <c r="A47" s="190" t="s">
        <v>216</v>
      </c>
      <c r="B47" s="44">
        <f>V_13!B47+V_5!R47</f>
        <v>167</v>
      </c>
      <c r="C47" s="39">
        <f>V_13!C47+V_5!S47</f>
        <v>82</v>
      </c>
      <c r="D47" s="39">
        <f>V_13!D47+V_5!T47</f>
        <v>20</v>
      </c>
      <c r="E47" s="39">
        <f>V_13!E47+V_5!U47</f>
        <v>19</v>
      </c>
      <c r="F47" s="194">
        <f>V_13!F47+V_5!V47</f>
        <v>46</v>
      </c>
      <c r="G47" s="196">
        <f t="shared" si="4"/>
        <v>334</v>
      </c>
      <c r="H47" s="203">
        <f>V_13!H47+V_5!X47</f>
        <v>0</v>
      </c>
      <c r="I47" s="204">
        <f>V_13!I47+V_5!Y47</f>
        <v>0</v>
      </c>
      <c r="J47" s="204">
        <f>V_13!J47+V_5!Z47</f>
        <v>0</v>
      </c>
      <c r="K47" s="204">
        <f>V_13!K47+V_5!AA47</f>
        <v>0</v>
      </c>
      <c r="L47" s="204">
        <f>V_13!L47+V_5!AB47</f>
        <v>0</v>
      </c>
      <c r="M47" s="205">
        <f>V_13!M47+V_5!AC47</f>
        <v>0</v>
      </c>
      <c r="N47" s="85">
        <f t="shared" si="1"/>
        <v>334</v>
      </c>
      <c r="O47" s="43">
        <f t="shared" si="2"/>
        <v>502</v>
      </c>
      <c r="R47" s="44">
        <v>16</v>
      </c>
      <c r="S47" s="39">
        <v>7</v>
      </c>
      <c r="T47" s="39">
        <v>2</v>
      </c>
      <c r="U47" s="39">
        <v>0</v>
      </c>
      <c r="V47" s="194">
        <v>0</v>
      </c>
      <c r="W47" s="198">
        <f t="shared" si="3"/>
        <v>25</v>
      </c>
      <c r="X47" s="203">
        <v>0</v>
      </c>
      <c r="Y47" s="204">
        <v>0</v>
      </c>
      <c r="Z47" s="204">
        <v>0</v>
      </c>
      <c r="AA47" s="204">
        <v>0</v>
      </c>
      <c r="AB47" s="204">
        <v>0</v>
      </c>
      <c r="AC47" s="204">
        <v>0</v>
      </c>
    </row>
    <row r="48" spans="1:29" ht="22.5" customHeight="1" thickBot="1" x14ac:dyDescent="0.35">
      <c r="A48" s="190" t="s">
        <v>217</v>
      </c>
      <c r="B48" s="44">
        <f>V_13!B48+V_5!R48</f>
        <v>149</v>
      </c>
      <c r="C48" s="39">
        <f>V_13!C48+V_5!S48</f>
        <v>82</v>
      </c>
      <c r="D48" s="39">
        <f>V_13!D48+V_5!T48</f>
        <v>23</v>
      </c>
      <c r="E48" s="39">
        <f>V_13!E48+V_5!U48</f>
        <v>6</v>
      </c>
      <c r="F48" s="194">
        <f>V_13!F48+V_5!V48</f>
        <v>39</v>
      </c>
      <c r="G48" s="196">
        <f t="shared" si="4"/>
        <v>299</v>
      </c>
      <c r="H48" s="203">
        <f>V_13!H48+V_5!X48</f>
        <v>0</v>
      </c>
      <c r="I48" s="204">
        <f>V_13!I48+V_5!Y48</f>
        <v>0</v>
      </c>
      <c r="J48" s="204">
        <f>V_13!J48+V_5!Z48</f>
        <v>0</v>
      </c>
      <c r="K48" s="204">
        <f>V_13!K48+V_5!AA48</f>
        <v>0</v>
      </c>
      <c r="L48" s="204">
        <f>V_13!L48+V_5!AB48</f>
        <v>0</v>
      </c>
      <c r="M48" s="205">
        <f>V_13!M48+V_5!AC48</f>
        <v>0</v>
      </c>
      <c r="N48" s="85">
        <f t="shared" si="1"/>
        <v>299</v>
      </c>
      <c r="O48" s="43">
        <f t="shared" si="2"/>
        <v>418</v>
      </c>
      <c r="R48" s="44">
        <v>7</v>
      </c>
      <c r="S48" s="39">
        <v>2</v>
      </c>
      <c r="T48" s="39">
        <v>2</v>
      </c>
      <c r="U48" s="39">
        <v>0</v>
      </c>
      <c r="V48" s="194">
        <v>1</v>
      </c>
      <c r="W48" s="198">
        <f t="shared" si="3"/>
        <v>12</v>
      </c>
      <c r="X48" s="203">
        <v>0</v>
      </c>
      <c r="Y48" s="204">
        <v>0</v>
      </c>
      <c r="Z48" s="204">
        <v>0</v>
      </c>
      <c r="AA48" s="204">
        <v>0</v>
      </c>
      <c r="AB48" s="204">
        <v>0</v>
      </c>
      <c r="AC48" s="204">
        <v>0</v>
      </c>
    </row>
    <row r="49" spans="1:29" ht="22.5" customHeight="1" thickBot="1" x14ac:dyDescent="0.35">
      <c r="A49" s="190" t="s">
        <v>218</v>
      </c>
      <c r="B49" s="44">
        <f>V_13!B49+V_5!R49</f>
        <v>175</v>
      </c>
      <c r="C49" s="39">
        <f>V_13!C49+V_5!S49</f>
        <v>114</v>
      </c>
      <c r="D49" s="39">
        <f>V_13!D49+V_5!T49</f>
        <v>21</v>
      </c>
      <c r="E49" s="39">
        <f>V_13!E49+V_5!U49</f>
        <v>6</v>
      </c>
      <c r="F49" s="194">
        <f>V_13!F49+V_5!V49</f>
        <v>44</v>
      </c>
      <c r="G49" s="196">
        <f t="shared" si="4"/>
        <v>360</v>
      </c>
      <c r="H49" s="203">
        <f>V_13!H49+V_5!X49</f>
        <v>0</v>
      </c>
      <c r="I49" s="204">
        <f>V_13!I49+V_5!Y49</f>
        <v>0</v>
      </c>
      <c r="J49" s="204">
        <f>V_13!J49+V_5!Z49</f>
        <v>0</v>
      </c>
      <c r="K49" s="204">
        <f>V_13!K49+V_5!AA49</f>
        <v>0</v>
      </c>
      <c r="L49" s="204">
        <f>V_13!L49+V_5!AB49</f>
        <v>0</v>
      </c>
      <c r="M49" s="205">
        <f>V_13!M49+V_5!AC49</f>
        <v>0</v>
      </c>
      <c r="N49" s="85">
        <f t="shared" si="1"/>
        <v>360</v>
      </c>
      <c r="O49" s="43">
        <f t="shared" si="2"/>
        <v>479.5</v>
      </c>
      <c r="R49" s="44">
        <v>8</v>
      </c>
      <c r="S49" s="39">
        <v>5</v>
      </c>
      <c r="T49" s="39">
        <v>2</v>
      </c>
      <c r="U49" s="39">
        <v>0</v>
      </c>
      <c r="V49" s="194">
        <v>1</v>
      </c>
      <c r="W49" s="198">
        <f t="shared" si="3"/>
        <v>16</v>
      </c>
      <c r="X49" s="203">
        <v>0</v>
      </c>
      <c r="Y49" s="204">
        <v>0</v>
      </c>
      <c r="Z49" s="204">
        <v>0</v>
      </c>
      <c r="AA49" s="204">
        <v>0</v>
      </c>
      <c r="AB49" s="204">
        <v>0</v>
      </c>
      <c r="AC49" s="204">
        <v>0</v>
      </c>
    </row>
    <row r="50" spans="1:29" ht="22.5" customHeight="1" thickBot="1" x14ac:dyDescent="0.35">
      <c r="A50" s="190" t="s">
        <v>219</v>
      </c>
      <c r="B50" s="44">
        <f>V_13!B50+V_5!R50</f>
        <v>150</v>
      </c>
      <c r="C50" s="39">
        <f>V_13!C50+V_5!S50</f>
        <v>106</v>
      </c>
      <c r="D50" s="39">
        <f>V_13!D50+V_5!T50</f>
        <v>20</v>
      </c>
      <c r="E50" s="39">
        <f>V_13!E50+V_5!U50</f>
        <v>6</v>
      </c>
      <c r="F50" s="194">
        <f>V_13!F50+V_5!V50</f>
        <v>28</v>
      </c>
      <c r="G50" s="196">
        <f t="shared" si="4"/>
        <v>310</v>
      </c>
      <c r="H50" s="203">
        <f>V_13!H50+V_5!X50</f>
        <v>0</v>
      </c>
      <c r="I50" s="204">
        <f>V_13!I50+V_5!Y50</f>
        <v>0</v>
      </c>
      <c r="J50" s="204">
        <f>V_13!J50+V_5!Z50</f>
        <v>0</v>
      </c>
      <c r="K50" s="204">
        <f>V_13!K50+V_5!AA50</f>
        <v>0</v>
      </c>
      <c r="L50" s="204">
        <f>V_13!L50+V_5!AB50</f>
        <v>0</v>
      </c>
      <c r="M50" s="205">
        <f>V_13!M50+V_5!AC50</f>
        <v>0</v>
      </c>
      <c r="N50" s="85">
        <f t="shared" si="1"/>
        <v>310</v>
      </c>
      <c r="O50" s="43">
        <f t="shared" si="2"/>
        <v>377</v>
      </c>
      <c r="R50" s="44">
        <v>10</v>
      </c>
      <c r="S50" s="39">
        <v>12</v>
      </c>
      <c r="T50" s="39">
        <v>1</v>
      </c>
      <c r="U50" s="39">
        <v>0</v>
      </c>
      <c r="V50" s="194">
        <v>0</v>
      </c>
      <c r="W50" s="198">
        <f t="shared" si="3"/>
        <v>23</v>
      </c>
      <c r="X50" s="203">
        <v>0</v>
      </c>
      <c r="Y50" s="204">
        <v>0</v>
      </c>
      <c r="Z50" s="204">
        <v>0</v>
      </c>
      <c r="AA50" s="204">
        <v>0</v>
      </c>
      <c r="AB50" s="204">
        <v>0</v>
      </c>
      <c r="AC50" s="204">
        <v>0</v>
      </c>
    </row>
    <row r="51" spans="1:29" ht="22.5" customHeight="1" thickBot="1" x14ac:dyDescent="0.35">
      <c r="A51" s="190" t="s">
        <v>220</v>
      </c>
      <c r="B51" s="44">
        <f>V_13!B51+V_5!R51</f>
        <v>180</v>
      </c>
      <c r="C51" s="39">
        <f>V_13!C51+V_5!S51</f>
        <v>95</v>
      </c>
      <c r="D51" s="39">
        <f>V_13!D51+V_5!T51</f>
        <v>27</v>
      </c>
      <c r="E51" s="39">
        <f>V_13!E51+V_5!U51</f>
        <v>9</v>
      </c>
      <c r="F51" s="194">
        <f>V_13!F51+V_5!V51</f>
        <v>40</v>
      </c>
      <c r="G51" s="196">
        <f t="shared" si="4"/>
        <v>351</v>
      </c>
      <c r="H51" s="203">
        <f>V_13!H51+V_5!X51</f>
        <v>0</v>
      </c>
      <c r="I51" s="204">
        <f>V_13!I51+V_5!Y51</f>
        <v>0</v>
      </c>
      <c r="J51" s="204">
        <f>V_13!J51+V_5!Z51</f>
        <v>0</v>
      </c>
      <c r="K51" s="204">
        <f>V_13!K51+V_5!AA51</f>
        <v>0</v>
      </c>
      <c r="L51" s="204">
        <f>V_13!L51+V_5!AB51</f>
        <v>0</v>
      </c>
      <c r="M51" s="205">
        <f>V_13!M51+V_5!AC51</f>
        <v>0</v>
      </c>
      <c r="N51" s="85">
        <f t="shared" si="1"/>
        <v>351</v>
      </c>
      <c r="O51" s="43">
        <f t="shared" si="2"/>
        <v>475</v>
      </c>
      <c r="R51" s="44">
        <v>15</v>
      </c>
      <c r="S51" s="39">
        <v>8</v>
      </c>
      <c r="T51" s="39">
        <v>3</v>
      </c>
      <c r="U51" s="39">
        <v>0</v>
      </c>
      <c r="V51" s="194">
        <v>0</v>
      </c>
      <c r="W51" s="198">
        <f t="shared" si="3"/>
        <v>26</v>
      </c>
      <c r="X51" s="203">
        <v>0</v>
      </c>
      <c r="Y51" s="204">
        <v>0</v>
      </c>
      <c r="Z51" s="204">
        <v>0</v>
      </c>
      <c r="AA51" s="204">
        <v>0</v>
      </c>
      <c r="AB51" s="204">
        <v>0</v>
      </c>
      <c r="AC51" s="204">
        <v>0</v>
      </c>
    </row>
    <row r="52" spans="1:29" ht="22.5" customHeight="1" thickBot="1" x14ac:dyDescent="0.35">
      <c r="A52" s="190" t="s">
        <v>221</v>
      </c>
      <c r="B52" s="44">
        <f>V_13!B52+V_5!R52</f>
        <v>165</v>
      </c>
      <c r="C52" s="39">
        <f>V_13!C52+V_5!S52</f>
        <v>109</v>
      </c>
      <c r="D52" s="39">
        <f>V_13!D52+V_5!T52</f>
        <v>20</v>
      </c>
      <c r="E52" s="39">
        <f>V_13!E52+V_5!U52</f>
        <v>8</v>
      </c>
      <c r="F52" s="194">
        <f>V_13!F52+V_5!V52</f>
        <v>36</v>
      </c>
      <c r="G52" s="196">
        <f t="shared" si="4"/>
        <v>338</v>
      </c>
      <c r="H52" s="203">
        <f>V_13!H52+V_5!X52</f>
        <v>0</v>
      </c>
      <c r="I52" s="204">
        <f>V_13!I52+V_5!Y52</f>
        <v>0</v>
      </c>
      <c r="J52" s="204">
        <f>V_13!J52+V_5!Z52</f>
        <v>0</v>
      </c>
      <c r="K52" s="204">
        <f>V_13!K52+V_5!AA52</f>
        <v>1</v>
      </c>
      <c r="L52" s="204">
        <f>V_13!L52+V_5!AB52</f>
        <v>0</v>
      </c>
      <c r="M52" s="205">
        <f>V_13!M52+V_5!AC52</f>
        <v>0</v>
      </c>
      <c r="N52" s="85">
        <f t="shared" si="1"/>
        <v>338</v>
      </c>
      <c r="O52" s="43">
        <f t="shared" si="2"/>
        <v>439.5</v>
      </c>
      <c r="R52" s="44">
        <v>18</v>
      </c>
      <c r="S52" s="39">
        <v>24</v>
      </c>
      <c r="T52" s="39">
        <v>1</v>
      </c>
      <c r="U52" s="39">
        <v>0</v>
      </c>
      <c r="V52" s="194">
        <v>1</v>
      </c>
      <c r="W52" s="198">
        <f t="shared" si="3"/>
        <v>44</v>
      </c>
      <c r="X52" s="203">
        <v>0</v>
      </c>
      <c r="Y52" s="204">
        <v>0</v>
      </c>
      <c r="Z52" s="204">
        <v>0</v>
      </c>
      <c r="AA52" s="204">
        <v>1</v>
      </c>
      <c r="AB52" s="204">
        <v>0</v>
      </c>
      <c r="AC52" s="204">
        <v>0</v>
      </c>
    </row>
    <row r="53" spans="1:29" ht="22.5" customHeight="1" thickBot="1" x14ac:dyDescent="0.35">
      <c r="A53" s="190" t="s">
        <v>222</v>
      </c>
      <c r="B53" s="44">
        <f>V_13!B53+V_5!R53</f>
        <v>170</v>
      </c>
      <c r="C53" s="39">
        <f>V_13!C53+V_5!S53</f>
        <v>105</v>
      </c>
      <c r="D53" s="39">
        <f>V_13!D53+V_5!T53</f>
        <v>11</v>
      </c>
      <c r="E53" s="39">
        <f>V_13!E53+V_5!U53</f>
        <v>4</v>
      </c>
      <c r="F53" s="194">
        <f>V_13!F53+V_5!V53</f>
        <v>62</v>
      </c>
      <c r="G53" s="196">
        <f t="shared" si="4"/>
        <v>352</v>
      </c>
      <c r="H53" s="203">
        <f>V_13!H53+V_5!X53</f>
        <v>1</v>
      </c>
      <c r="I53" s="204">
        <f>V_13!I53+V_5!Y53</f>
        <v>0</v>
      </c>
      <c r="J53" s="204">
        <f>V_13!J53+V_5!Z53</f>
        <v>0</v>
      </c>
      <c r="K53" s="204">
        <f>V_13!K53+V_5!AA53</f>
        <v>0</v>
      </c>
      <c r="L53" s="204">
        <f>V_13!L53+V_5!AB53</f>
        <v>0</v>
      </c>
      <c r="M53" s="205">
        <f>V_13!M53+V_5!AC53</f>
        <v>0</v>
      </c>
      <c r="N53" s="85">
        <f t="shared" si="1"/>
        <v>352</v>
      </c>
      <c r="O53" s="43">
        <f t="shared" si="2"/>
        <v>530.5</v>
      </c>
      <c r="R53" s="44">
        <v>16</v>
      </c>
      <c r="S53" s="39">
        <v>21</v>
      </c>
      <c r="T53" s="39">
        <v>0</v>
      </c>
      <c r="U53" s="39">
        <v>0</v>
      </c>
      <c r="V53" s="194">
        <v>0</v>
      </c>
      <c r="W53" s="198">
        <f t="shared" si="3"/>
        <v>37</v>
      </c>
      <c r="X53" s="203">
        <v>0</v>
      </c>
      <c r="Y53" s="204">
        <v>0</v>
      </c>
      <c r="Z53" s="204">
        <v>0</v>
      </c>
      <c r="AA53" s="204">
        <v>0</v>
      </c>
      <c r="AB53" s="204">
        <v>0</v>
      </c>
      <c r="AC53" s="204">
        <v>0</v>
      </c>
    </row>
    <row r="54" spans="1:29" ht="22.5" customHeight="1" thickBot="1" x14ac:dyDescent="0.35">
      <c r="A54" s="190" t="s">
        <v>223</v>
      </c>
      <c r="B54" s="44">
        <f>V_13!B54+V_5!R54</f>
        <v>157</v>
      </c>
      <c r="C54" s="39">
        <f>V_13!C54+V_5!S54</f>
        <v>97</v>
      </c>
      <c r="D54" s="39">
        <f>V_13!D54+V_5!T54</f>
        <v>13</v>
      </c>
      <c r="E54" s="39">
        <f>V_13!E54+V_5!U54</f>
        <v>9</v>
      </c>
      <c r="F54" s="194">
        <f>V_13!F54+V_5!V54</f>
        <v>37</v>
      </c>
      <c r="G54" s="196">
        <f t="shared" si="4"/>
        <v>313</v>
      </c>
      <c r="H54" s="203">
        <f>V_13!H54+V_5!X54</f>
        <v>0</v>
      </c>
      <c r="I54" s="204">
        <f>V_13!I54+V_5!Y54</f>
        <v>0</v>
      </c>
      <c r="J54" s="204">
        <f>V_13!J54+V_5!Z54</f>
        <v>0</v>
      </c>
      <c r="K54" s="204">
        <f>V_13!K54+V_5!AA54</f>
        <v>0</v>
      </c>
      <c r="L54" s="204">
        <f>V_13!L54+V_5!AB54</f>
        <v>0</v>
      </c>
      <c r="M54" s="205">
        <f>V_13!M54+V_5!AC54</f>
        <v>0</v>
      </c>
      <c r="N54" s="85">
        <f t="shared" si="1"/>
        <v>313</v>
      </c>
      <c r="O54" s="43">
        <f t="shared" si="2"/>
        <v>418.5</v>
      </c>
      <c r="R54" s="44">
        <v>6</v>
      </c>
      <c r="S54" s="39">
        <v>5</v>
      </c>
      <c r="T54" s="39">
        <v>0</v>
      </c>
      <c r="U54" s="39">
        <v>0</v>
      </c>
      <c r="V54" s="194">
        <v>0</v>
      </c>
      <c r="W54" s="198">
        <f t="shared" si="3"/>
        <v>11</v>
      </c>
      <c r="X54" s="203">
        <v>0</v>
      </c>
      <c r="Y54" s="204">
        <v>0</v>
      </c>
      <c r="Z54" s="204">
        <v>0</v>
      </c>
      <c r="AA54" s="204">
        <v>0</v>
      </c>
      <c r="AB54" s="204">
        <v>0</v>
      </c>
      <c r="AC54" s="204">
        <v>0</v>
      </c>
    </row>
    <row r="55" spans="1:29" ht="22.5" customHeight="1" x14ac:dyDescent="0.3">
      <c r="A55" s="190" t="s">
        <v>224</v>
      </c>
      <c r="B55" s="44">
        <f>V_13!B55+V_5!R55</f>
        <v>127</v>
      </c>
      <c r="C55" s="39">
        <f>V_13!C55+V_5!S55</f>
        <v>53</v>
      </c>
      <c r="D55" s="39">
        <f>V_13!D55+V_5!T55</f>
        <v>20</v>
      </c>
      <c r="E55" s="39">
        <f>V_13!E55+V_5!U55</f>
        <v>8</v>
      </c>
      <c r="F55" s="194">
        <f>V_13!F55+V_5!V55</f>
        <v>42</v>
      </c>
      <c r="G55" s="196">
        <f t="shared" si="4"/>
        <v>250</v>
      </c>
      <c r="H55" s="203">
        <f>V_13!H55+V_5!X55</f>
        <v>0</v>
      </c>
      <c r="I55" s="204">
        <f>V_13!I55+V_5!Y55</f>
        <v>0</v>
      </c>
      <c r="J55" s="204">
        <f>V_13!J55+V_5!Z55</f>
        <v>0</v>
      </c>
      <c r="K55" s="204">
        <f>V_13!K55+V_5!AA55</f>
        <v>0</v>
      </c>
      <c r="L55" s="204">
        <f>V_13!L55+V_5!AB55</f>
        <v>0</v>
      </c>
      <c r="M55" s="205">
        <f>V_13!M55+V_5!AC55</f>
        <v>0</v>
      </c>
      <c r="N55" s="85">
        <f t="shared" si="1"/>
        <v>250</v>
      </c>
      <c r="O55" s="43">
        <f t="shared" si="2"/>
        <v>396.5</v>
      </c>
      <c r="R55" s="44">
        <v>7</v>
      </c>
      <c r="S55" s="39">
        <v>1</v>
      </c>
      <c r="T55" s="39">
        <v>0</v>
      </c>
      <c r="U55" s="39">
        <v>0</v>
      </c>
      <c r="V55" s="194">
        <v>0</v>
      </c>
      <c r="W55" s="198">
        <f t="shared" si="3"/>
        <v>8</v>
      </c>
      <c r="X55" s="203">
        <v>0</v>
      </c>
      <c r="Y55" s="204">
        <v>0</v>
      </c>
      <c r="Z55" s="204">
        <v>0</v>
      </c>
      <c r="AA55" s="204">
        <v>0</v>
      </c>
      <c r="AB55" s="204">
        <v>0</v>
      </c>
      <c r="AC55" s="204">
        <v>0</v>
      </c>
    </row>
    <row r="56" spans="1:29" ht="22.5" customHeight="1" x14ac:dyDescent="0.3">
      <c r="A56" s="190" t="s">
        <v>225</v>
      </c>
      <c r="B56" s="44">
        <f>V_13!B56+V_5!R56</f>
        <v>125</v>
      </c>
      <c r="C56" s="39">
        <f>V_13!C56+V_5!S56</f>
        <v>65</v>
      </c>
      <c r="D56" s="39">
        <f>V_13!D56+V_5!T56</f>
        <v>10</v>
      </c>
      <c r="E56" s="39">
        <f>V_13!E56+V_5!U56</f>
        <v>9</v>
      </c>
      <c r="F56" s="194">
        <f>V_13!F56+V_5!V56</f>
        <v>39</v>
      </c>
      <c r="G56" s="196">
        <f t="shared" si="4"/>
        <v>248</v>
      </c>
      <c r="H56" s="203">
        <f>V_13!H56+V_5!X56</f>
        <v>0</v>
      </c>
      <c r="I56" s="204">
        <f>V_13!I56+V_5!Y56</f>
        <v>0</v>
      </c>
      <c r="J56" s="204">
        <f>V_13!J56+V_5!Z56</f>
        <v>0</v>
      </c>
      <c r="K56" s="204">
        <f>V_13!K56+V_5!AA56</f>
        <v>0</v>
      </c>
      <c r="L56" s="204">
        <f>V_13!L56+V_5!AB56</f>
        <v>0</v>
      </c>
      <c r="M56" s="205">
        <f>V_13!M56+V_5!AC56</f>
        <v>0</v>
      </c>
      <c r="N56" s="85">
        <f t="shared" si="1"/>
        <v>248</v>
      </c>
      <c r="O56" s="43">
        <f t="shared" si="2"/>
        <v>375</v>
      </c>
      <c r="R56" s="44">
        <v>4</v>
      </c>
      <c r="S56" s="39">
        <v>2</v>
      </c>
      <c r="T56" s="39">
        <v>0</v>
      </c>
      <c r="U56" s="39">
        <v>0</v>
      </c>
      <c r="V56" s="194">
        <v>0</v>
      </c>
      <c r="W56" s="196">
        <f t="shared" si="3"/>
        <v>6</v>
      </c>
      <c r="X56" s="203">
        <v>0</v>
      </c>
      <c r="Y56" s="204">
        <v>0</v>
      </c>
      <c r="Z56" s="204">
        <v>0</v>
      </c>
      <c r="AA56" s="204">
        <v>0</v>
      </c>
      <c r="AB56" s="204">
        <v>0</v>
      </c>
      <c r="AC56" s="205">
        <v>0</v>
      </c>
    </row>
    <row r="57" spans="1:29" ht="22.5" customHeight="1" x14ac:dyDescent="0.3">
      <c r="A57" s="190" t="s">
        <v>226</v>
      </c>
      <c r="B57" s="44">
        <f>V_13!B57+V_5!R57</f>
        <v>84</v>
      </c>
      <c r="C57" s="39">
        <f>V_13!C57+V_5!S57</f>
        <v>65</v>
      </c>
      <c r="D57" s="39">
        <f>V_13!D57+V_5!T57</f>
        <v>11</v>
      </c>
      <c r="E57" s="39">
        <f>V_13!E57+V_5!U57</f>
        <v>7</v>
      </c>
      <c r="F57" s="194">
        <f>V_13!F57+V_5!V57</f>
        <v>31</v>
      </c>
      <c r="G57" s="196">
        <f t="shared" si="4"/>
        <v>198</v>
      </c>
      <c r="H57" s="203">
        <f>V_13!H57+V_5!X57</f>
        <v>0</v>
      </c>
      <c r="I57" s="204">
        <f>V_13!I57+V_5!Y57</f>
        <v>0</v>
      </c>
      <c r="J57" s="204">
        <f>V_13!J57+V_5!Z57</f>
        <v>0</v>
      </c>
      <c r="K57" s="204">
        <f>V_13!K57+V_5!AA57</f>
        <v>0</v>
      </c>
      <c r="L57" s="204">
        <f>V_13!L57+V_5!AB57</f>
        <v>0</v>
      </c>
      <c r="M57" s="205">
        <f>V_13!M57+V_5!AC57</f>
        <v>0</v>
      </c>
      <c r="N57" s="85">
        <f t="shared" si="1"/>
        <v>198</v>
      </c>
      <c r="O57" s="43">
        <f t="shared" si="2"/>
        <v>293.5</v>
      </c>
      <c r="R57" s="44">
        <v>4</v>
      </c>
      <c r="S57" s="39">
        <v>3</v>
      </c>
      <c r="T57" s="39">
        <v>0</v>
      </c>
      <c r="U57" s="39">
        <v>0</v>
      </c>
      <c r="V57" s="194">
        <v>0</v>
      </c>
      <c r="W57" s="196">
        <f t="shared" si="3"/>
        <v>7</v>
      </c>
      <c r="X57" s="203">
        <v>0</v>
      </c>
      <c r="Y57" s="204">
        <v>0</v>
      </c>
      <c r="Z57" s="204">
        <v>0</v>
      </c>
      <c r="AA57" s="204">
        <v>0</v>
      </c>
      <c r="AB57" s="204">
        <v>0</v>
      </c>
      <c r="AC57" s="205">
        <v>0</v>
      </c>
    </row>
    <row r="58" spans="1:29" ht="22.5" customHeight="1" x14ac:dyDescent="0.3">
      <c r="A58" s="190" t="s">
        <v>227</v>
      </c>
      <c r="B58" s="44">
        <f>V_13!B58+V_5!R58</f>
        <v>96</v>
      </c>
      <c r="C58" s="39">
        <f>V_13!C58+V_5!S58</f>
        <v>47</v>
      </c>
      <c r="D58" s="39">
        <f>V_13!D58+V_5!T58</f>
        <v>6</v>
      </c>
      <c r="E58" s="39">
        <f>V_13!E58+V_5!U58</f>
        <v>5</v>
      </c>
      <c r="F58" s="194">
        <f>V_13!F58+V_5!V58</f>
        <v>45</v>
      </c>
      <c r="G58" s="196">
        <f t="shared" si="4"/>
        <v>199</v>
      </c>
      <c r="H58" s="203">
        <f>V_13!H58+V_5!X58</f>
        <v>0</v>
      </c>
      <c r="I58" s="204">
        <f>V_13!I58+V_5!Y58</f>
        <v>0</v>
      </c>
      <c r="J58" s="204">
        <f>V_13!J58+V_5!Z58</f>
        <v>0</v>
      </c>
      <c r="K58" s="204">
        <f>V_13!K58+V_5!AA58</f>
        <v>0</v>
      </c>
      <c r="L58" s="204">
        <f>V_13!L58+V_5!AB58</f>
        <v>0</v>
      </c>
      <c r="M58" s="205">
        <f>V_13!M58+V_5!AC58</f>
        <v>0</v>
      </c>
      <c r="N58" s="85">
        <f t="shared" si="1"/>
        <v>199</v>
      </c>
      <c r="O58" s="43">
        <f t="shared" si="2"/>
        <v>346</v>
      </c>
      <c r="R58" s="44">
        <v>6</v>
      </c>
      <c r="S58" s="39">
        <v>2</v>
      </c>
      <c r="T58" s="39">
        <v>0</v>
      </c>
      <c r="U58" s="39">
        <v>0</v>
      </c>
      <c r="V58" s="194">
        <v>0</v>
      </c>
      <c r="W58" s="196">
        <f t="shared" si="3"/>
        <v>8</v>
      </c>
      <c r="X58" s="203">
        <v>0</v>
      </c>
      <c r="Y58" s="204">
        <v>0</v>
      </c>
      <c r="Z58" s="204">
        <v>0</v>
      </c>
      <c r="AA58" s="204">
        <v>0</v>
      </c>
      <c r="AB58" s="204">
        <v>0</v>
      </c>
      <c r="AC58" s="205">
        <v>0</v>
      </c>
    </row>
    <row r="59" spans="1:29" ht="22.5" customHeight="1" x14ac:dyDescent="0.3">
      <c r="A59" s="190" t="s">
        <v>228</v>
      </c>
      <c r="B59" s="44">
        <f>V_13!B59+V_5!R59</f>
        <v>68</v>
      </c>
      <c r="C59" s="39">
        <f>V_13!C59+V_5!S59</f>
        <v>39</v>
      </c>
      <c r="D59" s="39">
        <f>V_13!D59+V_5!T59</f>
        <v>8</v>
      </c>
      <c r="E59" s="39">
        <f>V_13!E59+V_5!U59</f>
        <v>6</v>
      </c>
      <c r="F59" s="194">
        <f>V_13!F59+V_5!V59</f>
        <v>52</v>
      </c>
      <c r="G59" s="196">
        <f t="shared" si="4"/>
        <v>173</v>
      </c>
      <c r="H59" s="203">
        <f>V_13!H59+V_5!X59</f>
        <v>0</v>
      </c>
      <c r="I59" s="204">
        <f>V_13!I59+V_5!Y59</f>
        <v>0</v>
      </c>
      <c r="J59" s="204">
        <f>V_13!J59+V_5!Z59</f>
        <v>0</v>
      </c>
      <c r="K59" s="204">
        <f>V_13!K59+V_5!AA59</f>
        <v>0</v>
      </c>
      <c r="L59" s="204">
        <f>V_13!L59+V_5!AB59</f>
        <v>0</v>
      </c>
      <c r="M59" s="205">
        <f>V_13!M59+V_5!AC59</f>
        <v>0</v>
      </c>
      <c r="N59" s="85">
        <f t="shared" si="1"/>
        <v>173</v>
      </c>
      <c r="O59" s="43">
        <f t="shared" si="2"/>
        <v>351.5</v>
      </c>
      <c r="R59" s="44">
        <v>4</v>
      </c>
      <c r="S59" s="39">
        <v>2</v>
      </c>
      <c r="T59" s="39">
        <v>0</v>
      </c>
      <c r="U59" s="39">
        <v>0</v>
      </c>
      <c r="V59" s="194">
        <v>0</v>
      </c>
      <c r="W59" s="196">
        <f t="shared" si="3"/>
        <v>6</v>
      </c>
      <c r="X59" s="203">
        <v>0</v>
      </c>
      <c r="Y59" s="204">
        <v>0</v>
      </c>
      <c r="Z59" s="204">
        <v>0</v>
      </c>
      <c r="AA59" s="204">
        <v>0</v>
      </c>
      <c r="AB59" s="204">
        <v>0</v>
      </c>
      <c r="AC59" s="205">
        <v>0</v>
      </c>
    </row>
    <row r="60" spans="1:29" ht="22.5" customHeight="1" x14ac:dyDescent="0.3">
      <c r="A60" s="190" t="s">
        <v>229</v>
      </c>
      <c r="B60" s="44">
        <f>V_13!B60+V_5!R60</f>
        <v>61</v>
      </c>
      <c r="C60" s="39">
        <f>V_13!C60+V_5!S60</f>
        <v>29</v>
      </c>
      <c r="D60" s="39">
        <f>V_13!D60+V_5!T60</f>
        <v>14</v>
      </c>
      <c r="E60" s="39">
        <f>V_13!E60+V_5!U60</f>
        <v>3</v>
      </c>
      <c r="F60" s="194">
        <f>V_13!F60+V_5!V60</f>
        <v>50</v>
      </c>
      <c r="G60" s="196">
        <f t="shared" si="4"/>
        <v>157</v>
      </c>
      <c r="H60" s="203">
        <f>V_13!H60+V_5!X60</f>
        <v>0</v>
      </c>
      <c r="I60" s="204">
        <f>V_13!I60+V_5!Y60</f>
        <v>0</v>
      </c>
      <c r="J60" s="204">
        <f>V_13!J60+V_5!Z60</f>
        <v>0</v>
      </c>
      <c r="K60" s="204">
        <f>V_13!K60+V_5!AA60</f>
        <v>0</v>
      </c>
      <c r="L60" s="204">
        <f>V_13!L60+V_5!AB60</f>
        <v>0</v>
      </c>
      <c r="M60" s="205">
        <f>V_13!M60+V_5!AC60</f>
        <v>0</v>
      </c>
      <c r="N60" s="85">
        <f t="shared" si="1"/>
        <v>157</v>
      </c>
      <c r="O60" s="43">
        <f t="shared" si="2"/>
        <v>330.5</v>
      </c>
      <c r="R60" s="44">
        <v>7</v>
      </c>
      <c r="S60" s="39">
        <v>3</v>
      </c>
      <c r="T60" s="39">
        <v>0</v>
      </c>
      <c r="U60" s="39">
        <v>0</v>
      </c>
      <c r="V60" s="194">
        <v>0</v>
      </c>
      <c r="W60" s="196">
        <f t="shared" si="3"/>
        <v>10</v>
      </c>
      <c r="X60" s="203">
        <v>0</v>
      </c>
      <c r="Y60" s="204">
        <v>0</v>
      </c>
      <c r="Z60" s="204">
        <v>0</v>
      </c>
      <c r="AA60" s="204">
        <v>0</v>
      </c>
      <c r="AB60" s="204">
        <v>0</v>
      </c>
      <c r="AC60" s="205">
        <v>0</v>
      </c>
    </row>
    <row r="61" spans="1:29" ht="22.5" customHeight="1" x14ac:dyDescent="0.3">
      <c r="A61" s="190" t="s">
        <v>230</v>
      </c>
      <c r="B61" s="44">
        <f>V_13!B61+V_5!R61</f>
        <v>58</v>
      </c>
      <c r="C61" s="39">
        <f>V_13!C61+V_5!S61</f>
        <v>23</v>
      </c>
      <c r="D61" s="39">
        <f>V_13!D61+V_5!T61</f>
        <v>13</v>
      </c>
      <c r="E61" s="39">
        <f>V_13!E61+V_5!U61</f>
        <v>4</v>
      </c>
      <c r="F61" s="194">
        <f>V_13!F61+V_5!V61</f>
        <v>54</v>
      </c>
      <c r="G61" s="196">
        <f t="shared" si="4"/>
        <v>152</v>
      </c>
      <c r="H61" s="203">
        <f>V_13!H61+V_5!X61</f>
        <v>0</v>
      </c>
      <c r="I61" s="204">
        <f>V_13!I61+V_5!Y61</f>
        <v>0</v>
      </c>
      <c r="J61" s="204">
        <f>V_13!J61+V_5!Z61</f>
        <v>0</v>
      </c>
      <c r="K61" s="204">
        <f>V_13!K61+V_5!AA61</f>
        <v>0</v>
      </c>
      <c r="L61" s="204">
        <f>V_13!L61+V_5!AB61</f>
        <v>0</v>
      </c>
      <c r="M61" s="205">
        <f>V_13!M61+V_5!AC61</f>
        <v>0</v>
      </c>
      <c r="N61" s="85">
        <f t="shared" si="1"/>
        <v>152</v>
      </c>
      <c r="O61" s="43">
        <f t="shared" si="2"/>
        <v>344</v>
      </c>
      <c r="R61" s="44">
        <v>6</v>
      </c>
      <c r="S61" s="39">
        <v>2</v>
      </c>
      <c r="T61" s="39">
        <v>0</v>
      </c>
      <c r="U61" s="39">
        <v>0</v>
      </c>
      <c r="V61" s="194">
        <v>2</v>
      </c>
      <c r="W61" s="196">
        <f t="shared" si="3"/>
        <v>10</v>
      </c>
      <c r="X61" s="203">
        <v>0</v>
      </c>
      <c r="Y61" s="204">
        <v>0</v>
      </c>
      <c r="Z61" s="204">
        <v>0</v>
      </c>
      <c r="AA61" s="204">
        <v>0</v>
      </c>
      <c r="AB61" s="204">
        <v>0</v>
      </c>
      <c r="AC61" s="205">
        <v>0</v>
      </c>
    </row>
    <row r="62" spans="1:29" ht="22.5" customHeight="1" x14ac:dyDescent="0.3">
      <c r="A62" s="190" t="s">
        <v>231</v>
      </c>
      <c r="B62" s="44">
        <f>V_13!B62+V_5!R62</f>
        <v>81</v>
      </c>
      <c r="C62" s="39">
        <f>V_13!C62+V_5!S62</f>
        <v>20</v>
      </c>
      <c r="D62" s="39">
        <f>V_13!D62+V_5!T62</f>
        <v>15</v>
      </c>
      <c r="E62" s="39">
        <f>V_13!E62+V_5!U62</f>
        <v>3</v>
      </c>
      <c r="F62" s="194">
        <f>V_13!F62+V_5!V62</f>
        <v>68</v>
      </c>
      <c r="G62" s="196">
        <f t="shared" si="4"/>
        <v>187</v>
      </c>
      <c r="H62" s="203">
        <f>V_13!H62+V_5!X62</f>
        <v>0</v>
      </c>
      <c r="I62" s="204">
        <f>V_13!I62+V_5!Y62</f>
        <v>0</v>
      </c>
      <c r="J62" s="204">
        <f>V_13!J62+V_5!Z62</f>
        <v>0</v>
      </c>
      <c r="K62" s="204">
        <f>V_13!K62+V_5!AA62</f>
        <v>0</v>
      </c>
      <c r="L62" s="204">
        <f>V_13!L62+V_5!AB62</f>
        <v>0</v>
      </c>
      <c r="M62" s="205">
        <f>V_13!M62+V_5!AC62</f>
        <v>0</v>
      </c>
      <c r="N62" s="85">
        <f t="shared" si="1"/>
        <v>187</v>
      </c>
      <c r="O62" s="43">
        <f t="shared" si="2"/>
        <v>428.5</v>
      </c>
      <c r="R62" s="44">
        <v>3</v>
      </c>
      <c r="S62" s="39">
        <v>0</v>
      </c>
      <c r="T62" s="39">
        <v>1</v>
      </c>
      <c r="U62" s="39">
        <v>0</v>
      </c>
      <c r="V62" s="194">
        <v>1</v>
      </c>
      <c r="W62" s="196">
        <f t="shared" si="3"/>
        <v>5</v>
      </c>
      <c r="X62" s="203">
        <v>0</v>
      </c>
      <c r="Y62" s="204">
        <v>0</v>
      </c>
      <c r="Z62" s="204">
        <v>0</v>
      </c>
      <c r="AA62" s="204">
        <v>0</v>
      </c>
      <c r="AB62" s="204">
        <v>0</v>
      </c>
      <c r="AC62" s="205">
        <v>0</v>
      </c>
    </row>
    <row r="63" spans="1:29" ht="22.5" customHeight="1" x14ac:dyDescent="0.3">
      <c r="A63" s="190" t="s">
        <v>232</v>
      </c>
      <c r="B63" s="44">
        <f>V_13!B63+V_5!R63</f>
        <v>69</v>
      </c>
      <c r="C63" s="39">
        <f>V_13!C63+V_5!S63</f>
        <v>26</v>
      </c>
      <c r="D63" s="39">
        <f>V_13!D63+V_5!T63</f>
        <v>15</v>
      </c>
      <c r="E63" s="39">
        <f>V_13!E63+V_5!U63</f>
        <v>2</v>
      </c>
      <c r="F63" s="194">
        <f>V_13!F63+V_5!V63</f>
        <v>43</v>
      </c>
      <c r="G63" s="196">
        <f t="shared" si="4"/>
        <v>155</v>
      </c>
      <c r="H63" s="203">
        <f>V_13!H63+V_5!X63</f>
        <v>0</v>
      </c>
      <c r="I63" s="204">
        <f>V_13!I63+V_5!Y63</f>
        <v>0</v>
      </c>
      <c r="J63" s="204">
        <f>V_13!J63+V_5!Z63</f>
        <v>0</v>
      </c>
      <c r="K63" s="204">
        <f>V_13!K63+V_5!AA63</f>
        <v>0</v>
      </c>
      <c r="L63" s="204">
        <f>V_13!L63+V_5!AB63</f>
        <v>0</v>
      </c>
      <c r="M63" s="205">
        <f>V_13!M63+V_5!AC63</f>
        <v>0</v>
      </c>
      <c r="N63" s="85">
        <f t="shared" si="1"/>
        <v>155</v>
      </c>
      <c r="O63" s="43">
        <f t="shared" si="2"/>
        <v>304</v>
      </c>
      <c r="R63" s="44">
        <v>2</v>
      </c>
      <c r="S63" s="39">
        <v>1</v>
      </c>
      <c r="T63" s="39">
        <v>2</v>
      </c>
      <c r="U63" s="39">
        <v>0</v>
      </c>
      <c r="V63" s="194">
        <v>1</v>
      </c>
      <c r="W63" s="196">
        <f t="shared" si="3"/>
        <v>6</v>
      </c>
      <c r="X63" s="203">
        <v>0</v>
      </c>
      <c r="Y63" s="204">
        <v>0</v>
      </c>
      <c r="Z63" s="204">
        <v>0</v>
      </c>
      <c r="AA63" s="204">
        <v>0</v>
      </c>
      <c r="AB63" s="204">
        <v>0</v>
      </c>
      <c r="AC63" s="205">
        <v>0</v>
      </c>
    </row>
    <row r="64" spans="1:29" ht="22.5" customHeight="1" x14ac:dyDescent="0.3">
      <c r="A64" s="190" t="s">
        <v>233</v>
      </c>
      <c r="B64" s="44">
        <f>V_13!B64+V_5!R64</f>
        <v>65</v>
      </c>
      <c r="C64" s="39">
        <f>V_13!C64+V_5!S64</f>
        <v>12</v>
      </c>
      <c r="D64" s="39">
        <f>V_13!D64+V_5!T64</f>
        <v>21</v>
      </c>
      <c r="E64" s="39">
        <f>V_13!E64+V_5!U64</f>
        <v>7</v>
      </c>
      <c r="F64" s="194">
        <f>V_13!F64+V_5!V64</f>
        <v>48</v>
      </c>
      <c r="G64" s="196">
        <f t="shared" si="4"/>
        <v>153</v>
      </c>
      <c r="H64" s="203">
        <f>V_13!H64+V_5!X64</f>
        <v>0</v>
      </c>
      <c r="I64" s="204">
        <f>V_13!I64+V_5!Y64</f>
        <v>0</v>
      </c>
      <c r="J64" s="204">
        <f>V_13!J64+V_5!Z64</f>
        <v>0</v>
      </c>
      <c r="K64" s="204">
        <f>V_13!K64+V_5!AA64</f>
        <v>0</v>
      </c>
      <c r="L64" s="204">
        <f>V_13!L64+V_5!AB64</f>
        <v>0</v>
      </c>
      <c r="M64" s="205">
        <f>V_13!M64+V_5!AC64</f>
        <v>0</v>
      </c>
      <c r="N64" s="85">
        <f t="shared" si="1"/>
        <v>153</v>
      </c>
      <c r="O64" s="43">
        <f t="shared" si="2"/>
        <v>339.5</v>
      </c>
      <c r="R64" s="44">
        <v>6</v>
      </c>
      <c r="S64" s="39">
        <v>1</v>
      </c>
      <c r="T64" s="39">
        <v>1</v>
      </c>
      <c r="U64" s="39">
        <v>0</v>
      </c>
      <c r="V64" s="194">
        <v>1</v>
      </c>
      <c r="W64" s="196">
        <f t="shared" si="3"/>
        <v>9</v>
      </c>
      <c r="X64" s="203">
        <v>0</v>
      </c>
      <c r="Y64" s="204">
        <v>0</v>
      </c>
      <c r="Z64" s="204">
        <v>0</v>
      </c>
      <c r="AA64" s="204">
        <v>0</v>
      </c>
      <c r="AB64" s="204">
        <v>0</v>
      </c>
      <c r="AC64" s="205">
        <v>0</v>
      </c>
    </row>
    <row r="65" spans="1:29" ht="22.5" customHeight="1" x14ac:dyDescent="0.3">
      <c r="A65" s="190" t="s">
        <v>234</v>
      </c>
      <c r="B65" s="44">
        <f>V_13!B65+V_5!R65</f>
        <v>57</v>
      </c>
      <c r="C65" s="39">
        <f>V_13!C65+V_5!S65</f>
        <v>17</v>
      </c>
      <c r="D65" s="39">
        <f>V_13!D65+V_5!T65</f>
        <v>16</v>
      </c>
      <c r="E65" s="39">
        <f>V_13!E65+V_5!U65</f>
        <v>3</v>
      </c>
      <c r="F65" s="194">
        <f>V_13!F65+V_5!V65</f>
        <v>43</v>
      </c>
      <c r="G65" s="196">
        <f t="shared" si="4"/>
        <v>136</v>
      </c>
      <c r="H65" s="203">
        <f>V_13!H65+V_5!X65</f>
        <v>0</v>
      </c>
      <c r="I65" s="204">
        <f>V_13!I65+V_5!Y65</f>
        <v>0</v>
      </c>
      <c r="J65" s="204">
        <f>V_13!J65+V_5!Z65</f>
        <v>0</v>
      </c>
      <c r="K65" s="204">
        <f>V_13!K65+V_5!AA65</f>
        <v>0</v>
      </c>
      <c r="L65" s="204">
        <f>V_13!L65+V_5!AB65</f>
        <v>0</v>
      </c>
      <c r="M65" s="205">
        <f>V_13!M65+V_5!AC65</f>
        <v>0</v>
      </c>
      <c r="N65" s="85">
        <f t="shared" si="1"/>
        <v>136</v>
      </c>
      <c r="O65" s="43">
        <f t="shared" si="2"/>
        <v>292</v>
      </c>
      <c r="R65" s="44">
        <v>5</v>
      </c>
      <c r="S65" s="39">
        <v>2</v>
      </c>
      <c r="T65" s="39">
        <v>0</v>
      </c>
      <c r="U65" s="39">
        <v>0</v>
      </c>
      <c r="V65" s="194">
        <v>0</v>
      </c>
      <c r="W65" s="196">
        <f t="shared" si="3"/>
        <v>7</v>
      </c>
      <c r="X65" s="203">
        <v>0</v>
      </c>
      <c r="Y65" s="204">
        <v>0</v>
      </c>
      <c r="Z65" s="204">
        <v>0</v>
      </c>
      <c r="AA65" s="204">
        <v>0</v>
      </c>
      <c r="AB65" s="204">
        <v>0</v>
      </c>
      <c r="AC65" s="205">
        <v>0</v>
      </c>
    </row>
    <row r="66" spans="1:29" ht="22.5" customHeight="1" x14ac:dyDescent="0.3">
      <c r="A66" s="190" t="s">
        <v>235</v>
      </c>
      <c r="B66" s="44">
        <f>V_13!B66+V_5!R66</f>
        <v>53</v>
      </c>
      <c r="C66" s="39">
        <f>V_13!C66+V_5!S66</f>
        <v>6</v>
      </c>
      <c r="D66" s="39">
        <f>V_13!D66+V_5!T66</f>
        <v>17</v>
      </c>
      <c r="E66" s="39">
        <f>V_13!E66+V_5!U66</f>
        <v>4</v>
      </c>
      <c r="F66" s="194">
        <f>V_13!F66+V_5!V66</f>
        <v>38</v>
      </c>
      <c r="G66" s="196">
        <f t="shared" si="4"/>
        <v>118</v>
      </c>
      <c r="H66" s="203">
        <f>V_13!H66+V_5!X66</f>
        <v>0</v>
      </c>
      <c r="I66" s="204">
        <f>V_13!I66+V_5!Y66</f>
        <v>0</v>
      </c>
      <c r="J66" s="204">
        <f>V_13!J66+V_5!Z66</f>
        <v>0</v>
      </c>
      <c r="K66" s="204">
        <f>V_13!K66+V_5!AA66</f>
        <v>0</v>
      </c>
      <c r="L66" s="204">
        <f>V_13!L66+V_5!AB66</f>
        <v>0</v>
      </c>
      <c r="M66" s="205">
        <f>V_13!M66+V_5!AC66</f>
        <v>0</v>
      </c>
      <c r="N66" s="85">
        <f t="shared" si="1"/>
        <v>118</v>
      </c>
      <c r="O66" s="43">
        <f t="shared" si="2"/>
        <v>264.5</v>
      </c>
      <c r="R66" s="44">
        <v>5</v>
      </c>
      <c r="S66" s="39">
        <v>1</v>
      </c>
      <c r="T66" s="39">
        <v>2</v>
      </c>
      <c r="U66" s="39">
        <v>0</v>
      </c>
      <c r="V66" s="194">
        <v>0</v>
      </c>
      <c r="W66" s="196">
        <f t="shared" si="3"/>
        <v>8</v>
      </c>
      <c r="X66" s="203">
        <v>0</v>
      </c>
      <c r="Y66" s="204">
        <v>0</v>
      </c>
      <c r="Z66" s="204">
        <v>0</v>
      </c>
      <c r="AA66" s="204">
        <v>0</v>
      </c>
      <c r="AB66" s="204">
        <v>0</v>
      </c>
      <c r="AC66" s="205">
        <v>0</v>
      </c>
    </row>
    <row r="67" spans="1:29" ht="22.5" customHeight="1" x14ac:dyDescent="0.3">
      <c r="A67" s="190" t="s">
        <v>236</v>
      </c>
      <c r="B67" s="44">
        <f>V_13!B67+V_5!R67</f>
        <v>38</v>
      </c>
      <c r="C67" s="39">
        <f>V_13!C67+V_5!S67</f>
        <v>10</v>
      </c>
      <c r="D67" s="39">
        <f>V_13!D67+V_5!T67</f>
        <v>16</v>
      </c>
      <c r="E67" s="39">
        <f>V_13!E67+V_5!U67</f>
        <v>5</v>
      </c>
      <c r="F67" s="194">
        <f>V_13!F67+V_5!V67</f>
        <v>31</v>
      </c>
      <c r="G67" s="196">
        <f t="shared" si="4"/>
        <v>100</v>
      </c>
      <c r="H67" s="203">
        <f>V_13!H67+V_5!X67</f>
        <v>0</v>
      </c>
      <c r="I67" s="204">
        <f>V_13!I67+V_5!Y67</f>
        <v>0</v>
      </c>
      <c r="J67" s="204">
        <f>V_13!J67+V_5!Z67</f>
        <v>0</v>
      </c>
      <c r="K67" s="204">
        <f>V_13!K67+V_5!AA67</f>
        <v>0</v>
      </c>
      <c r="L67" s="204">
        <f>V_13!L67+V_5!AB67</f>
        <v>0</v>
      </c>
      <c r="M67" s="205">
        <f>V_13!M67+V_5!AC67</f>
        <v>0</v>
      </c>
      <c r="N67" s="85">
        <f t="shared" si="1"/>
        <v>100</v>
      </c>
      <c r="O67" s="43">
        <f t="shared" si="2"/>
        <v>221.5</v>
      </c>
      <c r="R67" s="44">
        <v>6</v>
      </c>
      <c r="S67" s="39">
        <v>1</v>
      </c>
      <c r="T67" s="39">
        <v>0</v>
      </c>
      <c r="U67" s="39">
        <v>0</v>
      </c>
      <c r="V67" s="194">
        <v>0</v>
      </c>
      <c r="W67" s="196">
        <f t="shared" si="3"/>
        <v>7</v>
      </c>
      <c r="X67" s="203">
        <v>0</v>
      </c>
      <c r="Y67" s="204">
        <v>0</v>
      </c>
      <c r="Z67" s="204">
        <v>0</v>
      </c>
      <c r="AA67" s="204">
        <v>0</v>
      </c>
      <c r="AB67" s="204">
        <v>0</v>
      </c>
      <c r="AC67" s="205">
        <v>0</v>
      </c>
    </row>
    <row r="68" spans="1:29" ht="22.5" customHeight="1" x14ac:dyDescent="0.3">
      <c r="A68" s="190" t="s">
        <v>237</v>
      </c>
      <c r="B68" s="44">
        <f>V_13!B68+V_5!R68</f>
        <v>36</v>
      </c>
      <c r="C68" s="39">
        <f>V_13!C68+V_5!S68</f>
        <v>6</v>
      </c>
      <c r="D68" s="39">
        <f>V_13!D68+V_5!T68</f>
        <v>7</v>
      </c>
      <c r="E68" s="39">
        <f>V_13!E68+V_5!U68</f>
        <v>4</v>
      </c>
      <c r="F68" s="194">
        <f>V_13!F68+V_5!V68</f>
        <v>45</v>
      </c>
      <c r="G68" s="196">
        <f t="shared" si="4"/>
        <v>98</v>
      </c>
      <c r="H68" s="203">
        <f>V_13!H68+V_5!X68</f>
        <v>0</v>
      </c>
      <c r="I68" s="204">
        <f>V_13!I68+V_5!Y68</f>
        <v>0</v>
      </c>
      <c r="J68" s="204">
        <f>V_13!J68+V_5!Z68</f>
        <v>0</v>
      </c>
      <c r="K68" s="204">
        <f>V_13!K68+V_5!AA68</f>
        <v>0</v>
      </c>
      <c r="L68" s="204">
        <f>V_13!L68+V_5!AB68</f>
        <v>0</v>
      </c>
      <c r="M68" s="205">
        <f>V_13!M68+V_5!AC68</f>
        <v>0</v>
      </c>
      <c r="N68" s="85">
        <f t="shared" si="1"/>
        <v>98</v>
      </c>
      <c r="O68" s="43">
        <f t="shared" si="2"/>
        <v>264</v>
      </c>
      <c r="R68" s="44">
        <v>4</v>
      </c>
      <c r="S68" s="39">
        <v>1</v>
      </c>
      <c r="T68" s="39">
        <v>0</v>
      </c>
      <c r="U68" s="39">
        <v>0</v>
      </c>
      <c r="V68" s="194">
        <v>0</v>
      </c>
      <c r="W68" s="196">
        <f t="shared" si="3"/>
        <v>5</v>
      </c>
      <c r="X68" s="203">
        <v>0</v>
      </c>
      <c r="Y68" s="204">
        <v>0</v>
      </c>
      <c r="Z68" s="204">
        <v>0</v>
      </c>
      <c r="AA68" s="204">
        <v>0</v>
      </c>
      <c r="AB68" s="204">
        <v>0</v>
      </c>
      <c r="AC68" s="205">
        <v>0</v>
      </c>
    </row>
    <row r="69" spans="1:29" ht="22.5" customHeight="1" x14ac:dyDescent="0.3">
      <c r="A69" s="190" t="s">
        <v>238</v>
      </c>
      <c r="B69" s="44">
        <f>V_13!B69+V_5!R69</f>
        <v>33</v>
      </c>
      <c r="C69" s="39">
        <f>V_13!C69+V_5!S69</f>
        <v>8</v>
      </c>
      <c r="D69" s="39">
        <f>V_13!D69+V_5!T69</f>
        <v>3</v>
      </c>
      <c r="E69" s="39">
        <f>V_13!E69+V_5!U69</f>
        <v>2</v>
      </c>
      <c r="F69" s="194">
        <f>V_13!F69+V_5!V69</f>
        <v>31</v>
      </c>
      <c r="G69" s="196">
        <f t="shared" si="4"/>
        <v>77</v>
      </c>
      <c r="H69" s="203">
        <f>V_13!H69+V_5!X69</f>
        <v>0</v>
      </c>
      <c r="I69" s="204">
        <f>V_13!I69+V_5!Y69</f>
        <v>0</v>
      </c>
      <c r="J69" s="204">
        <f>V_13!J69+V_5!Z69</f>
        <v>0</v>
      </c>
      <c r="K69" s="204">
        <f>V_13!K69+V_5!AA69</f>
        <v>0</v>
      </c>
      <c r="L69" s="204">
        <f>V_13!L69+V_5!AB69</f>
        <v>0</v>
      </c>
      <c r="M69" s="205">
        <f>V_13!M69+V_5!AC69</f>
        <v>0</v>
      </c>
      <c r="N69" s="85">
        <f t="shared" si="1"/>
        <v>77</v>
      </c>
      <c r="O69" s="43">
        <f t="shared" si="2"/>
        <v>187</v>
      </c>
      <c r="R69" s="44">
        <v>2</v>
      </c>
      <c r="S69" s="39">
        <v>3</v>
      </c>
      <c r="T69" s="39">
        <v>0</v>
      </c>
      <c r="U69" s="39">
        <v>0</v>
      </c>
      <c r="V69" s="194">
        <v>0</v>
      </c>
      <c r="W69" s="196">
        <f t="shared" si="3"/>
        <v>5</v>
      </c>
      <c r="X69" s="203">
        <v>0</v>
      </c>
      <c r="Y69" s="204">
        <v>0</v>
      </c>
      <c r="Z69" s="204">
        <v>0</v>
      </c>
      <c r="AA69" s="204">
        <v>0</v>
      </c>
      <c r="AB69" s="204">
        <v>0</v>
      </c>
      <c r="AC69" s="205">
        <v>0</v>
      </c>
    </row>
    <row r="70" spans="1:29" ht="22.5" customHeight="1" x14ac:dyDescent="0.3">
      <c r="A70" s="190" t="s">
        <v>239</v>
      </c>
      <c r="B70" s="44">
        <f>V_13!B70+V_5!R70</f>
        <v>30</v>
      </c>
      <c r="C70" s="39">
        <f>V_13!C70+V_5!S70</f>
        <v>7</v>
      </c>
      <c r="D70" s="39">
        <f>V_13!D70+V_5!T70</f>
        <v>11</v>
      </c>
      <c r="E70" s="39">
        <f>V_13!E70+V_5!U70</f>
        <v>3</v>
      </c>
      <c r="F70" s="194">
        <f>V_13!F70+V_5!V70</f>
        <v>29</v>
      </c>
      <c r="G70" s="196">
        <f t="shared" si="4"/>
        <v>80</v>
      </c>
      <c r="H70" s="203">
        <f>V_13!H70+V_5!X70</f>
        <v>0</v>
      </c>
      <c r="I70" s="204">
        <f>V_13!I70+V_5!Y70</f>
        <v>0</v>
      </c>
      <c r="J70" s="204">
        <f>V_13!J70+V_5!Z70</f>
        <v>0</v>
      </c>
      <c r="K70" s="204">
        <f>V_13!K70+V_5!AA70</f>
        <v>0</v>
      </c>
      <c r="L70" s="204">
        <f>V_13!L70+V_5!AB70</f>
        <v>1</v>
      </c>
      <c r="M70" s="205">
        <f>V_13!M70+V_5!AC70</f>
        <v>0</v>
      </c>
      <c r="N70" s="85">
        <f t="shared" si="1"/>
        <v>80</v>
      </c>
      <c r="O70" s="43">
        <f t="shared" si="2"/>
        <v>197.5</v>
      </c>
      <c r="R70" s="44">
        <v>5</v>
      </c>
      <c r="S70" s="39">
        <v>2</v>
      </c>
      <c r="T70" s="39">
        <v>0</v>
      </c>
      <c r="U70" s="39">
        <v>0</v>
      </c>
      <c r="V70" s="194">
        <v>0</v>
      </c>
      <c r="W70" s="196">
        <f t="shared" si="3"/>
        <v>7</v>
      </c>
      <c r="X70" s="203">
        <v>0</v>
      </c>
      <c r="Y70" s="204">
        <v>0</v>
      </c>
      <c r="Z70" s="204">
        <v>0</v>
      </c>
      <c r="AA70" s="204">
        <v>0</v>
      </c>
      <c r="AB70" s="204">
        <v>0</v>
      </c>
      <c r="AC70" s="205">
        <v>0</v>
      </c>
    </row>
    <row r="71" spans="1:29" ht="22.5" customHeight="1" x14ac:dyDescent="0.3">
      <c r="A71" s="190" t="s">
        <v>240</v>
      </c>
      <c r="B71" s="44">
        <f>V_13!B71+V_5!R71</f>
        <v>20</v>
      </c>
      <c r="C71" s="39">
        <f>V_13!C71+V_5!S71</f>
        <v>6</v>
      </c>
      <c r="D71" s="39">
        <f>V_13!D71+V_5!T71</f>
        <v>10</v>
      </c>
      <c r="E71" s="39">
        <f>V_13!E71+V_5!U71</f>
        <v>3</v>
      </c>
      <c r="F71" s="194">
        <f>V_13!F71+V_5!V71</f>
        <v>32</v>
      </c>
      <c r="G71" s="196">
        <f t="shared" si="4"/>
        <v>71</v>
      </c>
      <c r="H71" s="203">
        <f>V_13!H71+V_5!X71</f>
        <v>0</v>
      </c>
      <c r="I71" s="204">
        <f>V_13!I71+V_5!Y71</f>
        <v>0</v>
      </c>
      <c r="J71" s="204">
        <f>V_13!J71+V_5!Z71</f>
        <v>0</v>
      </c>
      <c r="K71" s="204">
        <f>V_13!K71+V_5!AA71</f>
        <v>0</v>
      </c>
      <c r="L71" s="204">
        <f>V_13!L71+V_5!AB71</f>
        <v>0</v>
      </c>
      <c r="M71" s="205">
        <f>V_13!M71+V_5!AC71</f>
        <v>0</v>
      </c>
      <c r="N71" s="85">
        <f t="shared" si="1"/>
        <v>71</v>
      </c>
      <c r="O71" s="43">
        <f t="shared" si="2"/>
        <v>191</v>
      </c>
      <c r="R71" s="44">
        <v>2</v>
      </c>
      <c r="S71" s="39">
        <v>4</v>
      </c>
      <c r="T71" s="39">
        <v>0</v>
      </c>
      <c r="U71" s="39">
        <v>0</v>
      </c>
      <c r="V71" s="194">
        <v>1</v>
      </c>
      <c r="W71" s="196">
        <f t="shared" si="3"/>
        <v>7</v>
      </c>
      <c r="X71" s="203">
        <v>0</v>
      </c>
      <c r="Y71" s="204">
        <v>0</v>
      </c>
      <c r="Z71" s="204">
        <v>0</v>
      </c>
      <c r="AA71" s="204">
        <v>0</v>
      </c>
      <c r="AB71" s="204">
        <v>0</v>
      </c>
      <c r="AC71" s="205">
        <v>0</v>
      </c>
    </row>
    <row r="72" spans="1:29" ht="22.5" customHeight="1" x14ac:dyDescent="0.3">
      <c r="A72" s="190" t="s">
        <v>153</v>
      </c>
      <c r="B72" s="44">
        <f>V_13!B72+V_5!R72</f>
        <v>23</v>
      </c>
      <c r="C72" s="39">
        <f>V_13!C72+V_5!S72</f>
        <v>4</v>
      </c>
      <c r="D72" s="39">
        <f>V_13!D72+V_5!T72</f>
        <v>12</v>
      </c>
      <c r="E72" s="39">
        <f>V_13!E72+V_5!U72</f>
        <v>3</v>
      </c>
      <c r="F72" s="194">
        <f>V_13!F72+V_5!V72</f>
        <v>31</v>
      </c>
      <c r="G72" s="196">
        <f t="shared" ref="G72:G103" si="5">SUM(B72:F72)</f>
        <v>73</v>
      </c>
      <c r="H72" s="203">
        <f>V_13!H72+V_5!X72</f>
        <v>0</v>
      </c>
      <c r="I72" s="204">
        <f>V_13!I72+V_5!Y72</f>
        <v>0</v>
      </c>
      <c r="J72" s="204">
        <f>V_13!J72+V_5!Z72</f>
        <v>0</v>
      </c>
      <c r="K72" s="204">
        <f>V_13!K72+V_5!AA72</f>
        <v>0</v>
      </c>
      <c r="L72" s="204">
        <f>V_13!L72+V_5!AB72</f>
        <v>0</v>
      </c>
      <c r="M72" s="205">
        <f>V_13!M72+V_5!AC72</f>
        <v>0</v>
      </c>
      <c r="N72" s="85">
        <f t="shared" si="1"/>
        <v>73</v>
      </c>
      <c r="O72" s="43">
        <f t="shared" si="2"/>
        <v>191.5</v>
      </c>
      <c r="R72" s="44">
        <v>2</v>
      </c>
      <c r="S72" s="39">
        <v>1</v>
      </c>
      <c r="T72" s="39">
        <v>0</v>
      </c>
      <c r="U72" s="39">
        <v>0</v>
      </c>
      <c r="V72" s="194">
        <v>1</v>
      </c>
      <c r="W72" s="196">
        <f t="shared" si="3"/>
        <v>4</v>
      </c>
      <c r="X72" s="203">
        <v>0</v>
      </c>
      <c r="Y72" s="204">
        <v>0</v>
      </c>
      <c r="Z72" s="204">
        <v>0</v>
      </c>
      <c r="AA72" s="204">
        <v>0</v>
      </c>
      <c r="AB72" s="204">
        <v>0</v>
      </c>
      <c r="AC72" s="205">
        <v>0</v>
      </c>
    </row>
    <row r="73" spans="1:29" ht="22.5" customHeight="1" x14ac:dyDescent="0.3">
      <c r="A73" s="190" t="s">
        <v>154</v>
      </c>
      <c r="B73" s="44">
        <f>V_13!B73+V_5!R73</f>
        <v>21</v>
      </c>
      <c r="C73" s="39">
        <f>V_13!C73+V_5!S73</f>
        <v>0</v>
      </c>
      <c r="D73" s="39">
        <f>V_13!D73+V_5!T73</f>
        <v>15</v>
      </c>
      <c r="E73" s="39">
        <f>V_13!E73+V_5!U73</f>
        <v>5</v>
      </c>
      <c r="F73" s="194">
        <f>V_13!F73+V_5!V73</f>
        <v>21</v>
      </c>
      <c r="G73" s="196">
        <f t="shared" si="5"/>
        <v>62</v>
      </c>
      <c r="H73" s="203">
        <f>V_13!H73+V_5!X73</f>
        <v>0</v>
      </c>
      <c r="I73" s="204">
        <f>V_13!I73+V_5!Y73</f>
        <v>0</v>
      </c>
      <c r="J73" s="204">
        <f>V_13!J73+V_5!Z73</f>
        <v>0</v>
      </c>
      <c r="K73" s="204">
        <f>V_13!K73+V_5!AA73</f>
        <v>0</v>
      </c>
      <c r="L73" s="204">
        <f>V_13!L73+V_5!AB73</f>
        <v>0</v>
      </c>
      <c r="M73" s="205">
        <f>V_13!M73+V_5!AC73</f>
        <v>0</v>
      </c>
      <c r="N73" s="85">
        <f t="shared" ref="N73:N103" si="6">G73+M73</f>
        <v>62</v>
      </c>
      <c r="O73" s="43">
        <f t="shared" ref="O73:O103" si="7">B73*1+C73*0.5+D73*1.5+E73*3+F73*4.5+H73*0.5+I73*1.5+J73*3+K73*4+L73*8</f>
        <v>153</v>
      </c>
      <c r="R73" s="44">
        <v>5</v>
      </c>
      <c r="S73" s="39">
        <v>0</v>
      </c>
      <c r="T73" s="39">
        <v>0</v>
      </c>
      <c r="U73" s="39">
        <v>2</v>
      </c>
      <c r="V73" s="194">
        <v>0</v>
      </c>
      <c r="W73" s="196">
        <f t="shared" ref="W73:W103" si="8">SUM(R73:V73)</f>
        <v>7</v>
      </c>
      <c r="X73" s="203">
        <v>0</v>
      </c>
      <c r="Y73" s="204">
        <v>0</v>
      </c>
      <c r="Z73" s="204">
        <v>0</v>
      </c>
      <c r="AA73" s="204">
        <v>0</v>
      </c>
      <c r="AB73" s="204">
        <v>0</v>
      </c>
      <c r="AC73" s="205">
        <v>0</v>
      </c>
    </row>
    <row r="74" spans="1:29" ht="22.5" customHeight="1" x14ac:dyDescent="0.3">
      <c r="A74" s="190" t="s">
        <v>155</v>
      </c>
      <c r="B74" s="44">
        <f>V_13!B74+V_5!R74</f>
        <v>22</v>
      </c>
      <c r="C74" s="39">
        <f>V_13!C74+V_5!S74</f>
        <v>0</v>
      </c>
      <c r="D74" s="39">
        <f>V_13!D74+V_5!T74</f>
        <v>13</v>
      </c>
      <c r="E74" s="39">
        <f>V_13!E74+V_5!U74</f>
        <v>5</v>
      </c>
      <c r="F74" s="194">
        <f>V_13!F74+V_5!V74</f>
        <v>23</v>
      </c>
      <c r="G74" s="196">
        <f t="shared" si="5"/>
        <v>63</v>
      </c>
      <c r="H74" s="203">
        <f>V_13!H74+V_5!X74</f>
        <v>0</v>
      </c>
      <c r="I74" s="204">
        <f>V_13!I74+V_5!Y74</f>
        <v>0</v>
      </c>
      <c r="J74" s="204">
        <f>V_13!J74+V_5!Z74</f>
        <v>0</v>
      </c>
      <c r="K74" s="204">
        <f>V_13!K74+V_5!AA74</f>
        <v>0</v>
      </c>
      <c r="L74" s="204">
        <f>V_13!L74+V_5!AB74</f>
        <v>0</v>
      </c>
      <c r="M74" s="205">
        <f>V_13!M74+V_5!AC74</f>
        <v>0</v>
      </c>
      <c r="N74" s="85">
        <f t="shared" si="6"/>
        <v>63</v>
      </c>
      <c r="O74" s="43">
        <f t="shared" si="7"/>
        <v>160</v>
      </c>
      <c r="R74" s="44">
        <v>0</v>
      </c>
      <c r="S74" s="39">
        <v>0</v>
      </c>
      <c r="T74" s="39">
        <v>1</v>
      </c>
      <c r="U74" s="39">
        <v>1</v>
      </c>
      <c r="V74" s="194">
        <v>1</v>
      </c>
      <c r="W74" s="196">
        <f t="shared" si="8"/>
        <v>3</v>
      </c>
      <c r="X74" s="203">
        <v>0</v>
      </c>
      <c r="Y74" s="204">
        <v>0</v>
      </c>
      <c r="Z74" s="204">
        <v>0</v>
      </c>
      <c r="AA74" s="204">
        <v>0</v>
      </c>
      <c r="AB74" s="204">
        <v>0</v>
      </c>
      <c r="AC74" s="205">
        <v>0</v>
      </c>
    </row>
    <row r="75" spans="1:29" ht="22.5" customHeight="1" x14ac:dyDescent="0.3">
      <c r="A75" s="190" t="s">
        <v>156</v>
      </c>
      <c r="B75" s="44">
        <f>V_13!B75+V_5!R75</f>
        <v>21</v>
      </c>
      <c r="C75" s="39">
        <f>V_13!C75+V_5!S75</f>
        <v>1</v>
      </c>
      <c r="D75" s="39">
        <f>V_13!D75+V_5!T75</f>
        <v>12</v>
      </c>
      <c r="E75" s="39">
        <f>V_13!E75+V_5!U75</f>
        <v>4</v>
      </c>
      <c r="F75" s="194">
        <f>V_13!F75+V_5!V75</f>
        <v>33</v>
      </c>
      <c r="G75" s="196">
        <f t="shared" si="5"/>
        <v>71</v>
      </c>
      <c r="H75" s="203">
        <f>V_13!H75+V_5!X75</f>
        <v>0</v>
      </c>
      <c r="I75" s="204">
        <f>V_13!I75+V_5!Y75</f>
        <v>0</v>
      </c>
      <c r="J75" s="204">
        <f>V_13!J75+V_5!Z75</f>
        <v>0</v>
      </c>
      <c r="K75" s="204">
        <f>V_13!K75+V_5!AA75</f>
        <v>0</v>
      </c>
      <c r="L75" s="204">
        <f>V_13!L75+V_5!AB75</f>
        <v>0</v>
      </c>
      <c r="M75" s="205">
        <f>V_13!M75+V_5!AC75</f>
        <v>0</v>
      </c>
      <c r="N75" s="85">
        <f t="shared" si="6"/>
        <v>71</v>
      </c>
      <c r="O75" s="43">
        <f t="shared" si="7"/>
        <v>200</v>
      </c>
      <c r="R75" s="44">
        <v>0</v>
      </c>
      <c r="S75" s="39">
        <v>0</v>
      </c>
      <c r="T75" s="39">
        <v>0</v>
      </c>
      <c r="U75" s="39">
        <v>1</v>
      </c>
      <c r="V75" s="194">
        <v>2</v>
      </c>
      <c r="W75" s="196">
        <f t="shared" si="8"/>
        <v>3</v>
      </c>
      <c r="X75" s="203">
        <v>0</v>
      </c>
      <c r="Y75" s="204">
        <v>0</v>
      </c>
      <c r="Z75" s="204">
        <v>0</v>
      </c>
      <c r="AA75" s="204">
        <v>0</v>
      </c>
      <c r="AB75" s="204">
        <v>0</v>
      </c>
      <c r="AC75" s="205">
        <v>0</v>
      </c>
    </row>
    <row r="76" spans="1:29" ht="22.5" customHeight="1" x14ac:dyDescent="0.3">
      <c r="A76" s="190" t="s">
        <v>157</v>
      </c>
      <c r="B76" s="44">
        <f>V_13!B76+V_5!R76</f>
        <v>20</v>
      </c>
      <c r="C76" s="39">
        <f>V_13!C76+V_5!S76</f>
        <v>1</v>
      </c>
      <c r="D76" s="39">
        <f>V_13!D76+V_5!T76</f>
        <v>11</v>
      </c>
      <c r="E76" s="39">
        <f>V_13!E76+V_5!U76</f>
        <v>1</v>
      </c>
      <c r="F76" s="194">
        <f>V_13!F76+V_5!V76</f>
        <v>30</v>
      </c>
      <c r="G76" s="196">
        <f t="shared" si="5"/>
        <v>63</v>
      </c>
      <c r="H76" s="203">
        <f>V_13!H76+V_5!X76</f>
        <v>0</v>
      </c>
      <c r="I76" s="204">
        <f>V_13!I76+V_5!Y76</f>
        <v>0</v>
      </c>
      <c r="J76" s="204">
        <f>V_13!J76+V_5!Z76</f>
        <v>0</v>
      </c>
      <c r="K76" s="204">
        <f>V_13!K76+V_5!AA76</f>
        <v>0</v>
      </c>
      <c r="L76" s="204">
        <f>V_13!L76+V_5!AB76</f>
        <v>0</v>
      </c>
      <c r="M76" s="205">
        <f>V_13!M76+V_5!AC76</f>
        <v>0</v>
      </c>
      <c r="N76" s="85">
        <f t="shared" si="6"/>
        <v>63</v>
      </c>
      <c r="O76" s="43">
        <f t="shared" si="7"/>
        <v>175</v>
      </c>
      <c r="R76" s="44">
        <v>0</v>
      </c>
      <c r="S76" s="39">
        <v>0</v>
      </c>
      <c r="T76" s="39">
        <v>0</v>
      </c>
      <c r="U76" s="39">
        <v>0</v>
      </c>
      <c r="V76" s="194">
        <v>1</v>
      </c>
      <c r="W76" s="196">
        <f t="shared" si="8"/>
        <v>1</v>
      </c>
      <c r="X76" s="203">
        <v>0</v>
      </c>
      <c r="Y76" s="204">
        <v>0</v>
      </c>
      <c r="Z76" s="204">
        <v>0</v>
      </c>
      <c r="AA76" s="204">
        <v>0</v>
      </c>
      <c r="AB76" s="204">
        <v>0</v>
      </c>
      <c r="AC76" s="205">
        <v>0</v>
      </c>
    </row>
    <row r="77" spans="1:29" ht="22.5" customHeight="1" x14ac:dyDescent="0.3">
      <c r="A77" s="190" t="s">
        <v>158</v>
      </c>
      <c r="B77" s="44">
        <f>V_13!B77+V_5!R77</f>
        <v>22</v>
      </c>
      <c r="C77" s="39">
        <f>V_13!C77+V_5!S77</f>
        <v>1</v>
      </c>
      <c r="D77" s="39">
        <f>V_13!D77+V_5!T77</f>
        <v>11</v>
      </c>
      <c r="E77" s="39">
        <f>V_13!E77+V_5!U77</f>
        <v>4</v>
      </c>
      <c r="F77" s="194">
        <f>V_13!F77+V_5!V77</f>
        <v>29</v>
      </c>
      <c r="G77" s="196">
        <f t="shared" si="5"/>
        <v>67</v>
      </c>
      <c r="H77" s="203">
        <f>V_13!H77+V_5!X77</f>
        <v>0</v>
      </c>
      <c r="I77" s="204">
        <f>V_13!I77+V_5!Y77</f>
        <v>0</v>
      </c>
      <c r="J77" s="204">
        <f>V_13!J77+V_5!Z77</f>
        <v>0</v>
      </c>
      <c r="K77" s="204">
        <f>V_13!K77+V_5!AA77</f>
        <v>0</v>
      </c>
      <c r="L77" s="204">
        <f>V_13!L77+V_5!AB77</f>
        <v>0</v>
      </c>
      <c r="M77" s="205">
        <f>V_13!M77+V_5!AC77</f>
        <v>0</v>
      </c>
      <c r="N77" s="85">
        <f t="shared" si="6"/>
        <v>67</v>
      </c>
      <c r="O77" s="43">
        <f t="shared" si="7"/>
        <v>181.5</v>
      </c>
      <c r="R77" s="44">
        <v>0</v>
      </c>
      <c r="S77" s="39">
        <v>0</v>
      </c>
      <c r="T77" s="39">
        <v>0</v>
      </c>
      <c r="U77" s="39">
        <v>2</v>
      </c>
      <c r="V77" s="194">
        <v>0</v>
      </c>
      <c r="W77" s="196">
        <f t="shared" si="8"/>
        <v>2</v>
      </c>
      <c r="X77" s="203">
        <v>0</v>
      </c>
      <c r="Y77" s="204">
        <v>0</v>
      </c>
      <c r="Z77" s="204">
        <v>0</v>
      </c>
      <c r="AA77" s="204">
        <v>0</v>
      </c>
      <c r="AB77" s="204">
        <v>0</v>
      </c>
      <c r="AC77" s="205">
        <v>0</v>
      </c>
    </row>
    <row r="78" spans="1:29" ht="22.5" customHeight="1" x14ac:dyDescent="0.3">
      <c r="A78" s="190" t="s">
        <v>159</v>
      </c>
      <c r="B78" s="44">
        <f>V_13!B78+V_5!R78</f>
        <v>23</v>
      </c>
      <c r="C78" s="39">
        <f>V_13!C78+V_5!S78</f>
        <v>0</v>
      </c>
      <c r="D78" s="39">
        <f>V_13!D78+V_5!T78</f>
        <v>2</v>
      </c>
      <c r="E78" s="39">
        <f>V_13!E78+V_5!U78</f>
        <v>3</v>
      </c>
      <c r="F78" s="194">
        <f>V_13!F78+V_5!V78</f>
        <v>24</v>
      </c>
      <c r="G78" s="196">
        <f t="shared" si="5"/>
        <v>52</v>
      </c>
      <c r="H78" s="203">
        <f>V_13!H78+V_5!X78</f>
        <v>0</v>
      </c>
      <c r="I78" s="204">
        <f>V_13!I78+V_5!Y78</f>
        <v>0</v>
      </c>
      <c r="J78" s="204">
        <f>V_13!J78+V_5!Z78</f>
        <v>0</v>
      </c>
      <c r="K78" s="204">
        <f>V_13!K78+V_5!AA78</f>
        <v>0</v>
      </c>
      <c r="L78" s="204">
        <f>V_13!L78+V_5!AB78</f>
        <v>0</v>
      </c>
      <c r="M78" s="205">
        <f>V_13!M78+V_5!AC78</f>
        <v>0</v>
      </c>
      <c r="N78" s="85">
        <f t="shared" si="6"/>
        <v>52</v>
      </c>
      <c r="O78" s="43">
        <f t="shared" si="7"/>
        <v>143</v>
      </c>
      <c r="R78" s="44">
        <v>0</v>
      </c>
      <c r="S78" s="39">
        <v>0</v>
      </c>
      <c r="T78" s="39">
        <v>0</v>
      </c>
      <c r="U78" s="39">
        <v>0</v>
      </c>
      <c r="V78" s="194">
        <v>1</v>
      </c>
      <c r="W78" s="196">
        <f t="shared" si="8"/>
        <v>1</v>
      </c>
      <c r="X78" s="203">
        <v>0</v>
      </c>
      <c r="Y78" s="204">
        <v>0</v>
      </c>
      <c r="Z78" s="204">
        <v>0</v>
      </c>
      <c r="AA78" s="204">
        <v>0</v>
      </c>
      <c r="AB78" s="204">
        <v>0</v>
      </c>
      <c r="AC78" s="205">
        <v>0</v>
      </c>
    </row>
    <row r="79" spans="1:29" ht="22.5" customHeight="1" x14ac:dyDescent="0.3">
      <c r="A79" s="190" t="s">
        <v>160</v>
      </c>
      <c r="B79" s="44">
        <f>V_13!B79+V_5!R79</f>
        <v>19</v>
      </c>
      <c r="C79" s="39">
        <f>V_13!C79+V_5!S79</f>
        <v>1</v>
      </c>
      <c r="D79" s="39">
        <f>V_13!D79+V_5!T79</f>
        <v>3</v>
      </c>
      <c r="E79" s="39">
        <f>V_13!E79+V_5!U79</f>
        <v>5</v>
      </c>
      <c r="F79" s="194">
        <f>V_13!F79+V_5!V79</f>
        <v>34</v>
      </c>
      <c r="G79" s="196">
        <f t="shared" si="5"/>
        <v>62</v>
      </c>
      <c r="H79" s="203">
        <f>V_13!H79+V_5!X79</f>
        <v>0</v>
      </c>
      <c r="I79" s="204">
        <f>V_13!I79+V_5!Y79</f>
        <v>0</v>
      </c>
      <c r="J79" s="204">
        <f>V_13!J79+V_5!Z79</f>
        <v>0</v>
      </c>
      <c r="K79" s="204">
        <f>V_13!K79+V_5!AA79</f>
        <v>0</v>
      </c>
      <c r="L79" s="204">
        <f>V_13!L79+V_5!AB79</f>
        <v>0</v>
      </c>
      <c r="M79" s="205">
        <f>V_13!M79+V_5!AC79</f>
        <v>0</v>
      </c>
      <c r="N79" s="85">
        <f t="shared" si="6"/>
        <v>62</v>
      </c>
      <c r="O79" s="43">
        <f t="shared" si="7"/>
        <v>192</v>
      </c>
      <c r="R79" s="44">
        <v>0</v>
      </c>
      <c r="S79" s="39">
        <v>0</v>
      </c>
      <c r="T79" s="39">
        <v>0</v>
      </c>
      <c r="U79" s="39">
        <v>1</v>
      </c>
      <c r="V79" s="194">
        <v>3</v>
      </c>
      <c r="W79" s="196">
        <f t="shared" si="8"/>
        <v>4</v>
      </c>
      <c r="X79" s="203">
        <v>0</v>
      </c>
      <c r="Y79" s="204">
        <v>0</v>
      </c>
      <c r="Z79" s="204">
        <v>0</v>
      </c>
      <c r="AA79" s="204">
        <v>0</v>
      </c>
      <c r="AB79" s="204">
        <v>0</v>
      </c>
      <c r="AC79" s="205">
        <v>0</v>
      </c>
    </row>
    <row r="80" spans="1:29" ht="22.5" customHeight="1" x14ac:dyDescent="0.3">
      <c r="A80" s="190" t="s">
        <v>161</v>
      </c>
      <c r="B80" s="44">
        <f>V_13!B80+V_5!R80</f>
        <v>10</v>
      </c>
      <c r="C80" s="39">
        <f>V_13!C80+V_5!S80</f>
        <v>2</v>
      </c>
      <c r="D80" s="39">
        <f>V_13!D80+V_5!T80</f>
        <v>11</v>
      </c>
      <c r="E80" s="39">
        <f>V_13!E80+V_5!U80</f>
        <v>2</v>
      </c>
      <c r="F80" s="194">
        <f>V_13!F80+V_5!V80</f>
        <v>20</v>
      </c>
      <c r="G80" s="196">
        <f t="shared" si="5"/>
        <v>45</v>
      </c>
      <c r="H80" s="203">
        <f>V_13!H80+V_5!X80</f>
        <v>0</v>
      </c>
      <c r="I80" s="204">
        <f>V_13!I80+V_5!Y80</f>
        <v>0</v>
      </c>
      <c r="J80" s="204">
        <f>V_13!J80+V_5!Z80</f>
        <v>0</v>
      </c>
      <c r="K80" s="204">
        <f>V_13!K80+V_5!AA80</f>
        <v>0</v>
      </c>
      <c r="L80" s="204">
        <f>V_13!L80+V_5!AB80</f>
        <v>0</v>
      </c>
      <c r="M80" s="205">
        <f>V_13!M80+V_5!AC80</f>
        <v>0</v>
      </c>
      <c r="N80" s="85">
        <f t="shared" si="6"/>
        <v>45</v>
      </c>
      <c r="O80" s="43">
        <f t="shared" si="7"/>
        <v>123.5</v>
      </c>
      <c r="R80" s="44">
        <v>0</v>
      </c>
      <c r="S80" s="39">
        <v>0</v>
      </c>
      <c r="T80" s="39">
        <v>0</v>
      </c>
      <c r="U80" s="39">
        <v>0</v>
      </c>
      <c r="V80" s="194">
        <v>2</v>
      </c>
      <c r="W80" s="196">
        <f t="shared" si="8"/>
        <v>2</v>
      </c>
      <c r="X80" s="203">
        <v>0</v>
      </c>
      <c r="Y80" s="204">
        <v>0</v>
      </c>
      <c r="Z80" s="204">
        <v>0</v>
      </c>
      <c r="AA80" s="204">
        <v>0</v>
      </c>
      <c r="AB80" s="204">
        <v>0</v>
      </c>
      <c r="AC80" s="205">
        <v>0</v>
      </c>
    </row>
    <row r="81" spans="1:29" ht="22.5" customHeight="1" x14ac:dyDescent="0.3">
      <c r="A81" s="190" t="s">
        <v>162</v>
      </c>
      <c r="B81" s="44">
        <f>V_13!B81+V_5!R81</f>
        <v>15</v>
      </c>
      <c r="C81" s="39">
        <f>V_13!C81+V_5!S81</f>
        <v>0</v>
      </c>
      <c r="D81" s="39">
        <f>V_13!D81+V_5!T81</f>
        <v>8</v>
      </c>
      <c r="E81" s="39">
        <f>V_13!E81+V_5!U81</f>
        <v>4</v>
      </c>
      <c r="F81" s="194">
        <f>V_13!F81+V_5!V81</f>
        <v>12</v>
      </c>
      <c r="G81" s="196">
        <f t="shared" si="5"/>
        <v>39</v>
      </c>
      <c r="H81" s="203">
        <f>V_13!H81+V_5!X81</f>
        <v>0</v>
      </c>
      <c r="I81" s="204">
        <f>V_13!I81+V_5!Y81</f>
        <v>0</v>
      </c>
      <c r="J81" s="204">
        <f>V_13!J81+V_5!Z81</f>
        <v>0</v>
      </c>
      <c r="K81" s="204">
        <f>V_13!K81+V_5!AA81</f>
        <v>0</v>
      </c>
      <c r="L81" s="204">
        <f>V_13!L81+V_5!AB81</f>
        <v>0</v>
      </c>
      <c r="M81" s="205">
        <f>V_13!M81+V_5!AC81</f>
        <v>0</v>
      </c>
      <c r="N81" s="85">
        <f t="shared" si="6"/>
        <v>39</v>
      </c>
      <c r="O81" s="43">
        <f t="shared" si="7"/>
        <v>93</v>
      </c>
      <c r="R81" s="44">
        <v>0</v>
      </c>
      <c r="S81" s="39">
        <v>0</v>
      </c>
      <c r="T81" s="39">
        <v>0</v>
      </c>
      <c r="U81" s="39">
        <v>1</v>
      </c>
      <c r="V81" s="194">
        <v>1</v>
      </c>
      <c r="W81" s="196">
        <f t="shared" si="8"/>
        <v>2</v>
      </c>
      <c r="X81" s="203">
        <v>0</v>
      </c>
      <c r="Y81" s="204">
        <v>0</v>
      </c>
      <c r="Z81" s="204">
        <v>0</v>
      </c>
      <c r="AA81" s="204">
        <v>0</v>
      </c>
      <c r="AB81" s="204">
        <v>0</v>
      </c>
      <c r="AC81" s="205">
        <v>0</v>
      </c>
    </row>
    <row r="82" spans="1:29" ht="22.5" customHeight="1" x14ac:dyDescent="0.3">
      <c r="A82" s="190" t="s">
        <v>163</v>
      </c>
      <c r="B82" s="44">
        <f>V_13!B82+V_5!R82</f>
        <v>21</v>
      </c>
      <c r="C82" s="39">
        <f>V_13!C82+V_5!S82</f>
        <v>2</v>
      </c>
      <c r="D82" s="39">
        <f>V_13!D82+V_5!T82</f>
        <v>8</v>
      </c>
      <c r="E82" s="39">
        <f>V_13!E82+V_5!U82</f>
        <v>3</v>
      </c>
      <c r="F82" s="194">
        <f>V_13!F82+V_5!V82</f>
        <v>16</v>
      </c>
      <c r="G82" s="196">
        <f t="shared" si="5"/>
        <v>50</v>
      </c>
      <c r="H82" s="203">
        <f>V_13!H82+V_5!X82</f>
        <v>0</v>
      </c>
      <c r="I82" s="204">
        <f>V_13!I82+V_5!Y82</f>
        <v>0</v>
      </c>
      <c r="J82" s="204">
        <f>V_13!J82+V_5!Z82</f>
        <v>0</v>
      </c>
      <c r="K82" s="204">
        <f>V_13!K82+V_5!AA82</f>
        <v>0</v>
      </c>
      <c r="L82" s="204">
        <f>V_13!L82+V_5!AB82</f>
        <v>0</v>
      </c>
      <c r="M82" s="205">
        <f>V_13!M82+V_5!AC82</f>
        <v>0</v>
      </c>
      <c r="N82" s="85">
        <f t="shared" si="6"/>
        <v>50</v>
      </c>
      <c r="O82" s="43">
        <f t="shared" si="7"/>
        <v>115</v>
      </c>
      <c r="R82" s="44">
        <v>1</v>
      </c>
      <c r="S82" s="39">
        <v>0</v>
      </c>
      <c r="T82" s="39">
        <v>0</v>
      </c>
      <c r="U82" s="39">
        <v>0</v>
      </c>
      <c r="V82" s="194">
        <v>1</v>
      </c>
      <c r="W82" s="196">
        <f t="shared" si="8"/>
        <v>2</v>
      </c>
      <c r="X82" s="203">
        <v>0</v>
      </c>
      <c r="Y82" s="204">
        <v>0</v>
      </c>
      <c r="Z82" s="204">
        <v>0</v>
      </c>
      <c r="AA82" s="204">
        <v>0</v>
      </c>
      <c r="AB82" s="204">
        <v>0</v>
      </c>
      <c r="AC82" s="205">
        <v>0</v>
      </c>
    </row>
    <row r="83" spans="1:29" ht="22.5" customHeight="1" x14ac:dyDescent="0.3">
      <c r="A83" s="190" t="s">
        <v>164</v>
      </c>
      <c r="B83" s="44">
        <f>V_13!B83+V_5!R83</f>
        <v>23</v>
      </c>
      <c r="C83" s="39">
        <f>V_13!C83+V_5!S83</f>
        <v>1</v>
      </c>
      <c r="D83" s="39">
        <f>V_13!D83+V_5!T83</f>
        <v>17</v>
      </c>
      <c r="E83" s="39">
        <f>V_13!E83+V_5!U83</f>
        <v>2</v>
      </c>
      <c r="F83" s="194">
        <f>V_13!F83+V_5!V83</f>
        <v>11</v>
      </c>
      <c r="G83" s="196">
        <f t="shared" si="5"/>
        <v>54</v>
      </c>
      <c r="H83" s="203">
        <f>V_13!H83+V_5!X83</f>
        <v>0</v>
      </c>
      <c r="I83" s="204">
        <f>V_13!I83+V_5!Y83</f>
        <v>0</v>
      </c>
      <c r="J83" s="204">
        <f>V_13!J83+V_5!Z83</f>
        <v>0</v>
      </c>
      <c r="K83" s="204">
        <f>V_13!K83+V_5!AA83</f>
        <v>0</v>
      </c>
      <c r="L83" s="204">
        <f>V_13!L83+V_5!AB83</f>
        <v>0</v>
      </c>
      <c r="M83" s="205">
        <f>V_13!M83+V_5!AC83</f>
        <v>0</v>
      </c>
      <c r="N83" s="85">
        <f t="shared" si="6"/>
        <v>54</v>
      </c>
      <c r="O83" s="43">
        <f t="shared" si="7"/>
        <v>104.5</v>
      </c>
      <c r="R83" s="44">
        <v>2</v>
      </c>
      <c r="S83" s="39">
        <v>0</v>
      </c>
      <c r="T83" s="39">
        <v>2</v>
      </c>
      <c r="U83" s="39">
        <v>0</v>
      </c>
      <c r="V83" s="194">
        <v>0</v>
      </c>
      <c r="W83" s="196">
        <f t="shared" si="8"/>
        <v>4</v>
      </c>
      <c r="X83" s="203">
        <v>0</v>
      </c>
      <c r="Y83" s="204">
        <v>0</v>
      </c>
      <c r="Z83" s="204">
        <v>0</v>
      </c>
      <c r="AA83" s="204">
        <v>0</v>
      </c>
      <c r="AB83" s="204">
        <v>0</v>
      </c>
      <c r="AC83" s="205">
        <v>0</v>
      </c>
    </row>
    <row r="84" spans="1:29" ht="22.5" customHeight="1" x14ac:dyDescent="0.3">
      <c r="A84" s="190" t="s">
        <v>165</v>
      </c>
      <c r="B84" s="44">
        <f>V_13!B84+V_5!R84</f>
        <v>20</v>
      </c>
      <c r="C84" s="39">
        <f>V_13!C84+V_5!S84</f>
        <v>0</v>
      </c>
      <c r="D84" s="39">
        <f>V_13!D84+V_5!T84</f>
        <v>18</v>
      </c>
      <c r="E84" s="39">
        <f>V_13!E84+V_5!U84</f>
        <v>4</v>
      </c>
      <c r="F84" s="194">
        <f>V_13!F84+V_5!V84</f>
        <v>14</v>
      </c>
      <c r="G84" s="196">
        <f t="shared" si="5"/>
        <v>56</v>
      </c>
      <c r="H84" s="203">
        <f>V_13!H84+V_5!X84</f>
        <v>0</v>
      </c>
      <c r="I84" s="204">
        <f>V_13!I84+V_5!Y84</f>
        <v>0</v>
      </c>
      <c r="J84" s="204">
        <f>V_13!J84+V_5!Z84</f>
        <v>0</v>
      </c>
      <c r="K84" s="204">
        <f>V_13!K84+V_5!AA84</f>
        <v>0</v>
      </c>
      <c r="L84" s="204">
        <f>V_13!L84+V_5!AB84</f>
        <v>0</v>
      </c>
      <c r="M84" s="205">
        <f>V_13!M84+V_5!AC84</f>
        <v>0</v>
      </c>
      <c r="N84" s="85">
        <f t="shared" si="6"/>
        <v>56</v>
      </c>
      <c r="O84" s="43">
        <f t="shared" si="7"/>
        <v>122</v>
      </c>
      <c r="R84" s="44">
        <v>1</v>
      </c>
      <c r="S84" s="39">
        <v>0</v>
      </c>
      <c r="T84" s="39">
        <v>0</v>
      </c>
      <c r="U84" s="39">
        <v>0</v>
      </c>
      <c r="V84" s="194">
        <v>0</v>
      </c>
      <c r="W84" s="196">
        <f t="shared" si="8"/>
        <v>1</v>
      </c>
      <c r="X84" s="203">
        <v>0</v>
      </c>
      <c r="Y84" s="204">
        <v>0</v>
      </c>
      <c r="Z84" s="204">
        <v>0</v>
      </c>
      <c r="AA84" s="204">
        <v>0</v>
      </c>
      <c r="AB84" s="204">
        <v>0</v>
      </c>
      <c r="AC84" s="205">
        <v>0</v>
      </c>
    </row>
    <row r="85" spans="1:29" ht="22.5" customHeight="1" x14ac:dyDescent="0.3">
      <c r="A85" s="190" t="s">
        <v>166</v>
      </c>
      <c r="B85" s="44">
        <f>V_13!B85+V_5!R85</f>
        <v>13</v>
      </c>
      <c r="C85" s="39">
        <f>V_13!C85+V_5!S85</f>
        <v>0</v>
      </c>
      <c r="D85" s="39">
        <f>V_13!D85+V_5!T85</f>
        <v>16</v>
      </c>
      <c r="E85" s="39">
        <f>V_13!E85+V_5!U85</f>
        <v>6</v>
      </c>
      <c r="F85" s="194">
        <f>V_13!F85+V_5!V85</f>
        <v>15</v>
      </c>
      <c r="G85" s="196">
        <f t="shared" si="5"/>
        <v>50</v>
      </c>
      <c r="H85" s="203">
        <f>V_13!H85+V_5!X85</f>
        <v>0</v>
      </c>
      <c r="I85" s="204">
        <f>V_13!I85+V_5!Y85</f>
        <v>0</v>
      </c>
      <c r="J85" s="204">
        <f>V_13!J85+V_5!Z85</f>
        <v>0</v>
      </c>
      <c r="K85" s="204">
        <f>V_13!K85+V_5!AA85</f>
        <v>0</v>
      </c>
      <c r="L85" s="204">
        <f>V_13!L85+V_5!AB85</f>
        <v>0</v>
      </c>
      <c r="M85" s="205">
        <f>V_13!M85+V_5!AC85</f>
        <v>0</v>
      </c>
      <c r="N85" s="85">
        <f t="shared" si="6"/>
        <v>50</v>
      </c>
      <c r="O85" s="43">
        <f t="shared" si="7"/>
        <v>122.5</v>
      </c>
      <c r="R85" s="44">
        <v>0</v>
      </c>
      <c r="S85" s="39">
        <v>0</v>
      </c>
      <c r="T85" s="39">
        <v>0</v>
      </c>
      <c r="U85" s="39">
        <v>0</v>
      </c>
      <c r="V85" s="194">
        <v>0</v>
      </c>
      <c r="W85" s="196">
        <f t="shared" si="8"/>
        <v>0</v>
      </c>
      <c r="X85" s="203">
        <v>0</v>
      </c>
      <c r="Y85" s="204">
        <v>0</v>
      </c>
      <c r="Z85" s="204">
        <v>0</v>
      </c>
      <c r="AA85" s="204">
        <v>0</v>
      </c>
      <c r="AB85" s="204">
        <v>0</v>
      </c>
      <c r="AC85" s="205">
        <v>0</v>
      </c>
    </row>
    <row r="86" spans="1:29" ht="22.5" customHeight="1" x14ac:dyDescent="0.3">
      <c r="A86" s="190" t="s">
        <v>167</v>
      </c>
      <c r="B86" s="44">
        <f>V_13!B86+V_5!R86</f>
        <v>12</v>
      </c>
      <c r="C86" s="39">
        <f>V_13!C86+V_5!S86</f>
        <v>1</v>
      </c>
      <c r="D86" s="39">
        <f>V_13!D86+V_5!T86</f>
        <v>19</v>
      </c>
      <c r="E86" s="39">
        <f>V_13!E86+V_5!U86</f>
        <v>8</v>
      </c>
      <c r="F86" s="194">
        <f>V_13!F86+V_5!V86</f>
        <v>18</v>
      </c>
      <c r="G86" s="196">
        <f t="shared" si="5"/>
        <v>58</v>
      </c>
      <c r="H86" s="203">
        <f>V_13!H86+V_5!X86</f>
        <v>0</v>
      </c>
      <c r="I86" s="204">
        <f>V_13!I86+V_5!Y86</f>
        <v>0</v>
      </c>
      <c r="J86" s="204">
        <f>V_13!J86+V_5!Z86</f>
        <v>0</v>
      </c>
      <c r="K86" s="204">
        <f>V_13!K86+V_5!AA86</f>
        <v>0</v>
      </c>
      <c r="L86" s="204">
        <f>V_13!L86+V_5!AB86</f>
        <v>0</v>
      </c>
      <c r="M86" s="205">
        <f>V_13!M86+V_5!AC86</f>
        <v>0</v>
      </c>
      <c r="N86" s="85">
        <f t="shared" si="6"/>
        <v>58</v>
      </c>
      <c r="O86" s="43">
        <f t="shared" si="7"/>
        <v>146</v>
      </c>
      <c r="R86" s="44">
        <v>0</v>
      </c>
      <c r="S86" s="39">
        <v>1</v>
      </c>
      <c r="T86" s="39">
        <v>2</v>
      </c>
      <c r="U86" s="39">
        <v>0</v>
      </c>
      <c r="V86" s="194">
        <v>1</v>
      </c>
      <c r="W86" s="196">
        <f t="shared" si="8"/>
        <v>4</v>
      </c>
      <c r="X86" s="203">
        <v>0</v>
      </c>
      <c r="Y86" s="204">
        <v>0</v>
      </c>
      <c r="Z86" s="204">
        <v>0</v>
      </c>
      <c r="AA86" s="204">
        <v>0</v>
      </c>
      <c r="AB86" s="204">
        <v>0</v>
      </c>
      <c r="AC86" s="205">
        <v>0</v>
      </c>
    </row>
    <row r="87" spans="1:29" ht="22.5" customHeight="1" x14ac:dyDescent="0.3">
      <c r="A87" s="190" t="s">
        <v>168</v>
      </c>
      <c r="B87" s="44">
        <f>V_13!B87+V_5!R87</f>
        <v>12</v>
      </c>
      <c r="C87" s="39">
        <f>V_13!C87+V_5!S87</f>
        <v>5</v>
      </c>
      <c r="D87" s="39">
        <f>V_13!D87+V_5!T87</f>
        <v>11</v>
      </c>
      <c r="E87" s="39">
        <f>V_13!E87+V_5!U87</f>
        <v>7</v>
      </c>
      <c r="F87" s="194">
        <f>V_13!F87+V_5!V87</f>
        <v>15</v>
      </c>
      <c r="G87" s="196">
        <f t="shared" si="5"/>
        <v>50</v>
      </c>
      <c r="H87" s="203">
        <f>V_13!H87+V_5!X87</f>
        <v>0</v>
      </c>
      <c r="I87" s="204">
        <f>V_13!I87+V_5!Y87</f>
        <v>0</v>
      </c>
      <c r="J87" s="204">
        <f>V_13!J87+V_5!Z87</f>
        <v>0</v>
      </c>
      <c r="K87" s="204">
        <f>V_13!K87+V_5!AA87</f>
        <v>0</v>
      </c>
      <c r="L87" s="204">
        <f>V_13!L87+V_5!AB87</f>
        <v>0</v>
      </c>
      <c r="M87" s="205">
        <f>V_13!M87+V_5!AC87</f>
        <v>0</v>
      </c>
      <c r="N87" s="85">
        <f t="shared" si="6"/>
        <v>50</v>
      </c>
      <c r="O87" s="43">
        <f t="shared" si="7"/>
        <v>119.5</v>
      </c>
      <c r="R87" s="44">
        <v>0</v>
      </c>
      <c r="S87" s="39">
        <v>2</v>
      </c>
      <c r="T87" s="39">
        <v>0</v>
      </c>
      <c r="U87" s="39">
        <v>0</v>
      </c>
      <c r="V87" s="194">
        <v>0</v>
      </c>
      <c r="W87" s="196">
        <f t="shared" si="8"/>
        <v>2</v>
      </c>
      <c r="X87" s="203">
        <v>0</v>
      </c>
      <c r="Y87" s="204">
        <v>0</v>
      </c>
      <c r="Z87" s="204">
        <v>0</v>
      </c>
      <c r="AA87" s="204">
        <v>0</v>
      </c>
      <c r="AB87" s="204">
        <v>0</v>
      </c>
      <c r="AC87" s="205">
        <v>0</v>
      </c>
    </row>
    <row r="88" spans="1:29" ht="22.5" customHeight="1" x14ac:dyDescent="0.3">
      <c r="A88" s="190" t="s">
        <v>169</v>
      </c>
      <c r="B88" s="44">
        <f>V_13!B88+V_5!R88</f>
        <v>16</v>
      </c>
      <c r="C88" s="39">
        <f>V_13!C88+V_5!S88</f>
        <v>3</v>
      </c>
      <c r="D88" s="39">
        <f>V_13!D88+V_5!T88</f>
        <v>11</v>
      </c>
      <c r="E88" s="39">
        <f>V_13!E88+V_5!U88</f>
        <v>1</v>
      </c>
      <c r="F88" s="194">
        <f>V_13!F88+V_5!V88</f>
        <v>18</v>
      </c>
      <c r="G88" s="196">
        <f t="shared" si="5"/>
        <v>49</v>
      </c>
      <c r="H88" s="203">
        <f>V_13!H88+V_5!X88</f>
        <v>0</v>
      </c>
      <c r="I88" s="204">
        <f>V_13!I88+V_5!Y88</f>
        <v>0</v>
      </c>
      <c r="J88" s="204">
        <f>V_13!J88+V_5!Z88</f>
        <v>0</v>
      </c>
      <c r="K88" s="204">
        <f>V_13!K88+V_5!AA88</f>
        <v>0</v>
      </c>
      <c r="L88" s="204">
        <f>V_13!L88+V_5!AB88</f>
        <v>0</v>
      </c>
      <c r="M88" s="205">
        <f>V_13!M88+V_5!AC88</f>
        <v>0</v>
      </c>
      <c r="N88" s="85">
        <f t="shared" si="6"/>
        <v>49</v>
      </c>
      <c r="O88" s="43">
        <f t="shared" si="7"/>
        <v>118</v>
      </c>
      <c r="R88" s="44">
        <v>0</v>
      </c>
      <c r="S88" s="39">
        <v>1</v>
      </c>
      <c r="T88" s="39">
        <v>1</v>
      </c>
      <c r="U88" s="39">
        <v>0</v>
      </c>
      <c r="V88" s="194">
        <v>0</v>
      </c>
      <c r="W88" s="196">
        <f t="shared" si="8"/>
        <v>2</v>
      </c>
      <c r="X88" s="203">
        <v>0</v>
      </c>
      <c r="Y88" s="204">
        <v>0</v>
      </c>
      <c r="Z88" s="204">
        <v>0</v>
      </c>
      <c r="AA88" s="204">
        <v>0</v>
      </c>
      <c r="AB88" s="204">
        <v>0</v>
      </c>
      <c r="AC88" s="205">
        <v>0</v>
      </c>
    </row>
    <row r="89" spans="1:29" ht="22.5" customHeight="1" x14ac:dyDescent="0.3">
      <c r="A89" s="190" t="s">
        <v>170</v>
      </c>
      <c r="B89" s="44">
        <f>V_13!B89+V_5!R89</f>
        <v>12</v>
      </c>
      <c r="C89" s="39">
        <f>V_13!C89+V_5!S89</f>
        <v>1</v>
      </c>
      <c r="D89" s="39">
        <f>V_13!D89+V_5!T89</f>
        <v>12</v>
      </c>
      <c r="E89" s="39">
        <f>V_13!E89+V_5!U89</f>
        <v>4</v>
      </c>
      <c r="F89" s="194">
        <f>V_13!F89+V_5!V89</f>
        <v>15</v>
      </c>
      <c r="G89" s="196">
        <f t="shared" si="5"/>
        <v>44</v>
      </c>
      <c r="H89" s="203">
        <f>V_13!H89+V_5!X89</f>
        <v>0</v>
      </c>
      <c r="I89" s="204">
        <f>V_13!I89+V_5!Y89</f>
        <v>0</v>
      </c>
      <c r="J89" s="204">
        <f>V_13!J89+V_5!Z89</f>
        <v>0</v>
      </c>
      <c r="K89" s="204">
        <f>V_13!K89+V_5!AA89</f>
        <v>0</v>
      </c>
      <c r="L89" s="204">
        <f>V_13!L89+V_5!AB89</f>
        <v>0</v>
      </c>
      <c r="M89" s="205">
        <f>V_13!M89+V_5!AC89</f>
        <v>0</v>
      </c>
      <c r="N89" s="85">
        <f t="shared" si="6"/>
        <v>44</v>
      </c>
      <c r="O89" s="43">
        <f t="shared" si="7"/>
        <v>110</v>
      </c>
      <c r="R89" s="44">
        <v>0</v>
      </c>
      <c r="S89" s="39">
        <v>0</v>
      </c>
      <c r="T89" s="39">
        <v>3</v>
      </c>
      <c r="U89" s="39">
        <v>1</v>
      </c>
      <c r="V89" s="194">
        <v>0</v>
      </c>
      <c r="W89" s="196">
        <f t="shared" si="8"/>
        <v>4</v>
      </c>
      <c r="X89" s="203">
        <v>0</v>
      </c>
      <c r="Y89" s="204">
        <v>0</v>
      </c>
      <c r="Z89" s="204">
        <v>0</v>
      </c>
      <c r="AA89" s="204">
        <v>0</v>
      </c>
      <c r="AB89" s="204">
        <v>0</v>
      </c>
      <c r="AC89" s="205">
        <v>0</v>
      </c>
    </row>
    <row r="90" spans="1:29" ht="22.5" customHeight="1" x14ac:dyDescent="0.3">
      <c r="A90" s="190" t="s">
        <v>171</v>
      </c>
      <c r="B90" s="44">
        <f>V_13!B90+V_5!R90</f>
        <v>12</v>
      </c>
      <c r="C90" s="39">
        <f>V_13!C90+V_5!S90</f>
        <v>2</v>
      </c>
      <c r="D90" s="39">
        <f>V_13!D90+V_5!T90</f>
        <v>14</v>
      </c>
      <c r="E90" s="39">
        <f>V_13!E90+V_5!U90</f>
        <v>3</v>
      </c>
      <c r="F90" s="194">
        <f>V_13!F90+V_5!V90</f>
        <v>17</v>
      </c>
      <c r="G90" s="196">
        <f t="shared" si="5"/>
        <v>48</v>
      </c>
      <c r="H90" s="203">
        <f>V_13!H90+V_5!X90</f>
        <v>0</v>
      </c>
      <c r="I90" s="204">
        <f>V_13!I90+V_5!Y90</f>
        <v>0</v>
      </c>
      <c r="J90" s="204">
        <f>V_13!J90+V_5!Z90</f>
        <v>0</v>
      </c>
      <c r="K90" s="204">
        <f>V_13!K90+V_5!AA90</f>
        <v>0</v>
      </c>
      <c r="L90" s="204">
        <f>V_13!L90+V_5!AB90</f>
        <v>0</v>
      </c>
      <c r="M90" s="205">
        <f>V_13!M90+V_5!AC90</f>
        <v>0</v>
      </c>
      <c r="N90" s="85">
        <f t="shared" si="6"/>
        <v>48</v>
      </c>
      <c r="O90" s="43">
        <f t="shared" si="7"/>
        <v>119.5</v>
      </c>
      <c r="R90" s="44">
        <v>0</v>
      </c>
      <c r="S90" s="39">
        <v>1</v>
      </c>
      <c r="T90" s="39">
        <v>2</v>
      </c>
      <c r="U90" s="39">
        <v>0</v>
      </c>
      <c r="V90" s="194">
        <v>1</v>
      </c>
      <c r="W90" s="196">
        <f t="shared" si="8"/>
        <v>4</v>
      </c>
      <c r="X90" s="203">
        <v>0</v>
      </c>
      <c r="Y90" s="204">
        <v>0</v>
      </c>
      <c r="Z90" s="204">
        <v>0</v>
      </c>
      <c r="AA90" s="204">
        <v>0</v>
      </c>
      <c r="AB90" s="204">
        <v>0</v>
      </c>
      <c r="AC90" s="205">
        <v>0</v>
      </c>
    </row>
    <row r="91" spans="1:29" ht="22.5" customHeight="1" x14ac:dyDescent="0.3">
      <c r="A91" s="190" t="s">
        <v>172</v>
      </c>
      <c r="B91" s="44">
        <f>V_13!B91+V_5!R91</f>
        <v>7</v>
      </c>
      <c r="C91" s="39">
        <f>V_13!C91+V_5!S91</f>
        <v>3</v>
      </c>
      <c r="D91" s="39">
        <f>V_13!D91+V_5!T91</f>
        <v>10</v>
      </c>
      <c r="E91" s="39">
        <f>V_13!E91+V_5!U91</f>
        <v>5</v>
      </c>
      <c r="F91" s="194">
        <f>V_13!F91+V_5!V91</f>
        <v>15</v>
      </c>
      <c r="G91" s="196">
        <f t="shared" si="5"/>
        <v>40</v>
      </c>
      <c r="H91" s="203">
        <f>V_13!H91+V_5!X91</f>
        <v>0</v>
      </c>
      <c r="I91" s="204">
        <f>V_13!I91+V_5!Y91</f>
        <v>0</v>
      </c>
      <c r="J91" s="204">
        <f>V_13!J91+V_5!Z91</f>
        <v>0</v>
      </c>
      <c r="K91" s="204">
        <f>V_13!K91+V_5!AA91</f>
        <v>0</v>
      </c>
      <c r="L91" s="204">
        <f>V_13!L91+V_5!AB91</f>
        <v>0</v>
      </c>
      <c r="M91" s="205">
        <f>V_13!M91+V_5!AC91</f>
        <v>0</v>
      </c>
      <c r="N91" s="85">
        <f t="shared" si="6"/>
        <v>40</v>
      </c>
      <c r="O91" s="43">
        <f t="shared" si="7"/>
        <v>106</v>
      </c>
      <c r="R91" s="44">
        <v>0</v>
      </c>
      <c r="S91" s="39">
        <v>1</v>
      </c>
      <c r="T91" s="39">
        <v>1</v>
      </c>
      <c r="U91" s="39">
        <v>1</v>
      </c>
      <c r="V91" s="194">
        <v>0</v>
      </c>
      <c r="W91" s="196">
        <f t="shared" si="8"/>
        <v>3</v>
      </c>
      <c r="X91" s="203">
        <v>0</v>
      </c>
      <c r="Y91" s="204">
        <v>0</v>
      </c>
      <c r="Z91" s="204">
        <v>0</v>
      </c>
      <c r="AA91" s="204">
        <v>0</v>
      </c>
      <c r="AB91" s="204">
        <v>0</v>
      </c>
      <c r="AC91" s="205">
        <v>0</v>
      </c>
    </row>
    <row r="92" spans="1:29" ht="22.5" customHeight="1" x14ac:dyDescent="0.3">
      <c r="A92" s="190" t="s">
        <v>173</v>
      </c>
      <c r="B92" s="44">
        <f>V_13!B92+V_5!R92</f>
        <v>9</v>
      </c>
      <c r="C92" s="39">
        <f>V_13!C92+V_5!S92</f>
        <v>7</v>
      </c>
      <c r="D92" s="39">
        <f>V_13!D92+V_5!T92</f>
        <v>17</v>
      </c>
      <c r="E92" s="39">
        <f>V_13!E92+V_5!U92</f>
        <v>4</v>
      </c>
      <c r="F92" s="194">
        <f>V_13!F92+V_5!V92</f>
        <v>18</v>
      </c>
      <c r="G92" s="196">
        <f t="shared" si="5"/>
        <v>55</v>
      </c>
      <c r="H92" s="203">
        <f>V_13!H92+V_5!X92</f>
        <v>0</v>
      </c>
      <c r="I92" s="204">
        <f>V_13!I92+V_5!Y92</f>
        <v>0</v>
      </c>
      <c r="J92" s="204">
        <f>V_13!J92+V_5!Z92</f>
        <v>0</v>
      </c>
      <c r="K92" s="204">
        <f>V_13!K92+V_5!AA92</f>
        <v>0</v>
      </c>
      <c r="L92" s="204">
        <f>V_13!L92+V_5!AB92</f>
        <v>0</v>
      </c>
      <c r="M92" s="205">
        <f>V_13!M92+V_5!AC92</f>
        <v>0</v>
      </c>
      <c r="N92" s="85">
        <f t="shared" si="6"/>
        <v>55</v>
      </c>
      <c r="O92" s="43">
        <f t="shared" si="7"/>
        <v>131</v>
      </c>
      <c r="R92" s="44">
        <v>1</v>
      </c>
      <c r="S92" s="39">
        <v>1</v>
      </c>
      <c r="T92" s="39">
        <v>3</v>
      </c>
      <c r="U92" s="39">
        <v>0</v>
      </c>
      <c r="V92" s="194">
        <v>0</v>
      </c>
      <c r="W92" s="196">
        <f t="shared" si="8"/>
        <v>5</v>
      </c>
      <c r="X92" s="203">
        <v>0</v>
      </c>
      <c r="Y92" s="204">
        <v>0</v>
      </c>
      <c r="Z92" s="204">
        <v>0</v>
      </c>
      <c r="AA92" s="204">
        <v>0</v>
      </c>
      <c r="AB92" s="204">
        <v>0</v>
      </c>
      <c r="AC92" s="205">
        <v>0</v>
      </c>
    </row>
    <row r="93" spans="1:29" ht="22.5" customHeight="1" x14ac:dyDescent="0.3">
      <c r="A93" s="190" t="s">
        <v>174</v>
      </c>
      <c r="B93" s="44">
        <f>V_13!B93+V_5!R93</f>
        <v>20</v>
      </c>
      <c r="C93" s="39">
        <f>V_13!C93+V_5!S93</f>
        <v>7</v>
      </c>
      <c r="D93" s="39">
        <f>V_13!D93+V_5!T93</f>
        <v>19</v>
      </c>
      <c r="E93" s="39">
        <f>V_13!E93+V_5!U93</f>
        <v>10</v>
      </c>
      <c r="F93" s="194">
        <f>V_13!F93+V_5!V93</f>
        <v>28</v>
      </c>
      <c r="G93" s="196">
        <f t="shared" si="5"/>
        <v>84</v>
      </c>
      <c r="H93" s="203">
        <f>V_13!H93+V_5!X93</f>
        <v>0</v>
      </c>
      <c r="I93" s="204">
        <f>V_13!I93+V_5!Y93</f>
        <v>0</v>
      </c>
      <c r="J93" s="204">
        <f>V_13!J93+V_5!Z93</f>
        <v>0</v>
      </c>
      <c r="K93" s="204">
        <f>V_13!K93+V_5!AA93</f>
        <v>0</v>
      </c>
      <c r="L93" s="204">
        <f>V_13!L93+V_5!AB93</f>
        <v>0</v>
      </c>
      <c r="M93" s="205">
        <f>V_13!M93+V_5!AC93</f>
        <v>0</v>
      </c>
      <c r="N93" s="85">
        <f t="shared" si="6"/>
        <v>84</v>
      </c>
      <c r="O93" s="43">
        <f t="shared" si="7"/>
        <v>208</v>
      </c>
      <c r="R93" s="44">
        <v>2</v>
      </c>
      <c r="S93" s="39">
        <v>2</v>
      </c>
      <c r="T93" s="39">
        <v>1</v>
      </c>
      <c r="U93" s="39">
        <v>2</v>
      </c>
      <c r="V93" s="194">
        <v>0</v>
      </c>
      <c r="W93" s="196">
        <f t="shared" si="8"/>
        <v>7</v>
      </c>
      <c r="X93" s="203">
        <v>0</v>
      </c>
      <c r="Y93" s="204">
        <v>0</v>
      </c>
      <c r="Z93" s="204">
        <v>0</v>
      </c>
      <c r="AA93" s="204">
        <v>0</v>
      </c>
      <c r="AB93" s="204">
        <v>0</v>
      </c>
      <c r="AC93" s="205">
        <v>0</v>
      </c>
    </row>
    <row r="94" spans="1:29" ht="22.5" customHeight="1" x14ac:dyDescent="0.3">
      <c r="A94" s="190" t="s">
        <v>175</v>
      </c>
      <c r="B94" s="44">
        <f>V_13!B94+V_5!R94</f>
        <v>20</v>
      </c>
      <c r="C94" s="39">
        <f>V_13!C94+V_5!S94</f>
        <v>8</v>
      </c>
      <c r="D94" s="39">
        <f>V_13!D94+V_5!T94</f>
        <v>13</v>
      </c>
      <c r="E94" s="39">
        <f>V_13!E94+V_5!U94</f>
        <v>3</v>
      </c>
      <c r="F94" s="194">
        <f>V_13!F94+V_5!V94</f>
        <v>23</v>
      </c>
      <c r="G94" s="196">
        <f t="shared" si="5"/>
        <v>67</v>
      </c>
      <c r="H94" s="203">
        <f>V_13!H94+V_5!X94</f>
        <v>0</v>
      </c>
      <c r="I94" s="204">
        <f>V_13!I94+V_5!Y94</f>
        <v>0</v>
      </c>
      <c r="J94" s="204">
        <f>V_13!J94+V_5!Z94</f>
        <v>0</v>
      </c>
      <c r="K94" s="204">
        <f>V_13!K94+V_5!AA94</f>
        <v>0</v>
      </c>
      <c r="L94" s="204">
        <f>V_13!L94+V_5!AB94</f>
        <v>0</v>
      </c>
      <c r="M94" s="205">
        <f>V_13!M94+V_5!AC94</f>
        <v>0</v>
      </c>
      <c r="N94" s="85">
        <f t="shared" si="6"/>
        <v>67</v>
      </c>
      <c r="O94" s="43">
        <f t="shared" si="7"/>
        <v>156</v>
      </c>
      <c r="R94" s="44">
        <v>2</v>
      </c>
      <c r="S94" s="39">
        <v>3</v>
      </c>
      <c r="T94" s="39">
        <v>0</v>
      </c>
      <c r="U94" s="39">
        <v>0</v>
      </c>
      <c r="V94" s="194">
        <v>0</v>
      </c>
      <c r="W94" s="196">
        <f t="shared" si="8"/>
        <v>5</v>
      </c>
      <c r="X94" s="203">
        <v>0</v>
      </c>
      <c r="Y94" s="204">
        <v>0</v>
      </c>
      <c r="Z94" s="204">
        <v>0</v>
      </c>
      <c r="AA94" s="204">
        <v>0</v>
      </c>
      <c r="AB94" s="204">
        <v>0</v>
      </c>
      <c r="AC94" s="205">
        <v>0</v>
      </c>
    </row>
    <row r="95" spans="1:29" ht="22.5" customHeight="1" x14ac:dyDescent="0.3">
      <c r="A95" s="190" t="s">
        <v>176</v>
      </c>
      <c r="B95" s="44">
        <f>V_13!B95+V_5!R95</f>
        <v>18</v>
      </c>
      <c r="C95" s="39">
        <f>V_13!C95+V_5!S95</f>
        <v>4</v>
      </c>
      <c r="D95" s="39">
        <f>V_13!D95+V_5!T95</f>
        <v>11</v>
      </c>
      <c r="E95" s="39">
        <f>V_13!E95+V_5!U95</f>
        <v>2</v>
      </c>
      <c r="F95" s="194">
        <f>V_13!F95+V_5!V95</f>
        <v>21</v>
      </c>
      <c r="G95" s="196">
        <f t="shared" si="5"/>
        <v>56</v>
      </c>
      <c r="H95" s="203">
        <f>V_13!H95+V_5!X95</f>
        <v>0</v>
      </c>
      <c r="I95" s="204">
        <f>V_13!I95+V_5!Y95</f>
        <v>0</v>
      </c>
      <c r="J95" s="204">
        <f>V_13!J95+V_5!Z95</f>
        <v>0</v>
      </c>
      <c r="K95" s="204">
        <f>V_13!K95+V_5!AA95</f>
        <v>0</v>
      </c>
      <c r="L95" s="204">
        <f>V_13!L95+V_5!AB95</f>
        <v>0</v>
      </c>
      <c r="M95" s="205">
        <f>V_13!M95+V_5!AC95</f>
        <v>0</v>
      </c>
      <c r="N95" s="85">
        <f t="shared" si="6"/>
        <v>56</v>
      </c>
      <c r="O95" s="43">
        <f t="shared" si="7"/>
        <v>137</v>
      </c>
      <c r="R95" s="44">
        <v>3</v>
      </c>
      <c r="S95" s="39">
        <v>1</v>
      </c>
      <c r="T95" s="39">
        <v>0</v>
      </c>
      <c r="U95" s="39">
        <v>0</v>
      </c>
      <c r="V95" s="194">
        <v>0</v>
      </c>
      <c r="W95" s="196">
        <f t="shared" si="8"/>
        <v>4</v>
      </c>
      <c r="X95" s="203">
        <v>0</v>
      </c>
      <c r="Y95" s="204">
        <v>0</v>
      </c>
      <c r="Z95" s="204">
        <v>0</v>
      </c>
      <c r="AA95" s="204">
        <v>0</v>
      </c>
      <c r="AB95" s="204">
        <v>0</v>
      </c>
      <c r="AC95" s="205">
        <v>0</v>
      </c>
    </row>
    <row r="96" spans="1:29" ht="22.5" customHeight="1" x14ac:dyDescent="0.3">
      <c r="A96" s="190" t="s">
        <v>135</v>
      </c>
      <c r="B96" s="44">
        <f>V_13!B96+V_5!R96</f>
        <v>27</v>
      </c>
      <c r="C96" s="39">
        <f>V_13!C96+V_5!S96</f>
        <v>15</v>
      </c>
      <c r="D96" s="39">
        <f>V_13!D96+V_5!T96</f>
        <v>13</v>
      </c>
      <c r="E96" s="39">
        <f>V_13!E96+V_5!U96</f>
        <v>2</v>
      </c>
      <c r="F96" s="194">
        <f>V_13!F96+V_5!V96</f>
        <v>24</v>
      </c>
      <c r="G96" s="196">
        <f t="shared" si="5"/>
        <v>81</v>
      </c>
      <c r="H96" s="203">
        <f>V_13!H96+V_5!X96</f>
        <v>0</v>
      </c>
      <c r="I96" s="204">
        <f>V_13!I96+V_5!Y96</f>
        <v>0</v>
      </c>
      <c r="J96" s="204">
        <f>V_13!J96+V_5!Z96</f>
        <v>0</v>
      </c>
      <c r="K96" s="204">
        <f>V_13!K96+V_5!AA96</f>
        <v>0</v>
      </c>
      <c r="L96" s="204">
        <f>V_13!L96+V_5!AB96</f>
        <v>0</v>
      </c>
      <c r="M96" s="205">
        <f>V_13!M96+V_5!AC96</f>
        <v>0</v>
      </c>
      <c r="N96" s="85">
        <f t="shared" si="6"/>
        <v>81</v>
      </c>
      <c r="O96" s="43">
        <f t="shared" si="7"/>
        <v>168</v>
      </c>
      <c r="R96" s="44">
        <v>2</v>
      </c>
      <c r="S96" s="39">
        <v>0</v>
      </c>
      <c r="T96" s="39">
        <v>0</v>
      </c>
      <c r="U96" s="39">
        <v>0</v>
      </c>
      <c r="V96" s="194">
        <v>0</v>
      </c>
      <c r="W96" s="196">
        <f t="shared" si="8"/>
        <v>2</v>
      </c>
      <c r="X96" s="203">
        <v>0</v>
      </c>
      <c r="Y96" s="204">
        <v>0</v>
      </c>
      <c r="Z96" s="204">
        <v>0</v>
      </c>
      <c r="AA96" s="204">
        <v>0</v>
      </c>
      <c r="AB96" s="204">
        <v>0</v>
      </c>
      <c r="AC96" s="205">
        <v>0</v>
      </c>
    </row>
    <row r="97" spans="1:29" ht="22.5" customHeight="1" x14ac:dyDescent="0.3">
      <c r="A97" s="190" t="s">
        <v>136</v>
      </c>
      <c r="B97" s="44">
        <f>V_13!B97+V_5!R97</f>
        <v>21</v>
      </c>
      <c r="C97" s="39">
        <f>V_13!C97+V_5!S97</f>
        <v>17</v>
      </c>
      <c r="D97" s="39">
        <f>V_13!D97+V_5!T97</f>
        <v>5</v>
      </c>
      <c r="E97" s="39">
        <f>V_13!E97+V_5!U97</f>
        <v>7</v>
      </c>
      <c r="F97" s="194">
        <f>V_13!F97+V_5!V97</f>
        <v>11</v>
      </c>
      <c r="G97" s="196">
        <f t="shared" si="5"/>
        <v>61</v>
      </c>
      <c r="H97" s="203">
        <f>V_13!H97+V_5!X97</f>
        <v>0</v>
      </c>
      <c r="I97" s="204">
        <f>V_13!I97+V_5!Y97</f>
        <v>0</v>
      </c>
      <c r="J97" s="204">
        <f>V_13!J97+V_5!Z97</f>
        <v>0</v>
      </c>
      <c r="K97" s="204">
        <f>V_13!K97+V_5!AA97</f>
        <v>0</v>
      </c>
      <c r="L97" s="204">
        <f>V_13!L97+V_5!AB97</f>
        <v>0</v>
      </c>
      <c r="M97" s="205">
        <f>V_13!M97+V_5!AC97</f>
        <v>0</v>
      </c>
      <c r="N97" s="85">
        <f t="shared" si="6"/>
        <v>61</v>
      </c>
      <c r="O97" s="43">
        <f t="shared" si="7"/>
        <v>107.5</v>
      </c>
      <c r="R97" s="44">
        <v>2</v>
      </c>
      <c r="S97" s="39">
        <v>2</v>
      </c>
      <c r="T97" s="39">
        <v>0</v>
      </c>
      <c r="U97" s="39">
        <v>0</v>
      </c>
      <c r="V97" s="194">
        <v>0</v>
      </c>
      <c r="W97" s="196">
        <f t="shared" si="8"/>
        <v>4</v>
      </c>
      <c r="X97" s="203">
        <v>0</v>
      </c>
      <c r="Y97" s="204">
        <v>0</v>
      </c>
      <c r="Z97" s="204">
        <v>0</v>
      </c>
      <c r="AA97" s="204">
        <v>0</v>
      </c>
      <c r="AB97" s="204">
        <v>0</v>
      </c>
      <c r="AC97" s="205">
        <v>0</v>
      </c>
    </row>
    <row r="98" spans="1:29" ht="22.5" customHeight="1" x14ac:dyDescent="0.3">
      <c r="A98" s="190" t="s">
        <v>137</v>
      </c>
      <c r="B98" s="44">
        <f>V_13!B98+V_5!R98</f>
        <v>33</v>
      </c>
      <c r="C98" s="39">
        <f>V_13!C98+V_5!S98</f>
        <v>17</v>
      </c>
      <c r="D98" s="39">
        <f>V_13!D98+V_5!T98</f>
        <v>8</v>
      </c>
      <c r="E98" s="39">
        <f>V_13!E98+V_5!U98</f>
        <v>6</v>
      </c>
      <c r="F98" s="194">
        <f>V_13!F98+V_5!V98</f>
        <v>18</v>
      </c>
      <c r="G98" s="196">
        <f t="shared" si="5"/>
        <v>82</v>
      </c>
      <c r="H98" s="203">
        <f>V_13!H98+V_5!X98</f>
        <v>0</v>
      </c>
      <c r="I98" s="204">
        <f>V_13!I98+V_5!Y98</f>
        <v>0</v>
      </c>
      <c r="J98" s="204">
        <f>V_13!J98+V_5!Z98</f>
        <v>0</v>
      </c>
      <c r="K98" s="204">
        <f>V_13!K98+V_5!AA98</f>
        <v>0</v>
      </c>
      <c r="L98" s="204">
        <f>V_13!L98+V_5!AB98</f>
        <v>0</v>
      </c>
      <c r="M98" s="205">
        <f>V_13!M98+V_5!AC98</f>
        <v>0</v>
      </c>
      <c r="N98" s="85">
        <f t="shared" si="6"/>
        <v>82</v>
      </c>
      <c r="O98" s="43">
        <f t="shared" si="7"/>
        <v>152.5</v>
      </c>
      <c r="R98" s="44">
        <v>2</v>
      </c>
      <c r="S98" s="39">
        <v>2</v>
      </c>
      <c r="T98" s="39">
        <v>0</v>
      </c>
      <c r="U98" s="39">
        <v>1</v>
      </c>
      <c r="V98" s="194">
        <v>0</v>
      </c>
      <c r="W98" s="196">
        <f t="shared" si="8"/>
        <v>5</v>
      </c>
      <c r="X98" s="203">
        <v>0</v>
      </c>
      <c r="Y98" s="204">
        <v>0</v>
      </c>
      <c r="Z98" s="204">
        <v>0</v>
      </c>
      <c r="AA98" s="204">
        <v>0</v>
      </c>
      <c r="AB98" s="204">
        <v>0</v>
      </c>
      <c r="AC98" s="205">
        <v>0</v>
      </c>
    </row>
    <row r="99" spans="1:29" ht="22.5" customHeight="1" x14ac:dyDescent="0.3">
      <c r="A99" s="190" t="s">
        <v>138</v>
      </c>
      <c r="B99" s="44">
        <f>V_13!B99+V_5!R99</f>
        <v>34</v>
      </c>
      <c r="C99" s="39">
        <f>V_13!C99+V_5!S99</f>
        <v>23</v>
      </c>
      <c r="D99" s="39">
        <f>V_13!D99+V_5!T99</f>
        <v>8</v>
      </c>
      <c r="E99" s="39">
        <f>V_13!E99+V_5!U99</f>
        <v>6</v>
      </c>
      <c r="F99" s="194">
        <f>V_13!F99+V_5!V99</f>
        <v>15</v>
      </c>
      <c r="G99" s="196">
        <f t="shared" si="5"/>
        <v>86</v>
      </c>
      <c r="H99" s="203">
        <f>V_13!H99+V_5!X99</f>
        <v>0</v>
      </c>
      <c r="I99" s="204">
        <f>V_13!I99+V_5!Y99</f>
        <v>0</v>
      </c>
      <c r="J99" s="204">
        <f>V_13!J99+V_5!Z99</f>
        <v>0</v>
      </c>
      <c r="K99" s="204">
        <f>V_13!K99+V_5!AA99</f>
        <v>0</v>
      </c>
      <c r="L99" s="204">
        <f>V_13!L99+V_5!AB99</f>
        <v>0</v>
      </c>
      <c r="M99" s="205">
        <f>V_13!M99+V_5!AC99</f>
        <v>0</v>
      </c>
      <c r="N99" s="85">
        <f t="shared" si="6"/>
        <v>86</v>
      </c>
      <c r="O99" s="43">
        <f t="shared" si="7"/>
        <v>143</v>
      </c>
      <c r="R99" s="44">
        <v>2</v>
      </c>
      <c r="S99" s="39">
        <v>2</v>
      </c>
      <c r="T99" s="39">
        <v>1</v>
      </c>
      <c r="U99" s="39">
        <v>0</v>
      </c>
      <c r="V99" s="194">
        <v>0</v>
      </c>
      <c r="W99" s="196">
        <f t="shared" si="8"/>
        <v>5</v>
      </c>
      <c r="X99" s="203">
        <v>0</v>
      </c>
      <c r="Y99" s="204">
        <v>0</v>
      </c>
      <c r="Z99" s="204">
        <v>0</v>
      </c>
      <c r="AA99" s="204">
        <v>0</v>
      </c>
      <c r="AB99" s="204">
        <v>0</v>
      </c>
      <c r="AC99" s="205">
        <v>0</v>
      </c>
    </row>
    <row r="100" spans="1:29" ht="22.5" customHeight="1" x14ac:dyDescent="0.3">
      <c r="A100" s="190" t="s">
        <v>139</v>
      </c>
      <c r="B100" s="44">
        <f>V_13!B100+V_5!R100</f>
        <v>36</v>
      </c>
      <c r="C100" s="39">
        <f>V_13!C100+V_5!S100</f>
        <v>19</v>
      </c>
      <c r="D100" s="39">
        <f>V_13!D100+V_5!T100</f>
        <v>13</v>
      </c>
      <c r="E100" s="39">
        <f>V_13!E100+V_5!U100</f>
        <v>6</v>
      </c>
      <c r="F100" s="194">
        <f>V_13!F100+V_5!V100</f>
        <v>24</v>
      </c>
      <c r="G100" s="196">
        <f t="shared" si="5"/>
        <v>98</v>
      </c>
      <c r="H100" s="203">
        <f>V_13!H100+V_5!X100</f>
        <v>0</v>
      </c>
      <c r="I100" s="204">
        <f>V_13!I100+V_5!Y100</f>
        <v>0</v>
      </c>
      <c r="J100" s="204">
        <f>V_13!J100+V_5!Z100</f>
        <v>0</v>
      </c>
      <c r="K100" s="204">
        <f>V_13!K100+V_5!AA100</f>
        <v>0</v>
      </c>
      <c r="L100" s="204">
        <f>V_13!L100+V_5!AB100</f>
        <v>1</v>
      </c>
      <c r="M100" s="205">
        <f>V_13!M100+V_5!AC100</f>
        <v>0</v>
      </c>
      <c r="N100" s="85">
        <f t="shared" si="6"/>
        <v>98</v>
      </c>
      <c r="O100" s="43">
        <f t="shared" si="7"/>
        <v>199</v>
      </c>
      <c r="R100" s="44">
        <v>4</v>
      </c>
      <c r="S100" s="39">
        <v>1</v>
      </c>
      <c r="T100" s="39">
        <v>0</v>
      </c>
      <c r="U100" s="39">
        <v>0</v>
      </c>
      <c r="V100" s="194">
        <v>1</v>
      </c>
      <c r="W100" s="196">
        <f t="shared" si="8"/>
        <v>6</v>
      </c>
      <c r="X100" s="203">
        <v>0</v>
      </c>
      <c r="Y100" s="204">
        <v>0</v>
      </c>
      <c r="Z100" s="204">
        <v>0</v>
      </c>
      <c r="AA100" s="204">
        <v>0</v>
      </c>
      <c r="AB100" s="204">
        <v>0</v>
      </c>
      <c r="AC100" s="205">
        <v>0</v>
      </c>
    </row>
    <row r="101" spans="1:29" ht="22.5" customHeight="1" x14ac:dyDescent="0.3">
      <c r="A101" s="190" t="s">
        <v>140</v>
      </c>
      <c r="B101" s="44">
        <f>V_13!B101+V_5!R101</f>
        <v>35</v>
      </c>
      <c r="C101" s="39">
        <f>V_13!C101+V_5!S101</f>
        <v>33</v>
      </c>
      <c r="D101" s="39">
        <f>V_13!D101+V_5!T101</f>
        <v>12</v>
      </c>
      <c r="E101" s="39">
        <f>V_13!E101+V_5!U101</f>
        <v>7</v>
      </c>
      <c r="F101" s="194">
        <f>V_13!F101+V_5!V101</f>
        <v>22</v>
      </c>
      <c r="G101" s="196">
        <f t="shared" si="5"/>
        <v>109</v>
      </c>
      <c r="H101" s="203">
        <f>V_13!H101+V_5!X101</f>
        <v>0</v>
      </c>
      <c r="I101" s="204">
        <f>V_13!I101+V_5!Y101</f>
        <v>0</v>
      </c>
      <c r="J101" s="204">
        <f>V_13!J101+V_5!Z101</f>
        <v>0</v>
      </c>
      <c r="K101" s="204">
        <f>V_13!K101+V_5!AA101</f>
        <v>0</v>
      </c>
      <c r="L101" s="204">
        <f>V_13!L101+V_5!AB101</f>
        <v>0</v>
      </c>
      <c r="M101" s="205">
        <f>V_13!M101+V_5!AC101</f>
        <v>0</v>
      </c>
      <c r="N101" s="85">
        <f t="shared" si="6"/>
        <v>109</v>
      </c>
      <c r="O101" s="43">
        <f t="shared" si="7"/>
        <v>189.5</v>
      </c>
      <c r="R101" s="44">
        <v>4</v>
      </c>
      <c r="S101" s="39">
        <v>2</v>
      </c>
      <c r="T101" s="39">
        <v>0</v>
      </c>
      <c r="U101" s="39">
        <v>0</v>
      </c>
      <c r="V101" s="194">
        <v>1</v>
      </c>
      <c r="W101" s="196">
        <f t="shared" si="8"/>
        <v>7</v>
      </c>
      <c r="X101" s="203">
        <v>0</v>
      </c>
      <c r="Y101" s="204">
        <v>0</v>
      </c>
      <c r="Z101" s="204">
        <v>0</v>
      </c>
      <c r="AA101" s="204">
        <v>0</v>
      </c>
      <c r="AB101" s="204">
        <v>0</v>
      </c>
      <c r="AC101" s="205">
        <v>0</v>
      </c>
    </row>
    <row r="102" spans="1:29" ht="22.5" customHeight="1" x14ac:dyDescent="0.3">
      <c r="A102" s="190" t="s">
        <v>141</v>
      </c>
      <c r="B102" s="44">
        <f>V_13!B102+V_5!R102</f>
        <v>23</v>
      </c>
      <c r="C102" s="39">
        <f>V_13!C102+V_5!S102</f>
        <v>34</v>
      </c>
      <c r="D102" s="39">
        <f>V_13!D102+V_5!T102</f>
        <v>2</v>
      </c>
      <c r="E102" s="39">
        <f>V_13!E102+V_5!U102</f>
        <v>5</v>
      </c>
      <c r="F102" s="194">
        <f>V_13!F102+V_5!V102</f>
        <v>12</v>
      </c>
      <c r="G102" s="196">
        <f t="shared" si="5"/>
        <v>76</v>
      </c>
      <c r="H102" s="203">
        <f>V_13!H102+V_5!X102</f>
        <v>0</v>
      </c>
      <c r="I102" s="204">
        <f>V_13!I102+V_5!Y102</f>
        <v>0</v>
      </c>
      <c r="J102" s="204">
        <f>V_13!J102+V_5!Z102</f>
        <v>0</v>
      </c>
      <c r="K102" s="204">
        <f>V_13!K102+V_5!AA102</f>
        <v>0</v>
      </c>
      <c r="L102" s="204">
        <f>V_13!L102+V_5!AB102</f>
        <v>0</v>
      </c>
      <c r="M102" s="205">
        <f>V_13!M102+V_5!AC102</f>
        <v>0</v>
      </c>
      <c r="N102" s="85">
        <f t="shared" si="6"/>
        <v>76</v>
      </c>
      <c r="O102" s="43">
        <f t="shared" si="7"/>
        <v>112</v>
      </c>
      <c r="R102" s="44">
        <v>3</v>
      </c>
      <c r="S102" s="39">
        <v>3</v>
      </c>
      <c r="T102" s="39">
        <v>0</v>
      </c>
      <c r="U102" s="39">
        <v>0</v>
      </c>
      <c r="V102" s="194">
        <v>1</v>
      </c>
      <c r="W102" s="196">
        <f t="shared" si="8"/>
        <v>7</v>
      </c>
      <c r="X102" s="203">
        <v>0</v>
      </c>
      <c r="Y102" s="204">
        <v>0</v>
      </c>
      <c r="Z102" s="204">
        <v>0</v>
      </c>
      <c r="AA102" s="204">
        <v>0</v>
      </c>
      <c r="AB102" s="204">
        <v>0</v>
      </c>
      <c r="AC102" s="205">
        <v>0</v>
      </c>
    </row>
    <row r="103" spans="1:29" ht="22.5" customHeight="1" thickBot="1" x14ac:dyDescent="0.35">
      <c r="A103" s="191" t="s">
        <v>142</v>
      </c>
      <c r="B103" s="46">
        <f>V_13!B103+V_5!R103</f>
        <v>35</v>
      </c>
      <c r="C103" s="47">
        <f>V_13!C103+V_5!S103</f>
        <v>34</v>
      </c>
      <c r="D103" s="47">
        <f>V_13!D103+V_5!T103</f>
        <v>14</v>
      </c>
      <c r="E103" s="47">
        <f>V_13!E103+V_5!U103</f>
        <v>2</v>
      </c>
      <c r="F103" s="195">
        <f>V_13!F103+V_5!V103</f>
        <v>15</v>
      </c>
      <c r="G103" s="197">
        <f t="shared" si="5"/>
        <v>100</v>
      </c>
      <c r="H103" s="206">
        <f>V_13!H103+V_5!X103</f>
        <v>0</v>
      </c>
      <c r="I103" s="207">
        <f>V_13!I103+V_5!Y103</f>
        <v>0</v>
      </c>
      <c r="J103" s="207">
        <f>V_13!J103+V_5!Z103</f>
        <v>0</v>
      </c>
      <c r="K103" s="207">
        <f>V_13!K103+V_5!AA103</f>
        <v>0</v>
      </c>
      <c r="L103" s="207">
        <f>V_13!L103+V_5!AB103</f>
        <v>0</v>
      </c>
      <c r="M103" s="208">
        <f>V_13!M103+V_5!AC103</f>
        <v>0</v>
      </c>
      <c r="N103" s="116">
        <f t="shared" si="6"/>
        <v>100</v>
      </c>
      <c r="O103" s="84">
        <f t="shared" si="7"/>
        <v>146.5</v>
      </c>
      <c r="R103" s="46">
        <v>4</v>
      </c>
      <c r="S103" s="47">
        <v>2</v>
      </c>
      <c r="T103" s="47">
        <v>2</v>
      </c>
      <c r="U103" s="47">
        <v>0</v>
      </c>
      <c r="V103" s="195">
        <v>2</v>
      </c>
      <c r="W103" s="197">
        <f t="shared" si="8"/>
        <v>10</v>
      </c>
      <c r="X103" s="206">
        <v>0</v>
      </c>
      <c r="Y103" s="207">
        <v>0</v>
      </c>
      <c r="Z103" s="207">
        <v>0</v>
      </c>
      <c r="AA103" s="207">
        <v>0</v>
      </c>
      <c r="AB103" s="207">
        <v>0</v>
      </c>
      <c r="AC103" s="208">
        <v>0</v>
      </c>
    </row>
    <row r="104" spans="1:29" ht="22.5" customHeight="1" thickBot="1" x14ac:dyDescent="0.35">
      <c r="A104" s="86" t="s">
        <v>11</v>
      </c>
      <c r="B104" s="117">
        <f t="shared" ref="B104:N104" si="9">SUM(B8:B103)</f>
        <v>7403</v>
      </c>
      <c r="C104" s="117">
        <f t="shared" si="9"/>
        <v>4438</v>
      </c>
      <c r="D104" s="117">
        <f t="shared" si="9"/>
        <v>1534</v>
      </c>
      <c r="E104" s="118">
        <f t="shared" si="9"/>
        <v>459</v>
      </c>
      <c r="F104" s="118">
        <f t="shared" si="9"/>
        <v>2731</v>
      </c>
      <c r="G104" s="94">
        <f t="shared" si="9"/>
        <v>16565</v>
      </c>
      <c r="H104" s="117">
        <f t="shared" si="9"/>
        <v>5</v>
      </c>
      <c r="I104" s="117">
        <f t="shared" si="9"/>
        <v>0</v>
      </c>
      <c r="J104" s="117">
        <f t="shared" si="9"/>
        <v>0</v>
      </c>
      <c r="K104" s="118">
        <f t="shared" si="9"/>
        <v>1</v>
      </c>
      <c r="L104" s="118">
        <f t="shared" si="9"/>
        <v>20</v>
      </c>
      <c r="M104" s="199">
        <f>SUM(M8:M103)</f>
        <v>0</v>
      </c>
      <c r="N104" s="95">
        <f t="shared" si="9"/>
        <v>16565</v>
      </c>
      <c r="O104" s="142">
        <f>SUM(O8:O103)</f>
        <v>25756</v>
      </c>
    </row>
    <row r="105" spans="1:29" ht="22.5" customHeight="1" thickBot="1" x14ac:dyDescent="0.35">
      <c r="A105" s="41" t="s">
        <v>143</v>
      </c>
      <c r="B105" s="88">
        <f>+B104*1</f>
        <v>7403</v>
      </c>
      <c r="C105" s="88">
        <f>+C104*0.5</f>
        <v>2219</v>
      </c>
      <c r="D105" s="88">
        <f>+D104*1.5</f>
        <v>2301</v>
      </c>
      <c r="E105" s="88">
        <f>+E104*3</f>
        <v>1377</v>
      </c>
      <c r="F105" s="89">
        <f>+F104*4.5</f>
        <v>12289.5</v>
      </c>
      <c r="G105" s="90">
        <f>SUM(B105:F105)</f>
        <v>25589.5</v>
      </c>
      <c r="H105" s="88">
        <f>+H104*0.5</f>
        <v>2.5</v>
      </c>
      <c r="I105" s="89">
        <f>+I104*1.5</f>
        <v>0</v>
      </c>
      <c r="J105" s="89">
        <f>+J104*3</f>
        <v>0</v>
      </c>
      <c r="K105" s="96">
        <f>+K104*4</f>
        <v>4</v>
      </c>
      <c r="L105" s="96">
        <f>+L104*8</f>
        <v>160</v>
      </c>
      <c r="M105" s="147">
        <f>SUM(H105:L105)</f>
        <v>166.5</v>
      </c>
      <c r="N105" s="91"/>
      <c r="O105" s="92">
        <f>G105+M105</f>
        <v>25756</v>
      </c>
    </row>
    <row r="106" spans="1:29" ht="22.5" customHeight="1" thickBot="1" x14ac:dyDescent="0.35">
      <c r="A106" s="42" t="s">
        <v>12</v>
      </c>
      <c r="B106" s="93">
        <f t="shared" ref="B106:N106" si="10">B104/$N$104</f>
        <v>0.4469061273769997</v>
      </c>
      <c r="C106" s="93">
        <f t="shared" si="10"/>
        <v>0.26791427709025051</v>
      </c>
      <c r="D106" s="93">
        <f t="shared" si="10"/>
        <v>9.2604889827950496E-2</v>
      </c>
      <c r="E106" s="93">
        <f t="shared" si="10"/>
        <v>2.7709025052822217E-2</v>
      </c>
      <c r="F106" s="93">
        <f t="shared" si="10"/>
        <v>0.16486568065197707</v>
      </c>
      <c r="G106" s="98">
        <f t="shared" si="10"/>
        <v>1</v>
      </c>
      <c r="H106" s="93">
        <f t="shared" si="10"/>
        <v>3.0184123151222455E-4</v>
      </c>
      <c r="I106" s="93">
        <f t="shared" si="10"/>
        <v>0</v>
      </c>
      <c r="J106" s="93">
        <f t="shared" si="10"/>
        <v>0</v>
      </c>
      <c r="K106" s="97">
        <f t="shared" si="10"/>
        <v>6.0368246302444913E-5</v>
      </c>
      <c r="L106" s="97">
        <f t="shared" si="10"/>
        <v>1.2073649260488982E-3</v>
      </c>
      <c r="M106" s="98">
        <f t="shared" si="10"/>
        <v>0</v>
      </c>
      <c r="N106" s="99">
        <f t="shared" si="10"/>
        <v>1</v>
      </c>
      <c r="O106" s="94"/>
    </row>
    <row r="108" spans="1:29" s="4" customFormat="1" x14ac:dyDescent="0.3">
      <c r="A108" s="4" t="s">
        <v>103</v>
      </c>
      <c r="B108" s="4" t="str">
        <f>B2</f>
        <v>TMC-14 Number (D2)</v>
      </c>
    </row>
    <row r="109" spans="1:29" s="4" customFormat="1" x14ac:dyDescent="0.3">
      <c r="A109" s="4" t="s">
        <v>102</v>
      </c>
      <c r="B109" s="4" t="str">
        <f>B3</f>
        <v>D2</v>
      </c>
    </row>
    <row r="110" spans="1:29" s="4" customFormat="1" x14ac:dyDescent="0.3">
      <c r="A110" s="4" t="s">
        <v>104</v>
      </c>
      <c r="B110" s="4" t="str">
        <f>B4</f>
        <v>Delhi</v>
      </c>
      <c r="D110" s="4" t="str">
        <f>D4</f>
        <v>To:</v>
      </c>
    </row>
    <row r="111" spans="1:29" ht="16.2" thickBot="1" x14ac:dyDescent="0.35"/>
    <row r="112" spans="1:29" ht="25.2" customHeight="1" x14ac:dyDescent="0.3">
      <c r="A112" s="252" t="s">
        <v>95</v>
      </c>
      <c r="B112" s="258" t="s">
        <v>280</v>
      </c>
      <c r="C112" s="254" t="s">
        <v>281</v>
      </c>
      <c r="D112" s="250" t="s">
        <v>282</v>
      </c>
      <c r="E112" s="260" t="s">
        <v>283</v>
      </c>
      <c r="F112" s="256" t="s">
        <v>284</v>
      </c>
      <c r="G112" s="250" t="s">
        <v>129</v>
      </c>
      <c r="H112" s="248" t="s">
        <v>150</v>
      </c>
      <c r="I112" s="250" t="s">
        <v>151</v>
      </c>
      <c r="J112" s="250" t="s">
        <v>285</v>
      </c>
      <c r="K112" s="248" t="s">
        <v>286</v>
      </c>
      <c r="L112" s="250" t="s">
        <v>287</v>
      </c>
      <c r="M112" s="250" t="s">
        <v>78</v>
      </c>
      <c r="N112" s="250" t="s">
        <v>131</v>
      </c>
      <c r="O112" s="250" t="s">
        <v>132</v>
      </c>
    </row>
    <row r="113" spans="1:15" ht="43.5" customHeight="1" thickBot="1" x14ac:dyDescent="0.35">
      <c r="A113" s="253"/>
      <c r="B113" s="259"/>
      <c r="C113" s="255"/>
      <c r="D113" s="251"/>
      <c r="E113" s="261"/>
      <c r="F113" s="257"/>
      <c r="G113" s="259"/>
      <c r="H113" s="249"/>
      <c r="I113" s="251"/>
      <c r="J113" s="251"/>
      <c r="K113" s="249"/>
      <c r="L113" s="251"/>
      <c r="M113" s="251"/>
      <c r="N113" s="251"/>
      <c r="O113" s="251"/>
    </row>
    <row r="114" spans="1:15" ht="22.95" customHeight="1" x14ac:dyDescent="0.3">
      <c r="A114" s="52" t="s">
        <v>15</v>
      </c>
      <c r="B114" s="112">
        <f>B8+B9+B10+B11</f>
        <v>276</v>
      </c>
      <c r="C114" s="113">
        <f t="shared" ref="C114:F115" si="11">C8+C9+C10+C11</f>
        <v>405</v>
      </c>
      <c r="D114" s="113">
        <f t="shared" si="11"/>
        <v>77</v>
      </c>
      <c r="E114" s="113">
        <f t="shared" si="11"/>
        <v>18</v>
      </c>
      <c r="F114" s="113">
        <f t="shared" si="11"/>
        <v>112</v>
      </c>
      <c r="G114" s="49">
        <f t="shared" ref="G114:G145" si="12">SUM(B114:F114)</f>
        <v>888</v>
      </c>
      <c r="H114" s="112">
        <f t="shared" ref="H114" si="13">H8+H9+H10+H11</f>
        <v>1</v>
      </c>
      <c r="I114" s="113">
        <f t="shared" ref="I114:L114" si="14">I8+I9+I10+I11</f>
        <v>0</v>
      </c>
      <c r="J114" s="113">
        <f t="shared" si="14"/>
        <v>0</v>
      </c>
      <c r="K114" s="114">
        <f t="shared" si="14"/>
        <v>0</v>
      </c>
      <c r="L114" s="143">
        <f t="shared" si="14"/>
        <v>5</v>
      </c>
      <c r="M114" s="49">
        <f>SUM(H114:K114)</f>
        <v>1</v>
      </c>
      <c r="N114" s="40">
        <f>G114+M114</f>
        <v>889</v>
      </c>
      <c r="O114" s="115">
        <f>B114*1+C114*0.5+D114*1.5+E114*3+F114*4.5+H114*0.5+I114*1.5+J114*3+K114*4+L114*8</f>
        <v>1192.5</v>
      </c>
    </row>
    <row r="115" spans="1:15" ht="22.95" customHeight="1" x14ac:dyDescent="0.3">
      <c r="A115" s="52" t="s">
        <v>16</v>
      </c>
      <c r="B115" s="44">
        <f>B9+B10+B11+B12</f>
        <v>330</v>
      </c>
      <c r="C115" s="39">
        <f t="shared" si="11"/>
        <v>467</v>
      </c>
      <c r="D115" s="39">
        <f t="shared" si="11"/>
        <v>71</v>
      </c>
      <c r="E115" s="39">
        <f t="shared" si="11"/>
        <v>16</v>
      </c>
      <c r="F115" s="39">
        <f t="shared" si="11"/>
        <v>111</v>
      </c>
      <c r="G115" s="50">
        <f t="shared" si="12"/>
        <v>995</v>
      </c>
      <c r="H115" s="44">
        <f t="shared" ref="H115:L115" si="15">H9+H10+H11+H12</f>
        <v>2</v>
      </c>
      <c r="I115" s="39">
        <f t="shared" si="15"/>
        <v>0</v>
      </c>
      <c r="J115" s="39">
        <f t="shared" si="15"/>
        <v>0</v>
      </c>
      <c r="K115" s="45">
        <f t="shared" si="15"/>
        <v>0</v>
      </c>
      <c r="L115" s="144">
        <f t="shared" si="15"/>
        <v>3</v>
      </c>
      <c r="M115" s="50">
        <f t="shared" ref="M115:M178" si="16">SUM(H115:K115)</f>
        <v>2</v>
      </c>
      <c r="N115" s="40">
        <f t="shared" ref="N115:N178" si="17">G115+M115</f>
        <v>997</v>
      </c>
      <c r="O115" s="43">
        <f t="shared" ref="O115:O178" si="18">B115*1+C115*0.5+D115*1.5+E115*3+F115*4.5+H115*0.5+I115*1.5+J115*3+K115*4+L115*8</f>
        <v>1242.5</v>
      </c>
    </row>
    <row r="116" spans="1:15" ht="22.95" customHeight="1" x14ac:dyDescent="0.3">
      <c r="A116" s="52" t="s">
        <v>17</v>
      </c>
      <c r="B116" s="44">
        <f t="shared" ref="B116:F131" si="19">B10+B11+B12+B13</f>
        <v>310</v>
      </c>
      <c r="C116" s="39">
        <f t="shared" si="19"/>
        <v>489</v>
      </c>
      <c r="D116" s="39">
        <f t="shared" si="19"/>
        <v>61</v>
      </c>
      <c r="E116" s="39">
        <f t="shared" si="19"/>
        <v>20</v>
      </c>
      <c r="F116" s="39">
        <f t="shared" si="19"/>
        <v>93</v>
      </c>
      <c r="G116" s="50">
        <f t="shared" si="12"/>
        <v>973</v>
      </c>
      <c r="H116" s="44">
        <f t="shared" ref="H116:L116" si="20">H10+H11+H12+H13</f>
        <v>2</v>
      </c>
      <c r="I116" s="39">
        <f t="shared" si="20"/>
        <v>0</v>
      </c>
      <c r="J116" s="39">
        <f t="shared" si="20"/>
        <v>0</v>
      </c>
      <c r="K116" s="45">
        <f t="shared" si="20"/>
        <v>0</v>
      </c>
      <c r="L116" s="144">
        <f t="shared" si="20"/>
        <v>3</v>
      </c>
      <c r="M116" s="50">
        <f t="shared" si="16"/>
        <v>2</v>
      </c>
      <c r="N116" s="40">
        <f t="shared" si="17"/>
        <v>975</v>
      </c>
      <c r="O116" s="43">
        <f t="shared" si="18"/>
        <v>1149.5</v>
      </c>
    </row>
    <row r="117" spans="1:15" ht="22.95" customHeight="1" x14ac:dyDescent="0.3">
      <c r="A117" s="52" t="s">
        <v>18</v>
      </c>
      <c r="B117" s="44">
        <f t="shared" si="19"/>
        <v>351</v>
      </c>
      <c r="C117" s="39">
        <f t="shared" si="19"/>
        <v>535</v>
      </c>
      <c r="D117" s="39">
        <f t="shared" si="19"/>
        <v>70</v>
      </c>
      <c r="E117" s="39">
        <f t="shared" si="19"/>
        <v>25</v>
      </c>
      <c r="F117" s="39">
        <f t="shared" si="19"/>
        <v>90</v>
      </c>
      <c r="G117" s="50">
        <f t="shared" si="12"/>
        <v>1071</v>
      </c>
      <c r="H117" s="44">
        <f t="shared" ref="H117:L117" si="21">H11+H12+H13+H14</f>
        <v>2</v>
      </c>
      <c r="I117" s="39">
        <f t="shared" si="21"/>
        <v>0</v>
      </c>
      <c r="J117" s="39">
        <f t="shared" si="21"/>
        <v>0</v>
      </c>
      <c r="K117" s="45">
        <f t="shared" si="21"/>
        <v>0</v>
      </c>
      <c r="L117" s="144">
        <f t="shared" si="21"/>
        <v>3</v>
      </c>
      <c r="M117" s="50">
        <f t="shared" si="16"/>
        <v>2</v>
      </c>
      <c r="N117" s="40">
        <f t="shared" si="17"/>
        <v>1073</v>
      </c>
      <c r="O117" s="43">
        <f t="shared" si="18"/>
        <v>1228.5</v>
      </c>
    </row>
    <row r="118" spans="1:15" ht="22.95" customHeight="1" x14ac:dyDescent="0.3">
      <c r="A118" s="52" t="s">
        <v>19</v>
      </c>
      <c r="B118" s="44">
        <f t="shared" si="19"/>
        <v>373</v>
      </c>
      <c r="C118" s="39">
        <f t="shared" si="19"/>
        <v>518</v>
      </c>
      <c r="D118" s="39">
        <f t="shared" si="19"/>
        <v>82</v>
      </c>
      <c r="E118" s="39">
        <f t="shared" si="19"/>
        <v>24</v>
      </c>
      <c r="F118" s="39">
        <f t="shared" si="19"/>
        <v>90</v>
      </c>
      <c r="G118" s="50">
        <f t="shared" si="12"/>
        <v>1087</v>
      </c>
      <c r="H118" s="44">
        <f t="shared" ref="H118:L118" si="22">H12+H13+H14+H15</f>
        <v>1</v>
      </c>
      <c r="I118" s="39">
        <f t="shared" si="22"/>
        <v>0</v>
      </c>
      <c r="J118" s="39">
        <f t="shared" si="22"/>
        <v>0</v>
      </c>
      <c r="K118" s="45">
        <f t="shared" si="22"/>
        <v>0</v>
      </c>
      <c r="L118" s="144">
        <f t="shared" si="22"/>
        <v>3</v>
      </c>
      <c r="M118" s="50">
        <f t="shared" si="16"/>
        <v>1</v>
      </c>
      <c r="N118" s="40">
        <f t="shared" si="17"/>
        <v>1088</v>
      </c>
      <c r="O118" s="43">
        <f t="shared" si="18"/>
        <v>1256.5</v>
      </c>
    </row>
    <row r="119" spans="1:15" ht="22.95" customHeight="1" x14ac:dyDescent="0.3">
      <c r="A119" s="52" t="s">
        <v>20</v>
      </c>
      <c r="B119" s="44">
        <f t="shared" si="19"/>
        <v>369</v>
      </c>
      <c r="C119" s="39">
        <f t="shared" si="19"/>
        <v>507</v>
      </c>
      <c r="D119" s="39">
        <f t="shared" si="19"/>
        <v>95</v>
      </c>
      <c r="E119" s="39">
        <f t="shared" si="19"/>
        <v>24</v>
      </c>
      <c r="F119" s="39">
        <f t="shared" si="19"/>
        <v>79</v>
      </c>
      <c r="G119" s="50">
        <f t="shared" si="12"/>
        <v>1074</v>
      </c>
      <c r="H119" s="44">
        <f t="shared" ref="H119:L119" si="23">H13+H14+H15+H16</f>
        <v>0</v>
      </c>
      <c r="I119" s="39">
        <f t="shared" si="23"/>
        <v>0</v>
      </c>
      <c r="J119" s="39">
        <f t="shared" si="23"/>
        <v>0</v>
      </c>
      <c r="K119" s="45">
        <f t="shared" si="23"/>
        <v>0</v>
      </c>
      <c r="L119" s="144">
        <f t="shared" si="23"/>
        <v>3</v>
      </c>
      <c r="M119" s="50">
        <f t="shared" si="16"/>
        <v>0</v>
      </c>
      <c r="N119" s="40">
        <f t="shared" si="17"/>
        <v>1074</v>
      </c>
      <c r="O119" s="43">
        <f t="shared" si="18"/>
        <v>1216.5</v>
      </c>
    </row>
    <row r="120" spans="1:15" ht="22.95" customHeight="1" x14ac:dyDescent="0.3">
      <c r="A120" s="52" t="s">
        <v>21</v>
      </c>
      <c r="B120" s="44">
        <f t="shared" si="19"/>
        <v>416</v>
      </c>
      <c r="C120" s="39">
        <f t="shared" si="19"/>
        <v>506</v>
      </c>
      <c r="D120" s="39">
        <f t="shared" si="19"/>
        <v>105</v>
      </c>
      <c r="E120" s="39">
        <f t="shared" si="19"/>
        <v>24</v>
      </c>
      <c r="F120" s="39">
        <f t="shared" si="19"/>
        <v>94</v>
      </c>
      <c r="G120" s="50">
        <f t="shared" si="12"/>
        <v>1145</v>
      </c>
      <c r="H120" s="44">
        <f t="shared" ref="H120:L120" si="24">H14+H15+H16+H17</f>
        <v>0</v>
      </c>
      <c r="I120" s="39">
        <f t="shared" si="24"/>
        <v>0</v>
      </c>
      <c r="J120" s="39">
        <f t="shared" si="24"/>
        <v>0</v>
      </c>
      <c r="K120" s="45">
        <f t="shared" si="24"/>
        <v>0</v>
      </c>
      <c r="L120" s="144">
        <f t="shared" si="24"/>
        <v>2</v>
      </c>
      <c r="M120" s="50">
        <f t="shared" si="16"/>
        <v>0</v>
      </c>
      <c r="N120" s="40">
        <f t="shared" si="17"/>
        <v>1145</v>
      </c>
      <c r="O120" s="43">
        <f t="shared" si="18"/>
        <v>1337.5</v>
      </c>
    </row>
    <row r="121" spans="1:15" ht="22.95" customHeight="1" x14ac:dyDescent="0.3">
      <c r="A121" s="52" t="s">
        <v>22</v>
      </c>
      <c r="B121" s="44">
        <f t="shared" si="19"/>
        <v>431</v>
      </c>
      <c r="C121" s="39">
        <f t="shared" si="19"/>
        <v>414</v>
      </c>
      <c r="D121" s="39">
        <f t="shared" si="19"/>
        <v>108</v>
      </c>
      <c r="E121" s="39">
        <f t="shared" si="19"/>
        <v>19</v>
      </c>
      <c r="F121" s="39">
        <f t="shared" si="19"/>
        <v>99</v>
      </c>
      <c r="G121" s="50">
        <f t="shared" si="12"/>
        <v>1071</v>
      </c>
      <c r="H121" s="44">
        <f t="shared" ref="H121:L121" si="25">H15+H16+H17+H18</f>
        <v>0</v>
      </c>
      <c r="I121" s="39">
        <f t="shared" si="25"/>
        <v>0</v>
      </c>
      <c r="J121" s="39">
        <f t="shared" si="25"/>
        <v>0</v>
      </c>
      <c r="K121" s="45">
        <f t="shared" si="25"/>
        <v>0</v>
      </c>
      <c r="L121" s="144">
        <f t="shared" si="25"/>
        <v>2</v>
      </c>
      <c r="M121" s="50">
        <f t="shared" si="16"/>
        <v>0</v>
      </c>
      <c r="N121" s="40">
        <f t="shared" si="17"/>
        <v>1071</v>
      </c>
      <c r="O121" s="43">
        <f t="shared" si="18"/>
        <v>1318.5</v>
      </c>
    </row>
    <row r="122" spans="1:15" ht="22.95" customHeight="1" x14ac:dyDescent="0.3">
      <c r="A122" s="52" t="s">
        <v>23</v>
      </c>
      <c r="B122" s="44">
        <f t="shared" si="19"/>
        <v>441</v>
      </c>
      <c r="C122" s="39">
        <f t="shared" si="19"/>
        <v>385</v>
      </c>
      <c r="D122" s="39">
        <f t="shared" si="19"/>
        <v>103</v>
      </c>
      <c r="E122" s="39">
        <f t="shared" si="19"/>
        <v>20</v>
      </c>
      <c r="F122" s="39">
        <f t="shared" si="19"/>
        <v>100</v>
      </c>
      <c r="G122" s="50">
        <f t="shared" si="12"/>
        <v>1049</v>
      </c>
      <c r="H122" s="44">
        <f t="shared" ref="H122:L122" si="26">H16+H17+H18+H19</f>
        <v>0</v>
      </c>
      <c r="I122" s="39">
        <f t="shared" si="26"/>
        <v>0</v>
      </c>
      <c r="J122" s="39">
        <f t="shared" si="26"/>
        <v>0</v>
      </c>
      <c r="K122" s="45">
        <f t="shared" si="26"/>
        <v>0</v>
      </c>
      <c r="L122" s="144">
        <f t="shared" si="26"/>
        <v>3</v>
      </c>
      <c r="M122" s="50">
        <f t="shared" si="16"/>
        <v>0</v>
      </c>
      <c r="N122" s="40">
        <f t="shared" si="17"/>
        <v>1049</v>
      </c>
      <c r="O122" s="43">
        <f t="shared" si="18"/>
        <v>1322</v>
      </c>
    </row>
    <row r="123" spans="1:15" ht="22.95" customHeight="1" x14ac:dyDescent="0.3">
      <c r="A123" s="52" t="s">
        <v>24</v>
      </c>
      <c r="B123" s="44">
        <f t="shared" si="19"/>
        <v>483</v>
      </c>
      <c r="C123" s="39">
        <f t="shared" si="19"/>
        <v>350</v>
      </c>
      <c r="D123" s="39">
        <f t="shared" si="19"/>
        <v>83</v>
      </c>
      <c r="E123" s="39">
        <f t="shared" si="19"/>
        <v>18</v>
      </c>
      <c r="F123" s="39">
        <f t="shared" si="19"/>
        <v>101</v>
      </c>
      <c r="G123" s="50">
        <f t="shared" si="12"/>
        <v>1035</v>
      </c>
      <c r="H123" s="44">
        <f t="shared" ref="H123:L123" si="27">H17+H18+H19+H20</f>
        <v>0</v>
      </c>
      <c r="I123" s="39">
        <f t="shared" si="27"/>
        <v>0</v>
      </c>
      <c r="J123" s="39">
        <f t="shared" si="27"/>
        <v>0</v>
      </c>
      <c r="K123" s="45">
        <f t="shared" si="27"/>
        <v>0</v>
      </c>
      <c r="L123" s="144">
        <f t="shared" si="27"/>
        <v>2</v>
      </c>
      <c r="M123" s="50">
        <f t="shared" si="16"/>
        <v>0</v>
      </c>
      <c r="N123" s="40">
        <f t="shared" si="17"/>
        <v>1035</v>
      </c>
      <c r="O123" s="43">
        <f t="shared" si="18"/>
        <v>1307</v>
      </c>
    </row>
    <row r="124" spans="1:15" ht="22.95" customHeight="1" x14ac:dyDescent="0.3">
      <c r="A124" s="52" t="s">
        <v>25</v>
      </c>
      <c r="B124" s="44">
        <f t="shared" si="19"/>
        <v>506</v>
      </c>
      <c r="C124" s="39">
        <f t="shared" si="19"/>
        <v>324</v>
      </c>
      <c r="D124" s="39">
        <f t="shared" si="19"/>
        <v>90</v>
      </c>
      <c r="E124" s="39">
        <f t="shared" si="19"/>
        <v>15</v>
      </c>
      <c r="F124" s="39">
        <f t="shared" si="19"/>
        <v>97</v>
      </c>
      <c r="G124" s="50">
        <f t="shared" si="12"/>
        <v>1032</v>
      </c>
      <c r="H124" s="44">
        <f t="shared" ref="H124:L124" si="28">H18+H19+H20+H21</f>
        <v>0</v>
      </c>
      <c r="I124" s="39">
        <f t="shared" si="28"/>
        <v>0</v>
      </c>
      <c r="J124" s="39">
        <f t="shared" si="28"/>
        <v>0</v>
      </c>
      <c r="K124" s="45">
        <f t="shared" si="28"/>
        <v>0</v>
      </c>
      <c r="L124" s="144">
        <f t="shared" si="28"/>
        <v>3</v>
      </c>
      <c r="M124" s="50">
        <f t="shared" si="16"/>
        <v>0</v>
      </c>
      <c r="N124" s="40">
        <f t="shared" si="17"/>
        <v>1032</v>
      </c>
      <c r="O124" s="43">
        <f t="shared" si="18"/>
        <v>1308.5</v>
      </c>
    </row>
    <row r="125" spans="1:15" ht="22.95" customHeight="1" x14ac:dyDescent="0.3">
      <c r="A125" s="52" t="s">
        <v>26</v>
      </c>
      <c r="B125" s="44">
        <f t="shared" si="19"/>
        <v>511</v>
      </c>
      <c r="C125" s="39">
        <f t="shared" si="19"/>
        <v>325</v>
      </c>
      <c r="D125" s="39">
        <f t="shared" si="19"/>
        <v>75</v>
      </c>
      <c r="E125" s="39">
        <f t="shared" si="19"/>
        <v>19</v>
      </c>
      <c r="F125" s="39">
        <f t="shared" si="19"/>
        <v>90</v>
      </c>
      <c r="G125" s="50">
        <f t="shared" si="12"/>
        <v>1020</v>
      </c>
      <c r="H125" s="44">
        <f t="shared" ref="H125:L125" si="29">H19+H20+H21+H22</f>
        <v>0</v>
      </c>
      <c r="I125" s="39">
        <f t="shared" si="29"/>
        <v>0</v>
      </c>
      <c r="J125" s="39">
        <f t="shared" si="29"/>
        <v>0</v>
      </c>
      <c r="K125" s="45">
        <f t="shared" si="29"/>
        <v>0</v>
      </c>
      <c r="L125" s="144">
        <f t="shared" si="29"/>
        <v>2</v>
      </c>
      <c r="M125" s="50">
        <f t="shared" si="16"/>
        <v>0</v>
      </c>
      <c r="N125" s="40">
        <f t="shared" si="17"/>
        <v>1020</v>
      </c>
      <c r="O125" s="43">
        <f t="shared" si="18"/>
        <v>1264</v>
      </c>
    </row>
    <row r="126" spans="1:15" ht="22.95" customHeight="1" x14ac:dyDescent="0.3">
      <c r="A126" s="52" t="s">
        <v>27</v>
      </c>
      <c r="B126" s="44">
        <f t="shared" si="19"/>
        <v>562</v>
      </c>
      <c r="C126" s="39">
        <f t="shared" si="19"/>
        <v>307</v>
      </c>
      <c r="D126" s="39">
        <f t="shared" si="19"/>
        <v>75</v>
      </c>
      <c r="E126" s="39">
        <f t="shared" si="19"/>
        <v>18</v>
      </c>
      <c r="F126" s="39">
        <f t="shared" si="19"/>
        <v>103</v>
      </c>
      <c r="G126" s="50">
        <f t="shared" si="12"/>
        <v>1065</v>
      </c>
      <c r="H126" s="44">
        <f t="shared" ref="H126:L126" si="30">H20+H21+H22+H23</f>
        <v>1</v>
      </c>
      <c r="I126" s="39">
        <f t="shared" si="30"/>
        <v>0</v>
      </c>
      <c r="J126" s="39">
        <f t="shared" si="30"/>
        <v>0</v>
      </c>
      <c r="K126" s="45">
        <f t="shared" si="30"/>
        <v>0</v>
      </c>
      <c r="L126" s="144">
        <f t="shared" si="30"/>
        <v>1</v>
      </c>
      <c r="M126" s="50">
        <f t="shared" si="16"/>
        <v>1</v>
      </c>
      <c r="N126" s="40">
        <f t="shared" si="17"/>
        <v>1066</v>
      </c>
      <c r="O126" s="43">
        <f t="shared" si="18"/>
        <v>1354</v>
      </c>
    </row>
    <row r="127" spans="1:15" ht="22.95" customHeight="1" x14ac:dyDescent="0.3">
      <c r="A127" s="52" t="s">
        <v>28</v>
      </c>
      <c r="B127" s="44">
        <f t="shared" si="19"/>
        <v>532</v>
      </c>
      <c r="C127" s="39">
        <f t="shared" si="19"/>
        <v>272</v>
      </c>
      <c r="D127" s="39">
        <f t="shared" si="19"/>
        <v>91</v>
      </c>
      <c r="E127" s="39">
        <f t="shared" si="19"/>
        <v>20</v>
      </c>
      <c r="F127" s="39">
        <f t="shared" si="19"/>
        <v>103</v>
      </c>
      <c r="G127" s="50">
        <f t="shared" si="12"/>
        <v>1018</v>
      </c>
      <c r="H127" s="44">
        <f t="shared" ref="H127:L127" si="31">H21+H22+H23+H24</f>
        <v>1</v>
      </c>
      <c r="I127" s="39">
        <f t="shared" si="31"/>
        <v>0</v>
      </c>
      <c r="J127" s="39">
        <f t="shared" si="31"/>
        <v>0</v>
      </c>
      <c r="K127" s="45">
        <f t="shared" si="31"/>
        <v>0</v>
      </c>
      <c r="L127" s="144">
        <f t="shared" si="31"/>
        <v>1</v>
      </c>
      <c r="M127" s="50">
        <f t="shared" si="16"/>
        <v>1</v>
      </c>
      <c r="N127" s="40">
        <f t="shared" si="17"/>
        <v>1019</v>
      </c>
      <c r="O127" s="43">
        <f t="shared" si="18"/>
        <v>1336.5</v>
      </c>
    </row>
    <row r="128" spans="1:15" ht="22.95" customHeight="1" x14ac:dyDescent="0.3">
      <c r="A128" s="52" t="s">
        <v>29</v>
      </c>
      <c r="B128" s="44">
        <f t="shared" si="19"/>
        <v>498</v>
      </c>
      <c r="C128" s="39">
        <f t="shared" si="19"/>
        <v>254</v>
      </c>
      <c r="D128" s="39">
        <f t="shared" si="19"/>
        <v>72</v>
      </c>
      <c r="E128" s="39">
        <f t="shared" si="19"/>
        <v>17</v>
      </c>
      <c r="F128" s="39">
        <f t="shared" si="19"/>
        <v>118</v>
      </c>
      <c r="G128" s="50">
        <f t="shared" si="12"/>
        <v>959</v>
      </c>
      <c r="H128" s="44">
        <f t="shared" ref="H128:L128" si="32">H22+H23+H24+H25</f>
        <v>1</v>
      </c>
      <c r="I128" s="39">
        <f t="shared" si="32"/>
        <v>0</v>
      </c>
      <c r="J128" s="39">
        <f t="shared" si="32"/>
        <v>0</v>
      </c>
      <c r="K128" s="45">
        <f t="shared" si="32"/>
        <v>0</v>
      </c>
      <c r="L128" s="144">
        <f t="shared" si="32"/>
        <v>0</v>
      </c>
      <c r="M128" s="50">
        <f t="shared" si="16"/>
        <v>1</v>
      </c>
      <c r="N128" s="40">
        <f t="shared" si="17"/>
        <v>960</v>
      </c>
      <c r="O128" s="43">
        <f t="shared" si="18"/>
        <v>1315.5</v>
      </c>
    </row>
    <row r="129" spans="1:15" ht="22.95" customHeight="1" x14ac:dyDescent="0.3">
      <c r="A129" s="52" t="s">
        <v>30</v>
      </c>
      <c r="B129" s="44">
        <f t="shared" si="19"/>
        <v>458</v>
      </c>
      <c r="C129" s="39">
        <f t="shared" si="19"/>
        <v>248</v>
      </c>
      <c r="D129" s="39">
        <f t="shared" si="19"/>
        <v>73</v>
      </c>
      <c r="E129" s="39">
        <f t="shared" si="19"/>
        <v>13</v>
      </c>
      <c r="F129" s="39">
        <f t="shared" si="19"/>
        <v>143</v>
      </c>
      <c r="G129" s="50">
        <f t="shared" si="12"/>
        <v>935</v>
      </c>
      <c r="H129" s="44">
        <f t="shared" ref="H129:L129" si="33">H23+H24+H25+H26</f>
        <v>1</v>
      </c>
      <c r="I129" s="39">
        <f t="shared" si="33"/>
        <v>0</v>
      </c>
      <c r="J129" s="39">
        <f t="shared" si="33"/>
        <v>0</v>
      </c>
      <c r="K129" s="45">
        <f t="shared" si="33"/>
        <v>0</v>
      </c>
      <c r="L129" s="144">
        <f t="shared" si="33"/>
        <v>2</v>
      </c>
      <c r="M129" s="50">
        <f t="shared" si="16"/>
        <v>1</v>
      </c>
      <c r="N129" s="40">
        <f t="shared" si="17"/>
        <v>936</v>
      </c>
      <c r="O129" s="43">
        <f t="shared" si="18"/>
        <v>1390.5</v>
      </c>
    </row>
    <row r="130" spans="1:15" ht="22.95" customHeight="1" x14ac:dyDescent="0.3">
      <c r="A130" s="52" t="s">
        <v>31</v>
      </c>
      <c r="B130" s="44">
        <f t="shared" si="19"/>
        <v>394</v>
      </c>
      <c r="C130" s="39">
        <f t="shared" si="19"/>
        <v>254</v>
      </c>
      <c r="D130" s="39">
        <f t="shared" si="19"/>
        <v>67</v>
      </c>
      <c r="E130" s="39">
        <f t="shared" si="19"/>
        <v>13</v>
      </c>
      <c r="F130" s="39">
        <f t="shared" si="19"/>
        <v>141</v>
      </c>
      <c r="G130" s="50">
        <f t="shared" si="12"/>
        <v>869</v>
      </c>
      <c r="H130" s="44">
        <f t="shared" ref="H130:L130" si="34">H24+H25+H26+H27</f>
        <v>0</v>
      </c>
      <c r="I130" s="39">
        <f t="shared" si="34"/>
        <v>0</v>
      </c>
      <c r="J130" s="39">
        <f t="shared" si="34"/>
        <v>0</v>
      </c>
      <c r="K130" s="45">
        <f t="shared" si="34"/>
        <v>0</v>
      </c>
      <c r="L130" s="144">
        <f t="shared" si="34"/>
        <v>2</v>
      </c>
      <c r="M130" s="50">
        <f t="shared" si="16"/>
        <v>0</v>
      </c>
      <c r="N130" s="40">
        <f t="shared" si="17"/>
        <v>869</v>
      </c>
      <c r="O130" s="43">
        <f t="shared" si="18"/>
        <v>1311</v>
      </c>
    </row>
    <row r="131" spans="1:15" ht="22.95" customHeight="1" x14ac:dyDescent="0.3">
      <c r="A131" s="52" t="s">
        <v>32</v>
      </c>
      <c r="B131" s="44">
        <f t="shared" si="19"/>
        <v>411</v>
      </c>
      <c r="C131" s="39">
        <f t="shared" si="19"/>
        <v>266</v>
      </c>
      <c r="D131" s="39">
        <f t="shared" si="19"/>
        <v>58</v>
      </c>
      <c r="E131" s="39">
        <f t="shared" si="19"/>
        <v>16</v>
      </c>
      <c r="F131" s="39">
        <f t="shared" si="19"/>
        <v>144</v>
      </c>
      <c r="G131" s="50">
        <f t="shared" si="12"/>
        <v>895</v>
      </c>
      <c r="H131" s="44">
        <f t="shared" ref="H131:L131" si="35">H25+H26+H27+H28</f>
        <v>0</v>
      </c>
      <c r="I131" s="39">
        <f t="shared" si="35"/>
        <v>0</v>
      </c>
      <c r="J131" s="39">
        <f t="shared" si="35"/>
        <v>0</v>
      </c>
      <c r="K131" s="45">
        <f t="shared" si="35"/>
        <v>0</v>
      </c>
      <c r="L131" s="144">
        <f t="shared" si="35"/>
        <v>2</v>
      </c>
      <c r="M131" s="50">
        <f t="shared" si="16"/>
        <v>0</v>
      </c>
      <c r="N131" s="40">
        <f t="shared" si="17"/>
        <v>895</v>
      </c>
      <c r="O131" s="43">
        <f t="shared" si="18"/>
        <v>1343</v>
      </c>
    </row>
    <row r="132" spans="1:15" ht="22.95" customHeight="1" x14ac:dyDescent="0.3">
      <c r="A132" s="52" t="s">
        <v>33</v>
      </c>
      <c r="B132" s="44">
        <f t="shared" ref="B132:F147" si="36">B26+B27+B28+B29</f>
        <v>424</v>
      </c>
      <c r="C132" s="39">
        <f t="shared" si="36"/>
        <v>269</v>
      </c>
      <c r="D132" s="39">
        <f t="shared" si="36"/>
        <v>59</v>
      </c>
      <c r="E132" s="39">
        <f t="shared" si="36"/>
        <v>19</v>
      </c>
      <c r="F132" s="39">
        <f t="shared" si="36"/>
        <v>131</v>
      </c>
      <c r="G132" s="50">
        <f t="shared" si="12"/>
        <v>902</v>
      </c>
      <c r="H132" s="44">
        <f t="shared" ref="H132:L132" si="37">H26+H27+H28+H29</f>
        <v>0</v>
      </c>
      <c r="I132" s="39">
        <f t="shared" si="37"/>
        <v>0</v>
      </c>
      <c r="J132" s="39">
        <f t="shared" si="37"/>
        <v>0</v>
      </c>
      <c r="K132" s="45">
        <f t="shared" si="37"/>
        <v>0</v>
      </c>
      <c r="L132" s="144">
        <f t="shared" si="37"/>
        <v>2</v>
      </c>
      <c r="M132" s="50">
        <f t="shared" si="16"/>
        <v>0</v>
      </c>
      <c r="N132" s="40">
        <f t="shared" si="17"/>
        <v>902</v>
      </c>
      <c r="O132" s="43">
        <f t="shared" si="18"/>
        <v>1309.5</v>
      </c>
    </row>
    <row r="133" spans="1:15" ht="22.95" customHeight="1" x14ac:dyDescent="0.3">
      <c r="A133" s="52" t="s">
        <v>34</v>
      </c>
      <c r="B133" s="44">
        <f t="shared" si="36"/>
        <v>414</v>
      </c>
      <c r="C133" s="39">
        <f t="shared" si="36"/>
        <v>273</v>
      </c>
      <c r="D133" s="39">
        <f t="shared" si="36"/>
        <v>54</v>
      </c>
      <c r="E133" s="39">
        <f t="shared" si="36"/>
        <v>16</v>
      </c>
      <c r="F133" s="39">
        <f t="shared" si="36"/>
        <v>107</v>
      </c>
      <c r="G133" s="50">
        <f t="shared" si="12"/>
        <v>864</v>
      </c>
      <c r="H133" s="44">
        <f t="shared" ref="H133:L133" si="38">H27+H28+H29+H30</f>
        <v>0</v>
      </c>
      <c r="I133" s="39">
        <f t="shared" si="38"/>
        <v>0</v>
      </c>
      <c r="J133" s="39">
        <f t="shared" si="38"/>
        <v>0</v>
      </c>
      <c r="K133" s="45">
        <f t="shared" si="38"/>
        <v>0</v>
      </c>
      <c r="L133" s="144">
        <f t="shared" si="38"/>
        <v>0</v>
      </c>
      <c r="M133" s="50">
        <f t="shared" si="16"/>
        <v>0</v>
      </c>
      <c r="N133" s="40">
        <f t="shared" si="17"/>
        <v>864</v>
      </c>
      <c r="O133" s="43">
        <f t="shared" si="18"/>
        <v>1161</v>
      </c>
    </row>
    <row r="134" spans="1:15" ht="22.95" customHeight="1" x14ac:dyDescent="0.3">
      <c r="A134" s="52" t="s">
        <v>35</v>
      </c>
      <c r="B134" s="44">
        <f t="shared" si="36"/>
        <v>408</v>
      </c>
      <c r="C134" s="39">
        <f t="shared" si="36"/>
        <v>275</v>
      </c>
      <c r="D134" s="39">
        <f t="shared" si="36"/>
        <v>48</v>
      </c>
      <c r="E134" s="39">
        <f t="shared" si="36"/>
        <v>16</v>
      </c>
      <c r="F134" s="39">
        <f t="shared" si="36"/>
        <v>105</v>
      </c>
      <c r="G134" s="50">
        <f t="shared" si="12"/>
        <v>852</v>
      </c>
      <c r="H134" s="44">
        <f t="shared" ref="H134:L134" si="39">H28+H29+H30+H31</f>
        <v>0</v>
      </c>
      <c r="I134" s="39">
        <f t="shared" si="39"/>
        <v>0</v>
      </c>
      <c r="J134" s="39">
        <f t="shared" si="39"/>
        <v>0</v>
      </c>
      <c r="K134" s="45">
        <f t="shared" si="39"/>
        <v>0</v>
      </c>
      <c r="L134" s="144">
        <f t="shared" si="39"/>
        <v>0</v>
      </c>
      <c r="M134" s="50">
        <f t="shared" si="16"/>
        <v>0</v>
      </c>
      <c r="N134" s="40">
        <f t="shared" si="17"/>
        <v>852</v>
      </c>
      <c r="O134" s="43">
        <f t="shared" si="18"/>
        <v>1138</v>
      </c>
    </row>
    <row r="135" spans="1:15" ht="22.95" customHeight="1" x14ac:dyDescent="0.3">
      <c r="A135" s="52" t="s">
        <v>36</v>
      </c>
      <c r="B135" s="44">
        <f t="shared" si="36"/>
        <v>379</v>
      </c>
      <c r="C135" s="39">
        <f t="shared" si="36"/>
        <v>251</v>
      </c>
      <c r="D135" s="39">
        <f t="shared" si="36"/>
        <v>50</v>
      </c>
      <c r="E135" s="39">
        <f t="shared" si="36"/>
        <v>9</v>
      </c>
      <c r="F135" s="39">
        <f t="shared" si="36"/>
        <v>98</v>
      </c>
      <c r="G135" s="50">
        <f t="shared" si="12"/>
        <v>787</v>
      </c>
      <c r="H135" s="44">
        <f t="shared" ref="H135:L135" si="40">H29+H30+H31+H32</f>
        <v>0</v>
      </c>
      <c r="I135" s="39">
        <f t="shared" si="40"/>
        <v>0</v>
      </c>
      <c r="J135" s="39">
        <f t="shared" si="40"/>
        <v>0</v>
      </c>
      <c r="K135" s="45">
        <f t="shared" si="40"/>
        <v>0</v>
      </c>
      <c r="L135" s="144">
        <f t="shared" si="40"/>
        <v>1</v>
      </c>
      <c r="M135" s="50">
        <f t="shared" si="16"/>
        <v>0</v>
      </c>
      <c r="N135" s="40">
        <f t="shared" si="17"/>
        <v>787</v>
      </c>
      <c r="O135" s="43">
        <f t="shared" si="18"/>
        <v>1055.5</v>
      </c>
    </row>
    <row r="136" spans="1:15" ht="22.95" customHeight="1" x14ac:dyDescent="0.3">
      <c r="A136" s="52" t="s">
        <v>37</v>
      </c>
      <c r="B136" s="44">
        <f t="shared" si="36"/>
        <v>372</v>
      </c>
      <c r="C136" s="39">
        <f t="shared" si="36"/>
        <v>230</v>
      </c>
      <c r="D136" s="39">
        <f t="shared" si="36"/>
        <v>80</v>
      </c>
      <c r="E136" s="39">
        <f t="shared" si="36"/>
        <v>8</v>
      </c>
      <c r="F136" s="39">
        <f t="shared" si="36"/>
        <v>88</v>
      </c>
      <c r="G136" s="50">
        <f t="shared" si="12"/>
        <v>778</v>
      </c>
      <c r="H136" s="44">
        <f t="shared" ref="H136:L136" si="41">H30+H31+H32+H33</f>
        <v>0</v>
      </c>
      <c r="I136" s="39">
        <f t="shared" si="41"/>
        <v>0</v>
      </c>
      <c r="J136" s="39">
        <f t="shared" si="41"/>
        <v>0</v>
      </c>
      <c r="K136" s="45">
        <f t="shared" si="41"/>
        <v>0</v>
      </c>
      <c r="L136" s="144">
        <f t="shared" si="41"/>
        <v>1</v>
      </c>
      <c r="M136" s="50">
        <f t="shared" si="16"/>
        <v>0</v>
      </c>
      <c r="N136" s="40">
        <f t="shared" si="17"/>
        <v>778</v>
      </c>
      <c r="O136" s="43">
        <f t="shared" si="18"/>
        <v>1035</v>
      </c>
    </row>
    <row r="137" spans="1:15" ht="22.95" customHeight="1" x14ac:dyDescent="0.3">
      <c r="A137" s="52" t="s">
        <v>38</v>
      </c>
      <c r="B137" s="44">
        <f t="shared" si="36"/>
        <v>374</v>
      </c>
      <c r="C137" s="39">
        <f t="shared" si="36"/>
        <v>232</v>
      </c>
      <c r="D137" s="39">
        <f t="shared" si="36"/>
        <v>98</v>
      </c>
      <c r="E137" s="39">
        <f t="shared" si="36"/>
        <v>8</v>
      </c>
      <c r="F137" s="39">
        <f t="shared" si="36"/>
        <v>91</v>
      </c>
      <c r="G137" s="50">
        <f t="shared" si="12"/>
        <v>803</v>
      </c>
      <c r="H137" s="44">
        <f t="shared" ref="H137:L137" si="42">H31+H32+H33+H34</f>
        <v>0</v>
      </c>
      <c r="I137" s="39">
        <f t="shared" si="42"/>
        <v>0</v>
      </c>
      <c r="J137" s="39">
        <f t="shared" si="42"/>
        <v>0</v>
      </c>
      <c r="K137" s="45">
        <f t="shared" si="42"/>
        <v>0</v>
      </c>
      <c r="L137" s="144">
        <f t="shared" si="42"/>
        <v>1</v>
      </c>
      <c r="M137" s="50">
        <f t="shared" si="16"/>
        <v>0</v>
      </c>
      <c r="N137" s="40">
        <f t="shared" si="17"/>
        <v>803</v>
      </c>
      <c r="O137" s="43">
        <f t="shared" si="18"/>
        <v>1078.5</v>
      </c>
    </row>
    <row r="138" spans="1:15" ht="22.95" customHeight="1" x14ac:dyDescent="0.3">
      <c r="A138" s="52" t="s">
        <v>39</v>
      </c>
      <c r="B138" s="44">
        <f t="shared" si="36"/>
        <v>370</v>
      </c>
      <c r="C138" s="39">
        <f t="shared" si="36"/>
        <v>222</v>
      </c>
      <c r="D138" s="39">
        <f t="shared" si="36"/>
        <v>118</v>
      </c>
      <c r="E138" s="39">
        <f t="shared" si="36"/>
        <v>7</v>
      </c>
      <c r="F138" s="39">
        <f t="shared" si="36"/>
        <v>63</v>
      </c>
      <c r="G138" s="50">
        <f t="shared" si="12"/>
        <v>780</v>
      </c>
      <c r="H138" s="44">
        <f t="shared" ref="H138:L138" si="43">H32+H33+H34+H35</f>
        <v>0</v>
      </c>
      <c r="I138" s="39">
        <f t="shared" si="43"/>
        <v>0</v>
      </c>
      <c r="J138" s="39">
        <f t="shared" si="43"/>
        <v>0</v>
      </c>
      <c r="K138" s="45">
        <f t="shared" si="43"/>
        <v>0</v>
      </c>
      <c r="L138" s="144">
        <f t="shared" si="43"/>
        <v>1</v>
      </c>
      <c r="M138" s="50">
        <f t="shared" si="16"/>
        <v>0</v>
      </c>
      <c r="N138" s="40">
        <f t="shared" si="17"/>
        <v>780</v>
      </c>
      <c r="O138" s="43">
        <f t="shared" si="18"/>
        <v>970.5</v>
      </c>
    </row>
    <row r="139" spans="1:15" ht="22.95" customHeight="1" x14ac:dyDescent="0.3">
      <c r="A139" s="52" t="s">
        <v>40</v>
      </c>
      <c r="B139" s="44">
        <f t="shared" si="36"/>
        <v>368</v>
      </c>
      <c r="C139" s="39">
        <f t="shared" si="36"/>
        <v>226</v>
      </c>
      <c r="D139" s="39">
        <f t="shared" si="36"/>
        <v>116</v>
      </c>
      <c r="E139" s="39">
        <f t="shared" si="36"/>
        <v>10</v>
      </c>
      <c r="F139" s="39">
        <f t="shared" si="36"/>
        <v>69</v>
      </c>
      <c r="G139" s="50">
        <f t="shared" si="12"/>
        <v>789</v>
      </c>
      <c r="H139" s="44">
        <f t="shared" ref="H139:L139" si="44">H33+H34+H35+H36</f>
        <v>0</v>
      </c>
      <c r="I139" s="39">
        <f t="shared" si="44"/>
        <v>0</v>
      </c>
      <c r="J139" s="39">
        <f t="shared" si="44"/>
        <v>0</v>
      </c>
      <c r="K139" s="45">
        <f t="shared" si="44"/>
        <v>0</v>
      </c>
      <c r="L139" s="144">
        <f t="shared" si="44"/>
        <v>1</v>
      </c>
      <c r="M139" s="50">
        <f t="shared" si="16"/>
        <v>0</v>
      </c>
      <c r="N139" s="40">
        <f t="shared" si="17"/>
        <v>789</v>
      </c>
      <c r="O139" s="43">
        <f t="shared" si="18"/>
        <v>1003.5</v>
      </c>
    </row>
    <row r="140" spans="1:15" ht="22.95" customHeight="1" x14ac:dyDescent="0.3">
      <c r="A140" s="52" t="s">
        <v>41</v>
      </c>
      <c r="B140" s="44">
        <f t="shared" si="36"/>
        <v>354</v>
      </c>
      <c r="C140" s="39">
        <f t="shared" si="36"/>
        <v>218</v>
      </c>
      <c r="D140" s="39">
        <f t="shared" si="36"/>
        <v>97</v>
      </c>
      <c r="E140" s="39">
        <f t="shared" si="36"/>
        <v>9</v>
      </c>
      <c r="F140" s="39">
        <f t="shared" si="36"/>
        <v>84</v>
      </c>
      <c r="G140" s="50">
        <f t="shared" si="12"/>
        <v>762</v>
      </c>
      <c r="H140" s="44">
        <f t="shared" ref="H140:L140" si="45">H34+H35+H36+H37</f>
        <v>0</v>
      </c>
      <c r="I140" s="39">
        <f t="shared" si="45"/>
        <v>0</v>
      </c>
      <c r="J140" s="39">
        <f t="shared" si="45"/>
        <v>0</v>
      </c>
      <c r="K140" s="45">
        <f t="shared" si="45"/>
        <v>0</v>
      </c>
      <c r="L140" s="144">
        <f t="shared" si="45"/>
        <v>1</v>
      </c>
      <c r="M140" s="50">
        <f t="shared" si="16"/>
        <v>0</v>
      </c>
      <c r="N140" s="40">
        <f t="shared" si="17"/>
        <v>762</v>
      </c>
      <c r="O140" s="43">
        <f t="shared" si="18"/>
        <v>1021.5</v>
      </c>
    </row>
    <row r="141" spans="1:15" ht="22.95" customHeight="1" x14ac:dyDescent="0.3">
      <c r="A141" s="52" t="s">
        <v>42</v>
      </c>
      <c r="B141" s="44">
        <f t="shared" si="36"/>
        <v>345</v>
      </c>
      <c r="C141" s="39">
        <f t="shared" si="36"/>
        <v>189</v>
      </c>
      <c r="D141" s="39">
        <f t="shared" si="36"/>
        <v>87</v>
      </c>
      <c r="E141" s="39">
        <f t="shared" si="36"/>
        <v>11</v>
      </c>
      <c r="F141" s="39">
        <f t="shared" si="36"/>
        <v>90</v>
      </c>
      <c r="G141" s="50">
        <f t="shared" si="12"/>
        <v>722</v>
      </c>
      <c r="H141" s="44">
        <f t="shared" ref="H141:L141" si="46">H35+H36+H37+H38</f>
        <v>0</v>
      </c>
      <c r="I141" s="39">
        <f t="shared" si="46"/>
        <v>0</v>
      </c>
      <c r="J141" s="39">
        <f t="shared" si="46"/>
        <v>0</v>
      </c>
      <c r="K141" s="45">
        <f t="shared" si="46"/>
        <v>0</v>
      </c>
      <c r="L141" s="144">
        <f t="shared" si="46"/>
        <v>1</v>
      </c>
      <c r="M141" s="50">
        <f t="shared" si="16"/>
        <v>0</v>
      </c>
      <c r="N141" s="40">
        <f t="shared" si="17"/>
        <v>722</v>
      </c>
      <c r="O141" s="43">
        <f t="shared" si="18"/>
        <v>1016</v>
      </c>
    </row>
    <row r="142" spans="1:15" ht="22.95" customHeight="1" x14ac:dyDescent="0.3">
      <c r="A142" s="52" t="s">
        <v>43</v>
      </c>
      <c r="B142" s="44">
        <f t="shared" si="36"/>
        <v>352</v>
      </c>
      <c r="C142" s="39">
        <f t="shared" si="36"/>
        <v>163</v>
      </c>
      <c r="D142" s="39">
        <f t="shared" si="36"/>
        <v>85</v>
      </c>
      <c r="E142" s="39">
        <f t="shared" si="36"/>
        <v>11</v>
      </c>
      <c r="F142" s="39">
        <f t="shared" si="36"/>
        <v>109</v>
      </c>
      <c r="G142" s="50">
        <f t="shared" si="12"/>
        <v>720</v>
      </c>
      <c r="H142" s="44">
        <f t="shared" ref="H142:L142" si="47">H36+H37+H38+H39</f>
        <v>0</v>
      </c>
      <c r="I142" s="39">
        <f t="shared" si="47"/>
        <v>0</v>
      </c>
      <c r="J142" s="39">
        <f t="shared" si="47"/>
        <v>0</v>
      </c>
      <c r="K142" s="45">
        <f t="shared" si="47"/>
        <v>0</v>
      </c>
      <c r="L142" s="144">
        <f t="shared" si="47"/>
        <v>1</v>
      </c>
      <c r="M142" s="50">
        <f t="shared" si="16"/>
        <v>0</v>
      </c>
      <c r="N142" s="40">
        <f t="shared" si="17"/>
        <v>720</v>
      </c>
      <c r="O142" s="43">
        <f t="shared" si="18"/>
        <v>1092.5</v>
      </c>
    </row>
    <row r="143" spans="1:15" ht="22.95" customHeight="1" x14ac:dyDescent="0.3">
      <c r="A143" s="52" t="s">
        <v>44</v>
      </c>
      <c r="B143" s="44">
        <f t="shared" si="36"/>
        <v>410</v>
      </c>
      <c r="C143" s="39">
        <f t="shared" si="36"/>
        <v>177</v>
      </c>
      <c r="D143" s="39">
        <f t="shared" si="36"/>
        <v>101</v>
      </c>
      <c r="E143" s="39">
        <f t="shared" si="36"/>
        <v>12</v>
      </c>
      <c r="F143" s="39">
        <f t="shared" si="36"/>
        <v>112</v>
      </c>
      <c r="G143" s="50">
        <f t="shared" si="12"/>
        <v>812</v>
      </c>
      <c r="H143" s="44">
        <f t="shared" ref="H143:L143" si="48">H37+H38+H39+H40</f>
        <v>0</v>
      </c>
      <c r="I143" s="39">
        <f t="shared" si="48"/>
        <v>0</v>
      </c>
      <c r="J143" s="39">
        <f t="shared" si="48"/>
        <v>0</v>
      </c>
      <c r="K143" s="45">
        <f t="shared" si="48"/>
        <v>0</v>
      </c>
      <c r="L143" s="144">
        <f t="shared" si="48"/>
        <v>0</v>
      </c>
      <c r="M143" s="50">
        <f t="shared" si="16"/>
        <v>0</v>
      </c>
      <c r="N143" s="40">
        <f t="shared" si="17"/>
        <v>812</v>
      </c>
      <c r="O143" s="43">
        <f t="shared" si="18"/>
        <v>1190</v>
      </c>
    </row>
    <row r="144" spans="1:15" ht="22.95" customHeight="1" x14ac:dyDescent="0.3">
      <c r="A144" s="52" t="s">
        <v>45</v>
      </c>
      <c r="B144" s="44">
        <f t="shared" si="36"/>
        <v>466</v>
      </c>
      <c r="C144" s="39">
        <f t="shared" si="36"/>
        <v>209</v>
      </c>
      <c r="D144" s="39">
        <f t="shared" si="36"/>
        <v>97</v>
      </c>
      <c r="E144" s="39">
        <f t="shared" si="36"/>
        <v>17</v>
      </c>
      <c r="F144" s="39">
        <f t="shared" si="36"/>
        <v>109</v>
      </c>
      <c r="G144" s="50">
        <f t="shared" si="12"/>
        <v>898</v>
      </c>
      <c r="H144" s="44">
        <f t="shared" ref="H144:L144" si="49">H38+H39+H40+H41</f>
        <v>0</v>
      </c>
      <c r="I144" s="39">
        <f t="shared" si="49"/>
        <v>0</v>
      </c>
      <c r="J144" s="39">
        <f t="shared" si="49"/>
        <v>0</v>
      </c>
      <c r="K144" s="45">
        <f t="shared" si="49"/>
        <v>0</v>
      </c>
      <c r="L144" s="144">
        <f t="shared" si="49"/>
        <v>0</v>
      </c>
      <c r="M144" s="50">
        <f t="shared" si="16"/>
        <v>0</v>
      </c>
      <c r="N144" s="40">
        <f t="shared" si="17"/>
        <v>898</v>
      </c>
      <c r="O144" s="43">
        <f t="shared" si="18"/>
        <v>1257.5</v>
      </c>
    </row>
    <row r="145" spans="1:15" ht="22.95" customHeight="1" x14ac:dyDescent="0.3">
      <c r="A145" s="52" t="s">
        <v>46</v>
      </c>
      <c r="B145" s="44">
        <f t="shared" si="36"/>
        <v>553</v>
      </c>
      <c r="C145" s="39">
        <f t="shared" si="36"/>
        <v>226</v>
      </c>
      <c r="D145" s="39">
        <f t="shared" si="36"/>
        <v>104</v>
      </c>
      <c r="E145" s="39">
        <f t="shared" si="36"/>
        <v>17</v>
      </c>
      <c r="F145" s="39">
        <f t="shared" si="36"/>
        <v>111</v>
      </c>
      <c r="G145" s="50">
        <f t="shared" si="12"/>
        <v>1011</v>
      </c>
      <c r="H145" s="44">
        <f t="shared" ref="H145:L145" si="50">H39+H40+H41+H42</f>
        <v>0</v>
      </c>
      <c r="I145" s="39">
        <f t="shared" si="50"/>
        <v>0</v>
      </c>
      <c r="J145" s="39">
        <f t="shared" si="50"/>
        <v>0</v>
      </c>
      <c r="K145" s="45">
        <f t="shared" si="50"/>
        <v>0</v>
      </c>
      <c r="L145" s="144">
        <f t="shared" si="50"/>
        <v>0</v>
      </c>
      <c r="M145" s="50">
        <f t="shared" si="16"/>
        <v>0</v>
      </c>
      <c r="N145" s="40">
        <f t="shared" si="17"/>
        <v>1011</v>
      </c>
      <c r="O145" s="43">
        <f t="shared" si="18"/>
        <v>1372.5</v>
      </c>
    </row>
    <row r="146" spans="1:15" ht="22.95" customHeight="1" x14ac:dyDescent="0.3">
      <c r="A146" s="52" t="s">
        <v>47</v>
      </c>
      <c r="B146" s="44">
        <f t="shared" si="36"/>
        <v>628</v>
      </c>
      <c r="C146" s="39">
        <f t="shared" si="36"/>
        <v>235</v>
      </c>
      <c r="D146" s="39">
        <f t="shared" si="36"/>
        <v>86</v>
      </c>
      <c r="E146" s="39">
        <f t="shared" si="36"/>
        <v>27</v>
      </c>
      <c r="F146" s="39">
        <f t="shared" si="36"/>
        <v>122</v>
      </c>
      <c r="G146" s="50">
        <f t="shared" ref="G146:G177" si="51">SUM(B146:F146)</f>
        <v>1098</v>
      </c>
      <c r="H146" s="44">
        <f t="shared" ref="H146:L146" si="52">H40+H41+H42+H43</f>
        <v>1</v>
      </c>
      <c r="I146" s="39">
        <f t="shared" si="52"/>
        <v>0</v>
      </c>
      <c r="J146" s="39">
        <f t="shared" si="52"/>
        <v>0</v>
      </c>
      <c r="K146" s="45">
        <f t="shared" si="52"/>
        <v>0</v>
      </c>
      <c r="L146" s="144">
        <f t="shared" si="52"/>
        <v>0</v>
      </c>
      <c r="M146" s="50">
        <f t="shared" si="16"/>
        <v>1</v>
      </c>
      <c r="N146" s="40">
        <f t="shared" si="17"/>
        <v>1099</v>
      </c>
      <c r="O146" s="43">
        <f t="shared" si="18"/>
        <v>1505</v>
      </c>
    </row>
    <row r="147" spans="1:15" ht="22.95" customHeight="1" x14ac:dyDescent="0.3">
      <c r="A147" s="52" t="s">
        <v>48</v>
      </c>
      <c r="B147" s="44">
        <f t="shared" si="36"/>
        <v>668</v>
      </c>
      <c r="C147" s="39">
        <f t="shared" si="36"/>
        <v>232</v>
      </c>
      <c r="D147" s="39">
        <f t="shared" si="36"/>
        <v>71</v>
      </c>
      <c r="E147" s="39">
        <f t="shared" si="36"/>
        <v>27</v>
      </c>
      <c r="F147" s="39">
        <f t="shared" si="36"/>
        <v>126</v>
      </c>
      <c r="G147" s="50">
        <f t="shared" si="51"/>
        <v>1124</v>
      </c>
      <c r="H147" s="44">
        <f t="shared" ref="H147:L147" si="53">H41+H42+H43+H44</f>
        <v>1</v>
      </c>
      <c r="I147" s="39">
        <f t="shared" si="53"/>
        <v>0</v>
      </c>
      <c r="J147" s="39">
        <f t="shared" si="53"/>
        <v>0</v>
      </c>
      <c r="K147" s="45">
        <f t="shared" si="53"/>
        <v>0</v>
      </c>
      <c r="L147" s="144">
        <f t="shared" si="53"/>
        <v>0</v>
      </c>
      <c r="M147" s="50">
        <f t="shared" si="16"/>
        <v>1</v>
      </c>
      <c r="N147" s="40">
        <f t="shared" si="17"/>
        <v>1125</v>
      </c>
      <c r="O147" s="43">
        <f t="shared" si="18"/>
        <v>1539</v>
      </c>
    </row>
    <row r="148" spans="1:15" ht="22.95" customHeight="1" x14ac:dyDescent="0.3">
      <c r="A148" s="52" t="s">
        <v>49</v>
      </c>
      <c r="B148" s="44">
        <f t="shared" ref="B148:F163" si="54">B42+B43+B44+B45</f>
        <v>731</v>
      </c>
      <c r="C148" s="39">
        <f t="shared" si="54"/>
        <v>210</v>
      </c>
      <c r="D148" s="39">
        <f t="shared" si="54"/>
        <v>71</v>
      </c>
      <c r="E148" s="39">
        <f t="shared" si="54"/>
        <v>29</v>
      </c>
      <c r="F148" s="39">
        <f t="shared" si="54"/>
        <v>115</v>
      </c>
      <c r="G148" s="50">
        <f t="shared" si="51"/>
        <v>1156</v>
      </c>
      <c r="H148" s="44">
        <f t="shared" ref="H148:L148" si="55">H42+H43+H44+H45</f>
        <v>1</v>
      </c>
      <c r="I148" s="39">
        <f t="shared" si="55"/>
        <v>0</v>
      </c>
      <c r="J148" s="39">
        <f t="shared" si="55"/>
        <v>0</v>
      </c>
      <c r="K148" s="45">
        <f t="shared" si="55"/>
        <v>0</v>
      </c>
      <c r="L148" s="144">
        <f t="shared" si="55"/>
        <v>1</v>
      </c>
      <c r="M148" s="50">
        <f t="shared" si="16"/>
        <v>1</v>
      </c>
      <c r="N148" s="40">
        <f t="shared" si="17"/>
        <v>1157</v>
      </c>
      <c r="O148" s="43">
        <f t="shared" si="18"/>
        <v>1555.5</v>
      </c>
    </row>
    <row r="149" spans="1:15" ht="22.95" customHeight="1" x14ac:dyDescent="0.3">
      <c r="A149" s="52" t="s">
        <v>50</v>
      </c>
      <c r="B149" s="44">
        <f t="shared" si="54"/>
        <v>701</v>
      </c>
      <c r="C149" s="39">
        <f t="shared" si="54"/>
        <v>243</v>
      </c>
      <c r="D149" s="39">
        <f t="shared" si="54"/>
        <v>67</v>
      </c>
      <c r="E149" s="39">
        <f t="shared" si="54"/>
        <v>33</v>
      </c>
      <c r="F149" s="39">
        <f t="shared" si="54"/>
        <v>124</v>
      </c>
      <c r="G149" s="50">
        <f t="shared" si="51"/>
        <v>1168</v>
      </c>
      <c r="H149" s="44">
        <f t="shared" ref="H149:L149" si="56">H43+H44+H45+H46</f>
        <v>1</v>
      </c>
      <c r="I149" s="39">
        <f t="shared" si="56"/>
        <v>0</v>
      </c>
      <c r="J149" s="39">
        <f t="shared" si="56"/>
        <v>0</v>
      </c>
      <c r="K149" s="45">
        <f t="shared" si="56"/>
        <v>0</v>
      </c>
      <c r="L149" s="144">
        <f t="shared" si="56"/>
        <v>2</v>
      </c>
      <c r="M149" s="50">
        <f t="shared" si="16"/>
        <v>1</v>
      </c>
      <c r="N149" s="40">
        <f t="shared" si="17"/>
        <v>1169</v>
      </c>
      <c r="O149" s="43">
        <f t="shared" si="18"/>
        <v>1596.5</v>
      </c>
    </row>
    <row r="150" spans="1:15" ht="22.95" customHeight="1" x14ac:dyDescent="0.3">
      <c r="A150" s="52" t="s">
        <v>51</v>
      </c>
      <c r="B150" s="44">
        <f t="shared" si="54"/>
        <v>697</v>
      </c>
      <c r="C150" s="39">
        <f t="shared" si="54"/>
        <v>281</v>
      </c>
      <c r="D150" s="39">
        <f t="shared" si="54"/>
        <v>76</v>
      </c>
      <c r="E150" s="39">
        <f t="shared" si="54"/>
        <v>40</v>
      </c>
      <c r="F150" s="39">
        <f t="shared" si="54"/>
        <v>137</v>
      </c>
      <c r="G150" s="50">
        <f t="shared" si="51"/>
        <v>1231</v>
      </c>
      <c r="H150" s="44">
        <f t="shared" ref="H150:L150" si="57">H44+H45+H46+H47</f>
        <v>0</v>
      </c>
      <c r="I150" s="39">
        <f t="shared" si="57"/>
        <v>0</v>
      </c>
      <c r="J150" s="39">
        <f t="shared" si="57"/>
        <v>0</v>
      </c>
      <c r="K150" s="45">
        <f t="shared" si="57"/>
        <v>0</v>
      </c>
      <c r="L150" s="144">
        <f t="shared" si="57"/>
        <v>2</v>
      </c>
      <c r="M150" s="50">
        <f t="shared" si="16"/>
        <v>0</v>
      </c>
      <c r="N150" s="40">
        <f t="shared" si="17"/>
        <v>1231</v>
      </c>
      <c r="O150" s="43">
        <f t="shared" si="18"/>
        <v>1704</v>
      </c>
    </row>
    <row r="151" spans="1:15" ht="22.95" customHeight="1" x14ac:dyDescent="0.3">
      <c r="A151" s="52" t="s">
        <v>52</v>
      </c>
      <c r="B151" s="44">
        <f t="shared" si="54"/>
        <v>664</v>
      </c>
      <c r="C151" s="39">
        <f t="shared" si="54"/>
        <v>306</v>
      </c>
      <c r="D151" s="39">
        <f t="shared" si="54"/>
        <v>86</v>
      </c>
      <c r="E151" s="39">
        <f t="shared" si="54"/>
        <v>42</v>
      </c>
      <c r="F151" s="39">
        <f t="shared" si="54"/>
        <v>144</v>
      </c>
      <c r="G151" s="50">
        <f t="shared" si="51"/>
        <v>1242</v>
      </c>
      <c r="H151" s="44">
        <f t="shared" ref="H151:L151" si="58">H45+H46+H47+H48</f>
        <v>0</v>
      </c>
      <c r="I151" s="39">
        <f t="shared" si="58"/>
        <v>0</v>
      </c>
      <c r="J151" s="39">
        <f t="shared" si="58"/>
        <v>0</v>
      </c>
      <c r="K151" s="45">
        <f t="shared" si="58"/>
        <v>0</v>
      </c>
      <c r="L151" s="144">
        <f t="shared" si="58"/>
        <v>2</v>
      </c>
      <c r="M151" s="50">
        <f t="shared" si="16"/>
        <v>0</v>
      </c>
      <c r="N151" s="40">
        <f t="shared" si="17"/>
        <v>1242</v>
      </c>
      <c r="O151" s="43">
        <f t="shared" si="18"/>
        <v>1736</v>
      </c>
    </row>
    <row r="152" spans="1:15" ht="22.95" customHeight="1" x14ac:dyDescent="0.3">
      <c r="A152" s="52" t="s">
        <v>53</v>
      </c>
      <c r="B152" s="44">
        <f t="shared" si="54"/>
        <v>636</v>
      </c>
      <c r="C152" s="39">
        <f t="shared" si="54"/>
        <v>368</v>
      </c>
      <c r="D152" s="39">
        <f t="shared" si="54"/>
        <v>88</v>
      </c>
      <c r="E152" s="39">
        <f t="shared" si="54"/>
        <v>39</v>
      </c>
      <c r="F152" s="39">
        <f t="shared" si="54"/>
        <v>171</v>
      </c>
      <c r="G152" s="50">
        <f t="shared" si="51"/>
        <v>1302</v>
      </c>
      <c r="H152" s="44">
        <f t="shared" ref="H152:L152" si="59">H46+H47+H48+H49</f>
        <v>0</v>
      </c>
      <c r="I152" s="39">
        <f t="shared" si="59"/>
        <v>0</v>
      </c>
      <c r="J152" s="39">
        <f t="shared" si="59"/>
        <v>0</v>
      </c>
      <c r="K152" s="45">
        <f t="shared" si="59"/>
        <v>0</v>
      </c>
      <c r="L152" s="144">
        <f t="shared" si="59"/>
        <v>1</v>
      </c>
      <c r="M152" s="50">
        <f t="shared" si="16"/>
        <v>0</v>
      </c>
      <c r="N152" s="40">
        <f t="shared" si="17"/>
        <v>1302</v>
      </c>
      <c r="O152" s="43">
        <f t="shared" si="18"/>
        <v>1846.5</v>
      </c>
    </row>
    <row r="153" spans="1:15" ht="22.95" customHeight="1" x14ac:dyDescent="0.3">
      <c r="A153" s="52" t="s">
        <v>54</v>
      </c>
      <c r="B153" s="44">
        <f t="shared" si="54"/>
        <v>641</v>
      </c>
      <c r="C153" s="39">
        <f t="shared" si="54"/>
        <v>384</v>
      </c>
      <c r="D153" s="39">
        <f t="shared" si="54"/>
        <v>84</v>
      </c>
      <c r="E153" s="39">
        <f t="shared" si="54"/>
        <v>37</v>
      </c>
      <c r="F153" s="39">
        <f t="shared" si="54"/>
        <v>157</v>
      </c>
      <c r="G153" s="50">
        <f t="shared" si="51"/>
        <v>1303</v>
      </c>
      <c r="H153" s="44">
        <f t="shared" ref="H153:L153" si="60">H47+H48+H49+H50</f>
        <v>0</v>
      </c>
      <c r="I153" s="39">
        <f t="shared" si="60"/>
        <v>0</v>
      </c>
      <c r="J153" s="39">
        <f t="shared" si="60"/>
        <v>0</v>
      </c>
      <c r="K153" s="45">
        <f t="shared" si="60"/>
        <v>0</v>
      </c>
      <c r="L153" s="144">
        <f t="shared" si="60"/>
        <v>0</v>
      </c>
      <c r="M153" s="50">
        <f t="shared" si="16"/>
        <v>0</v>
      </c>
      <c r="N153" s="40">
        <f t="shared" si="17"/>
        <v>1303</v>
      </c>
      <c r="O153" s="43">
        <f t="shared" si="18"/>
        <v>1776.5</v>
      </c>
    </row>
    <row r="154" spans="1:15" ht="22.95" customHeight="1" x14ac:dyDescent="0.3">
      <c r="A154" s="52" t="s">
        <v>55</v>
      </c>
      <c r="B154" s="44">
        <f t="shared" si="54"/>
        <v>654</v>
      </c>
      <c r="C154" s="39">
        <f t="shared" si="54"/>
        <v>397</v>
      </c>
      <c r="D154" s="39">
        <f t="shared" si="54"/>
        <v>91</v>
      </c>
      <c r="E154" s="39">
        <f t="shared" si="54"/>
        <v>27</v>
      </c>
      <c r="F154" s="39">
        <f t="shared" si="54"/>
        <v>151</v>
      </c>
      <c r="G154" s="50">
        <f t="shared" si="51"/>
        <v>1320</v>
      </c>
      <c r="H154" s="44">
        <f t="shared" ref="H154:L154" si="61">H48+H49+H50+H51</f>
        <v>0</v>
      </c>
      <c r="I154" s="39">
        <f t="shared" si="61"/>
        <v>0</v>
      </c>
      <c r="J154" s="39">
        <f t="shared" si="61"/>
        <v>0</v>
      </c>
      <c r="K154" s="45">
        <f t="shared" si="61"/>
        <v>0</v>
      </c>
      <c r="L154" s="144">
        <f t="shared" si="61"/>
        <v>0</v>
      </c>
      <c r="M154" s="50">
        <f t="shared" si="16"/>
        <v>0</v>
      </c>
      <c r="N154" s="40">
        <f t="shared" si="17"/>
        <v>1320</v>
      </c>
      <c r="O154" s="43">
        <f t="shared" si="18"/>
        <v>1749.5</v>
      </c>
    </row>
    <row r="155" spans="1:15" ht="22.95" customHeight="1" x14ac:dyDescent="0.3">
      <c r="A155" s="52" t="s">
        <v>56</v>
      </c>
      <c r="B155" s="44">
        <f t="shared" si="54"/>
        <v>670</v>
      </c>
      <c r="C155" s="39">
        <f t="shared" si="54"/>
        <v>424</v>
      </c>
      <c r="D155" s="39">
        <f t="shared" si="54"/>
        <v>88</v>
      </c>
      <c r="E155" s="39">
        <f t="shared" si="54"/>
        <v>29</v>
      </c>
      <c r="F155" s="39">
        <f t="shared" si="54"/>
        <v>148</v>
      </c>
      <c r="G155" s="50">
        <f t="shared" si="51"/>
        <v>1359</v>
      </c>
      <c r="H155" s="44">
        <f t="shared" ref="H155:L155" si="62">H49+H50+H51+H52</f>
        <v>0</v>
      </c>
      <c r="I155" s="39">
        <f t="shared" si="62"/>
        <v>0</v>
      </c>
      <c r="J155" s="39">
        <f t="shared" si="62"/>
        <v>0</v>
      </c>
      <c r="K155" s="45">
        <f t="shared" si="62"/>
        <v>1</v>
      </c>
      <c r="L155" s="144">
        <f t="shared" si="62"/>
        <v>0</v>
      </c>
      <c r="M155" s="50">
        <f t="shared" si="16"/>
        <v>1</v>
      </c>
      <c r="N155" s="40">
        <f t="shared" si="17"/>
        <v>1360</v>
      </c>
      <c r="O155" s="43">
        <f t="shared" si="18"/>
        <v>1771</v>
      </c>
    </row>
    <row r="156" spans="1:15" ht="22.95" customHeight="1" x14ac:dyDescent="0.3">
      <c r="A156" s="52" t="s">
        <v>57</v>
      </c>
      <c r="B156" s="44">
        <f t="shared" si="54"/>
        <v>665</v>
      </c>
      <c r="C156" s="39">
        <f t="shared" si="54"/>
        <v>415</v>
      </c>
      <c r="D156" s="39">
        <f t="shared" si="54"/>
        <v>78</v>
      </c>
      <c r="E156" s="39">
        <f t="shared" si="54"/>
        <v>27</v>
      </c>
      <c r="F156" s="39">
        <f t="shared" si="54"/>
        <v>166</v>
      </c>
      <c r="G156" s="50">
        <f t="shared" si="51"/>
        <v>1351</v>
      </c>
      <c r="H156" s="44">
        <f t="shared" ref="H156:L156" si="63">H50+H51+H52+H53</f>
        <v>1</v>
      </c>
      <c r="I156" s="39">
        <f t="shared" si="63"/>
        <v>0</v>
      </c>
      <c r="J156" s="39">
        <f t="shared" si="63"/>
        <v>0</v>
      </c>
      <c r="K156" s="45">
        <f t="shared" si="63"/>
        <v>1</v>
      </c>
      <c r="L156" s="144">
        <f t="shared" si="63"/>
        <v>0</v>
      </c>
      <c r="M156" s="50">
        <f t="shared" si="16"/>
        <v>2</v>
      </c>
      <c r="N156" s="40">
        <f t="shared" si="17"/>
        <v>1353</v>
      </c>
      <c r="O156" s="43">
        <f t="shared" si="18"/>
        <v>1822</v>
      </c>
    </row>
    <row r="157" spans="1:15" ht="22.95" customHeight="1" x14ac:dyDescent="0.3">
      <c r="A157" s="52" t="s">
        <v>58</v>
      </c>
      <c r="B157" s="44">
        <f t="shared" si="54"/>
        <v>672</v>
      </c>
      <c r="C157" s="39">
        <f t="shared" si="54"/>
        <v>406</v>
      </c>
      <c r="D157" s="39">
        <f t="shared" si="54"/>
        <v>71</v>
      </c>
      <c r="E157" s="39">
        <f t="shared" si="54"/>
        <v>30</v>
      </c>
      <c r="F157" s="39">
        <f t="shared" si="54"/>
        <v>175</v>
      </c>
      <c r="G157" s="50">
        <f t="shared" si="51"/>
        <v>1354</v>
      </c>
      <c r="H157" s="44">
        <f t="shared" ref="H157:L157" si="64">H51+H52+H53+H54</f>
        <v>1</v>
      </c>
      <c r="I157" s="39">
        <f t="shared" si="64"/>
        <v>0</v>
      </c>
      <c r="J157" s="39">
        <f t="shared" si="64"/>
        <v>0</v>
      </c>
      <c r="K157" s="45">
        <f t="shared" si="64"/>
        <v>1</v>
      </c>
      <c r="L157" s="144">
        <f t="shared" si="64"/>
        <v>0</v>
      </c>
      <c r="M157" s="50">
        <f t="shared" si="16"/>
        <v>2</v>
      </c>
      <c r="N157" s="40">
        <f t="shared" si="17"/>
        <v>1356</v>
      </c>
      <c r="O157" s="43">
        <f t="shared" si="18"/>
        <v>1863.5</v>
      </c>
    </row>
    <row r="158" spans="1:15" ht="22.95" customHeight="1" x14ac:dyDescent="0.3">
      <c r="A158" s="52" t="s">
        <v>59</v>
      </c>
      <c r="B158" s="44">
        <f t="shared" si="54"/>
        <v>619</v>
      </c>
      <c r="C158" s="39">
        <f t="shared" si="54"/>
        <v>364</v>
      </c>
      <c r="D158" s="39">
        <f t="shared" si="54"/>
        <v>64</v>
      </c>
      <c r="E158" s="39">
        <f t="shared" si="54"/>
        <v>29</v>
      </c>
      <c r="F158" s="39">
        <f t="shared" si="54"/>
        <v>177</v>
      </c>
      <c r="G158" s="50">
        <f t="shared" si="51"/>
        <v>1253</v>
      </c>
      <c r="H158" s="44">
        <f t="shared" ref="H158:L158" si="65">H52+H53+H54+H55</f>
        <v>1</v>
      </c>
      <c r="I158" s="39">
        <f t="shared" si="65"/>
        <v>0</v>
      </c>
      <c r="J158" s="39">
        <f t="shared" si="65"/>
        <v>0</v>
      </c>
      <c r="K158" s="45">
        <f t="shared" si="65"/>
        <v>1</v>
      </c>
      <c r="L158" s="144">
        <f t="shared" si="65"/>
        <v>0</v>
      </c>
      <c r="M158" s="50">
        <f t="shared" si="16"/>
        <v>2</v>
      </c>
      <c r="N158" s="40">
        <f t="shared" si="17"/>
        <v>1255</v>
      </c>
      <c r="O158" s="43">
        <f t="shared" si="18"/>
        <v>1785</v>
      </c>
    </row>
    <row r="159" spans="1:15" ht="22.95" customHeight="1" x14ac:dyDescent="0.3">
      <c r="A159" s="52" t="s">
        <v>77</v>
      </c>
      <c r="B159" s="44">
        <f t="shared" si="54"/>
        <v>579</v>
      </c>
      <c r="C159" s="39">
        <f t="shared" si="54"/>
        <v>320</v>
      </c>
      <c r="D159" s="39">
        <f t="shared" si="54"/>
        <v>54</v>
      </c>
      <c r="E159" s="39">
        <f t="shared" si="54"/>
        <v>30</v>
      </c>
      <c r="F159" s="39">
        <f t="shared" si="54"/>
        <v>180</v>
      </c>
      <c r="G159" s="50">
        <f t="shared" si="51"/>
        <v>1163</v>
      </c>
      <c r="H159" s="44">
        <f t="shared" ref="H159:L159" si="66">H53+H54+H55+H56</f>
        <v>1</v>
      </c>
      <c r="I159" s="39">
        <f t="shared" si="66"/>
        <v>0</v>
      </c>
      <c r="J159" s="39">
        <f t="shared" si="66"/>
        <v>0</v>
      </c>
      <c r="K159" s="45">
        <f t="shared" si="66"/>
        <v>0</v>
      </c>
      <c r="L159" s="144">
        <f t="shared" si="66"/>
        <v>0</v>
      </c>
      <c r="M159" s="50">
        <f t="shared" si="16"/>
        <v>1</v>
      </c>
      <c r="N159" s="40">
        <f t="shared" si="17"/>
        <v>1164</v>
      </c>
      <c r="O159" s="43">
        <f t="shared" si="18"/>
        <v>1720.5</v>
      </c>
    </row>
    <row r="160" spans="1:15" ht="22.95" customHeight="1" x14ac:dyDescent="0.3">
      <c r="A160" s="52" t="s">
        <v>75</v>
      </c>
      <c r="B160" s="44">
        <f t="shared" si="54"/>
        <v>493</v>
      </c>
      <c r="C160" s="39">
        <f t="shared" si="54"/>
        <v>280</v>
      </c>
      <c r="D160" s="39">
        <f t="shared" si="54"/>
        <v>54</v>
      </c>
      <c r="E160" s="39">
        <f t="shared" si="54"/>
        <v>33</v>
      </c>
      <c r="F160" s="39">
        <f t="shared" si="54"/>
        <v>149</v>
      </c>
      <c r="G160" s="50">
        <f t="shared" si="51"/>
        <v>1009</v>
      </c>
      <c r="H160" s="44">
        <f t="shared" ref="H160:L160" si="67">H54+H55+H56+H57</f>
        <v>0</v>
      </c>
      <c r="I160" s="39">
        <f t="shared" si="67"/>
        <v>0</v>
      </c>
      <c r="J160" s="39">
        <f t="shared" si="67"/>
        <v>0</v>
      </c>
      <c r="K160" s="45">
        <f t="shared" si="67"/>
        <v>0</v>
      </c>
      <c r="L160" s="144">
        <f t="shared" si="67"/>
        <v>0</v>
      </c>
      <c r="M160" s="50">
        <f t="shared" si="16"/>
        <v>0</v>
      </c>
      <c r="N160" s="40">
        <f t="shared" si="17"/>
        <v>1009</v>
      </c>
      <c r="O160" s="43">
        <f t="shared" si="18"/>
        <v>1483.5</v>
      </c>
    </row>
    <row r="161" spans="1:15" ht="22.95" customHeight="1" x14ac:dyDescent="0.3">
      <c r="A161" s="52" t="s">
        <v>76</v>
      </c>
      <c r="B161" s="44">
        <f t="shared" si="54"/>
        <v>432</v>
      </c>
      <c r="C161" s="39">
        <f t="shared" si="54"/>
        <v>230</v>
      </c>
      <c r="D161" s="39">
        <f t="shared" si="54"/>
        <v>47</v>
      </c>
      <c r="E161" s="39">
        <f t="shared" si="54"/>
        <v>29</v>
      </c>
      <c r="F161" s="39">
        <f t="shared" si="54"/>
        <v>157</v>
      </c>
      <c r="G161" s="50">
        <f t="shared" si="51"/>
        <v>895</v>
      </c>
      <c r="H161" s="44">
        <f t="shared" ref="H161:L161" si="68">H55+H56+H57+H58</f>
        <v>0</v>
      </c>
      <c r="I161" s="39">
        <f t="shared" si="68"/>
        <v>0</v>
      </c>
      <c r="J161" s="39">
        <f t="shared" si="68"/>
        <v>0</v>
      </c>
      <c r="K161" s="45">
        <f t="shared" si="68"/>
        <v>0</v>
      </c>
      <c r="L161" s="144">
        <f t="shared" si="68"/>
        <v>0</v>
      </c>
      <c r="M161" s="50">
        <f t="shared" si="16"/>
        <v>0</v>
      </c>
      <c r="N161" s="40">
        <f t="shared" si="17"/>
        <v>895</v>
      </c>
      <c r="O161" s="43">
        <f t="shared" si="18"/>
        <v>1411</v>
      </c>
    </row>
    <row r="162" spans="1:15" ht="22.95" customHeight="1" x14ac:dyDescent="0.3">
      <c r="A162" s="52" t="s">
        <v>70</v>
      </c>
      <c r="B162" s="44">
        <f t="shared" si="54"/>
        <v>373</v>
      </c>
      <c r="C162" s="39">
        <f t="shared" si="54"/>
        <v>216</v>
      </c>
      <c r="D162" s="39">
        <f t="shared" si="54"/>
        <v>35</v>
      </c>
      <c r="E162" s="39">
        <f t="shared" si="54"/>
        <v>27</v>
      </c>
      <c r="F162" s="39">
        <f t="shared" si="54"/>
        <v>167</v>
      </c>
      <c r="G162" s="50">
        <f t="shared" si="51"/>
        <v>818</v>
      </c>
      <c r="H162" s="44">
        <f t="shared" ref="H162:L162" si="69">H56+H57+H58+H59</f>
        <v>0</v>
      </c>
      <c r="I162" s="39">
        <f t="shared" si="69"/>
        <v>0</v>
      </c>
      <c r="J162" s="39">
        <f t="shared" si="69"/>
        <v>0</v>
      </c>
      <c r="K162" s="45">
        <f t="shared" si="69"/>
        <v>0</v>
      </c>
      <c r="L162" s="144">
        <f t="shared" si="69"/>
        <v>0</v>
      </c>
      <c r="M162" s="50">
        <f t="shared" si="16"/>
        <v>0</v>
      </c>
      <c r="N162" s="40">
        <f t="shared" si="17"/>
        <v>818</v>
      </c>
      <c r="O162" s="43">
        <f t="shared" si="18"/>
        <v>1366</v>
      </c>
    </row>
    <row r="163" spans="1:15" ht="22.95" customHeight="1" x14ac:dyDescent="0.3">
      <c r="A163" s="52" t="s">
        <v>71</v>
      </c>
      <c r="B163" s="44">
        <f t="shared" si="54"/>
        <v>309</v>
      </c>
      <c r="C163" s="39">
        <f t="shared" si="54"/>
        <v>180</v>
      </c>
      <c r="D163" s="39">
        <f t="shared" si="54"/>
        <v>39</v>
      </c>
      <c r="E163" s="39">
        <f t="shared" si="54"/>
        <v>21</v>
      </c>
      <c r="F163" s="39">
        <f t="shared" si="54"/>
        <v>178</v>
      </c>
      <c r="G163" s="50">
        <f t="shared" si="51"/>
        <v>727</v>
      </c>
      <c r="H163" s="44">
        <f t="shared" ref="H163:L163" si="70">H57+H58+H59+H60</f>
        <v>0</v>
      </c>
      <c r="I163" s="39">
        <f t="shared" si="70"/>
        <v>0</v>
      </c>
      <c r="J163" s="39">
        <f t="shared" si="70"/>
        <v>0</v>
      </c>
      <c r="K163" s="45">
        <f t="shared" si="70"/>
        <v>0</v>
      </c>
      <c r="L163" s="144">
        <f t="shared" si="70"/>
        <v>0</v>
      </c>
      <c r="M163" s="50">
        <f t="shared" si="16"/>
        <v>0</v>
      </c>
      <c r="N163" s="40">
        <f t="shared" si="17"/>
        <v>727</v>
      </c>
      <c r="O163" s="43">
        <f t="shared" si="18"/>
        <v>1321.5</v>
      </c>
    </row>
    <row r="164" spans="1:15" ht="22.95" customHeight="1" x14ac:dyDescent="0.3">
      <c r="A164" s="52" t="s">
        <v>72</v>
      </c>
      <c r="B164" s="44">
        <f t="shared" ref="B164:F179" si="71">B58+B59+B60+B61</f>
        <v>283</v>
      </c>
      <c r="C164" s="39">
        <f t="shared" si="71"/>
        <v>138</v>
      </c>
      <c r="D164" s="39">
        <f t="shared" si="71"/>
        <v>41</v>
      </c>
      <c r="E164" s="39">
        <f t="shared" si="71"/>
        <v>18</v>
      </c>
      <c r="F164" s="39">
        <f t="shared" si="71"/>
        <v>201</v>
      </c>
      <c r="G164" s="50">
        <f t="shared" si="51"/>
        <v>681</v>
      </c>
      <c r="H164" s="44">
        <f t="shared" ref="H164:L164" si="72">H58+H59+H60+H61</f>
        <v>0</v>
      </c>
      <c r="I164" s="39">
        <f t="shared" si="72"/>
        <v>0</v>
      </c>
      <c r="J164" s="39">
        <f t="shared" si="72"/>
        <v>0</v>
      </c>
      <c r="K164" s="45">
        <f t="shared" si="72"/>
        <v>0</v>
      </c>
      <c r="L164" s="144">
        <f t="shared" si="72"/>
        <v>0</v>
      </c>
      <c r="M164" s="50">
        <f t="shared" si="16"/>
        <v>0</v>
      </c>
      <c r="N164" s="40">
        <f t="shared" si="17"/>
        <v>681</v>
      </c>
      <c r="O164" s="43">
        <f t="shared" si="18"/>
        <v>1372</v>
      </c>
    </row>
    <row r="165" spans="1:15" ht="22.95" customHeight="1" x14ac:dyDescent="0.3">
      <c r="A165" s="52" t="s">
        <v>73</v>
      </c>
      <c r="B165" s="44">
        <f t="shared" si="71"/>
        <v>268</v>
      </c>
      <c r="C165" s="39">
        <f t="shared" si="71"/>
        <v>111</v>
      </c>
      <c r="D165" s="39">
        <f t="shared" si="71"/>
        <v>50</v>
      </c>
      <c r="E165" s="39">
        <f t="shared" si="71"/>
        <v>16</v>
      </c>
      <c r="F165" s="39">
        <f t="shared" si="71"/>
        <v>224</v>
      </c>
      <c r="G165" s="50">
        <f t="shared" si="51"/>
        <v>669</v>
      </c>
      <c r="H165" s="44">
        <f t="shared" ref="H165:L165" si="73">H59+H60+H61+H62</f>
        <v>0</v>
      </c>
      <c r="I165" s="39">
        <f t="shared" si="73"/>
        <v>0</v>
      </c>
      <c r="J165" s="39">
        <f t="shared" si="73"/>
        <v>0</v>
      </c>
      <c r="K165" s="45">
        <f t="shared" si="73"/>
        <v>0</v>
      </c>
      <c r="L165" s="144">
        <f t="shared" si="73"/>
        <v>0</v>
      </c>
      <c r="M165" s="50">
        <f t="shared" si="16"/>
        <v>0</v>
      </c>
      <c r="N165" s="40">
        <f t="shared" si="17"/>
        <v>669</v>
      </c>
      <c r="O165" s="43">
        <f t="shared" si="18"/>
        <v>1454.5</v>
      </c>
    </row>
    <row r="166" spans="1:15" ht="22.95" customHeight="1" x14ac:dyDescent="0.3">
      <c r="A166" s="52" t="s">
        <v>74</v>
      </c>
      <c r="B166" s="44">
        <f t="shared" si="71"/>
        <v>269</v>
      </c>
      <c r="C166" s="39">
        <f t="shared" si="71"/>
        <v>98</v>
      </c>
      <c r="D166" s="39">
        <f t="shared" si="71"/>
        <v>57</v>
      </c>
      <c r="E166" s="39">
        <f t="shared" si="71"/>
        <v>12</v>
      </c>
      <c r="F166" s="39">
        <f t="shared" si="71"/>
        <v>215</v>
      </c>
      <c r="G166" s="50">
        <f t="shared" si="51"/>
        <v>651</v>
      </c>
      <c r="H166" s="44">
        <f t="shared" ref="H166:L166" si="74">H60+H61+H62+H63</f>
        <v>0</v>
      </c>
      <c r="I166" s="39">
        <f t="shared" si="74"/>
        <v>0</v>
      </c>
      <c r="J166" s="39">
        <f t="shared" si="74"/>
        <v>0</v>
      </c>
      <c r="K166" s="45">
        <f t="shared" si="74"/>
        <v>0</v>
      </c>
      <c r="L166" s="144">
        <f t="shared" si="74"/>
        <v>0</v>
      </c>
      <c r="M166" s="50">
        <f t="shared" si="16"/>
        <v>0</v>
      </c>
      <c r="N166" s="40">
        <f t="shared" si="17"/>
        <v>651</v>
      </c>
      <c r="O166" s="43">
        <f t="shared" si="18"/>
        <v>1407</v>
      </c>
    </row>
    <row r="167" spans="1:15" ht="22.95" customHeight="1" x14ac:dyDescent="0.3">
      <c r="A167" s="52" t="s">
        <v>262</v>
      </c>
      <c r="B167" s="44">
        <f t="shared" si="71"/>
        <v>273</v>
      </c>
      <c r="C167" s="39">
        <f t="shared" si="71"/>
        <v>81</v>
      </c>
      <c r="D167" s="39">
        <f t="shared" si="71"/>
        <v>64</v>
      </c>
      <c r="E167" s="39">
        <f t="shared" si="71"/>
        <v>16</v>
      </c>
      <c r="F167" s="39">
        <f t="shared" si="71"/>
        <v>213</v>
      </c>
      <c r="G167" s="50">
        <f t="shared" si="51"/>
        <v>647</v>
      </c>
      <c r="H167" s="44">
        <f t="shared" ref="H167:L167" si="75">H61+H62+H63+H64</f>
        <v>0</v>
      </c>
      <c r="I167" s="39">
        <f t="shared" si="75"/>
        <v>0</v>
      </c>
      <c r="J167" s="39">
        <f t="shared" si="75"/>
        <v>0</v>
      </c>
      <c r="K167" s="45">
        <f t="shared" si="75"/>
        <v>0</v>
      </c>
      <c r="L167" s="144">
        <f t="shared" si="75"/>
        <v>0</v>
      </c>
      <c r="M167" s="50">
        <f t="shared" si="16"/>
        <v>0</v>
      </c>
      <c r="N167" s="40">
        <f t="shared" si="17"/>
        <v>647</v>
      </c>
      <c r="O167" s="43">
        <f t="shared" si="18"/>
        <v>1416</v>
      </c>
    </row>
    <row r="168" spans="1:15" ht="22.95" customHeight="1" x14ac:dyDescent="0.3">
      <c r="A168" s="52" t="s">
        <v>263</v>
      </c>
      <c r="B168" s="44">
        <f t="shared" si="71"/>
        <v>272</v>
      </c>
      <c r="C168" s="39">
        <f t="shared" si="71"/>
        <v>75</v>
      </c>
      <c r="D168" s="39">
        <f t="shared" si="71"/>
        <v>67</v>
      </c>
      <c r="E168" s="39">
        <f t="shared" si="71"/>
        <v>15</v>
      </c>
      <c r="F168" s="39">
        <f t="shared" si="71"/>
        <v>202</v>
      </c>
      <c r="G168" s="50">
        <f t="shared" si="51"/>
        <v>631</v>
      </c>
      <c r="H168" s="44">
        <f t="shared" ref="H168:L168" si="76">H62+H63+H64+H65</f>
        <v>0</v>
      </c>
      <c r="I168" s="39">
        <f t="shared" si="76"/>
        <v>0</v>
      </c>
      <c r="J168" s="39">
        <f t="shared" si="76"/>
        <v>0</v>
      </c>
      <c r="K168" s="45">
        <f t="shared" si="76"/>
        <v>0</v>
      </c>
      <c r="L168" s="144">
        <f t="shared" si="76"/>
        <v>0</v>
      </c>
      <c r="M168" s="50">
        <f t="shared" si="16"/>
        <v>0</v>
      </c>
      <c r="N168" s="40">
        <f t="shared" si="17"/>
        <v>631</v>
      </c>
      <c r="O168" s="43">
        <f t="shared" si="18"/>
        <v>1364</v>
      </c>
    </row>
    <row r="169" spans="1:15" ht="22.95" customHeight="1" x14ac:dyDescent="0.3">
      <c r="A169" s="52" t="s">
        <v>264</v>
      </c>
      <c r="B169" s="44">
        <f t="shared" si="71"/>
        <v>244</v>
      </c>
      <c r="C169" s="39">
        <f t="shared" si="71"/>
        <v>61</v>
      </c>
      <c r="D169" s="39">
        <f t="shared" si="71"/>
        <v>69</v>
      </c>
      <c r="E169" s="39">
        <f t="shared" si="71"/>
        <v>16</v>
      </c>
      <c r="F169" s="39">
        <f t="shared" si="71"/>
        <v>172</v>
      </c>
      <c r="G169" s="50">
        <f t="shared" si="51"/>
        <v>562</v>
      </c>
      <c r="H169" s="44">
        <f t="shared" ref="H169:L169" si="77">H63+H64+H65+H66</f>
        <v>0</v>
      </c>
      <c r="I169" s="39">
        <f t="shared" si="77"/>
        <v>0</v>
      </c>
      <c r="J169" s="39">
        <f t="shared" si="77"/>
        <v>0</v>
      </c>
      <c r="K169" s="45">
        <f t="shared" si="77"/>
        <v>0</v>
      </c>
      <c r="L169" s="144">
        <f t="shared" si="77"/>
        <v>0</v>
      </c>
      <c r="M169" s="50">
        <f t="shared" si="16"/>
        <v>0</v>
      </c>
      <c r="N169" s="40">
        <f t="shared" si="17"/>
        <v>562</v>
      </c>
      <c r="O169" s="43">
        <f t="shared" si="18"/>
        <v>1200</v>
      </c>
    </row>
    <row r="170" spans="1:15" ht="22.95" customHeight="1" x14ac:dyDescent="0.3">
      <c r="A170" s="52" t="s">
        <v>265</v>
      </c>
      <c r="B170" s="44">
        <f t="shared" si="71"/>
        <v>213</v>
      </c>
      <c r="C170" s="39">
        <f t="shared" si="71"/>
        <v>45</v>
      </c>
      <c r="D170" s="39">
        <f t="shared" si="71"/>
        <v>70</v>
      </c>
      <c r="E170" s="39">
        <f t="shared" si="71"/>
        <v>19</v>
      </c>
      <c r="F170" s="39">
        <f t="shared" si="71"/>
        <v>160</v>
      </c>
      <c r="G170" s="50">
        <f t="shared" si="51"/>
        <v>507</v>
      </c>
      <c r="H170" s="44">
        <f t="shared" ref="H170:L170" si="78">H64+H65+H66+H67</f>
        <v>0</v>
      </c>
      <c r="I170" s="39">
        <f t="shared" si="78"/>
        <v>0</v>
      </c>
      <c r="J170" s="39">
        <f t="shared" si="78"/>
        <v>0</v>
      </c>
      <c r="K170" s="45">
        <f t="shared" si="78"/>
        <v>0</v>
      </c>
      <c r="L170" s="144">
        <f t="shared" si="78"/>
        <v>0</v>
      </c>
      <c r="M170" s="50">
        <f t="shared" si="16"/>
        <v>0</v>
      </c>
      <c r="N170" s="40">
        <f t="shared" si="17"/>
        <v>507</v>
      </c>
      <c r="O170" s="43">
        <f t="shared" si="18"/>
        <v>1117.5</v>
      </c>
    </row>
    <row r="171" spans="1:15" ht="22.95" customHeight="1" x14ac:dyDescent="0.3">
      <c r="A171" s="52" t="s">
        <v>266</v>
      </c>
      <c r="B171" s="44">
        <f t="shared" si="71"/>
        <v>184</v>
      </c>
      <c r="C171" s="39">
        <f t="shared" si="71"/>
        <v>39</v>
      </c>
      <c r="D171" s="39">
        <f t="shared" si="71"/>
        <v>56</v>
      </c>
      <c r="E171" s="39">
        <f t="shared" si="71"/>
        <v>16</v>
      </c>
      <c r="F171" s="39">
        <f t="shared" si="71"/>
        <v>157</v>
      </c>
      <c r="G171" s="50">
        <f t="shared" si="51"/>
        <v>452</v>
      </c>
      <c r="H171" s="44">
        <f t="shared" ref="H171:L171" si="79">H65+H66+H67+H68</f>
        <v>0</v>
      </c>
      <c r="I171" s="39">
        <f t="shared" si="79"/>
        <v>0</v>
      </c>
      <c r="J171" s="39">
        <f t="shared" si="79"/>
        <v>0</v>
      </c>
      <c r="K171" s="45">
        <f t="shared" si="79"/>
        <v>0</v>
      </c>
      <c r="L171" s="144">
        <f t="shared" si="79"/>
        <v>0</v>
      </c>
      <c r="M171" s="50">
        <f t="shared" si="16"/>
        <v>0</v>
      </c>
      <c r="N171" s="40">
        <f t="shared" si="17"/>
        <v>452</v>
      </c>
      <c r="O171" s="43">
        <f t="shared" si="18"/>
        <v>1042</v>
      </c>
    </row>
    <row r="172" spans="1:15" ht="22.95" customHeight="1" x14ac:dyDescent="0.3">
      <c r="A172" s="52" t="s">
        <v>267</v>
      </c>
      <c r="B172" s="44">
        <f t="shared" si="71"/>
        <v>160</v>
      </c>
      <c r="C172" s="39">
        <f t="shared" si="71"/>
        <v>30</v>
      </c>
      <c r="D172" s="39">
        <f t="shared" si="71"/>
        <v>43</v>
      </c>
      <c r="E172" s="39">
        <f t="shared" si="71"/>
        <v>15</v>
      </c>
      <c r="F172" s="39">
        <f t="shared" si="71"/>
        <v>145</v>
      </c>
      <c r="G172" s="50">
        <f t="shared" si="51"/>
        <v>393</v>
      </c>
      <c r="H172" s="44">
        <f t="shared" ref="H172:L172" si="80">H66+H67+H68+H69</f>
        <v>0</v>
      </c>
      <c r="I172" s="39">
        <f t="shared" si="80"/>
        <v>0</v>
      </c>
      <c r="J172" s="39">
        <f t="shared" si="80"/>
        <v>0</v>
      </c>
      <c r="K172" s="45">
        <f t="shared" si="80"/>
        <v>0</v>
      </c>
      <c r="L172" s="144">
        <f t="shared" si="80"/>
        <v>0</v>
      </c>
      <c r="M172" s="50">
        <f t="shared" si="16"/>
        <v>0</v>
      </c>
      <c r="N172" s="40">
        <f t="shared" si="17"/>
        <v>393</v>
      </c>
      <c r="O172" s="43">
        <f t="shared" si="18"/>
        <v>937</v>
      </c>
    </row>
    <row r="173" spans="1:15" ht="22.95" customHeight="1" x14ac:dyDescent="0.3">
      <c r="A173" s="52" t="s">
        <v>268</v>
      </c>
      <c r="B173" s="44">
        <f t="shared" si="71"/>
        <v>137</v>
      </c>
      <c r="C173" s="39">
        <f t="shared" si="71"/>
        <v>31</v>
      </c>
      <c r="D173" s="39">
        <f t="shared" si="71"/>
        <v>37</v>
      </c>
      <c r="E173" s="39">
        <f t="shared" si="71"/>
        <v>14</v>
      </c>
      <c r="F173" s="39">
        <f t="shared" si="71"/>
        <v>136</v>
      </c>
      <c r="G173" s="50">
        <f t="shared" si="51"/>
        <v>355</v>
      </c>
      <c r="H173" s="44">
        <f t="shared" ref="H173:L173" si="81">H67+H68+H69+H70</f>
        <v>0</v>
      </c>
      <c r="I173" s="39">
        <f t="shared" si="81"/>
        <v>0</v>
      </c>
      <c r="J173" s="39">
        <f t="shared" si="81"/>
        <v>0</v>
      </c>
      <c r="K173" s="45">
        <f t="shared" si="81"/>
        <v>0</v>
      </c>
      <c r="L173" s="144">
        <f t="shared" si="81"/>
        <v>1</v>
      </c>
      <c r="M173" s="50">
        <f t="shared" si="16"/>
        <v>0</v>
      </c>
      <c r="N173" s="40">
        <f t="shared" si="17"/>
        <v>355</v>
      </c>
      <c r="O173" s="43">
        <f t="shared" si="18"/>
        <v>870</v>
      </c>
    </row>
    <row r="174" spans="1:15" ht="22.95" customHeight="1" x14ac:dyDescent="0.3">
      <c r="A174" s="52" t="s">
        <v>269</v>
      </c>
      <c r="B174" s="44">
        <f t="shared" si="71"/>
        <v>119</v>
      </c>
      <c r="C174" s="39">
        <f t="shared" si="71"/>
        <v>27</v>
      </c>
      <c r="D174" s="39">
        <f t="shared" si="71"/>
        <v>31</v>
      </c>
      <c r="E174" s="39">
        <f t="shared" si="71"/>
        <v>12</v>
      </c>
      <c r="F174" s="39">
        <f t="shared" si="71"/>
        <v>137</v>
      </c>
      <c r="G174" s="50">
        <f t="shared" si="51"/>
        <v>326</v>
      </c>
      <c r="H174" s="44">
        <f t="shared" ref="H174:L174" si="82">H68+H69+H70+H71</f>
        <v>0</v>
      </c>
      <c r="I174" s="39">
        <f t="shared" si="82"/>
        <v>0</v>
      </c>
      <c r="J174" s="39">
        <f t="shared" si="82"/>
        <v>0</v>
      </c>
      <c r="K174" s="45">
        <f t="shared" si="82"/>
        <v>0</v>
      </c>
      <c r="L174" s="144">
        <f t="shared" si="82"/>
        <v>1</v>
      </c>
      <c r="M174" s="50">
        <f t="shared" si="16"/>
        <v>0</v>
      </c>
      <c r="N174" s="40">
        <f t="shared" si="17"/>
        <v>326</v>
      </c>
      <c r="O174" s="43">
        <f t="shared" si="18"/>
        <v>839.5</v>
      </c>
    </row>
    <row r="175" spans="1:15" ht="22.95" customHeight="1" x14ac:dyDescent="0.3">
      <c r="A175" s="54" t="s">
        <v>241</v>
      </c>
      <c r="B175" s="44">
        <f t="shared" si="71"/>
        <v>106</v>
      </c>
      <c r="C175" s="39">
        <f t="shared" si="71"/>
        <v>25</v>
      </c>
      <c r="D175" s="39">
        <f t="shared" si="71"/>
        <v>36</v>
      </c>
      <c r="E175" s="39">
        <f t="shared" si="71"/>
        <v>11</v>
      </c>
      <c r="F175" s="39">
        <f t="shared" si="71"/>
        <v>123</v>
      </c>
      <c r="G175" s="50">
        <f t="shared" si="51"/>
        <v>301</v>
      </c>
      <c r="H175" s="44">
        <f t="shared" ref="H175:L175" si="83">H69+H70+H71+H72</f>
        <v>0</v>
      </c>
      <c r="I175" s="39">
        <f t="shared" si="83"/>
        <v>0</v>
      </c>
      <c r="J175" s="39">
        <f t="shared" si="83"/>
        <v>0</v>
      </c>
      <c r="K175" s="45">
        <f t="shared" si="83"/>
        <v>0</v>
      </c>
      <c r="L175" s="144">
        <f t="shared" si="83"/>
        <v>1</v>
      </c>
      <c r="M175" s="50">
        <f t="shared" si="16"/>
        <v>0</v>
      </c>
      <c r="N175" s="40">
        <f t="shared" si="17"/>
        <v>301</v>
      </c>
      <c r="O175" s="43">
        <f t="shared" si="18"/>
        <v>767</v>
      </c>
    </row>
    <row r="176" spans="1:15" ht="22.95" customHeight="1" x14ac:dyDescent="0.3">
      <c r="A176" s="52" t="s">
        <v>242</v>
      </c>
      <c r="B176" s="44">
        <f t="shared" si="71"/>
        <v>94</v>
      </c>
      <c r="C176" s="39">
        <f t="shared" si="71"/>
        <v>17</v>
      </c>
      <c r="D176" s="39">
        <f t="shared" si="71"/>
        <v>48</v>
      </c>
      <c r="E176" s="39">
        <f t="shared" si="71"/>
        <v>14</v>
      </c>
      <c r="F176" s="39">
        <f t="shared" si="71"/>
        <v>113</v>
      </c>
      <c r="G176" s="50">
        <f t="shared" si="51"/>
        <v>286</v>
      </c>
      <c r="H176" s="44">
        <f t="shared" ref="H176:L176" si="84">H70+H71+H72+H73</f>
        <v>0</v>
      </c>
      <c r="I176" s="39">
        <f t="shared" si="84"/>
        <v>0</v>
      </c>
      <c r="J176" s="39">
        <f t="shared" si="84"/>
        <v>0</v>
      </c>
      <c r="K176" s="45">
        <f t="shared" si="84"/>
        <v>0</v>
      </c>
      <c r="L176" s="144">
        <f t="shared" si="84"/>
        <v>1</v>
      </c>
      <c r="M176" s="50">
        <f t="shared" si="16"/>
        <v>0</v>
      </c>
      <c r="N176" s="40">
        <f t="shared" si="17"/>
        <v>286</v>
      </c>
      <c r="O176" s="43">
        <f t="shared" si="18"/>
        <v>733</v>
      </c>
    </row>
    <row r="177" spans="1:15" ht="22.95" customHeight="1" x14ac:dyDescent="0.3">
      <c r="A177" s="52" t="s">
        <v>243</v>
      </c>
      <c r="B177" s="44">
        <f t="shared" si="71"/>
        <v>86</v>
      </c>
      <c r="C177" s="39">
        <f t="shared" si="71"/>
        <v>10</v>
      </c>
      <c r="D177" s="39">
        <f t="shared" si="71"/>
        <v>50</v>
      </c>
      <c r="E177" s="39">
        <f t="shared" si="71"/>
        <v>16</v>
      </c>
      <c r="F177" s="39">
        <f t="shared" si="71"/>
        <v>107</v>
      </c>
      <c r="G177" s="50">
        <f t="shared" si="51"/>
        <v>269</v>
      </c>
      <c r="H177" s="44">
        <f t="shared" ref="H177:L177" si="85">H71+H72+H73+H74</f>
        <v>0</v>
      </c>
      <c r="I177" s="39">
        <f t="shared" si="85"/>
        <v>0</v>
      </c>
      <c r="J177" s="39">
        <f t="shared" si="85"/>
        <v>0</v>
      </c>
      <c r="K177" s="45">
        <f t="shared" si="85"/>
        <v>0</v>
      </c>
      <c r="L177" s="144">
        <f t="shared" si="85"/>
        <v>0</v>
      </c>
      <c r="M177" s="50">
        <f t="shared" si="16"/>
        <v>0</v>
      </c>
      <c r="N177" s="40">
        <f t="shared" si="17"/>
        <v>269</v>
      </c>
      <c r="O177" s="43">
        <f t="shared" si="18"/>
        <v>695.5</v>
      </c>
    </row>
    <row r="178" spans="1:15" ht="22.95" customHeight="1" x14ac:dyDescent="0.3">
      <c r="A178" s="52" t="s">
        <v>244</v>
      </c>
      <c r="B178" s="44">
        <f t="shared" si="71"/>
        <v>87</v>
      </c>
      <c r="C178" s="39">
        <f t="shared" si="71"/>
        <v>5</v>
      </c>
      <c r="D178" s="39">
        <f t="shared" si="71"/>
        <v>52</v>
      </c>
      <c r="E178" s="39">
        <f t="shared" si="71"/>
        <v>17</v>
      </c>
      <c r="F178" s="39">
        <f t="shared" si="71"/>
        <v>108</v>
      </c>
      <c r="G178" s="50">
        <f t="shared" ref="G178:G206" si="86">SUM(B178:F178)</f>
        <v>269</v>
      </c>
      <c r="H178" s="44">
        <f t="shared" ref="H178:L178" si="87">H72+H73+H74+H75</f>
        <v>0</v>
      </c>
      <c r="I178" s="39">
        <f t="shared" si="87"/>
        <v>0</v>
      </c>
      <c r="J178" s="39">
        <f t="shared" si="87"/>
        <v>0</v>
      </c>
      <c r="K178" s="45">
        <f t="shared" si="87"/>
        <v>0</v>
      </c>
      <c r="L178" s="144">
        <f t="shared" si="87"/>
        <v>0</v>
      </c>
      <c r="M178" s="50">
        <f t="shared" si="16"/>
        <v>0</v>
      </c>
      <c r="N178" s="40">
        <f t="shared" si="17"/>
        <v>269</v>
      </c>
      <c r="O178" s="43">
        <f t="shared" si="18"/>
        <v>704.5</v>
      </c>
    </row>
    <row r="179" spans="1:15" ht="22.95" customHeight="1" x14ac:dyDescent="0.3">
      <c r="A179" s="52" t="s">
        <v>245</v>
      </c>
      <c r="B179" s="44">
        <f t="shared" si="71"/>
        <v>84</v>
      </c>
      <c r="C179" s="39">
        <f t="shared" si="71"/>
        <v>2</v>
      </c>
      <c r="D179" s="39">
        <f t="shared" si="71"/>
        <v>51</v>
      </c>
      <c r="E179" s="39">
        <f t="shared" si="71"/>
        <v>15</v>
      </c>
      <c r="F179" s="39">
        <f t="shared" si="71"/>
        <v>107</v>
      </c>
      <c r="G179" s="50">
        <f t="shared" si="86"/>
        <v>259</v>
      </c>
      <c r="H179" s="44">
        <f t="shared" ref="H179:L179" si="88">H73+H74+H75+H76</f>
        <v>0</v>
      </c>
      <c r="I179" s="39">
        <f t="shared" si="88"/>
        <v>0</v>
      </c>
      <c r="J179" s="39">
        <f t="shared" si="88"/>
        <v>0</v>
      </c>
      <c r="K179" s="45">
        <f t="shared" si="88"/>
        <v>0</v>
      </c>
      <c r="L179" s="144">
        <f t="shared" si="88"/>
        <v>0</v>
      </c>
      <c r="M179" s="50">
        <f t="shared" ref="M179:M206" si="89">SUM(H179:K179)</f>
        <v>0</v>
      </c>
      <c r="N179" s="40">
        <f t="shared" ref="N179:N206" si="90">G179+M179</f>
        <v>259</v>
      </c>
      <c r="O179" s="43">
        <f t="shared" ref="O179:O206" si="91">B179*1+C179*0.5+D179*1.5+E179*3+F179*4.5+H179*0.5+I179*1.5+J179*3+K179*4+L179*8</f>
        <v>688</v>
      </c>
    </row>
    <row r="180" spans="1:15" ht="22.95" customHeight="1" x14ac:dyDescent="0.3">
      <c r="A180" s="52" t="s">
        <v>246</v>
      </c>
      <c r="B180" s="44">
        <f t="shared" ref="B180:F195" si="92">B74+B75+B76+B77</f>
        <v>85</v>
      </c>
      <c r="C180" s="39">
        <f t="shared" si="92"/>
        <v>3</v>
      </c>
      <c r="D180" s="39">
        <f t="shared" si="92"/>
        <v>47</v>
      </c>
      <c r="E180" s="39">
        <f t="shared" si="92"/>
        <v>14</v>
      </c>
      <c r="F180" s="39">
        <f t="shared" si="92"/>
        <v>115</v>
      </c>
      <c r="G180" s="50">
        <f t="shared" si="86"/>
        <v>264</v>
      </c>
      <c r="H180" s="44">
        <f t="shared" ref="H180:L180" si="93">H74+H75+H76+H77</f>
        <v>0</v>
      </c>
      <c r="I180" s="39">
        <f t="shared" si="93"/>
        <v>0</v>
      </c>
      <c r="J180" s="39">
        <f t="shared" si="93"/>
        <v>0</v>
      </c>
      <c r="K180" s="45">
        <f t="shared" si="93"/>
        <v>0</v>
      </c>
      <c r="L180" s="144">
        <f t="shared" si="93"/>
        <v>0</v>
      </c>
      <c r="M180" s="50">
        <f t="shared" si="89"/>
        <v>0</v>
      </c>
      <c r="N180" s="40">
        <f t="shared" si="90"/>
        <v>264</v>
      </c>
      <c r="O180" s="43">
        <f t="shared" si="91"/>
        <v>716.5</v>
      </c>
    </row>
    <row r="181" spans="1:15" ht="22.95" customHeight="1" x14ac:dyDescent="0.3">
      <c r="A181" s="52" t="s">
        <v>247</v>
      </c>
      <c r="B181" s="44">
        <f t="shared" si="92"/>
        <v>86</v>
      </c>
      <c r="C181" s="39">
        <f t="shared" si="92"/>
        <v>3</v>
      </c>
      <c r="D181" s="39">
        <f t="shared" si="92"/>
        <v>36</v>
      </c>
      <c r="E181" s="39">
        <f t="shared" si="92"/>
        <v>12</v>
      </c>
      <c r="F181" s="39">
        <f t="shared" si="92"/>
        <v>116</v>
      </c>
      <c r="G181" s="50">
        <f t="shared" si="86"/>
        <v>253</v>
      </c>
      <c r="H181" s="44">
        <f t="shared" ref="H181:L181" si="94">H75+H76+H77+H78</f>
        <v>0</v>
      </c>
      <c r="I181" s="39">
        <f t="shared" si="94"/>
        <v>0</v>
      </c>
      <c r="J181" s="39">
        <f t="shared" si="94"/>
        <v>0</v>
      </c>
      <c r="K181" s="45">
        <f t="shared" si="94"/>
        <v>0</v>
      </c>
      <c r="L181" s="144">
        <f t="shared" si="94"/>
        <v>0</v>
      </c>
      <c r="M181" s="50">
        <f t="shared" si="89"/>
        <v>0</v>
      </c>
      <c r="N181" s="40">
        <f t="shared" si="90"/>
        <v>253</v>
      </c>
      <c r="O181" s="43">
        <f t="shared" si="91"/>
        <v>699.5</v>
      </c>
    </row>
    <row r="182" spans="1:15" ht="22.95" customHeight="1" x14ac:dyDescent="0.3">
      <c r="A182" s="52" t="s">
        <v>248</v>
      </c>
      <c r="B182" s="44">
        <f t="shared" si="92"/>
        <v>84</v>
      </c>
      <c r="C182" s="39">
        <f t="shared" si="92"/>
        <v>3</v>
      </c>
      <c r="D182" s="39">
        <f t="shared" si="92"/>
        <v>27</v>
      </c>
      <c r="E182" s="39">
        <f t="shared" si="92"/>
        <v>13</v>
      </c>
      <c r="F182" s="39">
        <f t="shared" si="92"/>
        <v>117</v>
      </c>
      <c r="G182" s="50">
        <f t="shared" si="86"/>
        <v>244</v>
      </c>
      <c r="H182" s="44">
        <f t="shared" ref="H182:L182" si="95">H76+H77+H78+H79</f>
        <v>0</v>
      </c>
      <c r="I182" s="39">
        <f t="shared" si="95"/>
        <v>0</v>
      </c>
      <c r="J182" s="39">
        <f t="shared" si="95"/>
        <v>0</v>
      </c>
      <c r="K182" s="45">
        <f t="shared" si="95"/>
        <v>0</v>
      </c>
      <c r="L182" s="144">
        <f t="shared" si="95"/>
        <v>0</v>
      </c>
      <c r="M182" s="50">
        <f t="shared" si="89"/>
        <v>0</v>
      </c>
      <c r="N182" s="40">
        <f t="shared" si="90"/>
        <v>244</v>
      </c>
      <c r="O182" s="43">
        <f t="shared" si="91"/>
        <v>691.5</v>
      </c>
    </row>
    <row r="183" spans="1:15" ht="22.95" customHeight="1" x14ac:dyDescent="0.3">
      <c r="A183" s="52" t="s">
        <v>249</v>
      </c>
      <c r="B183" s="44">
        <f t="shared" si="92"/>
        <v>74</v>
      </c>
      <c r="C183" s="39">
        <f t="shared" si="92"/>
        <v>4</v>
      </c>
      <c r="D183" s="39">
        <f t="shared" si="92"/>
        <v>27</v>
      </c>
      <c r="E183" s="39">
        <f t="shared" si="92"/>
        <v>14</v>
      </c>
      <c r="F183" s="39">
        <f t="shared" si="92"/>
        <v>107</v>
      </c>
      <c r="G183" s="50">
        <f t="shared" si="86"/>
        <v>226</v>
      </c>
      <c r="H183" s="44">
        <f t="shared" ref="H183:L183" si="96">H77+H78+H79+H80</f>
        <v>0</v>
      </c>
      <c r="I183" s="39">
        <f t="shared" si="96"/>
        <v>0</v>
      </c>
      <c r="J183" s="39">
        <f t="shared" si="96"/>
        <v>0</v>
      </c>
      <c r="K183" s="45">
        <f t="shared" si="96"/>
        <v>0</v>
      </c>
      <c r="L183" s="144">
        <f t="shared" si="96"/>
        <v>0</v>
      </c>
      <c r="M183" s="50">
        <f t="shared" si="89"/>
        <v>0</v>
      </c>
      <c r="N183" s="40">
        <f t="shared" si="90"/>
        <v>226</v>
      </c>
      <c r="O183" s="43">
        <f t="shared" si="91"/>
        <v>640</v>
      </c>
    </row>
    <row r="184" spans="1:15" ht="22.95" customHeight="1" x14ac:dyDescent="0.3">
      <c r="A184" s="52" t="s">
        <v>250</v>
      </c>
      <c r="B184" s="44">
        <f t="shared" si="92"/>
        <v>67</v>
      </c>
      <c r="C184" s="39">
        <f t="shared" si="92"/>
        <v>3</v>
      </c>
      <c r="D184" s="39">
        <f t="shared" si="92"/>
        <v>24</v>
      </c>
      <c r="E184" s="39">
        <f t="shared" si="92"/>
        <v>14</v>
      </c>
      <c r="F184" s="39">
        <f t="shared" si="92"/>
        <v>90</v>
      </c>
      <c r="G184" s="50">
        <f t="shared" si="86"/>
        <v>198</v>
      </c>
      <c r="H184" s="44">
        <f t="shared" ref="H184:L184" si="97">H78+H79+H80+H81</f>
        <v>0</v>
      </c>
      <c r="I184" s="39">
        <f t="shared" si="97"/>
        <v>0</v>
      </c>
      <c r="J184" s="39">
        <f t="shared" si="97"/>
        <v>0</v>
      </c>
      <c r="K184" s="45">
        <f t="shared" si="97"/>
        <v>0</v>
      </c>
      <c r="L184" s="144">
        <f t="shared" si="97"/>
        <v>0</v>
      </c>
      <c r="M184" s="50">
        <f t="shared" si="89"/>
        <v>0</v>
      </c>
      <c r="N184" s="40">
        <f t="shared" si="90"/>
        <v>198</v>
      </c>
      <c r="O184" s="43">
        <f t="shared" si="91"/>
        <v>551.5</v>
      </c>
    </row>
    <row r="185" spans="1:15" ht="22.95" customHeight="1" x14ac:dyDescent="0.3">
      <c r="A185" s="52" t="s">
        <v>251</v>
      </c>
      <c r="B185" s="44">
        <f t="shared" si="92"/>
        <v>65</v>
      </c>
      <c r="C185" s="39">
        <f t="shared" si="92"/>
        <v>5</v>
      </c>
      <c r="D185" s="39">
        <f t="shared" si="92"/>
        <v>30</v>
      </c>
      <c r="E185" s="39">
        <f t="shared" si="92"/>
        <v>14</v>
      </c>
      <c r="F185" s="39">
        <f t="shared" si="92"/>
        <v>82</v>
      </c>
      <c r="G185" s="50">
        <f t="shared" si="86"/>
        <v>196</v>
      </c>
      <c r="H185" s="44">
        <f t="shared" ref="H185:L185" si="98">H79+H80+H81+H82</f>
        <v>0</v>
      </c>
      <c r="I185" s="39">
        <f t="shared" si="98"/>
        <v>0</v>
      </c>
      <c r="J185" s="39">
        <f t="shared" si="98"/>
        <v>0</v>
      </c>
      <c r="K185" s="45">
        <f t="shared" si="98"/>
        <v>0</v>
      </c>
      <c r="L185" s="144">
        <f t="shared" si="98"/>
        <v>0</v>
      </c>
      <c r="M185" s="50">
        <f t="shared" si="89"/>
        <v>0</v>
      </c>
      <c r="N185" s="40">
        <f t="shared" si="90"/>
        <v>196</v>
      </c>
      <c r="O185" s="43">
        <f t="shared" si="91"/>
        <v>523.5</v>
      </c>
    </row>
    <row r="186" spans="1:15" ht="22.95" customHeight="1" x14ac:dyDescent="0.3">
      <c r="A186" s="52" t="s">
        <v>252</v>
      </c>
      <c r="B186" s="44">
        <f t="shared" si="92"/>
        <v>69</v>
      </c>
      <c r="C186" s="39">
        <f t="shared" si="92"/>
        <v>5</v>
      </c>
      <c r="D186" s="39">
        <f t="shared" si="92"/>
        <v>44</v>
      </c>
      <c r="E186" s="39">
        <f t="shared" si="92"/>
        <v>11</v>
      </c>
      <c r="F186" s="39">
        <f t="shared" si="92"/>
        <v>59</v>
      </c>
      <c r="G186" s="50">
        <f t="shared" si="86"/>
        <v>188</v>
      </c>
      <c r="H186" s="44">
        <f t="shared" ref="H186:L186" si="99">H80+H81+H82+H83</f>
        <v>0</v>
      </c>
      <c r="I186" s="39">
        <f t="shared" si="99"/>
        <v>0</v>
      </c>
      <c r="J186" s="39">
        <f t="shared" si="99"/>
        <v>0</v>
      </c>
      <c r="K186" s="45">
        <f t="shared" si="99"/>
        <v>0</v>
      </c>
      <c r="L186" s="144">
        <f t="shared" si="99"/>
        <v>0</v>
      </c>
      <c r="M186" s="50">
        <f t="shared" si="89"/>
        <v>0</v>
      </c>
      <c r="N186" s="40">
        <f t="shared" si="90"/>
        <v>188</v>
      </c>
      <c r="O186" s="43">
        <f t="shared" si="91"/>
        <v>436</v>
      </c>
    </row>
    <row r="187" spans="1:15" ht="22.95" customHeight="1" x14ac:dyDescent="0.3">
      <c r="A187" s="52" t="s">
        <v>253</v>
      </c>
      <c r="B187" s="44">
        <f t="shared" si="92"/>
        <v>79</v>
      </c>
      <c r="C187" s="39">
        <f t="shared" si="92"/>
        <v>3</v>
      </c>
      <c r="D187" s="39">
        <f t="shared" si="92"/>
        <v>51</v>
      </c>
      <c r="E187" s="39">
        <f t="shared" si="92"/>
        <v>13</v>
      </c>
      <c r="F187" s="39">
        <f t="shared" si="92"/>
        <v>53</v>
      </c>
      <c r="G187" s="50">
        <f t="shared" si="86"/>
        <v>199</v>
      </c>
      <c r="H187" s="44">
        <f t="shared" ref="H187:L187" si="100">H81+H82+H83+H84</f>
        <v>0</v>
      </c>
      <c r="I187" s="39">
        <f t="shared" si="100"/>
        <v>0</v>
      </c>
      <c r="J187" s="39">
        <f t="shared" si="100"/>
        <v>0</v>
      </c>
      <c r="K187" s="45">
        <f t="shared" si="100"/>
        <v>0</v>
      </c>
      <c r="L187" s="144">
        <f t="shared" si="100"/>
        <v>0</v>
      </c>
      <c r="M187" s="50">
        <f t="shared" si="89"/>
        <v>0</v>
      </c>
      <c r="N187" s="40">
        <f t="shared" si="90"/>
        <v>199</v>
      </c>
      <c r="O187" s="43">
        <f t="shared" si="91"/>
        <v>434.5</v>
      </c>
    </row>
    <row r="188" spans="1:15" ht="22.95" customHeight="1" x14ac:dyDescent="0.3">
      <c r="A188" s="52" t="s">
        <v>254</v>
      </c>
      <c r="B188" s="44">
        <f t="shared" si="92"/>
        <v>77</v>
      </c>
      <c r="C188" s="39">
        <f t="shared" si="92"/>
        <v>3</v>
      </c>
      <c r="D188" s="39">
        <f t="shared" si="92"/>
        <v>59</v>
      </c>
      <c r="E188" s="39">
        <f t="shared" si="92"/>
        <v>15</v>
      </c>
      <c r="F188" s="39">
        <f t="shared" si="92"/>
        <v>56</v>
      </c>
      <c r="G188" s="50">
        <f t="shared" si="86"/>
        <v>210</v>
      </c>
      <c r="H188" s="44">
        <f t="shared" ref="H188:L188" si="101">H82+H83+H84+H85</f>
        <v>0</v>
      </c>
      <c r="I188" s="39">
        <f t="shared" si="101"/>
        <v>0</v>
      </c>
      <c r="J188" s="39">
        <f t="shared" si="101"/>
        <v>0</v>
      </c>
      <c r="K188" s="45">
        <f t="shared" si="101"/>
        <v>0</v>
      </c>
      <c r="L188" s="144">
        <f t="shared" si="101"/>
        <v>0</v>
      </c>
      <c r="M188" s="50">
        <f t="shared" si="89"/>
        <v>0</v>
      </c>
      <c r="N188" s="40">
        <f t="shared" si="90"/>
        <v>210</v>
      </c>
      <c r="O188" s="43">
        <f t="shared" si="91"/>
        <v>464</v>
      </c>
    </row>
    <row r="189" spans="1:15" ht="22.95" customHeight="1" x14ac:dyDescent="0.3">
      <c r="A189" s="52" t="s">
        <v>255</v>
      </c>
      <c r="B189" s="44">
        <f t="shared" si="92"/>
        <v>68</v>
      </c>
      <c r="C189" s="39">
        <f t="shared" si="92"/>
        <v>2</v>
      </c>
      <c r="D189" s="39">
        <f t="shared" si="92"/>
        <v>70</v>
      </c>
      <c r="E189" s="39">
        <f t="shared" si="92"/>
        <v>20</v>
      </c>
      <c r="F189" s="39">
        <f t="shared" si="92"/>
        <v>58</v>
      </c>
      <c r="G189" s="50">
        <f t="shared" si="86"/>
        <v>218</v>
      </c>
      <c r="H189" s="44">
        <f t="shared" ref="H189:L189" si="102">H83+H84+H85+H86</f>
        <v>0</v>
      </c>
      <c r="I189" s="39">
        <f t="shared" si="102"/>
        <v>0</v>
      </c>
      <c r="J189" s="39">
        <f t="shared" si="102"/>
        <v>0</v>
      </c>
      <c r="K189" s="45">
        <f t="shared" si="102"/>
        <v>0</v>
      </c>
      <c r="L189" s="144">
        <f t="shared" si="102"/>
        <v>0</v>
      </c>
      <c r="M189" s="50">
        <f t="shared" si="89"/>
        <v>0</v>
      </c>
      <c r="N189" s="40">
        <f t="shared" si="90"/>
        <v>218</v>
      </c>
      <c r="O189" s="43">
        <f t="shared" si="91"/>
        <v>495</v>
      </c>
    </row>
    <row r="190" spans="1:15" ht="22.95" customHeight="1" x14ac:dyDescent="0.3">
      <c r="A190" s="52" t="s">
        <v>256</v>
      </c>
      <c r="B190" s="44">
        <f t="shared" si="92"/>
        <v>57</v>
      </c>
      <c r="C190" s="39">
        <f t="shared" si="92"/>
        <v>6</v>
      </c>
      <c r="D190" s="39">
        <f t="shared" si="92"/>
        <v>64</v>
      </c>
      <c r="E190" s="39">
        <f t="shared" si="92"/>
        <v>25</v>
      </c>
      <c r="F190" s="39">
        <f t="shared" si="92"/>
        <v>62</v>
      </c>
      <c r="G190" s="50">
        <f t="shared" si="86"/>
        <v>214</v>
      </c>
      <c r="H190" s="44">
        <f t="shared" ref="H190:L190" si="103">H84+H85+H86+H87</f>
        <v>0</v>
      </c>
      <c r="I190" s="39">
        <f t="shared" si="103"/>
        <v>0</v>
      </c>
      <c r="J190" s="39">
        <f t="shared" si="103"/>
        <v>0</v>
      </c>
      <c r="K190" s="45">
        <f t="shared" si="103"/>
        <v>0</v>
      </c>
      <c r="L190" s="144">
        <f t="shared" si="103"/>
        <v>0</v>
      </c>
      <c r="M190" s="50">
        <f t="shared" si="89"/>
        <v>0</v>
      </c>
      <c r="N190" s="40">
        <f t="shared" si="90"/>
        <v>214</v>
      </c>
      <c r="O190" s="43">
        <f t="shared" si="91"/>
        <v>510</v>
      </c>
    </row>
    <row r="191" spans="1:15" ht="22.95" customHeight="1" x14ac:dyDescent="0.3">
      <c r="A191" s="52" t="s">
        <v>257</v>
      </c>
      <c r="B191" s="44">
        <f t="shared" si="92"/>
        <v>53</v>
      </c>
      <c r="C191" s="39">
        <f t="shared" si="92"/>
        <v>9</v>
      </c>
      <c r="D191" s="39">
        <f t="shared" si="92"/>
        <v>57</v>
      </c>
      <c r="E191" s="39">
        <f t="shared" si="92"/>
        <v>22</v>
      </c>
      <c r="F191" s="39">
        <f t="shared" si="92"/>
        <v>66</v>
      </c>
      <c r="G191" s="50">
        <f t="shared" si="86"/>
        <v>207</v>
      </c>
      <c r="H191" s="44">
        <f t="shared" ref="H191:L191" si="104">H85+H86+H87+H88</f>
        <v>0</v>
      </c>
      <c r="I191" s="39">
        <f t="shared" si="104"/>
        <v>0</v>
      </c>
      <c r="J191" s="39">
        <f t="shared" si="104"/>
        <v>0</v>
      </c>
      <c r="K191" s="45">
        <f t="shared" si="104"/>
        <v>0</v>
      </c>
      <c r="L191" s="144">
        <f t="shared" si="104"/>
        <v>0</v>
      </c>
      <c r="M191" s="50">
        <f t="shared" si="89"/>
        <v>0</v>
      </c>
      <c r="N191" s="40">
        <f t="shared" si="90"/>
        <v>207</v>
      </c>
      <c r="O191" s="43">
        <f t="shared" si="91"/>
        <v>506</v>
      </c>
    </row>
    <row r="192" spans="1:15" ht="22.95" customHeight="1" x14ac:dyDescent="0.3">
      <c r="A192" s="52" t="s">
        <v>258</v>
      </c>
      <c r="B192" s="44">
        <f t="shared" si="92"/>
        <v>52</v>
      </c>
      <c r="C192" s="39">
        <f t="shared" si="92"/>
        <v>10</v>
      </c>
      <c r="D192" s="39">
        <f t="shared" si="92"/>
        <v>53</v>
      </c>
      <c r="E192" s="39">
        <f t="shared" si="92"/>
        <v>20</v>
      </c>
      <c r="F192" s="39">
        <f t="shared" si="92"/>
        <v>66</v>
      </c>
      <c r="G192" s="50">
        <f t="shared" si="86"/>
        <v>201</v>
      </c>
      <c r="H192" s="44">
        <f t="shared" ref="H192:L192" si="105">H86+H87+H88+H89</f>
        <v>0</v>
      </c>
      <c r="I192" s="39">
        <f t="shared" si="105"/>
        <v>0</v>
      </c>
      <c r="J192" s="39">
        <f t="shared" si="105"/>
        <v>0</v>
      </c>
      <c r="K192" s="45">
        <f t="shared" si="105"/>
        <v>0</v>
      </c>
      <c r="L192" s="144">
        <f t="shared" si="105"/>
        <v>0</v>
      </c>
      <c r="M192" s="50">
        <f t="shared" si="89"/>
        <v>0</v>
      </c>
      <c r="N192" s="40">
        <f t="shared" si="90"/>
        <v>201</v>
      </c>
      <c r="O192" s="43">
        <f t="shared" si="91"/>
        <v>493.5</v>
      </c>
    </row>
    <row r="193" spans="1:15" ht="22.95" customHeight="1" x14ac:dyDescent="0.3">
      <c r="A193" s="52" t="s">
        <v>259</v>
      </c>
      <c r="B193" s="44">
        <f t="shared" si="92"/>
        <v>52</v>
      </c>
      <c r="C193" s="39">
        <f t="shared" si="92"/>
        <v>11</v>
      </c>
      <c r="D193" s="39">
        <f t="shared" si="92"/>
        <v>48</v>
      </c>
      <c r="E193" s="39">
        <f t="shared" si="92"/>
        <v>15</v>
      </c>
      <c r="F193" s="39">
        <f t="shared" si="92"/>
        <v>65</v>
      </c>
      <c r="G193" s="50">
        <f t="shared" si="86"/>
        <v>191</v>
      </c>
      <c r="H193" s="44">
        <f t="shared" ref="H193:L193" si="106">H87+H88+H89+H90</f>
        <v>0</v>
      </c>
      <c r="I193" s="39">
        <f t="shared" si="106"/>
        <v>0</v>
      </c>
      <c r="J193" s="39">
        <f t="shared" si="106"/>
        <v>0</v>
      </c>
      <c r="K193" s="45">
        <f t="shared" si="106"/>
        <v>0</v>
      </c>
      <c r="L193" s="144">
        <f t="shared" si="106"/>
        <v>0</v>
      </c>
      <c r="M193" s="50">
        <f t="shared" si="89"/>
        <v>0</v>
      </c>
      <c r="N193" s="40">
        <f t="shared" si="90"/>
        <v>191</v>
      </c>
      <c r="O193" s="43">
        <f t="shared" si="91"/>
        <v>467</v>
      </c>
    </row>
    <row r="194" spans="1:15" ht="22.95" customHeight="1" x14ac:dyDescent="0.3">
      <c r="A194" s="52" t="s">
        <v>260</v>
      </c>
      <c r="B194" s="44">
        <f t="shared" si="92"/>
        <v>47</v>
      </c>
      <c r="C194" s="39">
        <f t="shared" si="92"/>
        <v>9</v>
      </c>
      <c r="D194" s="39">
        <f t="shared" si="92"/>
        <v>47</v>
      </c>
      <c r="E194" s="39">
        <f t="shared" si="92"/>
        <v>13</v>
      </c>
      <c r="F194" s="39">
        <f t="shared" si="92"/>
        <v>65</v>
      </c>
      <c r="G194" s="50">
        <f t="shared" si="86"/>
        <v>181</v>
      </c>
      <c r="H194" s="44">
        <f t="shared" ref="H194:L194" si="107">H88+H89+H90+H91</f>
        <v>0</v>
      </c>
      <c r="I194" s="39">
        <f t="shared" si="107"/>
        <v>0</v>
      </c>
      <c r="J194" s="39">
        <f t="shared" si="107"/>
        <v>0</v>
      </c>
      <c r="K194" s="45">
        <f t="shared" si="107"/>
        <v>0</v>
      </c>
      <c r="L194" s="144">
        <f t="shared" si="107"/>
        <v>0</v>
      </c>
      <c r="M194" s="50">
        <f t="shared" si="89"/>
        <v>0</v>
      </c>
      <c r="N194" s="40">
        <f t="shared" si="90"/>
        <v>181</v>
      </c>
      <c r="O194" s="43">
        <f t="shared" si="91"/>
        <v>453.5</v>
      </c>
    </row>
    <row r="195" spans="1:15" ht="22.95" customHeight="1" x14ac:dyDescent="0.3">
      <c r="A195" s="52" t="s">
        <v>261</v>
      </c>
      <c r="B195" s="44">
        <f t="shared" si="92"/>
        <v>40</v>
      </c>
      <c r="C195" s="39">
        <f t="shared" si="92"/>
        <v>13</v>
      </c>
      <c r="D195" s="39">
        <f t="shared" si="92"/>
        <v>53</v>
      </c>
      <c r="E195" s="39">
        <f t="shared" si="92"/>
        <v>16</v>
      </c>
      <c r="F195" s="39">
        <f t="shared" si="92"/>
        <v>65</v>
      </c>
      <c r="G195" s="50">
        <f t="shared" si="86"/>
        <v>187</v>
      </c>
      <c r="H195" s="44">
        <f t="shared" ref="H195:L195" si="108">H89+H90+H91+H92</f>
        <v>0</v>
      </c>
      <c r="I195" s="39">
        <f t="shared" si="108"/>
        <v>0</v>
      </c>
      <c r="J195" s="39">
        <f t="shared" si="108"/>
        <v>0</v>
      </c>
      <c r="K195" s="45">
        <f t="shared" si="108"/>
        <v>0</v>
      </c>
      <c r="L195" s="144">
        <f t="shared" si="108"/>
        <v>0</v>
      </c>
      <c r="M195" s="50">
        <f t="shared" si="89"/>
        <v>0</v>
      </c>
      <c r="N195" s="40">
        <f t="shared" si="90"/>
        <v>187</v>
      </c>
      <c r="O195" s="43">
        <f t="shared" si="91"/>
        <v>466.5</v>
      </c>
    </row>
    <row r="196" spans="1:15" ht="22.95" customHeight="1" x14ac:dyDescent="0.3">
      <c r="A196" s="52" t="s">
        <v>270</v>
      </c>
      <c r="B196" s="44">
        <f t="shared" ref="B196:F206" si="109">B90+B91+B92+B93</f>
        <v>48</v>
      </c>
      <c r="C196" s="39">
        <f t="shared" si="109"/>
        <v>19</v>
      </c>
      <c r="D196" s="39">
        <f t="shared" si="109"/>
        <v>60</v>
      </c>
      <c r="E196" s="39">
        <f t="shared" si="109"/>
        <v>22</v>
      </c>
      <c r="F196" s="39">
        <f t="shared" si="109"/>
        <v>78</v>
      </c>
      <c r="G196" s="50">
        <f t="shared" si="86"/>
        <v>227</v>
      </c>
      <c r="H196" s="44">
        <f t="shared" ref="H196:L196" si="110">H90+H91+H92+H93</f>
        <v>0</v>
      </c>
      <c r="I196" s="39">
        <f t="shared" si="110"/>
        <v>0</v>
      </c>
      <c r="J196" s="39">
        <f t="shared" si="110"/>
        <v>0</v>
      </c>
      <c r="K196" s="45">
        <f t="shared" si="110"/>
        <v>0</v>
      </c>
      <c r="L196" s="144">
        <f t="shared" si="110"/>
        <v>0</v>
      </c>
      <c r="M196" s="50">
        <f t="shared" si="89"/>
        <v>0</v>
      </c>
      <c r="N196" s="40">
        <f t="shared" si="90"/>
        <v>227</v>
      </c>
      <c r="O196" s="43">
        <f t="shared" si="91"/>
        <v>564.5</v>
      </c>
    </row>
    <row r="197" spans="1:15" ht="22.95" customHeight="1" x14ac:dyDescent="0.3">
      <c r="A197" s="52" t="s">
        <v>271</v>
      </c>
      <c r="B197" s="44">
        <f t="shared" si="109"/>
        <v>56</v>
      </c>
      <c r="C197" s="39">
        <f t="shared" si="109"/>
        <v>25</v>
      </c>
      <c r="D197" s="39">
        <f t="shared" si="109"/>
        <v>59</v>
      </c>
      <c r="E197" s="39">
        <f t="shared" si="109"/>
        <v>22</v>
      </c>
      <c r="F197" s="39">
        <f t="shared" si="109"/>
        <v>84</v>
      </c>
      <c r="G197" s="50">
        <f t="shared" si="86"/>
        <v>246</v>
      </c>
      <c r="H197" s="44">
        <f t="shared" ref="H197:L197" si="111">H91+H92+H93+H94</f>
        <v>0</v>
      </c>
      <c r="I197" s="39">
        <f t="shared" si="111"/>
        <v>0</v>
      </c>
      <c r="J197" s="39">
        <f t="shared" si="111"/>
        <v>0</v>
      </c>
      <c r="K197" s="45">
        <f t="shared" si="111"/>
        <v>0</v>
      </c>
      <c r="L197" s="144">
        <f t="shared" si="111"/>
        <v>0</v>
      </c>
      <c r="M197" s="50">
        <f t="shared" si="89"/>
        <v>0</v>
      </c>
      <c r="N197" s="40">
        <f t="shared" si="90"/>
        <v>246</v>
      </c>
      <c r="O197" s="43">
        <f t="shared" si="91"/>
        <v>601</v>
      </c>
    </row>
    <row r="198" spans="1:15" ht="22.95" customHeight="1" x14ac:dyDescent="0.3">
      <c r="A198" s="52" t="s">
        <v>279</v>
      </c>
      <c r="B198" s="44">
        <f t="shared" si="109"/>
        <v>67</v>
      </c>
      <c r="C198" s="39">
        <f t="shared" si="109"/>
        <v>26</v>
      </c>
      <c r="D198" s="39">
        <f t="shared" si="109"/>
        <v>60</v>
      </c>
      <c r="E198" s="39">
        <f t="shared" si="109"/>
        <v>19</v>
      </c>
      <c r="F198" s="39">
        <f t="shared" si="109"/>
        <v>90</v>
      </c>
      <c r="G198" s="50">
        <f t="shared" si="86"/>
        <v>262</v>
      </c>
      <c r="H198" s="44">
        <f t="shared" ref="H198:L198" si="112">H92+H93+H94+H95</f>
        <v>0</v>
      </c>
      <c r="I198" s="39">
        <f t="shared" si="112"/>
        <v>0</v>
      </c>
      <c r="J198" s="39">
        <f t="shared" si="112"/>
        <v>0</v>
      </c>
      <c r="K198" s="45">
        <f t="shared" si="112"/>
        <v>0</v>
      </c>
      <c r="L198" s="144">
        <f t="shared" si="112"/>
        <v>0</v>
      </c>
      <c r="M198" s="50">
        <f t="shared" si="89"/>
        <v>0</v>
      </c>
      <c r="N198" s="40">
        <f t="shared" si="90"/>
        <v>262</v>
      </c>
      <c r="O198" s="43">
        <f t="shared" si="91"/>
        <v>632</v>
      </c>
    </row>
    <row r="199" spans="1:15" ht="22.95" customHeight="1" x14ac:dyDescent="0.3">
      <c r="A199" s="52" t="s">
        <v>62</v>
      </c>
      <c r="B199" s="44">
        <f t="shared" si="109"/>
        <v>85</v>
      </c>
      <c r="C199" s="39">
        <f t="shared" si="109"/>
        <v>34</v>
      </c>
      <c r="D199" s="39">
        <f t="shared" si="109"/>
        <v>56</v>
      </c>
      <c r="E199" s="39">
        <f t="shared" si="109"/>
        <v>17</v>
      </c>
      <c r="F199" s="39">
        <f t="shared" si="109"/>
        <v>96</v>
      </c>
      <c r="G199" s="50">
        <f t="shared" si="86"/>
        <v>288</v>
      </c>
      <c r="H199" s="44">
        <f t="shared" ref="H199:L199" si="113">H93+H94+H95+H96</f>
        <v>0</v>
      </c>
      <c r="I199" s="39">
        <f t="shared" si="113"/>
        <v>0</v>
      </c>
      <c r="J199" s="39">
        <f t="shared" si="113"/>
        <v>0</v>
      </c>
      <c r="K199" s="45">
        <f t="shared" si="113"/>
        <v>0</v>
      </c>
      <c r="L199" s="144">
        <f t="shared" si="113"/>
        <v>0</v>
      </c>
      <c r="M199" s="50">
        <f t="shared" si="89"/>
        <v>0</v>
      </c>
      <c r="N199" s="40">
        <f t="shared" si="90"/>
        <v>288</v>
      </c>
      <c r="O199" s="43">
        <f t="shared" si="91"/>
        <v>669</v>
      </c>
    </row>
    <row r="200" spans="1:15" ht="22.95" customHeight="1" x14ac:dyDescent="0.3">
      <c r="A200" s="52" t="s">
        <v>63</v>
      </c>
      <c r="B200" s="44">
        <f t="shared" si="109"/>
        <v>86</v>
      </c>
      <c r="C200" s="39">
        <f t="shared" si="109"/>
        <v>44</v>
      </c>
      <c r="D200" s="39">
        <f t="shared" si="109"/>
        <v>42</v>
      </c>
      <c r="E200" s="39">
        <f t="shared" si="109"/>
        <v>14</v>
      </c>
      <c r="F200" s="39">
        <f t="shared" si="109"/>
        <v>79</v>
      </c>
      <c r="G200" s="50">
        <f t="shared" si="86"/>
        <v>265</v>
      </c>
      <c r="H200" s="44">
        <f t="shared" ref="H200:L200" si="114">H94+H95+H96+H97</f>
        <v>0</v>
      </c>
      <c r="I200" s="39">
        <f t="shared" si="114"/>
        <v>0</v>
      </c>
      <c r="J200" s="39">
        <f t="shared" si="114"/>
        <v>0</v>
      </c>
      <c r="K200" s="45">
        <f t="shared" si="114"/>
        <v>0</v>
      </c>
      <c r="L200" s="144">
        <f t="shared" si="114"/>
        <v>0</v>
      </c>
      <c r="M200" s="50">
        <f t="shared" si="89"/>
        <v>0</v>
      </c>
      <c r="N200" s="40">
        <f t="shared" si="90"/>
        <v>265</v>
      </c>
      <c r="O200" s="43">
        <f t="shared" si="91"/>
        <v>568.5</v>
      </c>
    </row>
    <row r="201" spans="1:15" ht="22.95" customHeight="1" x14ac:dyDescent="0.3">
      <c r="A201" s="52" t="s">
        <v>64</v>
      </c>
      <c r="B201" s="44">
        <f t="shared" si="109"/>
        <v>99</v>
      </c>
      <c r="C201" s="39">
        <f t="shared" si="109"/>
        <v>53</v>
      </c>
      <c r="D201" s="39">
        <f t="shared" si="109"/>
        <v>37</v>
      </c>
      <c r="E201" s="39">
        <f t="shared" si="109"/>
        <v>17</v>
      </c>
      <c r="F201" s="39">
        <f t="shared" si="109"/>
        <v>74</v>
      </c>
      <c r="G201" s="50">
        <f t="shared" si="86"/>
        <v>280</v>
      </c>
      <c r="H201" s="44">
        <f t="shared" ref="H201:L201" si="115">H95+H96+H97+H98</f>
        <v>0</v>
      </c>
      <c r="I201" s="39">
        <f t="shared" si="115"/>
        <v>0</v>
      </c>
      <c r="J201" s="39">
        <f t="shared" si="115"/>
        <v>0</v>
      </c>
      <c r="K201" s="45">
        <f t="shared" si="115"/>
        <v>0</v>
      </c>
      <c r="L201" s="144">
        <f t="shared" si="115"/>
        <v>0</v>
      </c>
      <c r="M201" s="50">
        <f t="shared" si="89"/>
        <v>0</v>
      </c>
      <c r="N201" s="40">
        <f t="shared" si="90"/>
        <v>280</v>
      </c>
      <c r="O201" s="43">
        <f t="shared" si="91"/>
        <v>565</v>
      </c>
    </row>
    <row r="202" spans="1:15" ht="22.95" customHeight="1" x14ac:dyDescent="0.3">
      <c r="A202" s="52" t="s">
        <v>65</v>
      </c>
      <c r="B202" s="44">
        <f t="shared" si="109"/>
        <v>115</v>
      </c>
      <c r="C202" s="39">
        <f t="shared" si="109"/>
        <v>72</v>
      </c>
      <c r="D202" s="39">
        <f t="shared" si="109"/>
        <v>34</v>
      </c>
      <c r="E202" s="39">
        <f t="shared" si="109"/>
        <v>21</v>
      </c>
      <c r="F202" s="39">
        <f t="shared" si="109"/>
        <v>68</v>
      </c>
      <c r="G202" s="50">
        <f t="shared" si="86"/>
        <v>310</v>
      </c>
      <c r="H202" s="44">
        <f t="shared" ref="H202:L202" si="116">H96+H97+H98+H99</f>
        <v>0</v>
      </c>
      <c r="I202" s="39">
        <f t="shared" si="116"/>
        <v>0</v>
      </c>
      <c r="J202" s="39">
        <f t="shared" si="116"/>
        <v>0</v>
      </c>
      <c r="K202" s="45">
        <f t="shared" si="116"/>
        <v>0</v>
      </c>
      <c r="L202" s="144">
        <f t="shared" si="116"/>
        <v>0</v>
      </c>
      <c r="M202" s="50">
        <f t="shared" si="89"/>
        <v>0</v>
      </c>
      <c r="N202" s="40">
        <f t="shared" si="90"/>
        <v>310</v>
      </c>
      <c r="O202" s="43">
        <f t="shared" si="91"/>
        <v>571</v>
      </c>
    </row>
    <row r="203" spans="1:15" ht="22.95" customHeight="1" x14ac:dyDescent="0.3">
      <c r="A203" s="52" t="s">
        <v>66</v>
      </c>
      <c r="B203" s="44">
        <f t="shared" si="109"/>
        <v>124</v>
      </c>
      <c r="C203" s="39">
        <f t="shared" si="109"/>
        <v>76</v>
      </c>
      <c r="D203" s="39">
        <f t="shared" si="109"/>
        <v>34</v>
      </c>
      <c r="E203" s="39">
        <f t="shared" si="109"/>
        <v>25</v>
      </c>
      <c r="F203" s="39">
        <f t="shared" si="109"/>
        <v>68</v>
      </c>
      <c r="G203" s="50">
        <f t="shared" si="86"/>
        <v>327</v>
      </c>
      <c r="H203" s="44">
        <f t="shared" ref="H203:L203" si="117">H97+H98+H99+H100</f>
        <v>0</v>
      </c>
      <c r="I203" s="39">
        <f t="shared" si="117"/>
        <v>0</v>
      </c>
      <c r="J203" s="39">
        <f t="shared" si="117"/>
        <v>0</v>
      </c>
      <c r="K203" s="45">
        <f t="shared" si="117"/>
        <v>0</v>
      </c>
      <c r="L203" s="144">
        <f t="shared" si="117"/>
        <v>1</v>
      </c>
      <c r="M203" s="50">
        <f t="shared" si="89"/>
        <v>0</v>
      </c>
      <c r="N203" s="40">
        <f t="shared" si="90"/>
        <v>327</v>
      </c>
      <c r="O203" s="43">
        <f t="shared" si="91"/>
        <v>602</v>
      </c>
    </row>
    <row r="204" spans="1:15" ht="22.95" customHeight="1" x14ac:dyDescent="0.3">
      <c r="A204" s="52" t="s">
        <v>67</v>
      </c>
      <c r="B204" s="44">
        <f t="shared" si="109"/>
        <v>138</v>
      </c>
      <c r="C204" s="39">
        <f t="shared" si="109"/>
        <v>92</v>
      </c>
      <c r="D204" s="39">
        <f t="shared" si="109"/>
        <v>41</v>
      </c>
      <c r="E204" s="39">
        <f t="shared" si="109"/>
        <v>25</v>
      </c>
      <c r="F204" s="39">
        <f t="shared" si="109"/>
        <v>79</v>
      </c>
      <c r="G204" s="50">
        <f t="shared" si="86"/>
        <v>375</v>
      </c>
      <c r="H204" s="44">
        <f t="shared" ref="H204:L204" si="118">H98+H99+H100+H101</f>
        <v>0</v>
      </c>
      <c r="I204" s="39">
        <f t="shared" si="118"/>
        <v>0</v>
      </c>
      <c r="J204" s="39">
        <f t="shared" si="118"/>
        <v>0</v>
      </c>
      <c r="K204" s="45">
        <f t="shared" si="118"/>
        <v>0</v>
      </c>
      <c r="L204" s="144">
        <f t="shared" si="118"/>
        <v>1</v>
      </c>
      <c r="M204" s="50">
        <f t="shared" si="89"/>
        <v>0</v>
      </c>
      <c r="N204" s="40">
        <f t="shared" si="90"/>
        <v>375</v>
      </c>
      <c r="O204" s="43">
        <f t="shared" si="91"/>
        <v>684</v>
      </c>
    </row>
    <row r="205" spans="1:15" ht="22.95" customHeight="1" x14ac:dyDescent="0.3">
      <c r="A205" s="52" t="s">
        <v>68</v>
      </c>
      <c r="B205" s="44">
        <f t="shared" si="109"/>
        <v>128</v>
      </c>
      <c r="C205" s="39">
        <f t="shared" si="109"/>
        <v>109</v>
      </c>
      <c r="D205" s="39">
        <f t="shared" si="109"/>
        <v>35</v>
      </c>
      <c r="E205" s="39">
        <f t="shared" si="109"/>
        <v>24</v>
      </c>
      <c r="F205" s="39">
        <f t="shared" si="109"/>
        <v>73</v>
      </c>
      <c r="G205" s="50">
        <f t="shared" si="86"/>
        <v>369</v>
      </c>
      <c r="H205" s="44">
        <f t="shared" ref="H205:L205" si="119">H99+H100+H101+H102</f>
        <v>0</v>
      </c>
      <c r="I205" s="39">
        <f t="shared" si="119"/>
        <v>0</v>
      </c>
      <c r="J205" s="39">
        <f t="shared" si="119"/>
        <v>0</v>
      </c>
      <c r="K205" s="45">
        <f t="shared" si="119"/>
        <v>0</v>
      </c>
      <c r="L205" s="144">
        <f t="shared" si="119"/>
        <v>1</v>
      </c>
      <c r="M205" s="50">
        <f t="shared" si="89"/>
        <v>0</v>
      </c>
      <c r="N205" s="40">
        <f t="shared" si="90"/>
        <v>369</v>
      </c>
      <c r="O205" s="43">
        <f t="shared" si="91"/>
        <v>643.5</v>
      </c>
    </row>
    <row r="206" spans="1:15" ht="22.95" customHeight="1" thickBot="1" x14ac:dyDescent="0.35">
      <c r="A206" s="52" t="s">
        <v>69</v>
      </c>
      <c r="B206" s="46">
        <f t="shared" si="109"/>
        <v>129</v>
      </c>
      <c r="C206" s="47">
        <f t="shared" si="109"/>
        <v>120</v>
      </c>
      <c r="D206" s="47">
        <f t="shared" si="109"/>
        <v>41</v>
      </c>
      <c r="E206" s="47">
        <f t="shared" si="109"/>
        <v>20</v>
      </c>
      <c r="F206" s="47">
        <f t="shared" si="109"/>
        <v>73</v>
      </c>
      <c r="G206" s="50">
        <f t="shared" si="86"/>
        <v>383</v>
      </c>
      <c r="H206" s="44">
        <f t="shared" ref="H206:L206" si="120">H100+H101+H102+H103</f>
        <v>0</v>
      </c>
      <c r="I206" s="39">
        <f t="shared" si="120"/>
        <v>0</v>
      </c>
      <c r="J206" s="39">
        <f t="shared" si="120"/>
        <v>0</v>
      </c>
      <c r="K206" s="45">
        <f t="shared" si="120"/>
        <v>0</v>
      </c>
      <c r="L206" s="145">
        <f t="shared" si="120"/>
        <v>1</v>
      </c>
      <c r="M206" s="50">
        <f t="shared" si="89"/>
        <v>0</v>
      </c>
      <c r="N206" s="40">
        <f t="shared" si="90"/>
        <v>383</v>
      </c>
      <c r="O206" s="43">
        <f t="shared" si="91"/>
        <v>647</v>
      </c>
    </row>
  </sheetData>
  <mergeCells count="31">
    <mergeCell ref="A1:M1"/>
    <mergeCell ref="D6:D7"/>
    <mergeCell ref="E6:E7"/>
    <mergeCell ref="H6:H7"/>
    <mergeCell ref="I6:I7"/>
    <mergeCell ref="J6:J7"/>
    <mergeCell ref="K6:K7"/>
    <mergeCell ref="M6:M7"/>
    <mergeCell ref="A6:A7"/>
    <mergeCell ref="B6:B7"/>
    <mergeCell ref="F6:F7"/>
    <mergeCell ref="A112:A113"/>
    <mergeCell ref="C6:C7"/>
    <mergeCell ref="C112:C113"/>
    <mergeCell ref="D112:D113"/>
    <mergeCell ref="E112:E113"/>
    <mergeCell ref="B112:B113"/>
    <mergeCell ref="N6:N7"/>
    <mergeCell ref="O6:O7"/>
    <mergeCell ref="F112:F113"/>
    <mergeCell ref="G112:G113"/>
    <mergeCell ref="N112:N113"/>
    <mergeCell ref="O112:O113"/>
    <mergeCell ref="H112:H113"/>
    <mergeCell ref="I112:I113"/>
    <mergeCell ref="J112:J113"/>
    <mergeCell ref="K112:K113"/>
    <mergeCell ref="M112:M113"/>
    <mergeCell ref="L6:L7"/>
    <mergeCell ref="L112:L113"/>
    <mergeCell ref="G6:G7"/>
  </mergeCells>
  <pageMargins left="0.7" right="0.7" top="0.75" bottom="0.75" header="0.3" footer="0.3"/>
  <pageSetup paperSize="9" scale="28" orientation="portrait" r:id="rId1"/>
  <rowBreaks count="1" manualBreakCount="1">
    <brk id="106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9FFCC"/>
  </sheetPr>
  <dimension ref="A1:O206"/>
  <sheetViews>
    <sheetView view="pageBreakPreview" zoomScale="40" zoomScaleNormal="70" zoomScaleSheetLayoutView="40" workbookViewId="0">
      <selection activeCell="J70" sqref="J70"/>
    </sheetView>
  </sheetViews>
  <sheetFormatPr defaultColWidth="9" defaultRowHeight="15.6" x14ac:dyDescent="0.3"/>
  <cols>
    <col min="1" max="1" width="24" customWidth="1"/>
    <col min="2" max="2" width="13.8984375" customWidth="1"/>
    <col min="3" max="13" width="11.69921875" customWidth="1"/>
    <col min="14" max="14" width="11.8984375" customWidth="1"/>
  </cols>
  <sheetData>
    <row r="1" spans="1:15" x14ac:dyDescent="0.3">
      <c r="A1" s="247" t="s">
        <v>99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</row>
    <row r="2" spans="1:15" s="4" customFormat="1" x14ac:dyDescent="0.3">
      <c r="A2" s="4" t="s">
        <v>103</v>
      </c>
      <c r="B2" s="4" t="str">
        <f>Summary!B2</f>
        <v>TMC-14 Number (D2)</v>
      </c>
    </row>
    <row r="3" spans="1:15" s="4" customFormat="1" x14ac:dyDescent="0.3">
      <c r="A3" s="4" t="s">
        <v>102</v>
      </c>
      <c r="B3" s="4" t="str">
        <f>Summary!B3</f>
        <v>D2</v>
      </c>
    </row>
    <row r="4" spans="1:15" s="4" customFormat="1" x14ac:dyDescent="0.3">
      <c r="A4" s="4" t="s">
        <v>104</v>
      </c>
      <c r="B4" s="4" t="str">
        <f>Summary!J11</f>
        <v>Delhi</v>
      </c>
      <c r="D4" s="4" t="s">
        <v>1</v>
      </c>
      <c r="E4" s="4" t="str">
        <f>Summary!H6</f>
        <v>Nindar</v>
      </c>
    </row>
    <row r="5" spans="1:15" ht="16.2" thickBot="1" x14ac:dyDescent="0.35"/>
    <row r="6" spans="1:15" ht="25.2" customHeight="1" x14ac:dyDescent="0.3">
      <c r="A6" s="252" t="s">
        <v>95</v>
      </c>
      <c r="B6" s="250" t="s">
        <v>280</v>
      </c>
      <c r="C6" s="254" t="s">
        <v>281</v>
      </c>
      <c r="D6" s="250" t="s">
        <v>282</v>
      </c>
      <c r="E6" s="270" t="s">
        <v>283</v>
      </c>
      <c r="F6" s="250" t="s">
        <v>284</v>
      </c>
      <c r="G6" s="250" t="s">
        <v>129</v>
      </c>
      <c r="H6" s="248" t="s">
        <v>150</v>
      </c>
      <c r="I6" s="250" t="s">
        <v>151</v>
      </c>
      <c r="J6" s="250" t="s">
        <v>285</v>
      </c>
      <c r="K6" s="248" t="s">
        <v>286</v>
      </c>
      <c r="L6" s="250" t="s">
        <v>287</v>
      </c>
      <c r="M6" s="250" t="s">
        <v>78</v>
      </c>
      <c r="N6" s="250" t="s">
        <v>131</v>
      </c>
      <c r="O6" s="250" t="s">
        <v>132</v>
      </c>
    </row>
    <row r="7" spans="1:15" ht="43.5" customHeight="1" thickBot="1" x14ac:dyDescent="0.35">
      <c r="A7" s="262"/>
      <c r="B7" s="265"/>
      <c r="C7" s="264"/>
      <c r="D7" s="265"/>
      <c r="E7" s="271"/>
      <c r="F7" s="265"/>
      <c r="G7" s="259"/>
      <c r="H7" s="268"/>
      <c r="I7" s="265"/>
      <c r="J7" s="265"/>
      <c r="K7" s="268"/>
      <c r="L7" s="265"/>
      <c r="M7" s="265"/>
      <c r="N7" s="251"/>
      <c r="O7" s="251"/>
    </row>
    <row r="8" spans="1:15" ht="22.5" customHeight="1" x14ac:dyDescent="0.3">
      <c r="A8" s="189" t="s">
        <v>177</v>
      </c>
      <c r="B8" s="192">
        <v>5</v>
      </c>
      <c r="C8" s="157">
        <v>4</v>
      </c>
      <c r="D8" s="157">
        <v>4</v>
      </c>
      <c r="E8" s="157">
        <v>1</v>
      </c>
      <c r="F8" s="193">
        <v>1</v>
      </c>
      <c r="G8" s="198">
        <f t="shared" ref="G8:G39" si="0">SUM(B8:F8)</f>
        <v>15</v>
      </c>
      <c r="H8" s="200">
        <v>0</v>
      </c>
      <c r="I8" s="201">
        <v>0</v>
      </c>
      <c r="J8" s="201">
        <v>0</v>
      </c>
      <c r="K8" s="201">
        <v>0</v>
      </c>
      <c r="L8" s="201">
        <v>0</v>
      </c>
      <c r="M8" s="202">
        <v>0</v>
      </c>
      <c r="N8" s="85">
        <f>G8+M8</f>
        <v>15</v>
      </c>
      <c r="O8" s="115">
        <f>B8*1+C8*0.5+D8*1.5+E8*3+F8*4.5+H8*0.5+I8*1.5+J8*3+K8*4+L8*8</f>
        <v>20.5</v>
      </c>
    </row>
    <row r="9" spans="1:15" ht="22.5" customHeight="1" x14ac:dyDescent="0.3">
      <c r="A9" s="190" t="s">
        <v>178</v>
      </c>
      <c r="B9" s="44">
        <v>4</v>
      </c>
      <c r="C9" s="39">
        <v>26</v>
      </c>
      <c r="D9" s="39">
        <v>0</v>
      </c>
      <c r="E9" s="39">
        <v>0</v>
      </c>
      <c r="F9" s="194">
        <v>1</v>
      </c>
      <c r="G9" s="196">
        <f t="shared" si="0"/>
        <v>31</v>
      </c>
      <c r="H9" s="203">
        <v>0</v>
      </c>
      <c r="I9" s="204">
        <v>0</v>
      </c>
      <c r="J9" s="204">
        <v>0</v>
      </c>
      <c r="K9" s="204">
        <v>0</v>
      </c>
      <c r="L9" s="204">
        <v>0</v>
      </c>
      <c r="M9" s="205">
        <v>0</v>
      </c>
      <c r="N9" s="85">
        <f t="shared" ref="N9:N72" si="1">G9+M9</f>
        <v>31</v>
      </c>
      <c r="O9" s="43">
        <f t="shared" ref="O9:O72" si="2">B9*1+C9*0.5+D9*1.5+E9*3+F9*4.5+H9*0.5+I9*1.5+J9*3+K9*4+L9*8</f>
        <v>21.5</v>
      </c>
    </row>
    <row r="10" spans="1:15" ht="22.5" customHeight="1" x14ac:dyDescent="0.3">
      <c r="A10" s="190" t="s">
        <v>179</v>
      </c>
      <c r="B10" s="44">
        <v>6</v>
      </c>
      <c r="C10" s="39">
        <v>8</v>
      </c>
      <c r="D10" s="39">
        <v>4</v>
      </c>
      <c r="E10" s="39">
        <v>0</v>
      </c>
      <c r="F10" s="194">
        <v>2</v>
      </c>
      <c r="G10" s="196">
        <f t="shared" si="0"/>
        <v>20</v>
      </c>
      <c r="H10" s="203">
        <v>0</v>
      </c>
      <c r="I10" s="204">
        <v>0</v>
      </c>
      <c r="J10" s="204">
        <v>0</v>
      </c>
      <c r="K10" s="204">
        <v>0</v>
      </c>
      <c r="L10" s="204">
        <v>0</v>
      </c>
      <c r="M10" s="205">
        <v>0</v>
      </c>
      <c r="N10" s="85">
        <f t="shared" si="1"/>
        <v>20</v>
      </c>
      <c r="O10" s="43">
        <f t="shared" si="2"/>
        <v>25</v>
      </c>
    </row>
    <row r="11" spans="1:15" ht="22.5" customHeight="1" x14ac:dyDescent="0.3">
      <c r="A11" s="190" t="s">
        <v>180</v>
      </c>
      <c r="B11" s="44">
        <v>19</v>
      </c>
      <c r="C11" s="39">
        <v>12</v>
      </c>
      <c r="D11" s="39">
        <v>4</v>
      </c>
      <c r="E11" s="39">
        <v>2</v>
      </c>
      <c r="F11" s="194">
        <v>2</v>
      </c>
      <c r="G11" s="196">
        <f t="shared" si="0"/>
        <v>39</v>
      </c>
      <c r="H11" s="203">
        <v>0</v>
      </c>
      <c r="I11" s="204">
        <v>0</v>
      </c>
      <c r="J11" s="204">
        <v>0</v>
      </c>
      <c r="K11" s="204">
        <v>0</v>
      </c>
      <c r="L11" s="204">
        <v>0</v>
      </c>
      <c r="M11" s="205">
        <v>0</v>
      </c>
      <c r="N11" s="85">
        <f t="shared" si="1"/>
        <v>39</v>
      </c>
      <c r="O11" s="43">
        <f t="shared" si="2"/>
        <v>46</v>
      </c>
    </row>
    <row r="12" spans="1:15" ht="22.5" customHeight="1" x14ac:dyDescent="0.3">
      <c r="A12" s="190" t="s">
        <v>181</v>
      </c>
      <c r="B12" s="44">
        <v>16</v>
      </c>
      <c r="C12" s="39">
        <v>9</v>
      </c>
      <c r="D12" s="39">
        <v>0</v>
      </c>
      <c r="E12" s="39">
        <v>1</v>
      </c>
      <c r="F12" s="194">
        <v>2</v>
      </c>
      <c r="G12" s="196">
        <f t="shared" si="0"/>
        <v>28</v>
      </c>
      <c r="H12" s="203">
        <v>0</v>
      </c>
      <c r="I12" s="204">
        <v>0</v>
      </c>
      <c r="J12" s="204">
        <v>0</v>
      </c>
      <c r="K12" s="204">
        <v>0</v>
      </c>
      <c r="L12" s="204">
        <v>0</v>
      </c>
      <c r="M12" s="205">
        <v>0</v>
      </c>
      <c r="N12" s="85">
        <f t="shared" si="1"/>
        <v>28</v>
      </c>
      <c r="O12" s="43">
        <f t="shared" si="2"/>
        <v>32.5</v>
      </c>
    </row>
    <row r="13" spans="1:15" ht="22.5" customHeight="1" x14ac:dyDescent="0.3">
      <c r="A13" s="190" t="s">
        <v>182</v>
      </c>
      <c r="B13" s="44">
        <v>16</v>
      </c>
      <c r="C13" s="39">
        <v>1</v>
      </c>
      <c r="D13" s="39">
        <v>2</v>
      </c>
      <c r="E13" s="39">
        <v>0</v>
      </c>
      <c r="F13" s="194">
        <v>0</v>
      </c>
      <c r="G13" s="196">
        <f t="shared" si="0"/>
        <v>19</v>
      </c>
      <c r="H13" s="203">
        <v>0</v>
      </c>
      <c r="I13" s="204">
        <v>0</v>
      </c>
      <c r="J13" s="204">
        <v>0</v>
      </c>
      <c r="K13" s="204">
        <v>0</v>
      </c>
      <c r="L13" s="204">
        <v>0</v>
      </c>
      <c r="M13" s="205">
        <v>0</v>
      </c>
      <c r="N13" s="85">
        <f t="shared" si="1"/>
        <v>19</v>
      </c>
      <c r="O13" s="43">
        <f t="shared" si="2"/>
        <v>19.5</v>
      </c>
    </row>
    <row r="14" spans="1:15" ht="22.5" customHeight="1" x14ac:dyDescent="0.3">
      <c r="A14" s="190" t="s">
        <v>183</v>
      </c>
      <c r="B14" s="44">
        <v>18</v>
      </c>
      <c r="C14" s="39">
        <v>2</v>
      </c>
      <c r="D14" s="39">
        <v>3</v>
      </c>
      <c r="E14" s="39">
        <v>0</v>
      </c>
      <c r="F14" s="194">
        <v>0</v>
      </c>
      <c r="G14" s="196">
        <f t="shared" si="0"/>
        <v>23</v>
      </c>
      <c r="H14" s="203">
        <v>0</v>
      </c>
      <c r="I14" s="204">
        <v>0</v>
      </c>
      <c r="J14" s="204">
        <v>0</v>
      </c>
      <c r="K14" s="204">
        <v>0</v>
      </c>
      <c r="L14" s="204">
        <v>0</v>
      </c>
      <c r="M14" s="205">
        <v>0</v>
      </c>
      <c r="N14" s="85">
        <f t="shared" si="1"/>
        <v>23</v>
      </c>
      <c r="O14" s="43">
        <f t="shared" si="2"/>
        <v>23.5</v>
      </c>
    </row>
    <row r="15" spans="1:15" ht="22.5" customHeight="1" x14ac:dyDescent="0.3">
      <c r="A15" s="190" t="s">
        <v>184</v>
      </c>
      <c r="B15" s="44">
        <v>23</v>
      </c>
      <c r="C15" s="39">
        <v>8</v>
      </c>
      <c r="D15" s="39">
        <v>1</v>
      </c>
      <c r="E15" s="39">
        <v>1</v>
      </c>
      <c r="F15" s="194">
        <v>4</v>
      </c>
      <c r="G15" s="196">
        <f t="shared" si="0"/>
        <v>37</v>
      </c>
      <c r="H15" s="203">
        <v>0</v>
      </c>
      <c r="I15" s="204">
        <v>0</v>
      </c>
      <c r="J15" s="204">
        <v>0</v>
      </c>
      <c r="K15" s="204">
        <v>0</v>
      </c>
      <c r="L15" s="204">
        <v>0</v>
      </c>
      <c r="M15" s="205">
        <v>0</v>
      </c>
      <c r="N15" s="85">
        <f t="shared" si="1"/>
        <v>37</v>
      </c>
      <c r="O15" s="43">
        <f t="shared" si="2"/>
        <v>49.5</v>
      </c>
    </row>
    <row r="16" spans="1:15" ht="22.5" customHeight="1" x14ac:dyDescent="0.3">
      <c r="A16" s="190" t="s">
        <v>185</v>
      </c>
      <c r="B16" s="44">
        <v>16</v>
      </c>
      <c r="C16" s="39">
        <v>8</v>
      </c>
      <c r="D16" s="39">
        <v>2</v>
      </c>
      <c r="E16" s="39">
        <v>0</v>
      </c>
      <c r="F16" s="194">
        <v>8</v>
      </c>
      <c r="G16" s="196">
        <f t="shared" si="0"/>
        <v>34</v>
      </c>
      <c r="H16" s="203">
        <v>0</v>
      </c>
      <c r="I16" s="204">
        <v>0</v>
      </c>
      <c r="J16" s="204">
        <v>0</v>
      </c>
      <c r="K16" s="204">
        <v>0</v>
      </c>
      <c r="L16" s="204">
        <v>0</v>
      </c>
      <c r="M16" s="205">
        <v>0</v>
      </c>
      <c r="N16" s="85">
        <f t="shared" si="1"/>
        <v>34</v>
      </c>
      <c r="O16" s="43">
        <f t="shared" si="2"/>
        <v>59</v>
      </c>
    </row>
    <row r="17" spans="1:15" ht="22.5" customHeight="1" x14ac:dyDescent="0.3">
      <c r="A17" s="190" t="s">
        <v>186</v>
      </c>
      <c r="B17" s="44">
        <v>15</v>
      </c>
      <c r="C17" s="39">
        <v>6</v>
      </c>
      <c r="D17" s="39">
        <v>2</v>
      </c>
      <c r="E17" s="39">
        <v>0</v>
      </c>
      <c r="F17" s="194">
        <v>5</v>
      </c>
      <c r="G17" s="196">
        <f t="shared" si="0"/>
        <v>28</v>
      </c>
      <c r="H17" s="203">
        <v>0</v>
      </c>
      <c r="I17" s="204">
        <v>0</v>
      </c>
      <c r="J17" s="204">
        <v>0</v>
      </c>
      <c r="K17" s="204">
        <v>0</v>
      </c>
      <c r="L17" s="204">
        <v>0</v>
      </c>
      <c r="M17" s="205">
        <v>0</v>
      </c>
      <c r="N17" s="85">
        <f t="shared" si="1"/>
        <v>28</v>
      </c>
      <c r="O17" s="43">
        <f t="shared" si="2"/>
        <v>43.5</v>
      </c>
    </row>
    <row r="18" spans="1:15" ht="22.5" customHeight="1" x14ac:dyDescent="0.3">
      <c r="A18" s="190" t="s">
        <v>187</v>
      </c>
      <c r="B18" s="44">
        <v>29</v>
      </c>
      <c r="C18" s="39">
        <v>1</v>
      </c>
      <c r="D18" s="39">
        <v>1</v>
      </c>
      <c r="E18" s="39">
        <v>0</v>
      </c>
      <c r="F18" s="194">
        <v>4</v>
      </c>
      <c r="G18" s="196">
        <f t="shared" si="0"/>
        <v>35</v>
      </c>
      <c r="H18" s="203">
        <v>0</v>
      </c>
      <c r="I18" s="204">
        <v>0</v>
      </c>
      <c r="J18" s="204">
        <v>0</v>
      </c>
      <c r="K18" s="204">
        <v>0</v>
      </c>
      <c r="L18" s="204">
        <v>1</v>
      </c>
      <c r="M18" s="205">
        <v>1</v>
      </c>
      <c r="N18" s="85">
        <f t="shared" si="1"/>
        <v>36</v>
      </c>
      <c r="O18" s="43">
        <f t="shared" si="2"/>
        <v>57</v>
      </c>
    </row>
    <row r="19" spans="1:15" ht="22.5" customHeight="1" x14ac:dyDescent="0.3">
      <c r="A19" s="190" t="s">
        <v>188</v>
      </c>
      <c r="B19" s="44">
        <v>18</v>
      </c>
      <c r="C19" s="39">
        <v>2</v>
      </c>
      <c r="D19" s="39">
        <v>1</v>
      </c>
      <c r="E19" s="39">
        <v>0</v>
      </c>
      <c r="F19" s="194">
        <v>2</v>
      </c>
      <c r="G19" s="196">
        <f t="shared" si="0"/>
        <v>23</v>
      </c>
      <c r="H19" s="203">
        <v>0</v>
      </c>
      <c r="I19" s="204">
        <v>0</v>
      </c>
      <c r="J19" s="204">
        <v>0</v>
      </c>
      <c r="K19" s="204">
        <v>0</v>
      </c>
      <c r="L19" s="204">
        <v>0</v>
      </c>
      <c r="M19" s="205">
        <v>0</v>
      </c>
      <c r="N19" s="85">
        <f t="shared" si="1"/>
        <v>23</v>
      </c>
      <c r="O19" s="43">
        <f t="shared" si="2"/>
        <v>29.5</v>
      </c>
    </row>
    <row r="20" spans="1:15" ht="22.5" customHeight="1" x14ac:dyDescent="0.3">
      <c r="A20" s="190" t="s">
        <v>189</v>
      </c>
      <c r="B20" s="44">
        <v>16</v>
      </c>
      <c r="C20" s="39">
        <v>0</v>
      </c>
      <c r="D20" s="39">
        <v>3</v>
      </c>
      <c r="E20" s="39">
        <v>2</v>
      </c>
      <c r="F20" s="194">
        <v>2</v>
      </c>
      <c r="G20" s="196">
        <f t="shared" si="0"/>
        <v>23</v>
      </c>
      <c r="H20" s="203">
        <v>0</v>
      </c>
      <c r="I20" s="204">
        <v>0</v>
      </c>
      <c r="J20" s="204">
        <v>0</v>
      </c>
      <c r="K20" s="204">
        <v>0</v>
      </c>
      <c r="L20" s="204">
        <v>0</v>
      </c>
      <c r="M20" s="205">
        <v>0</v>
      </c>
      <c r="N20" s="85">
        <f t="shared" si="1"/>
        <v>23</v>
      </c>
      <c r="O20" s="43">
        <f t="shared" si="2"/>
        <v>35.5</v>
      </c>
    </row>
    <row r="21" spans="1:15" ht="22.5" customHeight="1" x14ac:dyDescent="0.3">
      <c r="A21" s="190" t="s">
        <v>190</v>
      </c>
      <c r="B21" s="44">
        <v>22</v>
      </c>
      <c r="C21" s="39">
        <v>0</v>
      </c>
      <c r="D21" s="39">
        <v>2</v>
      </c>
      <c r="E21" s="39">
        <v>1</v>
      </c>
      <c r="F21" s="194">
        <v>2</v>
      </c>
      <c r="G21" s="196">
        <f t="shared" si="0"/>
        <v>27</v>
      </c>
      <c r="H21" s="203">
        <v>0</v>
      </c>
      <c r="I21" s="204">
        <v>0</v>
      </c>
      <c r="J21" s="204">
        <v>0</v>
      </c>
      <c r="K21" s="204">
        <v>0</v>
      </c>
      <c r="L21" s="204">
        <v>0</v>
      </c>
      <c r="M21" s="205">
        <v>0</v>
      </c>
      <c r="N21" s="85">
        <f t="shared" si="1"/>
        <v>27</v>
      </c>
      <c r="O21" s="43">
        <f t="shared" si="2"/>
        <v>37</v>
      </c>
    </row>
    <row r="22" spans="1:15" ht="22.5" customHeight="1" x14ac:dyDescent="0.3">
      <c r="A22" s="190" t="s">
        <v>191</v>
      </c>
      <c r="B22" s="44">
        <v>34</v>
      </c>
      <c r="C22" s="39">
        <v>0</v>
      </c>
      <c r="D22" s="39">
        <v>4</v>
      </c>
      <c r="E22" s="39">
        <v>0</v>
      </c>
      <c r="F22" s="194">
        <v>3</v>
      </c>
      <c r="G22" s="196">
        <f t="shared" si="0"/>
        <v>41</v>
      </c>
      <c r="H22" s="203">
        <v>0</v>
      </c>
      <c r="I22" s="204">
        <v>0</v>
      </c>
      <c r="J22" s="204">
        <v>0</v>
      </c>
      <c r="K22" s="204">
        <v>0</v>
      </c>
      <c r="L22" s="204">
        <v>0</v>
      </c>
      <c r="M22" s="205">
        <v>0</v>
      </c>
      <c r="N22" s="85">
        <f t="shared" si="1"/>
        <v>41</v>
      </c>
      <c r="O22" s="43">
        <f t="shared" si="2"/>
        <v>53.5</v>
      </c>
    </row>
    <row r="23" spans="1:15" ht="22.5" customHeight="1" x14ac:dyDescent="0.3">
      <c r="A23" s="190" t="s">
        <v>192</v>
      </c>
      <c r="B23" s="44">
        <v>21</v>
      </c>
      <c r="C23" s="39">
        <v>2</v>
      </c>
      <c r="D23" s="39">
        <v>2</v>
      </c>
      <c r="E23" s="39">
        <v>1</v>
      </c>
      <c r="F23" s="194">
        <v>1</v>
      </c>
      <c r="G23" s="196">
        <f t="shared" si="0"/>
        <v>27</v>
      </c>
      <c r="H23" s="203">
        <v>0</v>
      </c>
      <c r="I23" s="204">
        <v>0</v>
      </c>
      <c r="J23" s="204">
        <v>0</v>
      </c>
      <c r="K23" s="204">
        <v>0</v>
      </c>
      <c r="L23" s="204">
        <v>0</v>
      </c>
      <c r="M23" s="205">
        <v>0</v>
      </c>
      <c r="N23" s="85">
        <f t="shared" si="1"/>
        <v>27</v>
      </c>
      <c r="O23" s="43">
        <f t="shared" si="2"/>
        <v>32.5</v>
      </c>
    </row>
    <row r="24" spans="1:15" ht="22.5" customHeight="1" x14ac:dyDescent="0.3">
      <c r="A24" s="190" t="s">
        <v>193</v>
      </c>
      <c r="B24" s="44">
        <v>24</v>
      </c>
      <c r="C24" s="39">
        <v>16</v>
      </c>
      <c r="D24" s="39">
        <v>2</v>
      </c>
      <c r="E24" s="39">
        <v>0</v>
      </c>
      <c r="F24" s="194">
        <v>2</v>
      </c>
      <c r="G24" s="196">
        <f t="shared" si="0"/>
        <v>44</v>
      </c>
      <c r="H24" s="203">
        <v>0</v>
      </c>
      <c r="I24" s="204">
        <v>0</v>
      </c>
      <c r="J24" s="204">
        <v>0</v>
      </c>
      <c r="K24" s="204">
        <v>0</v>
      </c>
      <c r="L24" s="204">
        <v>0</v>
      </c>
      <c r="M24" s="205">
        <v>0</v>
      </c>
      <c r="N24" s="85">
        <f t="shared" si="1"/>
        <v>44</v>
      </c>
      <c r="O24" s="43">
        <f t="shared" si="2"/>
        <v>44</v>
      </c>
    </row>
    <row r="25" spans="1:15" ht="22.5" customHeight="1" x14ac:dyDescent="0.3">
      <c r="A25" s="190" t="s">
        <v>194</v>
      </c>
      <c r="B25" s="44">
        <v>29</v>
      </c>
      <c r="C25" s="39">
        <v>18</v>
      </c>
      <c r="D25" s="39">
        <v>1</v>
      </c>
      <c r="E25" s="39">
        <v>1</v>
      </c>
      <c r="F25" s="194">
        <v>1</v>
      </c>
      <c r="G25" s="196">
        <f t="shared" si="0"/>
        <v>50</v>
      </c>
      <c r="H25" s="203">
        <v>0</v>
      </c>
      <c r="I25" s="204">
        <v>0</v>
      </c>
      <c r="J25" s="204">
        <v>0</v>
      </c>
      <c r="K25" s="204">
        <v>0</v>
      </c>
      <c r="L25" s="204">
        <v>0</v>
      </c>
      <c r="M25" s="205">
        <v>0</v>
      </c>
      <c r="N25" s="85">
        <f t="shared" si="1"/>
        <v>50</v>
      </c>
      <c r="O25" s="43">
        <f t="shared" si="2"/>
        <v>47</v>
      </c>
    </row>
    <row r="26" spans="1:15" ht="22.5" customHeight="1" x14ac:dyDescent="0.3">
      <c r="A26" s="190" t="s">
        <v>195</v>
      </c>
      <c r="B26" s="44">
        <v>32</v>
      </c>
      <c r="C26" s="39">
        <v>19</v>
      </c>
      <c r="D26" s="39">
        <v>3</v>
      </c>
      <c r="E26" s="39">
        <v>0</v>
      </c>
      <c r="F26" s="194">
        <v>4</v>
      </c>
      <c r="G26" s="196">
        <f t="shared" si="0"/>
        <v>58</v>
      </c>
      <c r="H26" s="203">
        <v>0</v>
      </c>
      <c r="I26" s="204">
        <v>0</v>
      </c>
      <c r="J26" s="204">
        <v>0</v>
      </c>
      <c r="K26" s="204">
        <v>0</v>
      </c>
      <c r="L26" s="204">
        <v>1</v>
      </c>
      <c r="M26" s="205">
        <v>0</v>
      </c>
      <c r="N26" s="85">
        <f t="shared" si="1"/>
        <v>58</v>
      </c>
      <c r="O26" s="43">
        <f t="shared" si="2"/>
        <v>72</v>
      </c>
    </row>
    <row r="27" spans="1:15" ht="22.5" customHeight="1" x14ac:dyDescent="0.3">
      <c r="A27" s="190" t="s">
        <v>196</v>
      </c>
      <c r="B27" s="44">
        <v>31</v>
      </c>
      <c r="C27" s="39">
        <v>17</v>
      </c>
      <c r="D27" s="39">
        <v>2</v>
      </c>
      <c r="E27" s="39">
        <v>0</v>
      </c>
      <c r="F27" s="194">
        <v>2</v>
      </c>
      <c r="G27" s="196">
        <f t="shared" si="0"/>
        <v>52</v>
      </c>
      <c r="H27" s="203">
        <v>0</v>
      </c>
      <c r="I27" s="204">
        <v>0</v>
      </c>
      <c r="J27" s="204">
        <v>0</v>
      </c>
      <c r="K27" s="204">
        <v>0</v>
      </c>
      <c r="L27" s="204">
        <v>1</v>
      </c>
      <c r="M27" s="205">
        <v>0</v>
      </c>
      <c r="N27" s="85">
        <f t="shared" si="1"/>
        <v>52</v>
      </c>
      <c r="O27" s="43">
        <f t="shared" si="2"/>
        <v>59.5</v>
      </c>
    </row>
    <row r="28" spans="1:15" ht="22.5" customHeight="1" x14ac:dyDescent="0.3">
      <c r="A28" s="190" t="s">
        <v>197</v>
      </c>
      <c r="B28" s="44">
        <v>28</v>
      </c>
      <c r="C28" s="39">
        <v>21</v>
      </c>
      <c r="D28" s="39">
        <v>3</v>
      </c>
      <c r="E28" s="39">
        <v>1</v>
      </c>
      <c r="F28" s="194">
        <v>0</v>
      </c>
      <c r="G28" s="196">
        <f t="shared" si="0"/>
        <v>53</v>
      </c>
      <c r="H28" s="203">
        <v>0</v>
      </c>
      <c r="I28" s="204">
        <v>0</v>
      </c>
      <c r="J28" s="204">
        <v>0</v>
      </c>
      <c r="K28" s="204">
        <v>0</v>
      </c>
      <c r="L28" s="204">
        <v>0</v>
      </c>
      <c r="M28" s="205">
        <v>1</v>
      </c>
      <c r="N28" s="85">
        <f t="shared" si="1"/>
        <v>54</v>
      </c>
      <c r="O28" s="43">
        <f t="shared" si="2"/>
        <v>46</v>
      </c>
    </row>
    <row r="29" spans="1:15" ht="22.5" customHeight="1" x14ac:dyDescent="0.3">
      <c r="A29" s="190" t="s">
        <v>198</v>
      </c>
      <c r="B29" s="44">
        <v>21</v>
      </c>
      <c r="C29" s="39">
        <v>10</v>
      </c>
      <c r="D29" s="39">
        <v>4</v>
      </c>
      <c r="E29" s="39">
        <v>1</v>
      </c>
      <c r="F29" s="194">
        <v>2</v>
      </c>
      <c r="G29" s="196">
        <f t="shared" si="0"/>
        <v>38</v>
      </c>
      <c r="H29" s="203">
        <v>0</v>
      </c>
      <c r="I29" s="204">
        <v>0</v>
      </c>
      <c r="J29" s="204">
        <v>0</v>
      </c>
      <c r="K29" s="204">
        <v>0</v>
      </c>
      <c r="L29" s="204">
        <v>0</v>
      </c>
      <c r="M29" s="205">
        <v>0</v>
      </c>
      <c r="N29" s="85">
        <f t="shared" si="1"/>
        <v>38</v>
      </c>
      <c r="O29" s="43">
        <f t="shared" si="2"/>
        <v>44</v>
      </c>
    </row>
    <row r="30" spans="1:15" ht="22.5" customHeight="1" x14ac:dyDescent="0.3">
      <c r="A30" s="190" t="s">
        <v>199</v>
      </c>
      <c r="B30" s="44">
        <v>20</v>
      </c>
      <c r="C30" s="39">
        <v>15</v>
      </c>
      <c r="D30" s="39">
        <v>6</v>
      </c>
      <c r="E30" s="39">
        <v>2</v>
      </c>
      <c r="F30" s="194">
        <v>3</v>
      </c>
      <c r="G30" s="196">
        <f t="shared" si="0"/>
        <v>46</v>
      </c>
      <c r="H30" s="203">
        <v>0</v>
      </c>
      <c r="I30" s="204">
        <v>0</v>
      </c>
      <c r="J30" s="204">
        <v>0</v>
      </c>
      <c r="K30" s="204">
        <v>0</v>
      </c>
      <c r="L30" s="204">
        <v>0</v>
      </c>
      <c r="M30" s="205">
        <v>0</v>
      </c>
      <c r="N30" s="85">
        <f t="shared" si="1"/>
        <v>46</v>
      </c>
      <c r="O30" s="43">
        <f t="shared" si="2"/>
        <v>56</v>
      </c>
    </row>
    <row r="31" spans="1:15" ht="22.5" customHeight="1" x14ac:dyDescent="0.3">
      <c r="A31" s="190" t="s">
        <v>200</v>
      </c>
      <c r="B31" s="44">
        <v>23</v>
      </c>
      <c r="C31" s="39">
        <v>14</v>
      </c>
      <c r="D31" s="39">
        <v>3</v>
      </c>
      <c r="E31" s="39">
        <v>2</v>
      </c>
      <c r="F31" s="194">
        <v>1</v>
      </c>
      <c r="G31" s="196">
        <f t="shared" si="0"/>
        <v>43</v>
      </c>
      <c r="H31" s="203">
        <v>0</v>
      </c>
      <c r="I31" s="204">
        <v>0</v>
      </c>
      <c r="J31" s="204">
        <v>0</v>
      </c>
      <c r="K31" s="204">
        <v>0</v>
      </c>
      <c r="L31" s="204">
        <v>0</v>
      </c>
      <c r="M31" s="205">
        <v>0</v>
      </c>
      <c r="N31" s="85">
        <f t="shared" si="1"/>
        <v>43</v>
      </c>
      <c r="O31" s="43">
        <f t="shared" si="2"/>
        <v>45</v>
      </c>
    </row>
    <row r="32" spans="1:15" ht="22.5" customHeight="1" x14ac:dyDescent="0.3">
      <c r="A32" s="190" t="s">
        <v>201</v>
      </c>
      <c r="B32" s="44">
        <v>17</v>
      </c>
      <c r="C32" s="39">
        <v>15</v>
      </c>
      <c r="D32" s="39">
        <v>6</v>
      </c>
      <c r="E32" s="39">
        <v>1</v>
      </c>
      <c r="F32" s="194">
        <v>1</v>
      </c>
      <c r="G32" s="196">
        <f t="shared" si="0"/>
        <v>40</v>
      </c>
      <c r="H32" s="203">
        <v>0</v>
      </c>
      <c r="I32" s="204">
        <v>0</v>
      </c>
      <c r="J32" s="204">
        <v>0</v>
      </c>
      <c r="K32" s="204">
        <v>0</v>
      </c>
      <c r="L32" s="204">
        <v>0</v>
      </c>
      <c r="M32" s="205">
        <v>0</v>
      </c>
      <c r="N32" s="85">
        <f t="shared" si="1"/>
        <v>40</v>
      </c>
      <c r="O32" s="43">
        <f t="shared" si="2"/>
        <v>41</v>
      </c>
    </row>
    <row r="33" spans="1:15" ht="22.5" customHeight="1" x14ac:dyDescent="0.3">
      <c r="A33" s="190" t="s">
        <v>202</v>
      </c>
      <c r="B33" s="44">
        <v>21</v>
      </c>
      <c r="C33" s="39">
        <v>16</v>
      </c>
      <c r="D33" s="39">
        <v>3</v>
      </c>
      <c r="E33" s="39">
        <v>0</v>
      </c>
      <c r="F33" s="194">
        <v>0</v>
      </c>
      <c r="G33" s="196">
        <f t="shared" si="0"/>
        <v>40</v>
      </c>
      <c r="H33" s="203">
        <v>0</v>
      </c>
      <c r="I33" s="204">
        <v>0</v>
      </c>
      <c r="J33" s="204">
        <v>0</v>
      </c>
      <c r="K33" s="204">
        <v>0</v>
      </c>
      <c r="L33" s="204">
        <v>0</v>
      </c>
      <c r="M33" s="205">
        <v>1</v>
      </c>
      <c r="N33" s="85">
        <f t="shared" si="1"/>
        <v>41</v>
      </c>
      <c r="O33" s="43">
        <f t="shared" si="2"/>
        <v>33.5</v>
      </c>
    </row>
    <row r="34" spans="1:15" ht="22.5" customHeight="1" x14ac:dyDescent="0.3">
      <c r="A34" s="190" t="s">
        <v>203</v>
      </c>
      <c r="B34" s="44">
        <v>22</v>
      </c>
      <c r="C34" s="39">
        <v>12</v>
      </c>
      <c r="D34" s="39">
        <v>4</v>
      </c>
      <c r="E34" s="39">
        <v>2</v>
      </c>
      <c r="F34" s="194">
        <v>1</v>
      </c>
      <c r="G34" s="196">
        <f t="shared" si="0"/>
        <v>41</v>
      </c>
      <c r="H34" s="203">
        <v>0</v>
      </c>
      <c r="I34" s="204">
        <v>0</v>
      </c>
      <c r="J34" s="204">
        <v>0</v>
      </c>
      <c r="K34" s="204">
        <v>0</v>
      </c>
      <c r="L34" s="204">
        <v>0</v>
      </c>
      <c r="M34" s="205">
        <v>0</v>
      </c>
      <c r="N34" s="85">
        <f t="shared" si="1"/>
        <v>41</v>
      </c>
      <c r="O34" s="43">
        <f t="shared" si="2"/>
        <v>44.5</v>
      </c>
    </row>
    <row r="35" spans="1:15" ht="22.5" customHeight="1" x14ac:dyDescent="0.3">
      <c r="A35" s="190" t="s">
        <v>204</v>
      </c>
      <c r="B35" s="44">
        <v>14</v>
      </c>
      <c r="C35" s="39">
        <v>13</v>
      </c>
      <c r="D35" s="39">
        <v>4</v>
      </c>
      <c r="E35" s="39">
        <v>2</v>
      </c>
      <c r="F35" s="194">
        <v>3</v>
      </c>
      <c r="G35" s="196">
        <f t="shared" si="0"/>
        <v>36</v>
      </c>
      <c r="H35" s="203">
        <v>0</v>
      </c>
      <c r="I35" s="204">
        <v>0</v>
      </c>
      <c r="J35" s="204">
        <v>0</v>
      </c>
      <c r="K35" s="204">
        <v>0</v>
      </c>
      <c r="L35" s="204">
        <v>0</v>
      </c>
      <c r="M35" s="205">
        <v>0</v>
      </c>
      <c r="N35" s="85">
        <f t="shared" si="1"/>
        <v>36</v>
      </c>
      <c r="O35" s="43">
        <f t="shared" si="2"/>
        <v>46</v>
      </c>
    </row>
    <row r="36" spans="1:15" ht="22.5" customHeight="1" x14ac:dyDescent="0.3">
      <c r="A36" s="190" t="s">
        <v>205</v>
      </c>
      <c r="B36" s="44">
        <v>14</v>
      </c>
      <c r="C36" s="39">
        <v>13</v>
      </c>
      <c r="D36" s="39">
        <v>4</v>
      </c>
      <c r="E36" s="39">
        <v>0</v>
      </c>
      <c r="F36" s="194">
        <v>0</v>
      </c>
      <c r="G36" s="196">
        <f t="shared" si="0"/>
        <v>31</v>
      </c>
      <c r="H36" s="203">
        <v>0</v>
      </c>
      <c r="I36" s="204">
        <v>0</v>
      </c>
      <c r="J36" s="204">
        <v>0</v>
      </c>
      <c r="K36" s="204">
        <v>0</v>
      </c>
      <c r="L36" s="204">
        <v>0</v>
      </c>
      <c r="M36" s="205">
        <v>0</v>
      </c>
      <c r="N36" s="85">
        <f t="shared" si="1"/>
        <v>31</v>
      </c>
      <c r="O36" s="43">
        <f t="shared" si="2"/>
        <v>26.5</v>
      </c>
    </row>
    <row r="37" spans="1:15" ht="22.5" customHeight="1" x14ac:dyDescent="0.3">
      <c r="A37" s="190" t="s">
        <v>206</v>
      </c>
      <c r="B37" s="44">
        <v>15</v>
      </c>
      <c r="C37" s="39">
        <v>13</v>
      </c>
      <c r="D37" s="39">
        <v>2</v>
      </c>
      <c r="E37" s="39">
        <v>1</v>
      </c>
      <c r="F37" s="194">
        <v>2</v>
      </c>
      <c r="G37" s="196">
        <f t="shared" si="0"/>
        <v>33</v>
      </c>
      <c r="H37" s="203">
        <v>0</v>
      </c>
      <c r="I37" s="204">
        <v>0</v>
      </c>
      <c r="J37" s="204">
        <v>0</v>
      </c>
      <c r="K37" s="204">
        <v>0</v>
      </c>
      <c r="L37" s="204">
        <v>0</v>
      </c>
      <c r="M37" s="205">
        <v>0</v>
      </c>
      <c r="N37" s="85">
        <f t="shared" si="1"/>
        <v>33</v>
      </c>
      <c r="O37" s="43">
        <f t="shared" si="2"/>
        <v>36.5</v>
      </c>
    </row>
    <row r="38" spans="1:15" ht="22.5" customHeight="1" x14ac:dyDescent="0.3">
      <c r="A38" s="190" t="s">
        <v>207</v>
      </c>
      <c r="B38" s="44">
        <v>19</v>
      </c>
      <c r="C38" s="39">
        <v>11</v>
      </c>
      <c r="D38" s="39">
        <v>6</v>
      </c>
      <c r="E38" s="39">
        <v>0</v>
      </c>
      <c r="F38" s="194">
        <v>3</v>
      </c>
      <c r="G38" s="196">
        <f t="shared" si="0"/>
        <v>39</v>
      </c>
      <c r="H38" s="203">
        <v>0</v>
      </c>
      <c r="I38" s="204">
        <v>0</v>
      </c>
      <c r="J38" s="204">
        <v>0</v>
      </c>
      <c r="K38" s="204">
        <v>0</v>
      </c>
      <c r="L38" s="204">
        <v>0</v>
      </c>
      <c r="M38" s="205">
        <v>0</v>
      </c>
      <c r="N38" s="85">
        <f t="shared" si="1"/>
        <v>39</v>
      </c>
      <c r="O38" s="43">
        <f t="shared" si="2"/>
        <v>47</v>
      </c>
    </row>
    <row r="39" spans="1:15" ht="22.5" customHeight="1" x14ac:dyDescent="0.3">
      <c r="A39" s="190" t="s">
        <v>208</v>
      </c>
      <c r="B39" s="44">
        <v>16</v>
      </c>
      <c r="C39" s="39">
        <v>14</v>
      </c>
      <c r="D39" s="39">
        <v>1</v>
      </c>
      <c r="E39" s="39">
        <v>2</v>
      </c>
      <c r="F39" s="194">
        <v>1</v>
      </c>
      <c r="G39" s="196">
        <f t="shared" si="0"/>
        <v>34</v>
      </c>
      <c r="H39" s="203">
        <v>0</v>
      </c>
      <c r="I39" s="204">
        <v>0</v>
      </c>
      <c r="J39" s="204">
        <v>0</v>
      </c>
      <c r="K39" s="204">
        <v>0</v>
      </c>
      <c r="L39" s="204">
        <v>0</v>
      </c>
      <c r="M39" s="205">
        <v>0</v>
      </c>
      <c r="N39" s="85">
        <f t="shared" si="1"/>
        <v>34</v>
      </c>
      <c r="O39" s="43">
        <f t="shared" si="2"/>
        <v>35</v>
      </c>
    </row>
    <row r="40" spans="1:15" ht="22.5" customHeight="1" x14ac:dyDescent="0.3">
      <c r="A40" s="190" t="s">
        <v>209</v>
      </c>
      <c r="B40" s="44">
        <v>36</v>
      </c>
      <c r="C40" s="39">
        <v>6</v>
      </c>
      <c r="D40" s="39">
        <v>2</v>
      </c>
      <c r="E40" s="39">
        <v>0</v>
      </c>
      <c r="F40" s="194">
        <v>5</v>
      </c>
      <c r="G40" s="196">
        <f t="shared" ref="G40:G71" si="3">SUM(B40:F40)</f>
        <v>49</v>
      </c>
      <c r="H40" s="203">
        <v>0</v>
      </c>
      <c r="I40" s="204">
        <v>0</v>
      </c>
      <c r="J40" s="204">
        <v>0</v>
      </c>
      <c r="K40" s="204">
        <v>0</v>
      </c>
      <c r="L40" s="204">
        <v>0</v>
      </c>
      <c r="M40" s="205">
        <v>0</v>
      </c>
      <c r="N40" s="85">
        <f t="shared" si="1"/>
        <v>49</v>
      </c>
      <c r="O40" s="43">
        <f t="shared" si="2"/>
        <v>64.5</v>
      </c>
    </row>
    <row r="41" spans="1:15" ht="22.5" customHeight="1" x14ac:dyDescent="0.3">
      <c r="A41" s="190" t="s">
        <v>210</v>
      </c>
      <c r="B41" s="44">
        <v>28</v>
      </c>
      <c r="C41" s="39">
        <v>13</v>
      </c>
      <c r="D41" s="39">
        <v>11</v>
      </c>
      <c r="E41" s="39">
        <v>0</v>
      </c>
      <c r="F41" s="194">
        <v>2</v>
      </c>
      <c r="G41" s="196">
        <f t="shared" si="3"/>
        <v>54</v>
      </c>
      <c r="H41" s="203">
        <v>0</v>
      </c>
      <c r="I41" s="204">
        <v>0</v>
      </c>
      <c r="J41" s="204">
        <v>0</v>
      </c>
      <c r="K41" s="204">
        <v>0</v>
      </c>
      <c r="L41" s="204">
        <v>0</v>
      </c>
      <c r="M41" s="205">
        <v>0</v>
      </c>
      <c r="N41" s="85">
        <f t="shared" si="1"/>
        <v>54</v>
      </c>
      <c r="O41" s="43">
        <f t="shared" si="2"/>
        <v>60</v>
      </c>
    </row>
    <row r="42" spans="1:15" ht="22.5" customHeight="1" x14ac:dyDescent="0.3">
      <c r="A42" s="190" t="s">
        <v>211</v>
      </c>
      <c r="B42" s="44">
        <v>30</v>
      </c>
      <c r="C42" s="39">
        <v>4</v>
      </c>
      <c r="D42" s="39">
        <v>1</v>
      </c>
      <c r="E42" s="39">
        <v>0</v>
      </c>
      <c r="F42" s="194">
        <v>2</v>
      </c>
      <c r="G42" s="196">
        <f t="shared" si="3"/>
        <v>37</v>
      </c>
      <c r="H42" s="203">
        <v>0</v>
      </c>
      <c r="I42" s="204">
        <v>0</v>
      </c>
      <c r="J42" s="204">
        <v>0</v>
      </c>
      <c r="K42" s="204">
        <v>0</v>
      </c>
      <c r="L42" s="204">
        <v>0</v>
      </c>
      <c r="M42" s="205">
        <v>0</v>
      </c>
      <c r="N42" s="85">
        <f t="shared" si="1"/>
        <v>37</v>
      </c>
      <c r="O42" s="43">
        <f t="shared" si="2"/>
        <v>42.5</v>
      </c>
    </row>
    <row r="43" spans="1:15" ht="22.5" customHeight="1" x14ac:dyDescent="0.3">
      <c r="A43" s="190" t="s">
        <v>212</v>
      </c>
      <c r="B43" s="44">
        <v>35</v>
      </c>
      <c r="C43" s="39">
        <v>1</v>
      </c>
      <c r="D43" s="39">
        <v>4</v>
      </c>
      <c r="E43" s="39">
        <v>0</v>
      </c>
      <c r="F43" s="194">
        <v>3</v>
      </c>
      <c r="G43" s="196">
        <f t="shared" si="3"/>
        <v>43</v>
      </c>
      <c r="H43" s="203">
        <v>0</v>
      </c>
      <c r="I43" s="204">
        <v>0</v>
      </c>
      <c r="J43" s="204">
        <v>0</v>
      </c>
      <c r="K43" s="204">
        <v>0</v>
      </c>
      <c r="L43" s="204">
        <v>0</v>
      </c>
      <c r="M43" s="205">
        <v>0</v>
      </c>
      <c r="N43" s="85">
        <f t="shared" si="1"/>
        <v>43</v>
      </c>
      <c r="O43" s="43">
        <f t="shared" si="2"/>
        <v>55</v>
      </c>
    </row>
    <row r="44" spans="1:15" ht="22.5" customHeight="1" x14ac:dyDescent="0.3">
      <c r="A44" s="190" t="s">
        <v>213</v>
      </c>
      <c r="B44" s="44">
        <v>37</v>
      </c>
      <c r="C44" s="39">
        <v>13</v>
      </c>
      <c r="D44" s="39">
        <v>2</v>
      </c>
      <c r="E44" s="39">
        <v>1</v>
      </c>
      <c r="F44" s="194">
        <v>5</v>
      </c>
      <c r="G44" s="196">
        <f t="shared" si="3"/>
        <v>58</v>
      </c>
      <c r="H44" s="203">
        <v>0</v>
      </c>
      <c r="I44" s="204">
        <v>0</v>
      </c>
      <c r="J44" s="204">
        <v>0</v>
      </c>
      <c r="K44" s="204">
        <v>0</v>
      </c>
      <c r="L44" s="204">
        <v>0</v>
      </c>
      <c r="M44" s="205">
        <v>0</v>
      </c>
      <c r="N44" s="85">
        <f t="shared" si="1"/>
        <v>58</v>
      </c>
      <c r="O44" s="43">
        <f t="shared" si="2"/>
        <v>72</v>
      </c>
    </row>
    <row r="45" spans="1:15" ht="22.5" customHeight="1" x14ac:dyDescent="0.3">
      <c r="A45" s="190" t="s">
        <v>214</v>
      </c>
      <c r="B45" s="44">
        <v>31</v>
      </c>
      <c r="C45" s="39">
        <v>12</v>
      </c>
      <c r="D45" s="39">
        <v>5</v>
      </c>
      <c r="E45" s="39">
        <v>0</v>
      </c>
      <c r="F45" s="194">
        <v>1</v>
      </c>
      <c r="G45" s="196">
        <f t="shared" si="3"/>
        <v>49</v>
      </c>
      <c r="H45" s="203">
        <v>0</v>
      </c>
      <c r="I45" s="204">
        <v>0</v>
      </c>
      <c r="J45" s="204">
        <v>0</v>
      </c>
      <c r="K45" s="204">
        <v>0</v>
      </c>
      <c r="L45" s="204">
        <v>0</v>
      </c>
      <c r="M45" s="205">
        <v>0</v>
      </c>
      <c r="N45" s="85">
        <f t="shared" si="1"/>
        <v>49</v>
      </c>
      <c r="O45" s="43">
        <f t="shared" si="2"/>
        <v>49</v>
      </c>
    </row>
    <row r="46" spans="1:15" ht="22.5" customHeight="1" x14ac:dyDescent="0.3">
      <c r="A46" s="190" t="s">
        <v>215</v>
      </c>
      <c r="B46" s="44">
        <v>35</v>
      </c>
      <c r="C46" s="39">
        <v>24</v>
      </c>
      <c r="D46" s="39">
        <v>4</v>
      </c>
      <c r="E46" s="39">
        <v>2</v>
      </c>
      <c r="F46" s="194">
        <v>1</v>
      </c>
      <c r="G46" s="196">
        <f t="shared" si="3"/>
        <v>66</v>
      </c>
      <c r="H46" s="203">
        <v>0</v>
      </c>
      <c r="I46" s="204">
        <v>0</v>
      </c>
      <c r="J46" s="204">
        <v>0</v>
      </c>
      <c r="K46" s="204">
        <v>0</v>
      </c>
      <c r="L46" s="204">
        <v>0</v>
      </c>
      <c r="M46" s="205">
        <v>0</v>
      </c>
      <c r="N46" s="85">
        <f t="shared" si="1"/>
        <v>66</v>
      </c>
      <c r="O46" s="43">
        <f t="shared" si="2"/>
        <v>63.5</v>
      </c>
    </row>
    <row r="47" spans="1:15" ht="22.5" customHeight="1" x14ac:dyDescent="0.3">
      <c r="A47" s="190" t="s">
        <v>216</v>
      </c>
      <c r="B47" s="44">
        <v>35</v>
      </c>
      <c r="C47" s="39">
        <v>18</v>
      </c>
      <c r="D47" s="39">
        <v>3</v>
      </c>
      <c r="E47" s="39">
        <v>1</v>
      </c>
      <c r="F47" s="194">
        <v>4</v>
      </c>
      <c r="G47" s="196">
        <f t="shared" si="3"/>
        <v>61</v>
      </c>
      <c r="H47" s="203">
        <v>0</v>
      </c>
      <c r="I47" s="204">
        <v>0</v>
      </c>
      <c r="J47" s="204">
        <v>0</v>
      </c>
      <c r="K47" s="204">
        <v>0</v>
      </c>
      <c r="L47" s="204">
        <v>0</v>
      </c>
      <c r="M47" s="205">
        <v>0</v>
      </c>
      <c r="N47" s="85">
        <f t="shared" si="1"/>
        <v>61</v>
      </c>
      <c r="O47" s="43">
        <f t="shared" si="2"/>
        <v>69.5</v>
      </c>
    </row>
    <row r="48" spans="1:15" ht="22.5" customHeight="1" x14ac:dyDescent="0.3">
      <c r="A48" s="190" t="s">
        <v>217</v>
      </c>
      <c r="B48" s="44">
        <v>41</v>
      </c>
      <c r="C48" s="39">
        <v>9</v>
      </c>
      <c r="D48" s="39">
        <v>5</v>
      </c>
      <c r="E48" s="39">
        <v>1</v>
      </c>
      <c r="F48" s="194">
        <v>2</v>
      </c>
      <c r="G48" s="196">
        <f t="shared" si="3"/>
        <v>58</v>
      </c>
      <c r="H48" s="203">
        <v>0</v>
      </c>
      <c r="I48" s="204">
        <v>0</v>
      </c>
      <c r="J48" s="204">
        <v>0</v>
      </c>
      <c r="K48" s="204">
        <v>0</v>
      </c>
      <c r="L48" s="204">
        <v>0</v>
      </c>
      <c r="M48" s="205">
        <v>0</v>
      </c>
      <c r="N48" s="85">
        <f t="shared" si="1"/>
        <v>58</v>
      </c>
      <c r="O48" s="43">
        <f t="shared" si="2"/>
        <v>65</v>
      </c>
    </row>
    <row r="49" spans="1:15" ht="22.5" customHeight="1" x14ac:dyDescent="0.3">
      <c r="A49" s="190" t="s">
        <v>218</v>
      </c>
      <c r="B49" s="44">
        <v>38</v>
      </c>
      <c r="C49" s="39">
        <v>2</v>
      </c>
      <c r="D49" s="39">
        <v>7</v>
      </c>
      <c r="E49" s="39">
        <v>1</v>
      </c>
      <c r="F49" s="194">
        <v>7</v>
      </c>
      <c r="G49" s="196">
        <f t="shared" si="3"/>
        <v>55</v>
      </c>
      <c r="H49" s="203">
        <v>0</v>
      </c>
      <c r="I49" s="204">
        <v>0</v>
      </c>
      <c r="J49" s="204">
        <v>0</v>
      </c>
      <c r="K49" s="204">
        <v>0</v>
      </c>
      <c r="L49" s="204">
        <v>0</v>
      </c>
      <c r="M49" s="205">
        <v>0</v>
      </c>
      <c r="N49" s="85">
        <f t="shared" si="1"/>
        <v>55</v>
      </c>
      <c r="O49" s="43">
        <f t="shared" si="2"/>
        <v>84</v>
      </c>
    </row>
    <row r="50" spans="1:15" ht="22.5" customHeight="1" x14ac:dyDescent="0.3">
      <c r="A50" s="190" t="s">
        <v>219</v>
      </c>
      <c r="B50" s="44">
        <v>37</v>
      </c>
      <c r="C50" s="39">
        <v>11</v>
      </c>
      <c r="D50" s="39">
        <v>2</v>
      </c>
      <c r="E50" s="39">
        <v>2</v>
      </c>
      <c r="F50" s="194">
        <v>2</v>
      </c>
      <c r="G50" s="196">
        <f t="shared" si="3"/>
        <v>54</v>
      </c>
      <c r="H50" s="203">
        <v>0</v>
      </c>
      <c r="I50" s="204">
        <v>0</v>
      </c>
      <c r="J50" s="204">
        <v>0</v>
      </c>
      <c r="K50" s="204">
        <v>0</v>
      </c>
      <c r="L50" s="204">
        <v>0</v>
      </c>
      <c r="M50" s="205">
        <v>0</v>
      </c>
      <c r="N50" s="85">
        <f t="shared" si="1"/>
        <v>54</v>
      </c>
      <c r="O50" s="43">
        <f t="shared" si="2"/>
        <v>60.5</v>
      </c>
    </row>
    <row r="51" spans="1:15" ht="22.5" customHeight="1" x14ac:dyDescent="0.3">
      <c r="A51" s="190" t="s">
        <v>220</v>
      </c>
      <c r="B51" s="44">
        <v>45</v>
      </c>
      <c r="C51" s="39">
        <v>15</v>
      </c>
      <c r="D51" s="39">
        <v>1</v>
      </c>
      <c r="E51" s="39">
        <v>0</v>
      </c>
      <c r="F51" s="194">
        <v>1</v>
      </c>
      <c r="G51" s="196">
        <f t="shared" si="3"/>
        <v>62</v>
      </c>
      <c r="H51" s="203">
        <v>0</v>
      </c>
      <c r="I51" s="204">
        <v>0</v>
      </c>
      <c r="J51" s="204">
        <v>0</v>
      </c>
      <c r="K51" s="204">
        <v>0</v>
      </c>
      <c r="L51" s="204">
        <v>0</v>
      </c>
      <c r="M51" s="205">
        <v>0</v>
      </c>
      <c r="N51" s="85">
        <f t="shared" si="1"/>
        <v>62</v>
      </c>
      <c r="O51" s="43">
        <f t="shared" si="2"/>
        <v>58.5</v>
      </c>
    </row>
    <row r="52" spans="1:15" ht="22.5" customHeight="1" x14ac:dyDescent="0.3">
      <c r="A52" s="190" t="s">
        <v>221</v>
      </c>
      <c r="B52" s="44">
        <v>29</v>
      </c>
      <c r="C52" s="39">
        <v>12</v>
      </c>
      <c r="D52" s="39">
        <v>4</v>
      </c>
      <c r="E52" s="39">
        <v>1</v>
      </c>
      <c r="F52" s="194">
        <v>3</v>
      </c>
      <c r="G52" s="196">
        <f t="shared" si="3"/>
        <v>49</v>
      </c>
      <c r="H52" s="203">
        <v>0</v>
      </c>
      <c r="I52" s="204">
        <v>0</v>
      </c>
      <c r="J52" s="204">
        <v>0</v>
      </c>
      <c r="K52" s="204">
        <v>0</v>
      </c>
      <c r="L52" s="204">
        <v>0</v>
      </c>
      <c r="M52" s="205">
        <v>0</v>
      </c>
      <c r="N52" s="85">
        <f t="shared" si="1"/>
        <v>49</v>
      </c>
      <c r="O52" s="43">
        <f t="shared" si="2"/>
        <v>57.5</v>
      </c>
    </row>
    <row r="53" spans="1:15" ht="22.5" customHeight="1" x14ac:dyDescent="0.3">
      <c r="A53" s="190" t="s">
        <v>222</v>
      </c>
      <c r="B53" s="44">
        <v>26</v>
      </c>
      <c r="C53" s="39">
        <v>9</v>
      </c>
      <c r="D53" s="39">
        <v>3</v>
      </c>
      <c r="E53" s="39">
        <v>0</v>
      </c>
      <c r="F53" s="194">
        <v>1</v>
      </c>
      <c r="G53" s="196">
        <f t="shared" si="3"/>
        <v>39</v>
      </c>
      <c r="H53" s="203">
        <v>0</v>
      </c>
      <c r="I53" s="204">
        <v>0</v>
      </c>
      <c r="J53" s="204">
        <v>0</v>
      </c>
      <c r="K53" s="204">
        <v>0</v>
      </c>
      <c r="L53" s="204">
        <v>0</v>
      </c>
      <c r="M53" s="205">
        <v>0</v>
      </c>
      <c r="N53" s="85">
        <f t="shared" si="1"/>
        <v>39</v>
      </c>
      <c r="O53" s="43">
        <f t="shared" si="2"/>
        <v>39.5</v>
      </c>
    </row>
    <row r="54" spans="1:15" ht="22.5" customHeight="1" x14ac:dyDescent="0.3">
      <c r="A54" s="190" t="s">
        <v>223</v>
      </c>
      <c r="B54" s="44">
        <v>20</v>
      </c>
      <c r="C54" s="39">
        <v>1</v>
      </c>
      <c r="D54" s="39">
        <v>1</v>
      </c>
      <c r="E54" s="39">
        <v>0</v>
      </c>
      <c r="F54" s="194">
        <v>2</v>
      </c>
      <c r="G54" s="196">
        <f t="shared" si="3"/>
        <v>24</v>
      </c>
      <c r="H54" s="203">
        <v>0</v>
      </c>
      <c r="I54" s="204">
        <v>0</v>
      </c>
      <c r="J54" s="204">
        <v>0</v>
      </c>
      <c r="K54" s="204">
        <v>0</v>
      </c>
      <c r="L54" s="204">
        <v>0</v>
      </c>
      <c r="M54" s="205">
        <v>0</v>
      </c>
      <c r="N54" s="85">
        <f t="shared" si="1"/>
        <v>24</v>
      </c>
      <c r="O54" s="43">
        <f t="shared" si="2"/>
        <v>31</v>
      </c>
    </row>
    <row r="55" spans="1:15" ht="22.5" customHeight="1" x14ac:dyDescent="0.3">
      <c r="A55" s="190" t="s">
        <v>224</v>
      </c>
      <c r="B55" s="44">
        <v>21</v>
      </c>
      <c r="C55" s="39">
        <v>8</v>
      </c>
      <c r="D55" s="39">
        <v>3</v>
      </c>
      <c r="E55" s="39">
        <v>0</v>
      </c>
      <c r="F55" s="194">
        <v>2</v>
      </c>
      <c r="G55" s="196">
        <f t="shared" si="3"/>
        <v>34</v>
      </c>
      <c r="H55" s="203">
        <v>0</v>
      </c>
      <c r="I55" s="204">
        <v>0</v>
      </c>
      <c r="J55" s="204">
        <v>0</v>
      </c>
      <c r="K55" s="204">
        <v>0</v>
      </c>
      <c r="L55" s="204">
        <v>0</v>
      </c>
      <c r="M55" s="205">
        <v>0</v>
      </c>
      <c r="N55" s="85">
        <f t="shared" si="1"/>
        <v>34</v>
      </c>
      <c r="O55" s="43">
        <f t="shared" si="2"/>
        <v>38.5</v>
      </c>
    </row>
    <row r="56" spans="1:15" ht="22.5" customHeight="1" x14ac:dyDescent="0.3">
      <c r="A56" s="190" t="s">
        <v>225</v>
      </c>
      <c r="B56" s="44">
        <v>26</v>
      </c>
      <c r="C56" s="39">
        <v>17</v>
      </c>
      <c r="D56" s="39">
        <v>4</v>
      </c>
      <c r="E56" s="39">
        <v>0</v>
      </c>
      <c r="F56" s="194">
        <v>1</v>
      </c>
      <c r="G56" s="196">
        <f t="shared" si="3"/>
        <v>48</v>
      </c>
      <c r="H56" s="203">
        <v>0</v>
      </c>
      <c r="I56" s="204">
        <v>0</v>
      </c>
      <c r="J56" s="204">
        <v>0</v>
      </c>
      <c r="K56" s="204">
        <v>0</v>
      </c>
      <c r="L56" s="204">
        <v>0</v>
      </c>
      <c r="M56" s="205">
        <v>0</v>
      </c>
      <c r="N56" s="85">
        <f t="shared" si="1"/>
        <v>48</v>
      </c>
      <c r="O56" s="43">
        <f t="shared" si="2"/>
        <v>45</v>
      </c>
    </row>
    <row r="57" spans="1:15" ht="22.5" customHeight="1" x14ac:dyDescent="0.3">
      <c r="A57" s="190" t="s">
        <v>226</v>
      </c>
      <c r="B57" s="44">
        <v>21</v>
      </c>
      <c r="C57" s="39">
        <v>12</v>
      </c>
      <c r="D57" s="39">
        <v>2</v>
      </c>
      <c r="E57" s="39">
        <v>0</v>
      </c>
      <c r="F57" s="194">
        <v>1</v>
      </c>
      <c r="G57" s="196">
        <f t="shared" si="3"/>
        <v>36</v>
      </c>
      <c r="H57" s="203">
        <v>0</v>
      </c>
      <c r="I57" s="204">
        <v>0</v>
      </c>
      <c r="J57" s="204">
        <v>0</v>
      </c>
      <c r="K57" s="204">
        <v>0</v>
      </c>
      <c r="L57" s="204">
        <v>0</v>
      </c>
      <c r="M57" s="205">
        <v>0</v>
      </c>
      <c r="N57" s="85">
        <f t="shared" si="1"/>
        <v>36</v>
      </c>
      <c r="O57" s="43">
        <f t="shared" si="2"/>
        <v>34.5</v>
      </c>
    </row>
    <row r="58" spans="1:15" ht="22.5" customHeight="1" x14ac:dyDescent="0.3">
      <c r="A58" s="190" t="s">
        <v>227</v>
      </c>
      <c r="B58" s="44">
        <v>25</v>
      </c>
      <c r="C58" s="39">
        <v>15</v>
      </c>
      <c r="D58" s="39">
        <v>3</v>
      </c>
      <c r="E58" s="39">
        <v>1</v>
      </c>
      <c r="F58" s="194">
        <v>1</v>
      </c>
      <c r="G58" s="196">
        <f t="shared" si="3"/>
        <v>45</v>
      </c>
      <c r="H58" s="203">
        <v>0</v>
      </c>
      <c r="I58" s="204">
        <v>0</v>
      </c>
      <c r="J58" s="204">
        <v>0</v>
      </c>
      <c r="K58" s="204">
        <v>0</v>
      </c>
      <c r="L58" s="204">
        <v>0</v>
      </c>
      <c r="M58" s="205">
        <v>0</v>
      </c>
      <c r="N58" s="85">
        <f t="shared" si="1"/>
        <v>45</v>
      </c>
      <c r="O58" s="43">
        <f t="shared" si="2"/>
        <v>44.5</v>
      </c>
    </row>
    <row r="59" spans="1:15" ht="22.5" customHeight="1" x14ac:dyDescent="0.3">
      <c r="A59" s="190" t="s">
        <v>228</v>
      </c>
      <c r="B59" s="44">
        <v>31</v>
      </c>
      <c r="C59" s="39">
        <v>17</v>
      </c>
      <c r="D59" s="39">
        <v>4</v>
      </c>
      <c r="E59" s="39">
        <v>1</v>
      </c>
      <c r="F59" s="194">
        <v>2</v>
      </c>
      <c r="G59" s="196">
        <f t="shared" si="3"/>
        <v>55</v>
      </c>
      <c r="H59" s="203">
        <v>0</v>
      </c>
      <c r="I59" s="204">
        <v>0</v>
      </c>
      <c r="J59" s="204">
        <v>0</v>
      </c>
      <c r="K59" s="204">
        <v>0</v>
      </c>
      <c r="L59" s="204">
        <v>0</v>
      </c>
      <c r="M59" s="205">
        <v>0</v>
      </c>
      <c r="N59" s="85">
        <f t="shared" si="1"/>
        <v>55</v>
      </c>
      <c r="O59" s="43">
        <f t="shared" si="2"/>
        <v>57.5</v>
      </c>
    </row>
    <row r="60" spans="1:15" ht="22.5" customHeight="1" x14ac:dyDescent="0.3">
      <c r="A60" s="190" t="s">
        <v>229</v>
      </c>
      <c r="B60" s="44">
        <v>23</v>
      </c>
      <c r="C60" s="39">
        <v>14</v>
      </c>
      <c r="D60" s="39">
        <v>4</v>
      </c>
      <c r="E60" s="39">
        <v>0</v>
      </c>
      <c r="F60" s="194">
        <v>2</v>
      </c>
      <c r="G60" s="196">
        <f t="shared" si="3"/>
        <v>43</v>
      </c>
      <c r="H60" s="203">
        <v>0</v>
      </c>
      <c r="I60" s="204">
        <v>0</v>
      </c>
      <c r="J60" s="204">
        <v>0</v>
      </c>
      <c r="K60" s="204">
        <v>0</v>
      </c>
      <c r="L60" s="204">
        <v>0</v>
      </c>
      <c r="M60" s="205">
        <v>0</v>
      </c>
      <c r="N60" s="85">
        <f t="shared" si="1"/>
        <v>43</v>
      </c>
      <c r="O60" s="43">
        <f t="shared" si="2"/>
        <v>45</v>
      </c>
    </row>
    <row r="61" spans="1:15" ht="22.5" customHeight="1" x14ac:dyDescent="0.3">
      <c r="A61" s="190" t="s">
        <v>230</v>
      </c>
      <c r="B61" s="44">
        <v>21</v>
      </c>
      <c r="C61" s="39">
        <v>12</v>
      </c>
      <c r="D61" s="39">
        <v>0</v>
      </c>
      <c r="E61" s="39">
        <v>0</v>
      </c>
      <c r="F61" s="194">
        <v>1</v>
      </c>
      <c r="G61" s="196">
        <f t="shared" si="3"/>
        <v>34</v>
      </c>
      <c r="H61" s="203">
        <v>0</v>
      </c>
      <c r="I61" s="204">
        <v>0</v>
      </c>
      <c r="J61" s="204">
        <v>0</v>
      </c>
      <c r="K61" s="204">
        <v>0</v>
      </c>
      <c r="L61" s="204">
        <v>0</v>
      </c>
      <c r="M61" s="205">
        <v>0</v>
      </c>
      <c r="N61" s="85">
        <f t="shared" si="1"/>
        <v>34</v>
      </c>
      <c r="O61" s="43">
        <f t="shared" si="2"/>
        <v>31.5</v>
      </c>
    </row>
    <row r="62" spans="1:15" ht="22.5" customHeight="1" x14ac:dyDescent="0.3">
      <c r="A62" s="190" t="s">
        <v>231</v>
      </c>
      <c r="B62" s="44">
        <v>17</v>
      </c>
      <c r="C62" s="39">
        <v>11</v>
      </c>
      <c r="D62" s="39">
        <v>0</v>
      </c>
      <c r="E62" s="39">
        <v>0</v>
      </c>
      <c r="F62" s="194">
        <v>0</v>
      </c>
      <c r="G62" s="196">
        <f t="shared" si="3"/>
        <v>28</v>
      </c>
      <c r="H62" s="203">
        <v>0</v>
      </c>
      <c r="I62" s="204">
        <v>0</v>
      </c>
      <c r="J62" s="204">
        <v>0</v>
      </c>
      <c r="K62" s="204">
        <v>0</v>
      </c>
      <c r="L62" s="204">
        <v>0</v>
      </c>
      <c r="M62" s="205">
        <v>0</v>
      </c>
      <c r="N62" s="85">
        <f t="shared" si="1"/>
        <v>28</v>
      </c>
      <c r="O62" s="43">
        <f t="shared" si="2"/>
        <v>22.5</v>
      </c>
    </row>
    <row r="63" spans="1:15" ht="22.5" customHeight="1" x14ac:dyDescent="0.3">
      <c r="A63" s="190" t="s">
        <v>232</v>
      </c>
      <c r="B63" s="44">
        <v>10</v>
      </c>
      <c r="C63" s="39">
        <v>4</v>
      </c>
      <c r="D63" s="39">
        <v>2</v>
      </c>
      <c r="E63" s="39">
        <v>0</v>
      </c>
      <c r="F63" s="194">
        <v>0</v>
      </c>
      <c r="G63" s="196">
        <f t="shared" si="3"/>
        <v>16</v>
      </c>
      <c r="H63" s="203">
        <v>0</v>
      </c>
      <c r="I63" s="204">
        <v>0</v>
      </c>
      <c r="J63" s="204">
        <v>0</v>
      </c>
      <c r="K63" s="204">
        <v>0</v>
      </c>
      <c r="L63" s="204">
        <v>0</v>
      </c>
      <c r="M63" s="205">
        <v>0</v>
      </c>
      <c r="N63" s="85">
        <f t="shared" si="1"/>
        <v>16</v>
      </c>
      <c r="O63" s="43">
        <f t="shared" si="2"/>
        <v>15</v>
      </c>
    </row>
    <row r="64" spans="1:15" ht="22.5" customHeight="1" x14ac:dyDescent="0.3">
      <c r="A64" s="190" t="s">
        <v>233</v>
      </c>
      <c r="B64" s="44">
        <v>11</v>
      </c>
      <c r="C64" s="39">
        <v>6</v>
      </c>
      <c r="D64" s="39">
        <v>1</v>
      </c>
      <c r="E64" s="39">
        <v>0</v>
      </c>
      <c r="F64" s="194">
        <v>2</v>
      </c>
      <c r="G64" s="196">
        <f t="shared" si="3"/>
        <v>20</v>
      </c>
      <c r="H64" s="203">
        <v>0</v>
      </c>
      <c r="I64" s="204">
        <v>0</v>
      </c>
      <c r="J64" s="204">
        <v>0</v>
      </c>
      <c r="K64" s="204">
        <v>0</v>
      </c>
      <c r="L64" s="204">
        <v>0</v>
      </c>
      <c r="M64" s="205">
        <v>0</v>
      </c>
      <c r="N64" s="85">
        <f t="shared" si="1"/>
        <v>20</v>
      </c>
      <c r="O64" s="43">
        <f t="shared" si="2"/>
        <v>24.5</v>
      </c>
    </row>
    <row r="65" spans="1:15" ht="22.5" customHeight="1" x14ac:dyDescent="0.3">
      <c r="A65" s="190" t="s">
        <v>234</v>
      </c>
      <c r="B65" s="44">
        <v>12</v>
      </c>
      <c r="C65" s="39">
        <v>9</v>
      </c>
      <c r="D65" s="39">
        <v>2</v>
      </c>
      <c r="E65" s="39">
        <v>0</v>
      </c>
      <c r="F65" s="194">
        <v>0</v>
      </c>
      <c r="G65" s="196">
        <f t="shared" si="3"/>
        <v>23</v>
      </c>
      <c r="H65" s="203">
        <v>0</v>
      </c>
      <c r="I65" s="204">
        <v>0</v>
      </c>
      <c r="J65" s="204">
        <v>0</v>
      </c>
      <c r="K65" s="204">
        <v>0</v>
      </c>
      <c r="L65" s="204">
        <v>0</v>
      </c>
      <c r="M65" s="205">
        <v>0</v>
      </c>
      <c r="N65" s="85">
        <f t="shared" si="1"/>
        <v>23</v>
      </c>
      <c r="O65" s="43">
        <f t="shared" si="2"/>
        <v>19.5</v>
      </c>
    </row>
    <row r="66" spans="1:15" ht="22.5" customHeight="1" x14ac:dyDescent="0.3">
      <c r="A66" s="190" t="s">
        <v>235</v>
      </c>
      <c r="B66" s="44">
        <v>1</v>
      </c>
      <c r="C66" s="39">
        <v>8</v>
      </c>
      <c r="D66" s="39">
        <v>1</v>
      </c>
      <c r="E66" s="39">
        <v>0</v>
      </c>
      <c r="F66" s="194">
        <v>0</v>
      </c>
      <c r="G66" s="196">
        <f t="shared" si="3"/>
        <v>10</v>
      </c>
      <c r="H66" s="203">
        <v>0</v>
      </c>
      <c r="I66" s="204">
        <v>0</v>
      </c>
      <c r="J66" s="204">
        <v>0</v>
      </c>
      <c r="K66" s="204">
        <v>0</v>
      </c>
      <c r="L66" s="204">
        <v>0</v>
      </c>
      <c r="M66" s="205">
        <v>0</v>
      </c>
      <c r="N66" s="85">
        <f t="shared" si="1"/>
        <v>10</v>
      </c>
      <c r="O66" s="43">
        <f t="shared" si="2"/>
        <v>6.5</v>
      </c>
    </row>
    <row r="67" spans="1:15" ht="22.5" customHeight="1" x14ac:dyDescent="0.3">
      <c r="A67" s="190" t="s">
        <v>236</v>
      </c>
      <c r="B67" s="44">
        <v>8</v>
      </c>
      <c r="C67" s="39">
        <v>3</v>
      </c>
      <c r="D67" s="39">
        <v>3</v>
      </c>
      <c r="E67" s="39">
        <v>0</v>
      </c>
      <c r="F67" s="194">
        <v>0</v>
      </c>
      <c r="G67" s="196">
        <f t="shared" si="3"/>
        <v>14</v>
      </c>
      <c r="H67" s="203">
        <v>0</v>
      </c>
      <c r="I67" s="204">
        <v>0</v>
      </c>
      <c r="J67" s="204">
        <v>0</v>
      </c>
      <c r="K67" s="204">
        <v>0</v>
      </c>
      <c r="L67" s="204">
        <v>0</v>
      </c>
      <c r="M67" s="205">
        <v>0</v>
      </c>
      <c r="N67" s="85">
        <f t="shared" si="1"/>
        <v>14</v>
      </c>
      <c r="O67" s="43">
        <f t="shared" si="2"/>
        <v>14</v>
      </c>
    </row>
    <row r="68" spans="1:15" ht="22.5" customHeight="1" x14ac:dyDescent="0.3">
      <c r="A68" s="190" t="s">
        <v>237</v>
      </c>
      <c r="B68" s="44">
        <v>6</v>
      </c>
      <c r="C68" s="39">
        <v>4</v>
      </c>
      <c r="D68" s="39">
        <v>1</v>
      </c>
      <c r="E68" s="39">
        <v>0</v>
      </c>
      <c r="F68" s="194">
        <v>1</v>
      </c>
      <c r="G68" s="196">
        <f t="shared" si="3"/>
        <v>12</v>
      </c>
      <c r="H68" s="203">
        <v>0</v>
      </c>
      <c r="I68" s="204">
        <v>0</v>
      </c>
      <c r="J68" s="204">
        <v>0</v>
      </c>
      <c r="K68" s="204">
        <v>0</v>
      </c>
      <c r="L68" s="204">
        <v>0</v>
      </c>
      <c r="M68" s="205">
        <v>0</v>
      </c>
      <c r="N68" s="85">
        <f t="shared" si="1"/>
        <v>12</v>
      </c>
      <c r="O68" s="43">
        <f t="shared" si="2"/>
        <v>14</v>
      </c>
    </row>
    <row r="69" spans="1:15" ht="22.5" customHeight="1" x14ac:dyDescent="0.3">
      <c r="A69" s="190" t="s">
        <v>238</v>
      </c>
      <c r="B69" s="44">
        <v>7</v>
      </c>
      <c r="C69" s="39">
        <v>5</v>
      </c>
      <c r="D69" s="39">
        <v>3</v>
      </c>
      <c r="E69" s="39">
        <v>0</v>
      </c>
      <c r="F69" s="194">
        <v>2</v>
      </c>
      <c r="G69" s="196">
        <f t="shared" si="3"/>
        <v>17</v>
      </c>
      <c r="H69" s="203">
        <v>0</v>
      </c>
      <c r="I69" s="204">
        <v>0</v>
      </c>
      <c r="J69" s="204">
        <v>0</v>
      </c>
      <c r="K69" s="204">
        <v>0</v>
      </c>
      <c r="L69" s="204">
        <v>0</v>
      </c>
      <c r="M69" s="205">
        <v>0</v>
      </c>
      <c r="N69" s="85">
        <f t="shared" si="1"/>
        <v>17</v>
      </c>
      <c r="O69" s="43">
        <f t="shared" si="2"/>
        <v>23</v>
      </c>
    </row>
    <row r="70" spans="1:15" ht="22.5" customHeight="1" x14ac:dyDescent="0.3">
      <c r="A70" s="190" t="s">
        <v>239</v>
      </c>
      <c r="B70" s="44">
        <v>5</v>
      </c>
      <c r="C70" s="39">
        <v>1</v>
      </c>
      <c r="D70" s="39">
        <v>2</v>
      </c>
      <c r="E70" s="39">
        <v>0</v>
      </c>
      <c r="F70" s="194">
        <v>2</v>
      </c>
      <c r="G70" s="196">
        <f t="shared" si="3"/>
        <v>10</v>
      </c>
      <c r="H70" s="203">
        <v>0</v>
      </c>
      <c r="I70" s="204">
        <v>0</v>
      </c>
      <c r="J70" s="204">
        <v>0</v>
      </c>
      <c r="K70" s="204">
        <v>0</v>
      </c>
      <c r="L70" s="204">
        <v>0</v>
      </c>
      <c r="M70" s="205">
        <v>0</v>
      </c>
      <c r="N70" s="85">
        <f t="shared" si="1"/>
        <v>10</v>
      </c>
      <c r="O70" s="43">
        <f t="shared" si="2"/>
        <v>17.5</v>
      </c>
    </row>
    <row r="71" spans="1:15" ht="22.5" customHeight="1" x14ac:dyDescent="0.3">
      <c r="A71" s="190" t="s">
        <v>240</v>
      </c>
      <c r="B71" s="44">
        <v>5</v>
      </c>
      <c r="C71" s="39">
        <v>1</v>
      </c>
      <c r="D71" s="39">
        <v>0</v>
      </c>
      <c r="E71" s="39">
        <v>1</v>
      </c>
      <c r="F71" s="194">
        <v>1</v>
      </c>
      <c r="G71" s="196">
        <f t="shared" si="3"/>
        <v>8</v>
      </c>
      <c r="H71" s="203">
        <v>0</v>
      </c>
      <c r="I71" s="204">
        <v>0</v>
      </c>
      <c r="J71" s="204">
        <v>0</v>
      </c>
      <c r="K71" s="204">
        <v>0</v>
      </c>
      <c r="L71" s="204">
        <v>0</v>
      </c>
      <c r="M71" s="205">
        <v>0</v>
      </c>
      <c r="N71" s="85">
        <f t="shared" si="1"/>
        <v>8</v>
      </c>
      <c r="O71" s="43">
        <f t="shared" si="2"/>
        <v>13</v>
      </c>
    </row>
    <row r="72" spans="1:15" ht="22.5" customHeight="1" x14ac:dyDescent="0.3">
      <c r="A72" s="190" t="s">
        <v>153</v>
      </c>
      <c r="B72" s="44">
        <v>5</v>
      </c>
      <c r="C72" s="39">
        <v>1</v>
      </c>
      <c r="D72" s="39">
        <v>0</v>
      </c>
      <c r="E72" s="39">
        <v>0</v>
      </c>
      <c r="F72" s="194">
        <v>0</v>
      </c>
      <c r="G72" s="196">
        <f t="shared" ref="G72:G103" si="4">SUM(B72:F72)</f>
        <v>6</v>
      </c>
      <c r="H72" s="203">
        <v>0</v>
      </c>
      <c r="I72" s="204">
        <v>0</v>
      </c>
      <c r="J72" s="204">
        <v>0</v>
      </c>
      <c r="K72" s="204">
        <v>0</v>
      </c>
      <c r="L72" s="204">
        <v>0</v>
      </c>
      <c r="M72" s="205">
        <v>0</v>
      </c>
      <c r="N72" s="85">
        <f t="shared" si="1"/>
        <v>6</v>
      </c>
      <c r="O72" s="43">
        <f t="shared" si="2"/>
        <v>5.5</v>
      </c>
    </row>
    <row r="73" spans="1:15" ht="22.5" customHeight="1" x14ac:dyDescent="0.3">
      <c r="A73" s="190" t="s">
        <v>154</v>
      </c>
      <c r="B73" s="44">
        <v>3</v>
      </c>
      <c r="C73" s="39">
        <v>0</v>
      </c>
      <c r="D73" s="39">
        <v>0</v>
      </c>
      <c r="E73" s="39">
        <v>0</v>
      </c>
      <c r="F73" s="194">
        <v>0</v>
      </c>
      <c r="G73" s="196">
        <f t="shared" si="4"/>
        <v>3</v>
      </c>
      <c r="H73" s="203">
        <v>0</v>
      </c>
      <c r="I73" s="204">
        <v>0</v>
      </c>
      <c r="J73" s="204">
        <v>0</v>
      </c>
      <c r="K73" s="204">
        <v>0</v>
      </c>
      <c r="L73" s="204">
        <v>0</v>
      </c>
      <c r="M73" s="205">
        <v>0</v>
      </c>
      <c r="N73" s="85">
        <f t="shared" ref="N73:N103" si="5">G73+M73</f>
        <v>3</v>
      </c>
      <c r="O73" s="43">
        <f t="shared" ref="O73:O103" si="6">B73*1+C73*0.5+D73*1.5+E73*3+F73*4.5+H73*0.5+I73*1.5+J73*3+K73*4+L73*8</f>
        <v>3</v>
      </c>
    </row>
    <row r="74" spans="1:15" ht="22.5" customHeight="1" x14ac:dyDescent="0.3">
      <c r="A74" s="190" t="s">
        <v>155</v>
      </c>
      <c r="B74" s="44">
        <v>2</v>
      </c>
      <c r="C74" s="39">
        <v>0</v>
      </c>
      <c r="D74" s="39">
        <v>1</v>
      </c>
      <c r="E74" s="39">
        <v>0</v>
      </c>
      <c r="F74" s="194">
        <v>0</v>
      </c>
      <c r="G74" s="196">
        <f t="shared" si="4"/>
        <v>3</v>
      </c>
      <c r="H74" s="203">
        <v>0</v>
      </c>
      <c r="I74" s="204">
        <v>0</v>
      </c>
      <c r="J74" s="204">
        <v>0</v>
      </c>
      <c r="K74" s="204">
        <v>0</v>
      </c>
      <c r="L74" s="204">
        <v>0</v>
      </c>
      <c r="M74" s="205">
        <v>0</v>
      </c>
      <c r="N74" s="85">
        <f t="shared" si="5"/>
        <v>3</v>
      </c>
      <c r="O74" s="43">
        <f t="shared" si="6"/>
        <v>3.5</v>
      </c>
    </row>
    <row r="75" spans="1:15" ht="22.5" customHeight="1" x14ac:dyDescent="0.3">
      <c r="A75" s="190" t="s">
        <v>156</v>
      </c>
      <c r="B75" s="44">
        <v>0</v>
      </c>
      <c r="C75" s="39">
        <v>0</v>
      </c>
      <c r="D75" s="39">
        <v>3</v>
      </c>
      <c r="E75" s="39">
        <v>0</v>
      </c>
      <c r="F75" s="194">
        <v>0</v>
      </c>
      <c r="G75" s="196">
        <f t="shared" si="4"/>
        <v>3</v>
      </c>
      <c r="H75" s="203">
        <v>0</v>
      </c>
      <c r="I75" s="204">
        <v>0</v>
      </c>
      <c r="J75" s="204">
        <v>0</v>
      </c>
      <c r="K75" s="204">
        <v>0</v>
      </c>
      <c r="L75" s="204">
        <v>0</v>
      </c>
      <c r="M75" s="205">
        <v>0</v>
      </c>
      <c r="N75" s="85">
        <f t="shared" si="5"/>
        <v>3</v>
      </c>
      <c r="O75" s="43">
        <f t="shared" si="6"/>
        <v>4.5</v>
      </c>
    </row>
    <row r="76" spans="1:15" ht="22.5" customHeight="1" x14ac:dyDescent="0.3">
      <c r="A76" s="190" t="s">
        <v>157</v>
      </c>
      <c r="B76" s="44">
        <v>2</v>
      </c>
      <c r="C76" s="39">
        <v>0</v>
      </c>
      <c r="D76" s="39">
        <v>0</v>
      </c>
      <c r="E76" s="39">
        <v>0</v>
      </c>
      <c r="F76" s="194">
        <v>0</v>
      </c>
      <c r="G76" s="196">
        <f t="shared" si="4"/>
        <v>2</v>
      </c>
      <c r="H76" s="203">
        <v>0</v>
      </c>
      <c r="I76" s="204">
        <v>0</v>
      </c>
      <c r="J76" s="204">
        <v>0</v>
      </c>
      <c r="K76" s="204">
        <v>0</v>
      </c>
      <c r="L76" s="204">
        <v>0</v>
      </c>
      <c r="M76" s="205">
        <v>0</v>
      </c>
      <c r="N76" s="85">
        <f t="shared" si="5"/>
        <v>2</v>
      </c>
      <c r="O76" s="43">
        <f t="shared" si="6"/>
        <v>2</v>
      </c>
    </row>
    <row r="77" spans="1:15" ht="22.5" customHeight="1" x14ac:dyDescent="0.3">
      <c r="A77" s="190" t="s">
        <v>158</v>
      </c>
      <c r="B77" s="44">
        <v>2</v>
      </c>
      <c r="C77" s="39">
        <v>1</v>
      </c>
      <c r="D77" s="39">
        <v>1</v>
      </c>
      <c r="E77" s="39">
        <v>0</v>
      </c>
      <c r="F77" s="194">
        <v>0</v>
      </c>
      <c r="G77" s="196">
        <f t="shared" si="4"/>
        <v>4</v>
      </c>
      <c r="H77" s="203">
        <v>0</v>
      </c>
      <c r="I77" s="204">
        <v>0</v>
      </c>
      <c r="J77" s="204">
        <v>0</v>
      </c>
      <c r="K77" s="204">
        <v>0</v>
      </c>
      <c r="L77" s="204">
        <v>0</v>
      </c>
      <c r="M77" s="205">
        <v>0</v>
      </c>
      <c r="N77" s="85">
        <f t="shared" si="5"/>
        <v>4</v>
      </c>
      <c r="O77" s="43">
        <f t="shared" si="6"/>
        <v>4</v>
      </c>
    </row>
    <row r="78" spans="1:15" ht="22.5" customHeight="1" x14ac:dyDescent="0.3">
      <c r="A78" s="190" t="s">
        <v>159</v>
      </c>
      <c r="B78" s="44">
        <v>0</v>
      </c>
      <c r="C78" s="39">
        <v>0</v>
      </c>
      <c r="D78" s="39">
        <v>0</v>
      </c>
      <c r="E78" s="39">
        <v>0</v>
      </c>
      <c r="F78" s="194">
        <v>0</v>
      </c>
      <c r="G78" s="196">
        <f t="shared" si="4"/>
        <v>0</v>
      </c>
      <c r="H78" s="203">
        <v>0</v>
      </c>
      <c r="I78" s="204">
        <v>0</v>
      </c>
      <c r="J78" s="204">
        <v>0</v>
      </c>
      <c r="K78" s="204">
        <v>0</v>
      </c>
      <c r="L78" s="204">
        <v>0</v>
      </c>
      <c r="M78" s="205">
        <v>0</v>
      </c>
      <c r="N78" s="85">
        <f t="shared" si="5"/>
        <v>0</v>
      </c>
      <c r="O78" s="43">
        <f t="shared" si="6"/>
        <v>0</v>
      </c>
    </row>
    <row r="79" spans="1:15" ht="22.5" customHeight="1" x14ac:dyDescent="0.3">
      <c r="A79" s="190" t="s">
        <v>160</v>
      </c>
      <c r="B79" s="44">
        <v>0</v>
      </c>
      <c r="C79" s="39">
        <v>0</v>
      </c>
      <c r="D79" s="39">
        <v>0</v>
      </c>
      <c r="E79" s="39">
        <v>0</v>
      </c>
      <c r="F79" s="194">
        <v>0</v>
      </c>
      <c r="G79" s="196">
        <f t="shared" si="4"/>
        <v>0</v>
      </c>
      <c r="H79" s="203">
        <v>0</v>
      </c>
      <c r="I79" s="204">
        <v>0</v>
      </c>
      <c r="J79" s="204">
        <v>0</v>
      </c>
      <c r="K79" s="204">
        <v>0</v>
      </c>
      <c r="L79" s="204">
        <v>0</v>
      </c>
      <c r="M79" s="205">
        <v>0</v>
      </c>
      <c r="N79" s="85">
        <f t="shared" si="5"/>
        <v>0</v>
      </c>
      <c r="O79" s="43">
        <f t="shared" si="6"/>
        <v>0</v>
      </c>
    </row>
    <row r="80" spans="1:15" ht="22.5" customHeight="1" x14ac:dyDescent="0.3">
      <c r="A80" s="190" t="s">
        <v>161</v>
      </c>
      <c r="B80" s="44">
        <v>1</v>
      </c>
      <c r="C80" s="39">
        <v>1</v>
      </c>
      <c r="D80" s="39">
        <v>0</v>
      </c>
      <c r="E80" s="39">
        <v>1</v>
      </c>
      <c r="F80" s="194">
        <v>1</v>
      </c>
      <c r="G80" s="196">
        <f t="shared" si="4"/>
        <v>4</v>
      </c>
      <c r="H80" s="203">
        <v>0</v>
      </c>
      <c r="I80" s="204">
        <v>0</v>
      </c>
      <c r="J80" s="204">
        <v>0</v>
      </c>
      <c r="K80" s="204">
        <v>0</v>
      </c>
      <c r="L80" s="204">
        <v>0</v>
      </c>
      <c r="M80" s="205">
        <v>0</v>
      </c>
      <c r="N80" s="85">
        <f t="shared" si="5"/>
        <v>4</v>
      </c>
      <c r="O80" s="43">
        <f t="shared" si="6"/>
        <v>9</v>
      </c>
    </row>
    <row r="81" spans="1:15" ht="22.5" customHeight="1" x14ac:dyDescent="0.3">
      <c r="A81" s="190" t="s">
        <v>162</v>
      </c>
      <c r="B81" s="44">
        <v>2</v>
      </c>
      <c r="C81" s="39">
        <v>1</v>
      </c>
      <c r="D81" s="39">
        <v>0</v>
      </c>
      <c r="E81" s="39">
        <v>2</v>
      </c>
      <c r="F81" s="194">
        <v>1</v>
      </c>
      <c r="G81" s="196">
        <f t="shared" si="4"/>
        <v>6</v>
      </c>
      <c r="H81" s="203">
        <v>0</v>
      </c>
      <c r="I81" s="204">
        <v>0</v>
      </c>
      <c r="J81" s="204">
        <v>0</v>
      </c>
      <c r="K81" s="204">
        <v>0</v>
      </c>
      <c r="L81" s="204">
        <v>0</v>
      </c>
      <c r="M81" s="205">
        <v>0</v>
      </c>
      <c r="N81" s="85">
        <f t="shared" si="5"/>
        <v>6</v>
      </c>
      <c r="O81" s="43">
        <f t="shared" si="6"/>
        <v>13</v>
      </c>
    </row>
    <row r="82" spans="1:15" ht="22.5" customHeight="1" x14ac:dyDescent="0.3">
      <c r="A82" s="190" t="s">
        <v>163</v>
      </c>
      <c r="B82" s="44">
        <v>1</v>
      </c>
      <c r="C82" s="39">
        <v>0</v>
      </c>
      <c r="D82" s="39">
        <v>3</v>
      </c>
      <c r="E82" s="39">
        <v>0</v>
      </c>
      <c r="F82" s="194">
        <v>1</v>
      </c>
      <c r="G82" s="196">
        <f t="shared" si="4"/>
        <v>5</v>
      </c>
      <c r="H82" s="203">
        <v>0</v>
      </c>
      <c r="I82" s="204">
        <v>0</v>
      </c>
      <c r="J82" s="204">
        <v>0</v>
      </c>
      <c r="K82" s="204">
        <v>0</v>
      </c>
      <c r="L82" s="204">
        <v>0</v>
      </c>
      <c r="M82" s="205">
        <v>0</v>
      </c>
      <c r="N82" s="85">
        <f t="shared" si="5"/>
        <v>5</v>
      </c>
      <c r="O82" s="43">
        <f t="shared" si="6"/>
        <v>10</v>
      </c>
    </row>
    <row r="83" spans="1:15" ht="22.5" customHeight="1" x14ac:dyDescent="0.3">
      <c r="A83" s="190" t="s">
        <v>164</v>
      </c>
      <c r="B83" s="44">
        <v>0</v>
      </c>
      <c r="C83" s="39">
        <v>0</v>
      </c>
      <c r="D83" s="39">
        <v>2</v>
      </c>
      <c r="E83" s="39">
        <v>3</v>
      </c>
      <c r="F83" s="194">
        <v>0</v>
      </c>
      <c r="G83" s="196">
        <f t="shared" si="4"/>
        <v>5</v>
      </c>
      <c r="H83" s="203">
        <v>0</v>
      </c>
      <c r="I83" s="204">
        <v>0</v>
      </c>
      <c r="J83" s="204">
        <v>0</v>
      </c>
      <c r="K83" s="204">
        <v>0</v>
      </c>
      <c r="L83" s="204">
        <v>0</v>
      </c>
      <c r="M83" s="205">
        <v>0</v>
      </c>
      <c r="N83" s="85">
        <f t="shared" si="5"/>
        <v>5</v>
      </c>
      <c r="O83" s="43">
        <f t="shared" si="6"/>
        <v>12</v>
      </c>
    </row>
    <row r="84" spans="1:15" ht="22.5" customHeight="1" x14ac:dyDescent="0.3">
      <c r="A84" s="190" t="s">
        <v>165</v>
      </c>
      <c r="B84" s="44">
        <v>0</v>
      </c>
      <c r="C84" s="39">
        <v>0</v>
      </c>
      <c r="D84" s="39">
        <v>1</v>
      </c>
      <c r="E84" s="39">
        <v>0</v>
      </c>
      <c r="F84" s="194">
        <v>0</v>
      </c>
      <c r="G84" s="196">
        <f t="shared" si="4"/>
        <v>1</v>
      </c>
      <c r="H84" s="203">
        <v>0</v>
      </c>
      <c r="I84" s="204">
        <v>0</v>
      </c>
      <c r="J84" s="204">
        <v>0</v>
      </c>
      <c r="K84" s="204">
        <v>0</v>
      </c>
      <c r="L84" s="204">
        <v>0</v>
      </c>
      <c r="M84" s="205">
        <v>0</v>
      </c>
      <c r="N84" s="85">
        <f t="shared" si="5"/>
        <v>1</v>
      </c>
      <c r="O84" s="43">
        <f t="shared" si="6"/>
        <v>1.5</v>
      </c>
    </row>
    <row r="85" spans="1:15" ht="22.5" customHeight="1" x14ac:dyDescent="0.3">
      <c r="A85" s="190" t="s">
        <v>166</v>
      </c>
      <c r="B85" s="44">
        <v>0</v>
      </c>
      <c r="C85" s="39">
        <v>1</v>
      </c>
      <c r="D85" s="39">
        <v>2</v>
      </c>
      <c r="E85" s="39">
        <v>1</v>
      </c>
      <c r="F85" s="194">
        <v>0</v>
      </c>
      <c r="G85" s="196">
        <f t="shared" si="4"/>
        <v>4</v>
      </c>
      <c r="H85" s="203">
        <v>0</v>
      </c>
      <c r="I85" s="204">
        <v>0</v>
      </c>
      <c r="J85" s="204">
        <v>0</v>
      </c>
      <c r="K85" s="204">
        <v>0</v>
      </c>
      <c r="L85" s="204">
        <v>0</v>
      </c>
      <c r="M85" s="205">
        <v>0</v>
      </c>
      <c r="N85" s="85">
        <f t="shared" si="5"/>
        <v>4</v>
      </c>
      <c r="O85" s="43">
        <f t="shared" si="6"/>
        <v>6.5</v>
      </c>
    </row>
    <row r="86" spans="1:15" ht="22.5" customHeight="1" x14ac:dyDescent="0.3">
      <c r="A86" s="190" t="s">
        <v>167</v>
      </c>
      <c r="B86" s="44">
        <v>0</v>
      </c>
      <c r="C86" s="39">
        <v>1</v>
      </c>
      <c r="D86" s="39">
        <v>1</v>
      </c>
      <c r="E86" s="39">
        <v>0</v>
      </c>
      <c r="F86" s="194">
        <v>0</v>
      </c>
      <c r="G86" s="196">
        <f t="shared" si="4"/>
        <v>2</v>
      </c>
      <c r="H86" s="203">
        <v>0</v>
      </c>
      <c r="I86" s="204">
        <v>0</v>
      </c>
      <c r="J86" s="204">
        <v>0</v>
      </c>
      <c r="K86" s="204">
        <v>0</v>
      </c>
      <c r="L86" s="204">
        <v>0</v>
      </c>
      <c r="M86" s="205">
        <v>0</v>
      </c>
      <c r="N86" s="85">
        <f t="shared" si="5"/>
        <v>2</v>
      </c>
      <c r="O86" s="43">
        <f t="shared" si="6"/>
        <v>2</v>
      </c>
    </row>
    <row r="87" spans="1:15" ht="22.5" customHeight="1" x14ac:dyDescent="0.3">
      <c r="A87" s="190" t="s">
        <v>168</v>
      </c>
      <c r="B87" s="44">
        <v>1</v>
      </c>
      <c r="C87" s="39">
        <v>0</v>
      </c>
      <c r="D87" s="39">
        <v>1</v>
      </c>
      <c r="E87" s="39">
        <v>0</v>
      </c>
      <c r="F87" s="194">
        <v>0</v>
      </c>
      <c r="G87" s="196">
        <f t="shared" si="4"/>
        <v>2</v>
      </c>
      <c r="H87" s="203">
        <v>0</v>
      </c>
      <c r="I87" s="204">
        <v>0</v>
      </c>
      <c r="J87" s="204">
        <v>0</v>
      </c>
      <c r="K87" s="204">
        <v>0</v>
      </c>
      <c r="L87" s="204">
        <v>0</v>
      </c>
      <c r="M87" s="205">
        <v>0</v>
      </c>
      <c r="N87" s="85">
        <f t="shared" si="5"/>
        <v>2</v>
      </c>
      <c r="O87" s="43">
        <f t="shared" si="6"/>
        <v>2.5</v>
      </c>
    </row>
    <row r="88" spans="1:15" ht="22.5" customHeight="1" x14ac:dyDescent="0.3">
      <c r="A88" s="190" t="s">
        <v>169</v>
      </c>
      <c r="B88" s="44">
        <v>2</v>
      </c>
      <c r="C88" s="39">
        <v>0</v>
      </c>
      <c r="D88" s="39">
        <v>1</v>
      </c>
      <c r="E88" s="39">
        <v>0</v>
      </c>
      <c r="F88" s="194">
        <v>0</v>
      </c>
      <c r="G88" s="196">
        <f t="shared" si="4"/>
        <v>3</v>
      </c>
      <c r="H88" s="203">
        <v>0</v>
      </c>
      <c r="I88" s="204">
        <v>0</v>
      </c>
      <c r="J88" s="204">
        <v>0</v>
      </c>
      <c r="K88" s="204">
        <v>0</v>
      </c>
      <c r="L88" s="204">
        <v>0</v>
      </c>
      <c r="M88" s="205">
        <v>0</v>
      </c>
      <c r="N88" s="85">
        <f t="shared" si="5"/>
        <v>3</v>
      </c>
      <c r="O88" s="43">
        <f t="shared" si="6"/>
        <v>3.5</v>
      </c>
    </row>
    <row r="89" spans="1:15" ht="22.5" customHeight="1" x14ac:dyDescent="0.3">
      <c r="A89" s="190" t="s">
        <v>170</v>
      </c>
      <c r="B89" s="44">
        <v>2</v>
      </c>
      <c r="C89" s="39">
        <v>3</v>
      </c>
      <c r="D89" s="39">
        <v>1</v>
      </c>
      <c r="E89" s="39">
        <v>2</v>
      </c>
      <c r="F89" s="194">
        <v>0</v>
      </c>
      <c r="G89" s="196">
        <f t="shared" si="4"/>
        <v>8</v>
      </c>
      <c r="H89" s="203">
        <v>0</v>
      </c>
      <c r="I89" s="204">
        <v>0</v>
      </c>
      <c r="J89" s="204">
        <v>0</v>
      </c>
      <c r="K89" s="204">
        <v>0</v>
      </c>
      <c r="L89" s="204">
        <v>0</v>
      </c>
      <c r="M89" s="205">
        <v>0</v>
      </c>
      <c r="N89" s="85">
        <f t="shared" si="5"/>
        <v>8</v>
      </c>
      <c r="O89" s="43">
        <f t="shared" si="6"/>
        <v>11</v>
      </c>
    </row>
    <row r="90" spans="1:15" ht="22.5" customHeight="1" x14ac:dyDescent="0.3">
      <c r="A90" s="190" t="s">
        <v>171</v>
      </c>
      <c r="B90" s="44">
        <v>2</v>
      </c>
      <c r="C90" s="39">
        <v>3</v>
      </c>
      <c r="D90" s="39">
        <v>2</v>
      </c>
      <c r="E90" s="39">
        <v>1</v>
      </c>
      <c r="F90" s="194">
        <v>0</v>
      </c>
      <c r="G90" s="196">
        <f t="shared" si="4"/>
        <v>8</v>
      </c>
      <c r="H90" s="203">
        <v>0</v>
      </c>
      <c r="I90" s="204">
        <v>0</v>
      </c>
      <c r="J90" s="204">
        <v>0</v>
      </c>
      <c r="K90" s="204">
        <v>0</v>
      </c>
      <c r="L90" s="204">
        <v>0</v>
      </c>
      <c r="M90" s="205">
        <v>0</v>
      </c>
      <c r="N90" s="85">
        <f t="shared" si="5"/>
        <v>8</v>
      </c>
      <c r="O90" s="43">
        <f t="shared" si="6"/>
        <v>9.5</v>
      </c>
    </row>
    <row r="91" spans="1:15" ht="22.5" customHeight="1" x14ac:dyDescent="0.3">
      <c r="A91" s="190" t="s">
        <v>172</v>
      </c>
      <c r="B91" s="44">
        <v>1</v>
      </c>
      <c r="C91" s="39">
        <v>5</v>
      </c>
      <c r="D91" s="39">
        <v>1</v>
      </c>
      <c r="E91" s="39">
        <v>1</v>
      </c>
      <c r="F91" s="194">
        <v>0</v>
      </c>
      <c r="G91" s="196">
        <f t="shared" si="4"/>
        <v>8</v>
      </c>
      <c r="H91" s="203">
        <v>0</v>
      </c>
      <c r="I91" s="204">
        <v>0</v>
      </c>
      <c r="J91" s="204">
        <v>0</v>
      </c>
      <c r="K91" s="204">
        <v>0</v>
      </c>
      <c r="L91" s="204">
        <v>0</v>
      </c>
      <c r="M91" s="205">
        <v>0</v>
      </c>
      <c r="N91" s="85">
        <f t="shared" si="5"/>
        <v>8</v>
      </c>
      <c r="O91" s="43">
        <f t="shared" si="6"/>
        <v>8</v>
      </c>
    </row>
    <row r="92" spans="1:15" ht="22.5" customHeight="1" x14ac:dyDescent="0.3">
      <c r="A92" s="190" t="s">
        <v>173</v>
      </c>
      <c r="B92" s="44">
        <v>2</v>
      </c>
      <c r="C92" s="39">
        <v>1</v>
      </c>
      <c r="D92" s="39">
        <v>2</v>
      </c>
      <c r="E92" s="39">
        <v>0</v>
      </c>
      <c r="F92" s="194">
        <v>0</v>
      </c>
      <c r="G92" s="196">
        <f t="shared" si="4"/>
        <v>5</v>
      </c>
      <c r="H92" s="203">
        <v>0</v>
      </c>
      <c r="I92" s="204">
        <v>0</v>
      </c>
      <c r="J92" s="204">
        <v>0</v>
      </c>
      <c r="K92" s="204">
        <v>0</v>
      </c>
      <c r="L92" s="204">
        <v>0</v>
      </c>
      <c r="M92" s="205">
        <v>0</v>
      </c>
      <c r="N92" s="85">
        <f t="shared" si="5"/>
        <v>5</v>
      </c>
      <c r="O92" s="43">
        <f t="shared" si="6"/>
        <v>5.5</v>
      </c>
    </row>
    <row r="93" spans="1:15" ht="22.5" customHeight="1" x14ac:dyDescent="0.3">
      <c r="A93" s="190" t="s">
        <v>174</v>
      </c>
      <c r="B93" s="44">
        <v>3</v>
      </c>
      <c r="C93" s="39">
        <v>2</v>
      </c>
      <c r="D93" s="39">
        <v>0</v>
      </c>
      <c r="E93" s="39">
        <v>0</v>
      </c>
      <c r="F93" s="194">
        <v>0</v>
      </c>
      <c r="G93" s="196">
        <f t="shared" si="4"/>
        <v>5</v>
      </c>
      <c r="H93" s="203">
        <v>0</v>
      </c>
      <c r="I93" s="204">
        <v>0</v>
      </c>
      <c r="J93" s="204">
        <v>0</v>
      </c>
      <c r="K93" s="204">
        <v>0</v>
      </c>
      <c r="L93" s="204">
        <v>0</v>
      </c>
      <c r="M93" s="205">
        <v>0</v>
      </c>
      <c r="N93" s="85">
        <f t="shared" si="5"/>
        <v>5</v>
      </c>
      <c r="O93" s="43">
        <f t="shared" si="6"/>
        <v>4</v>
      </c>
    </row>
    <row r="94" spans="1:15" ht="22.5" customHeight="1" x14ac:dyDescent="0.3">
      <c r="A94" s="190" t="s">
        <v>175</v>
      </c>
      <c r="B94" s="44">
        <v>5</v>
      </c>
      <c r="C94" s="39">
        <v>2</v>
      </c>
      <c r="D94" s="39">
        <v>1</v>
      </c>
      <c r="E94" s="39">
        <v>0</v>
      </c>
      <c r="F94" s="194">
        <v>0</v>
      </c>
      <c r="G94" s="196">
        <f t="shared" si="4"/>
        <v>8</v>
      </c>
      <c r="H94" s="203">
        <v>0</v>
      </c>
      <c r="I94" s="204">
        <v>0</v>
      </c>
      <c r="J94" s="204">
        <v>0</v>
      </c>
      <c r="K94" s="204">
        <v>0</v>
      </c>
      <c r="L94" s="204">
        <v>0</v>
      </c>
      <c r="M94" s="205">
        <v>0</v>
      </c>
      <c r="N94" s="85">
        <f t="shared" si="5"/>
        <v>8</v>
      </c>
      <c r="O94" s="43">
        <f t="shared" si="6"/>
        <v>7.5</v>
      </c>
    </row>
    <row r="95" spans="1:15" ht="22.5" customHeight="1" x14ac:dyDescent="0.3">
      <c r="A95" s="190" t="s">
        <v>176</v>
      </c>
      <c r="B95" s="44">
        <v>1</v>
      </c>
      <c r="C95" s="39">
        <v>0</v>
      </c>
      <c r="D95" s="39">
        <v>3</v>
      </c>
      <c r="E95" s="39">
        <v>0</v>
      </c>
      <c r="F95" s="194">
        <v>0</v>
      </c>
      <c r="G95" s="196">
        <f t="shared" si="4"/>
        <v>4</v>
      </c>
      <c r="H95" s="203">
        <v>0</v>
      </c>
      <c r="I95" s="204">
        <v>0</v>
      </c>
      <c r="J95" s="204">
        <v>0</v>
      </c>
      <c r="K95" s="204">
        <v>0</v>
      </c>
      <c r="L95" s="204">
        <v>0</v>
      </c>
      <c r="M95" s="205">
        <v>0</v>
      </c>
      <c r="N95" s="85">
        <f t="shared" si="5"/>
        <v>4</v>
      </c>
      <c r="O95" s="43">
        <f t="shared" si="6"/>
        <v>5.5</v>
      </c>
    </row>
    <row r="96" spans="1:15" ht="22.5" customHeight="1" x14ac:dyDescent="0.3">
      <c r="A96" s="190" t="s">
        <v>135</v>
      </c>
      <c r="B96" s="44">
        <v>2</v>
      </c>
      <c r="C96" s="39">
        <v>1</v>
      </c>
      <c r="D96" s="39">
        <v>0</v>
      </c>
      <c r="E96" s="39">
        <v>0</v>
      </c>
      <c r="F96" s="194">
        <v>1</v>
      </c>
      <c r="G96" s="196">
        <f t="shared" si="4"/>
        <v>4</v>
      </c>
      <c r="H96" s="203">
        <v>0</v>
      </c>
      <c r="I96" s="204">
        <v>0</v>
      </c>
      <c r="J96" s="204">
        <v>0</v>
      </c>
      <c r="K96" s="204">
        <v>0</v>
      </c>
      <c r="L96" s="204">
        <v>0</v>
      </c>
      <c r="M96" s="205">
        <v>0</v>
      </c>
      <c r="N96" s="85">
        <f t="shared" si="5"/>
        <v>4</v>
      </c>
      <c r="O96" s="43">
        <f t="shared" si="6"/>
        <v>7</v>
      </c>
    </row>
    <row r="97" spans="1:15" ht="22.5" customHeight="1" x14ac:dyDescent="0.3">
      <c r="A97" s="190" t="s">
        <v>136</v>
      </c>
      <c r="B97" s="44">
        <v>1</v>
      </c>
      <c r="C97" s="39">
        <v>2</v>
      </c>
      <c r="D97" s="39">
        <v>1</v>
      </c>
      <c r="E97" s="39">
        <v>0</v>
      </c>
      <c r="F97" s="194">
        <v>0</v>
      </c>
      <c r="G97" s="196">
        <f t="shared" si="4"/>
        <v>4</v>
      </c>
      <c r="H97" s="203">
        <v>0</v>
      </c>
      <c r="I97" s="204">
        <v>0</v>
      </c>
      <c r="J97" s="204">
        <v>0</v>
      </c>
      <c r="K97" s="204">
        <v>0</v>
      </c>
      <c r="L97" s="204">
        <v>0</v>
      </c>
      <c r="M97" s="205">
        <v>0</v>
      </c>
      <c r="N97" s="85">
        <f t="shared" si="5"/>
        <v>4</v>
      </c>
      <c r="O97" s="43">
        <f t="shared" si="6"/>
        <v>3.5</v>
      </c>
    </row>
    <row r="98" spans="1:15" ht="22.5" customHeight="1" x14ac:dyDescent="0.3">
      <c r="A98" s="190" t="s">
        <v>137</v>
      </c>
      <c r="B98" s="44">
        <v>8</v>
      </c>
      <c r="C98" s="39">
        <v>4</v>
      </c>
      <c r="D98" s="39">
        <v>1</v>
      </c>
      <c r="E98" s="39">
        <v>0</v>
      </c>
      <c r="F98" s="194">
        <v>0</v>
      </c>
      <c r="G98" s="196">
        <f t="shared" si="4"/>
        <v>13</v>
      </c>
      <c r="H98" s="203">
        <v>0</v>
      </c>
      <c r="I98" s="204">
        <v>0</v>
      </c>
      <c r="J98" s="204">
        <v>0</v>
      </c>
      <c r="K98" s="204">
        <v>0</v>
      </c>
      <c r="L98" s="204">
        <v>0</v>
      </c>
      <c r="M98" s="205">
        <v>0</v>
      </c>
      <c r="N98" s="85">
        <f t="shared" si="5"/>
        <v>13</v>
      </c>
      <c r="O98" s="43">
        <f t="shared" si="6"/>
        <v>11.5</v>
      </c>
    </row>
    <row r="99" spans="1:15" ht="22.5" customHeight="1" x14ac:dyDescent="0.3">
      <c r="A99" s="190" t="s">
        <v>138</v>
      </c>
      <c r="B99" s="44">
        <v>18</v>
      </c>
      <c r="C99" s="39">
        <v>13</v>
      </c>
      <c r="D99" s="39">
        <v>2</v>
      </c>
      <c r="E99" s="39">
        <v>0</v>
      </c>
      <c r="F99" s="194">
        <v>2</v>
      </c>
      <c r="G99" s="196">
        <f t="shared" si="4"/>
        <v>35</v>
      </c>
      <c r="H99" s="203">
        <v>0</v>
      </c>
      <c r="I99" s="204">
        <v>0</v>
      </c>
      <c r="J99" s="204">
        <v>0</v>
      </c>
      <c r="K99" s="204">
        <v>0</v>
      </c>
      <c r="L99" s="204">
        <v>0</v>
      </c>
      <c r="M99" s="205">
        <v>0</v>
      </c>
      <c r="N99" s="85">
        <f t="shared" si="5"/>
        <v>35</v>
      </c>
      <c r="O99" s="43">
        <f t="shared" si="6"/>
        <v>36.5</v>
      </c>
    </row>
    <row r="100" spans="1:15" ht="22.5" customHeight="1" x14ac:dyDescent="0.3">
      <c r="A100" s="190" t="s">
        <v>139</v>
      </c>
      <c r="B100" s="44">
        <v>13</v>
      </c>
      <c r="C100" s="39">
        <v>7</v>
      </c>
      <c r="D100" s="39">
        <v>2</v>
      </c>
      <c r="E100" s="39">
        <v>0</v>
      </c>
      <c r="F100" s="194">
        <v>0</v>
      </c>
      <c r="G100" s="196">
        <f t="shared" si="4"/>
        <v>22</v>
      </c>
      <c r="H100" s="203">
        <v>0</v>
      </c>
      <c r="I100" s="204">
        <v>0</v>
      </c>
      <c r="J100" s="204">
        <v>0</v>
      </c>
      <c r="K100" s="204">
        <v>0</v>
      </c>
      <c r="L100" s="204">
        <v>0</v>
      </c>
      <c r="M100" s="205">
        <v>0</v>
      </c>
      <c r="N100" s="85">
        <f t="shared" si="5"/>
        <v>22</v>
      </c>
      <c r="O100" s="43">
        <f t="shared" si="6"/>
        <v>19.5</v>
      </c>
    </row>
    <row r="101" spans="1:15" ht="22.5" customHeight="1" x14ac:dyDescent="0.3">
      <c r="A101" s="190" t="s">
        <v>140</v>
      </c>
      <c r="B101" s="44">
        <v>8</v>
      </c>
      <c r="C101" s="39">
        <v>6</v>
      </c>
      <c r="D101" s="39">
        <v>0</v>
      </c>
      <c r="E101" s="39">
        <v>0</v>
      </c>
      <c r="F101" s="194">
        <v>0</v>
      </c>
      <c r="G101" s="196">
        <f t="shared" si="4"/>
        <v>14</v>
      </c>
      <c r="H101" s="203">
        <v>0</v>
      </c>
      <c r="I101" s="204">
        <v>0</v>
      </c>
      <c r="J101" s="204">
        <v>0</v>
      </c>
      <c r="K101" s="204">
        <v>0</v>
      </c>
      <c r="L101" s="204">
        <v>0</v>
      </c>
      <c r="M101" s="205">
        <v>0</v>
      </c>
      <c r="N101" s="85">
        <f t="shared" si="5"/>
        <v>14</v>
      </c>
      <c r="O101" s="43">
        <f t="shared" si="6"/>
        <v>11</v>
      </c>
    </row>
    <row r="102" spans="1:15" ht="22.5" customHeight="1" x14ac:dyDescent="0.3">
      <c r="A102" s="190" t="s">
        <v>141</v>
      </c>
      <c r="B102" s="44">
        <v>9</v>
      </c>
      <c r="C102" s="39">
        <v>7</v>
      </c>
      <c r="D102" s="39">
        <v>0</v>
      </c>
      <c r="E102" s="39">
        <v>0</v>
      </c>
      <c r="F102" s="194">
        <v>2</v>
      </c>
      <c r="G102" s="196">
        <f t="shared" si="4"/>
        <v>18</v>
      </c>
      <c r="H102" s="203">
        <v>0</v>
      </c>
      <c r="I102" s="204">
        <v>0</v>
      </c>
      <c r="J102" s="204">
        <v>0</v>
      </c>
      <c r="K102" s="204">
        <v>0</v>
      </c>
      <c r="L102" s="204">
        <v>0</v>
      </c>
      <c r="M102" s="205">
        <v>0</v>
      </c>
      <c r="N102" s="85">
        <f t="shared" si="5"/>
        <v>18</v>
      </c>
      <c r="O102" s="43">
        <f t="shared" si="6"/>
        <v>21.5</v>
      </c>
    </row>
    <row r="103" spans="1:15" ht="22.5" customHeight="1" thickBot="1" x14ac:dyDescent="0.35">
      <c r="A103" s="191" t="s">
        <v>142</v>
      </c>
      <c r="B103" s="46">
        <v>5</v>
      </c>
      <c r="C103" s="47">
        <v>2</v>
      </c>
      <c r="D103" s="47">
        <v>2</v>
      </c>
      <c r="E103" s="47">
        <v>0</v>
      </c>
      <c r="F103" s="195">
        <v>0</v>
      </c>
      <c r="G103" s="197">
        <f t="shared" si="4"/>
        <v>9</v>
      </c>
      <c r="H103" s="206">
        <v>0</v>
      </c>
      <c r="I103" s="207">
        <v>0</v>
      </c>
      <c r="J103" s="207">
        <v>0</v>
      </c>
      <c r="K103" s="207">
        <v>0</v>
      </c>
      <c r="L103" s="207">
        <v>0</v>
      </c>
      <c r="M103" s="208">
        <v>0</v>
      </c>
      <c r="N103" s="116">
        <f t="shared" si="5"/>
        <v>9</v>
      </c>
      <c r="O103" s="84">
        <f t="shared" si="6"/>
        <v>9</v>
      </c>
    </row>
    <row r="104" spans="1:15" ht="22.5" customHeight="1" thickBot="1" x14ac:dyDescent="0.35">
      <c r="A104" s="86" t="s">
        <v>11</v>
      </c>
      <c r="B104" s="117">
        <f t="shared" ref="B104:N104" si="7">SUM(B8:B103)</f>
        <v>1478</v>
      </c>
      <c r="C104" s="117">
        <f t="shared" si="7"/>
        <v>687</v>
      </c>
      <c r="D104" s="117">
        <f t="shared" si="7"/>
        <v>213</v>
      </c>
      <c r="E104" s="118">
        <f t="shared" si="7"/>
        <v>47</v>
      </c>
      <c r="F104" s="118">
        <f t="shared" si="7"/>
        <v>132</v>
      </c>
      <c r="G104" s="94">
        <f t="shared" si="7"/>
        <v>2557</v>
      </c>
      <c r="H104" s="117">
        <f t="shared" si="7"/>
        <v>0</v>
      </c>
      <c r="I104" s="117">
        <f t="shared" si="7"/>
        <v>0</v>
      </c>
      <c r="J104" s="117">
        <f t="shared" si="7"/>
        <v>0</v>
      </c>
      <c r="K104" s="118">
        <f t="shared" si="7"/>
        <v>0</v>
      </c>
      <c r="L104" s="118">
        <f t="shared" si="7"/>
        <v>3</v>
      </c>
      <c r="M104" s="199">
        <f>SUM(M8:M103)</f>
        <v>3</v>
      </c>
      <c r="N104" s="95">
        <f t="shared" si="7"/>
        <v>2560</v>
      </c>
      <c r="O104" s="142">
        <f>SUM(O8:O103)</f>
        <v>2900</v>
      </c>
    </row>
    <row r="105" spans="1:15" ht="22.5" customHeight="1" thickBot="1" x14ac:dyDescent="0.35">
      <c r="A105" s="41" t="s">
        <v>143</v>
      </c>
      <c r="B105" s="88">
        <f>+B104*1</f>
        <v>1478</v>
      </c>
      <c r="C105" s="88">
        <f>+C104*0.5</f>
        <v>343.5</v>
      </c>
      <c r="D105" s="88">
        <f>+D104*1.5</f>
        <v>319.5</v>
      </c>
      <c r="E105" s="88">
        <f>+E104*3</f>
        <v>141</v>
      </c>
      <c r="F105" s="89">
        <f>+F104*4.5</f>
        <v>594</v>
      </c>
      <c r="G105" s="90">
        <f>SUM(B105:F105)</f>
        <v>2876</v>
      </c>
      <c r="H105" s="88">
        <f>+H104*0.5</f>
        <v>0</v>
      </c>
      <c r="I105" s="89">
        <f>+I104*1.5</f>
        <v>0</v>
      </c>
      <c r="J105" s="89">
        <f>+J104*3</f>
        <v>0</v>
      </c>
      <c r="K105" s="96">
        <f>+K104*4</f>
        <v>0</v>
      </c>
      <c r="L105" s="96">
        <f>+L104*8</f>
        <v>24</v>
      </c>
      <c r="M105" s="147">
        <f>SUM(H105:L105)</f>
        <v>24</v>
      </c>
      <c r="N105" s="91"/>
      <c r="O105" s="92">
        <f>G105+M105</f>
        <v>2900</v>
      </c>
    </row>
    <row r="106" spans="1:15" ht="22.5" customHeight="1" thickBot="1" x14ac:dyDescent="0.35">
      <c r="A106" s="42" t="s">
        <v>12</v>
      </c>
      <c r="B106" s="93">
        <f t="shared" ref="B106:N106" si="8">B104/$N$104</f>
        <v>0.57734375000000004</v>
      </c>
      <c r="C106" s="93">
        <f t="shared" si="8"/>
        <v>0.26835937500000001</v>
      </c>
      <c r="D106" s="93">
        <f t="shared" si="8"/>
        <v>8.3203125000000003E-2</v>
      </c>
      <c r="E106" s="93">
        <f t="shared" si="8"/>
        <v>1.8359375000000001E-2</v>
      </c>
      <c r="F106" s="93">
        <f t="shared" si="8"/>
        <v>5.1562499999999997E-2</v>
      </c>
      <c r="G106" s="98">
        <f t="shared" si="8"/>
        <v>0.99882812499999996</v>
      </c>
      <c r="H106" s="93">
        <f t="shared" si="8"/>
        <v>0</v>
      </c>
      <c r="I106" s="93">
        <f t="shared" si="8"/>
        <v>0</v>
      </c>
      <c r="J106" s="93">
        <f t="shared" si="8"/>
        <v>0</v>
      </c>
      <c r="K106" s="97">
        <f t="shared" si="8"/>
        <v>0</v>
      </c>
      <c r="L106" s="97">
        <f t="shared" si="8"/>
        <v>1.171875E-3</v>
      </c>
      <c r="M106" s="98">
        <f t="shared" si="8"/>
        <v>1.171875E-3</v>
      </c>
      <c r="N106" s="99">
        <f t="shared" si="8"/>
        <v>1</v>
      </c>
      <c r="O106" s="94"/>
    </row>
    <row r="108" spans="1:15" s="4" customFormat="1" x14ac:dyDescent="0.3">
      <c r="A108" s="4" t="s">
        <v>103</v>
      </c>
      <c r="B108" s="4" t="str">
        <f>B2</f>
        <v>TMC-14 Number (D2)</v>
      </c>
    </row>
    <row r="109" spans="1:15" s="4" customFormat="1" x14ac:dyDescent="0.3">
      <c r="A109" s="4" t="s">
        <v>102</v>
      </c>
      <c r="B109" s="4" t="str">
        <f>B3</f>
        <v>D2</v>
      </c>
    </row>
    <row r="110" spans="1:15" s="4" customFormat="1" x14ac:dyDescent="0.3">
      <c r="A110" s="4" t="s">
        <v>104</v>
      </c>
      <c r="B110" s="4" t="str">
        <f>B4</f>
        <v>Delhi</v>
      </c>
      <c r="D110" s="4" t="str">
        <f>D4</f>
        <v>To:</v>
      </c>
    </row>
    <row r="111" spans="1:15" ht="16.2" thickBot="1" x14ac:dyDescent="0.35"/>
    <row r="112" spans="1:15" ht="25.2" customHeight="1" x14ac:dyDescent="0.3">
      <c r="A112" s="252" t="s">
        <v>95</v>
      </c>
      <c r="B112" s="258" t="s">
        <v>280</v>
      </c>
      <c r="C112" s="254" t="s">
        <v>281</v>
      </c>
      <c r="D112" s="250" t="s">
        <v>282</v>
      </c>
      <c r="E112" s="260" t="s">
        <v>283</v>
      </c>
      <c r="F112" s="256" t="s">
        <v>284</v>
      </c>
      <c r="G112" s="250" t="s">
        <v>129</v>
      </c>
      <c r="H112" s="248" t="s">
        <v>150</v>
      </c>
      <c r="I112" s="250" t="s">
        <v>151</v>
      </c>
      <c r="J112" s="250" t="s">
        <v>285</v>
      </c>
      <c r="K112" s="248" t="s">
        <v>286</v>
      </c>
      <c r="L112" s="250" t="s">
        <v>287</v>
      </c>
      <c r="M112" s="250" t="s">
        <v>78</v>
      </c>
      <c r="N112" s="250" t="s">
        <v>131</v>
      </c>
      <c r="O112" s="250" t="s">
        <v>132</v>
      </c>
    </row>
    <row r="113" spans="1:15" ht="43.5" customHeight="1" thickBot="1" x14ac:dyDescent="0.35">
      <c r="A113" s="253"/>
      <c r="B113" s="259"/>
      <c r="C113" s="255"/>
      <c r="D113" s="251"/>
      <c r="E113" s="261"/>
      <c r="F113" s="257"/>
      <c r="G113" s="259"/>
      <c r="H113" s="249"/>
      <c r="I113" s="251"/>
      <c r="J113" s="251"/>
      <c r="K113" s="249"/>
      <c r="L113" s="251"/>
      <c r="M113" s="251"/>
      <c r="N113" s="251"/>
      <c r="O113" s="251"/>
    </row>
    <row r="114" spans="1:15" ht="22.95" customHeight="1" x14ac:dyDescent="0.3">
      <c r="A114" s="52" t="s">
        <v>15</v>
      </c>
      <c r="B114" s="112">
        <f>B8+B9+B10+B11</f>
        <v>34</v>
      </c>
      <c r="C114" s="113">
        <f t="shared" ref="C114:F115" si="9">C8+C9+C10+C11</f>
        <v>50</v>
      </c>
      <c r="D114" s="113">
        <f t="shared" si="9"/>
        <v>12</v>
      </c>
      <c r="E114" s="113">
        <f t="shared" si="9"/>
        <v>3</v>
      </c>
      <c r="F114" s="113">
        <f t="shared" si="9"/>
        <v>6</v>
      </c>
      <c r="G114" s="49">
        <f t="shared" ref="G114:G145" si="10">SUM(B114:F114)</f>
        <v>105</v>
      </c>
      <c r="H114" s="112">
        <f t="shared" ref="H114" si="11">H8+H9+H10+H11</f>
        <v>0</v>
      </c>
      <c r="I114" s="113">
        <f t="shared" ref="I114:L114" si="12">I8+I9+I10+I11</f>
        <v>0</v>
      </c>
      <c r="J114" s="113">
        <f t="shared" si="12"/>
        <v>0</v>
      </c>
      <c r="K114" s="114">
        <f t="shared" si="12"/>
        <v>0</v>
      </c>
      <c r="L114" s="143">
        <f t="shared" si="12"/>
        <v>0</v>
      </c>
      <c r="M114" s="49">
        <f>SUM(H114:K114)</f>
        <v>0</v>
      </c>
      <c r="N114" s="40">
        <f>G114+M114</f>
        <v>105</v>
      </c>
      <c r="O114" s="115">
        <f>B114*1+C114*0.5+D114*1.5+E114*3+F114*4.5+H114*0.5+I114*1.5+J114*3+K114*4+L114*8</f>
        <v>113</v>
      </c>
    </row>
    <row r="115" spans="1:15" ht="22.95" customHeight="1" x14ac:dyDescent="0.3">
      <c r="A115" s="52" t="s">
        <v>16</v>
      </c>
      <c r="B115" s="44">
        <f>B9+B10+B11+B12</f>
        <v>45</v>
      </c>
      <c r="C115" s="39">
        <f t="shared" si="9"/>
        <v>55</v>
      </c>
      <c r="D115" s="39">
        <f t="shared" si="9"/>
        <v>8</v>
      </c>
      <c r="E115" s="39">
        <f t="shared" si="9"/>
        <v>3</v>
      </c>
      <c r="F115" s="39">
        <f t="shared" si="9"/>
        <v>7</v>
      </c>
      <c r="G115" s="50">
        <f t="shared" si="10"/>
        <v>118</v>
      </c>
      <c r="H115" s="44">
        <f t="shared" ref="H115:L115" si="13">H9+H10+H11+H12</f>
        <v>0</v>
      </c>
      <c r="I115" s="39">
        <f t="shared" si="13"/>
        <v>0</v>
      </c>
      <c r="J115" s="39">
        <f t="shared" si="13"/>
        <v>0</v>
      </c>
      <c r="K115" s="45">
        <f t="shared" si="13"/>
        <v>0</v>
      </c>
      <c r="L115" s="144">
        <f t="shared" si="13"/>
        <v>0</v>
      </c>
      <c r="M115" s="50">
        <f t="shared" ref="M115:M178" si="14">SUM(H115:K115)</f>
        <v>0</v>
      </c>
      <c r="N115" s="40">
        <f t="shared" ref="N115:N178" si="15">G115+M115</f>
        <v>118</v>
      </c>
      <c r="O115" s="43">
        <f t="shared" ref="O115:O178" si="16">B115*1+C115*0.5+D115*1.5+E115*3+F115*4.5+H115*0.5+I115*1.5+J115*3+K115*4+L115*8</f>
        <v>125</v>
      </c>
    </row>
    <row r="116" spans="1:15" ht="22.95" customHeight="1" x14ac:dyDescent="0.3">
      <c r="A116" s="52" t="s">
        <v>17</v>
      </c>
      <c r="B116" s="44">
        <f t="shared" ref="B116:F131" si="17">B10+B11+B12+B13</f>
        <v>57</v>
      </c>
      <c r="C116" s="39">
        <f t="shared" si="17"/>
        <v>30</v>
      </c>
      <c r="D116" s="39">
        <f t="shared" si="17"/>
        <v>10</v>
      </c>
      <c r="E116" s="39">
        <f t="shared" si="17"/>
        <v>3</v>
      </c>
      <c r="F116" s="39">
        <f t="shared" si="17"/>
        <v>6</v>
      </c>
      <c r="G116" s="50">
        <f t="shared" si="10"/>
        <v>106</v>
      </c>
      <c r="H116" s="44">
        <f t="shared" ref="H116:L116" si="18">H10+H11+H12+H13</f>
        <v>0</v>
      </c>
      <c r="I116" s="39">
        <f t="shared" si="18"/>
        <v>0</v>
      </c>
      <c r="J116" s="39">
        <f t="shared" si="18"/>
        <v>0</v>
      </c>
      <c r="K116" s="45">
        <f t="shared" si="18"/>
        <v>0</v>
      </c>
      <c r="L116" s="144">
        <f t="shared" si="18"/>
        <v>0</v>
      </c>
      <c r="M116" s="50">
        <f t="shared" si="14"/>
        <v>0</v>
      </c>
      <c r="N116" s="40">
        <f t="shared" si="15"/>
        <v>106</v>
      </c>
      <c r="O116" s="43">
        <f t="shared" si="16"/>
        <v>123</v>
      </c>
    </row>
    <row r="117" spans="1:15" ht="22.95" customHeight="1" x14ac:dyDescent="0.3">
      <c r="A117" s="52" t="s">
        <v>18</v>
      </c>
      <c r="B117" s="44">
        <f t="shared" si="17"/>
        <v>69</v>
      </c>
      <c r="C117" s="39">
        <f t="shared" si="17"/>
        <v>24</v>
      </c>
      <c r="D117" s="39">
        <f t="shared" si="17"/>
        <v>9</v>
      </c>
      <c r="E117" s="39">
        <f t="shared" si="17"/>
        <v>3</v>
      </c>
      <c r="F117" s="39">
        <f t="shared" si="17"/>
        <v>4</v>
      </c>
      <c r="G117" s="50">
        <f t="shared" si="10"/>
        <v>109</v>
      </c>
      <c r="H117" s="44">
        <f t="shared" ref="H117:L117" si="19">H11+H12+H13+H14</f>
        <v>0</v>
      </c>
      <c r="I117" s="39">
        <f t="shared" si="19"/>
        <v>0</v>
      </c>
      <c r="J117" s="39">
        <f t="shared" si="19"/>
        <v>0</v>
      </c>
      <c r="K117" s="45">
        <f t="shared" si="19"/>
        <v>0</v>
      </c>
      <c r="L117" s="144">
        <f t="shared" si="19"/>
        <v>0</v>
      </c>
      <c r="M117" s="50">
        <f t="shared" si="14"/>
        <v>0</v>
      </c>
      <c r="N117" s="40">
        <f t="shared" si="15"/>
        <v>109</v>
      </c>
      <c r="O117" s="43">
        <f t="shared" si="16"/>
        <v>121.5</v>
      </c>
    </row>
    <row r="118" spans="1:15" ht="22.95" customHeight="1" x14ac:dyDescent="0.3">
      <c r="A118" s="52" t="s">
        <v>19</v>
      </c>
      <c r="B118" s="44">
        <f t="shared" si="17"/>
        <v>73</v>
      </c>
      <c r="C118" s="39">
        <f t="shared" si="17"/>
        <v>20</v>
      </c>
      <c r="D118" s="39">
        <f t="shared" si="17"/>
        <v>6</v>
      </c>
      <c r="E118" s="39">
        <f t="shared" si="17"/>
        <v>2</v>
      </c>
      <c r="F118" s="39">
        <f t="shared" si="17"/>
        <v>6</v>
      </c>
      <c r="G118" s="50">
        <f t="shared" si="10"/>
        <v>107</v>
      </c>
      <c r="H118" s="44">
        <f t="shared" ref="H118:L118" si="20">H12+H13+H14+H15</f>
        <v>0</v>
      </c>
      <c r="I118" s="39">
        <f t="shared" si="20"/>
        <v>0</v>
      </c>
      <c r="J118" s="39">
        <f t="shared" si="20"/>
        <v>0</v>
      </c>
      <c r="K118" s="45">
        <f t="shared" si="20"/>
        <v>0</v>
      </c>
      <c r="L118" s="144">
        <f t="shared" si="20"/>
        <v>0</v>
      </c>
      <c r="M118" s="50">
        <f t="shared" si="14"/>
        <v>0</v>
      </c>
      <c r="N118" s="40">
        <f t="shared" si="15"/>
        <v>107</v>
      </c>
      <c r="O118" s="43">
        <f t="shared" si="16"/>
        <v>125</v>
      </c>
    </row>
    <row r="119" spans="1:15" ht="22.95" customHeight="1" x14ac:dyDescent="0.3">
      <c r="A119" s="52" t="s">
        <v>20</v>
      </c>
      <c r="B119" s="44">
        <f t="shared" si="17"/>
        <v>73</v>
      </c>
      <c r="C119" s="39">
        <f t="shared" si="17"/>
        <v>19</v>
      </c>
      <c r="D119" s="39">
        <f t="shared" si="17"/>
        <v>8</v>
      </c>
      <c r="E119" s="39">
        <f t="shared" si="17"/>
        <v>1</v>
      </c>
      <c r="F119" s="39">
        <f t="shared" si="17"/>
        <v>12</v>
      </c>
      <c r="G119" s="50">
        <f t="shared" si="10"/>
        <v>113</v>
      </c>
      <c r="H119" s="44">
        <f t="shared" ref="H119:L119" si="21">H13+H14+H15+H16</f>
        <v>0</v>
      </c>
      <c r="I119" s="39">
        <f t="shared" si="21"/>
        <v>0</v>
      </c>
      <c r="J119" s="39">
        <f t="shared" si="21"/>
        <v>0</v>
      </c>
      <c r="K119" s="45">
        <f t="shared" si="21"/>
        <v>0</v>
      </c>
      <c r="L119" s="144">
        <f t="shared" si="21"/>
        <v>0</v>
      </c>
      <c r="M119" s="50">
        <f t="shared" si="14"/>
        <v>0</v>
      </c>
      <c r="N119" s="40">
        <f t="shared" si="15"/>
        <v>113</v>
      </c>
      <c r="O119" s="43">
        <f t="shared" si="16"/>
        <v>151.5</v>
      </c>
    </row>
    <row r="120" spans="1:15" ht="22.95" customHeight="1" x14ac:dyDescent="0.3">
      <c r="A120" s="52" t="s">
        <v>21</v>
      </c>
      <c r="B120" s="44">
        <f t="shared" si="17"/>
        <v>72</v>
      </c>
      <c r="C120" s="39">
        <f t="shared" si="17"/>
        <v>24</v>
      </c>
      <c r="D120" s="39">
        <f t="shared" si="17"/>
        <v>8</v>
      </c>
      <c r="E120" s="39">
        <f t="shared" si="17"/>
        <v>1</v>
      </c>
      <c r="F120" s="39">
        <f t="shared" si="17"/>
        <v>17</v>
      </c>
      <c r="G120" s="50">
        <f t="shared" si="10"/>
        <v>122</v>
      </c>
      <c r="H120" s="44">
        <f t="shared" ref="H120:L120" si="22">H14+H15+H16+H17</f>
        <v>0</v>
      </c>
      <c r="I120" s="39">
        <f t="shared" si="22"/>
        <v>0</v>
      </c>
      <c r="J120" s="39">
        <f t="shared" si="22"/>
        <v>0</v>
      </c>
      <c r="K120" s="45">
        <f t="shared" si="22"/>
        <v>0</v>
      </c>
      <c r="L120" s="144">
        <f t="shared" si="22"/>
        <v>0</v>
      </c>
      <c r="M120" s="50">
        <f t="shared" si="14"/>
        <v>0</v>
      </c>
      <c r="N120" s="40">
        <f t="shared" si="15"/>
        <v>122</v>
      </c>
      <c r="O120" s="43">
        <f t="shared" si="16"/>
        <v>175.5</v>
      </c>
    </row>
    <row r="121" spans="1:15" ht="22.95" customHeight="1" x14ac:dyDescent="0.3">
      <c r="A121" s="52" t="s">
        <v>22</v>
      </c>
      <c r="B121" s="44">
        <f t="shared" si="17"/>
        <v>83</v>
      </c>
      <c r="C121" s="39">
        <f t="shared" si="17"/>
        <v>23</v>
      </c>
      <c r="D121" s="39">
        <f t="shared" si="17"/>
        <v>6</v>
      </c>
      <c r="E121" s="39">
        <f t="shared" si="17"/>
        <v>1</v>
      </c>
      <c r="F121" s="39">
        <f t="shared" si="17"/>
        <v>21</v>
      </c>
      <c r="G121" s="50">
        <f t="shared" si="10"/>
        <v>134</v>
      </c>
      <c r="H121" s="44">
        <f t="shared" ref="H121:L121" si="23">H15+H16+H17+H18</f>
        <v>0</v>
      </c>
      <c r="I121" s="39">
        <f t="shared" si="23"/>
        <v>0</v>
      </c>
      <c r="J121" s="39">
        <f t="shared" si="23"/>
        <v>0</v>
      </c>
      <c r="K121" s="45">
        <f t="shared" si="23"/>
        <v>0</v>
      </c>
      <c r="L121" s="144">
        <f t="shared" si="23"/>
        <v>1</v>
      </c>
      <c r="M121" s="50">
        <f t="shared" si="14"/>
        <v>0</v>
      </c>
      <c r="N121" s="40">
        <f t="shared" si="15"/>
        <v>134</v>
      </c>
      <c r="O121" s="43">
        <f t="shared" si="16"/>
        <v>209</v>
      </c>
    </row>
    <row r="122" spans="1:15" ht="22.95" customHeight="1" x14ac:dyDescent="0.3">
      <c r="A122" s="52" t="s">
        <v>23</v>
      </c>
      <c r="B122" s="44">
        <f t="shared" si="17"/>
        <v>78</v>
      </c>
      <c r="C122" s="39">
        <f t="shared" si="17"/>
        <v>17</v>
      </c>
      <c r="D122" s="39">
        <f t="shared" si="17"/>
        <v>6</v>
      </c>
      <c r="E122" s="39">
        <f t="shared" si="17"/>
        <v>0</v>
      </c>
      <c r="F122" s="39">
        <f t="shared" si="17"/>
        <v>19</v>
      </c>
      <c r="G122" s="50">
        <f t="shared" si="10"/>
        <v>120</v>
      </c>
      <c r="H122" s="44">
        <f t="shared" ref="H122:L122" si="24">H16+H17+H18+H19</f>
        <v>0</v>
      </c>
      <c r="I122" s="39">
        <f t="shared" si="24"/>
        <v>0</v>
      </c>
      <c r="J122" s="39">
        <f t="shared" si="24"/>
        <v>0</v>
      </c>
      <c r="K122" s="45">
        <f t="shared" si="24"/>
        <v>0</v>
      </c>
      <c r="L122" s="144">
        <f t="shared" si="24"/>
        <v>1</v>
      </c>
      <c r="M122" s="50">
        <f t="shared" si="14"/>
        <v>0</v>
      </c>
      <c r="N122" s="40">
        <f t="shared" si="15"/>
        <v>120</v>
      </c>
      <c r="O122" s="43">
        <f t="shared" si="16"/>
        <v>189</v>
      </c>
    </row>
    <row r="123" spans="1:15" ht="22.95" customHeight="1" x14ac:dyDescent="0.3">
      <c r="A123" s="52" t="s">
        <v>24</v>
      </c>
      <c r="B123" s="44">
        <f t="shared" si="17"/>
        <v>78</v>
      </c>
      <c r="C123" s="39">
        <f t="shared" si="17"/>
        <v>9</v>
      </c>
      <c r="D123" s="39">
        <f t="shared" si="17"/>
        <v>7</v>
      </c>
      <c r="E123" s="39">
        <f t="shared" si="17"/>
        <v>2</v>
      </c>
      <c r="F123" s="39">
        <f t="shared" si="17"/>
        <v>13</v>
      </c>
      <c r="G123" s="50">
        <f t="shared" si="10"/>
        <v>109</v>
      </c>
      <c r="H123" s="44">
        <f t="shared" ref="H123:L123" si="25">H17+H18+H19+H20</f>
        <v>0</v>
      </c>
      <c r="I123" s="39">
        <f t="shared" si="25"/>
        <v>0</v>
      </c>
      <c r="J123" s="39">
        <f t="shared" si="25"/>
        <v>0</v>
      </c>
      <c r="K123" s="45">
        <f t="shared" si="25"/>
        <v>0</v>
      </c>
      <c r="L123" s="144">
        <f t="shared" si="25"/>
        <v>1</v>
      </c>
      <c r="M123" s="50">
        <f t="shared" si="14"/>
        <v>0</v>
      </c>
      <c r="N123" s="40">
        <f t="shared" si="15"/>
        <v>109</v>
      </c>
      <c r="O123" s="43">
        <f t="shared" si="16"/>
        <v>165.5</v>
      </c>
    </row>
    <row r="124" spans="1:15" ht="22.95" customHeight="1" x14ac:dyDescent="0.3">
      <c r="A124" s="52" t="s">
        <v>25</v>
      </c>
      <c r="B124" s="44">
        <f t="shared" si="17"/>
        <v>85</v>
      </c>
      <c r="C124" s="39">
        <f t="shared" si="17"/>
        <v>3</v>
      </c>
      <c r="D124" s="39">
        <f t="shared" si="17"/>
        <v>7</v>
      </c>
      <c r="E124" s="39">
        <f t="shared" si="17"/>
        <v>3</v>
      </c>
      <c r="F124" s="39">
        <f t="shared" si="17"/>
        <v>10</v>
      </c>
      <c r="G124" s="50">
        <f t="shared" si="10"/>
        <v>108</v>
      </c>
      <c r="H124" s="44">
        <f t="shared" ref="H124:L124" si="26">H18+H19+H20+H21</f>
        <v>0</v>
      </c>
      <c r="I124" s="39">
        <f t="shared" si="26"/>
        <v>0</v>
      </c>
      <c r="J124" s="39">
        <f t="shared" si="26"/>
        <v>0</v>
      </c>
      <c r="K124" s="45">
        <f t="shared" si="26"/>
        <v>0</v>
      </c>
      <c r="L124" s="144">
        <f t="shared" si="26"/>
        <v>1</v>
      </c>
      <c r="M124" s="50">
        <f t="shared" si="14"/>
        <v>0</v>
      </c>
      <c r="N124" s="40">
        <f t="shared" si="15"/>
        <v>108</v>
      </c>
      <c r="O124" s="43">
        <f t="shared" si="16"/>
        <v>159</v>
      </c>
    </row>
    <row r="125" spans="1:15" ht="22.95" customHeight="1" x14ac:dyDescent="0.3">
      <c r="A125" s="52" t="s">
        <v>26</v>
      </c>
      <c r="B125" s="44">
        <f t="shared" si="17"/>
        <v>90</v>
      </c>
      <c r="C125" s="39">
        <f t="shared" si="17"/>
        <v>2</v>
      </c>
      <c r="D125" s="39">
        <f t="shared" si="17"/>
        <v>10</v>
      </c>
      <c r="E125" s="39">
        <f t="shared" si="17"/>
        <v>3</v>
      </c>
      <c r="F125" s="39">
        <f t="shared" si="17"/>
        <v>9</v>
      </c>
      <c r="G125" s="50">
        <f t="shared" si="10"/>
        <v>114</v>
      </c>
      <c r="H125" s="44">
        <f t="shared" ref="H125:L125" si="27">H19+H20+H21+H22</f>
        <v>0</v>
      </c>
      <c r="I125" s="39">
        <f t="shared" si="27"/>
        <v>0</v>
      </c>
      <c r="J125" s="39">
        <f t="shared" si="27"/>
        <v>0</v>
      </c>
      <c r="K125" s="45">
        <f t="shared" si="27"/>
        <v>0</v>
      </c>
      <c r="L125" s="144">
        <f t="shared" si="27"/>
        <v>0</v>
      </c>
      <c r="M125" s="50">
        <f t="shared" si="14"/>
        <v>0</v>
      </c>
      <c r="N125" s="40">
        <f t="shared" si="15"/>
        <v>114</v>
      </c>
      <c r="O125" s="43">
        <f t="shared" si="16"/>
        <v>155.5</v>
      </c>
    </row>
    <row r="126" spans="1:15" ht="22.95" customHeight="1" x14ac:dyDescent="0.3">
      <c r="A126" s="52" t="s">
        <v>27</v>
      </c>
      <c r="B126" s="44">
        <f t="shared" si="17"/>
        <v>93</v>
      </c>
      <c r="C126" s="39">
        <f t="shared" si="17"/>
        <v>2</v>
      </c>
      <c r="D126" s="39">
        <f t="shared" si="17"/>
        <v>11</v>
      </c>
      <c r="E126" s="39">
        <f t="shared" si="17"/>
        <v>4</v>
      </c>
      <c r="F126" s="39">
        <f t="shared" si="17"/>
        <v>8</v>
      </c>
      <c r="G126" s="50">
        <f t="shared" si="10"/>
        <v>118</v>
      </c>
      <c r="H126" s="44">
        <f t="shared" ref="H126:L126" si="28">H20+H21+H22+H23</f>
        <v>0</v>
      </c>
      <c r="I126" s="39">
        <f t="shared" si="28"/>
        <v>0</v>
      </c>
      <c r="J126" s="39">
        <f t="shared" si="28"/>
        <v>0</v>
      </c>
      <c r="K126" s="45">
        <f t="shared" si="28"/>
        <v>0</v>
      </c>
      <c r="L126" s="144">
        <f t="shared" si="28"/>
        <v>0</v>
      </c>
      <c r="M126" s="50">
        <f t="shared" si="14"/>
        <v>0</v>
      </c>
      <c r="N126" s="40">
        <f t="shared" si="15"/>
        <v>118</v>
      </c>
      <c r="O126" s="43">
        <f t="shared" si="16"/>
        <v>158.5</v>
      </c>
    </row>
    <row r="127" spans="1:15" ht="22.95" customHeight="1" x14ac:dyDescent="0.3">
      <c r="A127" s="52" t="s">
        <v>28</v>
      </c>
      <c r="B127" s="44">
        <f t="shared" si="17"/>
        <v>101</v>
      </c>
      <c r="C127" s="39">
        <f t="shared" si="17"/>
        <v>18</v>
      </c>
      <c r="D127" s="39">
        <f t="shared" si="17"/>
        <v>10</v>
      </c>
      <c r="E127" s="39">
        <f t="shared" si="17"/>
        <v>2</v>
      </c>
      <c r="F127" s="39">
        <f t="shared" si="17"/>
        <v>8</v>
      </c>
      <c r="G127" s="50">
        <f t="shared" si="10"/>
        <v>139</v>
      </c>
      <c r="H127" s="44">
        <f t="shared" ref="H127:L127" si="29">H21+H22+H23+H24</f>
        <v>0</v>
      </c>
      <c r="I127" s="39">
        <f t="shared" si="29"/>
        <v>0</v>
      </c>
      <c r="J127" s="39">
        <f t="shared" si="29"/>
        <v>0</v>
      </c>
      <c r="K127" s="45">
        <f t="shared" si="29"/>
        <v>0</v>
      </c>
      <c r="L127" s="144">
        <f t="shared" si="29"/>
        <v>0</v>
      </c>
      <c r="M127" s="50">
        <f t="shared" si="14"/>
        <v>0</v>
      </c>
      <c r="N127" s="40">
        <f t="shared" si="15"/>
        <v>139</v>
      </c>
      <c r="O127" s="43">
        <f t="shared" si="16"/>
        <v>167</v>
      </c>
    </row>
    <row r="128" spans="1:15" ht="22.95" customHeight="1" x14ac:dyDescent="0.3">
      <c r="A128" s="52" t="s">
        <v>29</v>
      </c>
      <c r="B128" s="44">
        <f t="shared" si="17"/>
        <v>108</v>
      </c>
      <c r="C128" s="39">
        <f t="shared" si="17"/>
        <v>36</v>
      </c>
      <c r="D128" s="39">
        <f t="shared" si="17"/>
        <v>9</v>
      </c>
      <c r="E128" s="39">
        <f t="shared" si="17"/>
        <v>2</v>
      </c>
      <c r="F128" s="39">
        <f t="shared" si="17"/>
        <v>7</v>
      </c>
      <c r="G128" s="50">
        <f t="shared" si="10"/>
        <v>162</v>
      </c>
      <c r="H128" s="44">
        <f t="shared" ref="H128:L128" si="30">H22+H23+H24+H25</f>
        <v>0</v>
      </c>
      <c r="I128" s="39">
        <f t="shared" si="30"/>
        <v>0</v>
      </c>
      <c r="J128" s="39">
        <f t="shared" si="30"/>
        <v>0</v>
      </c>
      <c r="K128" s="45">
        <f t="shared" si="30"/>
        <v>0</v>
      </c>
      <c r="L128" s="144">
        <f t="shared" si="30"/>
        <v>0</v>
      </c>
      <c r="M128" s="50">
        <f t="shared" si="14"/>
        <v>0</v>
      </c>
      <c r="N128" s="40">
        <f t="shared" si="15"/>
        <v>162</v>
      </c>
      <c r="O128" s="43">
        <f t="shared" si="16"/>
        <v>177</v>
      </c>
    </row>
    <row r="129" spans="1:15" ht="22.95" customHeight="1" x14ac:dyDescent="0.3">
      <c r="A129" s="52" t="s">
        <v>30</v>
      </c>
      <c r="B129" s="44">
        <f t="shared" si="17"/>
        <v>106</v>
      </c>
      <c r="C129" s="39">
        <f t="shared" si="17"/>
        <v>55</v>
      </c>
      <c r="D129" s="39">
        <f t="shared" si="17"/>
        <v>8</v>
      </c>
      <c r="E129" s="39">
        <f t="shared" si="17"/>
        <v>2</v>
      </c>
      <c r="F129" s="39">
        <f t="shared" si="17"/>
        <v>8</v>
      </c>
      <c r="G129" s="50">
        <f t="shared" si="10"/>
        <v>179</v>
      </c>
      <c r="H129" s="44">
        <f t="shared" ref="H129:L129" si="31">H23+H24+H25+H26</f>
        <v>0</v>
      </c>
      <c r="I129" s="39">
        <f t="shared" si="31"/>
        <v>0</v>
      </c>
      <c r="J129" s="39">
        <f t="shared" si="31"/>
        <v>0</v>
      </c>
      <c r="K129" s="45">
        <f t="shared" si="31"/>
        <v>0</v>
      </c>
      <c r="L129" s="144">
        <f t="shared" si="31"/>
        <v>1</v>
      </c>
      <c r="M129" s="50">
        <f t="shared" si="14"/>
        <v>0</v>
      </c>
      <c r="N129" s="40">
        <f t="shared" si="15"/>
        <v>179</v>
      </c>
      <c r="O129" s="43">
        <f t="shared" si="16"/>
        <v>195.5</v>
      </c>
    </row>
    <row r="130" spans="1:15" ht="22.95" customHeight="1" x14ac:dyDescent="0.3">
      <c r="A130" s="52" t="s">
        <v>31</v>
      </c>
      <c r="B130" s="44">
        <f t="shared" si="17"/>
        <v>116</v>
      </c>
      <c r="C130" s="39">
        <f t="shared" si="17"/>
        <v>70</v>
      </c>
      <c r="D130" s="39">
        <f t="shared" si="17"/>
        <v>8</v>
      </c>
      <c r="E130" s="39">
        <f t="shared" si="17"/>
        <v>1</v>
      </c>
      <c r="F130" s="39">
        <f t="shared" si="17"/>
        <v>9</v>
      </c>
      <c r="G130" s="50">
        <f t="shared" si="10"/>
        <v>204</v>
      </c>
      <c r="H130" s="44">
        <f t="shared" ref="H130:L130" si="32">H24+H25+H26+H27</f>
        <v>0</v>
      </c>
      <c r="I130" s="39">
        <f t="shared" si="32"/>
        <v>0</v>
      </c>
      <c r="J130" s="39">
        <f t="shared" si="32"/>
        <v>0</v>
      </c>
      <c r="K130" s="45">
        <f t="shared" si="32"/>
        <v>0</v>
      </c>
      <c r="L130" s="144">
        <f t="shared" si="32"/>
        <v>2</v>
      </c>
      <c r="M130" s="50">
        <f t="shared" si="14"/>
        <v>0</v>
      </c>
      <c r="N130" s="40">
        <f t="shared" si="15"/>
        <v>204</v>
      </c>
      <c r="O130" s="43">
        <f t="shared" si="16"/>
        <v>222.5</v>
      </c>
    </row>
    <row r="131" spans="1:15" ht="22.95" customHeight="1" x14ac:dyDescent="0.3">
      <c r="A131" s="52" t="s">
        <v>32</v>
      </c>
      <c r="B131" s="44">
        <f t="shared" si="17"/>
        <v>120</v>
      </c>
      <c r="C131" s="39">
        <f t="shared" si="17"/>
        <v>75</v>
      </c>
      <c r="D131" s="39">
        <f t="shared" si="17"/>
        <v>9</v>
      </c>
      <c r="E131" s="39">
        <f t="shared" si="17"/>
        <v>2</v>
      </c>
      <c r="F131" s="39">
        <f t="shared" si="17"/>
        <v>7</v>
      </c>
      <c r="G131" s="50">
        <f t="shared" si="10"/>
        <v>213</v>
      </c>
      <c r="H131" s="44">
        <f t="shared" ref="H131:L131" si="33">H25+H26+H27+H28</f>
        <v>0</v>
      </c>
      <c r="I131" s="39">
        <f t="shared" si="33"/>
        <v>0</v>
      </c>
      <c r="J131" s="39">
        <f t="shared" si="33"/>
        <v>0</v>
      </c>
      <c r="K131" s="45">
        <f t="shared" si="33"/>
        <v>0</v>
      </c>
      <c r="L131" s="144">
        <f t="shared" si="33"/>
        <v>2</v>
      </c>
      <c r="M131" s="50">
        <f t="shared" si="14"/>
        <v>0</v>
      </c>
      <c r="N131" s="40">
        <f t="shared" si="15"/>
        <v>213</v>
      </c>
      <c r="O131" s="43">
        <f t="shared" si="16"/>
        <v>224.5</v>
      </c>
    </row>
    <row r="132" spans="1:15" ht="22.95" customHeight="1" x14ac:dyDescent="0.3">
      <c r="A132" s="52" t="s">
        <v>33</v>
      </c>
      <c r="B132" s="44">
        <f t="shared" ref="B132:F147" si="34">B26+B27+B28+B29</f>
        <v>112</v>
      </c>
      <c r="C132" s="39">
        <f t="shared" si="34"/>
        <v>67</v>
      </c>
      <c r="D132" s="39">
        <f t="shared" si="34"/>
        <v>12</v>
      </c>
      <c r="E132" s="39">
        <f t="shared" si="34"/>
        <v>2</v>
      </c>
      <c r="F132" s="39">
        <f t="shared" si="34"/>
        <v>8</v>
      </c>
      <c r="G132" s="50">
        <f t="shared" si="10"/>
        <v>201</v>
      </c>
      <c r="H132" s="44">
        <f t="shared" ref="H132:L132" si="35">H26+H27+H28+H29</f>
        <v>0</v>
      </c>
      <c r="I132" s="39">
        <f t="shared" si="35"/>
        <v>0</v>
      </c>
      <c r="J132" s="39">
        <f t="shared" si="35"/>
        <v>0</v>
      </c>
      <c r="K132" s="45">
        <f t="shared" si="35"/>
        <v>0</v>
      </c>
      <c r="L132" s="144">
        <f t="shared" si="35"/>
        <v>2</v>
      </c>
      <c r="M132" s="50">
        <f t="shared" si="14"/>
        <v>0</v>
      </c>
      <c r="N132" s="40">
        <f t="shared" si="15"/>
        <v>201</v>
      </c>
      <c r="O132" s="43">
        <f t="shared" si="16"/>
        <v>221.5</v>
      </c>
    </row>
    <row r="133" spans="1:15" ht="22.95" customHeight="1" x14ac:dyDescent="0.3">
      <c r="A133" s="52" t="s">
        <v>34</v>
      </c>
      <c r="B133" s="44">
        <f t="shared" si="34"/>
        <v>100</v>
      </c>
      <c r="C133" s="39">
        <f t="shared" si="34"/>
        <v>63</v>
      </c>
      <c r="D133" s="39">
        <f t="shared" si="34"/>
        <v>15</v>
      </c>
      <c r="E133" s="39">
        <f t="shared" si="34"/>
        <v>4</v>
      </c>
      <c r="F133" s="39">
        <f t="shared" si="34"/>
        <v>7</v>
      </c>
      <c r="G133" s="50">
        <f t="shared" si="10"/>
        <v>189</v>
      </c>
      <c r="H133" s="44">
        <f t="shared" ref="H133:L133" si="36">H27+H28+H29+H30</f>
        <v>0</v>
      </c>
      <c r="I133" s="39">
        <f t="shared" si="36"/>
        <v>0</v>
      </c>
      <c r="J133" s="39">
        <f t="shared" si="36"/>
        <v>0</v>
      </c>
      <c r="K133" s="45">
        <f t="shared" si="36"/>
        <v>0</v>
      </c>
      <c r="L133" s="144">
        <f t="shared" si="36"/>
        <v>1</v>
      </c>
      <c r="M133" s="50">
        <f t="shared" si="14"/>
        <v>0</v>
      </c>
      <c r="N133" s="40">
        <f t="shared" si="15"/>
        <v>189</v>
      </c>
      <c r="O133" s="43">
        <f t="shared" si="16"/>
        <v>205.5</v>
      </c>
    </row>
    <row r="134" spans="1:15" ht="22.95" customHeight="1" x14ac:dyDescent="0.3">
      <c r="A134" s="52" t="s">
        <v>35</v>
      </c>
      <c r="B134" s="44">
        <f t="shared" si="34"/>
        <v>92</v>
      </c>
      <c r="C134" s="39">
        <f t="shared" si="34"/>
        <v>60</v>
      </c>
      <c r="D134" s="39">
        <f t="shared" si="34"/>
        <v>16</v>
      </c>
      <c r="E134" s="39">
        <f t="shared" si="34"/>
        <v>6</v>
      </c>
      <c r="F134" s="39">
        <f t="shared" si="34"/>
        <v>6</v>
      </c>
      <c r="G134" s="50">
        <f t="shared" si="10"/>
        <v>180</v>
      </c>
      <c r="H134" s="44">
        <f t="shared" ref="H134:L134" si="37">H28+H29+H30+H31</f>
        <v>0</v>
      </c>
      <c r="I134" s="39">
        <f t="shared" si="37"/>
        <v>0</v>
      </c>
      <c r="J134" s="39">
        <f t="shared" si="37"/>
        <v>0</v>
      </c>
      <c r="K134" s="45">
        <f t="shared" si="37"/>
        <v>0</v>
      </c>
      <c r="L134" s="144">
        <f t="shared" si="37"/>
        <v>0</v>
      </c>
      <c r="M134" s="50">
        <f t="shared" si="14"/>
        <v>0</v>
      </c>
      <c r="N134" s="40">
        <f t="shared" si="15"/>
        <v>180</v>
      </c>
      <c r="O134" s="43">
        <f t="shared" si="16"/>
        <v>191</v>
      </c>
    </row>
    <row r="135" spans="1:15" ht="22.95" customHeight="1" x14ac:dyDescent="0.3">
      <c r="A135" s="52" t="s">
        <v>36</v>
      </c>
      <c r="B135" s="44">
        <f t="shared" si="34"/>
        <v>81</v>
      </c>
      <c r="C135" s="39">
        <f t="shared" si="34"/>
        <v>54</v>
      </c>
      <c r="D135" s="39">
        <f t="shared" si="34"/>
        <v>19</v>
      </c>
      <c r="E135" s="39">
        <f t="shared" si="34"/>
        <v>6</v>
      </c>
      <c r="F135" s="39">
        <f t="shared" si="34"/>
        <v>7</v>
      </c>
      <c r="G135" s="50">
        <f t="shared" si="10"/>
        <v>167</v>
      </c>
      <c r="H135" s="44">
        <f t="shared" ref="H135:L135" si="38">H29+H30+H31+H32</f>
        <v>0</v>
      </c>
      <c r="I135" s="39">
        <f t="shared" si="38"/>
        <v>0</v>
      </c>
      <c r="J135" s="39">
        <f t="shared" si="38"/>
        <v>0</v>
      </c>
      <c r="K135" s="45">
        <f t="shared" si="38"/>
        <v>0</v>
      </c>
      <c r="L135" s="144">
        <f t="shared" si="38"/>
        <v>0</v>
      </c>
      <c r="M135" s="50">
        <f t="shared" si="14"/>
        <v>0</v>
      </c>
      <c r="N135" s="40">
        <f t="shared" si="15"/>
        <v>167</v>
      </c>
      <c r="O135" s="43">
        <f t="shared" si="16"/>
        <v>186</v>
      </c>
    </row>
    <row r="136" spans="1:15" ht="22.95" customHeight="1" x14ac:dyDescent="0.3">
      <c r="A136" s="52" t="s">
        <v>37</v>
      </c>
      <c r="B136" s="44">
        <f t="shared" si="34"/>
        <v>81</v>
      </c>
      <c r="C136" s="39">
        <f t="shared" si="34"/>
        <v>60</v>
      </c>
      <c r="D136" s="39">
        <f t="shared" si="34"/>
        <v>18</v>
      </c>
      <c r="E136" s="39">
        <f t="shared" si="34"/>
        <v>5</v>
      </c>
      <c r="F136" s="39">
        <f t="shared" si="34"/>
        <v>5</v>
      </c>
      <c r="G136" s="50">
        <f t="shared" si="10"/>
        <v>169</v>
      </c>
      <c r="H136" s="44">
        <f t="shared" ref="H136:L136" si="39">H30+H31+H32+H33</f>
        <v>0</v>
      </c>
      <c r="I136" s="39">
        <f t="shared" si="39"/>
        <v>0</v>
      </c>
      <c r="J136" s="39">
        <f t="shared" si="39"/>
        <v>0</v>
      </c>
      <c r="K136" s="45">
        <f t="shared" si="39"/>
        <v>0</v>
      </c>
      <c r="L136" s="144">
        <f t="shared" si="39"/>
        <v>0</v>
      </c>
      <c r="M136" s="50">
        <f t="shared" si="14"/>
        <v>0</v>
      </c>
      <c r="N136" s="40">
        <f t="shared" si="15"/>
        <v>169</v>
      </c>
      <c r="O136" s="43">
        <f t="shared" si="16"/>
        <v>175.5</v>
      </c>
    </row>
    <row r="137" spans="1:15" ht="22.95" customHeight="1" x14ac:dyDescent="0.3">
      <c r="A137" s="52" t="s">
        <v>38</v>
      </c>
      <c r="B137" s="44">
        <f t="shared" si="34"/>
        <v>83</v>
      </c>
      <c r="C137" s="39">
        <f t="shared" si="34"/>
        <v>57</v>
      </c>
      <c r="D137" s="39">
        <f t="shared" si="34"/>
        <v>16</v>
      </c>
      <c r="E137" s="39">
        <f t="shared" si="34"/>
        <v>5</v>
      </c>
      <c r="F137" s="39">
        <f t="shared" si="34"/>
        <v>3</v>
      </c>
      <c r="G137" s="50">
        <f t="shared" si="10"/>
        <v>164</v>
      </c>
      <c r="H137" s="44">
        <f t="shared" ref="H137:L137" si="40">H31+H32+H33+H34</f>
        <v>0</v>
      </c>
      <c r="I137" s="39">
        <f t="shared" si="40"/>
        <v>0</v>
      </c>
      <c r="J137" s="39">
        <f t="shared" si="40"/>
        <v>0</v>
      </c>
      <c r="K137" s="45">
        <f t="shared" si="40"/>
        <v>0</v>
      </c>
      <c r="L137" s="144">
        <f t="shared" si="40"/>
        <v>0</v>
      </c>
      <c r="M137" s="50">
        <f t="shared" si="14"/>
        <v>0</v>
      </c>
      <c r="N137" s="40">
        <f t="shared" si="15"/>
        <v>164</v>
      </c>
      <c r="O137" s="43">
        <f t="shared" si="16"/>
        <v>164</v>
      </c>
    </row>
    <row r="138" spans="1:15" ht="22.95" customHeight="1" x14ac:dyDescent="0.3">
      <c r="A138" s="52" t="s">
        <v>39</v>
      </c>
      <c r="B138" s="44">
        <f t="shared" si="34"/>
        <v>74</v>
      </c>
      <c r="C138" s="39">
        <f t="shared" si="34"/>
        <v>56</v>
      </c>
      <c r="D138" s="39">
        <f t="shared" si="34"/>
        <v>17</v>
      </c>
      <c r="E138" s="39">
        <f t="shared" si="34"/>
        <v>5</v>
      </c>
      <c r="F138" s="39">
        <f t="shared" si="34"/>
        <v>5</v>
      </c>
      <c r="G138" s="50">
        <f t="shared" si="10"/>
        <v>157</v>
      </c>
      <c r="H138" s="44">
        <f t="shared" ref="H138:L138" si="41">H32+H33+H34+H35</f>
        <v>0</v>
      </c>
      <c r="I138" s="39">
        <f t="shared" si="41"/>
        <v>0</v>
      </c>
      <c r="J138" s="39">
        <f t="shared" si="41"/>
        <v>0</v>
      </c>
      <c r="K138" s="45">
        <f t="shared" si="41"/>
        <v>0</v>
      </c>
      <c r="L138" s="144">
        <f t="shared" si="41"/>
        <v>0</v>
      </c>
      <c r="M138" s="50">
        <f t="shared" si="14"/>
        <v>0</v>
      </c>
      <c r="N138" s="40">
        <f t="shared" si="15"/>
        <v>157</v>
      </c>
      <c r="O138" s="43">
        <f t="shared" si="16"/>
        <v>165</v>
      </c>
    </row>
    <row r="139" spans="1:15" ht="22.95" customHeight="1" x14ac:dyDescent="0.3">
      <c r="A139" s="52" t="s">
        <v>40</v>
      </c>
      <c r="B139" s="44">
        <f t="shared" si="34"/>
        <v>71</v>
      </c>
      <c r="C139" s="39">
        <f t="shared" si="34"/>
        <v>54</v>
      </c>
      <c r="D139" s="39">
        <f t="shared" si="34"/>
        <v>15</v>
      </c>
      <c r="E139" s="39">
        <f t="shared" si="34"/>
        <v>4</v>
      </c>
      <c r="F139" s="39">
        <f t="shared" si="34"/>
        <v>4</v>
      </c>
      <c r="G139" s="50">
        <f t="shared" si="10"/>
        <v>148</v>
      </c>
      <c r="H139" s="44">
        <f t="shared" ref="H139:L139" si="42">H33+H34+H35+H36</f>
        <v>0</v>
      </c>
      <c r="I139" s="39">
        <f t="shared" si="42"/>
        <v>0</v>
      </c>
      <c r="J139" s="39">
        <f t="shared" si="42"/>
        <v>0</v>
      </c>
      <c r="K139" s="45">
        <f t="shared" si="42"/>
        <v>0</v>
      </c>
      <c r="L139" s="144">
        <f t="shared" si="42"/>
        <v>0</v>
      </c>
      <c r="M139" s="50">
        <f t="shared" si="14"/>
        <v>0</v>
      </c>
      <c r="N139" s="40">
        <f t="shared" si="15"/>
        <v>148</v>
      </c>
      <c r="O139" s="43">
        <f t="shared" si="16"/>
        <v>150.5</v>
      </c>
    </row>
    <row r="140" spans="1:15" ht="22.95" customHeight="1" x14ac:dyDescent="0.3">
      <c r="A140" s="52" t="s">
        <v>41</v>
      </c>
      <c r="B140" s="44">
        <f t="shared" si="34"/>
        <v>65</v>
      </c>
      <c r="C140" s="39">
        <f t="shared" si="34"/>
        <v>51</v>
      </c>
      <c r="D140" s="39">
        <f t="shared" si="34"/>
        <v>14</v>
      </c>
      <c r="E140" s="39">
        <f t="shared" si="34"/>
        <v>5</v>
      </c>
      <c r="F140" s="39">
        <f t="shared" si="34"/>
        <v>6</v>
      </c>
      <c r="G140" s="50">
        <f t="shared" si="10"/>
        <v>141</v>
      </c>
      <c r="H140" s="44">
        <f t="shared" ref="H140:L140" si="43">H34+H35+H36+H37</f>
        <v>0</v>
      </c>
      <c r="I140" s="39">
        <f t="shared" si="43"/>
        <v>0</v>
      </c>
      <c r="J140" s="39">
        <f t="shared" si="43"/>
        <v>0</v>
      </c>
      <c r="K140" s="45">
        <f t="shared" si="43"/>
        <v>0</v>
      </c>
      <c r="L140" s="144">
        <f t="shared" si="43"/>
        <v>0</v>
      </c>
      <c r="M140" s="50">
        <f t="shared" si="14"/>
        <v>0</v>
      </c>
      <c r="N140" s="40">
        <f t="shared" si="15"/>
        <v>141</v>
      </c>
      <c r="O140" s="43">
        <f t="shared" si="16"/>
        <v>153.5</v>
      </c>
    </row>
    <row r="141" spans="1:15" ht="22.95" customHeight="1" x14ac:dyDescent="0.3">
      <c r="A141" s="52" t="s">
        <v>42</v>
      </c>
      <c r="B141" s="44">
        <f t="shared" si="34"/>
        <v>62</v>
      </c>
      <c r="C141" s="39">
        <f t="shared" si="34"/>
        <v>50</v>
      </c>
      <c r="D141" s="39">
        <f t="shared" si="34"/>
        <v>16</v>
      </c>
      <c r="E141" s="39">
        <f t="shared" si="34"/>
        <v>3</v>
      </c>
      <c r="F141" s="39">
        <f t="shared" si="34"/>
        <v>8</v>
      </c>
      <c r="G141" s="50">
        <f t="shared" si="10"/>
        <v>139</v>
      </c>
      <c r="H141" s="44">
        <f t="shared" ref="H141:L141" si="44">H35+H36+H37+H38</f>
        <v>0</v>
      </c>
      <c r="I141" s="39">
        <f t="shared" si="44"/>
        <v>0</v>
      </c>
      <c r="J141" s="39">
        <f t="shared" si="44"/>
        <v>0</v>
      </c>
      <c r="K141" s="45">
        <f t="shared" si="44"/>
        <v>0</v>
      </c>
      <c r="L141" s="144">
        <f t="shared" si="44"/>
        <v>0</v>
      </c>
      <c r="M141" s="50">
        <f t="shared" si="14"/>
        <v>0</v>
      </c>
      <c r="N141" s="40">
        <f t="shared" si="15"/>
        <v>139</v>
      </c>
      <c r="O141" s="43">
        <f t="shared" si="16"/>
        <v>156</v>
      </c>
    </row>
    <row r="142" spans="1:15" ht="22.95" customHeight="1" x14ac:dyDescent="0.3">
      <c r="A142" s="52" t="s">
        <v>43</v>
      </c>
      <c r="B142" s="44">
        <f t="shared" si="34"/>
        <v>64</v>
      </c>
      <c r="C142" s="39">
        <f t="shared" si="34"/>
        <v>51</v>
      </c>
      <c r="D142" s="39">
        <f t="shared" si="34"/>
        <v>13</v>
      </c>
      <c r="E142" s="39">
        <f t="shared" si="34"/>
        <v>3</v>
      </c>
      <c r="F142" s="39">
        <f t="shared" si="34"/>
        <v>6</v>
      </c>
      <c r="G142" s="50">
        <f t="shared" si="10"/>
        <v>137</v>
      </c>
      <c r="H142" s="44">
        <f t="shared" ref="H142:L142" si="45">H36+H37+H38+H39</f>
        <v>0</v>
      </c>
      <c r="I142" s="39">
        <f t="shared" si="45"/>
        <v>0</v>
      </c>
      <c r="J142" s="39">
        <f t="shared" si="45"/>
        <v>0</v>
      </c>
      <c r="K142" s="45">
        <f t="shared" si="45"/>
        <v>0</v>
      </c>
      <c r="L142" s="144">
        <f t="shared" si="45"/>
        <v>0</v>
      </c>
      <c r="M142" s="50">
        <f t="shared" si="14"/>
        <v>0</v>
      </c>
      <c r="N142" s="40">
        <f t="shared" si="15"/>
        <v>137</v>
      </c>
      <c r="O142" s="43">
        <f t="shared" si="16"/>
        <v>145</v>
      </c>
    </row>
    <row r="143" spans="1:15" ht="22.95" customHeight="1" x14ac:dyDescent="0.3">
      <c r="A143" s="52" t="s">
        <v>44</v>
      </c>
      <c r="B143" s="44">
        <f t="shared" si="34"/>
        <v>86</v>
      </c>
      <c r="C143" s="39">
        <f t="shared" si="34"/>
        <v>44</v>
      </c>
      <c r="D143" s="39">
        <f t="shared" si="34"/>
        <v>11</v>
      </c>
      <c r="E143" s="39">
        <f t="shared" si="34"/>
        <v>3</v>
      </c>
      <c r="F143" s="39">
        <f t="shared" si="34"/>
        <v>11</v>
      </c>
      <c r="G143" s="50">
        <f t="shared" si="10"/>
        <v>155</v>
      </c>
      <c r="H143" s="44">
        <f t="shared" ref="H143:L143" si="46">H37+H38+H39+H40</f>
        <v>0</v>
      </c>
      <c r="I143" s="39">
        <f t="shared" si="46"/>
        <v>0</v>
      </c>
      <c r="J143" s="39">
        <f t="shared" si="46"/>
        <v>0</v>
      </c>
      <c r="K143" s="45">
        <f t="shared" si="46"/>
        <v>0</v>
      </c>
      <c r="L143" s="144">
        <f t="shared" si="46"/>
        <v>0</v>
      </c>
      <c r="M143" s="50">
        <f t="shared" si="14"/>
        <v>0</v>
      </c>
      <c r="N143" s="40">
        <f t="shared" si="15"/>
        <v>155</v>
      </c>
      <c r="O143" s="43">
        <f t="shared" si="16"/>
        <v>183</v>
      </c>
    </row>
    <row r="144" spans="1:15" ht="22.95" customHeight="1" x14ac:dyDescent="0.3">
      <c r="A144" s="52" t="s">
        <v>45</v>
      </c>
      <c r="B144" s="44">
        <f t="shared" si="34"/>
        <v>99</v>
      </c>
      <c r="C144" s="39">
        <f t="shared" si="34"/>
        <v>44</v>
      </c>
      <c r="D144" s="39">
        <f t="shared" si="34"/>
        <v>20</v>
      </c>
      <c r="E144" s="39">
        <f t="shared" si="34"/>
        <v>2</v>
      </c>
      <c r="F144" s="39">
        <f t="shared" si="34"/>
        <v>11</v>
      </c>
      <c r="G144" s="50">
        <f t="shared" si="10"/>
        <v>176</v>
      </c>
      <c r="H144" s="44">
        <f t="shared" ref="H144:L144" si="47">H38+H39+H40+H41</f>
        <v>0</v>
      </c>
      <c r="I144" s="39">
        <f t="shared" si="47"/>
        <v>0</v>
      </c>
      <c r="J144" s="39">
        <f t="shared" si="47"/>
        <v>0</v>
      </c>
      <c r="K144" s="45">
        <f t="shared" si="47"/>
        <v>0</v>
      </c>
      <c r="L144" s="144">
        <f t="shared" si="47"/>
        <v>0</v>
      </c>
      <c r="M144" s="50">
        <f t="shared" si="14"/>
        <v>0</v>
      </c>
      <c r="N144" s="40">
        <f t="shared" si="15"/>
        <v>176</v>
      </c>
      <c r="O144" s="43">
        <f t="shared" si="16"/>
        <v>206.5</v>
      </c>
    </row>
    <row r="145" spans="1:15" ht="22.95" customHeight="1" x14ac:dyDescent="0.3">
      <c r="A145" s="52" t="s">
        <v>46</v>
      </c>
      <c r="B145" s="44">
        <f t="shared" si="34"/>
        <v>110</v>
      </c>
      <c r="C145" s="39">
        <f t="shared" si="34"/>
        <v>37</v>
      </c>
      <c r="D145" s="39">
        <f t="shared" si="34"/>
        <v>15</v>
      </c>
      <c r="E145" s="39">
        <f t="shared" si="34"/>
        <v>2</v>
      </c>
      <c r="F145" s="39">
        <f t="shared" si="34"/>
        <v>10</v>
      </c>
      <c r="G145" s="50">
        <f t="shared" si="10"/>
        <v>174</v>
      </c>
      <c r="H145" s="44">
        <f t="shared" ref="H145:L145" si="48">H39+H40+H41+H42</f>
        <v>0</v>
      </c>
      <c r="I145" s="39">
        <f t="shared" si="48"/>
        <v>0</v>
      </c>
      <c r="J145" s="39">
        <f t="shared" si="48"/>
        <v>0</v>
      </c>
      <c r="K145" s="45">
        <f t="shared" si="48"/>
        <v>0</v>
      </c>
      <c r="L145" s="144">
        <f t="shared" si="48"/>
        <v>0</v>
      </c>
      <c r="M145" s="50">
        <f t="shared" si="14"/>
        <v>0</v>
      </c>
      <c r="N145" s="40">
        <f t="shared" si="15"/>
        <v>174</v>
      </c>
      <c r="O145" s="43">
        <f t="shared" si="16"/>
        <v>202</v>
      </c>
    </row>
    <row r="146" spans="1:15" ht="22.95" customHeight="1" x14ac:dyDescent="0.3">
      <c r="A146" s="52" t="s">
        <v>47</v>
      </c>
      <c r="B146" s="44">
        <f t="shared" si="34"/>
        <v>129</v>
      </c>
      <c r="C146" s="39">
        <f t="shared" si="34"/>
        <v>24</v>
      </c>
      <c r="D146" s="39">
        <f t="shared" si="34"/>
        <v>18</v>
      </c>
      <c r="E146" s="39">
        <f t="shared" si="34"/>
        <v>0</v>
      </c>
      <c r="F146" s="39">
        <f t="shared" si="34"/>
        <v>12</v>
      </c>
      <c r="G146" s="50">
        <f t="shared" ref="G146:G177" si="49">SUM(B146:F146)</f>
        <v>183</v>
      </c>
      <c r="H146" s="44">
        <f t="shared" ref="H146:L146" si="50">H40+H41+H42+H43</f>
        <v>0</v>
      </c>
      <c r="I146" s="39">
        <f t="shared" si="50"/>
        <v>0</v>
      </c>
      <c r="J146" s="39">
        <f t="shared" si="50"/>
        <v>0</v>
      </c>
      <c r="K146" s="45">
        <f t="shared" si="50"/>
        <v>0</v>
      </c>
      <c r="L146" s="144">
        <f t="shared" si="50"/>
        <v>0</v>
      </c>
      <c r="M146" s="50">
        <f t="shared" si="14"/>
        <v>0</v>
      </c>
      <c r="N146" s="40">
        <f t="shared" si="15"/>
        <v>183</v>
      </c>
      <c r="O146" s="43">
        <f t="shared" si="16"/>
        <v>222</v>
      </c>
    </row>
    <row r="147" spans="1:15" ht="22.95" customHeight="1" x14ac:dyDescent="0.3">
      <c r="A147" s="52" t="s">
        <v>48</v>
      </c>
      <c r="B147" s="44">
        <f t="shared" si="34"/>
        <v>130</v>
      </c>
      <c r="C147" s="39">
        <f t="shared" si="34"/>
        <v>31</v>
      </c>
      <c r="D147" s="39">
        <f t="shared" si="34"/>
        <v>18</v>
      </c>
      <c r="E147" s="39">
        <f t="shared" si="34"/>
        <v>1</v>
      </c>
      <c r="F147" s="39">
        <f t="shared" si="34"/>
        <v>12</v>
      </c>
      <c r="G147" s="50">
        <f t="shared" si="49"/>
        <v>192</v>
      </c>
      <c r="H147" s="44">
        <f t="shared" ref="H147:L147" si="51">H41+H42+H43+H44</f>
        <v>0</v>
      </c>
      <c r="I147" s="39">
        <f t="shared" si="51"/>
        <v>0</v>
      </c>
      <c r="J147" s="39">
        <f t="shared" si="51"/>
        <v>0</v>
      </c>
      <c r="K147" s="45">
        <f t="shared" si="51"/>
        <v>0</v>
      </c>
      <c r="L147" s="144">
        <f t="shared" si="51"/>
        <v>0</v>
      </c>
      <c r="M147" s="50">
        <f t="shared" si="14"/>
        <v>0</v>
      </c>
      <c r="N147" s="40">
        <f t="shared" si="15"/>
        <v>192</v>
      </c>
      <c r="O147" s="43">
        <f t="shared" si="16"/>
        <v>229.5</v>
      </c>
    </row>
    <row r="148" spans="1:15" ht="22.95" customHeight="1" x14ac:dyDescent="0.3">
      <c r="A148" s="52" t="s">
        <v>49</v>
      </c>
      <c r="B148" s="44">
        <f t="shared" ref="B148:F163" si="52">B42+B43+B44+B45</f>
        <v>133</v>
      </c>
      <c r="C148" s="39">
        <f t="shared" si="52"/>
        <v>30</v>
      </c>
      <c r="D148" s="39">
        <f t="shared" si="52"/>
        <v>12</v>
      </c>
      <c r="E148" s="39">
        <f t="shared" si="52"/>
        <v>1</v>
      </c>
      <c r="F148" s="39">
        <f t="shared" si="52"/>
        <v>11</v>
      </c>
      <c r="G148" s="50">
        <f t="shared" si="49"/>
        <v>187</v>
      </c>
      <c r="H148" s="44">
        <f t="shared" ref="H148:L148" si="53">H42+H43+H44+H45</f>
        <v>0</v>
      </c>
      <c r="I148" s="39">
        <f t="shared" si="53"/>
        <v>0</v>
      </c>
      <c r="J148" s="39">
        <f t="shared" si="53"/>
        <v>0</v>
      </c>
      <c r="K148" s="45">
        <f t="shared" si="53"/>
        <v>0</v>
      </c>
      <c r="L148" s="144">
        <f t="shared" si="53"/>
        <v>0</v>
      </c>
      <c r="M148" s="50">
        <f t="shared" si="14"/>
        <v>0</v>
      </c>
      <c r="N148" s="40">
        <f t="shared" si="15"/>
        <v>187</v>
      </c>
      <c r="O148" s="43">
        <f t="shared" si="16"/>
        <v>218.5</v>
      </c>
    </row>
    <row r="149" spans="1:15" ht="22.95" customHeight="1" x14ac:dyDescent="0.3">
      <c r="A149" s="52" t="s">
        <v>50</v>
      </c>
      <c r="B149" s="44">
        <f t="shared" si="52"/>
        <v>138</v>
      </c>
      <c r="C149" s="39">
        <f t="shared" si="52"/>
        <v>50</v>
      </c>
      <c r="D149" s="39">
        <f t="shared" si="52"/>
        <v>15</v>
      </c>
      <c r="E149" s="39">
        <f t="shared" si="52"/>
        <v>3</v>
      </c>
      <c r="F149" s="39">
        <f t="shared" si="52"/>
        <v>10</v>
      </c>
      <c r="G149" s="50">
        <f t="shared" si="49"/>
        <v>216</v>
      </c>
      <c r="H149" s="44">
        <f t="shared" ref="H149:L149" si="54">H43+H44+H45+H46</f>
        <v>0</v>
      </c>
      <c r="I149" s="39">
        <f t="shared" si="54"/>
        <v>0</v>
      </c>
      <c r="J149" s="39">
        <f t="shared" si="54"/>
        <v>0</v>
      </c>
      <c r="K149" s="45">
        <f t="shared" si="54"/>
        <v>0</v>
      </c>
      <c r="L149" s="144">
        <f t="shared" si="54"/>
        <v>0</v>
      </c>
      <c r="M149" s="50">
        <f t="shared" si="14"/>
        <v>0</v>
      </c>
      <c r="N149" s="40">
        <f t="shared" si="15"/>
        <v>216</v>
      </c>
      <c r="O149" s="43">
        <f t="shared" si="16"/>
        <v>239.5</v>
      </c>
    </row>
    <row r="150" spans="1:15" ht="22.95" customHeight="1" x14ac:dyDescent="0.3">
      <c r="A150" s="52" t="s">
        <v>51</v>
      </c>
      <c r="B150" s="44">
        <f t="shared" si="52"/>
        <v>138</v>
      </c>
      <c r="C150" s="39">
        <f t="shared" si="52"/>
        <v>67</v>
      </c>
      <c r="D150" s="39">
        <f t="shared" si="52"/>
        <v>14</v>
      </c>
      <c r="E150" s="39">
        <f t="shared" si="52"/>
        <v>4</v>
      </c>
      <c r="F150" s="39">
        <f t="shared" si="52"/>
        <v>11</v>
      </c>
      <c r="G150" s="50">
        <f t="shared" si="49"/>
        <v>234</v>
      </c>
      <c r="H150" s="44">
        <f t="shared" ref="H150:L150" si="55">H44+H45+H46+H47</f>
        <v>0</v>
      </c>
      <c r="I150" s="39">
        <f t="shared" si="55"/>
        <v>0</v>
      </c>
      <c r="J150" s="39">
        <f t="shared" si="55"/>
        <v>0</v>
      </c>
      <c r="K150" s="45">
        <f t="shared" si="55"/>
        <v>0</v>
      </c>
      <c r="L150" s="144">
        <f t="shared" si="55"/>
        <v>0</v>
      </c>
      <c r="M150" s="50">
        <f t="shared" si="14"/>
        <v>0</v>
      </c>
      <c r="N150" s="40">
        <f t="shared" si="15"/>
        <v>234</v>
      </c>
      <c r="O150" s="43">
        <f t="shared" si="16"/>
        <v>254</v>
      </c>
    </row>
    <row r="151" spans="1:15" ht="22.95" customHeight="1" x14ac:dyDescent="0.3">
      <c r="A151" s="52" t="s">
        <v>52</v>
      </c>
      <c r="B151" s="44">
        <f t="shared" si="52"/>
        <v>142</v>
      </c>
      <c r="C151" s="39">
        <f t="shared" si="52"/>
        <v>63</v>
      </c>
      <c r="D151" s="39">
        <f t="shared" si="52"/>
        <v>17</v>
      </c>
      <c r="E151" s="39">
        <f t="shared" si="52"/>
        <v>4</v>
      </c>
      <c r="F151" s="39">
        <f t="shared" si="52"/>
        <v>8</v>
      </c>
      <c r="G151" s="50">
        <f t="shared" si="49"/>
        <v>234</v>
      </c>
      <c r="H151" s="44">
        <f t="shared" ref="H151:L151" si="56">H45+H46+H47+H48</f>
        <v>0</v>
      </c>
      <c r="I151" s="39">
        <f t="shared" si="56"/>
        <v>0</v>
      </c>
      <c r="J151" s="39">
        <f t="shared" si="56"/>
        <v>0</v>
      </c>
      <c r="K151" s="45">
        <f t="shared" si="56"/>
        <v>0</v>
      </c>
      <c r="L151" s="144">
        <f t="shared" si="56"/>
        <v>0</v>
      </c>
      <c r="M151" s="50">
        <f t="shared" si="14"/>
        <v>0</v>
      </c>
      <c r="N151" s="40">
        <f t="shared" si="15"/>
        <v>234</v>
      </c>
      <c r="O151" s="43">
        <f t="shared" si="16"/>
        <v>247</v>
      </c>
    </row>
    <row r="152" spans="1:15" ht="22.95" customHeight="1" x14ac:dyDescent="0.3">
      <c r="A152" s="52" t="s">
        <v>53</v>
      </c>
      <c r="B152" s="44">
        <f t="shared" si="52"/>
        <v>149</v>
      </c>
      <c r="C152" s="39">
        <f t="shared" si="52"/>
        <v>53</v>
      </c>
      <c r="D152" s="39">
        <f t="shared" si="52"/>
        <v>19</v>
      </c>
      <c r="E152" s="39">
        <f t="shared" si="52"/>
        <v>5</v>
      </c>
      <c r="F152" s="39">
        <f t="shared" si="52"/>
        <v>14</v>
      </c>
      <c r="G152" s="50">
        <f t="shared" si="49"/>
        <v>240</v>
      </c>
      <c r="H152" s="44">
        <f t="shared" ref="H152:L152" si="57">H46+H47+H48+H49</f>
        <v>0</v>
      </c>
      <c r="I152" s="39">
        <f t="shared" si="57"/>
        <v>0</v>
      </c>
      <c r="J152" s="39">
        <f t="shared" si="57"/>
        <v>0</v>
      </c>
      <c r="K152" s="45">
        <f t="shared" si="57"/>
        <v>0</v>
      </c>
      <c r="L152" s="144">
        <f t="shared" si="57"/>
        <v>0</v>
      </c>
      <c r="M152" s="50">
        <f t="shared" si="14"/>
        <v>0</v>
      </c>
      <c r="N152" s="40">
        <f t="shared" si="15"/>
        <v>240</v>
      </c>
      <c r="O152" s="43">
        <f t="shared" si="16"/>
        <v>282</v>
      </c>
    </row>
    <row r="153" spans="1:15" ht="22.95" customHeight="1" x14ac:dyDescent="0.3">
      <c r="A153" s="52" t="s">
        <v>54</v>
      </c>
      <c r="B153" s="44">
        <f t="shared" si="52"/>
        <v>151</v>
      </c>
      <c r="C153" s="39">
        <f t="shared" si="52"/>
        <v>40</v>
      </c>
      <c r="D153" s="39">
        <f t="shared" si="52"/>
        <v>17</v>
      </c>
      <c r="E153" s="39">
        <f t="shared" si="52"/>
        <v>5</v>
      </c>
      <c r="F153" s="39">
        <f t="shared" si="52"/>
        <v>15</v>
      </c>
      <c r="G153" s="50">
        <f t="shared" si="49"/>
        <v>228</v>
      </c>
      <c r="H153" s="44">
        <f t="shared" ref="H153:L153" si="58">H47+H48+H49+H50</f>
        <v>0</v>
      </c>
      <c r="I153" s="39">
        <f t="shared" si="58"/>
        <v>0</v>
      </c>
      <c r="J153" s="39">
        <f t="shared" si="58"/>
        <v>0</v>
      </c>
      <c r="K153" s="45">
        <f t="shared" si="58"/>
        <v>0</v>
      </c>
      <c r="L153" s="144">
        <f t="shared" si="58"/>
        <v>0</v>
      </c>
      <c r="M153" s="50">
        <f t="shared" si="14"/>
        <v>0</v>
      </c>
      <c r="N153" s="40">
        <f t="shared" si="15"/>
        <v>228</v>
      </c>
      <c r="O153" s="43">
        <f t="shared" si="16"/>
        <v>279</v>
      </c>
    </row>
    <row r="154" spans="1:15" ht="22.95" customHeight="1" x14ac:dyDescent="0.3">
      <c r="A154" s="52" t="s">
        <v>55</v>
      </c>
      <c r="B154" s="44">
        <f t="shared" si="52"/>
        <v>161</v>
      </c>
      <c r="C154" s="39">
        <f t="shared" si="52"/>
        <v>37</v>
      </c>
      <c r="D154" s="39">
        <f t="shared" si="52"/>
        <v>15</v>
      </c>
      <c r="E154" s="39">
        <f t="shared" si="52"/>
        <v>4</v>
      </c>
      <c r="F154" s="39">
        <f t="shared" si="52"/>
        <v>12</v>
      </c>
      <c r="G154" s="50">
        <f t="shared" si="49"/>
        <v>229</v>
      </c>
      <c r="H154" s="44">
        <f t="shared" ref="H154:L154" si="59">H48+H49+H50+H51</f>
        <v>0</v>
      </c>
      <c r="I154" s="39">
        <f t="shared" si="59"/>
        <v>0</v>
      </c>
      <c r="J154" s="39">
        <f t="shared" si="59"/>
        <v>0</v>
      </c>
      <c r="K154" s="45">
        <f t="shared" si="59"/>
        <v>0</v>
      </c>
      <c r="L154" s="144">
        <f t="shared" si="59"/>
        <v>0</v>
      </c>
      <c r="M154" s="50">
        <f t="shared" si="14"/>
        <v>0</v>
      </c>
      <c r="N154" s="40">
        <f t="shared" si="15"/>
        <v>229</v>
      </c>
      <c r="O154" s="43">
        <f t="shared" si="16"/>
        <v>268</v>
      </c>
    </row>
    <row r="155" spans="1:15" ht="22.95" customHeight="1" x14ac:dyDescent="0.3">
      <c r="A155" s="52" t="s">
        <v>56</v>
      </c>
      <c r="B155" s="44">
        <f t="shared" si="52"/>
        <v>149</v>
      </c>
      <c r="C155" s="39">
        <f t="shared" si="52"/>
        <v>40</v>
      </c>
      <c r="D155" s="39">
        <f t="shared" si="52"/>
        <v>14</v>
      </c>
      <c r="E155" s="39">
        <f t="shared" si="52"/>
        <v>4</v>
      </c>
      <c r="F155" s="39">
        <f t="shared" si="52"/>
        <v>13</v>
      </c>
      <c r="G155" s="50">
        <f t="shared" si="49"/>
        <v>220</v>
      </c>
      <c r="H155" s="44">
        <f t="shared" ref="H155:L155" si="60">H49+H50+H51+H52</f>
        <v>0</v>
      </c>
      <c r="I155" s="39">
        <f t="shared" si="60"/>
        <v>0</v>
      </c>
      <c r="J155" s="39">
        <f t="shared" si="60"/>
        <v>0</v>
      </c>
      <c r="K155" s="45">
        <f t="shared" si="60"/>
        <v>0</v>
      </c>
      <c r="L155" s="144">
        <f t="shared" si="60"/>
        <v>0</v>
      </c>
      <c r="M155" s="50">
        <f t="shared" si="14"/>
        <v>0</v>
      </c>
      <c r="N155" s="40">
        <f t="shared" si="15"/>
        <v>220</v>
      </c>
      <c r="O155" s="43">
        <f t="shared" si="16"/>
        <v>260.5</v>
      </c>
    </row>
    <row r="156" spans="1:15" ht="22.95" customHeight="1" x14ac:dyDescent="0.3">
      <c r="A156" s="52" t="s">
        <v>57</v>
      </c>
      <c r="B156" s="44">
        <f t="shared" si="52"/>
        <v>137</v>
      </c>
      <c r="C156" s="39">
        <f t="shared" si="52"/>
        <v>47</v>
      </c>
      <c r="D156" s="39">
        <f t="shared" si="52"/>
        <v>10</v>
      </c>
      <c r="E156" s="39">
        <f t="shared" si="52"/>
        <v>3</v>
      </c>
      <c r="F156" s="39">
        <f t="shared" si="52"/>
        <v>7</v>
      </c>
      <c r="G156" s="50">
        <f t="shared" si="49"/>
        <v>204</v>
      </c>
      <c r="H156" s="44">
        <f t="shared" ref="H156:L156" si="61">H50+H51+H52+H53</f>
        <v>0</v>
      </c>
      <c r="I156" s="39">
        <f t="shared" si="61"/>
        <v>0</v>
      </c>
      <c r="J156" s="39">
        <f t="shared" si="61"/>
        <v>0</v>
      </c>
      <c r="K156" s="45">
        <f t="shared" si="61"/>
        <v>0</v>
      </c>
      <c r="L156" s="144">
        <f t="shared" si="61"/>
        <v>0</v>
      </c>
      <c r="M156" s="50">
        <f t="shared" si="14"/>
        <v>0</v>
      </c>
      <c r="N156" s="40">
        <f t="shared" si="15"/>
        <v>204</v>
      </c>
      <c r="O156" s="43">
        <f t="shared" si="16"/>
        <v>216</v>
      </c>
    </row>
    <row r="157" spans="1:15" ht="22.95" customHeight="1" x14ac:dyDescent="0.3">
      <c r="A157" s="52" t="s">
        <v>58</v>
      </c>
      <c r="B157" s="44">
        <f t="shared" si="52"/>
        <v>120</v>
      </c>
      <c r="C157" s="39">
        <f t="shared" si="52"/>
        <v>37</v>
      </c>
      <c r="D157" s="39">
        <f t="shared" si="52"/>
        <v>9</v>
      </c>
      <c r="E157" s="39">
        <f t="shared" si="52"/>
        <v>1</v>
      </c>
      <c r="F157" s="39">
        <f t="shared" si="52"/>
        <v>7</v>
      </c>
      <c r="G157" s="50">
        <f t="shared" si="49"/>
        <v>174</v>
      </c>
      <c r="H157" s="44">
        <f t="shared" ref="H157:L157" si="62">H51+H52+H53+H54</f>
        <v>0</v>
      </c>
      <c r="I157" s="39">
        <f t="shared" si="62"/>
        <v>0</v>
      </c>
      <c r="J157" s="39">
        <f t="shared" si="62"/>
        <v>0</v>
      </c>
      <c r="K157" s="45">
        <f t="shared" si="62"/>
        <v>0</v>
      </c>
      <c r="L157" s="144">
        <f t="shared" si="62"/>
        <v>0</v>
      </c>
      <c r="M157" s="50">
        <f t="shared" si="14"/>
        <v>0</v>
      </c>
      <c r="N157" s="40">
        <f t="shared" si="15"/>
        <v>174</v>
      </c>
      <c r="O157" s="43">
        <f t="shared" si="16"/>
        <v>186.5</v>
      </c>
    </row>
    <row r="158" spans="1:15" ht="22.95" customHeight="1" x14ac:dyDescent="0.3">
      <c r="A158" s="52" t="s">
        <v>59</v>
      </c>
      <c r="B158" s="44">
        <f t="shared" si="52"/>
        <v>96</v>
      </c>
      <c r="C158" s="39">
        <f t="shared" si="52"/>
        <v>30</v>
      </c>
      <c r="D158" s="39">
        <f t="shared" si="52"/>
        <v>11</v>
      </c>
      <c r="E158" s="39">
        <f t="shared" si="52"/>
        <v>1</v>
      </c>
      <c r="F158" s="39">
        <f t="shared" si="52"/>
        <v>8</v>
      </c>
      <c r="G158" s="50">
        <f t="shared" si="49"/>
        <v>146</v>
      </c>
      <c r="H158" s="44">
        <f t="shared" ref="H158:L158" si="63">H52+H53+H54+H55</f>
        <v>0</v>
      </c>
      <c r="I158" s="39">
        <f t="shared" si="63"/>
        <v>0</v>
      </c>
      <c r="J158" s="39">
        <f t="shared" si="63"/>
        <v>0</v>
      </c>
      <c r="K158" s="45">
        <f t="shared" si="63"/>
        <v>0</v>
      </c>
      <c r="L158" s="144">
        <f t="shared" si="63"/>
        <v>0</v>
      </c>
      <c r="M158" s="50">
        <f t="shared" si="14"/>
        <v>0</v>
      </c>
      <c r="N158" s="40">
        <f t="shared" si="15"/>
        <v>146</v>
      </c>
      <c r="O158" s="43">
        <f t="shared" si="16"/>
        <v>166.5</v>
      </c>
    </row>
    <row r="159" spans="1:15" ht="22.95" customHeight="1" x14ac:dyDescent="0.3">
      <c r="A159" s="52" t="s">
        <v>77</v>
      </c>
      <c r="B159" s="44">
        <f t="shared" si="52"/>
        <v>93</v>
      </c>
      <c r="C159" s="39">
        <f t="shared" si="52"/>
        <v>35</v>
      </c>
      <c r="D159" s="39">
        <f t="shared" si="52"/>
        <v>11</v>
      </c>
      <c r="E159" s="39">
        <f t="shared" si="52"/>
        <v>0</v>
      </c>
      <c r="F159" s="39">
        <f t="shared" si="52"/>
        <v>6</v>
      </c>
      <c r="G159" s="50">
        <f t="shared" si="49"/>
        <v>145</v>
      </c>
      <c r="H159" s="44">
        <f t="shared" ref="H159:L159" si="64">H53+H54+H55+H56</f>
        <v>0</v>
      </c>
      <c r="I159" s="39">
        <f t="shared" si="64"/>
        <v>0</v>
      </c>
      <c r="J159" s="39">
        <f t="shared" si="64"/>
        <v>0</v>
      </c>
      <c r="K159" s="45">
        <f t="shared" si="64"/>
        <v>0</v>
      </c>
      <c r="L159" s="144">
        <f t="shared" si="64"/>
        <v>0</v>
      </c>
      <c r="M159" s="50">
        <f t="shared" si="14"/>
        <v>0</v>
      </c>
      <c r="N159" s="40">
        <f t="shared" si="15"/>
        <v>145</v>
      </c>
      <c r="O159" s="43">
        <f t="shared" si="16"/>
        <v>154</v>
      </c>
    </row>
    <row r="160" spans="1:15" ht="22.95" customHeight="1" x14ac:dyDescent="0.3">
      <c r="A160" s="52" t="s">
        <v>75</v>
      </c>
      <c r="B160" s="44">
        <f t="shared" si="52"/>
        <v>88</v>
      </c>
      <c r="C160" s="39">
        <f t="shared" si="52"/>
        <v>38</v>
      </c>
      <c r="D160" s="39">
        <f t="shared" si="52"/>
        <v>10</v>
      </c>
      <c r="E160" s="39">
        <f t="shared" si="52"/>
        <v>0</v>
      </c>
      <c r="F160" s="39">
        <f t="shared" si="52"/>
        <v>6</v>
      </c>
      <c r="G160" s="50">
        <f t="shared" si="49"/>
        <v>142</v>
      </c>
      <c r="H160" s="44">
        <f t="shared" ref="H160:L160" si="65">H54+H55+H56+H57</f>
        <v>0</v>
      </c>
      <c r="I160" s="39">
        <f t="shared" si="65"/>
        <v>0</v>
      </c>
      <c r="J160" s="39">
        <f t="shared" si="65"/>
        <v>0</v>
      </c>
      <c r="K160" s="45">
        <f t="shared" si="65"/>
        <v>0</v>
      </c>
      <c r="L160" s="144">
        <f t="shared" si="65"/>
        <v>0</v>
      </c>
      <c r="M160" s="50">
        <f t="shared" si="14"/>
        <v>0</v>
      </c>
      <c r="N160" s="40">
        <f t="shared" si="15"/>
        <v>142</v>
      </c>
      <c r="O160" s="43">
        <f t="shared" si="16"/>
        <v>149</v>
      </c>
    </row>
    <row r="161" spans="1:15" ht="22.95" customHeight="1" x14ac:dyDescent="0.3">
      <c r="A161" s="52" t="s">
        <v>76</v>
      </c>
      <c r="B161" s="44">
        <f t="shared" si="52"/>
        <v>93</v>
      </c>
      <c r="C161" s="39">
        <f t="shared" si="52"/>
        <v>52</v>
      </c>
      <c r="D161" s="39">
        <f t="shared" si="52"/>
        <v>12</v>
      </c>
      <c r="E161" s="39">
        <f t="shared" si="52"/>
        <v>1</v>
      </c>
      <c r="F161" s="39">
        <f t="shared" si="52"/>
        <v>5</v>
      </c>
      <c r="G161" s="50">
        <f t="shared" si="49"/>
        <v>163</v>
      </c>
      <c r="H161" s="44">
        <f t="shared" ref="H161:L161" si="66">H55+H56+H57+H58</f>
        <v>0</v>
      </c>
      <c r="I161" s="39">
        <f t="shared" si="66"/>
        <v>0</v>
      </c>
      <c r="J161" s="39">
        <f t="shared" si="66"/>
        <v>0</v>
      </c>
      <c r="K161" s="45">
        <f t="shared" si="66"/>
        <v>0</v>
      </c>
      <c r="L161" s="144">
        <f t="shared" si="66"/>
        <v>0</v>
      </c>
      <c r="M161" s="50">
        <f t="shared" si="14"/>
        <v>0</v>
      </c>
      <c r="N161" s="40">
        <f t="shared" si="15"/>
        <v>163</v>
      </c>
      <c r="O161" s="43">
        <f t="shared" si="16"/>
        <v>162.5</v>
      </c>
    </row>
    <row r="162" spans="1:15" ht="22.95" customHeight="1" x14ac:dyDescent="0.3">
      <c r="A162" s="52" t="s">
        <v>70</v>
      </c>
      <c r="B162" s="44">
        <f t="shared" si="52"/>
        <v>103</v>
      </c>
      <c r="C162" s="39">
        <f t="shared" si="52"/>
        <v>61</v>
      </c>
      <c r="D162" s="39">
        <f t="shared" si="52"/>
        <v>13</v>
      </c>
      <c r="E162" s="39">
        <f t="shared" si="52"/>
        <v>2</v>
      </c>
      <c r="F162" s="39">
        <f t="shared" si="52"/>
        <v>5</v>
      </c>
      <c r="G162" s="50">
        <f t="shared" si="49"/>
        <v>184</v>
      </c>
      <c r="H162" s="44">
        <f t="shared" ref="H162:L162" si="67">H56+H57+H58+H59</f>
        <v>0</v>
      </c>
      <c r="I162" s="39">
        <f t="shared" si="67"/>
        <v>0</v>
      </c>
      <c r="J162" s="39">
        <f t="shared" si="67"/>
        <v>0</v>
      </c>
      <c r="K162" s="45">
        <f t="shared" si="67"/>
        <v>0</v>
      </c>
      <c r="L162" s="144">
        <f t="shared" si="67"/>
        <v>0</v>
      </c>
      <c r="M162" s="50">
        <f t="shared" si="14"/>
        <v>0</v>
      </c>
      <c r="N162" s="40">
        <f t="shared" si="15"/>
        <v>184</v>
      </c>
      <c r="O162" s="43">
        <f t="shared" si="16"/>
        <v>181.5</v>
      </c>
    </row>
    <row r="163" spans="1:15" ht="22.95" customHeight="1" x14ac:dyDescent="0.3">
      <c r="A163" s="52" t="s">
        <v>71</v>
      </c>
      <c r="B163" s="44">
        <f t="shared" si="52"/>
        <v>100</v>
      </c>
      <c r="C163" s="39">
        <f t="shared" si="52"/>
        <v>58</v>
      </c>
      <c r="D163" s="39">
        <f t="shared" si="52"/>
        <v>13</v>
      </c>
      <c r="E163" s="39">
        <f t="shared" si="52"/>
        <v>2</v>
      </c>
      <c r="F163" s="39">
        <f t="shared" si="52"/>
        <v>6</v>
      </c>
      <c r="G163" s="50">
        <f t="shared" si="49"/>
        <v>179</v>
      </c>
      <c r="H163" s="44">
        <f t="shared" ref="H163:L163" si="68">H57+H58+H59+H60</f>
        <v>0</v>
      </c>
      <c r="I163" s="39">
        <f t="shared" si="68"/>
        <v>0</v>
      </c>
      <c r="J163" s="39">
        <f t="shared" si="68"/>
        <v>0</v>
      </c>
      <c r="K163" s="45">
        <f t="shared" si="68"/>
        <v>0</v>
      </c>
      <c r="L163" s="144">
        <f t="shared" si="68"/>
        <v>0</v>
      </c>
      <c r="M163" s="50">
        <f t="shared" si="14"/>
        <v>0</v>
      </c>
      <c r="N163" s="40">
        <f t="shared" si="15"/>
        <v>179</v>
      </c>
      <c r="O163" s="43">
        <f t="shared" si="16"/>
        <v>181.5</v>
      </c>
    </row>
    <row r="164" spans="1:15" ht="22.95" customHeight="1" x14ac:dyDescent="0.3">
      <c r="A164" s="52" t="s">
        <v>72</v>
      </c>
      <c r="B164" s="44">
        <f t="shared" ref="B164:F179" si="69">B58+B59+B60+B61</f>
        <v>100</v>
      </c>
      <c r="C164" s="39">
        <f t="shared" si="69"/>
        <v>58</v>
      </c>
      <c r="D164" s="39">
        <f t="shared" si="69"/>
        <v>11</v>
      </c>
      <c r="E164" s="39">
        <f t="shared" si="69"/>
        <v>2</v>
      </c>
      <c r="F164" s="39">
        <f t="shared" si="69"/>
        <v>6</v>
      </c>
      <c r="G164" s="50">
        <f t="shared" si="49"/>
        <v>177</v>
      </c>
      <c r="H164" s="44">
        <f t="shared" ref="H164:L164" si="70">H58+H59+H60+H61</f>
        <v>0</v>
      </c>
      <c r="I164" s="39">
        <f t="shared" si="70"/>
        <v>0</v>
      </c>
      <c r="J164" s="39">
        <f t="shared" si="70"/>
        <v>0</v>
      </c>
      <c r="K164" s="45">
        <f t="shared" si="70"/>
        <v>0</v>
      </c>
      <c r="L164" s="144">
        <f t="shared" si="70"/>
        <v>0</v>
      </c>
      <c r="M164" s="50">
        <f t="shared" si="14"/>
        <v>0</v>
      </c>
      <c r="N164" s="40">
        <f t="shared" si="15"/>
        <v>177</v>
      </c>
      <c r="O164" s="43">
        <f t="shared" si="16"/>
        <v>178.5</v>
      </c>
    </row>
    <row r="165" spans="1:15" ht="22.95" customHeight="1" x14ac:dyDescent="0.3">
      <c r="A165" s="52" t="s">
        <v>73</v>
      </c>
      <c r="B165" s="44">
        <f t="shared" si="69"/>
        <v>92</v>
      </c>
      <c r="C165" s="39">
        <f t="shared" si="69"/>
        <v>54</v>
      </c>
      <c r="D165" s="39">
        <f t="shared" si="69"/>
        <v>8</v>
      </c>
      <c r="E165" s="39">
        <f t="shared" si="69"/>
        <v>1</v>
      </c>
      <c r="F165" s="39">
        <f t="shared" si="69"/>
        <v>5</v>
      </c>
      <c r="G165" s="50">
        <f t="shared" si="49"/>
        <v>160</v>
      </c>
      <c r="H165" s="44">
        <f t="shared" ref="H165:L165" si="71">H59+H60+H61+H62</f>
        <v>0</v>
      </c>
      <c r="I165" s="39">
        <f t="shared" si="71"/>
        <v>0</v>
      </c>
      <c r="J165" s="39">
        <f t="shared" si="71"/>
        <v>0</v>
      </c>
      <c r="K165" s="45">
        <f t="shared" si="71"/>
        <v>0</v>
      </c>
      <c r="L165" s="144">
        <f t="shared" si="71"/>
        <v>0</v>
      </c>
      <c r="M165" s="50">
        <f t="shared" si="14"/>
        <v>0</v>
      </c>
      <c r="N165" s="40">
        <f t="shared" si="15"/>
        <v>160</v>
      </c>
      <c r="O165" s="43">
        <f t="shared" si="16"/>
        <v>156.5</v>
      </c>
    </row>
    <row r="166" spans="1:15" ht="22.95" customHeight="1" x14ac:dyDescent="0.3">
      <c r="A166" s="52" t="s">
        <v>74</v>
      </c>
      <c r="B166" s="44">
        <f t="shared" si="69"/>
        <v>71</v>
      </c>
      <c r="C166" s="39">
        <f t="shared" si="69"/>
        <v>41</v>
      </c>
      <c r="D166" s="39">
        <f t="shared" si="69"/>
        <v>6</v>
      </c>
      <c r="E166" s="39">
        <f t="shared" si="69"/>
        <v>0</v>
      </c>
      <c r="F166" s="39">
        <f t="shared" si="69"/>
        <v>3</v>
      </c>
      <c r="G166" s="50">
        <f t="shared" si="49"/>
        <v>121</v>
      </c>
      <c r="H166" s="44">
        <f t="shared" ref="H166:L166" si="72">H60+H61+H62+H63</f>
        <v>0</v>
      </c>
      <c r="I166" s="39">
        <f t="shared" si="72"/>
        <v>0</v>
      </c>
      <c r="J166" s="39">
        <f t="shared" si="72"/>
        <v>0</v>
      </c>
      <c r="K166" s="45">
        <f t="shared" si="72"/>
        <v>0</v>
      </c>
      <c r="L166" s="144">
        <f t="shared" si="72"/>
        <v>0</v>
      </c>
      <c r="M166" s="50">
        <f t="shared" si="14"/>
        <v>0</v>
      </c>
      <c r="N166" s="40">
        <f t="shared" si="15"/>
        <v>121</v>
      </c>
      <c r="O166" s="43">
        <f t="shared" si="16"/>
        <v>114</v>
      </c>
    </row>
    <row r="167" spans="1:15" ht="22.95" customHeight="1" x14ac:dyDescent="0.3">
      <c r="A167" s="52" t="s">
        <v>262</v>
      </c>
      <c r="B167" s="44">
        <f t="shared" si="69"/>
        <v>59</v>
      </c>
      <c r="C167" s="39">
        <f t="shared" si="69"/>
        <v>33</v>
      </c>
      <c r="D167" s="39">
        <f t="shared" si="69"/>
        <v>3</v>
      </c>
      <c r="E167" s="39">
        <f t="shared" si="69"/>
        <v>0</v>
      </c>
      <c r="F167" s="39">
        <f t="shared" si="69"/>
        <v>3</v>
      </c>
      <c r="G167" s="50">
        <f t="shared" si="49"/>
        <v>98</v>
      </c>
      <c r="H167" s="44">
        <f t="shared" ref="H167:L167" si="73">H61+H62+H63+H64</f>
        <v>0</v>
      </c>
      <c r="I167" s="39">
        <f t="shared" si="73"/>
        <v>0</v>
      </c>
      <c r="J167" s="39">
        <f t="shared" si="73"/>
        <v>0</v>
      </c>
      <c r="K167" s="45">
        <f t="shared" si="73"/>
        <v>0</v>
      </c>
      <c r="L167" s="144">
        <f t="shared" si="73"/>
        <v>0</v>
      </c>
      <c r="M167" s="50">
        <f t="shared" si="14"/>
        <v>0</v>
      </c>
      <c r="N167" s="40">
        <f t="shared" si="15"/>
        <v>98</v>
      </c>
      <c r="O167" s="43">
        <f t="shared" si="16"/>
        <v>93.5</v>
      </c>
    </row>
    <row r="168" spans="1:15" ht="22.95" customHeight="1" x14ac:dyDescent="0.3">
      <c r="A168" s="52" t="s">
        <v>263</v>
      </c>
      <c r="B168" s="44">
        <f t="shared" si="69"/>
        <v>50</v>
      </c>
      <c r="C168" s="39">
        <f t="shared" si="69"/>
        <v>30</v>
      </c>
      <c r="D168" s="39">
        <f t="shared" si="69"/>
        <v>5</v>
      </c>
      <c r="E168" s="39">
        <f t="shared" si="69"/>
        <v>0</v>
      </c>
      <c r="F168" s="39">
        <f t="shared" si="69"/>
        <v>2</v>
      </c>
      <c r="G168" s="50">
        <f t="shared" si="49"/>
        <v>87</v>
      </c>
      <c r="H168" s="44">
        <f t="shared" ref="H168:L168" si="74">H62+H63+H64+H65</f>
        <v>0</v>
      </c>
      <c r="I168" s="39">
        <f t="shared" si="74"/>
        <v>0</v>
      </c>
      <c r="J168" s="39">
        <f t="shared" si="74"/>
        <v>0</v>
      </c>
      <c r="K168" s="45">
        <f t="shared" si="74"/>
        <v>0</v>
      </c>
      <c r="L168" s="144">
        <f t="shared" si="74"/>
        <v>0</v>
      </c>
      <c r="M168" s="50">
        <f t="shared" si="14"/>
        <v>0</v>
      </c>
      <c r="N168" s="40">
        <f t="shared" si="15"/>
        <v>87</v>
      </c>
      <c r="O168" s="43">
        <f t="shared" si="16"/>
        <v>81.5</v>
      </c>
    </row>
    <row r="169" spans="1:15" ht="22.95" customHeight="1" x14ac:dyDescent="0.3">
      <c r="A169" s="52" t="s">
        <v>264</v>
      </c>
      <c r="B169" s="44">
        <f t="shared" si="69"/>
        <v>34</v>
      </c>
      <c r="C169" s="39">
        <f t="shared" si="69"/>
        <v>27</v>
      </c>
      <c r="D169" s="39">
        <f t="shared" si="69"/>
        <v>6</v>
      </c>
      <c r="E169" s="39">
        <f t="shared" si="69"/>
        <v>0</v>
      </c>
      <c r="F169" s="39">
        <f t="shared" si="69"/>
        <v>2</v>
      </c>
      <c r="G169" s="50">
        <f t="shared" si="49"/>
        <v>69</v>
      </c>
      <c r="H169" s="44">
        <f t="shared" ref="H169:L169" si="75">H63+H64+H65+H66</f>
        <v>0</v>
      </c>
      <c r="I169" s="39">
        <f t="shared" si="75"/>
        <v>0</v>
      </c>
      <c r="J169" s="39">
        <f t="shared" si="75"/>
        <v>0</v>
      </c>
      <c r="K169" s="45">
        <f t="shared" si="75"/>
        <v>0</v>
      </c>
      <c r="L169" s="144">
        <f t="shared" si="75"/>
        <v>0</v>
      </c>
      <c r="M169" s="50">
        <f t="shared" si="14"/>
        <v>0</v>
      </c>
      <c r="N169" s="40">
        <f t="shared" si="15"/>
        <v>69</v>
      </c>
      <c r="O169" s="43">
        <f t="shared" si="16"/>
        <v>65.5</v>
      </c>
    </row>
    <row r="170" spans="1:15" ht="22.95" customHeight="1" x14ac:dyDescent="0.3">
      <c r="A170" s="52" t="s">
        <v>265</v>
      </c>
      <c r="B170" s="44">
        <f t="shared" si="69"/>
        <v>32</v>
      </c>
      <c r="C170" s="39">
        <f t="shared" si="69"/>
        <v>26</v>
      </c>
      <c r="D170" s="39">
        <f t="shared" si="69"/>
        <v>7</v>
      </c>
      <c r="E170" s="39">
        <f t="shared" si="69"/>
        <v>0</v>
      </c>
      <c r="F170" s="39">
        <f t="shared" si="69"/>
        <v>2</v>
      </c>
      <c r="G170" s="50">
        <f t="shared" si="49"/>
        <v>67</v>
      </c>
      <c r="H170" s="44">
        <f t="shared" ref="H170:L170" si="76">H64+H65+H66+H67</f>
        <v>0</v>
      </c>
      <c r="I170" s="39">
        <f t="shared" si="76"/>
        <v>0</v>
      </c>
      <c r="J170" s="39">
        <f t="shared" si="76"/>
        <v>0</v>
      </c>
      <c r="K170" s="45">
        <f t="shared" si="76"/>
        <v>0</v>
      </c>
      <c r="L170" s="144">
        <f t="shared" si="76"/>
        <v>0</v>
      </c>
      <c r="M170" s="50">
        <f t="shared" si="14"/>
        <v>0</v>
      </c>
      <c r="N170" s="40">
        <f t="shared" si="15"/>
        <v>67</v>
      </c>
      <c r="O170" s="43">
        <f t="shared" si="16"/>
        <v>64.5</v>
      </c>
    </row>
    <row r="171" spans="1:15" ht="22.95" customHeight="1" x14ac:dyDescent="0.3">
      <c r="A171" s="52" t="s">
        <v>266</v>
      </c>
      <c r="B171" s="44">
        <f t="shared" si="69"/>
        <v>27</v>
      </c>
      <c r="C171" s="39">
        <f t="shared" si="69"/>
        <v>24</v>
      </c>
      <c r="D171" s="39">
        <f t="shared" si="69"/>
        <v>7</v>
      </c>
      <c r="E171" s="39">
        <f t="shared" si="69"/>
        <v>0</v>
      </c>
      <c r="F171" s="39">
        <f t="shared" si="69"/>
        <v>1</v>
      </c>
      <c r="G171" s="50">
        <f t="shared" si="49"/>
        <v>59</v>
      </c>
      <c r="H171" s="44">
        <f t="shared" ref="H171:L171" si="77">H65+H66+H67+H68</f>
        <v>0</v>
      </c>
      <c r="I171" s="39">
        <f t="shared" si="77"/>
        <v>0</v>
      </c>
      <c r="J171" s="39">
        <f t="shared" si="77"/>
        <v>0</v>
      </c>
      <c r="K171" s="45">
        <f t="shared" si="77"/>
        <v>0</v>
      </c>
      <c r="L171" s="144">
        <f t="shared" si="77"/>
        <v>0</v>
      </c>
      <c r="M171" s="50">
        <f t="shared" si="14"/>
        <v>0</v>
      </c>
      <c r="N171" s="40">
        <f t="shared" si="15"/>
        <v>59</v>
      </c>
      <c r="O171" s="43">
        <f t="shared" si="16"/>
        <v>54</v>
      </c>
    </row>
    <row r="172" spans="1:15" ht="22.95" customHeight="1" x14ac:dyDescent="0.3">
      <c r="A172" s="52" t="s">
        <v>267</v>
      </c>
      <c r="B172" s="44">
        <f t="shared" si="69"/>
        <v>22</v>
      </c>
      <c r="C172" s="39">
        <f t="shared" si="69"/>
        <v>20</v>
      </c>
      <c r="D172" s="39">
        <f t="shared" si="69"/>
        <v>8</v>
      </c>
      <c r="E172" s="39">
        <f t="shared" si="69"/>
        <v>0</v>
      </c>
      <c r="F172" s="39">
        <f t="shared" si="69"/>
        <v>3</v>
      </c>
      <c r="G172" s="50">
        <f t="shared" si="49"/>
        <v>53</v>
      </c>
      <c r="H172" s="44">
        <f t="shared" ref="H172:L172" si="78">H66+H67+H68+H69</f>
        <v>0</v>
      </c>
      <c r="I172" s="39">
        <f t="shared" si="78"/>
        <v>0</v>
      </c>
      <c r="J172" s="39">
        <f t="shared" si="78"/>
        <v>0</v>
      </c>
      <c r="K172" s="45">
        <f t="shared" si="78"/>
        <v>0</v>
      </c>
      <c r="L172" s="144">
        <f t="shared" si="78"/>
        <v>0</v>
      </c>
      <c r="M172" s="50">
        <f t="shared" si="14"/>
        <v>0</v>
      </c>
      <c r="N172" s="40">
        <f t="shared" si="15"/>
        <v>53</v>
      </c>
      <c r="O172" s="43">
        <f t="shared" si="16"/>
        <v>57.5</v>
      </c>
    </row>
    <row r="173" spans="1:15" ht="22.95" customHeight="1" x14ac:dyDescent="0.3">
      <c r="A173" s="52" t="s">
        <v>268</v>
      </c>
      <c r="B173" s="44">
        <f t="shared" si="69"/>
        <v>26</v>
      </c>
      <c r="C173" s="39">
        <f t="shared" si="69"/>
        <v>13</v>
      </c>
      <c r="D173" s="39">
        <f t="shared" si="69"/>
        <v>9</v>
      </c>
      <c r="E173" s="39">
        <f t="shared" si="69"/>
        <v>0</v>
      </c>
      <c r="F173" s="39">
        <f t="shared" si="69"/>
        <v>5</v>
      </c>
      <c r="G173" s="50">
        <f t="shared" si="49"/>
        <v>53</v>
      </c>
      <c r="H173" s="44">
        <f t="shared" ref="H173:L173" si="79">H67+H68+H69+H70</f>
        <v>0</v>
      </c>
      <c r="I173" s="39">
        <f t="shared" si="79"/>
        <v>0</v>
      </c>
      <c r="J173" s="39">
        <f t="shared" si="79"/>
        <v>0</v>
      </c>
      <c r="K173" s="45">
        <f t="shared" si="79"/>
        <v>0</v>
      </c>
      <c r="L173" s="144">
        <f t="shared" si="79"/>
        <v>0</v>
      </c>
      <c r="M173" s="50">
        <f t="shared" si="14"/>
        <v>0</v>
      </c>
      <c r="N173" s="40">
        <f t="shared" si="15"/>
        <v>53</v>
      </c>
      <c r="O173" s="43">
        <f t="shared" si="16"/>
        <v>68.5</v>
      </c>
    </row>
    <row r="174" spans="1:15" ht="22.95" customHeight="1" x14ac:dyDescent="0.3">
      <c r="A174" s="52" t="s">
        <v>269</v>
      </c>
      <c r="B174" s="44">
        <f t="shared" si="69"/>
        <v>23</v>
      </c>
      <c r="C174" s="39">
        <f t="shared" si="69"/>
        <v>11</v>
      </c>
      <c r="D174" s="39">
        <f t="shared" si="69"/>
        <v>6</v>
      </c>
      <c r="E174" s="39">
        <f t="shared" si="69"/>
        <v>1</v>
      </c>
      <c r="F174" s="39">
        <f t="shared" si="69"/>
        <v>6</v>
      </c>
      <c r="G174" s="50">
        <f t="shared" si="49"/>
        <v>47</v>
      </c>
      <c r="H174" s="44">
        <f t="shared" ref="H174:L174" si="80">H68+H69+H70+H71</f>
        <v>0</v>
      </c>
      <c r="I174" s="39">
        <f t="shared" si="80"/>
        <v>0</v>
      </c>
      <c r="J174" s="39">
        <f t="shared" si="80"/>
        <v>0</v>
      </c>
      <c r="K174" s="45">
        <f t="shared" si="80"/>
        <v>0</v>
      </c>
      <c r="L174" s="144">
        <f t="shared" si="80"/>
        <v>0</v>
      </c>
      <c r="M174" s="50">
        <f t="shared" si="14"/>
        <v>0</v>
      </c>
      <c r="N174" s="40">
        <f t="shared" si="15"/>
        <v>47</v>
      </c>
      <c r="O174" s="43">
        <f t="shared" si="16"/>
        <v>67.5</v>
      </c>
    </row>
    <row r="175" spans="1:15" ht="22.95" customHeight="1" x14ac:dyDescent="0.3">
      <c r="A175" s="54" t="s">
        <v>241</v>
      </c>
      <c r="B175" s="44">
        <f t="shared" si="69"/>
        <v>22</v>
      </c>
      <c r="C175" s="39">
        <f t="shared" si="69"/>
        <v>8</v>
      </c>
      <c r="D175" s="39">
        <f t="shared" si="69"/>
        <v>5</v>
      </c>
      <c r="E175" s="39">
        <f t="shared" si="69"/>
        <v>1</v>
      </c>
      <c r="F175" s="39">
        <f t="shared" si="69"/>
        <v>5</v>
      </c>
      <c r="G175" s="50">
        <f t="shared" si="49"/>
        <v>41</v>
      </c>
      <c r="H175" s="44">
        <f t="shared" ref="H175:L175" si="81">H69+H70+H71+H72</f>
        <v>0</v>
      </c>
      <c r="I175" s="39">
        <f t="shared" si="81"/>
        <v>0</v>
      </c>
      <c r="J175" s="39">
        <f t="shared" si="81"/>
        <v>0</v>
      </c>
      <c r="K175" s="45">
        <f t="shared" si="81"/>
        <v>0</v>
      </c>
      <c r="L175" s="144">
        <f t="shared" si="81"/>
        <v>0</v>
      </c>
      <c r="M175" s="50">
        <f t="shared" si="14"/>
        <v>0</v>
      </c>
      <c r="N175" s="40">
        <f t="shared" si="15"/>
        <v>41</v>
      </c>
      <c r="O175" s="43">
        <f t="shared" si="16"/>
        <v>59</v>
      </c>
    </row>
    <row r="176" spans="1:15" ht="22.95" customHeight="1" x14ac:dyDescent="0.3">
      <c r="A176" s="52" t="s">
        <v>242</v>
      </c>
      <c r="B176" s="44">
        <f t="shared" si="69"/>
        <v>18</v>
      </c>
      <c r="C176" s="39">
        <f t="shared" si="69"/>
        <v>3</v>
      </c>
      <c r="D176" s="39">
        <f t="shared" si="69"/>
        <v>2</v>
      </c>
      <c r="E176" s="39">
        <f t="shared" si="69"/>
        <v>1</v>
      </c>
      <c r="F176" s="39">
        <f t="shared" si="69"/>
        <v>3</v>
      </c>
      <c r="G176" s="50">
        <f t="shared" si="49"/>
        <v>27</v>
      </c>
      <c r="H176" s="44">
        <f t="shared" ref="H176:L176" si="82">H70+H71+H72+H73</f>
        <v>0</v>
      </c>
      <c r="I176" s="39">
        <f t="shared" si="82"/>
        <v>0</v>
      </c>
      <c r="J176" s="39">
        <f t="shared" si="82"/>
        <v>0</v>
      </c>
      <c r="K176" s="45">
        <f t="shared" si="82"/>
        <v>0</v>
      </c>
      <c r="L176" s="144">
        <f t="shared" si="82"/>
        <v>0</v>
      </c>
      <c r="M176" s="50">
        <f t="shared" si="14"/>
        <v>0</v>
      </c>
      <c r="N176" s="40">
        <f t="shared" si="15"/>
        <v>27</v>
      </c>
      <c r="O176" s="43">
        <f t="shared" si="16"/>
        <v>39</v>
      </c>
    </row>
    <row r="177" spans="1:15" ht="22.95" customHeight="1" x14ac:dyDescent="0.3">
      <c r="A177" s="52" t="s">
        <v>243</v>
      </c>
      <c r="B177" s="44">
        <f t="shared" si="69"/>
        <v>15</v>
      </c>
      <c r="C177" s="39">
        <f t="shared" si="69"/>
        <v>2</v>
      </c>
      <c r="D177" s="39">
        <f t="shared" si="69"/>
        <v>1</v>
      </c>
      <c r="E177" s="39">
        <f t="shared" si="69"/>
        <v>1</v>
      </c>
      <c r="F177" s="39">
        <f t="shared" si="69"/>
        <v>1</v>
      </c>
      <c r="G177" s="50">
        <f t="shared" si="49"/>
        <v>20</v>
      </c>
      <c r="H177" s="44">
        <f t="shared" ref="H177:L177" si="83">H71+H72+H73+H74</f>
        <v>0</v>
      </c>
      <c r="I177" s="39">
        <f t="shared" si="83"/>
        <v>0</v>
      </c>
      <c r="J177" s="39">
        <f t="shared" si="83"/>
        <v>0</v>
      </c>
      <c r="K177" s="45">
        <f t="shared" si="83"/>
        <v>0</v>
      </c>
      <c r="L177" s="144">
        <f t="shared" si="83"/>
        <v>0</v>
      </c>
      <c r="M177" s="50">
        <f t="shared" si="14"/>
        <v>0</v>
      </c>
      <c r="N177" s="40">
        <f t="shared" si="15"/>
        <v>20</v>
      </c>
      <c r="O177" s="43">
        <f t="shared" si="16"/>
        <v>25</v>
      </c>
    </row>
    <row r="178" spans="1:15" ht="22.95" customHeight="1" x14ac:dyDescent="0.3">
      <c r="A178" s="52" t="s">
        <v>244</v>
      </c>
      <c r="B178" s="44">
        <f t="shared" si="69"/>
        <v>10</v>
      </c>
      <c r="C178" s="39">
        <f t="shared" si="69"/>
        <v>1</v>
      </c>
      <c r="D178" s="39">
        <f t="shared" si="69"/>
        <v>4</v>
      </c>
      <c r="E178" s="39">
        <f t="shared" si="69"/>
        <v>0</v>
      </c>
      <c r="F178" s="39">
        <f t="shared" si="69"/>
        <v>0</v>
      </c>
      <c r="G178" s="50">
        <f t="shared" ref="G178:G206" si="84">SUM(B178:F178)</f>
        <v>15</v>
      </c>
      <c r="H178" s="44">
        <f t="shared" ref="H178:L178" si="85">H72+H73+H74+H75</f>
        <v>0</v>
      </c>
      <c r="I178" s="39">
        <f t="shared" si="85"/>
        <v>0</v>
      </c>
      <c r="J178" s="39">
        <f t="shared" si="85"/>
        <v>0</v>
      </c>
      <c r="K178" s="45">
        <f t="shared" si="85"/>
        <v>0</v>
      </c>
      <c r="L178" s="144">
        <f t="shared" si="85"/>
        <v>0</v>
      </c>
      <c r="M178" s="50">
        <f t="shared" si="14"/>
        <v>0</v>
      </c>
      <c r="N178" s="40">
        <f t="shared" si="15"/>
        <v>15</v>
      </c>
      <c r="O178" s="43">
        <f t="shared" si="16"/>
        <v>16.5</v>
      </c>
    </row>
    <row r="179" spans="1:15" ht="22.95" customHeight="1" x14ac:dyDescent="0.3">
      <c r="A179" s="52" t="s">
        <v>245</v>
      </c>
      <c r="B179" s="44">
        <f t="shared" si="69"/>
        <v>7</v>
      </c>
      <c r="C179" s="39">
        <f t="shared" si="69"/>
        <v>0</v>
      </c>
      <c r="D179" s="39">
        <f t="shared" si="69"/>
        <v>4</v>
      </c>
      <c r="E179" s="39">
        <f t="shared" si="69"/>
        <v>0</v>
      </c>
      <c r="F179" s="39">
        <f t="shared" si="69"/>
        <v>0</v>
      </c>
      <c r="G179" s="50">
        <f t="shared" si="84"/>
        <v>11</v>
      </c>
      <c r="H179" s="44">
        <f t="shared" ref="H179:L179" si="86">H73+H74+H75+H76</f>
        <v>0</v>
      </c>
      <c r="I179" s="39">
        <f t="shared" si="86"/>
        <v>0</v>
      </c>
      <c r="J179" s="39">
        <f t="shared" si="86"/>
        <v>0</v>
      </c>
      <c r="K179" s="45">
        <f t="shared" si="86"/>
        <v>0</v>
      </c>
      <c r="L179" s="144">
        <f t="shared" si="86"/>
        <v>0</v>
      </c>
      <c r="M179" s="50">
        <f t="shared" ref="M179:M206" si="87">SUM(H179:K179)</f>
        <v>0</v>
      </c>
      <c r="N179" s="40">
        <f t="shared" ref="N179:N206" si="88">G179+M179</f>
        <v>11</v>
      </c>
      <c r="O179" s="43">
        <f t="shared" ref="O179:O206" si="89">B179*1+C179*0.5+D179*1.5+E179*3+F179*4.5+H179*0.5+I179*1.5+J179*3+K179*4+L179*8</f>
        <v>13</v>
      </c>
    </row>
    <row r="180" spans="1:15" ht="22.95" customHeight="1" x14ac:dyDescent="0.3">
      <c r="A180" s="52" t="s">
        <v>246</v>
      </c>
      <c r="B180" s="44">
        <f t="shared" ref="B180:F195" si="90">B74+B75+B76+B77</f>
        <v>6</v>
      </c>
      <c r="C180" s="39">
        <f t="shared" si="90"/>
        <v>1</v>
      </c>
      <c r="D180" s="39">
        <f t="shared" si="90"/>
        <v>5</v>
      </c>
      <c r="E180" s="39">
        <f t="shared" si="90"/>
        <v>0</v>
      </c>
      <c r="F180" s="39">
        <f t="shared" si="90"/>
        <v>0</v>
      </c>
      <c r="G180" s="50">
        <f t="shared" si="84"/>
        <v>12</v>
      </c>
      <c r="H180" s="44">
        <f t="shared" ref="H180:L180" si="91">H74+H75+H76+H77</f>
        <v>0</v>
      </c>
      <c r="I180" s="39">
        <f t="shared" si="91"/>
        <v>0</v>
      </c>
      <c r="J180" s="39">
        <f t="shared" si="91"/>
        <v>0</v>
      </c>
      <c r="K180" s="45">
        <f t="shared" si="91"/>
        <v>0</v>
      </c>
      <c r="L180" s="144">
        <f t="shared" si="91"/>
        <v>0</v>
      </c>
      <c r="M180" s="50">
        <f t="shared" si="87"/>
        <v>0</v>
      </c>
      <c r="N180" s="40">
        <f t="shared" si="88"/>
        <v>12</v>
      </c>
      <c r="O180" s="43">
        <f t="shared" si="89"/>
        <v>14</v>
      </c>
    </row>
    <row r="181" spans="1:15" ht="22.95" customHeight="1" x14ac:dyDescent="0.3">
      <c r="A181" s="52" t="s">
        <v>247</v>
      </c>
      <c r="B181" s="44">
        <f t="shared" si="90"/>
        <v>4</v>
      </c>
      <c r="C181" s="39">
        <f t="shared" si="90"/>
        <v>1</v>
      </c>
      <c r="D181" s="39">
        <f t="shared" si="90"/>
        <v>4</v>
      </c>
      <c r="E181" s="39">
        <f t="shared" si="90"/>
        <v>0</v>
      </c>
      <c r="F181" s="39">
        <f t="shared" si="90"/>
        <v>0</v>
      </c>
      <c r="G181" s="50">
        <f t="shared" si="84"/>
        <v>9</v>
      </c>
      <c r="H181" s="44">
        <f t="shared" ref="H181:L181" si="92">H75+H76+H77+H78</f>
        <v>0</v>
      </c>
      <c r="I181" s="39">
        <f t="shared" si="92"/>
        <v>0</v>
      </c>
      <c r="J181" s="39">
        <f t="shared" si="92"/>
        <v>0</v>
      </c>
      <c r="K181" s="45">
        <f t="shared" si="92"/>
        <v>0</v>
      </c>
      <c r="L181" s="144">
        <f t="shared" si="92"/>
        <v>0</v>
      </c>
      <c r="M181" s="50">
        <f t="shared" si="87"/>
        <v>0</v>
      </c>
      <c r="N181" s="40">
        <f t="shared" si="88"/>
        <v>9</v>
      </c>
      <c r="O181" s="43">
        <f t="shared" si="89"/>
        <v>10.5</v>
      </c>
    </row>
    <row r="182" spans="1:15" ht="22.95" customHeight="1" x14ac:dyDescent="0.3">
      <c r="A182" s="52" t="s">
        <v>248</v>
      </c>
      <c r="B182" s="44">
        <f t="shared" si="90"/>
        <v>4</v>
      </c>
      <c r="C182" s="39">
        <f t="shared" si="90"/>
        <v>1</v>
      </c>
      <c r="D182" s="39">
        <f t="shared" si="90"/>
        <v>1</v>
      </c>
      <c r="E182" s="39">
        <f t="shared" si="90"/>
        <v>0</v>
      </c>
      <c r="F182" s="39">
        <f t="shared" si="90"/>
        <v>0</v>
      </c>
      <c r="G182" s="50">
        <f t="shared" si="84"/>
        <v>6</v>
      </c>
      <c r="H182" s="44">
        <f t="shared" ref="H182:L182" si="93">H76+H77+H78+H79</f>
        <v>0</v>
      </c>
      <c r="I182" s="39">
        <f t="shared" si="93"/>
        <v>0</v>
      </c>
      <c r="J182" s="39">
        <f t="shared" si="93"/>
        <v>0</v>
      </c>
      <c r="K182" s="45">
        <f t="shared" si="93"/>
        <v>0</v>
      </c>
      <c r="L182" s="144">
        <f t="shared" si="93"/>
        <v>0</v>
      </c>
      <c r="M182" s="50">
        <f t="shared" si="87"/>
        <v>0</v>
      </c>
      <c r="N182" s="40">
        <f t="shared" si="88"/>
        <v>6</v>
      </c>
      <c r="O182" s="43">
        <f t="shared" si="89"/>
        <v>6</v>
      </c>
    </row>
    <row r="183" spans="1:15" ht="22.95" customHeight="1" x14ac:dyDescent="0.3">
      <c r="A183" s="52" t="s">
        <v>249</v>
      </c>
      <c r="B183" s="44">
        <f t="shared" si="90"/>
        <v>3</v>
      </c>
      <c r="C183" s="39">
        <f t="shared" si="90"/>
        <v>2</v>
      </c>
      <c r="D183" s="39">
        <f t="shared" si="90"/>
        <v>1</v>
      </c>
      <c r="E183" s="39">
        <f t="shared" si="90"/>
        <v>1</v>
      </c>
      <c r="F183" s="39">
        <f t="shared" si="90"/>
        <v>1</v>
      </c>
      <c r="G183" s="50">
        <f t="shared" si="84"/>
        <v>8</v>
      </c>
      <c r="H183" s="44">
        <f t="shared" ref="H183:L183" si="94">H77+H78+H79+H80</f>
        <v>0</v>
      </c>
      <c r="I183" s="39">
        <f t="shared" si="94"/>
        <v>0</v>
      </c>
      <c r="J183" s="39">
        <f t="shared" si="94"/>
        <v>0</v>
      </c>
      <c r="K183" s="45">
        <f t="shared" si="94"/>
        <v>0</v>
      </c>
      <c r="L183" s="144">
        <f t="shared" si="94"/>
        <v>0</v>
      </c>
      <c r="M183" s="50">
        <f t="shared" si="87"/>
        <v>0</v>
      </c>
      <c r="N183" s="40">
        <f t="shared" si="88"/>
        <v>8</v>
      </c>
      <c r="O183" s="43">
        <f t="shared" si="89"/>
        <v>13</v>
      </c>
    </row>
    <row r="184" spans="1:15" ht="22.95" customHeight="1" x14ac:dyDescent="0.3">
      <c r="A184" s="52" t="s">
        <v>250</v>
      </c>
      <c r="B184" s="44">
        <f t="shared" si="90"/>
        <v>3</v>
      </c>
      <c r="C184" s="39">
        <f t="shared" si="90"/>
        <v>2</v>
      </c>
      <c r="D184" s="39">
        <f t="shared" si="90"/>
        <v>0</v>
      </c>
      <c r="E184" s="39">
        <f t="shared" si="90"/>
        <v>3</v>
      </c>
      <c r="F184" s="39">
        <f t="shared" si="90"/>
        <v>2</v>
      </c>
      <c r="G184" s="50">
        <f t="shared" si="84"/>
        <v>10</v>
      </c>
      <c r="H184" s="44">
        <f t="shared" ref="H184:L184" si="95">H78+H79+H80+H81</f>
        <v>0</v>
      </c>
      <c r="I184" s="39">
        <f t="shared" si="95"/>
        <v>0</v>
      </c>
      <c r="J184" s="39">
        <f t="shared" si="95"/>
        <v>0</v>
      </c>
      <c r="K184" s="45">
        <f t="shared" si="95"/>
        <v>0</v>
      </c>
      <c r="L184" s="144">
        <f t="shared" si="95"/>
        <v>0</v>
      </c>
      <c r="M184" s="50">
        <f t="shared" si="87"/>
        <v>0</v>
      </c>
      <c r="N184" s="40">
        <f t="shared" si="88"/>
        <v>10</v>
      </c>
      <c r="O184" s="43">
        <f t="shared" si="89"/>
        <v>22</v>
      </c>
    </row>
    <row r="185" spans="1:15" ht="22.95" customHeight="1" x14ac:dyDescent="0.3">
      <c r="A185" s="52" t="s">
        <v>251</v>
      </c>
      <c r="B185" s="44">
        <f t="shared" si="90"/>
        <v>4</v>
      </c>
      <c r="C185" s="39">
        <f t="shared" si="90"/>
        <v>2</v>
      </c>
      <c r="D185" s="39">
        <f t="shared" si="90"/>
        <v>3</v>
      </c>
      <c r="E185" s="39">
        <f t="shared" si="90"/>
        <v>3</v>
      </c>
      <c r="F185" s="39">
        <f t="shared" si="90"/>
        <v>3</v>
      </c>
      <c r="G185" s="50">
        <f t="shared" si="84"/>
        <v>15</v>
      </c>
      <c r="H185" s="44">
        <f t="shared" ref="H185:L185" si="96">H79+H80+H81+H82</f>
        <v>0</v>
      </c>
      <c r="I185" s="39">
        <f t="shared" si="96"/>
        <v>0</v>
      </c>
      <c r="J185" s="39">
        <f t="shared" si="96"/>
        <v>0</v>
      </c>
      <c r="K185" s="45">
        <f t="shared" si="96"/>
        <v>0</v>
      </c>
      <c r="L185" s="144">
        <f t="shared" si="96"/>
        <v>0</v>
      </c>
      <c r="M185" s="50">
        <f t="shared" si="87"/>
        <v>0</v>
      </c>
      <c r="N185" s="40">
        <f t="shared" si="88"/>
        <v>15</v>
      </c>
      <c r="O185" s="43">
        <f t="shared" si="89"/>
        <v>32</v>
      </c>
    </row>
    <row r="186" spans="1:15" ht="22.95" customHeight="1" x14ac:dyDescent="0.3">
      <c r="A186" s="52" t="s">
        <v>252</v>
      </c>
      <c r="B186" s="44">
        <f t="shared" si="90"/>
        <v>4</v>
      </c>
      <c r="C186" s="39">
        <f t="shared" si="90"/>
        <v>2</v>
      </c>
      <c r="D186" s="39">
        <f t="shared" si="90"/>
        <v>5</v>
      </c>
      <c r="E186" s="39">
        <f t="shared" si="90"/>
        <v>6</v>
      </c>
      <c r="F186" s="39">
        <f t="shared" si="90"/>
        <v>3</v>
      </c>
      <c r="G186" s="50">
        <f t="shared" si="84"/>
        <v>20</v>
      </c>
      <c r="H186" s="44">
        <f t="shared" ref="H186:L186" si="97">H80+H81+H82+H83</f>
        <v>0</v>
      </c>
      <c r="I186" s="39">
        <f t="shared" si="97"/>
        <v>0</v>
      </c>
      <c r="J186" s="39">
        <f t="shared" si="97"/>
        <v>0</v>
      </c>
      <c r="K186" s="45">
        <f t="shared" si="97"/>
        <v>0</v>
      </c>
      <c r="L186" s="144">
        <f t="shared" si="97"/>
        <v>0</v>
      </c>
      <c r="M186" s="50">
        <f t="shared" si="87"/>
        <v>0</v>
      </c>
      <c r="N186" s="40">
        <f t="shared" si="88"/>
        <v>20</v>
      </c>
      <c r="O186" s="43">
        <f t="shared" si="89"/>
        <v>44</v>
      </c>
    </row>
    <row r="187" spans="1:15" ht="22.95" customHeight="1" x14ac:dyDescent="0.3">
      <c r="A187" s="52" t="s">
        <v>253</v>
      </c>
      <c r="B187" s="44">
        <f t="shared" si="90"/>
        <v>3</v>
      </c>
      <c r="C187" s="39">
        <f t="shared" si="90"/>
        <v>1</v>
      </c>
      <c r="D187" s="39">
        <f t="shared" si="90"/>
        <v>6</v>
      </c>
      <c r="E187" s="39">
        <f t="shared" si="90"/>
        <v>5</v>
      </c>
      <c r="F187" s="39">
        <f t="shared" si="90"/>
        <v>2</v>
      </c>
      <c r="G187" s="50">
        <f t="shared" si="84"/>
        <v>17</v>
      </c>
      <c r="H187" s="44">
        <f t="shared" ref="H187:L187" si="98">H81+H82+H83+H84</f>
        <v>0</v>
      </c>
      <c r="I187" s="39">
        <f t="shared" si="98"/>
        <v>0</v>
      </c>
      <c r="J187" s="39">
        <f t="shared" si="98"/>
        <v>0</v>
      </c>
      <c r="K187" s="45">
        <f t="shared" si="98"/>
        <v>0</v>
      </c>
      <c r="L187" s="144">
        <f t="shared" si="98"/>
        <v>0</v>
      </c>
      <c r="M187" s="50">
        <f t="shared" si="87"/>
        <v>0</v>
      </c>
      <c r="N187" s="40">
        <f t="shared" si="88"/>
        <v>17</v>
      </c>
      <c r="O187" s="43">
        <f t="shared" si="89"/>
        <v>36.5</v>
      </c>
    </row>
    <row r="188" spans="1:15" ht="22.95" customHeight="1" x14ac:dyDescent="0.3">
      <c r="A188" s="52" t="s">
        <v>254</v>
      </c>
      <c r="B188" s="44">
        <f t="shared" si="90"/>
        <v>1</v>
      </c>
      <c r="C188" s="39">
        <f t="shared" si="90"/>
        <v>1</v>
      </c>
      <c r="D188" s="39">
        <f t="shared" si="90"/>
        <v>8</v>
      </c>
      <c r="E188" s="39">
        <f t="shared" si="90"/>
        <v>4</v>
      </c>
      <c r="F188" s="39">
        <f t="shared" si="90"/>
        <v>1</v>
      </c>
      <c r="G188" s="50">
        <f t="shared" si="84"/>
        <v>15</v>
      </c>
      <c r="H188" s="44">
        <f t="shared" ref="H188:L188" si="99">H82+H83+H84+H85</f>
        <v>0</v>
      </c>
      <c r="I188" s="39">
        <f t="shared" si="99"/>
        <v>0</v>
      </c>
      <c r="J188" s="39">
        <f t="shared" si="99"/>
        <v>0</v>
      </c>
      <c r="K188" s="45">
        <f t="shared" si="99"/>
        <v>0</v>
      </c>
      <c r="L188" s="144">
        <f t="shared" si="99"/>
        <v>0</v>
      </c>
      <c r="M188" s="50">
        <f t="shared" si="87"/>
        <v>0</v>
      </c>
      <c r="N188" s="40">
        <f t="shared" si="88"/>
        <v>15</v>
      </c>
      <c r="O188" s="43">
        <f t="shared" si="89"/>
        <v>30</v>
      </c>
    </row>
    <row r="189" spans="1:15" ht="22.95" customHeight="1" x14ac:dyDescent="0.3">
      <c r="A189" s="52" t="s">
        <v>255</v>
      </c>
      <c r="B189" s="44">
        <f t="shared" si="90"/>
        <v>0</v>
      </c>
      <c r="C189" s="39">
        <f t="shared" si="90"/>
        <v>2</v>
      </c>
      <c r="D189" s="39">
        <f t="shared" si="90"/>
        <v>6</v>
      </c>
      <c r="E189" s="39">
        <f t="shared" si="90"/>
        <v>4</v>
      </c>
      <c r="F189" s="39">
        <f t="shared" si="90"/>
        <v>0</v>
      </c>
      <c r="G189" s="50">
        <f t="shared" si="84"/>
        <v>12</v>
      </c>
      <c r="H189" s="44">
        <f t="shared" ref="H189:L189" si="100">H83+H84+H85+H86</f>
        <v>0</v>
      </c>
      <c r="I189" s="39">
        <f t="shared" si="100"/>
        <v>0</v>
      </c>
      <c r="J189" s="39">
        <f t="shared" si="100"/>
        <v>0</v>
      </c>
      <c r="K189" s="45">
        <f t="shared" si="100"/>
        <v>0</v>
      </c>
      <c r="L189" s="144">
        <f t="shared" si="100"/>
        <v>0</v>
      </c>
      <c r="M189" s="50">
        <f t="shared" si="87"/>
        <v>0</v>
      </c>
      <c r="N189" s="40">
        <f t="shared" si="88"/>
        <v>12</v>
      </c>
      <c r="O189" s="43">
        <f t="shared" si="89"/>
        <v>22</v>
      </c>
    </row>
    <row r="190" spans="1:15" ht="22.95" customHeight="1" x14ac:dyDescent="0.3">
      <c r="A190" s="52" t="s">
        <v>256</v>
      </c>
      <c r="B190" s="44">
        <f t="shared" si="90"/>
        <v>1</v>
      </c>
      <c r="C190" s="39">
        <f t="shared" si="90"/>
        <v>2</v>
      </c>
      <c r="D190" s="39">
        <f t="shared" si="90"/>
        <v>5</v>
      </c>
      <c r="E190" s="39">
        <f t="shared" si="90"/>
        <v>1</v>
      </c>
      <c r="F190" s="39">
        <f t="shared" si="90"/>
        <v>0</v>
      </c>
      <c r="G190" s="50">
        <f t="shared" si="84"/>
        <v>9</v>
      </c>
      <c r="H190" s="44">
        <f t="shared" ref="H190:L190" si="101">H84+H85+H86+H87</f>
        <v>0</v>
      </c>
      <c r="I190" s="39">
        <f t="shared" si="101"/>
        <v>0</v>
      </c>
      <c r="J190" s="39">
        <f t="shared" si="101"/>
        <v>0</v>
      </c>
      <c r="K190" s="45">
        <f t="shared" si="101"/>
        <v>0</v>
      </c>
      <c r="L190" s="144">
        <f t="shared" si="101"/>
        <v>0</v>
      </c>
      <c r="M190" s="50">
        <f t="shared" si="87"/>
        <v>0</v>
      </c>
      <c r="N190" s="40">
        <f t="shared" si="88"/>
        <v>9</v>
      </c>
      <c r="O190" s="43">
        <f t="shared" si="89"/>
        <v>12.5</v>
      </c>
    </row>
    <row r="191" spans="1:15" ht="22.95" customHeight="1" x14ac:dyDescent="0.3">
      <c r="A191" s="52" t="s">
        <v>257</v>
      </c>
      <c r="B191" s="44">
        <f t="shared" si="90"/>
        <v>3</v>
      </c>
      <c r="C191" s="39">
        <f t="shared" si="90"/>
        <v>2</v>
      </c>
      <c r="D191" s="39">
        <f t="shared" si="90"/>
        <v>5</v>
      </c>
      <c r="E191" s="39">
        <f t="shared" si="90"/>
        <v>1</v>
      </c>
      <c r="F191" s="39">
        <f t="shared" si="90"/>
        <v>0</v>
      </c>
      <c r="G191" s="50">
        <f t="shared" si="84"/>
        <v>11</v>
      </c>
      <c r="H191" s="44">
        <f t="shared" ref="H191:L191" si="102">H85+H86+H87+H88</f>
        <v>0</v>
      </c>
      <c r="I191" s="39">
        <f t="shared" si="102"/>
        <v>0</v>
      </c>
      <c r="J191" s="39">
        <f t="shared" si="102"/>
        <v>0</v>
      </c>
      <c r="K191" s="45">
        <f t="shared" si="102"/>
        <v>0</v>
      </c>
      <c r="L191" s="144">
        <f t="shared" si="102"/>
        <v>0</v>
      </c>
      <c r="M191" s="50">
        <f t="shared" si="87"/>
        <v>0</v>
      </c>
      <c r="N191" s="40">
        <f t="shared" si="88"/>
        <v>11</v>
      </c>
      <c r="O191" s="43">
        <f t="shared" si="89"/>
        <v>14.5</v>
      </c>
    </row>
    <row r="192" spans="1:15" ht="22.95" customHeight="1" x14ac:dyDescent="0.3">
      <c r="A192" s="52" t="s">
        <v>258</v>
      </c>
      <c r="B192" s="44">
        <f t="shared" si="90"/>
        <v>5</v>
      </c>
      <c r="C192" s="39">
        <f t="shared" si="90"/>
        <v>4</v>
      </c>
      <c r="D192" s="39">
        <f t="shared" si="90"/>
        <v>4</v>
      </c>
      <c r="E192" s="39">
        <f t="shared" si="90"/>
        <v>2</v>
      </c>
      <c r="F192" s="39">
        <f t="shared" si="90"/>
        <v>0</v>
      </c>
      <c r="G192" s="50">
        <f t="shared" si="84"/>
        <v>15</v>
      </c>
      <c r="H192" s="44">
        <f t="shared" ref="H192:L192" si="103">H86+H87+H88+H89</f>
        <v>0</v>
      </c>
      <c r="I192" s="39">
        <f t="shared" si="103"/>
        <v>0</v>
      </c>
      <c r="J192" s="39">
        <f t="shared" si="103"/>
        <v>0</v>
      </c>
      <c r="K192" s="45">
        <f t="shared" si="103"/>
        <v>0</v>
      </c>
      <c r="L192" s="144">
        <f t="shared" si="103"/>
        <v>0</v>
      </c>
      <c r="M192" s="50">
        <f t="shared" si="87"/>
        <v>0</v>
      </c>
      <c r="N192" s="40">
        <f t="shared" si="88"/>
        <v>15</v>
      </c>
      <c r="O192" s="43">
        <f t="shared" si="89"/>
        <v>19</v>
      </c>
    </row>
    <row r="193" spans="1:15" ht="22.95" customHeight="1" x14ac:dyDescent="0.3">
      <c r="A193" s="52" t="s">
        <v>259</v>
      </c>
      <c r="B193" s="44">
        <f t="shared" si="90"/>
        <v>7</v>
      </c>
      <c r="C193" s="39">
        <f t="shared" si="90"/>
        <v>6</v>
      </c>
      <c r="D193" s="39">
        <f t="shared" si="90"/>
        <v>5</v>
      </c>
      <c r="E193" s="39">
        <f t="shared" si="90"/>
        <v>3</v>
      </c>
      <c r="F193" s="39">
        <f t="shared" si="90"/>
        <v>0</v>
      </c>
      <c r="G193" s="50">
        <f t="shared" si="84"/>
        <v>21</v>
      </c>
      <c r="H193" s="44">
        <f t="shared" ref="H193:L193" si="104">H87+H88+H89+H90</f>
        <v>0</v>
      </c>
      <c r="I193" s="39">
        <f t="shared" si="104"/>
        <v>0</v>
      </c>
      <c r="J193" s="39">
        <f t="shared" si="104"/>
        <v>0</v>
      </c>
      <c r="K193" s="45">
        <f t="shared" si="104"/>
        <v>0</v>
      </c>
      <c r="L193" s="144">
        <f t="shared" si="104"/>
        <v>0</v>
      </c>
      <c r="M193" s="50">
        <f t="shared" si="87"/>
        <v>0</v>
      </c>
      <c r="N193" s="40">
        <f t="shared" si="88"/>
        <v>21</v>
      </c>
      <c r="O193" s="43">
        <f t="shared" si="89"/>
        <v>26.5</v>
      </c>
    </row>
    <row r="194" spans="1:15" ht="22.95" customHeight="1" x14ac:dyDescent="0.3">
      <c r="A194" s="52" t="s">
        <v>260</v>
      </c>
      <c r="B194" s="44">
        <f t="shared" si="90"/>
        <v>7</v>
      </c>
      <c r="C194" s="39">
        <f t="shared" si="90"/>
        <v>11</v>
      </c>
      <c r="D194" s="39">
        <f t="shared" si="90"/>
        <v>5</v>
      </c>
      <c r="E194" s="39">
        <f t="shared" si="90"/>
        <v>4</v>
      </c>
      <c r="F194" s="39">
        <f t="shared" si="90"/>
        <v>0</v>
      </c>
      <c r="G194" s="50">
        <f t="shared" si="84"/>
        <v>27</v>
      </c>
      <c r="H194" s="44">
        <f t="shared" ref="H194:L194" si="105">H88+H89+H90+H91</f>
        <v>0</v>
      </c>
      <c r="I194" s="39">
        <f t="shared" si="105"/>
        <v>0</v>
      </c>
      <c r="J194" s="39">
        <f t="shared" si="105"/>
        <v>0</v>
      </c>
      <c r="K194" s="45">
        <f t="shared" si="105"/>
        <v>0</v>
      </c>
      <c r="L194" s="144">
        <f t="shared" si="105"/>
        <v>0</v>
      </c>
      <c r="M194" s="50">
        <f t="shared" si="87"/>
        <v>0</v>
      </c>
      <c r="N194" s="40">
        <f t="shared" si="88"/>
        <v>27</v>
      </c>
      <c r="O194" s="43">
        <f t="shared" si="89"/>
        <v>32</v>
      </c>
    </row>
    <row r="195" spans="1:15" ht="22.95" customHeight="1" x14ac:dyDescent="0.3">
      <c r="A195" s="52" t="s">
        <v>261</v>
      </c>
      <c r="B195" s="44">
        <f t="shared" si="90"/>
        <v>7</v>
      </c>
      <c r="C195" s="39">
        <f t="shared" si="90"/>
        <v>12</v>
      </c>
      <c r="D195" s="39">
        <f t="shared" si="90"/>
        <v>6</v>
      </c>
      <c r="E195" s="39">
        <f t="shared" si="90"/>
        <v>4</v>
      </c>
      <c r="F195" s="39">
        <f t="shared" si="90"/>
        <v>0</v>
      </c>
      <c r="G195" s="50">
        <f t="shared" si="84"/>
        <v>29</v>
      </c>
      <c r="H195" s="44">
        <f t="shared" ref="H195:L195" si="106">H89+H90+H91+H92</f>
        <v>0</v>
      </c>
      <c r="I195" s="39">
        <f t="shared" si="106"/>
        <v>0</v>
      </c>
      <c r="J195" s="39">
        <f t="shared" si="106"/>
        <v>0</v>
      </c>
      <c r="K195" s="45">
        <f t="shared" si="106"/>
        <v>0</v>
      </c>
      <c r="L195" s="144">
        <f t="shared" si="106"/>
        <v>0</v>
      </c>
      <c r="M195" s="50">
        <f t="shared" si="87"/>
        <v>0</v>
      </c>
      <c r="N195" s="40">
        <f t="shared" si="88"/>
        <v>29</v>
      </c>
      <c r="O195" s="43">
        <f t="shared" si="89"/>
        <v>34</v>
      </c>
    </row>
    <row r="196" spans="1:15" ht="22.95" customHeight="1" x14ac:dyDescent="0.3">
      <c r="A196" s="52" t="s">
        <v>270</v>
      </c>
      <c r="B196" s="44">
        <f t="shared" ref="B196:F206" si="107">B90+B91+B92+B93</f>
        <v>8</v>
      </c>
      <c r="C196" s="39">
        <f t="shared" si="107"/>
        <v>11</v>
      </c>
      <c r="D196" s="39">
        <f t="shared" si="107"/>
        <v>5</v>
      </c>
      <c r="E196" s="39">
        <f t="shared" si="107"/>
        <v>2</v>
      </c>
      <c r="F196" s="39">
        <f t="shared" si="107"/>
        <v>0</v>
      </c>
      <c r="G196" s="50">
        <f t="shared" si="84"/>
        <v>26</v>
      </c>
      <c r="H196" s="44">
        <f t="shared" ref="H196:L196" si="108">H90+H91+H92+H93</f>
        <v>0</v>
      </c>
      <c r="I196" s="39">
        <f t="shared" si="108"/>
        <v>0</v>
      </c>
      <c r="J196" s="39">
        <f t="shared" si="108"/>
        <v>0</v>
      </c>
      <c r="K196" s="45">
        <f t="shared" si="108"/>
        <v>0</v>
      </c>
      <c r="L196" s="144">
        <f t="shared" si="108"/>
        <v>0</v>
      </c>
      <c r="M196" s="50">
        <f t="shared" si="87"/>
        <v>0</v>
      </c>
      <c r="N196" s="40">
        <f t="shared" si="88"/>
        <v>26</v>
      </c>
      <c r="O196" s="43">
        <f t="shared" si="89"/>
        <v>27</v>
      </c>
    </row>
    <row r="197" spans="1:15" ht="22.95" customHeight="1" x14ac:dyDescent="0.3">
      <c r="A197" s="52" t="s">
        <v>271</v>
      </c>
      <c r="B197" s="44">
        <f t="shared" si="107"/>
        <v>11</v>
      </c>
      <c r="C197" s="39">
        <f t="shared" si="107"/>
        <v>10</v>
      </c>
      <c r="D197" s="39">
        <f t="shared" si="107"/>
        <v>4</v>
      </c>
      <c r="E197" s="39">
        <f t="shared" si="107"/>
        <v>1</v>
      </c>
      <c r="F197" s="39">
        <f t="shared" si="107"/>
        <v>0</v>
      </c>
      <c r="G197" s="50">
        <f t="shared" si="84"/>
        <v>26</v>
      </c>
      <c r="H197" s="44">
        <f t="shared" ref="H197:L197" si="109">H91+H92+H93+H94</f>
        <v>0</v>
      </c>
      <c r="I197" s="39">
        <f t="shared" si="109"/>
        <v>0</v>
      </c>
      <c r="J197" s="39">
        <f t="shared" si="109"/>
        <v>0</v>
      </c>
      <c r="K197" s="45">
        <f t="shared" si="109"/>
        <v>0</v>
      </c>
      <c r="L197" s="144">
        <f t="shared" si="109"/>
        <v>0</v>
      </c>
      <c r="M197" s="50">
        <f t="shared" si="87"/>
        <v>0</v>
      </c>
      <c r="N197" s="40">
        <f t="shared" si="88"/>
        <v>26</v>
      </c>
      <c r="O197" s="43">
        <f t="shared" si="89"/>
        <v>25</v>
      </c>
    </row>
    <row r="198" spans="1:15" ht="22.95" customHeight="1" x14ac:dyDescent="0.3">
      <c r="A198" s="52" t="s">
        <v>279</v>
      </c>
      <c r="B198" s="44">
        <f t="shared" si="107"/>
        <v>11</v>
      </c>
      <c r="C198" s="39">
        <f t="shared" si="107"/>
        <v>5</v>
      </c>
      <c r="D198" s="39">
        <f t="shared" si="107"/>
        <v>6</v>
      </c>
      <c r="E198" s="39">
        <f t="shared" si="107"/>
        <v>0</v>
      </c>
      <c r="F198" s="39">
        <f t="shared" si="107"/>
        <v>0</v>
      </c>
      <c r="G198" s="50">
        <f t="shared" si="84"/>
        <v>22</v>
      </c>
      <c r="H198" s="44">
        <f t="shared" ref="H198:L198" si="110">H92+H93+H94+H95</f>
        <v>0</v>
      </c>
      <c r="I198" s="39">
        <f t="shared" si="110"/>
        <v>0</v>
      </c>
      <c r="J198" s="39">
        <f t="shared" si="110"/>
        <v>0</v>
      </c>
      <c r="K198" s="45">
        <f t="shared" si="110"/>
        <v>0</v>
      </c>
      <c r="L198" s="144">
        <f t="shared" si="110"/>
        <v>0</v>
      </c>
      <c r="M198" s="50">
        <f t="shared" si="87"/>
        <v>0</v>
      </c>
      <c r="N198" s="40">
        <f t="shared" si="88"/>
        <v>22</v>
      </c>
      <c r="O198" s="43">
        <f t="shared" si="89"/>
        <v>22.5</v>
      </c>
    </row>
    <row r="199" spans="1:15" ht="22.95" customHeight="1" x14ac:dyDescent="0.3">
      <c r="A199" s="52" t="s">
        <v>62</v>
      </c>
      <c r="B199" s="44">
        <f t="shared" si="107"/>
        <v>11</v>
      </c>
      <c r="C199" s="39">
        <f t="shared" si="107"/>
        <v>5</v>
      </c>
      <c r="D199" s="39">
        <f t="shared" si="107"/>
        <v>4</v>
      </c>
      <c r="E199" s="39">
        <f t="shared" si="107"/>
        <v>0</v>
      </c>
      <c r="F199" s="39">
        <f t="shared" si="107"/>
        <v>1</v>
      </c>
      <c r="G199" s="50">
        <f t="shared" si="84"/>
        <v>21</v>
      </c>
      <c r="H199" s="44">
        <f t="shared" ref="H199:L199" si="111">H93+H94+H95+H96</f>
        <v>0</v>
      </c>
      <c r="I199" s="39">
        <f t="shared" si="111"/>
        <v>0</v>
      </c>
      <c r="J199" s="39">
        <f t="shared" si="111"/>
        <v>0</v>
      </c>
      <c r="K199" s="45">
        <f t="shared" si="111"/>
        <v>0</v>
      </c>
      <c r="L199" s="144">
        <f t="shared" si="111"/>
        <v>0</v>
      </c>
      <c r="M199" s="50">
        <f t="shared" si="87"/>
        <v>0</v>
      </c>
      <c r="N199" s="40">
        <f t="shared" si="88"/>
        <v>21</v>
      </c>
      <c r="O199" s="43">
        <f t="shared" si="89"/>
        <v>24</v>
      </c>
    </row>
    <row r="200" spans="1:15" ht="22.95" customHeight="1" x14ac:dyDescent="0.3">
      <c r="A200" s="52" t="s">
        <v>63</v>
      </c>
      <c r="B200" s="44">
        <f t="shared" si="107"/>
        <v>9</v>
      </c>
      <c r="C200" s="39">
        <f t="shared" si="107"/>
        <v>5</v>
      </c>
      <c r="D200" s="39">
        <f t="shared" si="107"/>
        <v>5</v>
      </c>
      <c r="E200" s="39">
        <f t="shared" si="107"/>
        <v>0</v>
      </c>
      <c r="F200" s="39">
        <f t="shared" si="107"/>
        <v>1</v>
      </c>
      <c r="G200" s="50">
        <f t="shared" si="84"/>
        <v>20</v>
      </c>
      <c r="H200" s="44">
        <f t="shared" ref="H200:L200" si="112">H94+H95+H96+H97</f>
        <v>0</v>
      </c>
      <c r="I200" s="39">
        <f t="shared" si="112"/>
        <v>0</v>
      </c>
      <c r="J200" s="39">
        <f t="shared" si="112"/>
        <v>0</v>
      </c>
      <c r="K200" s="45">
        <f t="shared" si="112"/>
        <v>0</v>
      </c>
      <c r="L200" s="144">
        <f t="shared" si="112"/>
        <v>0</v>
      </c>
      <c r="M200" s="50">
        <f t="shared" si="87"/>
        <v>0</v>
      </c>
      <c r="N200" s="40">
        <f t="shared" si="88"/>
        <v>20</v>
      </c>
      <c r="O200" s="43">
        <f t="shared" si="89"/>
        <v>23.5</v>
      </c>
    </row>
    <row r="201" spans="1:15" ht="22.95" customHeight="1" x14ac:dyDescent="0.3">
      <c r="A201" s="52" t="s">
        <v>64</v>
      </c>
      <c r="B201" s="44">
        <f t="shared" si="107"/>
        <v>12</v>
      </c>
      <c r="C201" s="39">
        <f t="shared" si="107"/>
        <v>7</v>
      </c>
      <c r="D201" s="39">
        <f t="shared" si="107"/>
        <v>5</v>
      </c>
      <c r="E201" s="39">
        <f t="shared" si="107"/>
        <v>0</v>
      </c>
      <c r="F201" s="39">
        <f t="shared" si="107"/>
        <v>1</v>
      </c>
      <c r="G201" s="50">
        <f t="shared" si="84"/>
        <v>25</v>
      </c>
      <c r="H201" s="44">
        <f t="shared" ref="H201:L201" si="113">H95+H96+H97+H98</f>
        <v>0</v>
      </c>
      <c r="I201" s="39">
        <f t="shared" si="113"/>
        <v>0</v>
      </c>
      <c r="J201" s="39">
        <f t="shared" si="113"/>
        <v>0</v>
      </c>
      <c r="K201" s="45">
        <f t="shared" si="113"/>
        <v>0</v>
      </c>
      <c r="L201" s="144">
        <f t="shared" si="113"/>
        <v>0</v>
      </c>
      <c r="M201" s="50">
        <f t="shared" si="87"/>
        <v>0</v>
      </c>
      <c r="N201" s="40">
        <f t="shared" si="88"/>
        <v>25</v>
      </c>
      <c r="O201" s="43">
        <f t="shared" si="89"/>
        <v>27.5</v>
      </c>
    </row>
    <row r="202" spans="1:15" ht="22.95" customHeight="1" x14ac:dyDescent="0.3">
      <c r="A202" s="52" t="s">
        <v>65</v>
      </c>
      <c r="B202" s="44">
        <f t="shared" si="107"/>
        <v>29</v>
      </c>
      <c r="C202" s="39">
        <f t="shared" si="107"/>
        <v>20</v>
      </c>
      <c r="D202" s="39">
        <f t="shared" si="107"/>
        <v>4</v>
      </c>
      <c r="E202" s="39">
        <f t="shared" si="107"/>
        <v>0</v>
      </c>
      <c r="F202" s="39">
        <f t="shared" si="107"/>
        <v>3</v>
      </c>
      <c r="G202" s="50">
        <f t="shared" si="84"/>
        <v>56</v>
      </c>
      <c r="H202" s="44">
        <f t="shared" ref="H202:L202" si="114">H96+H97+H98+H99</f>
        <v>0</v>
      </c>
      <c r="I202" s="39">
        <f t="shared" si="114"/>
        <v>0</v>
      </c>
      <c r="J202" s="39">
        <f t="shared" si="114"/>
        <v>0</v>
      </c>
      <c r="K202" s="45">
        <f t="shared" si="114"/>
        <v>0</v>
      </c>
      <c r="L202" s="144">
        <f t="shared" si="114"/>
        <v>0</v>
      </c>
      <c r="M202" s="50">
        <f t="shared" si="87"/>
        <v>0</v>
      </c>
      <c r="N202" s="40">
        <f t="shared" si="88"/>
        <v>56</v>
      </c>
      <c r="O202" s="43">
        <f t="shared" si="89"/>
        <v>58.5</v>
      </c>
    </row>
    <row r="203" spans="1:15" ht="22.95" customHeight="1" x14ac:dyDescent="0.3">
      <c r="A203" s="52" t="s">
        <v>66</v>
      </c>
      <c r="B203" s="44">
        <f t="shared" si="107"/>
        <v>40</v>
      </c>
      <c r="C203" s="39">
        <f t="shared" si="107"/>
        <v>26</v>
      </c>
      <c r="D203" s="39">
        <f t="shared" si="107"/>
        <v>6</v>
      </c>
      <c r="E203" s="39">
        <f t="shared" si="107"/>
        <v>0</v>
      </c>
      <c r="F203" s="39">
        <f t="shared" si="107"/>
        <v>2</v>
      </c>
      <c r="G203" s="50">
        <f t="shared" si="84"/>
        <v>74</v>
      </c>
      <c r="H203" s="44">
        <f t="shared" ref="H203:L203" si="115">H97+H98+H99+H100</f>
        <v>0</v>
      </c>
      <c r="I203" s="39">
        <f t="shared" si="115"/>
        <v>0</v>
      </c>
      <c r="J203" s="39">
        <f t="shared" si="115"/>
        <v>0</v>
      </c>
      <c r="K203" s="45">
        <f t="shared" si="115"/>
        <v>0</v>
      </c>
      <c r="L203" s="144">
        <f t="shared" si="115"/>
        <v>0</v>
      </c>
      <c r="M203" s="50">
        <f t="shared" si="87"/>
        <v>0</v>
      </c>
      <c r="N203" s="40">
        <f t="shared" si="88"/>
        <v>74</v>
      </c>
      <c r="O203" s="43">
        <f t="shared" si="89"/>
        <v>71</v>
      </c>
    </row>
    <row r="204" spans="1:15" ht="22.95" customHeight="1" x14ac:dyDescent="0.3">
      <c r="A204" s="52" t="s">
        <v>67</v>
      </c>
      <c r="B204" s="44">
        <f t="shared" si="107"/>
        <v>47</v>
      </c>
      <c r="C204" s="39">
        <f t="shared" si="107"/>
        <v>30</v>
      </c>
      <c r="D204" s="39">
        <f t="shared" si="107"/>
        <v>5</v>
      </c>
      <c r="E204" s="39">
        <f t="shared" si="107"/>
        <v>0</v>
      </c>
      <c r="F204" s="39">
        <f t="shared" si="107"/>
        <v>2</v>
      </c>
      <c r="G204" s="50">
        <f t="shared" si="84"/>
        <v>84</v>
      </c>
      <c r="H204" s="44">
        <f t="shared" ref="H204:L204" si="116">H98+H99+H100+H101</f>
        <v>0</v>
      </c>
      <c r="I204" s="39">
        <f t="shared" si="116"/>
        <v>0</v>
      </c>
      <c r="J204" s="39">
        <f t="shared" si="116"/>
        <v>0</v>
      </c>
      <c r="K204" s="45">
        <f t="shared" si="116"/>
        <v>0</v>
      </c>
      <c r="L204" s="144">
        <f t="shared" si="116"/>
        <v>0</v>
      </c>
      <c r="M204" s="50">
        <f t="shared" si="87"/>
        <v>0</v>
      </c>
      <c r="N204" s="40">
        <f t="shared" si="88"/>
        <v>84</v>
      </c>
      <c r="O204" s="43">
        <f t="shared" si="89"/>
        <v>78.5</v>
      </c>
    </row>
    <row r="205" spans="1:15" ht="22.95" customHeight="1" x14ac:dyDescent="0.3">
      <c r="A205" s="52" t="s">
        <v>68</v>
      </c>
      <c r="B205" s="44">
        <f t="shared" si="107"/>
        <v>48</v>
      </c>
      <c r="C205" s="39">
        <f t="shared" si="107"/>
        <v>33</v>
      </c>
      <c r="D205" s="39">
        <f t="shared" si="107"/>
        <v>4</v>
      </c>
      <c r="E205" s="39">
        <f t="shared" si="107"/>
        <v>0</v>
      </c>
      <c r="F205" s="39">
        <f t="shared" si="107"/>
        <v>4</v>
      </c>
      <c r="G205" s="50">
        <f t="shared" si="84"/>
        <v>89</v>
      </c>
      <c r="H205" s="44">
        <f t="shared" ref="H205:L205" si="117">H99+H100+H101+H102</f>
        <v>0</v>
      </c>
      <c r="I205" s="39">
        <f t="shared" si="117"/>
        <v>0</v>
      </c>
      <c r="J205" s="39">
        <f t="shared" si="117"/>
        <v>0</v>
      </c>
      <c r="K205" s="45">
        <f t="shared" si="117"/>
        <v>0</v>
      </c>
      <c r="L205" s="144">
        <f t="shared" si="117"/>
        <v>0</v>
      </c>
      <c r="M205" s="50">
        <f t="shared" si="87"/>
        <v>0</v>
      </c>
      <c r="N205" s="40">
        <f t="shared" si="88"/>
        <v>89</v>
      </c>
      <c r="O205" s="43">
        <f t="shared" si="89"/>
        <v>88.5</v>
      </c>
    </row>
    <row r="206" spans="1:15" ht="22.95" customHeight="1" thickBot="1" x14ac:dyDescent="0.35">
      <c r="A206" s="52" t="s">
        <v>69</v>
      </c>
      <c r="B206" s="46">
        <f t="shared" si="107"/>
        <v>35</v>
      </c>
      <c r="C206" s="47">
        <f t="shared" si="107"/>
        <v>22</v>
      </c>
      <c r="D206" s="47">
        <f t="shared" si="107"/>
        <v>4</v>
      </c>
      <c r="E206" s="47">
        <f t="shared" si="107"/>
        <v>0</v>
      </c>
      <c r="F206" s="47">
        <f t="shared" si="107"/>
        <v>2</v>
      </c>
      <c r="G206" s="50">
        <f t="shared" si="84"/>
        <v>63</v>
      </c>
      <c r="H206" s="44">
        <f t="shared" ref="H206:L206" si="118">H100+H101+H102+H103</f>
        <v>0</v>
      </c>
      <c r="I206" s="39">
        <f t="shared" si="118"/>
        <v>0</v>
      </c>
      <c r="J206" s="39">
        <f t="shared" si="118"/>
        <v>0</v>
      </c>
      <c r="K206" s="45">
        <f t="shared" si="118"/>
        <v>0</v>
      </c>
      <c r="L206" s="145">
        <f t="shared" si="118"/>
        <v>0</v>
      </c>
      <c r="M206" s="50">
        <f t="shared" si="87"/>
        <v>0</v>
      </c>
      <c r="N206" s="40">
        <f t="shared" si="88"/>
        <v>63</v>
      </c>
      <c r="O206" s="43">
        <f t="shared" si="89"/>
        <v>61</v>
      </c>
    </row>
  </sheetData>
  <mergeCells count="31">
    <mergeCell ref="A1:M1"/>
    <mergeCell ref="D6:D7"/>
    <mergeCell ref="E6:E7"/>
    <mergeCell ref="H6:H7"/>
    <mergeCell ref="I6:I7"/>
    <mergeCell ref="J6:J7"/>
    <mergeCell ref="K6:K7"/>
    <mergeCell ref="M6:M7"/>
    <mergeCell ref="A6:A7"/>
    <mergeCell ref="B6:B7"/>
    <mergeCell ref="F6:F7"/>
    <mergeCell ref="A112:A113"/>
    <mergeCell ref="C6:C7"/>
    <mergeCell ref="C112:C113"/>
    <mergeCell ref="D112:D113"/>
    <mergeCell ref="E112:E113"/>
    <mergeCell ref="B112:B113"/>
    <mergeCell ref="N6:N7"/>
    <mergeCell ref="O6:O7"/>
    <mergeCell ref="F112:F113"/>
    <mergeCell ref="G112:G113"/>
    <mergeCell ref="N112:N113"/>
    <mergeCell ref="O112:O113"/>
    <mergeCell ref="H112:H113"/>
    <mergeCell ref="I112:I113"/>
    <mergeCell ref="J112:J113"/>
    <mergeCell ref="K112:K113"/>
    <mergeCell ref="M112:M113"/>
    <mergeCell ref="L6:L7"/>
    <mergeCell ref="L112:L113"/>
    <mergeCell ref="G6:G7"/>
  </mergeCells>
  <pageMargins left="0.7" right="0.7" top="0.75" bottom="0.75" header="0.3" footer="0.3"/>
  <pageSetup paperSize="9" scale="28" orientation="portrait" r:id="rId1"/>
  <rowBreaks count="1" manualBreakCount="1">
    <brk id="106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9FFCC"/>
  </sheetPr>
  <dimension ref="A1:O206"/>
  <sheetViews>
    <sheetView view="pageBreakPreview" zoomScale="55" zoomScaleNormal="70" zoomScaleSheetLayoutView="55" workbookViewId="0">
      <selection activeCell="H17" sqref="H17"/>
    </sheetView>
  </sheetViews>
  <sheetFormatPr defaultColWidth="9" defaultRowHeight="15.6" x14ac:dyDescent="0.3"/>
  <cols>
    <col min="1" max="1" width="21.19921875" customWidth="1"/>
    <col min="2" max="13" width="11.69921875" customWidth="1"/>
    <col min="14" max="14" width="12.3984375" customWidth="1"/>
  </cols>
  <sheetData>
    <row r="1" spans="1:15" x14ac:dyDescent="0.3">
      <c r="A1" s="247" t="s">
        <v>99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</row>
    <row r="2" spans="1:15" s="4" customFormat="1" x14ac:dyDescent="0.3">
      <c r="A2" s="4" t="s">
        <v>103</v>
      </c>
      <c r="B2" s="4" t="str">
        <f>Summary!B2</f>
        <v>TMC-14 Number (D2)</v>
      </c>
    </row>
    <row r="3" spans="1:15" s="4" customFormat="1" x14ac:dyDescent="0.3">
      <c r="A3" s="4" t="s">
        <v>102</v>
      </c>
      <c r="B3" s="4" t="str">
        <f>Summary!B3</f>
        <v>D2</v>
      </c>
    </row>
    <row r="4" spans="1:15" s="4" customFormat="1" x14ac:dyDescent="0.3">
      <c r="A4" s="4" t="s">
        <v>104</v>
      </c>
      <c r="B4" s="4" t="str">
        <f>Summary!H16</f>
        <v>Chomu Pulia</v>
      </c>
      <c r="D4" s="4" t="s">
        <v>1</v>
      </c>
      <c r="E4" s="4" t="str">
        <f>Summary!F11</f>
        <v>Mansarover</v>
      </c>
    </row>
    <row r="5" spans="1:15" ht="16.2" thickBot="1" x14ac:dyDescent="0.35"/>
    <row r="6" spans="1:15" ht="25.2" customHeight="1" x14ac:dyDescent="0.3">
      <c r="A6" s="252" t="s">
        <v>95</v>
      </c>
      <c r="B6" s="258" t="s">
        <v>280</v>
      </c>
      <c r="C6" s="254" t="s">
        <v>281</v>
      </c>
      <c r="D6" s="250" t="s">
        <v>282</v>
      </c>
      <c r="E6" s="260" t="s">
        <v>283</v>
      </c>
      <c r="F6" s="256" t="s">
        <v>284</v>
      </c>
      <c r="G6" s="250" t="s">
        <v>129</v>
      </c>
      <c r="H6" s="248" t="s">
        <v>150</v>
      </c>
      <c r="I6" s="250" t="s">
        <v>151</v>
      </c>
      <c r="J6" s="250" t="s">
        <v>285</v>
      </c>
      <c r="K6" s="248" t="s">
        <v>286</v>
      </c>
      <c r="L6" s="250" t="s">
        <v>287</v>
      </c>
      <c r="M6" s="250" t="s">
        <v>78</v>
      </c>
      <c r="N6" s="250" t="s">
        <v>131</v>
      </c>
      <c r="O6" s="250" t="s">
        <v>132</v>
      </c>
    </row>
    <row r="7" spans="1:15" ht="43.5" customHeight="1" thickBot="1" x14ac:dyDescent="0.35">
      <c r="A7" s="262"/>
      <c r="B7" s="263"/>
      <c r="C7" s="264"/>
      <c r="D7" s="265"/>
      <c r="E7" s="266"/>
      <c r="F7" s="267"/>
      <c r="G7" s="259"/>
      <c r="H7" s="268"/>
      <c r="I7" s="265"/>
      <c r="J7" s="265"/>
      <c r="K7" s="268"/>
      <c r="L7" s="265"/>
      <c r="M7" s="265"/>
      <c r="N7" s="251"/>
      <c r="O7" s="251"/>
    </row>
    <row r="8" spans="1:15" ht="22.5" customHeight="1" x14ac:dyDescent="0.3">
      <c r="A8" s="189" t="s">
        <v>177</v>
      </c>
      <c r="B8" s="200">
        <v>85</v>
      </c>
      <c r="C8" s="201">
        <v>49</v>
      </c>
      <c r="D8" s="201">
        <v>4</v>
      </c>
      <c r="E8" s="201">
        <v>10</v>
      </c>
      <c r="F8" s="244">
        <v>2</v>
      </c>
      <c r="G8" s="198">
        <f t="shared" ref="G8:G39" si="0">SUM(B8:F8)</f>
        <v>150</v>
      </c>
      <c r="H8" s="200">
        <v>0</v>
      </c>
      <c r="I8" s="201">
        <v>0</v>
      </c>
      <c r="J8" s="201">
        <v>0</v>
      </c>
      <c r="K8" s="201">
        <v>0</v>
      </c>
      <c r="L8" s="201">
        <v>8</v>
      </c>
      <c r="M8" s="202">
        <v>1</v>
      </c>
      <c r="N8" s="85">
        <f>G8+M8</f>
        <v>151</v>
      </c>
      <c r="O8" s="115">
        <f>B8*1+C8*0.5+D8*1.5+E8*3+F8*4.5+H8*0.5+I8*1.5+J8*3+K8*4+L8*8</f>
        <v>218.5</v>
      </c>
    </row>
    <row r="9" spans="1:15" ht="22.5" customHeight="1" x14ac:dyDescent="0.3">
      <c r="A9" s="190" t="s">
        <v>178</v>
      </c>
      <c r="B9" s="203">
        <v>115</v>
      </c>
      <c r="C9" s="204">
        <v>65</v>
      </c>
      <c r="D9" s="204">
        <v>5</v>
      </c>
      <c r="E9" s="204">
        <v>15</v>
      </c>
      <c r="F9" s="245">
        <v>2</v>
      </c>
      <c r="G9" s="196">
        <f t="shared" si="0"/>
        <v>202</v>
      </c>
      <c r="H9" s="203">
        <v>1</v>
      </c>
      <c r="I9" s="204">
        <v>0</v>
      </c>
      <c r="J9" s="204">
        <v>0</v>
      </c>
      <c r="K9" s="204">
        <v>0</v>
      </c>
      <c r="L9" s="204">
        <v>7</v>
      </c>
      <c r="M9" s="205">
        <v>0</v>
      </c>
      <c r="N9" s="85">
        <f t="shared" ref="N9:N72" si="1">G9+M9</f>
        <v>202</v>
      </c>
      <c r="O9" s="43">
        <f t="shared" ref="O9:O72" si="2">B9*1+C9*0.5+D9*1.5+E9*3+F9*4.5+H9*0.5+I9*1.5+J9*3+K9*4+L9*8</f>
        <v>265.5</v>
      </c>
    </row>
    <row r="10" spans="1:15" ht="22.5" customHeight="1" x14ac:dyDescent="0.3">
      <c r="A10" s="190" t="s">
        <v>179</v>
      </c>
      <c r="B10" s="203">
        <v>93</v>
      </c>
      <c r="C10" s="204">
        <v>34</v>
      </c>
      <c r="D10" s="204">
        <v>8</v>
      </c>
      <c r="E10" s="204">
        <v>12</v>
      </c>
      <c r="F10" s="245">
        <v>1</v>
      </c>
      <c r="G10" s="196">
        <f t="shared" si="0"/>
        <v>148</v>
      </c>
      <c r="H10" s="203">
        <v>0</v>
      </c>
      <c r="I10" s="204">
        <v>0</v>
      </c>
      <c r="J10" s="204">
        <v>0</v>
      </c>
      <c r="K10" s="204">
        <v>0</v>
      </c>
      <c r="L10" s="204">
        <v>7</v>
      </c>
      <c r="M10" s="205">
        <v>0</v>
      </c>
      <c r="N10" s="85">
        <f t="shared" si="1"/>
        <v>148</v>
      </c>
      <c r="O10" s="43">
        <f t="shared" si="2"/>
        <v>218.5</v>
      </c>
    </row>
    <row r="11" spans="1:15" ht="22.5" customHeight="1" x14ac:dyDescent="0.3">
      <c r="A11" s="190" t="s">
        <v>180</v>
      </c>
      <c r="B11" s="203">
        <v>116</v>
      </c>
      <c r="C11" s="204">
        <v>57</v>
      </c>
      <c r="D11" s="204">
        <v>6</v>
      </c>
      <c r="E11" s="204">
        <v>14</v>
      </c>
      <c r="F11" s="245">
        <v>4</v>
      </c>
      <c r="G11" s="196">
        <f t="shared" si="0"/>
        <v>197</v>
      </c>
      <c r="H11" s="203">
        <v>0</v>
      </c>
      <c r="I11" s="204">
        <v>0</v>
      </c>
      <c r="J11" s="204">
        <v>0</v>
      </c>
      <c r="K11" s="204">
        <v>0</v>
      </c>
      <c r="L11" s="204">
        <v>8</v>
      </c>
      <c r="M11" s="205">
        <v>0</v>
      </c>
      <c r="N11" s="85">
        <f t="shared" si="1"/>
        <v>197</v>
      </c>
      <c r="O11" s="43">
        <f t="shared" si="2"/>
        <v>277.5</v>
      </c>
    </row>
    <row r="12" spans="1:15" ht="22.5" customHeight="1" x14ac:dyDescent="0.3">
      <c r="A12" s="190" t="s">
        <v>181</v>
      </c>
      <c r="B12" s="203">
        <v>118</v>
      </c>
      <c r="C12" s="204">
        <v>46</v>
      </c>
      <c r="D12" s="204">
        <v>7</v>
      </c>
      <c r="E12" s="204">
        <v>8</v>
      </c>
      <c r="F12" s="245">
        <v>2</v>
      </c>
      <c r="G12" s="196">
        <f t="shared" si="0"/>
        <v>181</v>
      </c>
      <c r="H12" s="203">
        <v>0</v>
      </c>
      <c r="I12" s="204">
        <v>0</v>
      </c>
      <c r="J12" s="204">
        <v>0</v>
      </c>
      <c r="K12" s="204">
        <v>0</v>
      </c>
      <c r="L12" s="204">
        <v>8</v>
      </c>
      <c r="M12" s="205">
        <v>0</v>
      </c>
      <c r="N12" s="85">
        <f t="shared" si="1"/>
        <v>181</v>
      </c>
      <c r="O12" s="43">
        <f t="shared" si="2"/>
        <v>248.5</v>
      </c>
    </row>
    <row r="13" spans="1:15" ht="22.5" customHeight="1" x14ac:dyDescent="0.3">
      <c r="A13" s="190" t="s">
        <v>182</v>
      </c>
      <c r="B13" s="203">
        <v>144</v>
      </c>
      <c r="C13" s="204">
        <v>96</v>
      </c>
      <c r="D13" s="204">
        <v>5</v>
      </c>
      <c r="E13" s="204">
        <v>11</v>
      </c>
      <c r="F13" s="245">
        <v>1</v>
      </c>
      <c r="G13" s="196">
        <f t="shared" si="0"/>
        <v>257</v>
      </c>
      <c r="H13" s="203">
        <v>0</v>
      </c>
      <c r="I13" s="204">
        <v>0</v>
      </c>
      <c r="J13" s="204">
        <v>0</v>
      </c>
      <c r="K13" s="204">
        <v>0</v>
      </c>
      <c r="L13" s="204">
        <v>10</v>
      </c>
      <c r="M13" s="205">
        <v>0</v>
      </c>
      <c r="N13" s="85">
        <f t="shared" si="1"/>
        <v>257</v>
      </c>
      <c r="O13" s="43">
        <f t="shared" si="2"/>
        <v>317</v>
      </c>
    </row>
    <row r="14" spans="1:15" ht="22.5" customHeight="1" x14ac:dyDescent="0.3">
      <c r="A14" s="190" t="s">
        <v>183</v>
      </c>
      <c r="B14" s="203">
        <v>119</v>
      </c>
      <c r="C14" s="204">
        <v>105</v>
      </c>
      <c r="D14" s="204">
        <v>9</v>
      </c>
      <c r="E14" s="204">
        <v>10</v>
      </c>
      <c r="F14" s="245">
        <v>1</v>
      </c>
      <c r="G14" s="196">
        <f t="shared" si="0"/>
        <v>244</v>
      </c>
      <c r="H14" s="203">
        <v>0</v>
      </c>
      <c r="I14" s="204">
        <v>0</v>
      </c>
      <c r="J14" s="204">
        <v>0</v>
      </c>
      <c r="K14" s="204">
        <v>0</v>
      </c>
      <c r="L14" s="204">
        <v>10</v>
      </c>
      <c r="M14" s="205">
        <v>0</v>
      </c>
      <c r="N14" s="85">
        <f t="shared" si="1"/>
        <v>244</v>
      </c>
      <c r="O14" s="43">
        <f t="shared" si="2"/>
        <v>299.5</v>
      </c>
    </row>
    <row r="15" spans="1:15" ht="22.5" customHeight="1" x14ac:dyDescent="0.3">
      <c r="A15" s="190" t="s">
        <v>184</v>
      </c>
      <c r="B15" s="203">
        <v>125</v>
      </c>
      <c r="C15" s="204">
        <v>63</v>
      </c>
      <c r="D15" s="204">
        <v>6</v>
      </c>
      <c r="E15" s="204">
        <v>10</v>
      </c>
      <c r="F15" s="245">
        <v>0</v>
      </c>
      <c r="G15" s="196">
        <f t="shared" si="0"/>
        <v>204</v>
      </c>
      <c r="H15" s="203">
        <v>0</v>
      </c>
      <c r="I15" s="204">
        <v>0</v>
      </c>
      <c r="J15" s="204">
        <v>0</v>
      </c>
      <c r="K15" s="204">
        <v>0</v>
      </c>
      <c r="L15" s="204">
        <v>6</v>
      </c>
      <c r="M15" s="205">
        <v>0</v>
      </c>
      <c r="N15" s="85">
        <f t="shared" si="1"/>
        <v>204</v>
      </c>
      <c r="O15" s="43">
        <f t="shared" si="2"/>
        <v>243.5</v>
      </c>
    </row>
    <row r="16" spans="1:15" ht="22.5" customHeight="1" x14ac:dyDescent="0.3">
      <c r="A16" s="190" t="s">
        <v>185</v>
      </c>
      <c r="B16" s="203">
        <v>170</v>
      </c>
      <c r="C16" s="204">
        <v>87</v>
      </c>
      <c r="D16" s="204">
        <v>7</v>
      </c>
      <c r="E16" s="204">
        <v>10</v>
      </c>
      <c r="F16" s="245">
        <v>0</v>
      </c>
      <c r="G16" s="196">
        <f t="shared" si="0"/>
        <v>274</v>
      </c>
      <c r="H16" s="203">
        <v>1</v>
      </c>
      <c r="I16" s="204">
        <v>0</v>
      </c>
      <c r="J16" s="204">
        <v>0</v>
      </c>
      <c r="K16" s="204">
        <v>0</v>
      </c>
      <c r="L16" s="204">
        <v>13</v>
      </c>
      <c r="M16" s="205">
        <v>0</v>
      </c>
      <c r="N16" s="85">
        <f t="shared" si="1"/>
        <v>274</v>
      </c>
      <c r="O16" s="43">
        <f t="shared" si="2"/>
        <v>358.5</v>
      </c>
    </row>
    <row r="17" spans="1:15" ht="22.5" customHeight="1" x14ac:dyDescent="0.3">
      <c r="A17" s="190" t="s">
        <v>186</v>
      </c>
      <c r="B17" s="203">
        <v>125</v>
      </c>
      <c r="C17" s="204">
        <v>59</v>
      </c>
      <c r="D17" s="204">
        <v>3</v>
      </c>
      <c r="E17" s="204">
        <v>4</v>
      </c>
      <c r="F17" s="245">
        <v>2</v>
      </c>
      <c r="G17" s="196">
        <f t="shared" si="0"/>
        <v>193</v>
      </c>
      <c r="H17" s="203">
        <v>0</v>
      </c>
      <c r="I17" s="204">
        <v>0</v>
      </c>
      <c r="J17" s="204">
        <v>0</v>
      </c>
      <c r="K17" s="204">
        <v>0</v>
      </c>
      <c r="L17" s="204">
        <v>8</v>
      </c>
      <c r="M17" s="205">
        <v>0</v>
      </c>
      <c r="N17" s="85">
        <f t="shared" si="1"/>
        <v>193</v>
      </c>
      <c r="O17" s="43">
        <f t="shared" si="2"/>
        <v>244</v>
      </c>
    </row>
    <row r="18" spans="1:15" ht="22.5" customHeight="1" x14ac:dyDescent="0.3">
      <c r="A18" s="190" t="s">
        <v>187</v>
      </c>
      <c r="B18" s="203">
        <v>155</v>
      </c>
      <c r="C18" s="204">
        <v>79</v>
      </c>
      <c r="D18" s="204">
        <v>6</v>
      </c>
      <c r="E18" s="204">
        <v>10</v>
      </c>
      <c r="F18" s="245">
        <v>1</v>
      </c>
      <c r="G18" s="196">
        <f t="shared" si="0"/>
        <v>251</v>
      </c>
      <c r="H18" s="203">
        <v>0</v>
      </c>
      <c r="I18" s="204">
        <v>0</v>
      </c>
      <c r="J18" s="204">
        <v>0</v>
      </c>
      <c r="K18" s="204">
        <v>0</v>
      </c>
      <c r="L18" s="204">
        <v>6</v>
      </c>
      <c r="M18" s="205">
        <v>0</v>
      </c>
      <c r="N18" s="85">
        <f t="shared" si="1"/>
        <v>251</v>
      </c>
      <c r="O18" s="43">
        <f t="shared" si="2"/>
        <v>286</v>
      </c>
    </row>
    <row r="19" spans="1:15" ht="22.5" customHeight="1" x14ac:dyDescent="0.3">
      <c r="A19" s="190" t="s">
        <v>188</v>
      </c>
      <c r="B19" s="203">
        <v>168</v>
      </c>
      <c r="C19" s="204">
        <v>86</v>
      </c>
      <c r="D19" s="204">
        <v>8</v>
      </c>
      <c r="E19" s="204">
        <v>17</v>
      </c>
      <c r="F19" s="245">
        <v>0</v>
      </c>
      <c r="G19" s="196">
        <f t="shared" si="0"/>
        <v>279</v>
      </c>
      <c r="H19" s="203">
        <v>0</v>
      </c>
      <c r="I19" s="204">
        <v>0</v>
      </c>
      <c r="J19" s="204">
        <v>0</v>
      </c>
      <c r="K19" s="204">
        <v>0</v>
      </c>
      <c r="L19" s="204">
        <v>8</v>
      </c>
      <c r="M19" s="205">
        <v>0</v>
      </c>
      <c r="N19" s="85">
        <f t="shared" si="1"/>
        <v>279</v>
      </c>
      <c r="O19" s="43">
        <f t="shared" si="2"/>
        <v>338</v>
      </c>
    </row>
    <row r="20" spans="1:15" ht="22.5" customHeight="1" x14ac:dyDescent="0.3">
      <c r="A20" s="190" t="s">
        <v>189</v>
      </c>
      <c r="B20" s="203">
        <v>159</v>
      </c>
      <c r="C20" s="204">
        <v>53</v>
      </c>
      <c r="D20" s="204">
        <v>5</v>
      </c>
      <c r="E20" s="204">
        <v>19</v>
      </c>
      <c r="F20" s="245">
        <v>2</v>
      </c>
      <c r="G20" s="196">
        <f t="shared" si="0"/>
        <v>238</v>
      </c>
      <c r="H20" s="203">
        <v>0</v>
      </c>
      <c r="I20" s="204">
        <v>0</v>
      </c>
      <c r="J20" s="204">
        <v>0</v>
      </c>
      <c r="K20" s="204">
        <v>0</v>
      </c>
      <c r="L20" s="204">
        <v>8</v>
      </c>
      <c r="M20" s="205">
        <v>0</v>
      </c>
      <c r="N20" s="85">
        <f t="shared" si="1"/>
        <v>238</v>
      </c>
      <c r="O20" s="43">
        <f t="shared" si="2"/>
        <v>323</v>
      </c>
    </row>
    <row r="21" spans="1:15" ht="22.5" customHeight="1" x14ac:dyDescent="0.3">
      <c r="A21" s="190" t="s">
        <v>190</v>
      </c>
      <c r="B21" s="203">
        <v>162</v>
      </c>
      <c r="C21" s="204">
        <v>51</v>
      </c>
      <c r="D21" s="204">
        <v>7</v>
      </c>
      <c r="E21" s="204">
        <v>16</v>
      </c>
      <c r="F21" s="245">
        <v>2</v>
      </c>
      <c r="G21" s="196">
        <f t="shared" si="0"/>
        <v>238</v>
      </c>
      <c r="H21" s="203">
        <v>0</v>
      </c>
      <c r="I21" s="204">
        <v>0</v>
      </c>
      <c r="J21" s="204">
        <v>0</v>
      </c>
      <c r="K21" s="204">
        <v>0</v>
      </c>
      <c r="L21" s="204">
        <v>6</v>
      </c>
      <c r="M21" s="205">
        <v>0</v>
      </c>
      <c r="N21" s="85">
        <f t="shared" si="1"/>
        <v>238</v>
      </c>
      <c r="O21" s="43">
        <f t="shared" si="2"/>
        <v>303</v>
      </c>
    </row>
    <row r="22" spans="1:15" ht="22.5" customHeight="1" x14ac:dyDescent="0.3">
      <c r="A22" s="190" t="s">
        <v>191</v>
      </c>
      <c r="B22" s="203">
        <v>136</v>
      </c>
      <c r="C22" s="204">
        <v>47</v>
      </c>
      <c r="D22" s="204">
        <v>6</v>
      </c>
      <c r="E22" s="204">
        <v>12</v>
      </c>
      <c r="F22" s="245">
        <v>2</v>
      </c>
      <c r="G22" s="196">
        <f t="shared" si="0"/>
        <v>203</v>
      </c>
      <c r="H22" s="203">
        <v>0</v>
      </c>
      <c r="I22" s="204">
        <v>0</v>
      </c>
      <c r="J22" s="204">
        <v>0</v>
      </c>
      <c r="K22" s="204">
        <v>0</v>
      </c>
      <c r="L22" s="204">
        <v>7</v>
      </c>
      <c r="M22" s="205">
        <v>1</v>
      </c>
      <c r="N22" s="85">
        <f t="shared" si="1"/>
        <v>204</v>
      </c>
      <c r="O22" s="43">
        <f t="shared" si="2"/>
        <v>269.5</v>
      </c>
    </row>
    <row r="23" spans="1:15" ht="22.5" customHeight="1" x14ac:dyDescent="0.3">
      <c r="A23" s="190" t="s">
        <v>192</v>
      </c>
      <c r="B23" s="203">
        <v>136</v>
      </c>
      <c r="C23" s="204">
        <v>46</v>
      </c>
      <c r="D23" s="204">
        <v>3</v>
      </c>
      <c r="E23" s="204">
        <v>16</v>
      </c>
      <c r="F23" s="245">
        <v>1</v>
      </c>
      <c r="G23" s="196">
        <f t="shared" si="0"/>
        <v>202</v>
      </c>
      <c r="H23" s="203">
        <v>0</v>
      </c>
      <c r="I23" s="204">
        <v>0</v>
      </c>
      <c r="J23" s="204">
        <v>0</v>
      </c>
      <c r="K23" s="204">
        <v>0</v>
      </c>
      <c r="L23" s="204">
        <v>8</v>
      </c>
      <c r="M23" s="205">
        <v>0</v>
      </c>
      <c r="N23" s="85">
        <f t="shared" si="1"/>
        <v>202</v>
      </c>
      <c r="O23" s="43">
        <f t="shared" si="2"/>
        <v>280</v>
      </c>
    </row>
    <row r="24" spans="1:15" ht="22.5" customHeight="1" x14ac:dyDescent="0.3">
      <c r="A24" s="190" t="s">
        <v>193</v>
      </c>
      <c r="B24" s="203">
        <v>121</v>
      </c>
      <c r="C24" s="204">
        <v>36</v>
      </c>
      <c r="D24" s="204">
        <v>4</v>
      </c>
      <c r="E24" s="204">
        <v>10</v>
      </c>
      <c r="F24" s="245">
        <v>7</v>
      </c>
      <c r="G24" s="196">
        <f t="shared" si="0"/>
        <v>178</v>
      </c>
      <c r="H24" s="203">
        <v>0</v>
      </c>
      <c r="I24" s="204">
        <v>0</v>
      </c>
      <c r="J24" s="204">
        <v>0</v>
      </c>
      <c r="K24" s="204">
        <v>0</v>
      </c>
      <c r="L24" s="204">
        <v>0</v>
      </c>
      <c r="M24" s="205">
        <v>0</v>
      </c>
      <c r="N24" s="85">
        <f t="shared" si="1"/>
        <v>178</v>
      </c>
      <c r="O24" s="43">
        <f t="shared" si="2"/>
        <v>206.5</v>
      </c>
    </row>
    <row r="25" spans="1:15" ht="22.5" customHeight="1" x14ac:dyDescent="0.3">
      <c r="A25" s="190" t="s">
        <v>194</v>
      </c>
      <c r="B25" s="203">
        <v>118</v>
      </c>
      <c r="C25" s="204">
        <v>29</v>
      </c>
      <c r="D25" s="204">
        <v>3</v>
      </c>
      <c r="E25" s="204">
        <v>8</v>
      </c>
      <c r="F25" s="245">
        <v>2</v>
      </c>
      <c r="G25" s="196">
        <f t="shared" si="0"/>
        <v>160</v>
      </c>
      <c r="H25" s="203">
        <v>0</v>
      </c>
      <c r="I25" s="204">
        <v>0</v>
      </c>
      <c r="J25" s="204">
        <v>0</v>
      </c>
      <c r="K25" s="204">
        <v>0</v>
      </c>
      <c r="L25" s="204">
        <v>0</v>
      </c>
      <c r="M25" s="205">
        <v>0</v>
      </c>
      <c r="N25" s="85">
        <f t="shared" si="1"/>
        <v>160</v>
      </c>
      <c r="O25" s="43">
        <f t="shared" si="2"/>
        <v>170</v>
      </c>
    </row>
    <row r="26" spans="1:15" ht="22.5" customHeight="1" x14ac:dyDescent="0.3">
      <c r="A26" s="190" t="s">
        <v>195</v>
      </c>
      <c r="B26" s="203">
        <v>105</v>
      </c>
      <c r="C26" s="204">
        <v>21</v>
      </c>
      <c r="D26" s="204">
        <v>2</v>
      </c>
      <c r="E26" s="204">
        <v>6</v>
      </c>
      <c r="F26" s="245">
        <v>6</v>
      </c>
      <c r="G26" s="196">
        <f t="shared" si="0"/>
        <v>140</v>
      </c>
      <c r="H26" s="203">
        <v>0</v>
      </c>
      <c r="I26" s="204">
        <v>0</v>
      </c>
      <c r="J26" s="204">
        <v>0</v>
      </c>
      <c r="K26" s="204">
        <v>0</v>
      </c>
      <c r="L26" s="204">
        <v>0</v>
      </c>
      <c r="M26" s="205">
        <v>0</v>
      </c>
      <c r="N26" s="85">
        <f t="shared" si="1"/>
        <v>140</v>
      </c>
      <c r="O26" s="43">
        <f t="shared" si="2"/>
        <v>163.5</v>
      </c>
    </row>
    <row r="27" spans="1:15" ht="22.5" customHeight="1" x14ac:dyDescent="0.3">
      <c r="A27" s="190" t="s">
        <v>196</v>
      </c>
      <c r="B27" s="203">
        <v>95</v>
      </c>
      <c r="C27" s="204">
        <v>11</v>
      </c>
      <c r="D27" s="204">
        <v>2</v>
      </c>
      <c r="E27" s="204">
        <v>4</v>
      </c>
      <c r="F27" s="245">
        <v>5</v>
      </c>
      <c r="G27" s="196">
        <f t="shared" si="0"/>
        <v>117</v>
      </c>
      <c r="H27" s="203">
        <v>0</v>
      </c>
      <c r="I27" s="204">
        <v>0</v>
      </c>
      <c r="J27" s="204">
        <v>0</v>
      </c>
      <c r="K27" s="204">
        <v>0</v>
      </c>
      <c r="L27" s="204">
        <v>0</v>
      </c>
      <c r="M27" s="205">
        <v>0</v>
      </c>
      <c r="N27" s="85">
        <f t="shared" si="1"/>
        <v>117</v>
      </c>
      <c r="O27" s="43">
        <f t="shared" si="2"/>
        <v>138</v>
      </c>
    </row>
    <row r="28" spans="1:15" ht="22.5" customHeight="1" x14ac:dyDescent="0.3">
      <c r="A28" s="190" t="s">
        <v>197</v>
      </c>
      <c r="B28" s="203">
        <v>36</v>
      </c>
      <c r="C28" s="204">
        <v>11</v>
      </c>
      <c r="D28" s="204">
        <v>6</v>
      </c>
      <c r="E28" s="204">
        <v>9</v>
      </c>
      <c r="F28" s="245">
        <v>5</v>
      </c>
      <c r="G28" s="196">
        <f t="shared" si="0"/>
        <v>67</v>
      </c>
      <c r="H28" s="203">
        <v>0</v>
      </c>
      <c r="I28" s="204">
        <v>0</v>
      </c>
      <c r="J28" s="204">
        <v>0</v>
      </c>
      <c r="K28" s="204">
        <v>0</v>
      </c>
      <c r="L28" s="204">
        <v>0</v>
      </c>
      <c r="M28" s="205">
        <v>0</v>
      </c>
      <c r="N28" s="85">
        <f t="shared" si="1"/>
        <v>67</v>
      </c>
      <c r="O28" s="43">
        <f t="shared" si="2"/>
        <v>100</v>
      </c>
    </row>
    <row r="29" spans="1:15" ht="22.5" customHeight="1" x14ac:dyDescent="0.3">
      <c r="A29" s="190" t="s">
        <v>198</v>
      </c>
      <c r="B29" s="203">
        <v>78</v>
      </c>
      <c r="C29" s="204">
        <v>22</v>
      </c>
      <c r="D29" s="204">
        <v>3</v>
      </c>
      <c r="E29" s="204">
        <v>2</v>
      </c>
      <c r="F29" s="245">
        <v>5</v>
      </c>
      <c r="G29" s="196">
        <f t="shared" si="0"/>
        <v>110</v>
      </c>
      <c r="H29" s="203">
        <v>0</v>
      </c>
      <c r="I29" s="204">
        <v>0</v>
      </c>
      <c r="J29" s="204">
        <v>0</v>
      </c>
      <c r="K29" s="204">
        <v>0</v>
      </c>
      <c r="L29" s="204">
        <v>0</v>
      </c>
      <c r="M29" s="205">
        <v>0</v>
      </c>
      <c r="N29" s="85">
        <f t="shared" si="1"/>
        <v>110</v>
      </c>
      <c r="O29" s="43">
        <f t="shared" si="2"/>
        <v>122</v>
      </c>
    </row>
    <row r="30" spans="1:15" ht="22.5" customHeight="1" x14ac:dyDescent="0.3">
      <c r="A30" s="190" t="s">
        <v>199</v>
      </c>
      <c r="B30" s="203">
        <v>95</v>
      </c>
      <c r="C30" s="204">
        <v>25</v>
      </c>
      <c r="D30" s="204">
        <v>9</v>
      </c>
      <c r="E30" s="204">
        <v>0</v>
      </c>
      <c r="F30" s="245">
        <v>3</v>
      </c>
      <c r="G30" s="196">
        <f t="shared" si="0"/>
        <v>132</v>
      </c>
      <c r="H30" s="203">
        <v>0</v>
      </c>
      <c r="I30" s="204">
        <v>0</v>
      </c>
      <c r="J30" s="204">
        <v>0</v>
      </c>
      <c r="K30" s="204">
        <v>0</v>
      </c>
      <c r="L30" s="204">
        <v>0</v>
      </c>
      <c r="M30" s="205">
        <v>0</v>
      </c>
      <c r="N30" s="85">
        <f t="shared" si="1"/>
        <v>132</v>
      </c>
      <c r="O30" s="43">
        <f t="shared" si="2"/>
        <v>134.5</v>
      </c>
    </row>
    <row r="31" spans="1:15" ht="22.5" customHeight="1" x14ac:dyDescent="0.3">
      <c r="A31" s="190" t="s">
        <v>200</v>
      </c>
      <c r="B31" s="203">
        <v>65</v>
      </c>
      <c r="C31" s="204">
        <v>36</v>
      </c>
      <c r="D31" s="204">
        <v>9</v>
      </c>
      <c r="E31" s="204">
        <v>2</v>
      </c>
      <c r="F31" s="245">
        <v>5</v>
      </c>
      <c r="G31" s="196">
        <f t="shared" si="0"/>
        <v>117</v>
      </c>
      <c r="H31" s="203">
        <v>0</v>
      </c>
      <c r="I31" s="204">
        <v>0</v>
      </c>
      <c r="J31" s="204">
        <v>0</v>
      </c>
      <c r="K31" s="204">
        <v>0</v>
      </c>
      <c r="L31" s="204">
        <v>0</v>
      </c>
      <c r="M31" s="205">
        <v>0</v>
      </c>
      <c r="N31" s="85">
        <f t="shared" si="1"/>
        <v>117</v>
      </c>
      <c r="O31" s="43">
        <f t="shared" si="2"/>
        <v>125</v>
      </c>
    </row>
    <row r="32" spans="1:15" ht="22.5" customHeight="1" x14ac:dyDescent="0.3">
      <c r="A32" s="190" t="s">
        <v>201</v>
      </c>
      <c r="B32" s="203">
        <v>35</v>
      </c>
      <c r="C32" s="204">
        <v>25</v>
      </c>
      <c r="D32" s="204">
        <v>2</v>
      </c>
      <c r="E32" s="204">
        <v>2</v>
      </c>
      <c r="F32" s="245">
        <v>4</v>
      </c>
      <c r="G32" s="196">
        <f t="shared" si="0"/>
        <v>68</v>
      </c>
      <c r="H32" s="203">
        <v>0</v>
      </c>
      <c r="I32" s="204">
        <v>0</v>
      </c>
      <c r="J32" s="204">
        <v>0</v>
      </c>
      <c r="K32" s="204">
        <v>0</v>
      </c>
      <c r="L32" s="204">
        <v>0</v>
      </c>
      <c r="M32" s="205">
        <v>0</v>
      </c>
      <c r="N32" s="85">
        <f t="shared" si="1"/>
        <v>68</v>
      </c>
      <c r="O32" s="43">
        <f t="shared" si="2"/>
        <v>74.5</v>
      </c>
    </row>
    <row r="33" spans="1:15" ht="22.5" customHeight="1" x14ac:dyDescent="0.3">
      <c r="A33" s="190" t="s">
        <v>202</v>
      </c>
      <c r="B33" s="203">
        <v>45</v>
      </c>
      <c r="C33" s="204">
        <v>36</v>
      </c>
      <c r="D33" s="204">
        <v>2</v>
      </c>
      <c r="E33" s="204">
        <v>8</v>
      </c>
      <c r="F33" s="245">
        <v>4</v>
      </c>
      <c r="G33" s="196">
        <f t="shared" si="0"/>
        <v>95</v>
      </c>
      <c r="H33" s="203">
        <v>0</v>
      </c>
      <c r="I33" s="204">
        <v>0</v>
      </c>
      <c r="J33" s="204">
        <v>0</v>
      </c>
      <c r="K33" s="204">
        <v>0</v>
      </c>
      <c r="L33" s="204">
        <v>0</v>
      </c>
      <c r="M33" s="205">
        <v>0</v>
      </c>
      <c r="N33" s="85">
        <f t="shared" si="1"/>
        <v>95</v>
      </c>
      <c r="O33" s="43">
        <f t="shared" si="2"/>
        <v>108</v>
      </c>
    </row>
    <row r="34" spans="1:15" ht="22.5" customHeight="1" x14ac:dyDescent="0.3">
      <c r="A34" s="190" t="s">
        <v>203</v>
      </c>
      <c r="B34" s="203">
        <v>45</v>
      </c>
      <c r="C34" s="204">
        <v>15</v>
      </c>
      <c r="D34" s="204">
        <v>1</v>
      </c>
      <c r="E34" s="204">
        <v>4</v>
      </c>
      <c r="F34" s="245">
        <v>3</v>
      </c>
      <c r="G34" s="196">
        <f t="shared" si="0"/>
        <v>68</v>
      </c>
      <c r="H34" s="203">
        <v>0</v>
      </c>
      <c r="I34" s="204">
        <v>0</v>
      </c>
      <c r="J34" s="204">
        <v>0</v>
      </c>
      <c r="K34" s="204">
        <v>0</v>
      </c>
      <c r="L34" s="204">
        <v>0</v>
      </c>
      <c r="M34" s="205">
        <v>0</v>
      </c>
      <c r="N34" s="85">
        <f t="shared" si="1"/>
        <v>68</v>
      </c>
      <c r="O34" s="43">
        <f t="shared" si="2"/>
        <v>79.5</v>
      </c>
    </row>
    <row r="35" spans="1:15" ht="22.5" customHeight="1" x14ac:dyDescent="0.3">
      <c r="A35" s="190" t="s">
        <v>204</v>
      </c>
      <c r="B35" s="203">
        <v>65</v>
      </c>
      <c r="C35" s="204">
        <v>24</v>
      </c>
      <c r="D35" s="204">
        <v>2</v>
      </c>
      <c r="E35" s="204">
        <v>8</v>
      </c>
      <c r="F35" s="245">
        <v>4</v>
      </c>
      <c r="G35" s="196">
        <f t="shared" si="0"/>
        <v>103</v>
      </c>
      <c r="H35" s="203">
        <v>0</v>
      </c>
      <c r="I35" s="204">
        <v>0</v>
      </c>
      <c r="J35" s="204">
        <v>0</v>
      </c>
      <c r="K35" s="204">
        <v>0</v>
      </c>
      <c r="L35" s="204">
        <v>1</v>
      </c>
      <c r="M35" s="205">
        <v>0</v>
      </c>
      <c r="N35" s="85">
        <f t="shared" si="1"/>
        <v>103</v>
      </c>
      <c r="O35" s="43">
        <f t="shared" si="2"/>
        <v>130</v>
      </c>
    </row>
    <row r="36" spans="1:15" ht="22.5" customHeight="1" x14ac:dyDescent="0.3">
      <c r="A36" s="190" t="s">
        <v>205</v>
      </c>
      <c r="B36" s="203">
        <v>75</v>
      </c>
      <c r="C36" s="204">
        <v>25</v>
      </c>
      <c r="D36" s="204">
        <v>3</v>
      </c>
      <c r="E36" s="204">
        <v>6</v>
      </c>
      <c r="F36" s="245">
        <v>5</v>
      </c>
      <c r="G36" s="196">
        <f t="shared" si="0"/>
        <v>114</v>
      </c>
      <c r="H36" s="203">
        <v>0</v>
      </c>
      <c r="I36" s="204">
        <v>0</v>
      </c>
      <c r="J36" s="204">
        <v>0</v>
      </c>
      <c r="K36" s="204">
        <v>0</v>
      </c>
      <c r="L36" s="204">
        <v>0</v>
      </c>
      <c r="M36" s="205">
        <v>0</v>
      </c>
      <c r="N36" s="85">
        <f t="shared" si="1"/>
        <v>114</v>
      </c>
      <c r="O36" s="43">
        <f t="shared" si="2"/>
        <v>132.5</v>
      </c>
    </row>
    <row r="37" spans="1:15" ht="22.5" customHeight="1" x14ac:dyDescent="0.3">
      <c r="A37" s="190" t="s">
        <v>206</v>
      </c>
      <c r="B37" s="203">
        <v>96</v>
      </c>
      <c r="C37" s="204">
        <v>35</v>
      </c>
      <c r="D37" s="204">
        <v>0</v>
      </c>
      <c r="E37" s="204">
        <v>4</v>
      </c>
      <c r="F37" s="245">
        <v>3</v>
      </c>
      <c r="G37" s="196">
        <f t="shared" si="0"/>
        <v>138</v>
      </c>
      <c r="H37" s="203">
        <v>0</v>
      </c>
      <c r="I37" s="204">
        <v>0</v>
      </c>
      <c r="J37" s="204">
        <v>0</v>
      </c>
      <c r="K37" s="204">
        <v>0</v>
      </c>
      <c r="L37" s="204">
        <v>0</v>
      </c>
      <c r="M37" s="205">
        <v>0</v>
      </c>
      <c r="N37" s="85">
        <f t="shared" si="1"/>
        <v>138</v>
      </c>
      <c r="O37" s="43">
        <f t="shared" si="2"/>
        <v>139</v>
      </c>
    </row>
    <row r="38" spans="1:15" ht="22.5" customHeight="1" x14ac:dyDescent="0.3">
      <c r="A38" s="190" t="s">
        <v>207</v>
      </c>
      <c r="B38" s="203">
        <v>118</v>
      </c>
      <c r="C38" s="204">
        <v>41</v>
      </c>
      <c r="D38" s="204">
        <v>4</v>
      </c>
      <c r="E38" s="204">
        <v>5</v>
      </c>
      <c r="F38" s="245">
        <v>6</v>
      </c>
      <c r="G38" s="196">
        <f t="shared" si="0"/>
        <v>174</v>
      </c>
      <c r="H38" s="203">
        <v>0</v>
      </c>
      <c r="I38" s="204">
        <v>0</v>
      </c>
      <c r="J38" s="204">
        <v>0</v>
      </c>
      <c r="K38" s="204">
        <v>0</v>
      </c>
      <c r="L38" s="204">
        <v>0</v>
      </c>
      <c r="M38" s="205">
        <v>0</v>
      </c>
      <c r="N38" s="85">
        <f t="shared" si="1"/>
        <v>174</v>
      </c>
      <c r="O38" s="43">
        <f t="shared" si="2"/>
        <v>186.5</v>
      </c>
    </row>
    <row r="39" spans="1:15" ht="22.5" customHeight="1" x14ac:dyDescent="0.3">
      <c r="A39" s="190" t="s">
        <v>208</v>
      </c>
      <c r="B39" s="203">
        <v>131</v>
      </c>
      <c r="C39" s="204">
        <v>53</v>
      </c>
      <c r="D39" s="204">
        <v>3</v>
      </c>
      <c r="E39" s="204">
        <v>11</v>
      </c>
      <c r="F39" s="245">
        <v>1</v>
      </c>
      <c r="G39" s="196">
        <f t="shared" si="0"/>
        <v>199</v>
      </c>
      <c r="H39" s="203">
        <v>0</v>
      </c>
      <c r="I39" s="204">
        <v>0</v>
      </c>
      <c r="J39" s="204">
        <v>0</v>
      </c>
      <c r="K39" s="204">
        <v>0</v>
      </c>
      <c r="L39" s="204">
        <v>0</v>
      </c>
      <c r="M39" s="205">
        <v>0</v>
      </c>
      <c r="N39" s="85">
        <f t="shared" si="1"/>
        <v>199</v>
      </c>
      <c r="O39" s="43">
        <f t="shared" si="2"/>
        <v>199.5</v>
      </c>
    </row>
    <row r="40" spans="1:15" ht="22.5" customHeight="1" x14ac:dyDescent="0.3">
      <c r="A40" s="190" t="s">
        <v>209</v>
      </c>
      <c r="B40" s="203">
        <v>162</v>
      </c>
      <c r="C40" s="204">
        <v>76</v>
      </c>
      <c r="D40" s="204">
        <v>6</v>
      </c>
      <c r="E40" s="204">
        <v>15</v>
      </c>
      <c r="F40" s="245">
        <v>0</v>
      </c>
      <c r="G40" s="196">
        <f t="shared" ref="G40:G71" si="3">SUM(B40:F40)</f>
        <v>259</v>
      </c>
      <c r="H40" s="203">
        <v>0</v>
      </c>
      <c r="I40" s="204">
        <v>0</v>
      </c>
      <c r="J40" s="204">
        <v>0</v>
      </c>
      <c r="K40" s="204">
        <v>0</v>
      </c>
      <c r="L40" s="204">
        <v>3</v>
      </c>
      <c r="M40" s="205">
        <v>0</v>
      </c>
      <c r="N40" s="85">
        <f t="shared" si="1"/>
        <v>259</v>
      </c>
      <c r="O40" s="43">
        <f t="shared" si="2"/>
        <v>278</v>
      </c>
    </row>
    <row r="41" spans="1:15" ht="22.5" customHeight="1" x14ac:dyDescent="0.3">
      <c r="A41" s="190" t="s">
        <v>210</v>
      </c>
      <c r="B41" s="203">
        <v>130</v>
      </c>
      <c r="C41" s="204">
        <v>78</v>
      </c>
      <c r="D41" s="204">
        <v>5</v>
      </c>
      <c r="E41" s="204">
        <v>13</v>
      </c>
      <c r="F41" s="245">
        <v>3</v>
      </c>
      <c r="G41" s="196">
        <f t="shared" si="3"/>
        <v>229</v>
      </c>
      <c r="H41" s="203">
        <v>0</v>
      </c>
      <c r="I41" s="204">
        <v>0</v>
      </c>
      <c r="J41" s="204">
        <v>0</v>
      </c>
      <c r="K41" s="204">
        <v>0</v>
      </c>
      <c r="L41" s="204">
        <v>6</v>
      </c>
      <c r="M41" s="205">
        <v>0</v>
      </c>
      <c r="N41" s="85">
        <f t="shared" si="1"/>
        <v>229</v>
      </c>
      <c r="O41" s="43">
        <f t="shared" si="2"/>
        <v>277</v>
      </c>
    </row>
    <row r="42" spans="1:15" ht="22.5" customHeight="1" x14ac:dyDescent="0.3">
      <c r="A42" s="190" t="s">
        <v>211</v>
      </c>
      <c r="B42" s="203">
        <v>164</v>
      </c>
      <c r="C42" s="204">
        <v>86</v>
      </c>
      <c r="D42" s="204">
        <v>5</v>
      </c>
      <c r="E42" s="204">
        <v>12</v>
      </c>
      <c r="F42" s="245">
        <v>3</v>
      </c>
      <c r="G42" s="196">
        <f t="shared" si="3"/>
        <v>270</v>
      </c>
      <c r="H42" s="203">
        <v>0</v>
      </c>
      <c r="I42" s="204">
        <v>0</v>
      </c>
      <c r="J42" s="204">
        <v>0</v>
      </c>
      <c r="K42" s="204">
        <v>0</v>
      </c>
      <c r="L42" s="204">
        <v>1</v>
      </c>
      <c r="M42" s="205">
        <v>0</v>
      </c>
      <c r="N42" s="85">
        <f t="shared" si="1"/>
        <v>270</v>
      </c>
      <c r="O42" s="43">
        <f t="shared" si="2"/>
        <v>272</v>
      </c>
    </row>
    <row r="43" spans="1:15" ht="22.5" customHeight="1" x14ac:dyDescent="0.3">
      <c r="A43" s="190" t="s">
        <v>212</v>
      </c>
      <c r="B43" s="203">
        <v>174</v>
      </c>
      <c r="C43" s="204">
        <v>111</v>
      </c>
      <c r="D43" s="204">
        <v>6</v>
      </c>
      <c r="E43" s="204">
        <v>15</v>
      </c>
      <c r="F43" s="245">
        <v>3</v>
      </c>
      <c r="G43" s="196">
        <f t="shared" si="3"/>
        <v>309</v>
      </c>
      <c r="H43" s="203">
        <v>0</v>
      </c>
      <c r="I43" s="204">
        <v>0</v>
      </c>
      <c r="J43" s="204">
        <v>0</v>
      </c>
      <c r="K43" s="204">
        <v>0</v>
      </c>
      <c r="L43" s="204">
        <v>9</v>
      </c>
      <c r="M43" s="205">
        <v>0</v>
      </c>
      <c r="N43" s="85">
        <f t="shared" si="1"/>
        <v>309</v>
      </c>
      <c r="O43" s="43">
        <f t="shared" si="2"/>
        <v>369</v>
      </c>
    </row>
    <row r="44" spans="1:15" ht="22.5" customHeight="1" x14ac:dyDescent="0.3">
      <c r="A44" s="190" t="s">
        <v>213</v>
      </c>
      <c r="B44" s="203">
        <v>178</v>
      </c>
      <c r="C44" s="204">
        <v>126</v>
      </c>
      <c r="D44" s="204">
        <v>7</v>
      </c>
      <c r="E44" s="204">
        <v>13</v>
      </c>
      <c r="F44" s="245">
        <v>3</v>
      </c>
      <c r="G44" s="196">
        <f t="shared" si="3"/>
        <v>327</v>
      </c>
      <c r="H44" s="203">
        <v>0</v>
      </c>
      <c r="I44" s="204">
        <v>0</v>
      </c>
      <c r="J44" s="204">
        <v>0</v>
      </c>
      <c r="K44" s="204">
        <v>0</v>
      </c>
      <c r="L44" s="204">
        <v>9</v>
      </c>
      <c r="M44" s="205">
        <v>0</v>
      </c>
      <c r="N44" s="85">
        <f t="shared" si="1"/>
        <v>327</v>
      </c>
      <c r="O44" s="43">
        <f t="shared" si="2"/>
        <v>376</v>
      </c>
    </row>
    <row r="45" spans="1:15" ht="22.5" customHeight="1" x14ac:dyDescent="0.3">
      <c r="A45" s="190" t="s">
        <v>214</v>
      </c>
      <c r="B45" s="203">
        <v>223</v>
      </c>
      <c r="C45" s="204">
        <v>105</v>
      </c>
      <c r="D45" s="204">
        <v>7</v>
      </c>
      <c r="E45" s="204">
        <v>13</v>
      </c>
      <c r="F45" s="245">
        <v>3</v>
      </c>
      <c r="G45" s="196">
        <f t="shared" si="3"/>
        <v>351</v>
      </c>
      <c r="H45" s="203">
        <v>0</v>
      </c>
      <c r="I45" s="204">
        <v>0</v>
      </c>
      <c r="J45" s="204">
        <v>0</v>
      </c>
      <c r="K45" s="204">
        <v>0</v>
      </c>
      <c r="L45" s="204">
        <v>1</v>
      </c>
      <c r="M45" s="205">
        <v>0</v>
      </c>
      <c r="N45" s="85">
        <f t="shared" si="1"/>
        <v>351</v>
      </c>
      <c r="O45" s="43">
        <f t="shared" si="2"/>
        <v>346.5</v>
      </c>
    </row>
    <row r="46" spans="1:15" ht="22.5" customHeight="1" x14ac:dyDescent="0.3">
      <c r="A46" s="190" t="s">
        <v>215</v>
      </c>
      <c r="B46" s="203">
        <v>122</v>
      </c>
      <c r="C46" s="204">
        <v>184</v>
      </c>
      <c r="D46" s="204">
        <v>7</v>
      </c>
      <c r="E46" s="204">
        <v>10</v>
      </c>
      <c r="F46" s="245">
        <v>0</v>
      </c>
      <c r="G46" s="196">
        <f t="shared" si="3"/>
        <v>323</v>
      </c>
      <c r="H46" s="203">
        <v>0</v>
      </c>
      <c r="I46" s="204">
        <v>0</v>
      </c>
      <c r="J46" s="204">
        <v>0</v>
      </c>
      <c r="K46" s="204">
        <v>0</v>
      </c>
      <c r="L46" s="204">
        <v>9</v>
      </c>
      <c r="M46" s="205">
        <v>0</v>
      </c>
      <c r="N46" s="85">
        <f t="shared" si="1"/>
        <v>323</v>
      </c>
      <c r="O46" s="43">
        <f t="shared" si="2"/>
        <v>326.5</v>
      </c>
    </row>
    <row r="47" spans="1:15" ht="22.5" customHeight="1" x14ac:dyDescent="0.3">
      <c r="A47" s="190" t="s">
        <v>216</v>
      </c>
      <c r="B47" s="203">
        <v>168</v>
      </c>
      <c r="C47" s="204">
        <v>123</v>
      </c>
      <c r="D47" s="204">
        <v>4</v>
      </c>
      <c r="E47" s="204">
        <v>10</v>
      </c>
      <c r="F47" s="245">
        <v>2</v>
      </c>
      <c r="G47" s="196">
        <f t="shared" si="3"/>
        <v>307</v>
      </c>
      <c r="H47" s="203">
        <v>0</v>
      </c>
      <c r="I47" s="204">
        <v>0</v>
      </c>
      <c r="J47" s="204">
        <v>0</v>
      </c>
      <c r="K47" s="204">
        <v>0</v>
      </c>
      <c r="L47" s="204">
        <v>8</v>
      </c>
      <c r="M47" s="205">
        <v>0</v>
      </c>
      <c r="N47" s="85">
        <f t="shared" si="1"/>
        <v>307</v>
      </c>
      <c r="O47" s="43">
        <f t="shared" si="2"/>
        <v>338.5</v>
      </c>
    </row>
    <row r="48" spans="1:15" ht="22.5" customHeight="1" x14ac:dyDescent="0.3">
      <c r="A48" s="190" t="s">
        <v>217</v>
      </c>
      <c r="B48" s="203">
        <v>189</v>
      </c>
      <c r="C48" s="204">
        <v>147</v>
      </c>
      <c r="D48" s="204">
        <v>8</v>
      </c>
      <c r="E48" s="204">
        <v>8</v>
      </c>
      <c r="F48" s="245">
        <v>3</v>
      </c>
      <c r="G48" s="196">
        <f t="shared" si="3"/>
        <v>355</v>
      </c>
      <c r="H48" s="203">
        <v>0</v>
      </c>
      <c r="I48" s="204">
        <v>0</v>
      </c>
      <c r="J48" s="204">
        <v>0</v>
      </c>
      <c r="K48" s="204">
        <v>0</v>
      </c>
      <c r="L48" s="204">
        <v>10</v>
      </c>
      <c r="M48" s="205">
        <v>2</v>
      </c>
      <c r="N48" s="85">
        <f t="shared" si="1"/>
        <v>357</v>
      </c>
      <c r="O48" s="43">
        <f t="shared" si="2"/>
        <v>392</v>
      </c>
    </row>
    <row r="49" spans="1:15" ht="22.5" customHeight="1" x14ac:dyDescent="0.3">
      <c r="A49" s="190" t="s">
        <v>218</v>
      </c>
      <c r="B49" s="203">
        <v>212</v>
      </c>
      <c r="C49" s="204">
        <v>143</v>
      </c>
      <c r="D49" s="204">
        <v>9</v>
      </c>
      <c r="E49" s="204">
        <v>10</v>
      </c>
      <c r="F49" s="245">
        <v>2</v>
      </c>
      <c r="G49" s="196">
        <f t="shared" si="3"/>
        <v>376</v>
      </c>
      <c r="H49" s="203">
        <v>1</v>
      </c>
      <c r="I49" s="204">
        <v>0</v>
      </c>
      <c r="J49" s="204">
        <v>0</v>
      </c>
      <c r="K49" s="204">
        <v>0</v>
      </c>
      <c r="L49" s="204">
        <v>13</v>
      </c>
      <c r="M49" s="205">
        <v>0</v>
      </c>
      <c r="N49" s="85">
        <f t="shared" si="1"/>
        <v>376</v>
      </c>
      <c r="O49" s="43">
        <f t="shared" si="2"/>
        <v>440.5</v>
      </c>
    </row>
    <row r="50" spans="1:15" ht="22.5" customHeight="1" x14ac:dyDescent="0.3">
      <c r="A50" s="190" t="s">
        <v>219</v>
      </c>
      <c r="B50" s="203">
        <v>248</v>
      </c>
      <c r="C50" s="204">
        <v>237</v>
      </c>
      <c r="D50" s="204">
        <v>5</v>
      </c>
      <c r="E50" s="204">
        <v>11</v>
      </c>
      <c r="F50" s="245">
        <v>3</v>
      </c>
      <c r="G50" s="196">
        <f t="shared" si="3"/>
        <v>504</v>
      </c>
      <c r="H50" s="203">
        <v>0</v>
      </c>
      <c r="I50" s="204">
        <v>0</v>
      </c>
      <c r="J50" s="204">
        <v>0</v>
      </c>
      <c r="K50" s="204">
        <v>0</v>
      </c>
      <c r="L50" s="204">
        <v>20</v>
      </c>
      <c r="M50" s="205">
        <v>0</v>
      </c>
      <c r="N50" s="85">
        <f t="shared" si="1"/>
        <v>504</v>
      </c>
      <c r="O50" s="43">
        <f t="shared" si="2"/>
        <v>580.5</v>
      </c>
    </row>
    <row r="51" spans="1:15" ht="22.5" customHeight="1" x14ac:dyDescent="0.3">
      <c r="A51" s="190" t="s">
        <v>220</v>
      </c>
      <c r="B51" s="203">
        <v>214</v>
      </c>
      <c r="C51" s="204">
        <v>216</v>
      </c>
      <c r="D51" s="204">
        <v>7</v>
      </c>
      <c r="E51" s="204">
        <v>13</v>
      </c>
      <c r="F51" s="245">
        <v>0</v>
      </c>
      <c r="G51" s="196">
        <f t="shared" si="3"/>
        <v>450</v>
      </c>
      <c r="H51" s="203">
        <v>0</v>
      </c>
      <c r="I51" s="204">
        <v>0</v>
      </c>
      <c r="J51" s="204">
        <v>0</v>
      </c>
      <c r="K51" s="204">
        <v>0</v>
      </c>
      <c r="L51" s="204">
        <v>13</v>
      </c>
      <c r="M51" s="205">
        <v>0</v>
      </c>
      <c r="N51" s="85">
        <f t="shared" si="1"/>
        <v>450</v>
      </c>
      <c r="O51" s="43">
        <f t="shared" si="2"/>
        <v>475.5</v>
      </c>
    </row>
    <row r="52" spans="1:15" ht="22.5" customHeight="1" x14ac:dyDescent="0.3">
      <c r="A52" s="190" t="s">
        <v>221</v>
      </c>
      <c r="B52" s="203">
        <v>171</v>
      </c>
      <c r="C52" s="204">
        <v>178</v>
      </c>
      <c r="D52" s="204">
        <v>8</v>
      </c>
      <c r="E52" s="204">
        <v>10</v>
      </c>
      <c r="F52" s="245">
        <v>1</v>
      </c>
      <c r="G52" s="196">
        <f t="shared" si="3"/>
        <v>368</v>
      </c>
      <c r="H52" s="203">
        <v>0</v>
      </c>
      <c r="I52" s="204">
        <v>0</v>
      </c>
      <c r="J52" s="204">
        <v>0</v>
      </c>
      <c r="K52" s="204">
        <v>0</v>
      </c>
      <c r="L52" s="204">
        <v>4</v>
      </c>
      <c r="M52" s="205">
        <v>0</v>
      </c>
      <c r="N52" s="85">
        <f t="shared" si="1"/>
        <v>368</v>
      </c>
      <c r="O52" s="43">
        <f t="shared" si="2"/>
        <v>338.5</v>
      </c>
    </row>
    <row r="53" spans="1:15" ht="22.5" customHeight="1" x14ac:dyDescent="0.3">
      <c r="A53" s="190" t="s">
        <v>222</v>
      </c>
      <c r="B53" s="203">
        <v>202</v>
      </c>
      <c r="C53" s="204">
        <v>143</v>
      </c>
      <c r="D53" s="204">
        <v>9</v>
      </c>
      <c r="E53" s="204">
        <v>13</v>
      </c>
      <c r="F53" s="245">
        <v>4</v>
      </c>
      <c r="G53" s="196">
        <f t="shared" si="3"/>
        <v>371</v>
      </c>
      <c r="H53" s="203">
        <v>0</v>
      </c>
      <c r="I53" s="204">
        <v>0</v>
      </c>
      <c r="J53" s="204">
        <v>0</v>
      </c>
      <c r="K53" s="204">
        <v>0</v>
      </c>
      <c r="L53" s="204">
        <v>3</v>
      </c>
      <c r="M53" s="205">
        <v>0</v>
      </c>
      <c r="N53" s="85">
        <f t="shared" si="1"/>
        <v>371</v>
      </c>
      <c r="O53" s="43">
        <f t="shared" si="2"/>
        <v>368</v>
      </c>
    </row>
    <row r="54" spans="1:15" ht="22.5" customHeight="1" x14ac:dyDescent="0.3">
      <c r="A54" s="190" t="s">
        <v>223</v>
      </c>
      <c r="B54" s="203">
        <v>202</v>
      </c>
      <c r="C54" s="204">
        <v>137</v>
      </c>
      <c r="D54" s="204">
        <v>8</v>
      </c>
      <c r="E54" s="204">
        <v>10</v>
      </c>
      <c r="F54" s="245">
        <v>2</v>
      </c>
      <c r="G54" s="196">
        <f t="shared" si="3"/>
        <v>359</v>
      </c>
      <c r="H54" s="203">
        <v>0</v>
      </c>
      <c r="I54" s="204">
        <v>0</v>
      </c>
      <c r="J54" s="204">
        <v>0</v>
      </c>
      <c r="K54" s="204">
        <v>0</v>
      </c>
      <c r="L54" s="204">
        <v>3</v>
      </c>
      <c r="M54" s="205">
        <v>0</v>
      </c>
      <c r="N54" s="85">
        <f t="shared" si="1"/>
        <v>359</v>
      </c>
      <c r="O54" s="43">
        <f t="shared" si="2"/>
        <v>345.5</v>
      </c>
    </row>
    <row r="55" spans="1:15" ht="22.5" customHeight="1" x14ac:dyDescent="0.3">
      <c r="A55" s="190" t="s">
        <v>224</v>
      </c>
      <c r="B55" s="203">
        <v>224</v>
      </c>
      <c r="C55" s="204">
        <v>170</v>
      </c>
      <c r="D55" s="204">
        <v>4</v>
      </c>
      <c r="E55" s="204">
        <v>5</v>
      </c>
      <c r="F55" s="245">
        <v>4</v>
      </c>
      <c r="G55" s="196">
        <f t="shared" si="3"/>
        <v>407</v>
      </c>
      <c r="H55" s="203">
        <v>0</v>
      </c>
      <c r="I55" s="204">
        <v>0</v>
      </c>
      <c r="J55" s="204">
        <v>0</v>
      </c>
      <c r="K55" s="204">
        <v>0</v>
      </c>
      <c r="L55" s="204">
        <v>8</v>
      </c>
      <c r="M55" s="205">
        <v>0</v>
      </c>
      <c r="N55" s="85">
        <f t="shared" si="1"/>
        <v>407</v>
      </c>
      <c r="O55" s="43">
        <f t="shared" si="2"/>
        <v>412</v>
      </c>
    </row>
    <row r="56" spans="1:15" ht="22.5" customHeight="1" x14ac:dyDescent="0.3">
      <c r="A56" s="190" t="s">
        <v>225</v>
      </c>
      <c r="B56" s="203">
        <v>225</v>
      </c>
      <c r="C56" s="204">
        <v>164</v>
      </c>
      <c r="D56" s="204">
        <v>4</v>
      </c>
      <c r="E56" s="204">
        <v>0</v>
      </c>
      <c r="F56" s="245">
        <v>6</v>
      </c>
      <c r="G56" s="196">
        <f t="shared" si="3"/>
        <v>399</v>
      </c>
      <c r="H56" s="203">
        <v>0</v>
      </c>
      <c r="I56" s="204">
        <v>0</v>
      </c>
      <c r="J56" s="204">
        <v>0</v>
      </c>
      <c r="K56" s="204">
        <v>0</v>
      </c>
      <c r="L56" s="204">
        <v>4</v>
      </c>
      <c r="M56" s="205">
        <v>0</v>
      </c>
      <c r="N56" s="85">
        <f t="shared" si="1"/>
        <v>399</v>
      </c>
      <c r="O56" s="43">
        <f t="shared" si="2"/>
        <v>372</v>
      </c>
    </row>
    <row r="57" spans="1:15" ht="22.5" customHeight="1" x14ac:dyDescent="0.3">
      <c r="A57" s="190" t="s">
        <v>226</v>
      </c>
      <c r="B57" s="203">
        <v>231</v>
      </c>
      <c r="C57" s="204">
        <v>152</v>
      </c>
      <c r="D57" s="204">
        <v>4</v>
      </c>
      <c r="E57" s="204">
        <v>2</v>
      </c>
      <c r="F57" s="245">
        <v>3</v>
      </c>
      <c r="G57" s="196">
        <f t="shared" si="3"/>
        <v>392</v>
      </c>
      <c r="H57" s="203">
        <v>0</v>
      </c>
      <c r="I57" s="204">
        <v>0</v>
      </c>
      <c r="J57" s="204">
        <v>0</v>
      </c>
      <c r="K57" s="204">
        <v>0</v>
      </c>
      <c r="L57" s="204">
        <v>2</v>
      </c>
      <c r="M57" s="205">
        <v>0</v>
      </c>
      <c r="N57" s="85">
        <f t="shared" si="1"/>
        <v>392</v>
      </c>
      <c r="O57" s="43">
        <f t="shared" si="2"/>
        <v>348.5</v>
      </c>
    </row>
    <row r="58" spans="1:15" ht="22.5" customHeight="1" x14ac:dyDescent="0.3">
      <c r="A58" s="190" t="s">
        <v>227</v>
      </c>
      <c r="B58" s="203">
        <v>185</v>
      </c>
      <c r="C58" s="204">
        <v>134</v>
      </c>
      <c r="D58" s="204">
        <v>4</v>
      </c>
      <c r="E58" s="204">
        <v>2</v>
      </c>
      <c r="F58" s="245">
        <v>8</v>
      </c>
      <c r="G58" s="196">
        <f t="shared" si="3"/>
        <v>333</v>
      </c>
      <c r="H58" s="203">
        <v>0</v>
      </c>
      <c r="I58" s="204">
        <v>0</v>
      </c>
      <c r="J58" s="204">
        <v>0</v>
      </c>
      <c r="K58" s="204">
        <v>0</v>
      </c>
      <c r="L58" s="204">
        <v>1</v>
      </c>
      <c r="M58" s="205">
        <v>0</v>
      </c>
      <c r="N58" s="85">
        <f t="shared" si="1"/>
        <v>333</v>
      </c>
      <c r="O58" s="43">
        <f t="shared" si="2"/>
        <v>308</v>
      </c>
    </row>
    <row r="59" spans="1:15" ht="22.5" customHeight="1" x14ac:dyDescent="0.3">
      <c r="A59" s="190" t="s">
        <v>228</v>
      </c>
      <c r="B59" s="203">
        <v>174</v>
      </c>
      <c r="C59" s="204">
        <v>120</v>
      </c>
      <c r="D59" s="204">
        <v>2</v>
      </c>
      <c r="E59" s="204">
        <v>1</v>
      </c>
      <c r="F59" s="245">
        <v>3</v>
      </c>
      <c r="G59" s="196">
        <f t="shared" si="3"/>
        <v>300</v>
      </c>
      <c r="H59" s="203">
        <v>0</v>
      </c>
      <c r="I59" s="204">
        <v>0</v>
      </c>
      <c r="J59" s="204">
        <v>0</v>
      </c>
      <c r="K59" s="204">
        <v>0</v>
      </c>
      <c r="L59" s="204">
        <v>1</v>
      </c>
      <c r="M59" s="205">
        <v>0</v>
      </c>
      <c r="N59" s="85">
        <f t="shared" si="1"/>
        <v>300</v>
      </c>
      <c r="O59" s="43">
        <f t="shared" si="2"/>
        <v>261.5</v>
      </c>
    </row>
    <row r="60" spans="1:15" ht="22.5" customHeight="1" x14ac:dyDescent="0.3">
      <c r="A60" s="190" t="s">
        <v>229</v>
      </c>
      <c r="B60" s="203">
        <v>160</v>
      </c>
      <c r="C60" s="204">
        <v>105</v>
      </c>
      <c r="D60" s="204">
        <v>2</v>
      </c>
      <c r="E60" s="204">
        <v>2</v>
      </c>
      <c r="F60" s="245">
        <v>5</v>
      </c>
      <c r="G60" s="196">
        <f t="shared" si="3"/>
        <v>274</v>
      </c>
      <c r="H60" s="203">
        <v>0</v>
      </c>
      <c r="I60" s="204">
        <v>0</v>
      </c>
      <c r="J60" s="204">
        <v>0</v>
      </c>
      <c r="K60" s="204">
        <v>0</v>
      </c>
      <c r="L60" s="204">
        <v>0</v>
      </c>
      <c r="M60" s="205">
        <v>0</v>
      </c>
      <c r="N60" s="85">
        <f t="shared" si="1"/>
        <v>274</v>
      </c>
      <c r="O60" s="43">
        <f t="shared" si="2"/>
        <v>244</v>
      </c>
    </row>
    <row r="61" spans="1:15" ht="22.5" customHeight="1" x14ac:dyDescent="0.3">
      <c r="A61" s="190" t="s">
        <v>230</v>
      </c>
      <c r="B61" s="203">
        <v>154</v>
      </c>
      <c r="C61" s="204">
        <v>98</v>
      </c>
      <c r="D61" s="204">
        <v>2</v>
      </c>
      <c r="E61" s="204">
        <v>2</v>
      </c>
      <c r="F61" s="245">
        <v>5</v>
      </c>
      <c r="G61" s="196">
        <f t="shared" si="3"/>
        <v>261</v>
      </c>
      <c r="H61" s="203">
        <v>0</v>
      </c>
      <c r="I61" s="204">
        <v>0</v>
      </c>
      <c r="J61" s="204">
        <v>0</v>
      </c>
      <c r="K61" s="204">
        <v>0</v>
      </c>
      <c r="L61" s="204">
        <v>0</v>
      </c>
      <c r="M61" s="205">
        <v>0</v>
      </c>
      <c r="N61" s="85">
        <f t="shared" si="1"/>
        <v>261</v>
      </c>
      <c r="O61" s="43">
        <f t="shared" si="2"/>
        <v>234.5</v>
      </c>
    </row>
    <row r="62" spans="1:15" ht="22.5" customHeight="1" x14ac:dyDescent="0.3">
      <c r="A62" s="190" t="s">
        <v>231</v>
      </c>
      <c r="B62" s="203">
        <v>115</v>
      </c>
      <c r="C62" s="204">
        <v>75</v>
      </c>
      <c r="D62" s="204">
        <v>3</v>
      </c>
      <c r="E62" s="204">
        <v>0</v>
      </c>
      <c r="F62" s="245">
        <v>6</v>
      </c>
      <c r="G62" s="196">
        <f t="shared" si="3"/>
        <v>199</v>
      </c>
      <c r="H62" s="203">
        <v>0</v>
      </c>
      <c r="I62" s="204">
        <v>0</v>
      </c>
      <c r="J62" s="204">
        <v>0</v>
      </c>
      <c r="K62" s="204">
        <v>0</v>
      </c>
      <c r="L62" s="204">
        <v>0</v>
      </c>
      <c r="M62" s="205">
        <v>0</v>
      </c>
      <c r="N62" s="85">
        <f t="shared" si="1"/>
        <v>199</v>
      </c>
      <c r="O62" s="43">
        <f t="shared" si="2"/>
        <v>184</v>
      </c>
    </row>
    <row r="63" spans="1:15" ht="22.5" customHeight="1" x14ac:dyDescent="0.3">
      <c r="A63" s="190" t="s">
        <v>232</v>
      </c>
      <c r="B63" s="203">
        <v>98</v>
      </c>
      <c r="C63" s="204">
        <v>95</v>
      </c>
      <c r="D63" s="204">
        <v>1</v>
      </c>
      <c r="E63" s="204">
        <v>2</v>
      </c>
      <c r="F63" s="245">
        <v>5</v>
      </c>
      <c r="G63" s="196">
        <f t="shared" si="3"/>
        <v>201</v>
      </c>
      <c r="H63" s="203">
        <v>0</v>
      </c>
      <c r="I63" s="204">
        <v>0</v>
      </c>
      <c r="J63" s="204">
        <v>0</v>
      </c>
      <c r="K63" s="204">
        <v>0</v>
      </c>
      <c r="L63" s="204">
        <v>0</v>
      </c>
      <c r="M63" s="205">
        <v>0</v>
      </c>
      <c r="N63" s="85">
        <f t="shared" si="1"/>
        <v>201</v>
      </c>
      <c r="O63" s="43">
        <f t="shared" si="2"/>
        <v>175.5</v>
      </c>
    </row>
    <row r="64" spans="1:15" ht="22.5" customHeight="1" x14ac:dyDescent="0.3">
      <c r="A64" s="190" t="s">
        <v>233</v>
      </c>
      <c r="B64" s="203">
        <v>78</v>
      </c>
      <c r="C64" s="204">
        <v>36</v>
      </c>
      <c r="D64" s="204">
        <v>3</v>
      </c>
      <c r="E64" s="204">
        <v>1</v>
      </c>
      <c r="F64" s="245">
        <v>5</v>
      </c>
      <c r="G64" s="196">
        <f t="shared" si="3"/>
        <v>123</v>
      </c>
      <c r="H64" s="203">
        <v>0</v>
      </c>
      <c r="I64" s="204">
        <v>0</v>
      </c>
      <c r="J64" s="204">
        <v>0</v>
      </c>
      <c r="K64" s="204">
        <v>0</v>
      </c>
      <c r="L64" s="204">
        <v>0</v>
      </c>
      <c r="M64" s="205">
        <v>0</v>
      </c>
      <c r="N64" s="85">
        <f t="shared" si="1"/>
        <v>123</v>
      </c>
      <c r="O64" s="43">
        <f t="shared" si="2"/>
        <v>126</v>
      </c>
    </row>
    <row r="65" spans="1:15" ht="22.5" customHeight="1" x14ac:dyDescent="0.3">
      <c r="A65" s="190" t="s">
        <v>234</v>
      </c>
      <c r="B65" s="203">
        <v>65</v>
      </c>
      <c r="C65" s="204">
        <v>24</v>
      </c>
      <c r="D65" s="204">
        <v>5</v>
      </c>
      <c r="E65" s="204">
        <v>2</v>
      </c>
      <c r="F65" s="245">
        <v>12</v>
      </c>
      <c r="G65" s="196">
        <f t="shared" si="3"/>
        <v>108</v>
      </c>
      <c r="H65" s="203">
        <v>0</v>
      </c>
      <c r="I65" s="204">
        <v>0</v>
      </c>
      <c r="J65" s="204">
        <v>0</v>
      </c>
      <c r="K65" s="204">
        <v>0</v>
      </c>
      <c r="L65" s="204">
        <v>0</v>
      </c>
      <c r="M65" s="205">
        <v>0</v>
      </c>
      <c r="N65" s="85">
        <f t="shared" si="1"/>
        <v>108</v>
      </c>
      <c r="O65" s="43">
        <f t="shared" si="2"/>
        <v>144.5</v>
      </c>
    </row>
    <row r="66" spans="1:15" ht="22.5" customHeight="1" x14ac:dyDescent="0.3">
      <c r="A66" s="190" t="s">
        <v>235</v>
      </c>
      <c r="B66" s="203">
        <v>32</v>
      </c>
      <c r="C66" s="204">
        <v>15</v>
      </c>
      <c r="D66" s="204">
        <v>4</v>
      </c>
      <c r="E66" s="204">
        <v>2</v>
      </c>
      <c r="F66" s="245">
        <v>9</v>
      </c>
      <c r="G66" s="196">
        <f t="shared" si="3"/>
        <v>62</v>
      </c>
      <c r="H66" s="203">
        <v>0</v>
      </c>
      <c r="I66" s="204">
        <v>0</v>
      </c>
      <c r="J66" s="204">
        <v>0</v>
      </c>
      <c r="K66" s="204">
        <v>0</v>
      </c>
      <c r="L66" s="204">
        <v>0</v>
      </c>
      <c r="M66" s="205">
        <v>0</v>
      </c>
      <c r="N66" s="85">
        <f t="shared" si="1"/>
        <v>62</v>
      </c>
      <c r="O66" s="43">
        <f t="shared" si="2"/>
        <v>92</v>
      </c>
    </row>
    <row r="67" spans="1:15" ht="22.5" customHeight="1" x14ac:dyDescent="0.3">
      <c r="A67" s="190" t="s">
        <v>236</v>
      </c>
      <c r="B67" s="203">
        <v>45</v>
      </c>
      <c r="C67" s="204">
        <v>32</v>
      </c>
      <c r="D67" s="204">
        <v>3</v>
      </c>
      <c r="E67" s="204">
        <v>2</v>
      </c>
      <c r="F67" s="245">
        <v>8</v>
      </c>
      <c r="G67" s="196">
        <f t="shared" si="3"/>
        <v>90</v>
      </c>
      <c r="H67" s="203">
        <v>0</v>
      </c>
      <c r="I67" s="204">
        <v>0</v>
      </c>
      <c r="J67" s="204">
        <v>0</v>
      </c>
      <c r="K67" s="204">
        <v>0</v>
      </c>
      <c r="L67" s="204">
        <v>0</v>
      </c>
      <c r="M67" s="205">
        <v>0</v>
      </c>
      <c r="N67" s="85">
        <f t="shared" si="1"/>
        <v>90</v>
      </c>
      <c r="O67" s="43">
        <f t="shared" si="2"/>
        <v>107.5</v>
      </c>
    </row>
    <row r="68" spans="1:15" ht="22.5" customHeight="1" x14ac:dyDescent="0.3">
      <c r="A68" s="190" t="s">
        <v>237</v>
      </c>
      <c r="B68" s="203">
        <v>24</v>
      </c>
      <c r="C68" s="204">
        <v>15</v>
      </c>
      <c r="D68" s="204">
        <v>8</v>
      </c>
      <c r="E68" s="204">
        <v>0</v>
      </c>
      <c r="F68" s="245">
        <v>10</v>
      </c>
      <c r="G68" s="196">
        <f t="shared" si="3"/>
        <v>57</v>
      </c>
      <c r="H68" s="203">
        <v>0</v>
      </c>
      <c r="I68" s="204">
        <v>0</v>
      </c>
      <c r="J68" s="204">
        <v>0</v>
      </c>
      <c r="K68" s="204">
        <v>0</v>
      </c>
      <c r="L68" s="204">
        <v>0</v>
      </c>
      <c r="M68" s="205">
        <v>0</v>
      </c>
      <c r="N68" s="85">
        <f t="shared" si="1"/>
        <v>57</v>
      </c>
      <c r="O68" s="43">
        <f t="shared" si="2"/>
        <v>88.5</v>
      </c>
    </row>
    <row r="69" spans="1:15" ht="22.5" customHeight="1" x14ac:dyDescent="0.3">
      <c r="A69" s="190" t="s">
        <v>238</v>
      </c>
      <c r="B69" s="203">
        <v>36</v>
      </c>
      <c r="C69" s="204">
        <v>15</v>
      </c>
      <c r="D69" s="204">
        <v>0</v>
      </c>
      <c r="E69" s="204">
        <v>3</v>
      </c>
      <c r="F69" s="245">
        <v>5</v>
      </c>
      <c r="G69" s="196">
        <f t="shared" si="3"/>
        <v>59</v>
      </c>
      <c r="H69" s="203">
        <v>0</v>
      </c>
      <c r="I69" s="204">
        <v>0</v>
      </c>
      <c r="J69" s="204">
        <v>0</v>
      </c>
      <c r="K69" s="204">
        <v>0</v>
      </c>
      <c r="L69" s="204">
        <v>0</v>
      </c>
      <c r="M69" s="205">
        <v>0</v>
      </c>
      <c r="N69" s="85">
        <f t="shared" si="1"/>
        <v>59</v>
      </c>
      <c r="O69" s="43">
        <f t="shared" si="2"/>
        <v>75</v>
      </c>
    </row>
    <row r="70" spans="1:15" ht="22.5" customHeight="1" x14ac:dyDescent="0.3">
      <c r="A70" s="190" t="s">
        <v>239</v>
      </c>
      <c r="B70" s="203">
        <v>5</v>
      </c>
      <c r="C70" s="204">
        <v>10</v>
      </c>
      <c r="D70" s="204">
        <v>6</v>
      </c>
      <c r="E70" s="204">
        <v>2</v>
      </c>
      <c r="F70" s="245">
        <v>14</v>
      </c>
      <c r="G70" s="196">
        <f t="shared" si="3"/>
        <v>37</v>
      </c>
      <c r="H70" s="203">
        <v>0</v>
      </c>
      <c r="I70" s="204">
        <v>0</v>
      </c>
      <c r="J70" s="204">
        <v>0</v>
      </c>
      <c r="K70" s="204">
        <v>0</v>
      </c>
      <c r="L70" s="204">
        <v>0</v>
      </c>
      <c r="M70" s="205">
        <v>0</v>
      </c>
      <c r="N70" s="85">
        <f t="shared" si="1"/>
        <v>37</v>
      </c>
      <c r="O70" s="43">
        <f t="shared" si="2"/>
        <v>88</v>
      </c>
    </row>
    <row r="71" spans="1:15" ht="22.5" customHeight="1" x14ac:dyDescent="0.3">
      <c r="A71" s="190" t="s">
        <v>240</v>
      </c>
      <c r="B71" s="203">
        <v>3</v>
      </c>
      <c r="C71" s="204">
        <v>2</v>
      </c>
      <c r="D71" s="204">
        <v>1</v>
      </c>
      <c r="E71" s="204">
        <v>2</v>
      </c>
      <c r="F71" s="245">
        <v>7</v>
      </c>
      <c r="G71" s="196">
        <f t="shared" si="3"/>
        <v>15</v>
      </c>
      <c r="H71" s="203">
        <v>0</v>
      </c>
      <c r="I71" s="204">
        <v>0</v>
      </c>
      <c r="J71" s="204">
        <v>0</v>
      </c>
      <c r="K71" s="204">
        <v>0</v>
      </c>
      <c r="L71" s="204">
        <v>0</v>
      </c>
      <c r="M71" s="205">
        <v>0</v>
      </c>
      <c r="N71" s="85">
        <f t="shared" si="1"/>
        <v>15</v>
      </c>
      <c r="O71" s="43">
        <f t="shared" si="2"/>
        <v>43</v>
      </c>
    </row>
    <row r="72" spans="1:15" ht="22.5" customHeight="1" x14ac:dyDescent="0.3">
      <c r="A72" s="190" t="s">
        <v>153</v>
      </c>
      <c r="B72" s="203">
        <v>4</v>
      </c>
      <c r="C72" s="204">
        <v>8</v>
      </c>
      <c r="D72" s="204">
        <v>2</v>
      </c>
      <c r="E72" s="204">
        <v>3</v>
      </c>
      <c r="F72" s="245">
        <v>5</v>
      </c>
      <c r="G72" s="196">
        <f t="shared" ref="G72:G103" si="4">SUM(B72:F72)</f>
        <v>22</v>
      </c>
      <c r="H72" s="203">
        <v>0</v>
      </c>
      <c r="I72" s="204">
        <v>0</v>
      </c>
      <c r="J72" s="204">
        <v>0</v>
      </c>
      <c r="K72" s="204">
        <v>0</v>
      </c>
      <c r="L72" s="204">
        <v>0</v>
      </c>
      <c r="M72" s="205">
        <v>0</v>
      </c>
      <c r="N72" s="85">
        <f t="shared" si="1"/>
        <v>22</v>
      </c>
      <c r="O72" s="43">
        <f t="shared" si="2"/>
        <v>42.5</v>
      </c>
    </row>
    <row r="73" spans="1:15" ht="22.5" customHeight="1" x14ac:dyDescent="0.3">
      <c r="A73" s="190" t="s">
        <v>154</v>
      </c>
      <c r="B73" s="203">
        <v>5</v>
      </c>
      <c r="C73" s="204">
        <v>4</v>
      </c>
      <c r="D73" s="204">
        <v>2</v>
      </c>
      <c r="E73" s="204">
        <v>3</v>
      </c>
      <c r="F73" s="245">
        <v>5</v>
      </c>
      <c r="G73" s="196">
        <f t="shared" si="4"/>
        <v>19</v>
      </c>
      <c r="H73" s="203">
        <v>0</v>
      </c>
      <c r="I73" s="204">
        <v>0</v>
      </c>
      <c r="J73" s="204">
        <v>0</v>
      </c>
      <c r="K73" s="204">
        <v>0</v>
      </c>
      <c r="L73" s="204">
        <v>0</v>
      </c>
      <c r="M73" s="205">
        <v>0</v>
      </c>
      <c r="N73" s="85">
        <f t="shared" ref="N73:N103" si="5">G73+M73</f>
        <v>19</v>
      </c>
      <c r="O73" s="43">
        <f t="shared" ref="O73:O103" si="6">B73*1+C73*0.5+D73*1.5+E73*3+F73*4.5+H73*0.5+I73*1.5+J73*3+K73*4+L73*8</f>
        <v>41.5</v>
      </c>
    </row>
    <row r="74" spans="1:15" ht="22.5" customHeight="1" x14ac:dyDescent="0.3">
      <c r="A74" s="190" t="s">
        <v>155</v>
      </c>
      <c r="B74" s="203">
        <v>3</v>
      </c>
      <c r="C74" s="204">
        <v>8</v>
      </c>
      <c r="D74" s="204">
        <v>6</v>
      </c>
      <c r="E74" s="204">
        <v>0</v>
      </c>
      <c r="F74" s="245">
        <v>3</v>
      </c>
      <c r="G74" s="196">
        <f t="shared" si="4"/>
        <v>20</v>
      </c>
      <c r="H74" s="203">
        <v>0</v>
      </c>
      <c r="I74" s="204">
        <v>0</v>
      </c>
      <c r="J74" s="204">
        <v>0</v>
      </c>
      <c r="K74" s="204">
        <v>0</v>
      </c>
      <c r="L74" s="204">
        <v>0</v>
      </c>
      <c r="M74" s="205">
        <v>0</v>
      </c>
      <c r="N74" s="85">
        <f t="shared" si="5"/>
        <v>20</v>
      </c>
      <c r="O74" s="43">
        <f t="shared" si="6"/>
        <v>29.5</v>
      </c>
    </row>
    <row r="75" spans="1:15" ht="22.5" customHeight="1" x14ac:dyDescent="0.3">
      <c r="A75" s="190" t="s">
        <v>156</v>
      </c>
      <c r="B75" s="203">
        <v>4</v>
      </c>
      <c r="C75" s="204">
        <v>3</v>
      </c>
      <c r="D75" s="204">
        <v>3</v>
      </c>
      <c r="E75" s="204">
        <v>0</v>
      </c>
      <c r="F75" s="245">
        <v>5</v>
      </c>
      <c r="G75" s="196">
        <f t="shared" si="4"/>
        <v>15</v>
      </c>
      <c r="H75" s="203">
        <v>0</v>
      </c>
      <c r="I75" s="204">
        <v>0</v>
      </c>
      <c r="J75" s="204">
        <v>0</v>
      </c>
      <c r="K75" s="204">
        <v>0</v>
      </c>
      <c r="L75" s="204">
        <v>0</v>
      </c>
      <c r="M75" s="205">
        <v>0</v>
      </c>
      <c r="N75" s="85">
        <f t="shared" si="5"/>
        <v>15</v>
      </c>
      <c r="O75" s="43">
        <f t="shared" si="6"/>
        <v>32.5</v>
      </c>
    </row>
    <row r="76" spans="1:15" ht="22.5" customHeight="1" x14ac:dyDescent="0.3">
      <c r="A76" s="190" t="s">
        <v>157</v>
      </c>
      <c r="B76" s="203">
        <v>4</v>
      </c>
      <c r="C76" s="204">
        <v>6</v>
      </c>
      <c r="D76" s="204">
        <v>3</v>
      </c>
      <c r="E76" s="204">
        <v>0</v>
      </c>
      <c r="F76" s="245">
        <v>5</v>
      </c>
      <c r="G76" s="196">
        <f t="shared" si="4"/>
        <v>18</v>
      </c>
      <c r="H76" s="203">
        <v>0</v>
      </c>
      <c r="I76" s="204">
        <v>0</v>
      </c>
      <c r="J76" s="204">
        <v>0</v>
      </c>
      <c r="K76" s="204">
        <v>0</v>
      </c>
      <c r="L76" s="204">
        <v>0</v>
      </c>
      <c r="M76" s="205">
        <v>0</v>
      </c>
      <c r="N76" s="85">
        <f t="shared" si="5"/>
        <v>18</v>
      </c>
      <c r="O76" s="43">
        <f t="shared" si="6"/>
        <v>34</v>
      </c>
    </row>
    <row r="77" spans="1:15" ht="22.5" customHeight="1" x14ac:dyDescent="0.3">
      <c r="A77" s="190" t="s">
        <v>158</v>
      </c>
      <c r="B77" s="203">
        <v>3</v>
      </c>
      <c r="C77" s="204">
        <v>4</v>
      </c>
      <c r="D77" s="204">
        <v>1</v>
      </c>
      <c r="E77" s="204">
        <v>0</v>
      </c>
      <c r="F77" s="245">
        <v>4</v>
      </c>
      <c r="G77" s="196">
        <f t="shared" si="4"/>
        <v>12</v>
      </c>
      <c r="H77" s="203">
        <v>0</v>
      </c>
      <c r="I77" s="204">
        <v>0</v>
      </c>
      <c r="J77" s="204">
        <v>0</v>
      </c>
      <c r="K77" s="204">
        <v>0</v>
      </c>
      <c r="L77" s="204">
        <v>0</v>
      </c>
      <c r="M77" s="205">
        <v>0</v>
      </c>
      <c r="N77" s="85">
        <f t="shared" si="5"/>
        <v>12</v>
      </c>
      <c r="O77" s="43">
        <f t="shared" si="6"/>
        <v>24.5</v>
      </c>
    </row>
    <row r="78" spans="1:15" ht="22.5" customHeight="1" x14ac:dyDescent="0.3">
      <c r="A78" s="190" t="s">
        <v>159</v>
      </c>
      <c r="B78" s="203">
        <v>3</v>
      </c>
      <c r="C78" s="204">
        <v>8</v>
      </c>
      <c r="D78" s="204">
        <v>2</v>
      </c>
      <c r="E78" s="204">
        <v>0</v>
      </c>
      <c r="F78" s="245">
        <v>5</v>
      </c>
      <c r="G78" s="196">
        <f t="shared" si="4"/>
        <v>18</v>
      </c>
      <c r="H78" s="203">
        <v>0</v>
      </c>
      <c r="I78" s="204">
        <v>0</v>
      </c>
      <c r="J78" s="204">
        <v>0</v>
      </c>
      <c r="K78" s="204">
        <v>0</v>
      </c>
      <c r="L78" s="204">
        <v>0</v>
      </c>
      <c r="M78" s="205">
        <v>0</v>
      </c>
      <c r="N78" s="85">
        <f t="shared" si="5"/>
        <v>18</v>
      </c>
      <c r="O78" s="43">
        <f t="shared" si="6"/>
        <v>32.5</v>
      </c>
    </row>
    <row r="79" spans="1:15" ht="22.5" customHeight="1" x14ac:dyDescent="0.3">
      <c r="A79" s="190" t="s">
        <v>160</v>
      </c>
      <c r="B79" s="203">
        <v>2</v>
      </c>
      <c r="C79" s="204">
        <v>3</v>
      </c>
      <c r="D79" s="204">
        <v>3</v>
      </c>
      <c r="E79" s="204">
        <v>0</v>
      </c>
      <c r="F79" s="245">
        <v>4</v>
      </c>
      <c r="G79" s="196">
        <f t="shared" si="4"/>
        <v>12</v>
      </c>
      <c r="H79" s="203">
        <v>0</v>
      </c>
      <c r="I79" s="204">
        <v>0</v>
      </c>
      <c r="J79" s="204">
        <v>0</v>
      </c>
      <c r="K79" s="204">
        <v>0</v>
      </c>
      <c r="L79" s="204">
        <v>0</v>
      </c>
      <c r="M79" s="205">
        <v>0</v>
      </c>
      <c r="N79" s="85">
        <f t="shared" si="5"/>
        <v>12</v>
      </c>
      <c r="O79" s="43">
        <f t="shared" si="6"/>
        <v>26</v>
      </c>
    </row>
    <row r="80" spans="1:15" ht="22.5" customHeight="1" x14ac:dyDescent="0.3">
      <c r="A80" s="190" t="s">
        <v>161</v>
      </c>
      <c r="B80" s="203">
        <v>1</v>
      </c>
      <c r="C80" s="204">
        <v>6</v>
      </c>
      <c r="D80" s="204">
        <v>3</v>
      </c>
      <c r="E80" s="204">
        <v>0</v>
      </c>
      <c r="F80" s="245">
        <v>2</v>
      </c>
      <c r="G80" s="196">
        <f t="shared" si="4"/>
        <v>12</v>
      </c>
      <c r="H80" s="203">
        <v>0</v>
      </c>
      <c r="I80" s="204">
        <v>0</v>
      </c>
      <c r="J80" s="204">
        <v>0</v>
      </c>
      <c r="K80" s="204">
        <v>0</v>
      </c>
      <c r="L80" s="204">
        <v>0</v>
      </c>
      <c r="M80" s="205">
        <v>0</v>
      </c>
      <c r="N80" s="85">
        <f t="shared" si="5"/>
        <v>12</v>
      </c>
      <c r="O80" s="43">
        <f t="shared" si="6"/>
        <v>17.5</v>
      </c>
    </row>
    <row r="81" spans="1:15" ht="22.5" customHeight="1" x14ac:dyDescent="0.3">
      <c r="A81" s="190" t="s">
        <v>162</v>
      </c>
      <c r="B81" s="203">
        <v>2</v>
      </c>
      <c r="C81" s="204">
        <v>1</v>
      </c>
      <c r="D81" s="204">
        <v>2</v>
      </c>
      <c r="E81" s="204">
        <v>0</v>
      </c>
      <c r="F81" s="245">
        <v>5</v>
      </c>
      <c r="G81" s="196">
        <f t="shared" si="4"/>
        <v>10</v>
      </c>
      <c r="H81" s="203">
        <v>0</v>
      </c>
      <c r="I81" s="204">
        <v>0</v>
      </c>
      <c r="J81" s="204">
        <v>0</v>
      </c>
      <c r="K81" s="204">
        <v>0</v>
      </c>
      <c r="L81" s="204">
        <v>0</v>
      </c>
      <c r="M81" s="205">
        <v>0</v>
      </c>
      <c r="N81" s="85">
        <f t="shared" si="5"/>
        <v>10</v>
      </c>
      <c r="O81" s="43">
        <f t="shared" si="6"/>
        <v>28</v>
      </c>
    </row>
    <row r="82" spans="1:15" ht="22.5" customHeight="1" x14ac:dyDescent="0.3">
      <c r="A82" s="190" t="s">
        <v>163</v>
      </c>
      <c r="B82" s="203">
        <v>1</v>
      </c>
      <c r="C82" s="204">
        <v>1</v>
      </c>
      <c r="D82" s="204">
        <v>2</v>
      </c>
      <c r="E82" s="204">
        <v>0</v>
      </c>
      <c r="F82" s="245">
        <v>1</v>
      </c>
      <c r="G82" s="196">
        <f t="shared" si="4"/>
        <v>5</v>
      </c>
      <c r="H82" s="203">
        <v>0</v>
      </c>
      <c r="I82" s="204">
        <v>0</v>
      </c>
      <c r="J82" s="204">
        <v>0</v>
      </c>
      <c r="K82" s="204">
        <v>0</v>
      </c>
      <c r="L82" s="204">
        <v>0</v>
      </c>
      <c r="M82" s="205">
        <v>0</v>
      </c>
      <c r="N82" s="85">
        <f t="shared" si="5"/>
        <v>5</v>
      </c>
      <c r="O82" s="43">
        <f t="shared" si="6"/>
        <v>9</v>
      </c>
    </row>
    <row r="83" spans="1:15" ht="22.5" customHeight="1" x14ac:dyDescent="0.3">
      <c r="A83" s="190" t="s">
        <v>164</v>
      </c>
      <c r="B83" s="203">
        <v>1</v>
      </c>
      <c r="C83" s="204">
        <v>4</v>
      </c>
      <c r="D83" s="204">
        <v>3</v>
      </c>
      <c r="E83" s="204">
        <v>0</v>
      </c>
      <c r="F83" s="245">
        <v>2</v>
      </c>
      <c r="G83" s="196">
        <f t="shared" si="4"/>
        <v>10</v>
      </c>
      <c r="H83" s="203">
        <v>0</v>
      </c>
      <c r="I83" s="204">
        <v>0</v>
      </c>
      <c r="J83" s="204">
        <v>0</v>
      </c>
      <c r="K83" s="204">
        <v>0</v>
      </c>
      <c r="L83" s="204">
        <v>0</v>
      </c>
      <c r="M83" s="205">
        <v>0</v>
      </c>
      <c r="N83" s="85">
        <f t="shared" si="5"/>
        <v>10</v>
      </c>
      <c r="O83" s="43">
        <f t="shared" si="6"/>
        <v>16.5</v>
      </c>
    </row>
    <row r="84" spans="1:15" ht="22.5" customHeight="1" x14ac:dyDescent="0.3">
      <c r="A84" s="190" t="s">
        <v>165</v>
      </c>
      <c r="B84" s="203">
        <v>4</v>
      </c>
      <c r="C84" s="204">
        <v>8</v>
      </c>
      <c r="D84" s="204">
        <v>2</v>
      </c>
      <c r="E84" s="204">
        <v>1</v>
      </c>
      <c r="F84" s="245">
        <v>1</v>
      </c>
      <c r="G84" s="196">
        <f t="shared" si="4"/>
        <v>16</v>
      </c>
      <c r="H84" s="203">
        <v>0</v>
      </c>
      <c r="I84" s="204">
        <v>0</v>
      </c>
      <c r="J84" s="204">
        <v>0</v>
      </c>
      <c r="K84" s="204">
        <v>0</v>
      </c>
      <c r="L84" s="204">
        <v>0</v>
      </c>
      <c r="M84" s="205">
        <v>0</v>
      </c>
      <c r="N84" s="85">
        <f t="shared" si="5"/>
        <v>16</v>
      </c>
      <c r="O84" s="43">
        <f t="shared" si="6"/>
        <v>18.5</v>
      </c>
    </row>
    <row r="85" spans="1:15" ht="22.5" customHeight="1" x14ac:dyDescent="0.3">
      <c r="A85" s="190" t="s">
        <v>166</v>
      </c>
      <c r="B85" s="203">
        <v>3</v>
      </c>
      <c r="C85" s="204">
        <v>6</v>
      </c>
      <c r="D85" s="204">
        <v>1</v>
      </c>
      <c r="E85" s="204">
        <v>2</v>
      </c>
      <c r="F85" s="245">
        <v>1</v>
      </c>
      <c r="G85" s="196">
        <f t="shared" si="4"/>
        <v>13</v>
      </c>
      <c r="H85" s="203">
        <v>0</v>
      </c>
      <c r="I85" s="204">
        <v>0</v>
      </c>
      <c r="J85" s="204">
        <v>0</v>
      </c>
      <c r="K85" s="204">
        <v>0</v>
      </c>
      <c r="L85" s="204">
        <v>0</v>
      </c>
      <c r="M85" s="205">
        <v>0</v>
      </c>
      <c r="N85" s="85">
        <f t="shared" si="5"/>
        <v>13</v>
      </c>
      <c r="O85" s="43">
        <f t="shared" si="6"/>
        <v>18</v>
      </c>
    </row>
    <row r="86" spans="1:15" ht="22.5" customHeight="1" x14ac:dyDescent="0.3">
      <c r="A86" s="190" t="s">
        <v>167</v>
      </c>
      <c r="B86" s="203">
        <v>0</v>
      </c>
      <c r="C86" s="204">
        <v>0</v>
      </c>
      <c r="D86" s="204">
        <v>4</v>
      </c>
      <c r="E86" s="204">
        <v>0</v>
      </c>
      <c r="F86" s="245">
        <v>2</v>
      </c>
      <c r="G86" s="196">
        <f t="shared" si="4"/>
        <v>6</v>
      </c>
      <c r="H86" s="203">
        <v>0</v>
      </c>
      <c r="I86" s="204">
        <v>0</v>
      </c>
      <c r="J86" s="204">
        <v>0</v>
      </c>
      <c r="K86" s="204">
        <v>0</v>
      </c>
      <c r="L86" s="204">
        <v>0</v>
      </c>
      <c r="M86" s="205">
        <v>0</v>
      </c>
      <c r="N86" s="85">
        <f t="shared" si="5"/>
        <v>6</v>
      </c>
      <c r="O86" s="43">
        <f t="shared" si="6"/>
        <v>15</v>
      </c>
    </row>
    <row r="87" spans="1:15" ht="22.5" customHeight="1" x14ac:dyDescent="0.3">
      <c r="A87" s="190" t="s">
        <v>168</v>
      </c>
      <c r="B87" s="203">
        <v>0</v>
      </c>
      <c r="C87" s="204">
        <v>2</v>
      </c>
      <c r="D87" s="204">
        <v>1</v>
      </c>
      <c r="E87" s="204">
        <v>0</v>
      </c>
      <c r="F87" s="245">
        <v>5</v>
      </c>
      <c r="G87" s="196">
        <f t="shared" si="4"/>
        <v>8</v>
      </c>
      <c r="H87" s="203">
        <v>0</v>
      </c>
      <c r="I87" s="204">
        <v>0</v>
      </c>
      <c r="J87" s="204">
        <v>0</v>
      </c>
      <c r="K87" s="204">
        <v>0</v>
      </c>
      <c r="L87" s="204">
        <v>0</v>
      </c>
      <c r="M87" s="205">
        <v>0</v>
      </c>
      <c r="N87" s="85">
        <f t="shared" si="5"/>
        <v>8</v>
      </c>
      <c r="O87" s="43">
        <f t="shared" si="6"/>
        <v>25</v>
      </c>
    </row>
    <row r="88" spans="1:15" ht="22.5" customHeight="1" x14ac:dyDescent="0.3">
      <c r="A88" s="190" t="s">
        <v>169</v>
      </c>
      <c r="B88" s="203">
        <v>3</v>
      </c>
      <c r="C88" s="204">
        <v>6</v>
      </c>
      <c r="D88" s="204">
        <v>2</v>
      </c>
      <c r="E88" s="204">
        <v>2</v>
      </c>
      <c r="F88" s="245">
        <v>3</v>
      </c>
      <c r="G88" s="196">
        <f t="shared" si="4"/>
        <v>16</v>
      </c>
      <c r="H88" s="203">
        <v>0</v>
      </c>
      <c r="I88" s="204">
        <v>0</v>
      </c>
      <c r="J88" s="204">
        <v>0</v>
      </c>
      <c r="K88" s="204">
        <v>0</v>
      </c>
      <c r="L88" s="204">
        <v>0</v>
      </c>
      <c r="M88" s="205">
        <v>0</v>
      </c>
      <c r="N88" s="85">
        <f t="shared" si="5"/>
        <v>16</v>
      </c>
      <c r="O88" s="43">
        <f t="shared" si="6"/>
        <v>28.5</v>
      </c>
    </row>
    <row r="89" spans="1:15" ht="22.5" customHeight="1" x14ac:dyDescent="0.3">
      <c r="A89" s="190" t="s">
        <v>170</v>
      </c>
      <c r="B89" s="203">
        <v>2</v>
      </c>
      <c r="C89" s="204">
        <v>4</v>
      </c>
      <c r="D89" s="204">
        <v>1</v>
      </c>
      <c r="E89" s="204">
        <v>3</v>
      </c>
      <c r="F89" s="245">
        <v>2</v>
      </c>
      <c r="G89" s="196">
        <f t="shared" si="4"/>
        <v>12</v>
      </c>
      <c r="H89" s="203">
        <v>0</v>
      </c>
      <c r="I89" s="204">
        <v>0</v>
      </c>
      <c r="J89" s="204">
        <v>0</v>
      </c>
      <c r="K89" s="204">
        <v>0</v>
      </c>
      <c r="L89" s="204">
        <v>0</v>
      </c>
      <c r="M89" s="205">
        <v>0</v>
      </c>
      <c r="N89" s="85">
        <f t="shared" si="5"/>
        <v>12</v>
      </c>
      <c r="O89" s="43">
        <f t="shared" si="6"/>
        <v>23.5</v>
      </c>
    </row>
    <row r="90" spans="1:15" ht="22.5" customHeight="1" x14ac:dyDescent="0.3">
      <c r="A90" s="190" t="s">
        <v>171</v>
      </c>
      <c r="B90" s="203">
        <v>4</v>
      </c>
      <c r="C90" s="204">
        <v>2</v>
      </c>
      <c r="D90" s="204">
        <v>6</v>
      </c>
      <c r="E90" s="204">
        <v>0</v>
      </c>
      <c r="F90" s="245">
        <v>0</v>
      </c>
      <c r="G90" s="196">
        <f t="shared" si="4"/>
        <v>12</v>
      </c>
      <c r="H90" s="203">
        <v>0</v>
      </c>
      <c r="I90" s="204">
        <v>0</v>
      </c>
      <c r="J90" s="204">
        <v>0</v>
      </c>
      <c r="K90" s="204">
        <v>0</v>
      </c>
      <c r="L90" s="204">
        <v>0</v>
      </c>
      <c r="M90" s="205">
        <v>0</v>
      </c>
      <c r="N90" s="85">
        <f t="shared" si="5"/>
        <v>12</v>
      </c>
      <c r="O90" s="43">
        <f t="shared" si="6"/>
        <v>14</v>
      </c>
    </row>
    <row r="91" spans="1:15" ht="22.5" customHeight="1" x14ac:dyDescent="0.3">
      <c r="A91" s="190" t="s">
        <v>172</v>
      </c>
      <c r="B91" s="203">
        <v>4</v>
      </c>
      <c r="C91" s="204">
        <v>2</v>
      </c>
      <c r="D91" s="204">
        <v>2</v>
      </c>
      <c r="E91" s="204">
        <v>0</v>
      </c>
      <c r="F91" s="245">
        <v>0</v>
      </c>
      <c r="G91" s="196">
        <f t="shared" si="4"/>
        <v>8</v>
      </c>
      <c r="H91" s="203">
        <v>0</v>
      </c>
      <c r="I91" s="204">
        <v>0</v>
      </c>
      <c r="J91" s="204">
        <v>0</v>
      </c>
      <c r="K91" s="204">
        <v>0</v>
      </c>
      <c r="L91" s="204">
        <v>0</v>
      </c>
      <c r="M91" s="205">
        <v>0</v>
      </c>
      <c r="N91" s="85">
        <f t="shared" si="5"/>
        <v>8</v>
      </c>
      <c r="O91" s="43">
        <f t="shared" si="6"/>
        <v>8</v>
      </c>
    </row>
    <row r="92" spans="1:15" ht="22.5" customHeight="1" x14ac:dyDescent="0.3">
      <c r="A92" s="190" t="s">
        <v>173</v>
      </c>
      <c r="B92" s="203">
        <v>6</v>
      </c>
      <c r="C92" s="204">
        <v>1</v>
      </c>
      <c r="D92" s="204">
        <v>5</v>
      </c>
      <c r="E92" s="204">
        <v>1</v>
      </c>
      <c r="F92" s="245">
        <v>0</v>
      </c>
      <c r="G92" s="196">
        <f t="shared" si="4"/>
        <v>13</v>
      </c>
      <c r="H92" s="203">
        <v>0</v>
      </c>
      <c r="I92" s="204">
        <v>0</v>
      </c>
      <c r="J92" s="204">
        <v>0</v>
      </c>
      <c r="K92" s="204">
        <v>0</v>
      </c>
      <c r="L92" s="204">
        <v>0</v>
      </c>
      <c r="M92" s="205">
        <v>0</v>
      </c>
      <c r="N92" s="85">
        <f t="shared" si="5"/>
        <v>13</v>
      </c>
      <c r="O92" s="43">
        <f t="shared" si="6"/>
        <v>17</v>
      </c>
    </row>
    <row r="93" spans="1:15" ht="22.5" customHeight="1" x14ac:dyDescent="0.3">
      <c r="A93" s="190" t="s">
        <v>174</v>
      </c>
      <c r="B93" s="203">
        <v>4</v>
      </c>
      <c r="C93" s="204">
        <v>3</v>
      </c>
      <c r="D93" s="204">
        <v>3</v>
      </c>
      <c r="E93" s="204">
        <v>0</v>
      </c>
      <c r="F93" s="245">
        <v>1</v>
      </c>
      <c r="G93" s="196">
        <f t="shared" si="4"/>
        <v>11</v>
      </c>
      <c r="H93" s="203">
        <v>0</v>
      </c>
      <c r="I93" s="204">
        <v>0</v>
      </c>
      <c r="J93" s="204">
        <v>0</v>
      </c>
      <c r="K93" s="204">
        <v>0</v>
      </c>
      <c r="L93" s="204">
        <v>0</v>
      </c>
      <c r="M93" s="205">
        <v>0</v>
      </c>
      <c r="N93" s="85">
        <f t="shared" si="5"/>
        <v>11</v>
      </c>
      <c r="O93" s="43">
        <f t="shared" si="6"/>
        <v>14.5</v>
      </c>
    </row>
    <row r="94" spans="1:15" ht="22.5" customHeight="1" x14ac:dyDescent="0.3">
      <c r="A94" s="190" t="s">
        <v>175</v>
      </c>
      <c r="B94" s="203">
        <v>5</v>
      </c>
      <c r="C94" s="204">
        <v>2</v>
      </c>
      <c r="D94" s="204">
        <v>1</v>
      </c>
      <c r="E94" s="204">
        <v>0</v>
      </c>
      <c r="F94" s="245">
        <v>1</v>
      </c>
      <c r="G94" s="196">
        <f t="shared" si="4"/>
        <v>9</v>
      </c>
      <c r="H94" s="203">
        <v>0</v>
      </c>
      <c r="I94" s="204">
        <v>0</v>
      </c>
      <c r="J94" s="204">
        <v>0</v>
      </c>
      <c r="K94" s="204">
        <v>0</v>
      </c>
      <c r="L94" s="204">
        <v>0</v>
      </c>
      <c r="M94" s="205">
        <v>0</v>
      </c>
      <c r="N94" s="85">
        <f t="shared" si="5"/>
        <v>9</v>
      </c>
      <c r="O94" s="43">
        <f t="shared" si="6"/>
        <v>12</v>
      </c>
    </row>
    <row r="95" spans="1:15" ht="22.5" customHeight="1" x14ac:dyDescent="0.3">
      <c r="A95" s="190" t="s">
        <v>176</v>
      </c>
      <c r="B95" s="203">
        <v>10</v>
      </c>
      <c r="C95" s="204">
        <v>4</v>
      </c>
      <c r="D95" s="204">
        <v>2</v>
      </c>
      <c r="E95" s="204">
        <v>0</v>
      </c>
      <c r="F95" s="245">
        <v>2</v>
      </c>
      <c r="G95" s="196">
        <f t="shared" si="4"/>
        <v>18</v>
      </c>
      <c r="H95" s="203">
        <v>0</v>
      </c>
      <c r="I95" s="204">
        <v>0</v>
      </c>
      <c r="J95" s="204">
        <v>0</v>
      </c>
      <c r="K95" s="204">
        <v>0</v>
      </c>
      <c r="L95" s="204">
        <v>0</v>
      </c>
      <c r="M95" s="205">
        <v>0</v>
      </c>
      <c r="N95" s="85">
        <f t="shared" si="5"/>
        <v>18</v>
      </c>
      <c r="O95" s="43">
        <f t="shared" si="6"/>
        <v>24</v>
      </c>
    </row>
    <row r="96" spans="1:15" ht="22.5" customHeight="1" x14ac:dyDescent="0.3">
      <c r="A96" s="190" t="s">
        <v>135</v>
      </c>
      <c r="B96" s="203">
        <v>10</v>
      </c>
      <c r="C96" s="204">
        <v>11</v>
      </c>
      <c r="D96" s="204">
        <v>2</v>
      </c>
      <c r="E96" s="204">
        <v>0</v>
      </c>
      <c r="F96" s="245">
        <v>0</v>
      </c>
      <c r="G96" s="196">
        <f t="shared" si="4"/>
        <v>23</v>
      </c>
      <c r="H96" s="203">
        <v>0</v>
      </c>
      <c r="I96" s="204">
        <v>0</v>
      </c>
      <c r="J96" s="204">
        <v>0</v>
      </c>
      <c r="K96" s="204">
        <v>0</v>
      </c>
      <c r="L96" s="204">
        <v>0</v>
      </c>
      <c r="M96" s="205">
        <v>0</v>
      </c>
      <c r="N96" s="85">
        <f t="shared" si="5"/>
        <v>23</v>
      </c>
      <c r="O96" s="43">
        <f t="shared" si="6"/>
        <v>18.5</v>
      </c>
    </row>
    <row r="97" spans="1:15" ht="22.5" customHeight="1" x14ac:dyDescent="0.3">
      <c r="A97" s="190" t="s">
        <v>136</v>
      </c>
      <c r="B97" s="203">
        <v>13</v>
      </c>
      <c r="C97" s="204">
        <v>15</v>
      </c>
      <c r="D97" s="204">
        <v>1</v>
      </c>
      <c r="E97" s="204">
        <v>1</v>
      </c>
      <c r="F97" s="245">
        <v>2</v>
      </c>
      <c r="G97" s="196">
        <f t="shared" si="4"/>
        <v>32</v>
      </c>
      <c r="H97" s="203">
        <v>0</v>
      </c>
      <c r="I97" s="204">
        <v>0</v>
      </c>
      <c r="J97" s="204">
        <v>0</v>
      </c>
      <c r="K97" s="204">
        <v>0</v>
      </c>
      <c r="L97" s="204">
        <v>0</v>
      </c>
      <c r="M97" s="205">
        <v>0</v>
      </c>
      <c r="N97" s="85">
        <f t="shared" si="5"/>
        <v>32</v>
      </c>
      <c r="O97" s="43">
        <f t="shared" si="6"/>
        <v>34</v>
      </c>
    </row>
    <row r="98" spans="1:15" ht="22.5" customHeight="1" x14ac:dyDescent="0.3">
      <c r="A98" s="190" t="s">
        <v>137</v>
      </c>
      <c r="B98" s="203">
        <v>25</v>
      </c>
      <c r="C98" s="204">
        <v>24</v>
      </c>
      <c r="D98" s="204">
        <v>1</v>
      </c>
      <c r="E98" s="204">
        <v>2</v>
      </c>
      <c r="F98" s="245">
        <v>3</v>
      </c>
      <c r="G98" s="196">
        <f t="shared" si="4"/>
        <v>55</v>
      </c>
      <c r="H98" s="203">
        <v>0</v>
      </c>
      <c r="I98" s="204">
        <v>0</v>
      </c>
      <c r="J98" s="204">
        <v>0</v>
      </c>
      <c r="K98" s="204">
        <v>0</v>
      </c>
      <c r="L98" s="204">
        <v>0</v>
      </c>
      <c r="M98" s="205">
        <v>0</v>
      </c>
      <c r="N98" s="85">
        <f t="shared" si="5"/>
        <v>55</v>
      </c>
      <c r="O98" s="43">
        <f t="shared" si="6"/>
        <v>58</v>
      </c>
    </row>
    <row r="99" spans="1:15" ht="22.5" customHeight="1" x14ac:dyDescent="0.3">
      <c r="A99" s="190" t="s">
        <v>138</v>
      </c>
      <c r="B99" s="203">
        <v>15</v>
      </c>
      <c r="C99" s="204">
        <v>13</v>
      </c>
      <c r="D99" s="204">
        <v>2</v>
      </c>
      <c r="E99" s="204">
        <v>2</v>
      </c>
      <c r="F99" s="245">
        <v>1</v>
      </c>
      <c r="G99" s="196">
        <f t="shared" si="4"/>
        <v>33</v>
      </c>
      <c r="H99" s="203">
        <v>0</v>
      </c>
      <c r="I99" s="204">
        <v>0</v>
      </c>
      <c r="J99" s="204">
        <v>0</v>
      </c>
      <c r="K99" s="204">
        <v>0</v>
      </c>
      <c r="L99" s="204">
        <v>0</v>
      </c>
      <c r="M99" s="205">
        <v>0</v>
      </c>
      <c r="N99" s="85">
        <f t="shared" si="5"/>
        <v>33</v>
      </c>
      <c r="O99" s="43">
        <f t="shared" si="6"/>
        <v>35</v>
      </c>
    </row>
    <row r="100" spans="1:15" ht="22.5" customHeight="1" x14ac:dyDescent="0.3">
      <c r="A100" s="190" t="s">
        <v>139</v>
      </c>
      <c r="B100" s="203">
        <v>45</v>
      </c>
      <c r="C100" s="204">
        <v>16</v>
      </c>
      <c r="D100" s="204">
        <v>1</v>
      </c>
      <c r="E100" s="204">
        <v>8</v>
      </c>
      <c r="F100" s="245">
        <v>2</v>
      </c>
      <c r="G100" s="196">
        <f t="shared" si="4"/>
        <v>72</v>
      </c>
      <c r="H100" s="203">
        <v>0</v>
      </c>
      <c r="I100" s="204">
        <v>0</v>
      </c>
      <c r="J100" s="204">
        <v>0</v>
      </c>
      <c r="K100" s="204">
        <v>0</v>
      </c>
      <c r="L100" s="204">
        <v>4</v>
      </c>
      <c r="M100" s="205">
        <v>0</v>
      </c>
      <c r="N100" s="85">
        <f t="shared" si="5"/>
        <v>72</v>
      </c>
      <c r="O100" s="43">
        <f t="shared" si="6"/>
        <v>119.5</v>
      </c>
    </row>
    <row r="101" spans="1:15" ht="22.5" customHeight="1" x14ac:dyDescent="0.3">
      <c r="A101" s="190" t="s">
        <v>140</v>
      </c>
      <c r="B101" s="203">
        <v>62</v>
      </c>
      <c r="C101" s="204">
        <v>15</v>
      </c>
      <c r="D101" s="204">
        <v>4</v>
      </c>
      <c r="E101" s="204">
        <v>9</v>
      </c>
      <c r="F101" s="245">
        <v>1</v>
      </c>
      <c r="G101" s="196">
        <f t="shared" si="4"/>
        <v>91</v>
      </c>
      <c r="H101" s="203">
        <v>0</v>
      </c>
      <c r="I101" s="204">
        <v>0</v>
      </c>
      <c r="J101" s="204">
        <v>0</v>
      </c>
      <c r="K101" s="204">
        <v>0</v>
      </c>
      <c r="L101" s="204">
        <v>2</v>
      </c>
      <c r="M101" s="205">
        <v>0</v>
      </c>
      <c r="N101" s="85">
        <f t="shared" si="5"/>
        <v>91</v>
      </c>
      <c r="O101" s="43">
        <f t="shared" si="6"/>
        <v>123</v>
      </c>
    </row>
    <row r="102" spans="1:15" ht="22.5" customHeight="1" x14ac:dyDescent="0.3">
      <c r="A102" s="190" t="s">
        <v>141</v>
      </c>
      <c r="B102" s="203">
        <v>75</v>
      </c>
      <c r="C102" s="204">
        <v>18</v>
      </c>
      <c r="D102" s="204">
        <v>3</v>
      </c>
      <c r="E102" s="204">
        <v>7</v>
      </c>
      <c r="F102" s="245">
        <v>4</v>
      </c>
      <c r="G102" s="196">
        <f t="shared" si="4"/>
        <v>107</v>
      </c>
      <c r="H102" s="203">
        <v>0</v>
      </c>
      <c r="I102" s="204">
        <v>0</v>
      </c>
      <c r="J102" s="204">
        <v>0</v>
      </c>
      <c r="K102" s="204">
        <v>0</v>
      </c>
      <c r="L102" s="204">
        <v>3</v>
      </c>
      <c r="M102" s="205">
        <v>0</v>
      </c>
      <c r="N102" s="85">
        <f t="shared" si="5"/>
        <v>107</v>
      </c>
      <c r="O102" s="43">
        <f t="shared" si="6"/>
        <v>151.5</v>
      </c>
    </row>
    <row r="103" spans="1:15" ht="22.5" customHeight="1" thickBot="1" x14ac:dyDescent="0.35">
      <c r="A103" s="191" t="s">
        <v>142</v>
      </c>
      <c r="B103" s="206">
        <v>69</v>
      </c>
      <c r="C103" s="207">
        <v>27</v>
      </c>
      <c r="D103" s="207">
        <v>2</v>
      </c>
      <c r="E103" s="207">
        <v>8</v>
      </c>
      <c r="F103" s="246">
        <v>3</v>
      </c>
      <c r="G103" s="197">
        <f t="shared" si="4"/>
        <v>109</v>
      </c>
      <c r="H103" s="206">
        <v>0</v>
      </c>
      <c r="I103" s="207">
        <v>0</v>
      </c>
      <c r="J103" s="207">
        <v>0</v>
      </c>
      <c r="K103" s="207">
        <v>0</v>
      </c>
      <c r="L103" s="207">
        <v>2</v>
      </c>
      <c r="M103" s="208">
        <v>0</v>
      </c>
      <c r="N103" s="116">
        <f t="shared" si="5"/>
        <v>109</v>
      </c>
      <c r="O103" s="84">
        <f t="shared" si="6"/>
        <v>139</v>
      </c>
    </row>
    <row r="104" spans="1:15" ht="22.5" customHeight="1" thickBot="1" x14ac:dyDescent="0.35">
      <c r="A104" s="86" t="s">
        <v>11</v>
      </c>
      <c r="B104" s="117">
        <f t="shared" ref="B104:N104" si="7">SUM(B8:B103)</f>
        <v>8454</v>
      </c>
      <c r="C104" s="117">
        <f t="shared" si="7"/>
        <v>5055</v>
      </c>
      <c r="D104" s="117">
        <f t="shared" si="7"/>
        <v>385</v>
      </c>
      <c r="E104" s="118">
        <f t="shared" si="7"/>
        <v>541</v>
      </c>
      <c r="F104" s="118">
        <f t="shared" si="7"/>
        <v>318</v>
      </c>
      <c r="G104" s="94">
        <f t="shared" si="7"/>
        <v>14753</v>
      </c>
      <c r="H104" s="117">
        <f t="shared" si="7"/>
        <v>3</v>
      </c>
      <c r="I104" s="117">
        <f t="shared" si="7"/>
        <v>0</v>
      </c>
      <c r="J104" s="117">
        <f t="shared" si="7"/>
        <v>0</v>
      </c>
      <c r="K104" s="118">
        <f t="shared" si="7"/>
        <v>0</v>
      </c>
      <c r="L104" s="118">
        <f t="shared" si="7"/>
        <v>268</v>
      </c>
      <c r="M104" s="199">
        <f>SUM(M8:M103)</f>
        <v>4</v>
      </c>
      <c r="N104" s="95">
        <f t="shared" si="7"/>
        <v>14757</v>
      </c>
      <c r="O104" s="142">
        <f>SUM(O8:O103)</f>
        <v>16758.5</v>
      </c>
    </row>
    <row r="105" spans="1:15" ht="22.5" customHeight="1" thickBot="1" x14ac:dyDescent="0.35">
      <c r="A105" s="41" t="s">
        <v>143</v>
      </c>
      <c r="B105" s="88">
        <f>+B104*1</f>
        <v>8454</v>
      </c>
      <c r="C105" s="88">
        <f>+C104*0.5</f>
        <v>2527.5</v>
      </c>
      <c r="D105" s="88">
        <f>+D104*1.5</f>
        <v>577.5</v>
      </c>
      <c r="E105" s="88">
        <f>+E104*3</f>
        <v>1623</v>
      </c>
      <c r="F105" s="89">
        <f>+F104*4.5</f>
        <v>1431</v>
      </c>
      <c r="G105" s="90">
        <f>SUM(B105:F105)</f>
        <v>14613</v>
      </c>
      <c r="H105" s="88">
        <f>+H104*0.5</f>
        <v>1.5</v>
      </c>
      <c r="I105" s="89">
        <f>+I104*1.5</f>
        <v>0</v>
      </c>
      <c r="J105" s="89">
        <f>+J104*3</f>
        <v>0</v>
      </c>
      <c r="K105" s="96">
        <f>+K104*4</f>
        <v>0</v>
      </c>
      <c r="L105" s="96">
        <f>+L104*8</f>
        <v>2144</v>
      </c>
      <c r="M105" s="147">
        <f>SUM(H105:L105)</f>
        <v>2145.5</v>
      </c>
      <c r="N105" s="91"/>
      <c r="O105" s="92">
        <f>G105+M105</f>
        <v>16758.5</v>
      </c>
    </row>
    <row r="106" spans="1:15" ht="22.5" customHeight="1" thickBot="1" x14ac:dyDescent="0.35">
      <c r="A106" s="42" t="s">
        <v>12</v>
      </c>
      <c r="B106" s="93">
        <f t="shared" ref="B106:N106" si="8">B104/$N$104</f>
        <v>0.57288066680219552</v>
      </c>
      <c r="C106" s="93">
        <f t="shared" si="8"/>
        <v>0.34254929863793454</v>
      </c>
      <c r="D106" s="93">
        <f t="shared" si="8"/>
        <v>2.6089313546113709E-2</v>
      </c>
      <c r="E106" s="93">
        <f t="shared" si="8"/>
        <v>3.6660567866097442E-2</v>
      </c>
      <c r="F106" s="93">
        <f t="shared" si="8"/>
        <v>2.1549095344582232E-2</v>
      </c>
      <c r="G106" s="98">
        <f t="shared" si="8"/>
        <v>0.99972894219692354</v>
      </c>
      <c r="H106" s="93">
        <f t="shared" si="8"/>
        <v>2.0329335230737954E-4</v>
      </c>
      <c r="I106" s="93">
        <f t="shared" si="8"/>
        <v>0</v>
      </c>
      <c r="J106" s="93">
        <f t="shared" si="8"/>
        <v>0</v>
      </c>
      <c r="K106" s="97">
        <f t="shared" si="8"/>
        <v>0</v>
      </c>
      <c r="L106" s="97">
        <f t="shared" si="8"/>
        <v>1.8160872806125907E-2</v>
      </c>
      <c r="M106" s="98">
        <f t="shared" si="8"/>
        <v>2.7105780307650607E-4</v>
      </c>
      <c r="N106" s="99">
        <f t="shared" si="8"/>
        <v>1</v>
      </c>
      <c r="O106" s="94"/>
    </row>
    <row r="108" spans="1:15" s="4" customFormat="1" x14ac:dyDescent="0.3">
      <c r="A108" s="4" t="s">
        <v>103</v>
      </c>
      <c r="B108" s="4" t="str">
        <f>B2</f>
        <v>TMC-14 Number (D2)</v>
      </c>
    </row>
    <row r="109" spans="1:15" s="4" customFormat="1" x14ac:dyDescent="0.3">
      <c r="A109" s="4" t="s">
        <v>102</v>
      </c>
      <c r="B109" s="4" t="str">
        <f>B3</f>
        <v>D2</v>
      </c>
    </row>
    <row r="110" spans="1:15" s="4" customFormat="1" x14ac:dyDescent="0.3">
      <c r="A110" s="4" t="s">
        <v>104</v>
      </c>
      <c r="B110" s="4" t="str">
        <f>B4</f>
        <v>Chomu Pulia</v>
      </c>
      <c r="D110" s="4" t="str">
        <f>D4</f>
        <v>To:</v>
      </c>
    </row>
    <row r="111" spans="1:15" ht="16.2" thickBot="1" x14ac:dyDescent="0.35"/>
    <row r="112" spans="1:15" ht="25.2" customHeight="1" x14ac:dyDescent="0.3">
      <c r="A112" s="252" t="s">
        <v>95</v>
      </c>
      <c r="B112" s="258" t="s">
        <v>280</v>
      </c>
      <c r="C112" s="254" t="s">
        <v>281</v>
      </c>
      <c r="D112" s="250" t="s">
        <v>282</v>
      </c>
      <c r="E112" s="260" t="s">
        <v>283</v>
      </c>
      <c r="F112" s="256" t="s">
        <v>284</v>
      </c>
      <c r="G112" s="250" t="s">
        <v>129</v>
      </c>
      <c r="H112" s="248" t="s">
        <v>150</v>
      </c>
      <c r="I112" s="250" t="s">
        <v>151</v>
      </c>
      <c r="J112" s="250" t="s">
        <v>285</v>
      </c>
      <c r="K112" s="248" t="s">
        <v>286</v>
      </c>
      <c r="L112" s="250" t="s">
        <v>287</v>
      </c>
      <c r="M112" s="250" t="s">
        <v>78</v>
      </c>
      <c r="N112" s="250" t="s">
        <v>131</v>
      </c>
      <c r="O112" s="250" t="s">
        <v>132</v>
      </c>
    </row>
    <row r="113" spans="1:15" ht="43.5" customHeight="1" thickBot="1" x14ac:dyDescent="0.35">
      <c r="A113" s="253"/>
      <c r="B113" s="259"/>
      <c r="C113" s="255"/>
      <c r="D113" s="251"/>
      <c r="E113" s="261"/>
      <c r="F113" s="257"/>
      <c r="G113" s="259"/>
      <c r="H113" s="249"/>
      <c r="I113" s="251"/>
      <c r="J113" s="251"/>
      <c r="K113" s="249"/>
      <c r="L113" s="251"/>
      <c r="M113" s="251"/>
      <c r="N113" s="251"/>
      <c r="O113" s="251"/>
    </row>
    <row r="114" spans="1:15" ht="22.95" customHeight="1" x14ac:dyDescent="0.3">
      <c r="A114" s="52" t="s">
        <v>15</v>
      </c>
      <c r="B114" s="112">
        <f>B8+B9+B10+B11</f>
        <v>409</v>
      </c>
      <c r="C114" s="113">
        <f t="shared" ref="C114:F115" si="9">C8+C9+C10+C11</f>
        <v>205</v>
      </c>
      <c r="D114" s="113">
        <f t="shared" si="9"/>
        <v>23</v>
      </c>
      <c r="E114" s="113">
        <f t="shared" si="9"/>
        <v>51</v>
      </c>
      <c r="F114" s="113">
        <f t="shared" si="9"/>
        <v>9</v>
      </c>
      <c r="G114" s="49">
        <f t="shared" ref="G114:G145" si="10">SUM(B114:F114)</f>
        <v>697</v>
      </c>
      <c r="H114" s="112">
        <f t="shared" ref="H114" si="11">H8+H9+H10+H11</f>
        <v>1</v>
      </c>
      <c r="I114" s="113">
        <f t="shared" ref="I114:L114" si="12">I8+I9+I10+I11</f>
        <v>0</v>
      </c>
      <c r="J114" s="113">
        <f t="shared" si="12"/>
        <v>0</v>
      </c>
      <c r="K114" s="114">
        <f t="shared" si="12"/>
        <v>0</v>
      </c>
      <c r="L114" s="143">
        <f t="shared" si="12"/>
        <v>30</v>
      </c>
      <c r="M114" s="49">
        <f>SUM(H114:K114)</f>
        <v>1</v>
      </c>
      <c r="N114" s="40">
        <f>G114+M114</f>
        <v>698</v>
      </c>
      <c r="O114" s="115">
        <f>B114*1+C114*0.5+D114*1.5+E114*3+F114*4.5+H114*0.5+I114*1.5+J114*3+K114*4+L114*8</f>
        <v>980</v>
      </c>
    </row>
    <row r="115" spans="1:15" ht="22.95" customHeight="1" x14ac:dyDescent="0.3">
      <c r="A115" s="52" t="s">
        <v>16</v>
      </c>
      <c r="B115" s="44">
        <f>B9+B10+B11+B12</f>
        <v>442</v>
      </c>
      <c r="C115" s="39">
        <f t="shared" si="9"/>
        <v>202</v>
      </c>
      <c r="D115" s="39">
        <f t="shared" si="9"/>
        <v>26</v>
      </c>
      <c r="E115" s="39">
        <f t="shared" si="9"/>
        <v>49</v>
      </c>
      <c r="F115" s="39">
        <f t="shared" si="9"/>
        <v>9</v>
      </c>
      <c r="G115" s="50">
        <f t="shared" si="10"/>
        <v>728</v>
      </c>
      <c r="H115" s="44">
        <f t="shared" ref="H115:L115" si="13">H9+H10+H11+H12</f>
        <v>1</v>
      </c>
      <c r="I115" s="39">
        <f t="shared" si="13"/>
        <v>0</v>
      </c>
      <c r="J115" s="39">
        <f t="shared" si="13"/>
        <v>0</v>
      </c>
      <c r="K115" s="45">
        <f t="shared" si="13"/>
        <v>0</v>
      </c>
      <c r="L115" s="144">
        <f t="shared" si="13"/>
        <v>30</v>
      </c>
      <c r="M115" s="50">
        <f t="shared" ref="M115:M178" si="14">SUM(H115:K115)</f>
        <v>1</v>
      </c>
      <c r="N115" s="40">
        <f t="shared" ref="N115:N178" si="15">G115+M115</f>
        <v>729</v>
      </c>
      <c r="O115" s="43">
        <f t="shared" ref="O115:O178" si="16">B115*1+C115*0.5+D115*1.5+E115*3+F115*4.5+H115*0.5+I115*1.5+J115*3+K115*4+L115*8</f>
        <v>1010</v>
      </c>
    </row>
    <row r="116" spans="1:15" ht="22.95" customHeight="1" x14ac:dyDescent="0.3">
      <c r="A116" s="52" t="s">
        <v>17</v>
      </c>
      <c r="B116" s="44">
        <f t="shared" ref="B116:F131" si="17">B10+B11+B12+B13</f>
        <v>471</v>
      </c>
      <c r="C116" s="39">
        <f t="shared" si="17"/>
        <v>233</v>
      </c>
      <c r="D116" s="39">
        <f t="shared" si="17"/>
        <v>26</v>
      </c>
      <c r="E116" s="39">
        <f t="shared" si="17"/>
        <v>45</v>
      </c>
      <c r="F116" s="39">
        <f t="shared" si="17"/>
        <v>8</v>
      </c>
      <c r="G116" s="50">
        <f t="shared" si="10"/>
        <v>783</v>
      </c>
      <c r="H116" s="44">
        <f t="shared" ref="H116:L116" si="18">H10+H11+H12+H13</f>
        <v>0</v>
      </c>
      <c r="I116" s="39">
        <f t="shared" si="18"/>
        <v>0</v>
      </c>
      <c r="J116" s="39">
        <f t="shared" si="18"/>
        <v>0</v>
      </c>
      <c r="K116" s="45">
        <f t="shared" si="18"/>
        <v>0</v>
      </c>
      <c r="L116" s="144">
        <f t="shared" si="18"/>
        <v>33</v>
      </c>
      <c r="M116" s="50">
        <f t="shared" si="14"/>
        <v>0</v>
      </c>
      <c r="N116" s="40">
        <f t="shared" si="15"/>
        <v>783</v>
      </c>
      <c r="O116" s="43">
        <f t="shared" si="16"/>
        <v>1061.5</v>
      </c>
    </row>
    <row r="117" spans="1:15" ht="22.95" customHeight="1" x14ac:dyDescent="0.3">
      <c r="A117" s="52" t="s">
        <v>18</v>
      </c>
      <c r="B117" s="44">
        <f t="shared" si="17"/>
        <v>497</v>
      </c>
      <c r="C117" s="39">
        <f t="shared" si="17"/>
        <v>304</v>
      </c>
      <c r="D117" s="39">
        <f t="shared" si="17"/>
        <v>27</v>
      </c>
      <c r="E117" s="39">
        <f t="shared" si="17"/>
        <v>43</v>
      </c>
      <c r="F117" s="39">
        <f t="shared" si="17"/>
        <v>8</v>
      </c>
      <c r="G117" s="50">
        <f t="shared" si="10"/>
        <v>879</v>
      </c>
      <c r="H117" s="44">
        <f t="shared" ref="H117:L117" si="19">H11+H12+H13+H14</f>
        <v>0</v>
      </c>
      <c r="I117" s="39">
        <f t="shared" si="19"/>
        <v>0</v>
      </c>
      <c r="J117" s="39">
        <f t="shared" si="19"/>
        <v>0</v>
      </c>
      <c r="K117" s="45">
        <f t="shared" si="19"/>
        <v>0</v>
      </c>
      <c r="L117" s="144">
        <f t="shared" si="19"/>
        <v>36</v>
      </c>
      <c r="M117" s="50">
        <f t="shared" si="14"/>
        <v>0</v>
      </c>
      <c r="N117" s="40">
        <f t="shared" si="15"/>
        <v>879</v>
      </c>
      <c r="O117" s="43">
        <f t="shared" si="16"/>
        <v>1142.5</v>
      </c>
    </row>
    <row r="118" spans="1:15" ht="22.95" customHeight="1" x14ac:dyDescent="0.3">
      <c r="A118" s="52" t="s">
        <v>19</v>
      </c>
      <c r="B118" s="44">
        <f t="shared" si="17"/>
        <v>506</v>
      </c>
      <c r="C118" s="39">
        <f t="shared" si="17"/>
        <v>310</v>
      </c>
      <c r="D118" s="39">
        <f t="shared" si="17"/>
        <v>27</v>
      </c>
      <c r="E118" s="39">
        <f t="shared" si="17"/>
        <v>39</v>
      </c>
      <c r="F118" s="39">
        <f t="shared" si="17"/>
        <v>4</v>
      </c>
      <c r="G118" s="50">
        <f t="shared" si="10"/>
        <v>886</v>
      </c>
      <c r="H118" s="44">
        <f t="shared" ref="H118:L118" si="20">H12+H13+H14+H15</f>
        <v>0</v>
      </c>
      <c r="I118" s="39">
        <f t="shared" si="20"/>
        <v>0</v>
      </c>
      <c r="J118" s="39">
        <f t="shared" si="20"/>
        <v>0</v>
      </c>
      <c r="K118" s="45">
        <f t="shared" si="20"/>
        <v>0</v>
      </c>
      <c r="L118" s="144">
        <f t="shared" si="20"/>
        <v>34</v>
      </c>
      <c r="M118" s="50">
        <f t="shared" si="14"/>
        <v>0</v>
      </c>
      <c r="N118" s="40">
        <f t="shared" si="15"/>
        <v>886</v>
      </c>
      <c r="O118" s="43">
        <f t="shared" si="16"/>
        <v>1108.5</v>
      </c>
    </row>
    <row r="119" spans="1:15" ht="22.95" customHeight="1" x14ac:dyDescent="0.3">
      <c r="A119" s="52" t="s">
        <v>20</v>
      </c>
      <c r="B119" s="44">
        <f t="shared" si="17"/>
        <v>558</v>
      </c>
      <c r="C119" s="39">
        <f t="shared" si="17"/>
        <v>351</v>
      </c>
      <c r="D119" s="39">
        <f t="shared" si="17"/>
        <v>27</v>
      </c>
      <c r="E119" s="39">
        <f t="shared" si="17"/>
        <v>41</v>
      </c>
      <c r="F119" s="39">
        <f t="shared" si="17"/>
        <v>2</v>
      </c>
      <c r="G119" s="50">
        <f t="shared" si="10"/>
        <v>979</v>
      </c>
      <c r="H119" s="44">
        <f t="shared" ref="H119:L119" si="21">H13+H14+H15+H16</f>
        <v>1</v>
      </c>
      <c r="I119" s="39">
        <f t="shared" si="21"/>
        <v>0</v>
      </c>
      <c r="J119" s="39">
        <f t="shared" si="21"/>
        <v>0</v>
      </c>
      <c r="K119" s="45">
        <f t="shared" si="21"/>
        <v>0</v>
      </c>
      <c r="L119" s="144">
        <f t="shared" si="21"/>
        <v>39</v>
      </c>
      <c r="M119" s="50">
        <f t="shared" si="14"/>
        <v>1</v>
      </c>
      <c r="N119" s="40">
        <f t="shared" si="15"/>
        <v>980</v>
      </c>
      <c r="O119" s="43">
        <f t="shared" si="16"/>
        <v>1218.5</v>
      </c>
    </row>
    <row r="120" spans="1:15" ht="22.95" customHeight="1" x14ac:dyDescent="0.3">
      <c r="A120" s="52" t="s">
        <v>21</v>
      </c>
      <c r="B120" s="44">
        <f t="shared" si="17"/>
        <v>539</v>
      </c>
      <c r="C120" s="39">
        <f t="shared" si="17"/>
        <v>314</v>
      </c>
      <c r="D120" s="39">
        <f t="shared" si="17"/>
        <v>25</v>
      </c>
      <c r="E120" s="39">
        <f t="shared" si="17"/>
        <v>34</v>
      </c>
      <c r="F120" s="39">
        <f t="shared" si="17"/>
        <v>3</v>
      </c>
      <c r="G120" s="50">
        <f t="shared" si="10"/>
        <v>915</v>
      </c>
      <c r="H120" s="44">
        <f t="shared" ref="H120:L120" si="22">H14+H15+H16+H17</f>
        <v>1</v>
      </c>
      <c r="I120" s="39">
        <f t="shared" si="22"/>
        <v>0</v>
      </c>
      <c r="J120" s="39">
        <f t="shared" si="22"/>
        <v>0</v>
      </c>
      <c r="K120" s="45">
        <f t="shared" si="22"/>
        <v>0</v>
      </c>
      <c r="L120" s="144">
        <f t="shared" si="22"/>
        <v>37</v>
      </c>
      <c r="M120" s="50">
        <f t="shared" si="14"/>
        <v>1</v>
      </c>
      <c r="N120" s="40">
        <f t="shared" si="15"/>
        <v>916</v>
      </c>
      <c r="O120" s="43">
        <f t="shared" si="16"/>
        <v>1145.5</v>
      </c>
    </row>
    <row r="121" spans="1:15" ht="22.95" customHeight="1" x14ac:dyDescent="0.3">
      <c r="A121" s="52" t="s">
        <v>22</v>
      </c>
      <c r="B121" s="44">
        <f t="shared" si="17"/>
        <v>575</v>
      </c>
      <c r="C121" s="39">
        <f t="shared" si="17"/>
        <v>288</v>
      </c>
      <c r="D121" s="39">
        <f t="shared" si="17"/>
        <v>22</v>
      </c>
      <c r="E121" s="39">
        <f t="shared" si="17"/>
        <v>34</v>
      </c>
      <c r="F121" s="39">
        <f t="shared" si="17"/>
        <v>3</v>
      </c>
      <c r="G121" s="50">
        <f t="shared" si="10"/>
        <v>922</v>
      </c>
      <c r="H121" s="44">
        <f t="shared" ref="H121:L121" si="23">H15+H16+H17+H18</f>
        <v>1</v>
      </c>
      <c r="I121" s="39">
        <f t="shared" si="23"/>
        <v>0</v>
      </c>
      <c r="J121" s="39">
        <f t="shared" si="23"/>
        <v>0</v>
      </c>
      <c r="K121" s="45">
        <f t="shared" si="23"/>
        <v>0</v>
      </c>
      <c r="L121" s="144">
        <f t="shared" si="23"/>
        <v>33</v>
      </c>
      <c r="M121" s="50">
        <f t="shared" si="14"/>
        <v>1</v>
      </c>
      <c r="N121" s="40">
        <f t="shared" si="15"/>
        <v>923</v>
      </c>
      <c r="O121" s="43">
        <f t="shared" si="16"/>
        <v>1132</v>
      </c>
    </row>
    <row r="122" spans="1:15" ht="22.95" customHeight="1" x14ac:dyDescent="0.3">
      <c r="A122" s="52" t="s">
        <v>23</v>
      </c>
      <c r="B122" s="44">
        <f t="shared" si="17"/>
        <v>618</v>
      </c>
      <c r="C122" s="39">
        <f t="shared" si="17"/>
        <v>311</v>
      </c>
      <c r="D122" s="39">
        <f t="shared" si="17"/>
        <v>24</v>
      </c>
      <c r="E122" s="39">
        <f t="shared" si="17"/>
        <v>41</v>
      </c>
      <c r="F122" s="39">
        <f t="shared" si="17"/>
        <v>3</v>
      </c>
      <c r="G122" s="50">
        <f t="shared" si="10"/>
        <v>997</v>
      </c>
      <c r="H122" s="44">
        <f t="shared" ref="H122:L122" si="24">H16+H17+H18+H19</f>
        <v>1</v>
      </c>
      <c r="I122" s="39">
        <f t="shared" si="24"/>
        <v>0</v>
      </c>
      <c r="J122" s="39">
        <f t="shared" si="24"/>
        <v>0</v>
      </c>
      <c r="K122" s="45">
        <f t="shared" si="24"/>
        <v>0</v>
      </c>
      <c r="L122" s="144">
        <f t="shared" si="24"/>
        <v>35</v>
      </c>
      <c r="M122" s="50">
        <f t="shared" si="14"/>
        <v>1</v>
      </c>
      <c r="N122" s="40">
        <f t="shared" si="15"/>
        <v>998</v>
      </c>
      <c r="O122" s="43">
        <f t="shared" si="16"/>
        <v>1226.5</v>
      </c>
    </row>
    <row r="123" spans="1:15" ht="22.95" customHeight="1" x14ac:dyDescent="0.3">
      <c r="A123" s="52" t="s">
        <v>24</v>
      </c>
      <c r="B123" s="44">
        <f t="shared" si="17"/>
        <v>607</v>
      </c>
      <c r="C123" s="39">
        <f t="shared" si="17"/>
        <v>277</v>
      </c>
      <c r="D123" s="39">
        <f t="shared" si="17"/>
        <v>22</v>
      </c>
      <c r="E123" s="39">
        <f t="shared" si="17"/>
        <v>50</v>
      </c>
      <c r="F123" s="39">
        <f t="shared" si="17"/>
        <v>5</v>
      </c>
      <c r="G123" s="50">
        <f t="shared" si="10"/>
        <v>961</v>
      </c>
      <c r="H123" s="44">
        <f t="shared" ref="H123:L123" si="25">H17+H18+H19+H20</f>
        <v>0</v>
      </c>
      <c r="I123" s="39">
        <f t="shared" si="25"/>
        <v>0</v>
      </c>
      <c r="J123" s="39">
        <f t="shared" si="25"/>
        <v>0</v>
      </c>
      <c r="K123" s="45">
        <f t="shared" si="25"/>
        <v>0</v>
      </c>
      <c r="L123" s="144">
        <f t="shared" si="25"/>
        <v>30</v>
      </c>
      <c r="M123" s="50">
        <f t="shared" si="14"/>
        <v>0</v>
      </c>
      <c r="N123" s="40">
        <f t="shared" si="15"/>
        <v>961</v>
      </c>
      <c r="O123" s="43">
        <f t="shared" si="16"/>
        <v>1191</v>
      </c>
    </row>
    <row r="124" spans="1:15" ht="22.95" customHeight="1" x14ac:dyDescent="0.3">
      <c r="A124" s="52" t="s">
        <v>25</v>
      </c>
      <c r="B124" s="44">
        <f t="shared" si="17"/>
        <v>644</v>
      </c>
      <c r="C124" s="39">
        <f t="shared" si="17"/>
        <v>269</v>
      </c>
      <c r="D124" s="39">
        <f t="shared" si="17"/>
        <v>26</v>
      </c>
      <c r="E124" s="39">
        <f t="shared" si="17"/>
        <v>62</v>
      </c>
      <c r="F124" s="39">
        <f t="shared" si="17"/>
        <v>5</v>
      </c>
      <c r="G124" s="50">
        <f t="shared" si="10"/>
        <v>1006</v>
      </c>
      <c r="H124" s="44">
        <f t="shared" ref="H124:L124" si="26">H18+H19+H20+H21</f>
        <v>0</v>
      </c>
      <c r="I124" s="39">
        <f t="shared" si="26"/>
        <v>0</v>
      </c>
      <c r="J124" s="39">
        <f t="shared" si="26"/>
        <v>0</v>
      </c>
      <c r="K124" s="45">
        <f t="shared" si="26"/>
        <v>0</v>
      </c>
      <c r="L124" s="144">
        <f t="shared" si="26"/>
        <v>28</v>
      </c>
      <c r="M124" s="50">
        <f t="shared" si="14"/>
        <v>0</v>
      </c>
      <c r="N124" s="40">
        <f t="shared" si="15"/>
        <v>1006</v>
      </c>
      <c r="O124" s="43">
        <f t="shared" si="16"/>
        <v>1250</v>
      </c>
    </row>
    <row r="125" spans="1:15" ht="22.95" customHeight="1" x14ac:dyDescent="0.3">
      <c r="A125" s="52" t="s">
        <v>26</v>
      </c>
      <c r="B125" s="44">
        <f t="shared" si="17"/>
        <v>625</v>
      </c>
      <c r="C125" s="39">
        <f t="shared" si="17"/>
        <v>237</v>
      </c>
      <c r="D125" s="39">
        <f t="shared" si="17"/>
        <v>26</v>
      </c>
      <c r="E125" s="39">
        <f t="shared" si="17"/>
        <v>64</v>
      </c>
      <c r="F125" s="39">
        <f t="shared" si="17"/>
        <v>6</v>
      </c>
      <c r="G125" s="50">
        <f t="shared" si="10"/>
        <v>958</v>
      </c>
      <c r="H125" s="44">
        <f t="shared" ref="H125:L125" si="27">H19+H20+H21+H22</f>
        <v>0</v>
      </c>
      <c r="I125" s="39">
        <f t="shared" si="27"/>
        <v>0</v>
      </c>
      <c r="J125" s="39">
        <f t="shared" si="27"/>
        <v>0</v>
      </c>
      <c r="K125" s="45">
        <f t="shared" si="27"/>
        <v>0</v>
      </c>
      <c r="L125" s="144">
        <f t="shared" si="27"/>
        <v>29</v>
      </c>
      <c r="M125" s="50">
        <f t="shared" si="14"/>
        <v>0</v>
      </c>
      <c r="N125" s="40">
        <f t="shared" si="15"/>
        <v>958</v>
      </c>
      <c r="O125" s="43">
        <f t="shared" si="16"/>
        <v>1233.5</v>
      </c>
    </row>
    <row r="126" spans="1:15" ht="22.95" customHeight="1" x14ac:dyDescent="0.3">
      <c r="A126" s="52" t="s">
        <v>27</v>
      </c>
      <c r="B126" s="44">
        <f t="shared" si="17"/>
        <v>593</v>
      </c>
      <c r="C126" s="39">
        <f t="shared" si="17"/>
        <v>197</v>
      </c>
      <c r="D126" s="39">
        <f t="shared" si="17"/>
        <v>21</v>
      </c>
      <c r="E126" s="39">
        <f t="shared" si="17"/>
        <v>63</v>
      </c>
      <c r="F126" s="39">
        <f t="shared" si="17"/>
        <v>7</v>
      </c>
      <c r="G126" s="50">
        <f t="shared" si="10"/>
        <v>881</v>
      </c>
      <c r="H126" s="44">
        <f t="shared" ref="H126:L126" si="28">H20+H21+H22+H23</f>
        <v>0</v>
      </c>
      <c r="I126" s="39">
        <f t="shared" si="28"/>
        <v>0</v>
      </c>
      <c r="J126" s="39">
        <f t="shared" si="28"/>
        <v>0</v>
      </c>
      <c r="K126" s="45">
        <f t="shared" si="28"/>
        <v>0</v>
      </c>
      <c r="L126" s="144">
        <f t="shared" si="28"/>
        <v>29</v>
      </c>
      <c r="M126" s="50">
        <f t="shared" si="14"/>
        <v>0</v>
      </c>
      <c r="N126" s="40">
        <f t="shared" si="15"/>
        <v>881</v>
      </c>
      <c r="O126" s="43">
        <f t="shared" si="16"/>
        <v>1175.5</v>
      </c>
    </row>
    <row r="127" spans="1:15" ht="22.95" customHeight="1" x14ac:dyDescent="0.3">
      <c r="A127" s="52" t="s">
        <v>28</v>
      </c>
      <c r="B127" s="44">
        <f t="shared" si="17"/>
        <v>555</v>
      </c>
      <c r="C127" s="39">
        <f t="shared" si="17"/>
        <v>180</v>
      </c>
      <c r="D127" s="39">
        <f t="shared" si="17"/>
        <v>20</v>
      </c>
      <c r="E127" s="39">
        <f t="shared" si="17"/>
        <v>54</v>
      </c>
      <c r="F127" s="39">
        <f t="shared" si="17"/>
        <v>12</v>
      </c>
      <c r="G127" s="50">
        <f t="shared" si="10"/>
        <v>821</v>
      </c>
      <c r="H127" s="44">
        <f t="shared" ref="H127:L127" si="29">H21+H22+H23+H24</f>
        <v>0</v>
      </c>
      <c r="I127" s="39">
        <f t="shared" si="29"/>
        <v>0</v>
      </c>
      <c r="J127" s="39">
        <f t="shared" si="29"/>
        <v>0</v>
      </c>
      <c r="K127" s="45">
        <f t="shared" si="29"/>
        <v>0</v>
      </c>
      <c r="L127" s="144">
        <f t="shared" si="29"/>
        <v>21</v>
      </c>
      <c r="M127" s="50">
        <f t="shared" si="14"/>
        <v>0</v>
      </c>
      <c r="N127" s="40">
        <f t="shared" si="15"/>
        <v>821</v>
      </c>
      <c r="O127" s="43">
        <f t="shared" si="16"/>
        <v>1059</v>
      </c>
    </row>
    <row r="128" spans="1:15" ht="22.95" customHeight="1" x14ac:dyDescent="0.3">
      <c r="A128" s="52" t="s">
        <v>29</v>
      </c>
      <c r="B128" s="44">
        <f t="shared" si="17"/>
        <v>511</v>
      </c>
      <c r="C128" s="39">
        <f t="shared" si="17"/>
        <v>158</v>
      </c>
      <c r="D128" s="39">
        <f t="shared" si="17"/>
        <v>16</v>
      </c>
      <c r="E128" s="39">
        <f t="shared" si="17"/>
        <v>46</v>
      </c>
      <c r="F128" s="39">
        <f t="shared" si="17"/>
        <v>12</v>
      </c>
      <c r="G128" s="50">
        <f t="shared" si="10"/>
        <v>743</v>
      </c>
      <c r="H128" s="44">
        <f t="shared" ref="H128:L128" si="30">H22+H23+H24+H25</f>
        <v>0</v>
      </c>
      <c r="I128" s="39">
        <f t="shared" si="30"/>
        <v>0</v>
      </c>
      <c r="J128" s="39">
        <f t="shared" si="30"/>
        <v>0</v>
      </c>
      <c r="K128" s="45">
        <f t="shared" si="30"/>
        <v>0</v>
      </c>
      <c r="L128" s="144">
        <f t="shared" si="30"/>
        <v>15</v>
      </c>
      <c r="M128" s="50">
        <f t="shared" si="14"/>
        <v>0</v>
      </c>
      <c r="N128" s="40">
        <f t="shared" si="15"/>
        <v>743</v>
      </c>
      <c r="O128" s="43">
        <f t="shared" si="16"/>
        <v>926</v>
      </c>
    </row>
    <row r="129" spans="1:15" ht="22.95" customHeight="1" x14ac:dyDescent="0.3">
      <c r="A129" s="52" t="s">
        <v>30</v>
      </c>
      <c r="B129" s="44">
        <f t="shared" si="17"/>
        <v>480</v>
      </c>
      <c r="C129" s="39">
        <f t="shared" si="17"/>
        <v>132</v>
      </c>
      <c r="D129" s="39">
        <f t="shared" si="17"/>
        <v>12</v>
      </c>
      <c r="E129" s="39">
        <f t="shared" si="17"/>
        <v>40</v>
      </c>
      <c r="F129" s="39">
        <f t="shared" si="17"/>
        <v>16</v>
      </c>
      <c r="G129" s="50">
        <f t="shared" si="10"/>
        <v>680</v>
      </c>
      <c r="H129" s="44">
        <f t="shared" ref="H129:L129" si="31">H23+H24+H25+H26</f>
        <v>0</v>
      </c>
      <c r="I129" s="39">
        <f t="shared" si="31"/>
        <v>0</v>
      </c>
      <c r="J129" s="39">
        <f t="shared" si="31"/>
        <v>0</v>
      </c>
      <c r="K129" s="45">
        <f t="shared" si="31"/>
        <v>0</v>
      </c>
      <c r="L129" s="144">
        <f t="shared" si="31"/>
        <v>8</v>
      </c>
      <c r="M129" s="50">
        <f t="shared" si="14"/>
        <v>0</v>
      </c>
      <c r="N129" s="40">
        <f t="shared" si="15"/>
        <v>680</v>
      </c>
      <c r="O129" s="43">
        <f t="shared" si="16"/>
        <v>820</v>
      </c>
    </row>
    <row r="130" spans="1:15" ht="22.95" customHeight="1" x14ac:dyDescent="0.3">
      <c r="A130" s="52" t="s">
        <v>31</v>
      </c>
      <c r="B130" s="44">
        <f t="shared" si="17"/>
        <v>439</v>
      </c>
      <c r="C130" s="39">
        <f t="shared" si="17"/>
        <v>97</v>
      </c>
      <c r="D130" s="39">
        <f t="shared" si="17"/>
        <v>11</v>
      </c>
      <c r="E130" s="39">
        <f t="shared" si="17"/>
        <v>28</v>
      </c>
      <c r="F130" s="39">
        <f t="shared" si="17"/>
        <v>20</v>
      </c>
      <c r="G130" s="50">
        <f t="shared" si="10"/>
        <v>595</v>
      </c>
      <c r="H130" s="44">
        <f t="shared" ref="H130:L130" si="32">H24+H25+H26+H27</f>
        <v>0</v>
      </c>
      <c r="I130" s="39">
        <f t="shared" si="32"/>
        <v>0</v>
      </c>
      <c r="J130" s="39">
        <f t="shared" si="32"/>
        <v>0</v>
      </c>
      <c r="K130" s="45">
        <f t="shared" si="32"/>
        <v>0</v>
      </c>
      <c r="L130" s="144">
        <f t="shared" si="32"/>
        <v>0</v>
      </c>
      <c r="M130" s="50">
        <f t="shared" si="14"/>
        <v>0</v>
      </c>
      <c r="N130" s="40">
        <f t="shared" si="15"/>
        <v>595</v>
      </c>
      <c r="O130" s="43">
        <f t="shared" si="16"/>
        <v>678</v>
      </c>
    </row>
    <row r="131" spans="1:15" ht="22.95" customHeight="1" x14ac:dyDescent="0.3">
      <c r="A131" s="52" t="s">
        <v>32</v>
      </c>
      <c r="B131" s="44">
        <f t="shared" si="17"/>
        <v>354</v>
      </c>
      <c r="C131" s="39">
        <f t="shared" si="17"/>
        <v>72</v>
      </c>
      <c r="D131" s="39">
        <f t="shared" si="17"/>
        <v>13</v>
      </c>
      <c r="E131" s="39">
        <f t="shared" si="17"/>
        <v>27</v>
      </c>
      <c r="F131" s="39">
        <f t="shared" si="17"/>
        <v>18</v>
      </c>
      <c r="G131" s="50">
        <f t="shared" si="10"/>
        <v>484</v>
      </c>
      <c r="H131" s="44">
        <f t="shared" ref="H131:L131" si="33">H25+H26+H27+H28</f>
        <v>0</v>
      </c>
      <c r="I131" s="39">
        <f t="shared" si="33"/>
        <v>0</v>
      </c>
      <c r="J131" s="39">
        <f t="shared" si="33"/>
        <v>0</v>
      </c>
      <c r="K131" s="45">
        <f t="shared" si="33"/>
        <v>0</v>
      </c>
      <c r="L131" s="144">
        <f t="shared" si="33"/>
        <v>0</v>
      </c>
      <c r="M131" s="50">
        <f t="shared" si="14"/>
        <v>0</v>
      </c>
      <c r="N131" s="40">
        <f t="shared" si="15"/>
        <v>484</v>
      </c>
      <c r="O131" s="43">
        <f t="shared" si="16"/>
        <v>571.5</v>
      </c>
    </row>
    <row r="132" spans="1:15" ht="22.95" customHeight="1" x14ac:dyDescent="0.3">
      <c r="A132" s="52" t="s">
        <v>33</v>
      </c>
      <c r="B132" s="44">
        <f t="shared" ref="B132:F147" si="34">B26+B27+B28+B29</f>
        <v>314</v>
      </c>
      <c r="C132" s="39">
        <f t="shared" si="34"/>
        <v>65</v>
      </c>
      <c r="D132" s="39">
        <f t="shared" si="34"/>
        <v>13</v>
      </c>
      <c r="E132" s="39">
        <f t="shared" si="34"/>
        <v>21</v>
      </c>
      <c r="F132" s="39">
        <f t="shared" si="34"/>
        <v>21</v>
      </c>
      <c r="G132" s="50">
        <f t="shared" si="10"/>
        <v>434</v>
      </c>
      <c r="H132" s="44">
        <f t="shared" ref="H132:L132" si="35">H26+H27+H28+H29</f>
        <v>0</v>
      </c>
      <c r="I132" s="39">
        <f t="shared" si="35"/>
        <v>0</v>
      </c>
      <c r="J132" s="39">
        <f t="shared" si="35"/>
        <v>0</v>
      </c>
      <c r="K132" s="45">
        <f t="shared" si="35"/>
        <v>0</v>
      </c>
      <c r="L132" s="144">
        <f t="shared" si="35"/>
        <v>0</v>
      </c>
      <c r="M132" s="50">
        <f t="shared" si="14"/>
        <v>0</v>
      </c>
      <c r="N132" s="40">
        <f t="shared" si="15"/>
        <v>434</v>
      </c>
      <c r="O132" s="43">
        <f t="shared" si="16"/>
        <v>523.5</v>
      </c>
    </row>
    <row r="133" spans="1:15" ht="22.95" customHeight="1" x14ac:dyDescent="0.3">
      <c r="A133" s="52" t="s">
        <v>34</v>
      </c>
      <c r="B133" s="44">
        <f t="shared" si="34"/>
        <v>304</v>
      </c>
      <c r="C133" s="39">
        <f t="shared" si="34"/>
        <v>69</v>
      </c>
      <c r="D133" s="39">
        <f t="shared" si="34"/>
        <v>20</v>
      </c>
      <c r="E133" s="39">
        <f t="shared" si="34"/>
        <v>15</v>
      </c>
      <c r="F133" s="39">
        <f t="shared" si="34"/>
        <v>18</v>
      </c>
      <c r="G133" s="50">
        <f t="shared" si="10"/>
        <v>426</v>
      </c>
      <c r="H133" s="44">
        <f t="shared" ref="H133:L133" si="36">H27+H28+H29+H30</f>
        <v>0</v>
      </c>
      <c r="I133" s="39">
        <f t="shared" si="36"/>
        <v>0</v>
      </c>
      <c r="J133" s="39">
        <f t="shared" si="36"/>
        <v>0</v>
      </c>
      <c r="K133" s="45">
        <f t="shared" si="36"/>
        <v>0</v>
      </c>
      <c r="L133" s="144">
        <f t="shared" si="36"/>
        <v>0</v>
      </c>
      <c r="M133" s="50">
        <f t="shared" si="14"/>
        <v>0</v>
      </c>
      <c r="N133" s="40">
        <f t="shared" si="15"/>
        <v>426</v>
      </c>
      <c r="O133" s="43">
        <f t="shared" si="16"/>
        <v>494.5</v>
      </c>
    </row>
    <row r="134" spans="1:15" ht="22.95" customHeight="1" x14ac:dyDescent="0.3">
      <c r="A134" s="52" t="s">
        <v>35</v>
      </c>
      <c r="B134" s="44">
        <f t="shared" si="34"/>
        <v>274</v>
      </c>
      <c r="C134" s="39">
        <f t="shared" si="34"/>
        <v>94</v>
      </c>
      <c r="D134" s="39">
        <f t="shared" si="34"/>
        <v>27</v>
      </c>
      <c r="E134" s="39">
        <f t="shared" si="34"/>
        <v>13</v>
      </c>
      <c r="F134" s="39">
        <f t="shared" si="34"/>
        <v>18</v>
      </c>
      <c r="G134" s="50">
        <f t="shared" si="10"/>
        <v>426</v>
      </c>
      <c r="H134" s="44">
        <f t="shared" ref="H134:L134" si="37">H28+H29+H30+H31</f>
        <v>0</v>
      </c>
      <c r="I134" s="39">
        <f t="shared" si="37"/>
        <v>0</v>
      </c>
      <c r="J134" s="39">
        <f t="shared" si="37"/>
        <v>0</v>
      </c>
      <c r="K134" s="45">
        <f t="shared" si="37"/>
        <v>0</v>
      </c>
      <c r="L134" s="144">
        <f t="shared" si="37"/>
        <v>0</v>
      </c>
      <c r="M134" s="50">
        <f t="shared" si="14"/>
        <v>0</v>
      </c>
      <c r="N134" s="40">
        <f t="shared" si="15"/>
        <v>426</v>
      </c>
      <c r="O134" s="43">
        <f t="shared" si="16"/>
        <v>481.5</v>
      </c>
    </row>
    <row r="135" spans="1:15" ht="22.95" customHeight="1" x14ac:dyDescent="0.3">
      <c r="A135" s="52" t="s">
        <v>36</v>
      </c>
      <c r="B135" s="44">
        <f t="shared" si="34"/>
        <v>273</v>
      </c>
      <c r="C135" s="39">
        <f t="shared" si="34"/>
        <v>108</v>
      </c>
      <c r="D135" s="39">
        <f t="shared" si="34"/>
        <v>23</v>
      </c>
      <c r="E135" s="39">
        <f t="shared" si="34"/>
        <v>6</v>
      </c>
      <c r="F135" s="39">
        <f t="shared" si="34"/>
        <v>17</v>
      </c>
      <c r="G135" s="50">
        <f t="shared" si="10"/>
        <v>427</v>
      </c>
      <c r="H135" s="44">
        <f t="shared" ref="H135:L135" si="38">H29+H30+H31+H32</f>
        <v>0</v>
      </c>
      <c r="I135" s="39">
        <f t="shared" si="38"/>
        <v>0</v>
      </c>
      <c r="J135" s="39">
        <f t="shared" si="38"/>
        <v>0</v>
      </c>
      <c r="K135" s="45">
        <f t="shared" si="38"/>
        <v>0</v>
      </c>
      <c r="L135" s="144">
        <f t="shared" si="38"/>
        <v>0</v>
      </c>
      <c r="M135" s="50">
        <f t="shared" si="14"/>
        <v>0</v>
      </c>
      <c r="N135" s="40">
        <f t="shared" si="15"/>
        <v>427</v>
      </c>
      <c r="O135" s="43">
        <f t="shared" si="16"/>
        <v>456</v>
      </c>
    </row>
    <row r="136" spans="1:15" ht="22.95" customHeight="1" x14ac:dyDescent="0.3">
      <c r="A136" s="52" t="s">
        <v>37</v>
      </c>
      <c r="B136" s="44">
        <f t="shared" si="34"/>
        <v>240</v>
      </c>
      <c r="C136" s="39">
        <f t="shared" si="34"/>
        <v>122</v>
      </c>
      <c r="D136" s="39">
        <f t="shared" si="34"/>
        <v>22</v>
      </c>
      <c r="E136" s="39">
        <f t="shared" si="34"/>
        <v>12</v>
      </c>
      <c r="F136" s="39">
        <f t="shared" si="34"/>
        <v>16</v>
      </c>
      <c r="G136" s="50">
        <f t="shared" si="10"/>
        <v>412</v>
      </c>
      <c r="H136" s="44">
        <f t="shared" ref="H136:L136" si="39">H30+H31+H32+H33</f>
        <v>0</v>
      </c>
      <c r="I136" s="39">
        <f t="shared" si="39"/>
        <v>0</v>
      </c>
      <c r="J136" s="39">
        <f t="shared" si="39"/>
        <v>0</v>
      </c>
      <c r="K136" s="45">
        <f t="shared" si="39"/>
        <v>0</v>
      </c>
      <c r="L136" s="144">
        <f t="shared" si="39"/>
        <v>0</v>
      </c>
      <c r="M136" s="50">
        <f t="shared" si="14"/>
        <v>0</v>
      </c>
      <c r="N136" s="40">
        <f t="shared" si="15"/>
        <v>412</v>
      </c>
      <c r="O136" s="43">
        <f t="shared" si="16"/>
        <v>442</v>
      </c>
    </row>
    <row r="137" spans="1:15" ht="22.95" customHeight="1" x14ac:dyDescent="0.3">
      <c r="A137" s="52" t="s">
        <v>38</v>
      </c>
      <c r="B137" s="44">
        <f t="shared" si="34"/>
        <v>190</v>
      </c>
      <c r="C137" s="39">
        <f t="shared" si="34"/>
        <v>112</v>
      </c>
      <c r="D137" s="39">
        <f t="shared" si="34"/>
        <v>14</v>
      </c>
      <c r="E137" s="39">
        <f t="shared" si="34"/>
        <v>16</v>
      </c>
      <c r="F137" s="39">
        <f t="shared" si="34"/>
        <v>16</v>
      </c>
      <c r="G137" s="50">
        <f t="shared" si="10"/>
        <v>348</v>
      </c>
      <c r="H137" s="44">
        <f t="shared" ref="H137:L137" si="40">H31+H32+H33+H34</f>
        <v>0</v>
      </c>
      <c r="I137" s="39">
        <f t="shared" si="40"/>
        <v>0</v>
      </c>
      <c r="J137" s="39">
        <f t="shared" si="40"/>
        <v>0</v>
      </c>
      <c r="K137" s="45">
        <f t="shared" si="40"/>
        <v>0</v>
      </c>
      <c r="L137" s="144">
        <f t="shared" si="40"/>
        <v>0</v>
      </c>
      <c r="M137" s="50">
        <f t="shared" si="14"/>
        <v>0</v>
      </c>
      <c r="N137" s="40">
        <f t="shared" si="15"/>
        <v>348</v>
      </c>
      <c r="O137" s="43">
        <f t="shared" si="16"/>
        <v>387</v>
      </c>
    </row>
    <row r="138" spans="1:15" ht="22.95" customHeight="1" x14ac:dyDescent="0.3">
      <c r="A138" s="52" t="s">
        <v>39</v>
      </c>
      <c r="B138" s="44">
        <f t="shared" si="34"/>
        <v>190</v>
      </c>
      <c r="C138" s="39">
        <f t="shared" si="34"/>
        <v>100</v>
      </c>
      <c r="D138" s="39">
        <f t="shared" si="34"/>
        <v>7</v>
      </c>
      <c r="E138" s="39">
        <f t="shared" si="34"/>
        <v>22</v>
      </c>
      <c r="F138" s="39">
        <f t="shared" si="34"/>
        <v>15</v>
      </c>
      <c r="G138" s="50">
        <f t="shared" si="10"/>
        <v>334</v>
      </c>
      <c r="H138" s="44">
        <f t="shared" ref="H138:L138" si="41">H32+H33+H34+H35</f>
        <v>0</v>
      </c>
      <c r="I138" s="39">
        <f t="shared" si="41"/>
        <v>0</v>
      </c>
      <c r="J138" s="39">
        <f t="shared" si="41"/>
        <v>0</v>
      </c>
      <c r="K138" s="45">
        <f t="shared" si="41"/>
        <v>0</v>
      </c>
      <c r="L138" s="144">
        <f t="shared" si="41"/>
        <v>1</v>
      </c>
      <c r="M138" s="50">
        <f t="shared" si="14"/>
        <v>0</v>
      </c>
      <c r="N138" s="40">
        <f t="shared" si="15"/>
        <v>334</v>
      </c>
      <c r="O138" s="43">
        <f t="shared" si="16"/>
        <v>392</v>
      </c>
    </row>
    <row r="139" spans="1:15" ht="22.95" customHeight="1" x14ac:dyDescent="0.3">
      <c r="A139" s="52" t="s">
        <v>40</v>
      </c>
      <c r="B139" s="44">
        <f t="shared" si="34"/>
        <v>230</v>
      </c>
      <c r="C139" s="39">
        <f t="shared" si="34"/>
        <v>100</v>
      </c>
      <c r="D139" s="39">
        <f t="shared" si="34"/>
        <v>8</v>
      </c>
      <c r="E139" s="39">
        <f t="shared" si="34"/>
        <v>26</v>
      </c>
      <c r="F139" s="39">
        <f t="shared" si="34"/>
        <v>16</v>
      </c>
      <c r="G139" s="50">
        <f t="shared" si="10"/>
        <v>380</v>
      </c>
      <c r="H139" s="44">
        <f t="shared" ref="H139:L139" si="42">H33+H34+H35+H36</f>
        <v>0</v>
      </c>
      <c r="I139" s="39">
        <f t="shared" si="42"/>
        <v>0</v>
      </c>
      <c r="J139" s="39">
        <f t="shared" si="42"/>
        <v>0</v>
      </c>
      <c r="K139" s="45">
        <f t="shared" si="42"/>
        <v>0</v>
      </c>
      <c r="L139" s="144">
        <f t="shared" si="42"/>
        <v>1</v>
      </c>
      <c r="M139" s="50">
        <f t="shared" si="14"/>
        <v>0</v>
      </c>
      <c r="N139" s="40">
        <f t="shared" si="15"/>
        <v>380</v>
      </c>
      <c r="O139" s="43">
        <f t="shared" si="16"/>
        <v>450</v>
      </c>
    </row>
    <row r="140" spans="1:15" ht="22.95" customHeight="1" x14ac:dyDescent="0.3">
      <c r="A140" s="52" t="s">
        <v>41</v>
      </c>
      <c r="B140" s="44">
        <f t="shared" si="34"/>
        <v>281</v>
      </c>
      <c r="C140" s="39">
        <f t="shared" si="34"/>
        <v>99</v>
      </c>
      <c r="D140" s="39">
        <f t="shared" si="34"/>
        <v>6</v>
      </c>
      <c r="E140" s="39">
        <f t="shared" si="34"/>
        <v>22</v>
      </c>
      <c r="F140" s="39">
        <f t="shared" si="34"/>
        <v>15</v>
      </c>
      <c r="G140" s="50">
        <f t="shared" si="10"/>
        <v>423</v>
      </c>
      <c r="H140" s="44">
        <f t="shared" ref="H140:L140" si="43">H34+H35+H36+H37</f>
        <v>0</v>
      </c>
      <c r="I140" s="39">
        <f t="shared" si="43"/>
        <v>0</v>
      </c>
      <c r="J140" s="39">
        <f t="shared" si="43"/>
        <v>0</v>
      </c>
      <c r="K140" s="45">
        <f t="shared" si="43"/>
        <v>0</v>
      </c>
      <c r="L140" s="144">
        <f t="shared" si="43"/>
        <v>1</v>
      </c>
      <c r="M140" s="50">
        <f t="shared" si="14"/>
        <v>0</v>
      </c>
      <c r="N140" s="40">
        <f t="shared" si="15"/>
        <v>423</v>
      </c>
      <c r="O140" s="43">
        <f t="shared" si="16"/>
        <v>481</v>
      </c>
    </row>
    <row r="141" spans="1:15" ht="22.95" customHeight="1" x14ac:dyDescent="0.3">
      <c r="A141" s="52" t="s">
        <v>42</v>
      </c>
      <c r="B141" s="44">
        <f t="shared" si="34"/>
        <v>354</v>
      </c>
      <c r="C141" s="39">
        <f t="shared" si="34"/>
        <v>125</v>
      </c>
      <c r="D141" s="39">
        <f t="shared" si="34"/>
        <v>9</v>
      </c>
      <c r="E141" s="39">
        <f t="shared" si="34"/>
        <v>23</v>
      </c>
      <c r="F141" s="39">
        <f t="shared" si="34"/>
        <v>18</v>
      </c>
      <c r="G141" s="50">
        <f t="shared" si="10"/>
        <v>529</v>
      </c>
      <c r="H141" s="44">
        <f t="shared" ref="H141:L141" si="44">H35+H36+H37+H38</f>
        <v>0</v>
      </c>
      <c r="I141" s="39">
        <f t="shared" si="44"/>
        <v>0</v>
      </c>
      <c r="J141" s="39">
        <f t="shared" si="44"/>
        <v>0</v>
      </c>
      <c r="K141" s="45">
        <f t="shared" si="44"/>
        <v>0</v>
      </c>
      <c r="L141" s="144">
        <f t="shared" si="44"/>
        <v>1</v>
      </c>
      <c r="M141" s="50">
        <f t="shared" si="14"/>
        <v>0</v>
      </c>
      <c r="N141" s="40">
        <f t="shared" si="15"/>
        <v>529</v>
      </c>
      <c r="O141" s="43">
        <f t="shared" si="16"/>
        <v>588</v>
      </c>
    </row>
    <row r="142" spans="1:15" ht="22.95" customHeight="1" x14ac:dyDescent="0.3">
      <c r="A142" s="52" t="s">
        <v>43</v>
      </c>
      <c r="B142" s="44">
        <f t="shared" si="34"/>
        <v>420</v>
      </c>
      <c r="C142" s="39">
        <f t="shared" si="34"/>
        <v>154</v>
      </c>
      <c r="D142" s="39">
        <f t="shared" si="34"/>
        <v>10</v>
      </c>
      <c r="E142" s="39">
        <f t="shared" si="34"/>
        <v>26</v>
      </c>
      <c r="F142" s="39">
        <f t="shared" si="34"/>
        <v>15</v>
      </c>
      <c r="G142" s="50">
        <f t="shared" si="10"/>
        <v>625</v>
      </c>
      <c r="H142" s="44">
        <f t="shared" ref="H142:L142" si="45">H36+H37+H38+H39</f>
        <v>0</v>
      </c>
      <c r="I142" s="39">
        <f t="shared" si="45"/>
        <v>0</v>
      </c>
      <c r="J142" s="39">
        <f t="shared" si="45"/>
        <v>0</v>
      </c>
      <c r="K142" s="45">
        <f t="shared" si="45"/>
        <v>0</v>
      </c>
      <c r="L142" s="144">
        <f t="shared" si="45"/>
        <v>0</v>
      </c>
      <c r="M142" s="50">
        <f t="shared" si="14"/>
        <v>0</v>
      </c>
      <c r="N142" s="40">
        <f t="shared" si="15"/>
        <v>625</v>
      </c>
      <c r="O142" s="43">
        <f t="shared" si="16"/>
        <v>657.5</v>
      </c>
    </row>
    <row r="143" spans="1:15" ht="22.95" customHeight="1" x14ac:dyDescent="0.3">
      <c r="A143" s="52" t="s">
        <v>44</v>
      </c>
      <c r="B143" s="44">
        <f t="shared" si="34"/>
        <v>507</v>
      </c>
      <c r="C143" s="39">
        <f t="shared" si="34"/>
        <v>205</v>
      </c>
      <c r="D143" s="39">
        <f t="shared" si="34"/>
        <v>13</v>
      </c>
      <c r="E143" s="39">
        <f t="shared" si="34"/>
        <v>35</v>
      </c>
      <c r="F143" s="39">
        <f t="shared" si="34"/>
        <v>10</v>
      </c>
      <c r="G143" s="50">
        <f t="shared" si="10"/>
        <v>770</v>
      </c>
      <c r="H143" s="44">
        <f t="shared" ref="H143:L143" si="46">H37+H38+H39+H40</f>
        <v>0</v>
      </c>
      <c r="I143" s="39">
        <f t="shared" si="46"/>
        <v>0</v>
      </c>
      <c r="J143" s="39">
        <f t="shared" si="46"/>
        <v>0</v>
      </c>
      <c r="K143" s="45">
        <f t="shared" si="46"/>
        <v>0</v>
      </c>
      <c r="L143" s="144">
        <f t="shared" si="46"/>
        <v>3</v>
      </c>
      <c r="M143" s="50">
        <f t="shared" si="14"/>
        <v>0</v>
      </c>
      <c r="N143" s="40">
        <f t="shared" si="15"/>
        <v>770</v>
      </c>
      <c r="O143" s="43">
        <f t="shared" si="16"/>
        <v>803</v>
      </c>
    </row>
    <row r="144" spans="1:15" ht="22.95" customHeight="1" x14ac:dyDescent="0.3">
      <c r="A144" s="52" t="s">
        <v>45</v>
      </c>
      <c r="B144" s="44">
        <f t="shared" si="34"/>
        <v>541</v>
      </c>
      <c r="C144" s="39">
        <f t="shared" si="34"/>
        <v>248</v>
      </c>
      <c r="D144" s="39">
        <f t="shared" si="34"/>
        <v>18</v>
      </c>
      <c r="E144" s="39">
        <f t="shared" si="34"/>
        <v>44</v>
      </c>
      <c r="F144" s="39">
        <f t="shared" si="34"/>
        <v>10</v>
      </c>
      <c r="G144" s="50">
        <f t="shared" si="10"/>
        <v>861</v>
      </c>
      <c r="H144" s="44">
        <f t="shared" ref="H144:L144" si="47">H38+H39+H40+H41</f>
        <v>0</v>
      </c>
      <c r="I144" s="39">
        <f t="shared" si="47"/>
        <v>0</v>
      </c>
      <c r="J144" s="39">
        <f t="shared" si="47"/>
        <v>0</v>
      </c>
      <c r="K144" s="45">
        <f t="shared" si="47"/>
        <v>0</v>
      </c>
      <c r="L144" s="144">
        <f t="shared" si="47"/>
        <v>9</v>
      </c>
      <c r="M144" s="50">
        <f t="shared" si="14"/>
        <v>0</v>
      </c>
      <c r="N144" s="40">
        <f t="shared" si="15"/>
        <v>861</v>
      </c>
      <c r="O144" s="43">
        <f t="shared" si="16"/>
        <v>941</v>
      </c>
    </row>
    <row r="145" spans="1:15" ht="22.95" customHeight="1" x14ac:dyDescent="0.3">
      <c r="A145" s="52" t="s">
        <v>46</v>
      </c>
      <c r="B145" s="44">
        <f t="shared" si="34"/>
        <v>587</v>
      </c>
      <c r="C145" s="39">
        <f t="shared" si="34"/>
        <v>293</v>
      </c>
      <c r="D145" s="39">
        <f t="shared" si="34"/>
        <v>19</v>
      </c>
      <c r="E145" s="39">
        <f t="shared" si="34"/>
        <v>51</v>
      </c>
      <c r="F145" s="39">
        <f t="shared" si="34"/>
        <v>7</v>
      </c>
      <c r="G145" s="50">
        <f t="shared" si="10"/>
        <v>957</v>
      </c>
      <c r="H145" s="44">
        <f t="shared" ref="H145:L145" si="48">H39+H40+H41+H42</f>
        <v>0</v>
      </c>
      <c r="I145" s="39">
        <f t="shared" si="48"/>
        <v>0</v>
      </c>
      <c r="J145" s="39">
        <f t="shared" si="48"/>
        <v>0</v>
      </c>
      <c r="K145" s="45">
        <f t="shared" si="48"/>
        <v>0</v>
      </c>
      <c r="L145" s="144">
        <f t="shared" si="48"/>
        <v>10</v>
      </c>
      <c r="M145" s="50">
        <f t="shared" si="14"/>
        <v>0</v>
      </c>
      <c r="N145" s="40">
        <f t="shared" si="15"/>
        <v>957</v>
      </c>
      <c r="O145" s="43">
        <f t="shared" si="16"/>
        <v>1026.5</v>
      </c>
    </row>
    <row r="146" spans="1:15" ht="22.95" customHeight="1" x14ac:dyDescent="0.3">
      <c r="A146" s="52" t="s">
        <v>47</v>
      </c>
      <c r="B146" s="44">
        <f t="shared" si="34"/>
        <v>630</v>
      </c>
      <c r="C146" s="39">
        <f t="shared" si="34"/>
        <v>351</v>
      </c>
      <c r="D146" s="39">
        <f t="shared" si="34"/>
        <v>22</v>
      </c>
      <c r="E146" s="39">
        <f t="shared" si="34"/>
        <v>55</v>
      </c>
      <c r="F146" s="39">
        <f t="shared" si="34"/>
        <v>9</v>
      </c>
      <c r="G146" s="50">
        <f t="shared" ref="G146:G177" si="49">SUM(B146:F146)</f>
        <v>1067</v>
      </c>
      <c r="H146" s="44">
        <f t="shared" ref="H146:L146" si="50">H40+H41+H42+H43</f>
        <v>0</v>
      </c>
      <c r="I146" s="39">
        <f t="shared" si="50"/>
        <v>0</v>
      </c>
      <c r="J146" s="39">
        <f t="shared" si="50"/>
        <v>0</v>
      </c>
      <c r="K146" s="45">
        <f t="shared" si="50"/>
        <v>0</v>
      </c>
      <c r="L146" s="144">
        <f t="shared" si="50"/>
        <v>19</v>
      </c>
      <c r="M146" s="50">
        <f t="shared" si="14"/>
        <v>0</v>
      </c>
      <c r="N146" s="40">
        <f t="shared" si="15"/>
        <v>1067</v>
      </c>
      <c r="O146" s="43">
        <f t="shared" si="16"/>
        <v>1196</v>
      </c>
    </row>
    <row r="147" spans="1:15" ht="22.95" customHeight="1" x14ac:dyDescent="0.3">
      <c r="A147" s="52" t="s">
        <v>48</v>
      </c>
      <c r="B147" s="44">
        <f t="shared" si="34"/>
        <v>646</v>
      </c>
      <c r="C147" s="39">
        <f t="shared" si="34"/>
        <v>401</v>
      </c>
      <c r="D147" s="39">
        <f t="shared" si="34"/>
        <v>23</v>
      </c>
      <c r="E147" s="39">
        <f t="shared" si="34"/>
        <v>53</v>
      </c>
      <c r="F147" s="39">
        <f t="shared" si="34"/>
        <v>12</v>
      </c>
      <c r="G147" s="50">
        <f t="shared" si="49"/>
        <v>1135</v>
      </c>
      <c r="H147" s="44">
        <f t="shared" ref="H147:L147" si="51">H41+H42+H43+H44</f>
        <v>0</v>
      </c>
      <c r="I147" s="39">
        <f t="shared" si="51"/>
        <v>0</v>
      </c>
      <c r="J147" s="39">
        <f t="shared" si="51"/>
        <v>0</v>
      </c>
      <c r="K147" s="45">
        <f t="shared" si="51"/>
        <v>0</v>
      </c>
      <c r="L147" s="144">
        <f t="shared" si="51"/>
        <v>25</v>
      </c>
      <c r="M147" s="50">
        <f t="shared" si="14"/>
        <v>0</v>
      </c>
      <c r="N147" s="40">
        <f t="shared" si="15"/>
        <v>1135</v>
      </c>
      <c r="O147" s="43">
        <f t="shared" si="16"/>
        <v>1294</v>
      </c>
    </row>
    <row r="148" spans="1:15" ht="22.95" customHeight="1" x14ac:dyDescent="0.3">
      <c r="A148" s="52" t="s">
        <v>49</v>
      </c>
      <c r="B148" s="44">
        <f t="shared" ref="B148:F163" si="52">B42+B43+B44+B45</f>
        <v>739</v>
      </c>
      <c r="C148" s="39">
        <f t="shared" si="52"/>
        <v>428</v>
      </c>
      <c r="D148" s="39">
        <f t="shared" si="52"/>
        <v>25</v>
      </c>
      <c r="E148" s="39">
        <f t="shared" si="52"/>
        <v>53</v>
      </c>
      <c r="F148" s="39">
        <f t="shared" si="52"/>
        <v>12</v>
      </c>
      <c r="G148" s="50">
        <f t="shared" si="49"/>
        <v>1257</v>
      </c>
      <c r="H148" s="44">
        <f t="shared" ref="H148:L148" si="53">H42+H43+H44+H45</f>
        <v>0</v>
      </c>
      <c r="I148" s="39">
        <f t="shared" si="53"/>
        <v>0</v>
      </c>
      <c r="J148" s="39">
        <f t="shared" si="53"/>
        <v>0</v>
      </c>
      <c r="K148" s="45">
        <f t="shared" si="53"/>
        <v>0</v>
      </c>
      <c r="L148" s="144">
        <f t="shared" si="53"/>
        <v>20</v>
      </c>
      <c r="M148" s="50">
        <f t="shared" si="14"/>
        <v>0</v>
      </c>
      <c r="N148" s="40">
        <f t="shared" si="15"/>
        <v>1257</v>
      </c>
      <c r="O148" s="43">
        <f t="shared" si="16"/>
        <v>1363.5</v>
      </c>
    </row>
    <row r="149" spans="1:15" ht="22.95" customHeight="1" x14ac:dyDescent="0.3">
      <c r="A149" s="52" t="s">
        <v>50</v>
      </c>
      <c r="B149" s="44">
        <f t="shared" si="52"/>
        <v>697</v>
      </c>
      <c r="C149" s="39">
        <f t="shared" si="52"/>
        <v>526</v>
      </c>
      <c r="D149" s="39">
        <f t="shared" si="52"/>
        <v>27</v>
      </c>
      <c r="E149" s="39">
        <f t="shared" si="52"/>
        <v>51</v>
      </c>
      <c r="F149" s="39">
        <f t="shared" si="52"/>
        <v>9</v>
      </c>
      <c r="G149" s="50">
        <f t="shared" si="49"/>
        <v>1310</v>
      </c>
      <c r="H149" s="44">
        <f t="shared" ref="H149:L149" si="54">H43+H44+H45+H46</f>
        <v>0</v>
      </c>
      <c r="I149" s="39">
        <f t="shared" si="54"/>
        <v>0</v>
      </c>
      <c r="J149" s="39">
        <f t="shared" si="54"/>
        <v>0</v>
      </c>
      <c r="K149" s="45">
        <f t="shared" si="54"/>
        <v>0</v>
      </c>
      <c r="L149" s="144">
        <f t="shared" si="54"/>
        <v>28</v>
      </c>
      <c r="M149" s="50">
        <f t="shared" si="14"/>
        <v>0</v>
      </c>
      <c r="N149" s="40">
        <f t="shared" si="15"/>
        <v>1310</v>
      </c>
      <c r="O149" s="43">
        <f t="shared" si="16"/>
        <v>1418</v>
      </c>
    </row>
    <row r="150" spans="1:15" ht="22.95" customHeight="1" x14ac:dyDescent="0.3">
      <c r="A150" s="52" t="s">
        <v>51</v>
      </c>
      <c r="B150" s="44">
        <f t="shared" si="52"/>
        <v>691</v>
      </c>
      <c r="C150" s="39">
        <f t="shared" si="52"/>
        <v>538</v>
      </c>
      <c r="D150" s="39">
        <f t="shared" si="52"/>
        <v>25</v>
      </c>
      <c r="E150" s="39">
        <f t="shared" si="52"/>
        <v>46</v>
      </c>
      <c r="F150" s="39">
        <f t="shared" si="52"/>
        <v>8</v>
      </c>
      <c r="G150" s="50">
        <f t="shared" si="49"/>
        <v>1308</v>
      </c>
      <c r="H150" s="44">
        <f t="shared" ref="H150:L150" si="55">H44+H45+H46+H47</f>
        <v>0</v>
      </c>
      <c r="I150" s="39">
        <f t="shared" si="55"/>
        <v>0</v>
      </c>
      <c r="J150" s="39">
        <f t="shared" si="55"/>
        <v>0</v>
      </c>
      <c r="K150" s="45">
        <f t="shared" si="55"/>
        <v>0</v>
      </c>
      <c r="L150" s="144">
        <f t="shared" si="55"/>
        <v>27</v>
      </c>
      <c r="M150" s="50">
        <f t="shared" si="14"/>
        <v>0</v>
      </c>
      <c r="N150" s="40">
        <f t="shared" si="15"/>
        <v>1308</v>
      </c>
      <c r="O150" s="43">
        <f t="shared" si="16"/>
        <v>1387.5</v>
      </c>
    </row>
    <row r="151" spans="1:15" ht="22.95" customHeight="1" x14ac:dyDescent="0.3">
      <c r="A151" s="52" t="s">
        <v>52</v>
      </c>
      <c r="B151" s="44">
        <f t="shared" si="52"/>
        <v>702</v>
      </c>
      <c r="C151" s="39">
        <f t="shared" si="52"/>
        <v>559</v>
      </c>
      <c r="D151" s="39">
        <f t="shared" si="52"/>
        <v>26</v>
      </c>
      <c r="E151" s="39">
        <f t="shared" si="52"/>
        <v>41</v>
      </c>
      <c r="F151" s="39">
        <f t="shared" si="52"/>
        <v>8</v>
      </c>
      <c r="G151" s="50">
        <f t="shared" si="49"/>
        <v>1336</v>
      </c>
      <c r="H151" s="44">
        <f t="shared" ref="H151:L151" si="56">H45+H46+H47+H48</f>
        <v>0</v>
      </c>
      <c r="I151" s="39">
        <f t="shared" si="56"/>
        <v>0</v>
      </c>
      <c r="J151" s="39">
        <f t="shared" si="56"/>
        <v>0</v>
      </c>
      <c r="K151" s="45">
        <f t="shared" si="56"/>
        <v>0</v>
      </c>
      <c r="L151" s="144">
        <f t="shared" si="56"/>
        <v>28</v>
      </c>
      <c r="M151" s="50">
        <f t="shared" si="14"/>
        <v>0</v>
      </c>
      <c r="N151" s="40">
        <f t="shared" si="15"/>
        <v>1336</v>
      </c>
      <c r="O151" s="43">
        <f t="shared" si="16"/>
        <v>1403.5</v>
      </c>
    </row>
    <row r="152" spans="1:15" ht="22.95" customHeight="1" x14ac:dyDescent="0.3">
      <c r="A152" s="52" t="s">
        <v>53</v>
      </c>
      <c r="B152" s="44">
        <f t="shared" si="52"/>
        <v>691</v>
      </c>
      <c r="C152" s="39">
        <f t="shared" si="52"/>
        <v>597</v>
      </c>
      <c r="D152" s="39">
        <f t="shared" si="52"/>
        <v>28</v>
      </c>
      <c r="E152" s="39">
        <f t="shared" si="52"/>
        <v>38</v>
      </c>
      <c r="F152" s="39">
        <f t="shared" si="52"/>
        <v>7</v>
      </c>
      <c r="G152" s="50">
        <f t="shared" si="49"/>
        <v>1361</v>
      </c>
      <c r="H152" s="44">
        <f t="shared" ref="H152:L152" si="57">H46+H47+H48+H49</f>
        <v>1</v>
      </c>
      <c r="I152" s="39">
        <f t="shared" si="57"/>
        <v>0</v>
      </c>
      <c r="J152" s="39">
        <f t="shared" si="57"/>
        <v>0</v>
      </c>
      <c r="K152" s="45">
        <f t="shared" si="57"/>
        <v>0</v>
      </c>
      <c r="L152" s="144">
        <f t="shared" si="57"/>
        <v>40</v>
      </c>
      <c r="M152" s="50">
        <f t="shared" si="14"/>
        <v>1</v>
      </c>
      <c r="N152" s="40">
        <f t="shared" si="15"/>
        <v>1362</v>
      </c>
      <c r="O152" s="43">
        <f t="shared" si="16"/>
        <v>1497.5</v>
      </c>
    </row>
    <row r="153" spans="1:15" ht="22.95" customHeight="1" x14ac:dyDescent="0.3">
      <c r="A153" s="52" t="s">
        <v>54</v>
      </c>
      <c r="B153" s="44">
        <f t="shared" si="52"/>
        <v>817</v>
      </c>
      <c r="C153" s="39">
        <f t="shared" si="52"/>
        <v>650</v>
      </c>
      <c r="D153" s="39">
        <f t="shared" si="52"/>
        <v>26</v>
      </c>
      <c r="E153" s="39">
        <f t="shared" si="52"/>
        <v>39</v>
      </c>
      <c r="F153" s="39">
        <f t="shared" si="52"/>
        <v>10</v>
      </c>
      <c r="G153" s="50">
        <f t="shared" si="49"/>
        <v>1542</v>
      </c>
      <c r="H153" s="44">
        <f t="shared" ref="H153:L153" si="58">H47+H48+H49+H50</f>
        <v>1</v>
      </c>
      <c r="I153" s="39">
        <f t="shared" si="58"/>
        <v>0</v>
      </c>
      <c r="J153" s="39">
        <f t="shared" si="58"/>
        <v>0</v>
      </c>
      <c r="K153" s="45">
        <f t="shared" si="58"/>
        <v>0</v>
      </c>
      <c r="L153" s="144">
        <f t="shared" si="58"/>
        <v>51</v>
      </c>
      <c r="M153" s="50">
        <f t="shared" si="14"/>
        <v>1</v>
      </c>
      <c r="N153" s="40">
        <f t="shared" si="15"/>
        <v>1543</v>
      </c>
      <c r="O153" s="43">
        <f t="shared" si="16"/>
        <v>1751.5</v>
      </c>
    </row>
    <row r="154" spans="1:15" ht="22.95" customHeight="1" x14ac:dyDescent="0.3">
      <c r="A154" s="52" t="s">
        <v>55</v>
      </c>
      <c r="B154" s="44">
        <f t="shared" si="52"/>
        <v>863</v>
      </c>
      <c r="C154" s="39">
        <f t="shared" si="52"/>
        <v>743</v>
      </c>
      <c r="D154" s="39">
        <f t="shared" si="52"/>
        <v>29</v>
      </c>
      <c r="E154" s="39">
        <f t="shared" si="52"/>
        <v>42</v>
      </c>
      <c r="F154" s="39">
        <f t="shared" si="52"/>
        <v>8</v>
      </c>
      <c r="G154" s="50">
        <f t="shared" si="49"/>
        <v>1685</v>
      </c>
      <c r="H154" s="44">
        <f t="shared" ref="H154:L154" si="59">H48+H49+H50+H51</f>
        <v>1</v>
      </c>
      <c r="I154" s="39">
        <f t="shared" si="59"/>
        <v>0</v>
      </c>
      <c r="J154" s="39">
        <f t="shared" si="59"/>
        <v>0</v>
      </c>
      <c r="K154" s="45">
        <f t="shared" si="59"/>
        <v>0</v>
      </c>
      <c r="L154" s="144">
        <f t="shared" si="59"/>
        <v>56</v>
      </c>
      <c r="M154" s="50">
        <f t="shared" si="14"/>
        <v>1</v>
      </c>
      <c r="N154" s="40">
        <f t="shared" si="15"/>
        <v>1686</v>
      </c>
      <c r="O154" s="43">
        <f t="shared" si="16"/>
        <v>1888.5</v>
      </c>
    </row>
    <row r="155" spans="1:15" ht="22.95" customHeight="1" x14ac:dyDescent="0.3">
      <c r="A155" s="52" t="s">
        <v>56</v>
      </c>
      <c r="B155" s="44">
        <f t="shared" si="52"/>
        <v>845</v>
      </c>
      <c r="C155" s="39">
        <f t="shared" si="52"/>
        <v>774</v>
      </c>
      <c r="D155" s="39">
        <f t="shared" si="52"/>
        <v>29</v>
      </c>
      <c r="E155" s="39">
        <f t="shared" si="52"/>
        <v>44</v>
      </c>
      <c r="F155" s="39">
        <f t="shared" si="52"/>
        <v>6</v>
      </c>
      <c r="G155" s="50">
        <f t="shared" si="49"/>
        <v>1698</v>
      </c>
      <c r="H155" s="44">
        <f t="shared" ref="H155:L155" si="60">H49+H50+H51+H52</f>
        <v>1</v>
      </c>
      <c r="I155" s="39">
        <f t="shared" si="60"/>
        <v>0</v>
      </c>
      <c r="J155" s="39">
        <f t="shared" si="60"/>
        <v>0</v>
      </c>
      <c r="K155" s="45">
        <f t="shared" si="60"/>
        <v>0</v>
      </c>
      <c r="L155" s="144">
        <f t="shared" si="60"/>
        <v>50</v>
      </c>
      <c r="M155" s="50">
        <f t="shared" si="14"/>
        <v>1</v>
      </c>
      <c r="N155" s="40">
        <f t="shared" si="15"/>
        <v>1699</v>
      </c>
      <c r="O155" s="43">
        <f t="shared" si="16"/>
        <v>1835</v>
      </c>
    </row>
    <row r="156" spans="1:15" ht="22.95" customHeight="1" x14ac:dyDescent="0.3">
      <c r="A156" s="52" t="s">
        <v>57</v>
      </c>
      <c r="B156" s="44">
        <f t="shared" si="52"/>
        <v>835</v>
      </c>
      <c r="C156" s="39">
        <f t="shared" si="52"/>
        <v>774</v>
      </c>
      <c r="D156" s="39">
        <f t="shared" si="52"/>
        <v>29</v>
      </c>
      <c r="E156" s="39">
        <f t="shared" si="52"/>
        <v>47</v>
      </c>
      <c r="F156" s="39">
        <f t="shared" si="52"/>
        <v>8</v>
      </c>
      <c r="G156" s="50">
        <f t="shared" si="49"/>
        <v>1693</v>
      </c>
      <c r="H156" s="44">
        <f t="shared" ref="H156:L156" si="61">H50+H51+H52+H53</f>
        <v>0</v>
      </c>
      <c r="I156" s="39">
        <f t="shared" si="61"/>
        <v>0</v>
      </c>
      <c r="J156" s="39">
        <f t="shared" si="61"/>
        <v>0</v>
      </c>
      <c r="K156" s="45">
        <f t="shared" si="61"/>
        <v>0</v>
      </c>
      <c r="L156" s="144">
        <f t="shared" si="61"/>
        <v>40</v>
      </c>
      <c r="M156" s="50">
        <f t="shared" si="14"/>
        <v>0</v>
      </c>
      <c r="N156" s="40">
        <f t="shared" si="15"/>
        <v>1693</v>
      </c>
      <c r="O156" s="43">
        <f t="shared" si="16"/>
        <v>1762.5</v>
      </c>
    </row>
    <row r="157" spans="1:15" ht="22.95" customHeight="1" x14ac:dyDescent="0.3">
      <c r="A157" s="52" t="s">
        <v>58</v>
      </c>
      <c r="B157" s="44">
        <f t="shared" si="52"/>
        <v>789</v>
      </c>
      <c r="C157" s="39">
        <f t="shared" si="52"/>
        <v>674</v>
      </c>
      <c r="D157" s="39">
        <f t="shared" si="52"/>
        <v>32</v>
      </c>
      <c r="E157" s="39">
        <f t="shared" si="52"/>
        <v>46</v>
      </c>
      <c r="F157" s="39">
        <f t="shared" si="52"/>
        <v>7</v>
      </c>
      <c r="G157" s="50">
        <f t="shared" si="49"/>
        <v>1548</v>
      </c>
      <c r="H157" s="44">
        <f t="shared" ref="H157:L157" si="62">H51+H52+H53+H54</f>
        <v>0</v>
      </c>
      <c r="I157" s="39">
        <f t="shared" si="62"/>
        <v>0</v>
      </c>
      <c r="J157" s="39">
        <f t="shared" si="62"/>
        <v>0</v>
      </c>
      <c r="K157" s="45">
        <f t="shared" si="62"/>
        <v>0</v>
      </c>
      <c r="L157" s="144">
        <f t="shared" si="62"/>
        <v>23</v>
      </c>
      <c r="M157" s="50">
        <f t="shared" si="14"/>
        <v>0</v>
      </c>
      <c r="N157" s="40">
        <f t="shared" si="15"/>
        <v>1548</v>
      </c>
      <c r="O157" s="43">
        <f t="shared" si="16"/>
        <v>1527.5</v>
      </c>
    </row>
    <row r="158" spans="1:15" ht="22.95" customHeight="1" x14ac:dyDescent="0.3">
      <c r="A158" s="52" t="s">
        <v>59</v>
      </c>
      <c r="B158" s="44">
        <f t="shared" si="52"/>
        <v>799</v>
      </c>
      <c r="C158" s="39">
        <f t="shared" si="52"/>
        <v>628</v>
      </c>
      <c r="D158" s="39">
        <f t="shared" si="52"/>
        <v>29</v>
      </c>
      <c r="E158" s="39">
        <f t="shared" si="52"/>
        <v>38</v>
      </c>
      <c r="F158" s="39">
        <f t="shared" si="52"/>
        <v>11</v>
      </c>
      <c r="G158" s="50">
        <f t="shared" si="49"/>
        <v>1505</v>
      </c>
      <c r="H158" s="44">
        <f t="shared" ref="H158:L158" si="63">H52+H53+H54+H55</f>
        <v>0</v>
      </c>
      <c r="I158" s="39">
        <f t="shared" si="63"/>
        <v>0</v>
      </c>
      <c r="J158" s="39">
        <f t="shared" si="63"/>
        <v>0</v>
      </c>
      <c r="K158" s="45">
        <f t="shared" si="63"/>
        <v>0</v>
      </c>
      <c r="L158" s="144">
        <f t="shared" si="63"/>
        <v>18</v>
      </c>
      <c r="M158" s="50">
        <f t="shared" si="14"/>
        <v>0</v>
      </c>
      <c r="N158" s="40">
        <f t="shared" si="15"/>
        <v>1505</v>
      </c>
      <c r="O158" s="43">
        <f t="shared" si="16"/>
        <v>1464</v>
      </c>
    </row>
    <row r="159" spans="1:15" ht="22.95" customHeight="1" x14ac:dyDescent="0.3">
      <c r="A159" s="52" t="s">
        <v>77</v>
      </c>
      <c r="B159" s="44">
        <f t="shared" si="52"/>
        <v>853</v>
      </c>
      <c r="C159" s="39">
        <f t="shared" si="52"/>
        <v>614</v>
      </c>
      <c r="D159" s="39">
        <f t="shared" si="52"/>
        <v>25</v>
      </c>
      <c r="E159" s="39">
        <f t="shared" si="52"/>
        <v>28</v>
      </c>
      <c r="F159" s="39">
        <f t="shared" si="52"/>
        <v>16</v>
      </c>
      <c r="G159" s="50">
        <f t="shared" si="49"/>
        <v>1536</v>
      </c>
      <c r="H159" s="44">
        <f t="shared" ref="H159:L159" si="64">H53+H54+H55+H56</f>
        <v>0</v>
      </c>
      <c r="I159" s="39">
        <f t="shared" si="64"/>
        <v>0</v>
      </c>
      <c r="J159" s="39">
        <f t="shared" si="64"/>
        <v>0</v>
      </c>
      <c r="K159" s="45">
        <f t="shared" si="64"/>
        <v>0</v>
      </c>
      <c r="L159" s="144">
        <f t="shared" si="64"/>
        <v>18</v>
      </c>
      <c r="M159" s="50">
        <f t="shared" si="14"/>
        <v>0</v>
      </c>
      <c r="N159" s="40">
        <f t="shared" si="15"/>
        <v>1536</v>
      </c>
      <c r="O159" s="43">
        <f t="shared" si="16"/>
        <v>1497.5</v>
      </c>
    </row>
    <row r="160" spans="1:15" ht="22.95" customHeight="1" x14ac:dyDescent="0.3">
      <c r="A160" s="52" t="s">
        <v>75</v>
      </c>
      <c r="B160" s="44">
        <f t="shared" si="52"/>
        <v>882</v>
      </c>
      <c r="C160" s="39">
        <f t="shared" si="52"/>
        <v>623</v>
      </c>
      <c r="D160" s="39">
        <f t="shared" si="52"/>
        <v>20</v>
      </c>
      <c r="E160" s="39">
        <f t="shared" si="52"/>
        <v>17</v>
      </c>
      <c r="F160" s="39">
        <f t="shared" si="52"/>
        <v>15</v>
      </c>
      <c r="G160" s="50">
        <f t="shared" si="49"/>
        <v>1557</v>
      </c>
      <c r="H160" s="44">
        <f t="shared" ref="H160:L160" si="65">H54+H55+H56+H57</f>
        <v>0</v>
      </c>
      <c r="I160" s="39">
        <f t="shared" si="65"/>
        <v>0</v>
      </c>
      <c r="J160" s="39">
        <f t="shared" si="65"/>
        <v>0</v>
      </c>
      <c r="K160" s="45">
        <f t="shared" si="65"/>
        <v>0</v>
      </c>
      <c r="L160" s="144">
        <f t="shared" si="65"/>
        <v>17</v>
      </c>
      <c r="M160" s="50">
        <f t="shared" si="14"/>
        <v>0</v>
      </c>
      <c r="N160" s="40">
        <f t="shared" si="15"/>
        <v>1557</v>
      </c>
      <c r="O160" s="43">
        <f t="shared" si="16"/>
        <v>1478</v>
      </c>
    </row>
    <row r="161" spans="1:15" ht="22.95" customHeight="1" x14ac:dyDescent="0.3">
      <c r="A161" s="52" t="s">
        <v>76</v>
      </c>
      <c r="B161" s="44">
        <f t="shared" si="52"/>
        <v>865</v>
      </c>
      <c r="C161" s="39">
        <f t="shared" si="52"/>
        <v>620</v>
      </c>
      <c r="D161" s="39">
        <f t="shared" si="52"/>
        <v>16</v>
      </c>
      <c r="E161" s="39">
        <f t="shared" si="52"/>
        <v>9</v>
      </c>
      <c r="F161" s="39">
        <f t="shared" si="52"/>
        <v>21</v>
      </c>
      <c r="G161" s="50">
        <f t="shared" si="49"/>
        <v>1531</v>
      </c>
      <c r="H161" s="44">
        <f t="shared" ref="H161:L161" si="66">H55+H56+H57+H58</f>
        <v>0</v>
      </c>
      <c r="I161" s="39">
        <f t="shared" si="66"/>
        <v>0</v>
      </c>
      <c r="J161" s="39">
        <f t="shared" si="66"/>
        <v>0</v>
      </c>
      <c r="K161" s="45">
        <f t="shared" si="66"/>
        <v>0</v>
      </c>
      <c r="L161" s="144">
        <f t="shared" si="66"/>
        <v>15</v>
      </c>
      <c r="M161" s="50">
        <f t="shared" si="14"/>
        <v>0</v>
      </c>
      <c r="N161" s="40">
        <f t="shared" si="15"/>
        <v>1531</v>
      </c>
      <c r="O161" s="43">
        <f t="shared" si="16"/>
        <v>1440.5</v>
      </c>
    </row>
    <row r="162" spans="1:15" ht="22.95" customHeight="1" x14ac:dyDescent="0.3">
      <c r="A162" s="52" t="s">
        <v>70</v>
      </c>
      <c r="B162" s="44">
        <f t="shared" si="52"/>
        <v>815</v>
      </c>
      <c r="C162" s="39">
        <f t="shared" si="52"/>
        <v>570</v>
      </c>
      <c r="D162" s="39">
        <f t="shared" si="52"/>
        <v>14</v>
      </c>
      <c r="E162" s="39">
        <f t="shared" si="52"/>
        <v>5</v>
      </c>
      <c r="F162" s="39">
        <f t="shared" si="52"/>
        <v>20</v>
      </c>
      <c r="G162" s="50">
        <f t="shared" si="49"/>
        <v>1424</v>
      </c>
      <c r="H162" s="44">
        <f t="shared" ref="H162:L162" si="67">H56+H57+H58+H59</f>
        <v>0</v>
      </c>
      <c r="I162" s="39">
        <f t="shared" si="67"/>
        <v>0</v>
      </c>
      <c r="J162" s="39">
        <f t="shared" si="67"/>
        <v>0</v>
      </c>
      <c r="K162" s="45">
        <f t="shared" si="67"/>
        <v>0</v>
      </c>
      <c r="L162" s="144">
        <f t="shared" si="67"/>
        <v>8</v>
      </c>
      <c r="M162" s="50">
        <f t="shared" si="14"/>
        <v>0</v>
      </c>
      <c r="N162" s="40">
        <f t="shared" si="15"/>
        <v>1424</v>
      </c>
      <c r="O162" s="43">
        <f t="shared" si="16"/>
        <v>1290</v>
      </c>
    </row>
    <row r="163" spans="1:15" ht="22.95" customHeight="1" x14ac:dyDescent="0.3">
      <c r="A163" s="52" t="s">
        <v>71</v>
      </c>
      <c r="B163" s="44">
        <f t="shared" si="52"/>
        <v>750</v>
      </c>
      <c r="C163" s="39">
        <f t="shared" si="52"/>
        <v>511</v>
      </c>
      <c r="D163" s="39">
        <f t="shared" si="52"/>
        <v>12</v>
      </c>
      <c r="E163" s="39">
        <f t="shared" si="52"/>
        <v>7</v>
      </c>
      <c r="F163" s="39">
        <f t="shared" si="52"/>
        <v>19</v>
      </c>
      <c r="G163" s="50">
        <f t="shared" si="49"/>
        <v>1299</v>
      </c>
      <c r="H163" s="44">
        <f t="shared" ref="H163:L163" si="68">H57+H58+H59+H60</f>
        <v>0</v>
      </c>
      <c r="I163" s="39">
        <f t="shared" si="68"/>
        <v>0</v>
      </c>
      <c r="J163" s="39">
        <f t="shared" si="68"/>
        <v>0</v>
      </c>
      <c r="K163" s="45">
        <f t="shared" si="68"/>
        <v>0</v>
      </c>
      <c r="L163" s="144">
        <f t="shared" si="68"/>
        <v>4</v>
      </c>
      <c r="M163" s="50">
        <f t="shared" si="14"/>
        <v>0</v>
      </c>
      <c r="N163" s="40">
        <f t="shared" si="15"/>
        <v>1299</v>
      </c>
      <c r="O163" s="43">
        <f t="shared" si="16"/>
        <v>1162</v>
      </c>
    </row>
    <row r="164" spans="1:15" ht="22.95" customHeight="1" x14ac:dyDescent="0.3">
      <c r="A164" s="52" t="s">
        <v>72</v>
      </c>
      <c r="B164" s="44">
        <f t="shared" ref="B164:F179" si="69">B58+B59+B60+B61</f>
        <v>673</v>
      </c>
      <c r="C164" s="39">
        <f t="shared" si="69"/>
        <v>457</v>
      </c>
      <c r="D164" s="39">
        <f t="shared" si="69"/>
        <v>10</v>
      </c>
      <c r="E164" s="39">
        <f t="shared" si="69"/>
        <v>7</v>
      </c>
      <c r="F164" s="39">
        <f t="shared" si="69"/>
        <v>21</v>
      </c>
      <c r="G164" s="50">
        <f t="shared" si="49"/>
        <v>1168</v>
      </c>
      <c r="H164" s="44">
        <f t="shared" ref="H164:L164" si="70">H58+H59+H60+H61</f>
        <v>0</v>
      </c>
      <c r="I164" s="39">
        <f t="shared" si="70"/>
        <v>0</v>
      </c>
      <c r="J164" s="39">
        <f t="shared" si="70"/>
        <v>0</v>
      </c>
      <c r="K164" s="45">
        <f t="shared" si="70"/>
        <v>0</v>
      </c>
      <c r="L164" s="144">
        <f t="shared" si="70"/>
        <v>2</v>
      </c>
      <c r="M164" s="50">
        <f t="shared" si="14"/>
        <v>0</v>
      </c>
      <c r="N164" s="40">
        <f t="shared" si="15"/>
        <v>1168</v>
      </c>
      <c r="O164" s="43">
        <f t="shared" si="16"/>
        <v>1048</v>
      </c>
    </row>
    <row r="165" spans="1:15" ht="22.95" customHeight="1" x14ac:dyDescent="0.3">
      <c r="A165" s="52" t="s">
        <v>73</v>
      </c>
      <c r="B165" s="44">
        <f t="shared" si="69"/>
        <v>603</v>
      </c>
      <c r="C165" s="39">
        <f t="shared" si="69"/>
        <v>398</v>
      </c>
      <c r="D165" s="39">
        <f t="shared" si="69"/>
        <v>9</v>
      </c>
      <c r="E165" s="39">
        <f t="shared" si="69"/>
        <v>5</v>
      </c>
      <c r="F165" s="39">
        <f t="shared" si="69"/>
        <v>19</v>
      </c>
      <c r="G165" s="50">
        <f t="shared" si="49"/>
        <v>1034</v>
      </c>
      <c r="H165" s="44">
        <f t="shared" ref="H165:L165" si="71">H59+H60+H61+H62</f>
        <v>0</v>
      </c>
      <c r="I165" s="39">
        <f t="shared" si="71"/>
        <v>0</v>
      </c>
      <c r="J165" s="39">
        <f t="shared" si="71"/>
        <v>0</v>
      </c>
      <c r="K165" s="45">
        <f t="shared" si="71"/>
        <v>0</v>
      </c>
      <c r="L165" s="144">
        <f t="shared" si="71"/>
        <v>1</v>
      </c>
      <c r="M165" s="50">
        <f t="shared" si="14"/>
        <v>0</v>
      </c>
      <c r="N165" s="40">
        <f t="shared" si="15"/>
        <v>1034</v>
      </c>
      <c r="O165" s="43">
        <f t="shared" si="16"/>
        <v>924</v>
      </c>
    </row>
    <row r="166" spans="1:15" ht="22.95" customHeight="1" x14ac:dyDescent="0.3">
      <c r="A166" s="52" t="s">
        <v>74</v>
      </c>
      <c r="B166" s="44">
        <f t="shared" si="69"/>
        <v>527</v>
      </c>
      <c r="C166" s="39">
        <f t="shared" si="69"/>
        <v>373</v>
      </c>
      <c r="D166" s="39">
        <f t="shared" si="69"/>
        <v>8</v>
      </c>
      <c r="E166" s="39">
        <f t="shared" si="69"/>
        <v>6</v>
      </c>
      <c r="F166" s="39">
        <f t="shared" si="69"/>
        <v>21</v>
      </c>
      <c r="G166" s="50">
        <f t="shared" si="49"/>
        <v>935</v>
      </c>
      <c r="H166" s="44">
        <f t="shared" ref="H166:L166" si="72">H60+H61+H62+H63</f>
        <v>0</v>
      </c>
      <c r="I166" s="39">
        <f t="shared" si="72"/>
        <v>0</v>
      </c>
      <c r="J166" s="39">
        <f t="shared" si="72"/>
        <v>0</v>
      </c>
      <c r="K166" s="45">
        <f t="shared" si="72"/>
        <v>0</v>
      </c>
      <c r="L166" s="144">
        <f t="shared" si="72"/>
        <v>0</v>
      </c>
      <c r="M166" s="50">
        <f t="shared" si="14"/>
        <v>0</v>
      </c>
      <c r="N166" s="40">
        <f t="shared" si="15"/>
        <v>935</v>
      </c>
      <c r="O166" s="43">
        <f t="shared" si="16"/>
        <v>838</v>
      </c>
    </row>
    <row r="167" spans="1:15" ht="22.95" customHeight="1" x14ac:dyDescent="0.3">
      <c r="A167" s="52" t="s">
        <v>262</v>
      </c>
      <c r="B167" s="44">
        <f t="shared" si="69"/>
        <v>445</v>
      </c>
      <c r="C167" s="39">
        <f t="shared" si="69"/>
        <v>304</v>
      </c>
      <c r="D167" s="39">
        <f t="shared" si="69"/>
        <v>9</v>
      </c>
      <c r="E167" s="39">
        <f t="shared" si="69"/>
        <v>5</v>
      </c>
      <c r="F167" s="39">
        <f t="shared" si="69"/>
        <v>21</v>
      </c>
      <c r="G167" s="50">
        <f t="shared" si="49"/>
        <v>784</v>
      </c>
      <c r="H167" s="44">
        <f t="shared" ref="H167:L167" si="73">H61+H62+H63+H64</f>
        <v>0</v>
      </c>
      <c r="I167" s="39">
        <f t="shared" si="73"/>
        <v>0</v>
      </c>
      <c r="J167" s="39">
        <f t="shared" si="73"/>
        <v>0</v>
      </c>
      <c r="K167" s="45">
        <f t="shared" si="73"/>
        <v>0</v>
      </c>
      <c r="L167" s="144">
        <f t="shared" si="73"/>
        <v>0</v>
      </c>
      <c r="M167" s="50">
        <f t="shared" si="14"/>
        <v>0</v>
      </c>
      <c r="N167" s="40">
        <f t="shared" si="15"/>
        <v>784</v>
      </c>
      <c r="O167" s="43">
        <f t="shared" si="16"/>
        <v>720</v>
      </c>
    </row>
    <row r="168" spans="1:15" ht="22.95" customHeight="1" x14ac:dyDescent="0.3">
      <c r="A168" s="52" t="s">
        <v>263</v>
      </c>
      <c r="B168" s="44">
        <f t="shared" si="69"/>
        <v>356</v>
      </c>
      <c r="C168" s="39">
        <f t="shared" si="69"/>
        <v>230</v>
      </c>
      <c r="D168" s="39">
        <f t="shared" si="69"/>
        <v>12</v>
      </c>
      <c r="E168" s="39">
        <f t="shared" si="69"/>
        <v>5</v>
      </c>
      <c r="F168" s="39">
        <f t="shared" si="69"/>
        <v>28</v>
      </c>
      <c r="G168" s="50">
        <f t="shared" si="49"/>
        <v>631</v>
      </c>
      <c r="H168" s="44">
        <f t="shared" ref="H168:L168" si="74">H62+H63+H64+H65</f>
        <v>0</v>
      </c>
      <c r="I168" s="39">
        <f t="shared" si="74"/>
        <v>0</v>
      </c>
      <c r="J168" s="39">
        <f t="shared" si="74"/>
        <v>0</v>
      </c>
      <c r="K168" s="45">
        <f t="shared" si="74"/>
        <v>0</v>
      </c>
      <c r="L168" s="144">
        <f t="shared" si="74"/>
        <v>0</v>
      </c>
      <c r="M168" s="50">
        <f t="shared" si="14"/>
        <v>0</v>
      </c>
      <c r="N168" s="40">
        <f t="shared" si="15"/>
        <v>631</v>
      </c>
      <c r="O168" s="43">
        <f t="shared" si="16"/>
        <v>630</v>
      </c>
    </row>
    <row r="169" spans="1:15" ht="22.95" customHeight="1" x14ac:dyDescent="0.3">
      <c r="A169" s="52" t="s">
        <v>264</v>
      </c>
      <c r="B169" s="44">
        <f t="shared" si="69"/>
        <v>273</v>
      </c>
      <c r="C169" s="39">
        <f t="shared" si="69"/>
        <v>170</v>
      </c>
      <c r="D169" s="39">
        <f t="shared" si="69"/>
        <v>13</v>
      </c>
      <c r="E169" s="39">
        <f t="shared" si="69"/>
        <v>7</v>
      </c>
      <c r="F169" s="39">
        <f t="shared" si="69"/>
        <v>31</v>
      </c>
      <c r="G169" s="50">
        <f t="shared" si="49"/>
        <v>494</v>
      </c>
      <c r="H169" s="44">
        <f t="shared" ref="H169:L169" si="75">H63+H64+H65+H66</f>
        <v>0</v>
      </c>
      <c r="I169" s="39">
        <f t="shared" si="75"/>
        <v>0</v>
      </c>
      <c r="J169" s="39">
        <f t="shared" si="75"/>
        <v>0</v>
      </c>
      <c r="K169" s="45">
        <f t="shared" si="75"/>
        <v>0</v>
      </c>
      <c r="L169" s="144">
        <f t="shared" si="75"/>
        <v>0</v>
      </c>
      <c r="M169" s="50">
        <f t="shared" si="14"/>
        <v>0</v>
      </c>
      <c r="N169" s="40">
        <f t="shared" si="15"/>
        <v>494</v>
      </c>
      <c r="O169" s="43">
        <f t="shared" si="16"/>
        <v>538</v>
      </c>
    </row>
    <row r="170" spans="1:15" ht="22.95" customHeight="1" x14ac:dyDescent="0.3">
      <c r="A170" s="52" t="s">
        <v>265</v>
      </c>
      <c r="B170" s="44">
        <f t="shared" si="69"/>
        <v>220</v>
      </c>
      <c r="C170" s="39">
        <f t="shared" si="69"/>
        <v>107</v>
      </c>
      <c r="D170" s="39">
        <f t="shared" si="69"/>
        <v>15</v>
      </c>
      <c r="E170" s="39">
        <f t="shared" si="69"/>
        <v>7</v>
      </c>
      <c r="F170" s="39">
        <f t="shared" si="69"/>
        <v>34</v>
      </c>
      <c r="G170" s="50">
        <f t="shared" si="49"/>
        <v>383</v>
      </c>
      <c r="H170" s="44">
        <f t="shared" ref="H170:L170" si="76">H64+H65+H66+H67</f>
        <v>0</v>
      </c>
      <c r="I170" s="39">
        <f t="shared" si="76"/>
        <v>0</v>
      </c>
      <c r="J170" s="39">
        <f t="shared" si="76"/>
        <v>0</v>
      </c>
      <c r="K170" s="45">
        <f t="shared" si="76"/>
        <v>0</v>
      </c>
      <c r="L170" s="144">
        <f t="shared" si="76"/>
        <v>0</v>
      </c>
      <c r="M170" s="50">
        <f t="shared" si="14"/>
        <v>0</v>
      </c>
      <c r="N170" s="40">
        <f t="shared" si="15"/>
        <v>383</v>
      </c>
      <c r="O170" s="43">
        <f t="shared" si="16"/>
        <v>470</v>
      </c>
    </row>
    <row r="171" spans="1:15" ht="22.95" customHeight="1" x14ac:dyDescent="0.3">
      <c r="A171" s="52" t="s">
        <v>266</v>
      </c>
      <c r="B171" s="44">
        <f t="shared" si="69"/>
        <v>166</v>
      </c>
      <c r="C171" s="39">
        <f t="shared" si="69"/>
        <v>86</v>
      </c>
      <c r="D171" s="39">
        <f t="shared" si="69"/>
        <v>20</v>
      </c>
      <c r="E171" s="39">
        <f t="shared" si="69"/>
        <v>6</v>
      </c>
      <c r="F171" s="39">
        <f t="shared" si="69"/>
        <v>39</v>
      </c>
      <c r="G171" s="50">
        <f t="shared" si="49"/>
        <v>317</v>
      </c>
      <c r="H171" s="44">
        <f t="shared" ref="H171:L171" si="77">H65+H66+H67+H68</f>
        <v>0</v>
      </c>
      <c r="I171" s="39">
        <f t="shared" si="77"/>
        <v>0</v>
      </c>
      <c r="J171" s="39">
        <f t="shared" si="77"/>
        <v>0</v>
      </c>
      <c r="K171" s="45">
        <f t="shared" si="77"/>
        <v>0</v>
      </c>
      <c r="L171" s="144">
        <f t="shared" si="77"/>
        <v>0</v>
      </c>
      <c r="M171" s="50">
        <f t="shared" si="14"/>
        <v>0</v>
      </c>
      <c r="N171" s="40">
        <f t="shared" si="15"/>
        <v>317</v>
      </c>
      <c r="O171" s="43">
        <f t="shared" si="16"/>
        <v>432.5</v>
      </c>
    </row>
    <row r="172" spans="1:15" ht="22.95" customHeight="1" x14ac:dyDescent="0.3">
      <c r="A172" s="52" t="s">
        <v>267</v>
      </c>
      <c r="B172" s="44">
        <f t="shared" si="69"/>
        <v>137</v>
      </c>
      <c r="C172" s="39">
        <f t="shared" si="69"/>
        <v>77</v>
      </c>
      <c r="D172" s="39">
        <f t="shared" si="69"/>
        <v>15</v>
      </c>
      <c r="E172" s="39">
        <f t="shared" si="69"/>
        <v>7</v>
      </c>
      <c r="F172" s="39">
        <f t="shared" si="69"/>
        <v>32</v>
      </c>
      <c r="G172" s="50">
        <f t="shared" si="49"/>
        <v>268</v>
      </c>
      <c r="H172" s="44">
        <f t="shared" ref="H172:L172" si="78">H66+H67+H68+H69</f>
        <v>0</v>
      </c>
      <c r="I172" s="39">
        <f t="shared" si="78"/>
        <v>0</v>
      </c>
      <c r="J172" s="39">
        <f t="shared" si="78"/>
        <v>0</v>
      </c>
      <c r="K172" s="45">
        <f t="shared" si="78"/>
        <v>0</v>
      </c>
      <c r="L172" s="144">
        <f t="shared" si="78"/>
        <v>0</v>
      </c>
      <c r="M172" s="50">
        <f t="shared" si="14"/>
        <v>0</v>
      </c>
      <c r="N172" s="40">
        <f t="shared" si="15"/>
        <v>268</v>
      </c>
      <c r="O172" s="43">
        <f t="shared" si="16"/>
        <v>363</v>
      </c>
    </row>
    <row r="173" spans="1:15" ht="22.95" customHeight="1" x14ac:dyDescent="0.3">
      <c r="A173" s="52" t="s">
        <v>268</v>
      </c>
      <c r="B173" s="44">
        <f t="shared" si="69"/>
        <v>110</v>
      </c>
      <c r="C173" s="39">
        <f t="shared" si="69"/>
        <v>72</v>
      </c>
      <c r="D173" s="39">
        <f t="shared" si="69"/>
        <v>17</v>
      </c>
      <c r="E173" s="39">
        <f t="shared" si="69"/>
        <v>7</v>
      </c>
      <c r="F173" s="39">
        <f t="shared" si="69"/>
        <v>37</v>
      </c>
      <c r="G173" s="50">
        <f t="shared" si="49"/>
        <v>243</v>
      </c>
      <c r="H173" s="44">
        <f t="shared" ref="H173:L173" si="79">H67+H68+H69+H70</f>
        <v>0</v>
      </c>
      <c r="I173" s="39">
        <f t="shared" si="79"/>
        <v>0</v>
      </c>
      <c r="J173" s="39">
        <f t="shared" si="79"/>
        <v>0</v>
      </c>
      <c r="K173" s="45">
        <f t="shared" si="79"/>
        <v>0</v>
      </c>
      <c r="L173" s="144">
        <f t="shared" si="79"/>
        <v>0</v>
      </c>
      <c r="M173" s="50">
        <f t="shared" si="14"/>
        <v>0</v>
      </c>
      <c r="N173" s="40">
        <f t="shared" si="15"/>
        <v>243</v>
      </c>
      <c r="O173" s="43">
        <f t="shared" si="16"/>
        <v>359</v>
      </c>
    </row>
    <row r="174" spans="1:15" ht="22.95" customHeight="1" x14ac:dyDescent="0.3">
      <c r="A174" s="52" t="s">
        <v>269</v>
      </c>
      <c r="B174" s="44">
        <f t="shared" si="69"/>
        <v>68</v>
      </c>
      <c r="C174" s="39">
        <f t="shared" si="69"/>
        <v>42</v>
      </c>
      <c r="D174" s="39">
        <f t="shared" si="69"/>
        <v>15</v>
      </c>
      <c r="E174" s="39">
        <f t="shared" si="69"/>
        <v>7</v>
      </c>
      <c r="F174" s="39">
        <f t="shared" si="69"/>
        <v>36</v>
      </c>
      <c r="G174" s="50">
        <f t="shared" si="49"/>
        <v>168</v>
      </c>
      <c r="H174" s="44">
        <f t="shared" ref="H174:L174" si="80">H68+H69+H70+H71</f>
        <v>0</v>
      </c>
      <c r="I174" s="39">
        <f t="shared" si="80"/>
        <v>0</v>
      </c>
      <c r="J174" s="39">
        <f t="shared" si="80"/>
        <v>0</v>
      </c>
      <c r="K174" s="45">
        <f t="shared" si="80"/>
        <v>0</v>
      </c>
      <c r="L174" s="144">
        <f t="shared" si="80"/>
        <v>0</v>
      </c>
      <c r="M174" s="50">
        <f t="shared" si="14"/>
        <v>0</v>
      </c>
      <c r="N174" s="40">
        <f t="shared" si="15"/>
        <v>168</v>
      </c>
      <c r="O174" s="43">
        <f t="shared" si="16"/>
        <v>294.5</v>
      </c>
    </row>
    <row r="175" spans="1:15" ht="22.95" customHeight="1" x14ac:dyDescent="0.3">
      <c r="A175" s="54" t="s">
        <v>241</v>
      </c>
      <c r="B175" s="44">
        <f t="shared" si="69"/>
        <v>48</v>
      </c>
      <c r="C175" s="39">
        <f t="shared" si="69"/>
        <v>35</v>
      </c>
      <c r="D175" s="39">
        <f t="shared" si="69"/>
        <v>9</v>
      </c>
      <c r="E175" s="39">
        <f t="shared" si="69"/>
        <v>10</v>
      </c>
      <c r="F175" s="39">
        <f t="shared" si="69"/>
        <v>31</v>
      </c>
      <c r="G175" s="50">
        <f t="shared" si="49"/>
        <v>133</v>
      </c>
      <c r="H175" s="44">
        <f t="shared" ref="H175:L175" si="81">H69+H70+H71+H72</f>
        <v>0</v>
      </c>
      <c r="I175" s="39">
        <f t="shared" si="81"/>
        <v>0</v>
      </c>
      <c r="J175" s="39">
        <f t="shared" si="81"/>
        <v>0</v>
      </c>
      <c r="K175" s="45">
        <f t="shared" si="81"/>
        <v>0</v>
      </c>
      <c r="L175" s="144">
        <f t="shared" si="81"/>
        <v>0</v>
      </c>
      <c r="M175" s="50">
        <f t="shared" si="14"/>
        <v>0</v>
      </c>
      <c r="N175" s="40">
        <f t="shared" si="15"/>
        <v>133</v>
      </c>
      <c r="O175" s="43">
        <f t="shared" si="16"/>
        <v>248.5</v>
      </c>
    </row>
    <row r="176" spans="1:15" ht="22.95" customHeight="1" x14ac:dyDescent="0.3">
      <c r="A176" s="52" t="s">
        <v>242</v>
      </c>
      <c r="B176" s="44">
        <f t="shared" si="69"/>
        <v>17</v>
      </c>
      <c r="C176" s="39">
        <f t="shared" si="69"/>
        <v>24</v>
      </c>
      <c r="D176" s="39">
        <f t="shared" si="69"/>
        <v>11</v>
      </c>
      <c r="E176" s="39">
        <f t="shared" si="69"/>
        <v>10</v>
      </c>
      <c r="F176" s="39">
        <f t="shared" si="69"/>
        <v>31</v>
      </c>
      <c r="G176" s="50">
        <f t="shared" si="49"/>
        <v>93</v>
      </c>
      <c r="H176" s="44">
        <f t="shared" ref="H176:L176" si="82">H70+H71+H72+H73</f>
        <v>0</v>
      </c>
      <c r="I176" s="39">
        <f t="shared" si="82"/>
        <v>0</v>
      </c>
      <c r="J176" s="39">
        <f t="shared" si="82"/>
        <v>0</v>
      </c>
      <c r="K176" s="45">
        <f t="shared" si="82"/>
        <v>0</v>
      </c>
      <c r="L176" s="144">
        <f t="shared" si="82"/>
        <v>0</v>
      </c>
      <c r="M176" s="50">
        <f t="shared" si="14"/>
        <v>0</v>
      </c>
      <c r="N176" s="40">
        <f t="shared" si="15"/>
        <v>93</v>
      </c>
      <c r="O176" s="43">
        <f t="shared" si="16"/>
        <v>215</v>
      </c>
    </row>
    <row r="177" spans="1:15" ht="22.95" customHeight="1" x14ac:dyDescent="0.3">
      <c r="A177" s="52" t="s">
        <v>243</v>
      </c>
      <c r="B177" s="44">
        <f t="shared" si="69"/>
        <v>15</v>
      </c>
      <c r="C177" s="39">
        <f t="shared" si="69"/>
        <v>22</v>
      </c>
      <c r="D177" s="39">
        <f t="shared" si="69"/>
        <v>11</v>
      </c>
      <c r="E177" s="39">
        <f t="shared" si="69"/>
        <v>8</v>
      </c>
      <c r="F177" s="39">
        <f t="shared" si="69"/>
        <v>20</v>
      </c>
      <c r="G177" s="50">
        <f t="shared" si="49"/>
        <v>76</v>
      </c>
      <c r="H177" s="44">
        <f t="shared" ref="H177:L177" si="83">H71+H72+H73+H74</f>
        <v>0</v>
      </c>
      <c r="I177" s="39">
        <f t="shared" si="83"/>
        <v>0</v>
      </c>
      <c r="J177" s="39">
        <f t="shared" si="83"/>
        <v>0</v>
      </c>
      <c r="K177" s="45">
        <f t="shared" si="83"/>
        <v>0</v>
      </c>
      <c r="L177" s="144">
        <f t="shared" si="83"/>
        <v>0</v>
      </c>
      <c r="M177" s="50">
        <f t="shared" si="14"/>
        <v>0</v>
      </c>
      <c r="N177" s="40">
        <f t="shared" si="15"/>
        <v>76</v>
      </c>
      <c r="O177" s="43">
        <f t="shared" si="16"/>
        <v>156.5</v>
      </c>
    </row>
    <row r="178" spans="1:15" ht="22.95" customHeight="1" x14ac:dyDescent="0.3">
      <c r="A178" s="52" t="s">
        <v>244</v>
      </c>
      <c r="B178" s="44">
        <f t="shared" si="69"/>
        <v>16</v>
      </c>
      <c r="C178" s="39">
        <f t="shared" si="69"/>
        <v>23</v>
      </c>
      <c r="D178" s="39">
        <f t="shared" si="69"/>
        <v>13</v>
      </c>
      <c r="E178" s="39">
        <f t="shared" si="69"/>
        <v>6</v>
      </c>
      <c r="F178" s="39">
        <f t="shared" si="69"/>
        <v>18</v>
      </c>
      <c r="G178" s="50">
        <f t="shared" ref="G178:G206" si="84">SUM(B178:F178)</f>
        <v>76</v>
      </c>
      <c r="H178" s="44">
        <f t="shared" ref="H178:L178" si="85">H72+H73+H74+H75</f>
        <v>0</v>
      </c>
      <c r="I178" s="39">
        <f t="shared" si="85"/>
        <v>0</v>
      </c>
      <c r="J178" s="39">
        <f t="shared" si="85"/>
        <v>0</v>
      </c>
      <c r="K178" s="45">
        <f t="shared" si="85"/>
        <v>0</v>
      </c>
      <c r="L178" s="144">
        <f t="shared" si="85"/>
        <v>0</v>
      </c>
      <c r="M178" s="50">
        <f t="shared" si="14"/>
        <v>0</v>
      </c>
      <c r="N178" s="40">
        <f t="shared" si="15"/>
        <v>76</v>
      </c>
      <c r="O178" s="43">
        <f t="shared" si="16"/>
        <v>146</v>
      </c>
    </row>
    <row r="179" spans="1:15" ht="22.95" customHeight="1" x14ac:dyDescent="0.3">
      <c r="A179" s="52" t="s">
        <v>245</v>
      </c>
      <c r="B179" s="44">
        <f t="shared" si="69"/>
        <v>16</v>
      </c>
      <c r="C179" s="39">
        <f t="shared" si="69"/>
        <v>21</v>
      </c>
      <c r="D179" s="39">
        <f t="shared" si="69"/>
        <v>14</v>
      </c>
      <c r="E179" s="39">
        <f t="shared" si="69"/>
        <v>3</v>
      </c>
      <c r="F179" s="39">
        <f t="shared" si="69"/>
        <v>18</v>
      </c>
      <c r="G179" s="50">
        <f t="shared" si="84"/>
        <v>72</v>
      </c>
      <c r="H179" s="44">
        <f t="shared" ref="H179:L179" si="86">H73+H74+H75+H76</f>
        <v>0</v>
      </c>
      <c r="I179" s="39">
        <f t="shared" si="86"/>
        <v>0</v>
      </c>
      <c r="J179" s="39">
        <f t="shared" si="86"/>
        <v>0</v>
      </c>
      <c r="K179" s="45">
        <f t="shared" si="86"/>
        <v>0</v>
      </c>
      <c r="L179" s="144">
        <f t="shared" si="86"/>
        <v>0</v>
      </c>
      <c r="M179" s="50">
        <f t="shared" ref="M179:M206" si="87">SUM(H179:K179)</f>
        <v>0</v>
      </c>
      <c r="N179" s="40">
        <f t="shared" ref="N179:N206" si="88">G179+M179</f>
        <v>72</v>
      </c>
      <c r="O179" s="43">
        <f t="shared" ref="O179:O206" si="89">B179*1+C179*0.5+D179*1.5+E179*3+F179*4.5+H179*0.5+I179*1.5+J179*3+K179*4+L179*8</f>
        <v>137.5</v>
      </c>
    </row>
    <row r="180" spans="1:15" ht="22.95" customHeight="1" x14ac:dyDescent="0.3">
      <c r="A180" s="52" t="s">
        <v>246</v>
      </c>
      <c r="B180" s="44">
        <f t="shared" ref="B180:F195" si="90">B74+B75+B76+B77</f>
        <v>14</v>
      </c>
      <c r="C180" s="39">
        <f t="shared" si="90"/>
        <v>21</v>
      </c>
      <c r="D180" s="39">
        <f t="shared" si="90"/>
        <v>13</v>
      </c>
      <c r="E180" s="39">
        <f t="shared" si="90"/>
        <v>0</v>
      </c>
      <c r="F180" s="39">
        <f t="shared" si="90"/>
        <v>17</v>
      </c>
      <c r="G180" s="50">
        <f t="shared" si="84"/>
        <v>65</v>
      </c>
      <c r="H180" s="44">
        <f t="shared" ref="H180:L180" si="91">H74+H75+H76+H77</f>
        <v>0</v>
      </c>
      <c r="I180" s="39">
        <f t="shared" si="91"/>
        <v>0</v>
      </c>
      <c r="J180" s="39">
        <f t="shared" si="91"/>
        <v>0</v>
      </c>
      <c r="K180" s="45">
        <f t="shared" si="91"/>
        <v>0</v>
      </c>
      <c r="L180" s="144">
        <f t="shared" si="91"/>
        <v>0</v>
      </c>
      <c r="M180" s="50">
        <f t="shared" si="87"/>
        <v>0</v>
      </c>
      <c r="N180" s="40">
        <f t="shared" si="88"/>
        <v>65</v>
      </c>
      <c r="O180" s="43">
        <f t="shared" si="89"/>
        <v>120.5</v>
      </c>
    </row>
    <row r="181" spans="1:15" ht="22.95" customHeight="1" x14ac:dyDescent="0.3">
      <c r="A181" s="52" t="s">
        <v>247</v>
      </c>
      <c r="B181" s="44">
        <f t="shared" si="90"/>
        <v>14</v>
      </c>
      <c r="C181" s="39">
        <f t="shared" si="90"/>
        <v>21</v>
      </c>
      <c r="D181" s="39">
        <f t="shared" si="90"/>
        <v>9</v>
      </c>
      <c r="E181" s="39">
        <f t="shared" si="90"/>
        <v>0</v>
      </c>
      <c r="F181" s="39">
        <f t="shared" si="90"/>
        <v>19</v>
      </c>
      <c r="G181" s="50">
        <f t="shared" si="84"/>
        <v>63</v>
      </c>
      <c r="H181" s="44">
        <f t="shared" ref="H181:L181" si="92">H75+H76+H77+H78</f>
        <v>0</v>
      </c>
      <c r="I181" s="39">
        <f t="shared" si="92"/>
        <v>0</v>
      </c>
      <c r="J181" s="39">
        <f t="shared" si="92"/>
        <v>0</v>
      </c>
      <c r="K181" s="45">
        <f t="shared" si="92"/>
        <v>0</v>
      </c>
      <c r="L181" s="144">
        <f t="shared" si="92"/>
        <v>0</v>
      </c>
      <c r="M181" s="50">
        <f t="shared" si="87"/>
        <v>0</v>
      </c>
      <c r="N181" s="40">
        <f t="shared" si="88"/>
        <v>63</v>
      </c>
      <c r="O181" s="43">
        <f t="shared" si="89"/>
        <v>123.5</v>
      </c>
    </row>
    <row r="182" spans="1:15" ht="22.95" customHeight="1" x14ac:dyDescent="0.3">
      <c r="A182" s="52" t="s">
        <v>248</v>
      </c>
      <c r="B182" s="44">
        <f t="shared" si="90"/>
        <v>12</v>
      </c>
      <c r="C182" s="39">
        <f t="shared" si="90"/>
        <v>21</v>
      </c>
      <c r="D182" s="39">
        <f t="shared" si="90"/>
        <v>9</v>
      </c>
      <c r="E182" s="39">
        <f t="shared" si="90"/>
        <v>0</v>
      </c>
      <c r="F182" s="39">
        <f t="shared" si="90"/>
        <v>18</v>
      </c>
      <c r="G182" s="50">
        <f t="shared" si="84"/>
        <v>60</v>
      </c>
      <c r="H182" s="44">
        <f t="shared" ref="H182:L182" si="93">H76+H77+H78+H79</f>
        <v>0</v>
      </c>
      <c r="I182" s="39">
        <f t="shared" si="93"/>
        <v>0</v>
      </c>
      <c r="J182" s="39">
        <f t="shared" si="93"/>
        <v>0</v>
      </c>
      <c r="K182" s="45">
        <f t="shared" si="93"/>
        <v>0</v>
      </c>
      <c r="L182" s="144">
        <f t="shared" si="93"/>
        <v>0</v>
      </c>
      <c r="M182" s="50">
        <f t="shared" si="87"/>
        <v>0</v>
      </c>
      <c r="N182" s="40">
        <f t="shared" si="88"/>
        <v>60</v>
      </c>
      <c r="O182" s="43">
        <f t="shared" si="89"/>
        <v>117</v>
      </c>
    </row>
    <row r="183" spans="1:15" ht="22.95" customHeight="1" x14ac:dyDescent="0.3">
      <c r="A183" s="52" t="s">
        <v>249</v>
      </c>
      <c r="B183" s="44">
        <f t="shared" si="90"/>
        <v>9</v>
      </c>
      <c r="C183" s="39">
        <f t="shared" si="90"/>
        <v>21</v>
      </c>
      <c r="D183" s="39">
        <f t="shared" si="90"/>
        <v>9</v>
      </c>
      <c r="E183" s="39">
        <f t="shared" si="90"/>
        <v>0</v>
      </c>
      <c r="F183" s="39">
        <f t="shared" si="90"/>
        <v>15</v>
      </c>
      <c r="G183" s="50">
        <f t="shared" si="84"/>
        <v>54</v>
      </c>
      <c r="H183" s="44">
        <f t="shared" ref="H183:L183" si="94">H77+H78+H79+H80</f>
        <v>0</v>
      </c>
      <c r="I183" s="39">
        <f t="shared" si="94"/>
        <v>0</v>
      </c>
      <c r="J183" s="39">
        <f t="shared" si="94"/>
        <v>0</v>
      </c>
      <c r="K183" s="45">
        <f t="shared" si="94"/>
        <v>0</v>
      </c>
      <c r="L183" s="144">
        <f t="shared" si="94"/>
        <v>0</v>
      </c>
      <c r="M183" s="50">
        <f t="shared" si="87"/>
        <v>0</v>
      </c>
      <c r="N183" s="40">
        <f t="shared" si="88"/>
        <v>54</v>
      </c>
      <c r="O183" s="43">
        <f t="shared" si="89"/>
        <v>100.5</v>
      </c>
    </row>
    <row r="184" spans="1:15" ht="22.95" customHeight="1" x14ac:dyDescent="0.3">
      <c r="A184" s="52" t="s">
        <v>250</v>
      </c>
      <c r="B184" s="44">
        <f t="shared" si="90"/>
        <v>8</v>
      </c>
      <c r="C184" s="39">
        <f t="shared" si="90"/>
        <v>18</v>
      </c>
      <c r="D184" s="39">
        <f t="shared" si="90"/>
        <v>10</v>
      </c>
      <c r="E184" s="39">
        <f t="shared" si="90"/>
        <v>0</v>
      </c>
      <c r="F184" s="39">
        <f t="shared" si="90"/>
        <v>16</v>
      </c>
      <c r="G184" s="50">
        <f t="shared" si="84"/>
        <v>52</v>
      </c>
      <c r="H184" s="44">
        <f t="shared" ref="H184:L184" si="95">H78+H79+H80+H81</f>
        <v>0</v>
      </c>
      <c r="I184" s="39">
        <f t="shared" si="95"/>
        <v>0</v>
      </c>
      <c r="J184" s="39">
        <f t="shared" si="95"/>
        <v>0</v>
      </c>
      <c r="K184" s="45">
        <f t="shared" si="95"/>
        <v>0</v>
      </c>
      <c r="L184" s="144">
        <f t="shared" si="95"/>
        <v>0</v>
      </c>
      <c r="M184" s="50">
        <f t="shared" si="87"/>
        <v>0</v>
      </c>
      <c r="N184" s="40">
        <f t="shared" si="88"/>
        <v>52</v>
      </c>
      <c r="O184" s="43">
        <f t="shared" si="89"/>
        <v>104</v>
      </c>
    </row>
    <row r="185" spans="1:15" ht="22.95" customHeight="1" x14ac:dyDescent="0.3">
      <c r="A185" s="52" t="s">
        <v>251</v>
      </c>
      <c r="B185" s="44">
        <f t="shared" si="90"/>
        <v>6</v>
      </c>
      <c r="C185" s="39">
        <f t="shared" si="90"/>
        <v>11</v>
      </c>
      <c r="D185" s="39">
        <f t="shared" si="90"/>
        <v>10</v>
      </c>
      <c r="E185" s="39">
        <f t="shared" si="90"/>
        <v>0</v>
      </c>
      <c r="F185" s="39">
        <f t="shared" si="90"/>
        <v>12</v>
      </c>
      <c r="G185" s="50">
        <f t="shared" si="84"/>
        <v>39</v>
      </c>
      <c r="H185" s="44">
        <f t="shared" ref="H185:L185" si="96">H79+H80+H81+H82</f>
        <v>0</v>
      </c>
      <c r="I185" s="39">
        <f t="shared" si="96"/>
        <v>0</v>
      </c>
      <c r="J185" s="39">
        <f t="shared" si="96"/>
        <v>0</v>
      </c>
      <c r="K185" s="45">
        <f t="shared" si="96"/>
        <v>0</v>
      </c>
      <c r="L185" s="144">
        <f t="shared" si="96"/>
        <v>0</v>
      </c>
      <c r="M185" s="50">
        <f t="shared" si="87"/>
        <v>0</v>
      </c>
      <c r="N185" s="40">
        <f t="shared" si="88"/>
        <v>39</v>
      </c>
      <c r="O185" s="43">
        <f t="shared" si="89"/>
        <v>80.5</v>
      </c>
    </row>
    <row r="186" spans="1:15" ht="22.95" customHeight="1" x14ac:dyDescent="0.3">
      <c r="A186" s="52" t="s">
        <v>252</v>
      </c>
      <c r="B186" s="44">
        <f t="shared" si="90"/>
        <v>5</v>
      </c>
      <c r="C186" s="39">
        <f t="shared" si="90"/>
        <v>12</v>
      </c>
      <c r="D186" s="39">
        <f t="shared" si="90"/>
        <v>10</v>
      </c>
      <c r="E186" s="39">
        <f t="shared" si="90"/>
        <v>0</v>
      </c>
      <c r="F186" s="39">
        <f t="shared" si="90"/>
        <v>10</v>
      </c>
      <c r="G186" s="50">
        <f t="shared" si="84"/>
        <v>37</v>
      </c>
      <c r="H186" s="44">
        <f t="shared" ref="H186:L186" si="97">H80+H81+H82+H83</f>
        <v>0</v>
      </c>
      <c r="I186" s="39">
        <f t="shared" si="97"/>
        <v>0</v>
      </c>
      <c r="J186" s="39">
        <f t="shared" si="97"/>
        <v>0</v>
      </c>
      <c r="K186" s="45">
        <f t="shared" si="97"/>
        <v>0</v>
      </c>
      <c r="L186" s="144">
        <f t="shared" si="97"/>
        <v>0</v>
      </c>
      <c r="M186" s="50">
        <f t="shared" si="87"/>
        <v>0</v>
      </c>
      <c r="N186" s="40">
        <f t="shared" si="88"/>
        <v>37</v>
      </c>
      <c r="O186" s="43">
        <f t="shared" si="89"/>
        <v>71</v>
      </c>
    </row>
    <row r="187" spans="1:15" ht="22.95" customHeight="1" x14ac:dyDescent="0.3">
      <c r="A187" s="52" t="s">
        <v>253</v>
      </c>
      <c r="B187" s="44">
        <f t="shared" si="90"/>
        <v>8</v>
      </c>
      <c r="C187" s="39">
        <f t="shared" si="90"/>
        <v>14</v>
      </c>
      <c r="D187" s="39">
        <f t="shared" si="90"/>
        <v>9</v>
      </c>
      <c r="E187" s="39">
        <f t="shared" si="90"/>
        <v>1</v>
      </c>
      <c r="F187" s="39">
        <f t="shared" si="90"/>
        <v>9</v>
      </c>
      <c r="G187" s="50">
        <f t="shared" si="84"/>
        <v>41</v>
      </c>
      <c r="H187" s="44">
        <f t="shared" ref="H187:L187" si="98">H81+H82+H83+H84</f>
        <v>0</v>
      </c>
      <c r="I187" s="39">
        <f t="shared" si="98"/>
        <v>0</v>
      </c>
      <c r="J187" s="39">
        <f t="shared" si="98"/>
        <v>0</v>
      </c>
      <c r="K187" s="45">
        <f t="shared" si="98"/>
        <v>0</v>
      </c>
      <c r="L187" s="144">
        <f t="shared" si="98"/>
        <v>0</v>
      </c>
      <c r="M187" s="50">
        <f t="shared" si="87"/>
        <v>0</v>
      </c>
      <c r="N187" s="40">
        <f t="shared" si="88"/>
        <v>41</v>
      </c>
      <c r="O187" s="43">
        <f t="shared" si="89"/>
        <v>72</v>
      </c>
    </row>
    <row r="188" spans="1:15" ht="22.95" customHeight="1" x14ac:dyDescent="0.3">
      <c r="A188" s="52" t="s">
        <v>254</v>
      </c>
      <c r="B188" s="44">
        <f t="shared" si="90"/>
        <v>9</v>
      </c>
      <c r="C188" s="39">
        <f t="shared" si="90"/>
        <v>19</v>
      </c>
      <c r="D188" s="39">
        <f t="shared" si="90"/>
        <v>8</v>
      </c>
      <c r="E188" s="39">
        <f t="shared" si="90"/>
        <v>3</v>
      </c>
      <c r="F188" s="39">
        <f t="shared" si="90"/>
        <v>5</v>
      </c>
      <c r="G188" s="50">
        <f t="shared" si="84"/>
        <v>44</v>
      </c>
      <c r="H188" s="44">
        <f t="shared" ref="H188:L188" si="99">H82+H83+H84+H85</f>
        <v>0</v>
      </c>
      <c r="I188" s="39">
        <f t="shared" si="99"/>
        <v>0</v>
      </c>
      <c r="J188" s="39">
        <f t="shared" si="99"/>
        <v>0</v>
      </c>
      <c r="K188" s="45">
        <f t="shared" si="99"/>
        <v>0</v>
      </c>
      <c r="L188" s="144">
        <f t="shared" si="99"/>
        <v>0</v>
      </c>
      <c r="M188" s="50">
        <f t="shared" si="87"/>
        <v>0</v>
      </c>
      <c r="N188" s="40">
        <f t="shared" si="88"/>
        <v>44</v>
      </c>
      <c r="O188" s="43">
        <f t="shared" si="89"/>
        <v>62</v>
      </c>
    </row>
    <row r="189" spans="1:15" ht="22.95" customHeight="1" x14ac:dyDescent="0.3">
      <c r="A189" s="52" t="s">
        <v>255</v>
      </c>
      <c r="B189" s="44">
        <f t="shared" si="90"/>
        <v>8</v>
      </c>
      <c r="C189" s="39">
        <f t="shared" si="90"/>
        <v>18</v>
      </c>
      <c r="D189" s="39">
        <f t="shared" si="90"/>
        <v>10</v>
      </c>
      <c r="E189" s="39">
        <f t="shared" si="90"/>
        <v>3</v>
      </c>
      <c r="F189" s="39">
        <f t="shared" si="90"/>
        <v>6</v>
      </c>
      <c r="G189" s="50">
        <f t="shared" si="84"/>
        <v>45</v>
      </c>
      <c r="H189" s="44">
        <f t="shared" ref="H189:L189" si="100">H83+H84+H85+H86</f>
        <v>0</v>
      </c>
      <c r="I189" s="39">
        <f t="shared" si="100"/>
        <v>0</v>
      </c>
      <c r="J189" s="39">
        <f t="shared" si="100"/>
        <v>0</v>
      </c>
      <c r="K189" s="45">
        <f t="shared" si="100"/>
        <v>0</v>
      </c>
      <c r="L189" s="144">
        <f t="shared" si="100"/>
        <v>0</v>
      </c>
      <c r="M189" s="50">
        <f t="shared" si="87"/>
        <v>0</v>
      </c>
      <c r="N189" s="40">
        <f t="shared" si="88"/>
        <v>45</v>
      </c>
      <c r="O189" s="43">
        <f t="shared" si="89"/>
        <v>68</v>
      </c>
    </row>
    <row r="190" spans="1:15" ht="22.95" customHeight="1" x14ac:dyDescent="0.3">
      <c r="A190" s="52" t="s">
        <v>256</v>
      </c>
      <c r="B190" s="44">
        <f t="shared" si="90"/>
        <v>7</v>
      </c>
      <c r="C190" s="39">
        <f t="shared" si="90"/>
        <v>16</v>
      </c>
      <c r="D190" s="39">
        <f t="shared" si="90"/>
        <v>8</v>
      </c>
      <c r="E190" s="39">
        <f t="shared" si="90"/>
        <v>3</v>
      </c>
      <c r="F190" s="39">
        <f t="shared" si="90"/>
        <v>9</v>
      </c>
      <c r="G190" s="50">
        <f t="shared" si="84"/>
        <v>43</v>
      </c>
      <c r="H190" s="44">
        <f t="shared" ref="H190:L190" si="101">H84+H85+H86+H87</f>
        <v>0</v>
      </c>
      <c r="I190" s="39">
        <f t="shared" si="101"/>
        <v>0</v>
      </c>
      <c r="J190" s="39">
        <f t="shared" si="101"/>
        <v>0</v>
      </c>
      <c r="K190" s="45">
        <f t="shared" si="101"/>
        <v>0</v>
      </c>
      <c r="L190" s="144">
        <f t="shared" si="101"/>
        <v>0</v>
      </c>
      <c r="M190" s="50">
        <f t="shared" si="87"/>
        <v>0</v>
      </c>
      <c r="N190" s="40">
        <f t="shared" si="88"/>
        <v>43</v>
      </c>
      <c r="O190" s="43">
        <f t="shared" si="89"/>
        <v>76.5</v>
      </c>
    </row>
    <row r="191" spans="1:15" ht="22.95" customHeight="1" x14ac:dyDescent="0.3">
      <c r="A191" s="52" t="s">
        <v>257</v>
      </c>
      <c r="B191" s="44">
        <f t="shared" si="90"/>
        <v>6</v>
      </c>
      <c r="C191" s="39">
        <f t="shared" si="90"/>
        <v>14</v>
      </c>
      <c r="D191" s="39">
        <f t="shared" si="90"/>
        <v>8</v>
      </c>
      <c r="E191" s="39">
        <f t="shared" si="90"/>
        <v>4</v>
      </c>
      <c r="F191" s="39">
        <f t="shared" si="90"/>
        <v>11</v>
      </c>
      <c r="G191" s="50">
        <f t="shared" si="84"/>
        <v>43</v>
      </c>
      <c r="H191" s="44">
        <f t="shared" ref="H191:L191" si="102">H85+H86+H87+H88</f>
        <v>0</v>
      </c>
      <c r="I191" s="39">
        <f t="shared" si="102"/>
        <v>0</v>
      </c>
      <c r="J191" s="39">
        <f t="shared" si="102"/>
        <v>0</v>
      </c>
      <c r="K191" s="45">
        <f t="shared" si="102"/>
        <v>0</v>
      </c>
      <c r="L191" s="144">
        <f t="shared" si="102"/>
        <v>0</v>
      </c>
      <c r="M191" s="50">
        <f t="shared" si="87"/>
        <v>0</v>
      </c>
      <c r="N191" s="40">
        <f t="shared" si="88"/>
        <v>43</v>
      </c>
      <c r="O191" s="43">
        <f t="shared" si="89"/>
        <v>86.5</v>
      </c>
    </row>
    <row r="192" spans="1:15" ht="22.95" customHeight="1" x14ac:dyDescent="0.3">
      <c r="A192" s="52" t="s">
        <v>258</v>
      </c>
      <c r="B192" s="44">
        <f t="shared" si="90"/>
        <v>5</v>
      </c>
      <c r="C192" s="39">
        <f t="shared" si="90"/>
        <v>12</v>
      </c>
      <c r="D192" s="39">
        <f t="shared" si="90"/>
        <v>8</v>
      </c>
      <c r="E192" s="39">
        <f t="shared" si="90"/>
        <v>5</v>
      </c>
      <c r="F192" s="39">
        <f t="shared" si="90"/>
        <v>12</v>
      </c>
      <c r="G192" s="50">
        <f t="shared" si="84"/>
        <v>42</v>
      </c>
      <c r="H192" s="44">
        <f t="shared" ref="H192:L192" si="103">H86+H87+H88+H89</f>
        <v>0</v>
      </c>
      <c r="I192" s="39">
        <f t="shared" si="103"/>
        <v>0</v>
      </c>
      <c r="J192" s="39">
        <f t="shared" si="103"/>
        <v>0</v>
      </c>
      <c r="K192" s="45">
        <f t="shared" si="103"/>
        <v>0</v>
      </c>
      <c r="L192" s="144">
        <f t="shared" si="103"/>
        <v>0</v>
      </c>
      <c r="M192" s="50">
        <f t="shared" si="87"/>
        <v>0</v>
      </c>
      <c r="N192" s="40">
        <f t="shared" si="88"/>
        <v>42</v>
      </c>
      <c r="O192" s="43">
        <f t="shared" si="89"/>
        <v>92</v>
      </c>
    </row>
    <row r="193" spans="1:15" ht="22.95" customHeight="1" x14ac:dyDescent="0.3">
      <c r="A193" s="52" t="s">
        <v>259</v>
      </c>
      <c r="B193" s="44">
        <f t="shared" si="90"/>
        <v>9</v>
      </c>
      <c r="C193" s="39">
        <f t="shared" si="90"/>
        <v>14</v>
      </c>
      <c r="D193" s="39">
        <f t="shared" si="90"/>
        <v>10</v>
      </c>
      <c r="E193" s="39">
        <f t="shared" si="90"/>
        <v>5</v>
      </c>
      <c r="F193" s="39">
        <f t="shared" si="90"/>
        <v>10</v>
      </c>
      <c r="G193" s="50">
        <f t="shared" si="84"/>
        <v>48</v>
      </c>
      <c r="H193" s="44">
        <f t="shared" ref="H193:L193" si="104">H87+H88+H89+H90</f>
        <v>0</v>
      </c>
      <c r="I193" s="39">
        <f t="shared" si="104"/>
        <v>0</v>
      </c>
      <c r="J193" s="39">
        <f t="shared" si="104"/>
        <v>0</v>
      </c>
      <c r="K193" s="45">
        <f t="shared" si="104"/>
        <v>0</v>
      </c>
      <c r="L193" s="144">
        <f t="shared" si="104"/>
        <v>0</v>
      </c>
      <c r="M193" s="50">
        <f t="shared" si="87"/>
        <v>0</v>
      </c>
      <c r="N193" s="40">
        <f t="shared" si="88"/>
        <v>48</v>
      </c>
      <c r="O193" s="43">
        <f t="shared" si="89"/>
        <v>91</v>
      </c>
    </row>
    <row r="194" spans="1:15" ht="22.95" customHeight="1" x14ac:dyDescent="0.3">
      <c r="A194" s="52" t="s">
        <v>260</v>
      </c>
      <c r="B194" s="44">
        <f t="shared" si="90"/>
        <v>13</v>
      </c>
      <c r="C194" s="39">
        <f t="shared" si="90"/>
        <v>14</v>
      </c>
      <c r="D194" s="39">
        <f t="shared" si="90"/>
        <v>11</v>
      </c>
      <c r="E194" s="39">
        <f t="shared" si="90"/>
        <v>5</v>
      </c>
      <c r="F194" s="39">
        <f t="shared" si="90"/>
        <v>5</v>
      </c>
      <c r="G194" s="50">
        <f t="shared" si="84"/>
        <v>48</v>
      </c>
      <c r="H194" s="44">
        <f t="shared" ref="H194:L194" si="105">H88+H89+H90+H91</f>
        <v>0</v>
      </c>
      <c r="I194" s="39">
        <f t="shared" si="105"/>
        <v>0</v>
      </c>
      <c r="J194" s="39">
        <f t="shared" si="105"/>
        <v>0</v>
      </c>
      <c r="K194" s="45">
        <f t="shared" si="105"/>
        <v>0</v>
      </c>
      <c r="L194" s="144">
        <f t="shared" si="105"/>
        <v>0</v>
      </c>
      <c r="M194" s="50">
        <f t="shared" si="87"/>
        <v>0</v>
      </c>
      <c r="N194" s="40">
        <f t="shared" si="88"/>
        <v>48</v>
      </c>
      <c r="O194" s="43">
        <f t="shared" si="89"/>
        <v>74</v>
      </c>
    </row>
    <row r="195" spans="1:15" ht="22.95" customHeight="1" x14ac:dyDescent="0.3">
      <c r="A195" s="52" t="s">
        <v>261</v>
      </c>
      <c r="B195" s="44">
        <f t="shared" si="90"/>
        <v>16</v>
      </c>
      <c r="C195" s="39">
        <f t="shared" si="90"/>
        <v>9</v>
      </c>
      <c r="D195" s="39">
        <f t="shared" si="90"/>
        <v>14</v>
      </c>
      <c r="E195" s="39">
        <f t="shared" si="90"/>
        <v>4</v>
      </c>
      <c r="F195" s="39">
        <f t="shared" si="90"/>
        <v>2</v>
      </c>
      <c r="G195" s="50">
        <f t="shared" si="84"/>
        <v>45</v>
      </c>
      <c r="H195" s="44">
        <f t="shared" ref="H195:L195" si="106">H89+H90+H91+H92</f>
        <v>0</v>
      </c>
      <c r="I195" s="39">
        <f t="shared" si="106"/>
        <v>0</v>
      </c>
      <c r="J195" s="39">
        <f t="shared" si="106"/>
        <v>0</v>
      </c>
      <c r="K195" s="45">
        <f t="shared" si="106"/>
        <v>0</v>
      </c>
      <c r="L195" s="144">
        <f t="shared" si="106"/>
        <v>0</v>
      </c>
      <c r="M195" s="50">
        <f t="shared" si="87"/>
        <v>0</v>
      </c>
      <c r="N195" s="40">
        <f t="shared" si="88"/>
        <v>45</v>
      </c>
      <c r="O195" s="43">
        <f t="shared" si="89"/>
        <v>62.5</v>
      </c>
    </row>
    <row r="196" spans="1:15" ht="22.95" customHeight="1" x14ac:dyDescent="0.3">
      <c r="A196" s="52" t="s">
        <v>270</v>
      </c>
      <c r="B196" s="44">
        <f t="shared" ref="B196:F206" si="107">B90+B91+B92+B93</f>
        <v>18</v>
      </c>
      <c r="C196" s="39">
        <f t="shared" si="107"/>
        <v>8</v>
      </c>
      <c r="D196" s="39">
        <f t="shared" si="107"/>
        <v>16</v>
      </c>
      <c r="E196" s="39">
        <f t="shared" si="107"/>
        <v>1</v>
      </c>
      <c r="F196" s="39">
        <f t="shared" si="107"/>
        <v>1</v>
      </c>
      <c r="G196" s="50">
        <f t="shared" si="84"/>
        <v>44</v>
      </c>
      <c r="H196" s="44">
        <f t="shared" ref="H196:L196" si="108">H90+H91+H92+H93</f>
        <v>0</v>
      </c>
      <c r="I196" s="39">
        <f t="shared" si="108"/>
        <v>0</v>
      </c>
      <c r="J196" s="39">
        <f t="shared" si="108"/>
        <v>0</v>
      </c>
      <c r="K196" s="45">
        <f t="shared" si="108"/>
        <v>0</v>
      </c>
      <c r="L196" s="144">
        <f t="shared" si="108"/>
        <v>0</v>
      </c>
      <c r="M196" s="50">
        <f t="shared" si="87"/>
        <v>0</v>
      </c>
      <c r="N196" s="40">
        <f t="shared" si="88"/>
        <v>44</v>
      </c>
      <c r="O196" s="43">
        <f t="shared" si="89"/>
        <v>53.5</v>
      </c>
    </row>
    <row r="197" spans="1:15" ht="22.95" customHeight="1" x14ac:dyDescent="0.3">
      <c r="A197" s="52" t="s">
        <v>271</v>
      </c>
      <c r="B197" s="44">
        <f t="shared" si="107"/>
        <v>19</v>
      </c>
      <c r="C197" s="39">
        <f t="shared" si="107"/>
        <v>8</v>
      </c>
      <c r="D197" s="39">
        <f t="shared" si="107"/>
        <v>11</v>
      </c>
      <c r="E197" s="39">
        <f t="shared" si="107"/>
        <v>1</v>
      </c>
      <c r="F197" s="39">
        <f t="shared" si="107"/>
        <v>2</v>
      </c>
      <c r="G197" s="50">
        <f t="shared" si="84"/>
        <v>41</v>
      </c>
      <c r="H197" s="44">
        <f t="shared" ref="H197:L197" si="109">H91+H92+H93+H94</f>
        <v>0</v>
      </c>
      <c r="I197" s="39">
        <f t="shared" si="109"/>
        <v>0</v>
      </c>
      <c r="J197" s="39">
        <f t="shared" si="109"/>
        <v>0</v>
      </c>
      <c r="K197" s="45">
        <f t="shared" si="109"/>
        <v>0</v>
      </c>
      <c r="L197" s="144">
        <f t="shared" si="109"/>
        <v>0</v>
      </c>
      <c r="M197" s="50">
        <f t="shared" si="87"/>
        <v>0</v>
      </c>
      <c r="N197" s="40">
        <f t="shared" si="88"/>
        <v>41</v>
      </c>
      <c r="O197" s="43">
        <f t="shared" si="89"/>
        <v>51.5</v>
      </c>
    </row>
    <row r="198" spans="1:15" ht="22.95" customHeight="1" x14ac:dyDescent="0.3">
      <c r="A198" s="52" t="s">
        <v>279</v>
      </c>
      <c r="B198" s="44">
        <f t="shared" si="107"/>
        <v>25</v>
      </c>
      <c r="C198" s="39">
        <f t="shared" si="107"/>
        <v>10</v>
      </c>
      <c r="D198" s="39">
        <f t="shared" si="107"/>
        <v>11</v>
      </c>
      <c r="E198" s="39">
        <f t="shared" si="107"/>
        <v>1</v>
      </c>
      <c r="F198" s="39">
        <f t="shared" si="107"/>
        <v>4</v>
      </c>
      <c r="G198" s="50">
        <f t="shared" si="84"/>
        <v>51</v>
      </c>
      <c r="H198" s="44">
        <f t="shared" ref="H198:L198" si="110">H92+H93+H94+H95</f>
        <v>0</v>
      </c>
      <c r="I198" s="39">
        <f t="shared" si="110"/>
        <v>0</v>
      </c>
      <c r="J198" s="39">
        <f t="shared" si="110"/>
        <v>0</v>
      </c>
      <c r="K198" s="45">
        <f t="shared" si="110"/>
        <v>0</v>
      </c>
      <c r="L198" s="144">
        <f t="shared" si="110"/>
        <v>0</v>
      </c>
      <c r="M198" s="50">
        <f t="shared" si="87"/>
        <v>0</v>
      </c>
      <c r="N198" s="40">
        <f t="shared" si="88"/>
        <v>51</v>
      </c>
      <c r="O198" s="43">
        <f t="shared" si="89"/>
        <v>67.5</v>
      </c>
    </row>
    <row r="199" spans="1:15" ht="22.95" customHeight="1" x14ac:dyDescent="0.3">
      <c r="A199" s="52" t="s">
        <v>62</v>
      </c>
      <c r="B199" s="44">
        <f t="shared" si="107"/>
        <v>29</v>
      </c>
      <c r="C199" s="39">
        <f t="shared" si="107"/>
        <v>20</v>
      </c>
      <c r="D199" s="39">
        <f t="shared" si="107"/>
        <v>8</v>
      </c>
      <c r="E199" s="39">
        <f t="shared" si="107"/>
        <v>0</v>
      </c>
      <c r="F199" s="39">
        <f t="shared" si="107"/>
        <v>4</v>
      </c>
      <c r="G199" s="50">
        <f t="shared" si="84"/>
        <v>61</v>
      </c>
      <c r="H199" s="44">
        <f t="shared" ref="H199:L199" si="111">H93+H94+H95+H96</f>
        <v>0</v>
      </c>
      <c r="I199" s="39">
        <f t="shared" si="111"/>
        <v>0</v>
      </c>
      <c r="J199" s="39">
        <f t="shared" si="111"/>
        <v>0</v>
      </c>
      <c r="K199" s="45">
        <f t="shared" si="111"/>
        <v>0</v>
      </c>
      <c r="L199" s="144">
        <f t="shared" si="111"/>
        <v>0</v>
      </c>
      <c r="M199" s="50">
        <f t="shared" si="87"/>
        <v>0</v>
      </c>
      <c r="N199" s="40">
        <f t="shared" si="88"/>
        <v>61</v>
      </c>
      <c r="O199" s="43">
        <f t="shared" si="89"/>
        <v>69</v>
      </c>
    </row>
    <row r="200" spans="1:15" ht="22.95" customHeight="1" x14ac:dyDescent="0.3">
      <c r="A200" s="52" t="s">
        <v>63</v>
      </c>
      <c r="B200" s="44">
        <f t="shared" si="107"/>
        <v>38</v>
      </c>
      <c r="C200" s="39">
        <f t="shared" si="107"/>
        <v>32</v>
      </c>
      <c r="D200" s="39">
        <f t="shared" si="107"/>
        <v>6</v>
      </c>
      <c r="E200" s="39">
        <f t="shared" si="107"/>
        <v>1</v>
      </c>
      <c r="F200" s="39">
        <f t="shared" si="107"/>
        <v>5</v>
      </c>
      <c r="G200" s="50">
        <f t="shared" si="84"/>
        <v>82</v>
      </c>
      <c r="H200" s="44">
        <f t="shared" ref="H200:L200" si="112">H94+H95+H96+H97</f>
        <v>0</v>
      </c>
      <c r="I200" s="39">
        <f t="shared" si="112"/>
        <v>0</v>
      </c>
      <c r="J200" s="39">
        <f t="shared" si="112"/>
        <v>0</v>
      </c>
      <c r="K200" s="45">
        <f t="shared" si="112"/>
        <v>0</v>
      </c>
      <c r="L200" s="144">
        <f t="shared" si="112"/>
        <v>0</v>
      </c>
      <c r="M200" s="50">
        <f t="shared" si="87"/>
        <v>0</v>
      </c>
      <c r="N200" s="40">
        <f t="shared" si="88"/>
        <v>82</v>
      </c>
      <c r="O200" s="43">
        <f t="shared" si="89"/>
        <v>88.5</v>
      </c>
    </row>
    <row r="201" spans="1:15" ht="22.95" customHeight="1" x14ac:dyDescent="0.3">
      <c r="A201" s="52" t="s">
        <v>64</v>
      </c>
      <c r="B201" s="44">
        <f t="shared" si="107"/>
        <v>58</v>
      </c>
      <c r="C201" s="39">
        <f t="shared" si="107"/>
        <v>54</v>
      </c>
      <c r="D201" s="39">
        <f t="shared" si="107"/>
        <v>6</v>
      </c>
      <c r="E201" s="39">
        <f t="shared" si="107"/>
        <v>3</v>
      </c>
      <c r="F201" s="39">
        <f t="shared" si="107"/>
        <v>7</v>
      </c>
      <c r="G201" s="50">
        <f t="shared" si="84"/>
        <v>128</v>
      </c>
      <c r="H201" s="44">
        <f t="shared" ref="H201:L201" si="113">H95+H96+H97+H98</f>
        <v>0</v>
      </c>
      <c r="I201" s="39">
        <f t="shared" si="113"/>
        <v>0</v>
      </c>
      <c r="J201" s="39">
        <f t="shared" si="113"/>
        <v>0</v>
      </c>
      <c r="K201" s="45">
        <f t="shared" si="113"/>
        <v>0</v>
      </c>
      <c r="L201" s="144">
        <f t="shared" si="113"/>
        <v>0</v>
      </c>
      <c r="M201" s="50">
        <f t="shared" si="87"/>
        <v>0</v>
      </c>
      <c r="N201" s="40">
        <f t="shared" si="88"/>
        <v>128</v>
      </c>
      <c r="O201" s="43">
        <f t="shared" si="89"/>
        <v>134.5</v>
      </c>
    </row>
    <row r="202" spans="1:15" ht="22.95" customHeight="1" x14ac:dyDescent="0.3">
      <c r="A202" s="52" t="s">
        <v>65</v>
      </c>
      <c r="B202" s="44">
        <f t="shared" si="107"/>
        <v>63</v>
      </c>
      <c r="C202" s="39">
        <f t="shared" si="107"/>
        <v>63</v>
      </c>
      <c r="D202" s="39">
        <f t="shared" si="107"/>
        <v>6</v>
      </c>
      <c r="E202" s="39">
        <f t="shared" si="107"/>
        <v>5</v>
      </c>
      <c r="F202" s="39">
        <f t="shared" si="107"/>
        <v>6</v>
      </c>
      <c r="G202" s="50">
        <f t="shared" si="84"/>
        <v>143</v>
      </c>
      <c r="H202" s="44">
        <f t="shared" ref="H202:L202" si="114">H96+H97+H98+H99</f>
        <v>0</v>
      </c>
      <c r="I202" s="39">
        <f t="shared" si="114"/>
        <v>0</v>
      </c>
      <c r="J202" s="39">
        <f t="shared" si="114"/>
        <v>0</v>
      </c>
      <c r="K202" s="45">
        <f t="shared" si="114"/>
        <v>0</v>
      </c>
      <c r="L202" s="144">
        <f t="shared" si="114"/>
        <v>0</v>
      </c>
      <c r="M202" s="50">
        <f t="shared" si="87"/>
        <v>0</v>
      </c>
      <c r="N202" s="40">
        <f t="shared" si="88"/>
        <v>143</v>
      </c>
      <c r="O202" s="43">
        <f t="shared" si="89"/>
        <v>145.5</v>
      </c>
    </row>
    <row r="203" spans="1:15" ht="22.95" customHeight="1" x14ac:dyDescent="0.3">
      <c r="A203" s="52" t="s">
        <v>66</v>
      </c>
      <c r="B203" s="44">
        <f t="shared" si="107"/>
        <v>98</v>
      </c>
      <c r="C203" s="39">
        <f t="shared" si="107"/>
        <v>68</v>
      </c>
      <c r="D203" s="39">
        <f t="shared" si="107"/>
        <v>5</v>
      </c>
      <c r="E203" s="39">
        <f t="shared" si="107"/>
        <v>13</v>
      </c>
      <c r="F203" s="39">
        <f t="shared" si="107"/>
        <v>8</v>
      </c>
      <c r="G203" s="50">
        <f t="shared" si="84"/>
        <v>192</v>
      </c>
      <c r="H203" s="44">
        <f t="shared" ref="H203:L203" si="115">H97+H98+H99+H100</f>
        <v>0</v>
      </c>
      <c r="I203" s="39">
        <f t="shared" si="115"/>
        <v>0</v>
      </c>
      <c r="J203" s="39">
        <f t="shared" si="115"/>
        <v>0</v>
      </c>
      <c r="K203" s="45">
        <f t="shared" si="115"/>
        <v>0</v>
      </c>
      <c r="L203" s="144">
        <f t="shared" si="115"/>
        <v>4</v>
      </c>
      <c r="M203" s="50">
        <f t="shared" si="87"/>
        <v>0</v>
      </c>
      <c r="N203" s="40">
        <f t="shared" si="88"/>
        <v>192</v>
      </c>
      <c r="O203" s="43">
        <f t="shared" si="89"/>
        <v>246.5</v>
      </c>
    </row>
    <row r="204" spans="1:15" ht="22.95" customHeight="1" x14ac:dyDescent="0.3">
      <c r="A204" s="52" t="s">
        <v>67</v>
      </c>
      <c r="B204" s="44">
        <f t="shared" si="107"/>
        <v>147</v>
      </c>
      <c r="C204" s="39">
        <f t="shared" si="107"/>
        <v>68</v>
      </c>
      <c r="D204" s="39">
        <f t="shared" si="107"/>
        <v>8</v>
      </c>
      <c r="E204" s="39">
        <f t="shared" si="107"/>
        <v>21</v>
      </c>
      <c r="F204" s="39">
        <f t="shared" si="107"/>
        <v>7</v>
      </c>
      <c r="G204" s="50">
        <f t="shared" si="84"/>
        <v>251</v>
      </c>
      <c r="H204" s="44">
        <f t="shared" ref="H204:L204" si="116">H98+H99+H100+H101</f>
        <v>0</v>
      </c>
      <c r="I204" s="39">
        <f t="shared" si="116"/>
        <v>0</v>
      </c>
      <c r="J204" s="39">
        <f t="shared" si="116"/>
        <v>0</v>
      </c>
      <c r="K204" s="45">
        <f t="shared" si="116"/>
        <v>0</v>
      </c>
      <c r="L204" s="144">
        <f t="shared" si="116"/>
        <v>6</v>
      </c>
      <c r="M204" s="50">
        <f t="shared" si="87"/>
        <v>0</v>
      </c>
      <c r="N204" s="40">
        <f t="shared" si="88"/>
        <v>251</v>
      </c>
      <c r="O204" s="43">
        <f t="shared" si="89"/>
        <v>335.5</v>
      </c>
    </row>
    <row r="205" spans="1:15" ht="22.95" customHeight="1" x14ac:dyDescent="0.3">
      <c r="A205" s="52" t="s">
        <v>68</v>
      </c>
      <c r="B205" s="44">
        <f t="shared" si="107"/>
        <v>197</v>
      </c>
      <c r="C205" s="39">
        <f t="shared" si="107"/>
        <v>62</v>
      </c>
      <c r="D205" s="39">
        <f t="shared" si="107"/>
        <v>10</v>
      </c>
      <c r="E205" s="39">
        <f t="shared" si="107"/>
        <v>26</v>
      </c>
      <c r="F205" s="39">
        <f t="shared" si="107"/>
        <v>8</v>
      </c>
      <c r="G205" s="50">
        <f t="shared" si="84"/>
        <v>303</v>
      </c>
      <c r="H205" s="44">
        <f t="shared" ref="H205:L205" si="117">H99+H100+H101+H102</f>
        <v>0</v>
      </c>
      <c r="I205" s="39">
        <f t="shared" si="117"/>
        <v>0</v>
      </c>
      <c r="J205" s="39">
        <f t="shared" si="117"/>
        <v>0</v>
      </c>
      <c r="K205" s="45">
        <f t="shared" si="117"/>
        <v>0</v>
      </c>
      <c r="L205" s="144">
        <f t="shared" si="117"/>
        <v>9</v>
      </c>
      <c r="M205" s="50">
        <f t="shared" si="87"/>
        <v>0</v>
      </c>
      <c r="N205" s="40">
        <f t="shared" si="88"/>
        <v>303</v>
      </c>
      <c r="O205" s="43">
        <f t="shared" si="89"/>
        <v>429</v>
      </c>
    </row>
    <row r="206" spans="1:15" ht="22.95" customHeight="1" thickBot="1" x14ac:dyDescent="0.35">
      <c r="A206" s="52" t="s">
        <v>69</v>
      </c>
      <c r="B206" s="46">
        <f t="shared" si="107"/>
        <v>251</v>
      </c>
      <c r="C206" s="47">
        <f t="shared" si="107"/>
        <v>76</v>
      </c>
      <c r="D206" s="47">
        <f t="shared" si="107"/>
        <v>10</v>
      </c>
      <c r="E206" s="47">
        <f t="shared" si="107"/>
        <v>32</v>
      </c>
      <c r="F206" s="47">
        <f t="shared" si="107"/>
        <v>10</v>
      </c>
      <c r="G206" s="50">
        <f t="shared" si="84"/>
        <v>379</v>
      </c>
      <c r="H206" s="44">
        <f t="shared" ref="H206:L206" si="118">H100+H101+H102+H103</f>
        <v>0</v>
      </c>
      <c r="I206" s="39">
        <f t="shared" si="118"/>
        <v>0</v>
      </c>
      <c r="J206" s="39">
        <f t="shared" si="118"/>
        <v>0</v>
      </c>
      <c r="K206" s="45">
        <f t="shared" si="118"/>
        <v>0</v>
      </c>
      <c r="L206" s="145">
        <f t="shared" si="118"/>
        <v>11</v>
      </c>
      <c r="M206" s="50">
        <f t="shared" si="87"/>
        <v>0</v>
      </c>
      <c r="N206" s="40">
        <f t="shared" si="88"/>
        <v>379</v>
      </c>
      <c r="O206" s="43">
        <f t="shared" si="89"/>
        <v>533</v>
      </c>
    </row>
  </sheetData>
  <mergeCells count="31">
    <mergeCell ref="A1:M1"/>
    <mergeCell ref="D6:D7"/>
    <mergeCell ref="E6:E7"/>
    <mergeCell ref="H6:H7"/>
    <mergeCell ref="I6:I7"/>
    <mergeCell ref="J6:J7"/>
    <mergeCell ref="K6:K7"/>
    <mergeCell ref="M6:M7"/>
    <mergeCell ref="A6:A7"/>
    <mergeCell ref="B6:B7"/>
    <mergeCell ref="F6:F7"/>
    <mergeCell ref="A112:A113"/>
    <mergeCell ref="C6:C7"/>
    <mergeCell ref="C112:C113"/>
    <mergeCell ref="D112:D113"/>
    <mergeCell ref="E112:E113"/>
    <mergeCell ref="B112:B113"/>
    <mergeCell ref="N6:N7"/>
    <mergeCell ref="O6:O7"/>
    <mergeCell ref="F112:F113"/>
    <mergeCell ref="G112:G113"/>
    <mergeCell ref="N112:N113"/>
    <mergeCell ref="O112:O113"/>
    <mergeCell ref="H112:H113"/>
    <mergeCell ref="I112:I113"/>
    <mergeCell ref="J112:J113"/>
    <mergeCell ref="K112:K113"/>
    <mergeCell ref="M112:M113"/>
    <mergeCell ref="L6:L7"/>
    <mergeCell ref="L112:L113"/>
    <mergeCell ref="G6:G7"/>
  </mergeCells>
  <pageMargins left="0.7" right="0.7" top="0.75" bottom="0.75" header="0.3" footer="0.3"/>
  <pageSetup paperSize="9" scale="28" orientation="portrait" r:id="rId1"/>
  <rowBreaks count="1" manualBreakCount="1">
    <brk id="106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9FFCC"/>
  </sheetPr>
  <dimension ref="A1:O206"/>
  <sheetViews>
    <sheetView view="pageBreakPreview" topLeftCell="A22" zoomScale="40" zoomScaleNormal="70" zoomScaleSheetLayoutView="40" workbookViewId="0">
      <selection activeCell="B42" sqref="B42"/>
    </sheetView>
  </sheetViews>
  <sheetFormatPr defaultColWidth="9" defaultRowHeight="15.6" x14ac:dyDescent="0.3"/>
  <cols>
    <col min="1" max="1" width="17.09765625" customWidth="1"/>
    <col min="2" max="13" width="11.69921875" customWidth="1"/>
    <col min="14" max="14" width="15.19921875" bestFit="1" customWidth="1"/>
  </cols>
  <sheetData>
    <row r="1" spans="1:15" x14ac:dyDescent="0.3">
      <c r="A1" s="247" t="s">
        <v>99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</row>
    <row r="2" spans="1:15" s="4" customFormat="1" x14ac:dyDescent="0.3">
      <c r="A2" s="4" t="s">
        <v>103</v>
      </c>
      <c r="B2" s="4" t="str">
        <f>Summary!B2</f>
        <v>TMC-14 Number (D2)</v>
      </c>
    </row>
    <row r="3" spans="1:15" s="4" customFormat="1" x14ac:dyDescent="0.3">
      <c r="A3" s="4" t="s">
        <v>102</v>
      </c>
      <c r="B3" s="4" t="str">
        <f>Summary!B3</f>
        <v>D2</v>
      </c>
    </row>
    <row r="4" spans="1:15" s="4" customFormat="1" x14ac:dyDescent="0.3">
      <c r="A4" s="4" t="s">
        <v>104</v>
      </c>
      <c r="B4" s="4" t="str">
        <f>Summary!H16</f>
        <v>Chomu Pulia</v>
      </c>
      <c r="D4" s="4" t="s">
        <v>1</v>
      </c>
      <c r="E4" s="4" t="str">
        <f>Summary!H6</f>
        <v>Nindar</v>
      </c>
    </row>
    <row r="5" spans="1:15" ht="16.2" thickBot="1" x14ac:dyDescent="0.35"/>
    <row r="6" spans="1:15" ht="25.2" customHeight="1" x14ac:dyDescent="0.3">
      <c r="A6" s="252" t="s">
        <v>95</v>
      </c>
      <c r="B6" s="258" t="s">
        <v>280</v>
      </c>
      <c r="C6" s="254" t="s">
        <v>281</v>
      </c>
      <c r="D6" s="250" t="s">
        <v>282</v>
      </c>
      <c r="E6" s="260" t="s">
        <v>283</v>
      </c>
      <c r="F6" s="256" t="s">
        <v>284</v>
      </c>
      <c r="G6" s="250" t="s">
        <v>129</v>
      </c>
      <c r="H6" s="248" t="s">
        <v>150</v>
      </c>
      <c r="I6" s="250" t="s">
        <v>151</v>
      </c>
      <c r="J6" s="250" t="s">
        <v>285</v>
      </c>
      <c r="K6" s="248" t="s">
        <v>286</v>
      </c>
      <c r="L6" s="250" t="s">
        <v>287</v>
      </c>
      <c r="M6" s="250" t="s">
        <v>78</v>
      </c>
      <c r="N6" s="250" t="s">
        <v>131</v>
      </c>
      <c r="O6" s="250" t="s">
        <v>132</v>
      </c>
    </row>
    <row r="7" spans="1:15" ht="43.5" customHeight="1" thickBot="1" x14ac:dyDescent="0.35">
      <c r="A7" s="262"/>
      <c r="B7" s="263"/>
      <c r="C7" s="264"/>
      <c r="D7" s="265"/>
      <c r="E7" s="266"/>
      <c r="F7" s="267"/>
      <c r="G7" s="259"/>
      <c r="H7" s="268"/>
      <c r="I7" s="265"/>
      <c r="J7" s="265"/>
      <c r="K7" s="268"/>
      <c r="L7" s="265"/>
      <c r="M7" s="265"/>
      <c r="N7" s="251"/>
      <c r="O7" s="251"/>
    </row>
    <row r="8" spans="1:15" ht="22.5" customHeight="1" x14ac:dyDescent="0.3">
      <c r="A8" s="189" t="s">
        <v>177</v>
      </c>
      <c r="B8" s="192">
        <v>101</v>
      </c>
      <c r="C8" s="157">
        <v>64</v>
      </c>
      <c r="D8" s="157">
        <v>2</v>
      </c>
      <c r="E8" s="157">
        <v>6</v>
      </c>
      <c r="F8" s="193">
        <v>0</v>
      </c>
      <c r="G8" s="198">
        <f t="shared" ref="G8:G39" si="0">SUM(B8:F8)</f>
        <v>173</v>
      </c>
      <c r="H8" s="200">
        <v>0</v>
      </c>
      <c r="I8" s="201">
        <v>0</v>
      </c>
      <c r="J8" s="201">
        <v>0</v>
      </c>
      <c r="K8" s="201">
        <v>0</v>
      </c>
      <c r="L8" s="201">
        <v>1</v>
      </c>
      <c r="M8" s="202">
        <v>0</v>
      </c>
      <c r="N8" s="85">
        <f>G8+M8</f>
        <v>173</v>
      </c>
      <c r="O8" s="115">
        <f>B8*1+C8*0.5+D8*1.5+E8*3+F8*4.5+H8*0.5+I8*1.5+J8*3+K8*4+L8*8</f>
        <v>162</v>
      </c>
    </row>
    <row r="9" spans="1:15" ht="22.5" customHeight="1" x14ac:dyDescent="0.3">
      <c r="A9" s="190" t="s">
        <v>178</v>
      </c>
      <c r="B9" s="44">
        <v>107</v>
      </c>
      <c r="C9" s="39">
        <v>64</v>
      </c>
      <c r="D9" s="39">
        <v>3</v>
      </c>
      <c r="E9" s="39">
        <v>2</v>
      </c>
      <c r="F9" s="194">
        <v>0</v>
      </c>
      <c r="G9" s="196">
        <f t="shared" si="0"/>
        <v>176</v>
      </c>
      <c r="H9" s="203">
        <v>1</v>
      </c>
      <c r="I9" s="204">
        <v>0</v>
      </c>
      <c r="J9" s="204">
        <v>0</v>
      </c>
      <c r="K9" s="204">
        <v>0</v>
      </c>
      <c r="L9" s="204">
        <v>3</v>
      </c>
      <c r="M9" s="205">
        <v>0</v>
      </c>
      <c r="N9" s="85">
        <f t="shared" ref="N9:N72" si="1">G9+M9</f>
        <v>176</v>
      </c>
      <c r="O9" s="43">
        <f t="shared" ref="O9:O72" si="2">B9*1+C9*0.5+D9*1.5+E9*3+F9*4.5+H9*0.5+I9*1.5+J9*3+K9*4+L9*8</f>
        <v>174</v>
      </c>
    </row>
    <row r="10" spans="1:15" ht="22.5" customHeight="1" x14ac:dyDescent="0.3">
      <c r="A10" s="190" t="s">
        <v>179</v>
      </c>
      <c r="B10" s="44">
        <v>155</v>
      </c>
      <c r="C10" s="39">
        <v>108</v>
      </c>
      <c r="D10" s="39">
        <v>4</v>
      </c>
      <c r="E10" s="39">
        <v>1</v>
      </c>
      <c r="F10" s="194">
        <v>0</v>
      </c>
      <c r="G10" s="196">
        <f t="shared" si="0"/>
        <v>268</v>
      </c>
      <c r="H10" s="203">
        <v>0</v>
      </c>
      <c r="I10" s="204">
        <v>0</v>
      </c>
      <c r="J10" s="204">
        <v>0</v>
      </c>
      <c r="K10" s="204">
        <v>0</v>
      </c>
      <c r="L10" s="204">
        <v>2</v>
      </c>
      <c r="M10" s="205">
        <v>0</v>
      </c>
      <c r="N10" s="85">
        <f t="shared" si="1"/>
        <v>268</v>
      </c>
      <c r="O10" s="43">
        <f t="shared" si="2"/>
        <v>234</v>
      </c>
    </row>
    <row r="11" spans="1:15" ht="22.5" customHeight="1" x14ac:dyDescent="0.3">
      <c r="A11" s="190" t="s">
        <v>180</v>
      </c>
      <c r="B11" s="44">
        <v>180</v>
      </c>
      <c r="C11" s="39">
        <v>148</v>
      </c>
      <c r="D11" s="39">
        <v>6</v>
      </c>
      <c r="E11" s="39">
        <v>0</v>
      </c>
      <c r="F11" s="194">
        <v>0</v>
      </c>
      <c r="G11" s="196">
        <f t="shared" si="0"/>
        <v>334</v>
      </c>
      <c r="H11" s="203">
        <v>0</v>
      </c>
      <c r="I11" s="204">
        <v>0</v>
      </c>
      <c r="J11" s="204">
        <v>0</v>
      </c>
      <c r="K11" s="204">
        <v>0</v>
      </c>
      <c r="L11" s="204">
        <v>2</v>
      </c>
      <c r="M11" s="205">
        <v>0</v>
      </c>
      <c r="N11" s="85">
        <f t="shared" si="1"/>
        <v>334</v>
      </c>
      <c r="O11" s="43">
        <f t="shared" si="2"/>
        <v>279</v>
      </c>
    </row>
    <row r="12" spans="1:15" ht="22.5" customHeight="1" x14ac:dyDescent="0.3">
      <c r="A12" s="190" t="s">
        <v>181</v>
      </c>
      <c r="B12" s="44">
        <v>163</v>
      </c>
      <c r="C12" s="39">
        <v>124</v>
      </c>
      <c r="D12" s="39">
        <v>9</v>
      </c>
      <c r="E12" s="39">
        <v>0</v>
      </c>
      <c r="F12" s="194">
        <v>0</v>
      </c>
      <c r="G12" s="196">
        <f t="shared" si="0"/>
        <v>296</v>
      </c>
      <c r="H12" s="203">
        <v>0</v>
      </c>
      <c r="I12" s="204">
        <v>0</v>
      </c>
      <c r="J12" s="204">
        <v>0</v>
      </c>
      <c r="K12" s="204">
        <v>0</v>
      </c>
      <c r="L12" s="204">
        <v>1</v>
      </c>
      <c r="M12" s="205">
        <v>0</v>
      </c>
      <c r="N12" s="85">
        <f t="shared" si="1"/>
        <v>296</v>
      </c>
      <c r="O12" s="43">
        <f t="shared" si="2"/>
        <v>246.5</v>
      </c>
    </row>
    <row r="13" spans="1:15" ht="22.5" customHeight="1" x14ac:dyDescent="0.3">
      <c r="A13" s="190" t="s">
        <v>182</v>
      </c>
      <c r="B13" s="44">
        <v>154</v>
      </c>
      <c r="C13" s="39">
        <v>112</v>
      </c>
      <c r="D13" s="39">
        <v>4</v>
      </c>
      <c r="E13" s="39">
        <v>0</v>
      </c>
      <c r="F13" s="194">
        <v>0</v>
      </c>
      <c r="G13" s="196">
        <f t="shared" si="0"/>
        <v>270</v>
      </c>
      <c r="H13" s="203">
        <v>0</v>
      </c>
      <c r="I13" s="204">
        <v>0</v>
      </c>
      <c r="J13" s="204">
        <v>0</v>
      </c>
      <c r="K13" s="204">
        <v>0</v>
      </c>
      <c r="L13" s="204">
        <v>1</v>
      </c>
      <c r="M13" s="205">
        <v>0</v>
      </c>
      <c r="N13" s="85">
        <f t="shared" si="1"/>
        <v>270</v>
      </c>
      <c r="O13" s="43">
        <f t="shared" si="2"/>
        <v>224</v>
      </c>
    </row>
    <row r="14" spans="1:15" ht="22.5" customHeight="1" x14ac:dyDescent="0.3">
      <c r="A14" s="190" t="s">
        <v>183</v>
      </c>
      <c r="B14" s="44">
        <v>124</v>
      </c>
      <c r="C14" s="39">
        <v>76</v>
      </c>
      <c r="D14" s="39">
        <v>2</v>
      </c>
      <c r="E14" s="39">
        <v>1</v>
      </c>
      <c r="F14" s="194">
        <v>0</v>
      </c>
      <c r="G14" s="196">
        <f t="shared" si="0"/>
        <v>203</v>
      </c>
      <c r="H14" s="203">
        <v>0</v>
      </c>
      <c r="I14" s="204">
        <v>0</v>
      </c>
      <c r="J14" s="204">
        <v>0</v>
      </c>
      <c r="K14" s="204">
        <v>0</v>
      </c>
      <c r="L14" s="204">
        <v>1</v>
      </c>
      <c r="M14" s="205">
        <v>0</v>
      </c>
      <c r="N14" s="85">
        <f t="shared" si="1"/>
        <v>203</v>
      </c>
      <c r="O14" s="43">
        <f t="shared" si="2"/>
        <v>176</v>
      </c>
    </row>
    <row r="15" spans="1:15" ht="22.5" customHeight="1" x14ac:dyDescent="0.3">
      <c r="A15" s="190" t="s">
        <v>184</v>
      </c>
      <c r="B15" s="44">
        <v>106</v>
      </c>
      <c r="C15" s="39">
        <v>68</v>
      </c>
      <c r="D15" s="39">
        <v>6</v>
      </c>
      <c r="E15" s="39">
        <v>0</v>
      </c>
      <c r="F15" s="194">
        <v>0</v>
      </c>
      <c r="G15" s="196">
        <f t="shared" si="0"/>
        <v>180</v>
      </c>
      <c r="H15" s="203">
        <v>0</v>
      </c>
      <c r="I15" s="204">
        <v>0</v>
      </c>
      <c r="J15" s="204">
        <v>0</v>
      </c>
      <c r="K15" s="204">
        <v>0</v>
      </c>
      <c r="L15" s="204">
        <v>1</v>
      </c>
      <c r="M15" s="205">
        <v>0</v>
      </c>
      <c r="N15" s="85">
        <f t="shared" si="1"/>
        <v>180</v>
      </c>
      <c r="O15" s="43">
        <f t="shared" si="2"/>
        <v>157</v>
      </c>
    </row>
    <row r="16" spans="1:15" ht="22.5" customHeight="1" x14ac:dyDescent="0.3">
      <c r="A16" s="190" t="s">
        <v>185</v>
      </c>
      <c r="B16" s="44">
        <v>131</v>
      </c>
      <c r="C16" s="39">
        <v>100</v>
      </c>
      <c r="D16" s="39">
        <v>4</v>
      </c>
      <c r="E16" s="39">
        <v>0</v>
      </c>
      <c r="F16" s="194">
        <v>1</v>
      </c>
      <c r="G16" s="196">
        <f t="shared" si="0"/>
        <v>236</v>
      </c>
      <c r="H16" s="203">
        <v>0</v>
      </c>
      <c r="I16" s="204">
        <v>0</v>
      </c>
      <c r="J16" s="204">
        <v>0</v>
      </c>
      <c r="K16" s="204">
        <v>0</v>
      </c>
      <c r="L16" s="204">
        <v>0</v>
      </c>
      <c r="M16" s="205">
        <v>0</v>
      </c>
      <c r="N16" s="85">
        <f t="shared" si="1"/>
        <v>236</v>
      </c>
      <c r="O16" s="43">
        <f t="shared" si="2"/>
        <v>191.5</v>
      </c>
    </row>
    <row r="17" spans="1:15" ht="22.5" customHeight="1" x14ac:dyDescent="0.3">
      <c r="A17" s="190" t="s">
        <v>186</v>
      </c>
      <c r="B17" s="44">
        <v>107</v>
      </c>
      <c r="C17" s="39">
        <v>68</v>
      </c>
      <c r="D17" s="39">
        <v>3</v>
      </c>
      <c r="E17" s="39">
        <v>1</v>
      </c>
      <c r="F17" s="194">
        <v>2</v>
      </c>
      <c r="G17" s="196">
        <f t="shared" si="0"/>
        <v>181</v>
      </c>
      <c r="H17" s="203">
        <v>0</v>
      </c>
      <c r="I17" s="204">
        <v>0</v>
      </c>
      <c r="J17" s="204">
        <v>0</v>
      </c>
      <c r="K17" s="204">
        <v>0</v>
      </c>
      <c r="L17" s="204">
        <v>1</v>
      </c>
      <c r="M17" s="205">
        <v>0</v>
      </c>
      <c r="N17" s="85">
        <f t="shared" si="1"/>
        <v>181</v>
      </c>
      <c r="O17" s="43">
        <f t="shared" si="2"/>
        <v>165.5</v>
      </c>
    </row>
    <row r="18" spans="1:15" ht="22.5" customHeight="1" x14ac:dyDescent="0.3">
      <c r="A18" s="190" t="s">
        <v>187</v>
      </c>
      <c r="B18" s="44">
        <v>105</v>
      </c>
      <c r="C18" s="39">
        <v>56</v>
      </c>
      <c r="D18" s="39">
        <v>2</v>
      </c>
      <c r="E18" s="39">
        <v>1</v>
      </c>
      <c r="F18" s="194">
        <v>2</v>
      </c>
      <c r="G18" s="196">
        <f t="shared" si="0"/>
        <v>166</v>
      </c>
      <c r="H18" s="203">
        <v>0</v>
      </c>
      <c r="I18" s="204">
        <v>0</v>
      </c>
      <c r="J18" s="204">
        <v>0</v>
      </c>
      <c r="K18" s="204">
        <v>0</v>
      </c>
      <c r="L18" s="204">
        <v>2</v>
      </c>
      <c r="M18" s="205">
        <v>0</v>
      </c>
      <c r="N18" s="85">
        <f t="shared" si="1"/>
        <v>166</v>
      </c>
      <c r="O18" s="43">
        <f t="shared" si="2"/>
        <v>164</v>
      </c>
    </row>
    <row r="19" spans="1:15" ht="22.5" customHeight="1" x14ac:dyDescent="0.3">
      <c r="A19" s="190" t="s">
        <v>188</v>
      </c>
      <c r="B19" s="44">
        <v>102</v>
      </c>
      <c r="C19" s="39">
        <v>68</v>
      </c>
      <c r="D19" s="39">
        <v>0</v>
      </c>
      <c r="E19" s="39">
        <v>0</v>
      </c>
      <c r="F19" s="194">
        <v>0</v>
      </c>
      <c r="G19" s="196">
        <f t="shared" si="0"/>
        <v>170</v>
      </c>
      <c r="H19" s="203">
        <v>0</v>
      </c>
      <c r="I19" s="204">
        <v>0</v>
      </c>
      <c r="J19" s="204">
        <v>0</v>
      </c>
      <c r="K19" s="204">
        <v>0</v>
      </c>
      <c r="L19" s="204">
        <v>0</v>
      </c>
      <c r="M19" s="205">
        <v>0</v>
      </c>
      <c r="N19" s="85">
        <f t="shared" si="1"/>
        <v>170</v>
      </c>
      <c r="O19" s="43">
        <f t="shared" si="2"/>
        <v>136</v>
      </c>
    </row>
    <row r="20" spans="1:15" ht="22.5" customHeight="1" x14ac:dyDescent="0.3">
      <c r="A20" s="190" t="s">
        <v>189</v>
      </c>
      <c r="B20" s="44">
        <v>91</v>
      </c>
      <c r="C20" s="39">
        <v>52</v>
      </c>
      <c r="D20" s="39">
        <v>0</v>
      </c>
      <c r="E20" s="39">
        <v>1</v>
      </c>
      <c r="F20" s="194">
        <v>0</v>
      </c>
      <c r="G20" s="196">
        <f t="shared" si="0"/>
        <v>144</v>
      </c>
      <c r="H20" s="203">
        <v>0</v>
      </c>
      <c r="I20" s="204">
        <v>0</v>
      </c>
      <c r="J20" s="204">
        <v>0</v>
      </c>
      <c r="K20" s="204">
        <v>0</v>
      </c>
      <c r="L20" s="204">
        <v>0</v>
      </c>
      <c r="M20" s="205">
        <v>0</v>
      </c>
      <c r="N20" s="85">
        <f t="shared" si="1"/>
        <v>144</v>
      </c>
      <c r="O20" s="43">
        <f t="shared" si="2"/>
        <v>120</v>
      </c>
    </row>
    <row r="21" spans="1:15" ht="22.5" customHeight="1" x14ac:dyDescent="0.3">
      <c r="A21" s="190" t="s">
        <v>190</v>
      </c>
      <c r="B21" s="44">
        <v>115</v>
      </c>
      <c r="C21" s="39">
        <v>76</v>
      </c>
      <c r="D21" s="39">
        <v>2</v>
      </c>
      <c r="E21" s="39">
        <v>3</v>
      </c>
      <c r="F21" s="194">
        <v>1</v>
      </c>
      <c r="G21" s="196">
        <f t="shared" si="0"/>
        <v>197</v>
      </c>
      <c r="H21" s="203">
        <v>0</v>
      </c>
      <c r="I21" s="204">
        <v>0</v>
      </c>
      <c r="J21" s="204">
        <v>0</v>
      </c>
      <c r="K21" s="204">
        <v>0</v>
      </c>
      <c r="L21" s="204">
        <v>1</v>
      </c>
      <c r="M21" s="205">
        <v>0</v>
      </c>
      <c r="N21" s="85">
        <f t="shared" si="1"/>
        <v>197</v>
      </c>
      <c r="O21" s="43">
        <f t="shared" si="2"/>
        <v>177.5</v>
      </c>
    </row>
    <row r="22" spans="1:15" ht="22.5" customHeight="1" x14ac:dyDescent="0.3">
      <c r="A22" s="190" t="s">
        <v>191</v>
      </c>
      <c r="B22" s="44">
        <v>86</v>
      </c>
      <c r="C22" s="39">
        <v>58</v>
      </c>
      <c r="D22" s="39">
        <v>5</v>
      </c>
      <c r="E22" s="39">
        <v>0</v>
      </c>
      <c r="F22" s="194">
        <v>0</v>
      </c>
      <c r="G22" s="196">
        <f t="shared" si="0"/>
        <v>149</v>
      </c>
      <c r="H22" s="203">
        <v>0</v>
      </c>
      <c r="I22" s="204">
        <v>0</v>
      </c>
      <c r="J22" s="204">
        <v>0</v>
      </c>
      <c r="K22" s="204">
        <v>0</v>
      </c>
      <c r="L22" s="204">
        <v>0</v>
      </c>
      <c r="M22" s="205">
        <v>0</v>
      </c>
      <c r="N22" s="85">
        <f t="shared" si="1"/>
        <v>149</v>
      </c>
      <c r="O22" s="43">
        <f t="shared" si="2"/>
        <v>122.5</v>
      </c>
    </row>
    <row r="23" spans="1:15" ht="22.5" customHeight="1" x14ac:dyDescent="0.3">
      <c r="A23" s="190" t="s">
        <v>192</v>
      </c>
      <c r="B23" s="44">
        <v>112</v>
      </c>
      <c r="C23" s="39">
        <v>66</v>
      </c>
      <c r="D23" s="39">
        <v>4</v>
      </c>
      <c r="E23" s="39">
        <v>0</v>
      </c>
      <c r="F23" s="194">
        <v>1</v>
      </c>
      <c r="G23" s="196">
        <f t="shared" si="0"/>
        <v>183</v>
      </c>
      <c r="H23" s="203">
        <v>0</v>
      </c>
      <c r="I23" s="204">
        <v>0</v>
      </c>
      <c r="J23" s="204">
        <v>0</v>
      </c>
      <c r="K23" s="204">
        <v>0</v>
      </c>
      <c r="L23" s="204">
        <v>1</v>
      </c>
      <c r="M23" s="205">
        <v>0</v>
      </c>
      <c r="N23" s="85">
        <f t="shared" si="1"/>
        <v>183</v>
      </c>
      <c r="O23" s="43">
        <f t="shared" si="2"/>
        <v>163.5</v>
      </c>
    </row>
    <row r="24" spans="1:15" ht="22.5" customHeight="1" x14ac:dyDescent="0.3">
      <c r="A24" s="190" t="s">
        <v>193</v>
      </c>
      <c r="B24" s="235">
        <v>116</v>
      </c>
      <c r="C24" s="236">
        <v>86</v>
      </c>
      <c r="D24" s="236">
        <v>3</v>
      </c>
      <c r="E24" s="236">
        <v>11</v>
      </c>
      <c r="F24" s="237">
        <v>1</v>
      </c>
      <c r="G24" s="196">
        <f t="shared" si="0"/>
        <v>217</v>
      </c>
      <c r="H24" s="235">
        <v>0</v>
      </c>
      <c r="I24" s="236">
        <v>0</v>
      </c>
      <c r="J24" s="236">
        <v>0</v>
      </c>
      <c r="K24" s="236">
        <v>0</v>
      </c>
      <c r="L24" s="236">
        <v>0</v>
      </c>
      <c r="M24" s="241">
        <v>0</v>
      </c>
      <c r="N24" s="85">
        <f t="shared" si="1"/>
        <v>217</v>
      </c>
      <c r="O24" s="43">
        <f t="shared" si="2"/>
        <v>201</v>
      </c>
    </row>
    <row r="25" spans="1:15" ht="22.5" customHeight="1" x14ac:dyDescent="0.3">
      <c r="A25" s="190" t="s">
        <v>194</v>
      </c>
      <c r="B25" s="235">
        <v>123</v>
      </c>
      <c r="C25" s="236">
        <v>83</v>
      </c>
      <c r="D25" s="236">
        <v>6</v>
      </c>
      <c r="E25" s="236">
        <v>7</v>
      </c>
      <c r="F25" s="237">
        <v>0</v>
      </c>
      <c r="G25" s="196">
        <f t="shared" si="0"/>
        <v>219</v>
      </c>
      <c r="H25" s="235">
        <v>0</v>
      </c>
      <c r="I25" s="236">
        <v>0</v>
      </c>
      <c r="J25" s="236">
        <v>0</v>
      </c>
      <c r="K25" s="236">
        <v>0</v>
      </c>
      <c r="L25" s="236">
        <v>2</v>
      </c>
      <c r="M25" s="241">
        <v>0</v>
      </c>
      <c r="N25" s="85">
        <f t="shared" si="1"/>
        <v>219</v>
      </c>
      <c r="O25" s="43">
        <f t="shared" si="2"/>
        <v>210.5</v>
      </c>
    </row>
    <row r="26" spans="1:15" ht="22.5" customHeight="1" x14ac:dyDescent="0.3">
      <c r="A26" s="190" t="s">
        <v>195</v>
      </c>
      <c r="B26" s="235">
        <v>123</v>
      </c>
      <c r="C26" s="236">
        <v>123</v>
      </c>
      <c r="D26" s="236">
        <v>8</v>
      </c>
      <c r="E26" s="236">
        <v>9</v>
      </c>
      <c r="F26" s="237">
        <v>0</v>
      </c>
      <c r="G26" s="196">
        <f t="shared" si="0"/>
        <v>263</v>
      </c>
      <c r="H26" s="235">
        <v>0</v>
      </c>
      <c r="I26" s="236">
        <v>0</v>
      </c>
      <c r="J26" s="236">
        <v>0</v>
      </c>
      <c r="K26" s="236">
        <v>0</v>
      </c>
      <c r="L26" s="236">
        <v>1</v>
      </c>
      <c r="M26" s="241">
        <v>0</v>
      </c>
      <c r="N26" s="85">
        <f t="shared" si="1"/>
        <v>263</v>
      </c>
      <c r="O26" s="43">
        <f t="shared" si="2"/>
        <v>231.5</v>
      </c>
    </row>
    <row r="27" spans="1:15" ht="22.5" customHeight="1" x14ac:dyDescent="0.3">
      <c r="A27" s="190" t="s">
        <v>196</v>
      </c>
      <c r="B27" s="235">
        <v>124</v>
      </c>
      <c r="C27" s="236">
        <v>85</v>
      </c>
      <c r="D27" s="236">
        <v>15</v>
      </c>
      <c r="E27" s="236">
        <v>10</v>
      </c>
      <c r="F27" s="237">
        <v>0</v>
      </c>
      <c r="G27" s="196">
        <f t="shared" si="0"/>
        <v>234</v>
      </c>
      <c r="H27" s="235">
        <v>0</v>
      </c>
      <c r="I27" s="236">
        <v>0</v>
      </c>
      <c r="J27" s="236">
        <v>0</v>
      </c>
      <c r="K27" s="236">
        <v>0</v>
      </c>
      <c r="L27" s="236">
        <v>2</v>
      </c>
      <c r="M27" s="241">
        <v>0</v>
      </c>
      <c r="N27" s="85">
        <f t="shared" si="1"/>
        <v>234</v>
      </c>
      <c r="O27" s="43">
        <f t="shared" si="2"/>
        <v>235</v>
      </c>
    </row>
    <row r="28" spans="1:15" ht="22.5" customHeight="1" x14ac:dyDescent="0.3">
      <c r="A28" s="190" t="s">
        <v>197</v>
      </c>
      <c r="B28" s="235">
        <v>135</v>
      </c>
      <c r="C28" s="236">
        <v>85</v>
      </c>
      <c r="D28" s="236">
        <v>11</v>
      </c>
      <c r="E28" s="236">
        <v>18</v>
      </c>
      <c r="F28" s="237">
        <v>1</v>
      </c>
      <c r="G28" s="196">
        <f t="shared" si="0"/>
        <v>250</v>
      </c>
      <c r="H28" s="235">
        <v>0</v>
      </c>
      <c r="I28" s="236">
        <v>0</v>
      </c>
      <c r="J28" s="236">
        <v>0</v>
      </c>
      <c r="K28" s="236">
        <v>0</v>
      </c>
      <c r="L28" s="236">
        <v>0</v>
      </c>
      <c r="M28" s="241">
        <v>0</v>
      </c>
      <c r="N28" s="85">
        <f t="shared" si="1"/>
        <v>250</v>
      </c>
      <c r="O28" s="43">
        <f t="shared" si="2"/>
        <v>252.5</v>
      </c>
    </row>
    <row r="29" spans="1:15" ht="22.5" customHeight="1" x14ac:dyDescent="0.3">
      <c r="A29" s="190" t="s">
        <v>198</v>
      </c>
      <c r="B29" s="235">
        <v>149</v>
      </c>
      <c r="C29" s="236">
        <v>83</v>
      </c>
      <c r="D29" s="236">
        <v>12</v>
      </c>
      <c r="E29" s="236">
        <v>11</v>
      </c>
      <c r="F29" s="237">
        <v>0</v>
      </c>
      <c r="G29" s="196">
        <f t="shared" si="0"/>
        <v>255</v>
      </c>
      <c r="H29" s="235">
        <v>0</v>
      </c>
      <c r="I29" s="236">
        <v>0</v>
      </c>
      <c r="J29" s="236">
        <v>0</v>
      </c>
      <c r="K29" s="236">
        <v>0</v>
      </c>
      <c r="L29" s="236">
        <v>1</v>
      </c>
      <c r="M29" s="241">
        <v>0</v>
      </c>
      <c r="N29" s="85">
        <f t="shared" si="1"/>
        <v>255</v>
      </c>
      <c r="O29" s="43">
        <f t="shared" si="2"/>
        <v>249.5</v>
      </c>
    </row>
    <row r="30" spans="1:15" ht="22.5" customHeight="1" x14ac:dyDescent="0.3">
      <c r="A30" s="190" t="s">
        <v>199</v>
      </c>
      <c r="B30" s="235">
        <v>141</v>
      </c>
      <c r="C30" s="236">
        <v>136</v>
      </c>
      <c r="D30" s="236">
        <v>10</v>
      </c>
      <c r="E30" s="236">
        <v>11</v>
      </c>
      <c r="F30" s="237">
        <v>0</v>
      </c>
      <c r="G30" s="196">
        <f t="shared" si="0"/>
        <v>298</v>
      </c>
      <c r="H30" s="235">
        <v>0</v>
      </c>
      <c r="I30" s="236">
        <v>0</v>
      </c>
      <c r="J30" s="236">
        <v>0</v>
      </c>
      <c r="K30" s="236">
        <v>0</v>
      </c>
      <c r="L30" s="236">
        <v>2</v>
      </c>
      <c r="M30" s="241">
        <v>1</v>
      </c>
      <c r="N30" s="85">
        <f t="shared" si="1"/>
        <v>299</v>
      </c>
      <c r="O30" s="43">
        <f t="shared" si="2"/>
        <v>273</v>
      </c>
    </row>
    <row r="31" spans="1:15" ht="22.5" customHeight="1" x14ac:dyDescent="0.3">
      <c r="A31" s="190" t="s">
        <v>200</v>
      </c>
      <c r="B31" s="235">
        <v>164</v>
      </c>
      <c r="C31" s="236">
        <v>124</v>
      </c>
      <c r="D31" s="236">
        <v>13</v>
      </c>
      <c r="E31" s="236">
        <v>12</v>
      </c>
      <c r="F31" s="237">
        <v>0</v>
      </c>
      <c r="G31" s="196">
        <f t="shared" si="0"/>
        <v>313</v>
      </c>
      <c r="H31" s="235">
        <v>0</v>
      </c>
      <c r="I31" s="236">
        <v>0</v>
      </c>
      <c r="J31" s="236">
        <v>0</v>
      </c>
      <c r="K31" s="236">
        <v>0</v>
      </c>
      <c r="L31" s="236">
        <v>0</v>
      </c>
      <c r="M31" s="241">
        <v>0</v>
      </c>
      <c r="N31" s="85">
        <f t="shared" si="1"/>
        <v>313</v>
      </c>
      <c r="O31" s="43">
        <f t="shared" si="2"/>
        <v>281.5</v>
      </c>
    </row>
    <row r="32" spans="1:15" ht="22.5" customHeight="1" x14ac:dyDescent="0.3">
      <c r="A32" s="190" t="s">
        <v>201</v>
      </c>
      <c r="B32" s="235">
        <v>125</v>
      </c>
      <c r="C32" s="236">
        <v>85</v>
      </c>
      <c r="D32" s="236">
        <v>3</v>
      </c>
      <c r="E32" s="236">
        <v>25</v>
      </c>
      <c r="F32" s="237">
        <v>1</v>
      </c>
      <c r="G32" s="196">
        <f t="shared" si="0"/>
        <v>239</v>
      </c>
      <c r="H32" s="235">
        <v>0</v>
      </c>
      <c r="I32" s="236">
        <v>0</v>
      </c>
      <c r="J32" s="236">
        <v>0</v>
      </c>
      <c r="K32" s="236">
        <v>0</v>
      </c>
      <c r="L32" s="236">
        <v>1</v>
      </c>
      <c r="M32" s="241">
        <v>0</v>
      </c>
      <c r="N32" s="85">
        <f t="shared" si="1"/>
        <v>239</v>
      </c>
      <c r="O32" s="43">
        <f t="shared" si="2"/>
        <v>259.5</v>
      </c>
    </row>
    <row r="33" spans="1:15" ht="22.5" customHeight="1" x14ac:dyDescent="0.3">
      <c r="A33" s="190" t="s">
        <v>202</v>
      </c>
      <c r="B33" s="235">
        <v>128</v>
      </c>
      <c r="C33" s="236">
        <v>83</v>
      </c>
      <c r="D33" s="236">
        <v>5</v>
      </c>
      <c r="E33" s="236">
        <v>21</v>
      </c>
      <c r="F33" s="237">
        <v>1</v>
      </c>
      <c r="G33" s="196">
        <f t="shared" si="0"/>
        <v>238</v>
      </c>
      <c r="H33" s="235">
        <v>0</v>
      </c>
      <c r="I33" s="236">
        <v>0</v>
      </c>
      <c r="J33" s="236">
        <v>0</v>
      </c>
      <c r="K33" s="236">
        <v>0</v>
      </c>
      <c r="L33" s="236">
        <v>2</v>
      </c>
      <c r="M33" s="241">
        <v>0</v>
      </c>
      <c r="N33" s="85">
        <f t="shared" si="1"/>
        <v>238</v>
      </c>
      <c r="O33" s="43">
        <f t="shared" si="2"/>
        <v>260.5</v>
      </c>
    </row>
    <row r="34" spans="1:15" ht="22.5" customHeight="1" x14ac:dyDescent="0.3">
      <c r="A34" s="190" t="s">
        <v>203</v>
      </c>
      <c r="B34" s="235">
        <v>131</v>
      </c>
      <c r="C34" s="236">
        <v>131</v>
      </c>
      <c r="D34" s="236">
        <v>9</v>
      </c>
      <c r="E34" s="236">
        <v>19</v>
      </c>
      <c r="F34" s="237">
        <v>1</v>
      </c>
      <c r="G34" s="196">
        <f t="shared" si="0"/>
        <v>291</v>
      </c>
      <c r="H34" s="235">
        <v>0</v>
      </c>
      <c r="I34" s="236">
        <v>0</v>
      </c>
      <c r="J34" s="236">
        <v>0</v>
      </c>
      <c r="K34" s="236">
        <v>0</v>
      </c>
      <c r="L34" s="236">
        <v>0</v>
      </c>
      <c r="M34" s="241">
        <v>0</v>
      </c>
      <c r="N34" s="85">
        <f t="shared" si="1"/>
        <v>291</v>
      </c>
      <c r="O34" s="43">
        <f t="shared" si="2"/>
        <v>271.5</v>
      </c>
    </row>
    <row r="35" spans="1:15" ht="22.5" customHeight="1" x14ac:dyDescent="0.3">
      <c r="A35" s="190" t="s">
        <v>204</v>
      </c>
      <c r="B35" s="235">
        <v>135</v>
      </c>
      <c r="C35" s="236">
        <v>133</v>
      </c>
      <c r="D35" s="236">
        <v>3</v>
      </c>
      <c r="E35" s="236">
        <v>20</v>
      </c>
      <c r="F35" s="237">
        <v>1</v>
      </c>
      <c r="G35" s="196">
        <f t="shared" si="0"/>
        <v>292</v>
      </c>
      <c r="H35" s="235">
        <v>0</v>
      </c>
      <c r="I35" s="236">
        <v>0</v>
      </c>
      <c r="J35" s="236">
        <v>0</v>
      </c>
      <c r="K35" s="236">
        <v>0</v>
      </c>
      <c r="L35" s="236">
        <v>1</v>
      </c>
      <c r="M35" s="241">
        <v>0</v>
      </c>
      <c r="N35" s="85">
        <f t="shared" si="1"/>
        <v>292</v>
      </c>
      <c r="O35" s="43">
        <f t="shared" si="2"/>
        <v>278.5</v>
      </c>
    </row>
    <row r="36" spans="1:15" ht="22.5" customHeight="1" x14ac:dyDescent="0.3">
      <c r="A36" s="190" t="s">
        <v>205</v>
      </c>
      <c r="B36" s="235">
        <v>121</v>
      </c>
      <c r="C36" s="236">
        <v>120</v>
      </c>
      <c r="D36" s="236">
        <v>11</v>
      </c>
      <c r="E36" s="236">
        <v>29</v>
      </c>
      <c r="F36" s="237">
        <v>2</v>
      </c>
      <c r="G36" s="196">
        <f t="shared" si="0"/>
        <v>283</v>
      </c>
      <c r="H36" s="235">
        <v>0</v>
      </c>
      <c r="I36" s="236">
        <v>0</v>
      </c>
      <c r="J36" s="236">
        <v>0</v>
      </c>
      <c r="K36" s="236">
        <v>0</v>
      </c>
      <c r="L36" s="236">
        <v>1</v>
      </c>
      <c r="M36" s="241">
        <v>0</v>
      </c>
      <c r="N36" s="85">
        <f t="shared" si="1"/>
        <v>283</v>
      </c>
      <c r="O36" s="43">
        <f t="shared" si="2"/>
        <v>301.5</v>
      </c>
    </row>
    <row r="37" spans="1:15" ht="22.5" customHeight="1" x14ac:dyDescent="0.3">
      <c r="A37" s="190" t="s">
        <v>206</v>
      </c>
      <c r="B37" s="235">
        <v>123</v>
      </c>
      <c r="C37" s="236">
        <v>114</v>
      </c>
      <c r="D37" s="236">
        <v>11</v>
      </c>
      <c r="E37" s="236">
        <v>25</v>
      </c>
      <c r="F37" s="237">
        <v>3</v>
      </c>
      <c r="G37" s="196">
        <f t="shared" si="0"/>
        <v>276</v>
      </c>
      <c r="H37" s="235">
        <v>0</v>
      </c>
      <c r="I37" s="236">
        <v>0</v>
      </c>
      <c r="J37" s="236">
        <v>0</v>
      </c>
      <c r="K37" s="236">
        <v>0</v>
      </c>
      <c r="L37" s="236">
        <v>1</v>
      </c>
      <c r="M37" s="241">
        <v>0</v>
      </c>
      <c r="N37" s="85">
        <f t="shared" si="1"/>
        <v>276</v>
      </c>
      <c r="O37" s="43">
        <f t="shared" si="2"/>
        <v>293</v>
      </c>
    </row>
    <row r="38" spans="1:15" ht="22.5" customHeight="1" x14ac:dyDescent="0.3">
      <c r="A38" s="190" t="s">
        <v>207</v>
      </c>
      <c r="B38" s="235">
        <v>134</v>
      </c>
      <c r="C38" s="236">
        <v>114</v>
      </c>
      <c r="D38" s="236">
        <v>10</v>
      </c>
      <c r="E38" s="236">
        <v>12</v>
      </c>
      <c r="F38" s="237">
        <v>2</v>
      </c>
      <c r="G38" s="196">
        <f t="shared" si="0"/>
        <v>272</v>
      </c>
      <c r="H38" s="235">
        <v>0</v>
      </c>
      <c r="I38" s="236">
        <v>0</v>
      </c>
      <c r="J38" s="236">
        <v>0</v>
      </c>
      <c r="K38" s="236">
        <v>0</v>
      </c>
      <c r="L38" s="236">
        <v>0</v>
      </c>
      <c r="M38" s="241">
        <v>0</v>
      </c>
      <c r="N38" s="85">
        <f t="shared" si="1"/>
        <v>272</v>
      </c>
      <c r="O38" s="43">
        <f t="shared" si="2"/>
        <v>251</v>
      </c>
    </row>
    <row r="39" spans="1:15" ht="22.5" customHeight="1" x14ac:dyDescent="0.3">
      <c r="A39" s="190" t="s">
        <v>208</v>
      </c>
      <c r="B39" s="235">
        <v>103</v>
      </c>
      <c r="C39" s="236">
        <v>114</v>
      </c>
      <c r="D39" s="236">
        <v>12</v>
      </c>
      <c r="E39" s="236">
        <v>11</v>
      </c>
      <c r="F39" s="237">
        <v>3</v>
      </c>
      <c r="G39" s="196">
        <f t="shared" si="0"/>
        <v>243</v>
      </c>
      <c r="H39" s="235">
        <v>0</v>
      </c>
      <c r="I39" s="236">
        <v>0</v>
      </c>
      <c r="J39" s="236">
        <v>0</v>
      </c>
      <c r="K39" s="236">
        <v>0</v>
      </c>
      <c r="L39" s="236">
        <v>0</v>
      </c>
      <c r="M39" s="241">
        <v>0</v>
      </c>
      <c r="N39" s="85">
        <f t="shared" si="1"/>
        <v>243</v>
      </c>
      <c r="O39" s="43">
        <f t="shared" si="2"/>
        <v>224.5</v>
      </c>
    </row>
    <row r="40" spans="1:15" ht="22.5" customHeight="1" x14ac:dyDescent="0.3">
      <c r="A40" s="190" t="s">
        <v>209</v>
      </c>
      <c r="B40" s="44">
        <v>97</v>
      </c>
      <c r="C40" s="39">
        <v>105</v>
      </c>
      <c r="D40" s="39">
        <v>2</v>
      </c>
      <c r="E40" s="39">
        <v>1</v>
      </c>
      <c r="F40" s="194">
        <v>2</v>
      </c>
      <c r="G40" s="196">
        <f t="shared" ref="G40:G71" si="3">SUM(B40:F40)</f>
        <v>207</v>
      </c>
      <c r="H40" s="203">
        <v>0</v>
      </c>
      <c r="I40" s="204">
        <v>0</v>
      </c>
      <c r="J40" s="204">
        <v>0</v>
      </c>
      <c r="K40" s="204">
        <v>0</v>
      </c>
      <c r="L40" s="204">
        <v>1</v>
      </c>
      <c r="M40" s="205">
        <v>0</v>
      </c>
      <c r="N40" s="85">
        <f t="shared" si="1"/>
        <v>207</v>
      </c>
      <c r="O40" s="43">
        <f t="shared" si="2"/>
        <v>172.5</v>
      </c>
    </row>
    <row r="41" spans="1:15" ht="22.5" customHeight="1" x14ac:dyDescent="0.3">
      <c r="A41" s="190" t="s">
        <v>210</v>
      </c>
      <c r="B41" s="44">
        <v>85</v>
      </c>
      <c r="C41" s="39">
        <v>141</v>
      </c>
      <c r="D41" s="39">
        <v>4</v>
      </c>
      <c r="E41" s="39">
        <v>0</v>
      </c>
      <c r="F41" s="194">
        <v>3</v>
      </c>
      <c r="G41" s="196">
        <f t="shared" si="3"/>
        <v>233</v>
      </c>
      <c r="H41" s="203">
        <v>0</v>
      </c>
      <c r="I41" s="204">
        <v>0</v>
      </c>
      <c r="J41" s="204">
        <v>0</v>
      </c>
      <c r="K41" s="204">
        <v>0</v>
      </c>
      <c r="L41" s="204">
        <v>0</v>
      </c>
      <c r="M41" s="205">
        <v>0</v>
      </c>
      <c r="N41" s="85">
        <f t="shared" si="1"/>
        <v>233</v>
      </c>
      <c r="O41" s="43">
        <f t="shared" si="2"/>
        <v>175</v>
      </c>
    </row>
    <row r="42" spans="1:15" ht="22.5" customHeight="1" x14ac:dyDescent="0.3">
      <c r="A42" s="190" t="s">
        <v>211</v>
      </c>
      <c r="B42" s="44">
        <v>87</v>
      </c>
      <c r="C42" s="39">
        <v>178</v>
      </c>
      <c r="D42" s="39">
        <v>6</v>
      </c>
      <c r="E42" s="39">
        <v>2</v>
      </c>
      <c r="F42" s="194">
        <v>2</v>
      </c>
      <c r="G42" s="196">
        <f t="shared" si="3"/>
        <v>275</v>
      </c>
      <c r="H42" s="203">
        <v>0</v>
      </c>
      <c r="I42" s="204">
        <v>0</v>
      </c>
      <c r="J42" s="204">
        <v>0</v>
      </c>
      <c r="K42" s="204">
        <v>0</v>
      </c>
      <c r="L42" s="204">
        <v>0</v>
      </c>
      <c r="M42" s="205">
        <v>0</v>
      </c>
      <c r="N42" s="85">
        <f t="shared" si="1"/>
        <v>275</v>
      </c>
      <c r="O42" s="43">
        <f t="shared" si="2"/>
        <v>200</v>
      </c>
    </row>
    <row r="43" spans="1:15" ht="22.5" customHeight="1" x14ac:dyDescent="0.3">
      <c r="A43" s="190" t="s">
        <v>212</v>
      </c>
      <c r="B43" s="44">
        <v>125</v>
      </c>
      <c r="C43" s="39">
        <v>201</v>
      </c>
      <c r="D43" s="39">
        <v>10</v>
      </c>
      <c r="E43" s="39">
        <v>2</v>
      </c>
      <c r="F43" s="194">
        <v>0</v>
      </c>
      <c r="G43" s="196">
        <f t="shared" si="3"/>
        <v>338</v>
      </c>
      <c r="H43" s="203">
        <v>0</v>
      </c>
      <c r="I43" s="204">
        <v>0</v>
      </c>
      <c r="J43" s="204">
        <v>0</v>
      </c>
      <c r="K43" s="204">
        <v>0</v>
      </c>
      <c r="L43" s="204">
        <v>0</v>
      </c>
      <c r="M43" s="205">
        <v>0</v>
      </c>
      <c r="N43" s="85">
        <f t="shared" si="1"/>
        <v>338</v>
      </c>
      <c r="O43" s="43">
        <f t="shared" si="2"/>
        <v>246.5</v>
      </c>
    </row>
    <row r="44" spans="1:15" ht="22.5" customHeight="1" x14ac:dyDescent="0.3">
      <c r="A44" s="190" t="s">
        <v>213</v>
      </c>
      <c r="B44" s="44">
        <v>144</v>
      </c>
      <c r="C44" s="39">
        <v>231</v>
      </c>
      <c r="D44" s="39">
        <v>12</v>
      </c>
      <c r="E44" s="39">
        <v>8</v>
      </c>
      <c r="F44" s="194">
        <v>2</v>
      </c>
      <c r="G44" s="196">
        <f t="shared" si="3"/>
        <v>397</v>
      </c>
      <c r="H44" s="203">
        <v>0</v>
      </c>
      <c r="I44" s="204">
        <v>0</v>
      </c>
      <c r="J44" s="204">
        <v>0</v>
      </c>
      <c r="K44" s="204">
        <v>0</v>
      </c>
      <c r="L44" s="204">
        <v>1</v>
      </c>
      <c r="M44" s="205">
        <v>0</v>
      </c>
      <c r="N44" s="85">
        <f t="shared" si="1"/>
        <v>397</v>
      </c>
      <c r="O44" s="43">
        <f t="shared" si="2"/>
        <v>318.5</v>
      </c>
    </row>
    <row r="45" spans="1:15" ht="22.5" customHeight="1" x14ac:dyDescent="0.3">
      <c r="A45" s="190" t="s">
        <v>214</v>
      </c>
      <c r="B45" s="44">
        <v>111</v>
      </c>
      <c r="C45" s="39">
        <v>191</v>
      </c>
      <c r="D45" s="39">
        <v>6</v>
      </c>
      <c r="E45" s="39">
        <v>1</v>
      </c>
      <c r="F45" s="194">
        <v>0</v>
      </c>
      <c r="G45" s="196">
        <f t="shared" si="3"/>
        <v>309</v>
      </c>
      <c r="H45" s="203">
        <v>0</v>
      </c>
      <c r="I45" s="204">
        <v>0</v>
      </c>
      <c r="J45" s="204">
        <v>0</v>
      </c>
      <c r="K45" s="204">
        <v>0</v>
      </c>
      <c r="L45" s="204">
        <v>4</v>
      </c>
      <c r="M45" s="205">
        <v>0</v>
      </c>
      <c r="N45" s="85">
        <f t="shared" si="1"/>
        <v>309</v>
      </c>
      <c r="O45" s="43">
        <f t="shared" si="2"/>
        <v>250.5</v>
      </c>
    </row>
    <row r="46" spans="1:15" ht="22.5" customHeight="1" x14ac:dyDescent="0.3">
      <c r="A46" s="190" t="s">
        <v>215</v>
      </c>
      <c r="B46" s="44">
        <v>61</v>
      </c>
      <c r="C46" s="39">
        <v>135</v>
      </c>
      <c r="D46" s="39">
        <v>3</v>
      </c>
      <c r="E46" s="39">
        <v>1</v>
      </c>
      <c r="F46" s="194">
        <v>2</v>
      </c>
      <c r="G46" s="196">
        <f t="shared" si="3"/>
        <v>202</v>
      </c>
      <c r="H46" s="203">
        <v>0</v>
      </c>
      <c r="I46" s="204">
        <v>0</v>
      </c>
      <c r="J46" s="204">
        <v>0</v>
      </c>
      <c r="K46" s="204">
        <v>0</v>
      </c>
      <c r="L46" s="204">
        <v>1</v>
      </c>
      <c r="M46" s="205">
        <v>0</v>
      </c>
      <c r="N46" s="85">
        <f t="shared" si="1"/>
        <v>202</v>
      </c>
      <c r="O46" s="43">
        <f t="shared" si="2"/>
        <v>153</v>
      </c>
    </row>
    <row r="47" spans="1:15" ht="22.5" customHeight="1" x14ac:dyDescent="0.3">
      <c r="A47" s="190" t="s">
        <v>216</v>
      </c>
      <c r="B47" s="44">
        <v>99</v>
      </c>
      <c r="C47" s="39">
        <v>206</v>
      </c>
      <c r="D47" s="39">
        <v>8</v>
      </c>
      <c r="E47" s="39">
        <v>2</v>
      </c>
      <c r="F47" s="194">
        <v>2</v>
      </c>
      <c r="G47" s="196">
        <f t="shared" si="3"/>
        <v>317</v>
      </c>
      <c r="H47" s="203">
        <v>0</v>
      </c>
      <c r="I47" s="204">
        <v>0</v>
      </c>
      <c r="J47" s="204">
        <v>0</v>
      </c>
      <c r="K47" s="204">
        <v>0</v>
      </c>
      <c r="L47" s="204">
        <v>1</v>
      </c>
      <c r="M47" s="205">
        <v>0</v>
      </c>
      <c r="N47" s="85">
        <f t="shared" si="1"/>
        <v>317</v>
      </c>
      <c r="O47" s="43">
        <f t="shared" si="2"/>
        <v>237</v>
      </c>
    </row>
    <row r="48" spans="1:15" ht="22.5" customHeight="1" x14ac:dyDescent="0.3">
      <c r="A48" s="190" t="s">
        <v>217</v>
      </c>
      <c r="B48" s="44">
        <v>98</v>
      </c>
      <c r="C48" s="39">
        <v>187</v>
      </c>
      <c r="D48" s="39">
        <v>7</v>
      </c>
      <c r="E48" s="39">
        <v>1</v>
      </c>
      <c r="F48" s="194">
        <v>1</v>
      </c>
      <c r="G48" s="196">
        <f t="shared" si="3"/>
        <v>294</v>
      </c>
      <c r="H48" s="203">
        <v>0</v>
      </c>
      <c r="I48" s="204">
        <v>0</v>
      </c>
      <c r="J48" s="204">
        <v>0</v>
      </c>
      <c r="K48" s="204">
        <v>0</v>
      </c>
      <c r="L48" s="204">
        <v>1</v>
      </c>
      <c r="M48" s="205">
        <v>0</v>
      </c>
      <c r="N48" s="85">
        <f t="shared" si="1"/>
        <v>294</v>
      </c>
      <c r="O48" s="43">
        <f t="shared" si="2"/>
        <v>217.5</v>
      </c>
    </row>
    <row r="49" spans="1:15" ht="22.5" customHeight="1" x14ac:dyDescent="0.3">
      <c r="A49" s="190" t="s">
        <v>218</v>
      </c>
      <c r="B49" s="44">
        <v>80</v>
      </c>
      <c r="C49" s="39">
        <v>173</v>
      </c>
      <c r="D49" s="39">
        <v>7</v>
      </c>
      <c r="E49" s="39">
        <v>1</v>
      </c>
      <c r="F49" s="194">
        <v>0</v>
      </c>
      <c r="G49" s="196">
        <f t="shared" si="3"/>
        <v>261</v>
      </c>
      <c r="H49" s="203">
        <v>0</v>
      </c>
      <c r="I49" s="204">
        <v>0</v>
      </c>
      <c r="J49" s="204">
        <v>0</v>
      </c>
      <c r="K49" s="204">
        <v>0</v>
      </c>
      <c r="L49" s="204">
        <v>1</v>
      </c>
      <c r="M49" s="205">
        <v>0</v>
      </c>
      <c r="N49" s="85">
        <f t="shared" si="1"/>
        <v>261</v>
      </c>
      <c r="O49" s="43">
        <f t="shared" si="2"/>
        <v>188</v>
      </c>
    </row>
    <row r="50" spans="1:15" ht="22.5" customHeight="1" x14ac:dyDescent="0.3">
      <c r="A50" s="190" t="s">
        <v>219</v>
      </c>
      <c r="B50" s="44">
        <v>85</v>
      </c>
      <c r="C50" s="39">
        <v>151</v>
      </c>
      <c r="D50" s="39">
        <v>3</v>
      </c>
      <c r="E50" s="39">
        <v>4</v>
      </c>
      <c r="F50" s="194">
        <v>0</v>
      </c>
      <c r="G50" s="196">
        <f t="shared" si="3"/>
        <v>243</v>
      </c>
      <c r="H50" s="203">
        <v>0</v>
      </c>
      <c r="I50" s="204">
        <v>0</v>
      </c>
      <c r="J50" s="204">
        <v>0</v>
      </c>
      <c r="K50" s="204">
        <v>0</v>
      </c>
      <c r="L50" s="204">
        <v>0</v>
      </c>
      <c r="M50" s="205">
        <v>0</v>
      </c>
      <c r="N50" s="85">
        <f t="shared" si="1"/>
        <v>243</v>
      </c>
      <c r="O50" s="43">
        <f t="shared" si="2"/>
        <v>177</v>
      </c>
    </row>
    <row r="51" spans="1:15" ht="22.5" customHeight="1" x14ac:dyDescent="0.3">
      <c r="A51" s="190" t="s">
        <v>220</v>
      </c>
      <c r="B51" s="44">
        <v>39</v>
      </c>
      <c r="C51" s="39">
        <v>25</v>
      </c>
      <c r="D51" s="39">
        <v>3</v>
      </c>
      <c r="E51" s="39">
        <v>0</v>
      </c>
      <c r="F51" s="194">
        <v>1</v>
      </c>
      <c r="G51" s="196">
        <f t="shared" si="3"/>
        <v>68</v>
      </c>
      <c r="H51" s="203">
        <v>0</v>
      </c>
      <c r="I51" s="204">
        <v>0</v>
      </c>
      <c r="J51" s="204">
        <v>0</v>
      </c>
      <c r="K51" s="204">
        <v>0</v>
      </c>
      <c r="L51" s="204">
        <v>0</v>
      </c>
      <c r="M51" s="205">
        <v>0</v>
      </c>
      <c r="N51" s="85">
        <f t="shared" si="1"/>
        <v>68</v>
      </c>
      <c r="O51" s="43">
        <f t="shared" si="2"/>
        <v>60.5</v>
      </c>
    </row>
    <row r="52" spans="1:15" ht="22.5" customHeight="1" x14ac:dyDescent="0.3">
      <c r="A52" s="190" t="s">
        <v>221</v>
      </c>
      <c r="B52" s="44">
        <v>31</v>
      </c>
      <c r="C52" s="39">
        <v>53</v>
      </c>
      <c r="D52" s="39">
        <v>2</v>
      </c>
      <c r="E52" s="39">
        <v>0</v>
      </c>
      <c r="F52" s="194">
        <v>1</v>
      </c>
      <c r="G52" s="196">
        <f t="shared" si="3"/>
        <v>87</v>
      </c>
      <c r="H52" s="203">
        <v>0</v>
      </c>
      <c r="I52" s="204">
        <v>0</v>
      </c>
      <c r="J52" s="204">
        <v>0</v>
      </c>
      <c r="K52" s="204">
        <v>0</v>
      </c>
      <c r="L52" s="204">
        <v>0</v>
      </c>
      <c r="M52" s="205">
        <v>0</v>
      </c>
      <c r="N52" s="85">
        <f t="shared" si="1"/>
        <v>87</v>
      </c>
      <c r="O52" s="43">
        <f t="shared" si="2"/>
        <v>65</v>
      </c>
    </row>
    <row r="53" spans="1:15" ht="22.5" customHeight="1" x14ac:dyDescent="0.3">
      <c r="A53" s="190" t="s">
        <v>222</v>
      </c>
      <c r="B53" s="44">
        <v>65</v>
      </c>
      <c r="C53" s="39">
        <v>121</v>
      </c>
      <c r="D53" s="39">
        <v>4</v>
      </c>
      <c r="E53" s="39">
        <v>1</v>
      </c>
      <c r="F53" s="194">
        <v>0</v>
      </c>
      <c r="G53" s="196">
        <f t="shared" si="3"/>
        <v>191</v>
      </c>
      <c r="H53" s="203">
        <v>0</v>
      </c>
      <c r="I53" s="204">
        <v>0</v>
      </c>
      <c r="J53" s="204">
        <v>0</v>
      </c>
      <c r="K53" s="204">
        <v>0</v>
      </c>
      <c r="L53" s="204">
        <v>1</v>
      </c>
      <c r="M53" s="205">
        <v>0</v>
      </c>
      <c r="N53" s="85">
        <f t="shared" si="1"/>
        <v>191</v>
      </c>
      <c r="O53" s="43">
        <f t="shared" si="2"/>
        <v>142.5</v>
      </c>
    </row>
    <row r="54" spans="1:15" ht="22.5" customHeight="1" x14ac:dyDescent="0.3">
      <c r="A54" s="190" t="s">
        <v>223</v>
      </c>
      <c r="B54" s="44">
        <v>116</v>
      </c>
      <c r="C54" s="39">
        <v>235</v>
      </c>
      <c r="D54" s="39">
        <v>5</v>
      </c>
      <c r="E54" s="39">
        <v>0</v>
      </c>
      <c r="F54" s="194">
        <v>0</v>
      </c>
      <c r="G54" s="196">
        <f t="shared" si="3"/>
        <v>356</v>
      </c>
      <c r="H54" s="203">
        <v>0</v>
      </c>
      <c r="I54" s="204">
        <v>0</v>
      </c>
      <c r="J54" s="204">
        <v>0</v>
      </c>
      <c r="K54" s="204">
        <v>0</v>
      </c>
      <c r="L54" s="204">
        <v>0</v>
      </c>
      <c r="M54" s="205">
        <v>0</v>
      </c>
      <c r="N54" s="85">
        <f t="shared" si="1"/>
        <v>356</v>
      </c>
      <c r="O54" s="43">
        <f t="shared" si="2"/>
        <v>241</v>
      </c>
    </row>
    <row r="55" spans="1:15" ht="22.5" customHeight="1" x14ac:dyDescent="0.3">
      <c r="A55" s="190" t="s">
        <v>224</v>
      </c>
      <c r="B55" s="44">
        <v>92</v>
      </c>
      <c r="C55" s="39">
        <v>195</v>
      </c>
      <c r="D55" s="39">
        <v>7</v>
      </c>
      <c r="E55" s="39">
        <v>4</v>
      </c>
      <c r="F55" s="194">
        <v>4</v>
      </c>
      <c r="G55" s="196">
        <f t="shared" si="3"/>
        <v>302</v>
      </c>
      <c r="H55" s="203">
        <v>0</v>
      </c>
      <c r="I55" s="204">
        <v>0</v>
      </c>
      <c r="J55" s="204">
        <v>0</v>
      </c>
      <c r="K55" s="204">
        <v>0</v>
      </c>
      <c r="L55" s="204">
        <v>0</v>
      </c>
      <c r="M55" s="205">
        <v>0</v>
      </c>
      <c r="N55" s="85">
        <f t="shared" si="1"/>
        <v>302</v>
      </c>
      <c r="O55" s="43">
        <f t="shared" si="2"/>
        <v>230</v>
      </c>
    </row>
    <row r="56" spans="1:15" ht="22.5" customHeight="1" x14ac:dyDescent="0.3">
      <c r="A56" s="190" t="s">
        <v>225</v>
      </c>
      <c r="B56" s="235">
        <v>116</v>
      </c>
      <c r="C56" s="236">
        <v>243</v>
      </c>
      <c r="D56" s="236">
        <v>5</v>
      </c>
      <c r="E56" s="236">
        <v>12</v>
      </c>
      <c r="F56" s="237">
        <v>1</v>
      </c>
      <c r="G56" s="196">
        <f t="shared" si="3"/>
        <v>377</v>
      </c>
      <c r="H56" s="235">
        <v>1</v>
      </c>
      <c r="I56" s="236">
        <v>0</v>
      </c>
      <c r="J56" s="236">
        <v>0</v>
      </c>
      <c r="K56" s="236">
        <v>0</v>
      </c>
      <c r="L56" s="236">
        <v>1</v>
      </c>
      <c r="M56" s="241">
        <v>0</v>
      </c>
      <c r="N56" s="85">
        <f t="shared" si="1"/>
        <v>377</v>
      </c>
      <c r="O56" s="43">
        <f t="shared" si="2"/>
        <v>294</v>
      </c>
    </row>
    <row r="57" spans="1:15" ht="22.5" customHeight="1" x14ac:dyDescent="0.3">
      <c r="A57" s="190" t="s">
        <v>226</v>
      </c>
      <c r="B57" s="235">
        <v>124</v>
      </c>
      <c r="C57" s="236">
        <v>237</v>
      </c>
      <c r="D57" s="236">
        <v>1</v>
      </c>
      <c r="E57" s="236">
        <v>12</v>
      </c>
      <c r="F57" s="237">
        <v>2</v>
      </c>
      <c r="G57" s="196">
        <f t="shared" si="3"/>
        <v>376</v>
      </c>
      <c r="H57" s="235">
        <v>0</v>
      </c>
      <c r="I57" s="236">
        <v>0</v>
      </c>
      <c r="J57" s="236">
        <v>0</v>
      </c>
      <c r="K57" s="236">
        <v>0</v>
      </c>
      <c r="L57" s="236">
        <v>1</v>
      </c>
      <c r="M57" s="241">
        <v>0</v>
      </c>
      <c r="N57" s="85">
        <f t="shared" si="1"/>
        <v>376</v>
      </c>
      <c r="O57" s="43">
        <f t="shared" si="2"/>
        <v>297</v>
      </c>
    </row>
    <row r="58" spans="1:15" ht="22.5" customHeight="1" x14ac:dyDescent="0.3">
      <c r="A58" s="190" t="s">
        <v>227</v>
      </c>
      <c r="B58" s="235">
        <v>121</v>
      </c>
      <c r="C58" s="236">
        <v>125</v>
      </c>
      <c r="D58" s="236">
        <v>4</v>
      </c>
      <c r="E58" s="236">
        <v>13</v>
      </c>
      <c r="F58" s="237">
        <v>1</v>
      </c>
      <c r="G58" s="196">
        <f t="shared" si="3"/>
        <v>264</v>
      </c>
      <c r="H58" s="235">
        <v>1</v>
      </c>
      <c r="I58" s="236">
        <v>0</v>
      </c>
      <c r="J58" s="236">
        <v>0</v>
      </c>
      <c r="K58" s="236">
        <v>0</v>
      </c>
      <c r="L58" s="236">
        <v>0</v>
      </c>
      <c r="M58" s="241">
        <v>0</v>
      </c>
      <c r="N58" s="85">
        <f t="shared" si="1"/>
        <v>264</v>
      </c>
      <c r="O58" s="43">
        <f t="shared" si="2"/>
        <v>233.5</v>
      </c>
    </row>
    <row r="59" spans="1:15" ht="22.5" customHeight="1" x14ac:dyDescent="0.3">
      <c r="A59" s="190" t="s">
        <v>228</v>
      </c>
      <c r="B59" s="235">
        <v>100</v>
      </c>
      <c r="C59" s="236">
        <v>134</v>
      </c>
      <c r="D59" s="236">
        <v>2</v>
      </c>
      <c r="E59" s="236">
        <v>11</v>
      </c>
      <c r="F59" s="237">
        <v>1</v>
      </c>
      <c r="G59" s="196">
        <f t="shared" si="3"/>
        <v>248</v>
      </c>
      <c r="H59" s="235">
        <v>0</v>
      </c>
      <c r="I59" s="236">
        <v>0</v>
      </c>
      <c r="J59" s="236">
        <v>0</v>
      </c>
      <c r="K59" s="236">
        <v>0</v>
      </c>
      <c r="L59" s="236">
        <v>0</v>
      </c>
      <c r="M59" s="241">
        <v>0</v>
      </c>
      <c r="N59" s="85">
        <f t="shared" si="1"/>
        <v>248</v>
      </c>
      <c r="O59" s="43">
        <f t="shared" si="2"/>
        <v>207.5</v>
      </c>
    </row>
    <row r="60" spans="1:15" ht="22.5" customHeight="1" x14ac:dyDescent="0.3">
      <c r="A60" s="190" t="s">
        <v>229</v>
      </c>
      <c r="B60" s="235">
        <v>99</v>
      </c>
      <c r="C60" s="236">
        <v>151</v>
      </c>
      <c r="D60" s="236">
        <v>6</v>
      </c>
      <c r="E60" s="236">
        <v>5</v>
      </c>
      <c r="F60" s="237">
        <v>2</v>
      </c>
      <c r="G60" s="196">
        <f t="shared" si="3"/>
        <v>263</v>
      </c>
      <c r="H60" s="235">
        <v>0</v>
      </c>
      <c r="I60" s="236">
        <v>0</v>
      </c>
      <c r="J60" s="236">
        <v>0</v>
      </c>
      <c r="K60" s="236">
        <v>0</v>
      </c>
      <c r="L60" s="236">
        <v>2</v>
      </c>
      <c r="M60" s="241">
        <v>0</v>
      </c>
      <c r="N60" s="85">
        <f t="shared" si="1"/>
        <v>263</v>
      </c>
      <c r="O60" s="43">
        <f t="shared" si="2"/>
        <v>223.5</v>
      </c>
    </row>
    <row r="61" spans="1:15" ht="22.5" customHeight="1" x14ac:dyDescent="0.3">
      <c r="A61" s="190" t="s">
        <v>230</v>
      </c>
      <c r="B61" s="235">
        <v>73</v>
      </c>
      <c r="C61" s="236">
        <v>160</v>
      </c>
      <c r="D61" s="236">
        <v>3</v>
      </c>
      <c r="E61" s="236">
        <v>5</v>
      </c>
      <c r="F61" s="237">
        <v>4</v>
      </c>
      <c r="G61" s="196">
        <f t="shared" si="3"/>
        <v>245</v>
      </c>
      <c r="H61" s="235">
        <v>0</v>
      </c>
      <c r="I61" s="236">
        <v>0</v>
      </c>
      <c r="J61" s="236">
        <v>0</v>
      </c>
      <c r="K61" s="236">
        <v>0</v>
      </c>
      <c r="L61" s="236">
        <v>0</v>
      </c>
      <c r="M61" s="241">
        <v>0</v>
      </c>
      <c r="N61" s="85">
        <f t="shared" si="1"/>
        <v>245</v>
      </c>
      <c r="O61" s="43">
        <f t="shared" si="2"/>
        <v>190.5</v>
      </c>
    </row>
    <row r="62" spans="1:15" ht="22.5" customHeight="1" x14ac:dyDescent="0.3">
      <c r="A62" s="190" t="s">
        <v>231</v>
      </c>
      <c r="B62" s="235">
        <v>48</v>
      </c>
      <c r="C62" s="236">
        <v>114</v>
      </c>
      <c r="D62" s="236">
        <v>3</v>
      </c>
      <c r="E62" s="236">
        <v>7</v>
      </c>
      <c r="F62" s="237">
        <v>3</v>
      </c>
      <c r="G62" s="196">
        <f t="shared" si="3"/>
        <v>175</v>
      </c>
      <c r="H62" s="235">
        <v>0</v>
      </c>
      <c r="I62" s="236">
        <v>0</v>
      </c>
      <c r="J62" s="236">
        <v>0</v>
      </c>
      <c r="K62" s="236">
        <v>0</v>
      </c>
      <c r="L62" s="236">
        <v>0</v>
      </c>
      <c r="M62" s="241">
        <v>0</v>
      </c>
      <c r="N62" s="85">
        <f t="shared" si="1"/>
        <v>175</v>
      </c>
      <c r="O62" s="43">
        <f t="shared" si="2"/>
        <v>144</v>
      </c>
    </row>
    <row r="63" spans="1:15" ht="22.5" customHeight="1" x14ac:dyDescent="0.3">
      <c r="A63" s="190" t="s">
        <v>232</v>
      </c>
      <c r="B63" s="235">
        <v>42</v>
      </c>
      <c r="C63" s="236">
        <v>134</v>
      </c>
      <c r="D63" s="236">
        <v>2</v>
      </c>
      <c r="E63" s="236">
        <v>6</v>
      </c>
      <c r="F63" s="237">
        <v>3</v>
      </c>
      <c r="G63" s="196">
        <f t="shared" si="3"/>
        <v>187</v>
      </c>
      <c r="H63" s="235">
        <v>0</v>
      </c>
      <c r="I63" s="236">
        <v>0</v>
      </c>
      <c r="J63" s="236">
        <v>0</v>
      </c>
      <c r="K63" s="236">
        <v>0</v>
      </c>
      <c r="L63" s="236">
        <v>0</v>
      </c>
      <c r="M63" s="241">
        <v>0</v>
      </c>
      <c r="N63" s="85">
        <f t="shared" si="1"/>
        <v>187</v>
      </c>
      <c r="O63" s="43">
        <f t="shared" si="2"/>
        <v>143.5</v>
      </c>
    </row>
    <row r="64" spans="1:15" ht="22.5" customHeight="1" x14ac:dyDescent="0.3">
      <c r="A64" s="190" t="s">
        <v>233</v>
      </c>
      <c r="B64" s="235">
        <v>48</v>
      </c>
      <c r="C64" s="236">
        <v>40</v>
      </c>
      <c r="D64" s="236">
        <v>2</v>
      </c>
      <c r="E64" s="236">
        <v>4</v>
      </c>
      <c r="F64" s="237">
        <v>3</v>
      </c>
      <c r="G64" s="196">
        <f t="shared" si="3"/>
        <v>97</v>
      </c>
      <c r="H64" s="235">
        <v>0</v>
      </c>
      <c r="I64" s="236">
        <v>0</v>
      </c>
      <c r="J64" s="236">
        <v>0</v>
      </c>
      <c r="K64" s="236">
        <v>0</v>
      </c>
      <c r="L64" s="236">
        <v>2</v>
      </c>
      <c r="M64" s="241">
        <v>0</v>
      </c>
      <c r="N64" s="85">
        <f t="shared" si="1"/>
        <v>97</v>
      </c>
      <c r="O64" s="43">
        <f t="shared" si="2"/>
        <v>112.5</v>
      </c>
    </row>
    <row r="65" spans="1:15" ht="22.5" customHeight="1" x14ac:dyDescent="0.3">
      <c r="A65" s="190" t="s">
        <v>234</v>
      </c>
      <c r="B65" s="235">
        <v>59</v>
      </c>
      <c r="C65" s="236">
        <v>47</v>
      </c>
      <c r="D65" s="236">
        <v>11</v>
      </c>
      <c r="E65" s="236">
        <v>8</v>
      </c>
      <c r="F65" s="237">
        <v>2</v>
      </c>
      <c r="G65" s="196">
        <f t="shared" si="3"/>
        <v>127</v>
      </c>
      <c r="H65" s="235">
        <v>0</v>
      </c>
      <c r="I65" s="236">
        <v>0</v>
      </c>
      <c r="J65" s="236">
        <v>0</v>
      </c>
      <c r="K65" s="236">
        <v>0</v>
      </c>
      <c r="L65" s="236">
        <v>1</v>
      </c>
      <c r="M65" s="241">
        <v>0</v>
      </c>
      <c r="N65" s="85">
        <f t="shared" si="1"/>
        <v>127</v>
      </c>
      <c r="O65" s="43">
        <f t="shared" si="2"/>
        <v>140</v>
      </c>
    </row>
    <row r="66" spans="1:15" ht="22.5" customHeight="1" x14ac:dyDescent="0.3">
      <c r="A66" s="190" t="s">
        <v>235</v>
      </c>
      <c r="B66" s="235">
        <v>56</v>
      </c>
      <c r="C66" s="236">
        <v>32</v>
      </c>
      <c r="D66" s="236">
        <v>6</v>
      </c>
      <c r="E66" s="236">
        <v>3</v>
      </c>
      <c r="F66" s="237">
        <v>2</v>
      </c>
      <c r="G66" s="196">
        <f t="shared" si="3"/>
        <v>99</v>
      </c>
      <c r="H66" s="235">
        <v>0</v>
      </c>
      <c r="I66" s="236">
        <v>0</v>
      </c>
      <c r="J66" s="236">
        <v>0</v>
      </c>
      <c r="K66" s="236">
        <v>0</v>
      </c>
      <c r="L66" s="236">
        <v>0</v>
      </c>
      <c r="M66" s="241">
        <v>0</v>
      </c>
      <c r="N66" s="85">
        <f t="shared" si="1"/>
        <v>99</v>
      </c>
      <c r="O66" s="43">
        <f t="shared" si="2"/>
        <v>99</v>
      </c>
    </row>
    <row r="67" spans="1:15" ht="22.5" customHeight="1" x14ac:dyDescent="0.3">
      <c r="A67" s="190" t="s">
        <v>236</v>
      </c>
      <c r="B67" s="235">
        <v>67</v>
      </c>
      <c r="C67" s="236">
        <v>31</v>
      </c>
      <c r="D67" s="236">
        <v>5</v>
      </c>
      <c r="E67" s="236">
        <v>3</v>
      </c>
      <c r="F67" s="237">
        <v>3</v>
      </c>
      <c r="G67" s="196">
        <f t="shared" si="3"/>
        <v>109</v>
      </c>
      <c r="H67" s="235">
        <v>0</v>
      </c>
      <c r="I67" s="236">
        <v>0</v>
      </c>
      <c r="J67" s="236">
        <v>0</v>
      </c>
      <c r="K67" s="236">
        <v>0</v>
      </c>
      <c r="L67" s="236">
        <v>0</v>
      </c>
      <c r="M67" s="241">
        <v>0</v>
      </c>
      <c r="N67" s="85">
        <f t="shared" si="1"/>
        <v>109</v>
      </c>
      <c r="O67" s="43">
        <f t="shared" si="2"/>
        <v>112.5</v>
      </c>
    </row>
    <row r="68" spans="1:15" ht="22.5" customHeight="1" x14ac:dyDescent="0.3">
      <c r="A68" s="190" t="s">
        <v>237</v>
      </c>
      <c r="B68" s="235">
        <v>78</v>
      </c>
      <c r="C68" s="236">
        <v>25</v>
      </c>
      <c r="D68" s="236">
        <v>4</v>
      </c>
      <c r="E68" s="236">
        <v>1</v>
      </c>
      <c r="F68" s="237">
        <v>1</v>
      </c>
      <c r="G68" s="196">
        <f t="shared" si="3"/>
        <v>109</v>
      </c>
      <c r="H68" s="235">
        <v>0</v>
      </c>
      <c r="I68" s="236">
        <v>0</v>
      </c>
      <c r="J68" s="236">
        <v>0</v>
      </c>
      <c r="K68" s="236">
        <v>0</v>
      </c>
      <c r="L68" s="236">
        <v>0</v>
      </c>
      <c r="M68" s="241">
        <v>0</v>
      </c>
      <c r="N68" s="85">
        <f t="shared" si="1"/>
        <v>109</v>
      </c>
      <c r="O68" s="43">
        <f t="shared" si="2"/>
        <v>104</v>
      </c>
    </row>
    <row r="69" spans="1:15" ht="22.5" customHeight="1" x14ac:dyDescent="0.3">
      <c r="A69" s="190" t="s">
        <v>238</v>
      </c>
      <c r="B69" s="235">
        <v>90</v>
      </c>
      <c r="C69" s="236">
        <v>31</v>
      </c>
      <c r="D69" s="236">
        <v>4</v>
      </c>
      <c r="E69" s="236">
        <v>3</v>
      </c>
      <c r="F69" s="237">
        <v>2</v>
      </c>
      <c r="G69" s="196">
        <f t="shared" si="3"/>
        <v>130</v>
      </c>
      <c r="H69" s="235">
        <v>0</v>
      </c>
      <c r="I69" s="236">
        <v>0</v>
      </c>
      <c r="J69" s="236">
        <v>0</v>
      </c>
      <c r="K69" s="236">
        <v>0</v>
      </c>
      <c r="L69" s="236">
        <v>1</v>
      </c>
      <c r="M69" s="241">
        <v>0</v>
      </c>
      <c r="N69" s="85">
        <f t="shared" si="1"/>
        <v>130</v>
      </c>
      <c r="O69" s="43">
        <f t="shared" si="2"/>
        <v>137.5</v>
      </c>
    </row>
    <row r="70" spans="1:15" ht="22.5" customHeight="1" x14ac:dyDescent="0.3">
      <c r="A70" s="190" t="s">
        <v>239</v>
      </c>
      <c r="B70" s="235">
        <v>69</v>
      </c>
      <c r="C70" s="236">
        <v>25</v>
      </c>
      <c r="D70" s="236">
        <v>3</v>
      </c>
      <c r="E70" s="236">
        <v>4</v>
      </c>
      <c r="F70" s="237">
        <v>4</v>
      </c>
      <c r="G70" s="196">
        <f t="shared" si="3"/>
        <v>105</v>
      </c>
      <c r="H70" s="235">
        <v>0</v>
      </c>
      <c r="I70" s="236">
        <v>0</v>
      </c>
      <c r="J70" s="236">
        <v>0</v>
      </c>
      <c r="K70" s="236">
        <v>0</v>
      </c>
      <c r="L70" s="236">
        <v>0</v>
      </c>
      <c r="M70" s="241">
        <v>0</v>
      </c>
      <c r="N70" s="85">
        <f t="shared" si="1"/>
        <v>105</v>
      </c>
      <c r="O70" s="43">
        <f t="shared" si="2"/>
        <v>116</v>
      </c>
    </row>
    <row r="71" spans="1:15" ht="22.5" customHeight="1" x14ac:dyDescent="0.3">
      <c r="A71" s="190" t="s">
        <v>240</v>
      </c>
      <c r="B71" s="235">
        <v>73</v>
      </c>
      <c r="C71" s="236">
        <v>31</v>
      </c>
      <c r="D71" s="236">
        <v>2</v>
      </c>
      <c r="E71" s="236">
        <v>4</v>
      </c>
      <c r="F71" s="237">
        <v>6</v>
      </c>
      <c r="G71" s="196">
        <f t="shared" si="3"/>
        <v>116</v>
      </c>
      <c r="H71" s="235">
        <v>0</v>
      </c>
      <c r="I71" s="236">
        <v>0</v>
      </c>
      <c r="J71" s="236">
        <v>0</v>
      </c>
      <c r="K71" s="236">
        <v>0</v>
      </c>
      <c r="L71" s="236">
        <v>0</v>
      </c>
      <c r="M71" s="241">
        <v>0</v>
      </c>
      <c r="N71" s="85">
        <f t="shared" si="1"/>
        <v>116</v>
      </c>
      <c r="O71" s="43">
        <f t="shared" si="2"/>
        <v>130.5</v>
      </c>
    </row>
    <row r="72" spans="1:15" ht="22.5" customHeight="1" x14ac:dyDescent="0.3">
      <c r="A72" s="190" t="s">
        <v>153</v>
      </c>
      <c r="B72" s="235">
        <v>56</v>
      </c>
      <c r="C72" s="236">
        <v>56</v>
      </c>
      <c r="D72" s="236">
        <v>4</v>
      </c>
      <c r="E72" s="236">
        <v>4</v>
      </c>
      <c r="F72" s="237">
        <v>4</v>
      </c>
      <c r="G72" s="196">
        <f t="shared" ref="G72:G103" si="4">SUM(B72:F72)</f>
        <v>124</v>
      </c>
      <c r="H72" s="235">
        <v>0</v>
      </c>
      <c r="I72" s="236">
        <v>0</v>
      </c>
      <c r="J72" s="236">
        <v>0</v>
      </c>
      <c r="K72" s="236">
        <v>0</v>
      </c>
      <c r="L72" s="236">
        <v>1</v>
      </c>
      <c r="M72" s="241">
        <v>0</v>
      </c>
      <c r="N72" s="85">
        <f t="shared" si="1"/>
        <v>124</v>
      </c>
      <c r="O72" s="43">
        <f t="shared" si="2"/>
        <v>128</v>
      </c>
    </row>
    <row r="73" spans="1:15" ht="22.5" customHeight="1" x14ac:dyDescent="0.3">
      <c r="A73" s="190" t="s">
        <v>154</v>
      </c>
      <c r="B73" s="235">
        <v>31</v>
      </c>
      <c r="C73" s="236">
        <v>46</v>
      </c>
      <c r="D73" s="236">
        <v>2</v>
      </c>
      <c r="E73" s="236">
        <v>4</v>
      </c>
      <c r="F73" s="237">
        <v>4</v>
      </c>
      <c r="G73" s="196">
        <f t="shared" si="4"/>
        <v>87</v>
      </c>
      <c r="H73" s="235">
        <v>0</v>
      </c>
      <c r="I73" s="236">
        <v>0</v>
      </c>
      <c r="J73" s="236">
        <v>0</v>
      </c>
      <c r="K73" s="236">
        <v>0</v>
      </c>
      <c r="L73" s="236">
        <v>0</v>
      </c>
      <c r="M73" s="241">
        <v>0</v>
      </c>
      <c r="N73" s="85">
        <f t="shared" ref="N73:N103" si="5">G73+M73</f>
        <v>87</v>
      </c>
      <c r="O73" s="43">
        <f t="shared" ref="O73:O103" si="6">B73*1+C73*0.5+D73*1.5+E73*3+F73*4.5+H73*0.5+I73*1.5+J73*3+K73*4+L73*8</f>
        <v>87</v>
      </c>
    </row>
    <row r="74" spans="1:15" ht="22.5" customHeight="1" x14ac:dyDescent="0.3">
      <c r="A74" s="190" t="s">
        <v>155</v>
      </c>
      <c r="B74" s="235">
        <v>32</v>
      </c>
      <c r="C74" s="236">
        <v>28</v>
      </c>
      <c r="D74" s="236">
        <v>5</v>
      </c>
      <c r="E74" s="236">
        <v>3</v>
      </c>
      <c r="F74" s="237">
        <v>3</v>
      </c>
      <c r="G74" s="196">
        <f t="shared" si="4"/>
        <v>71</v>
      </c>
      <c r="H74" s="235">
        <v>0</v>
      </c>
      <c r="I74" s="236">
        <v>0</v>
      </c>
      <c r="J74" s="236">
        <v>0</v>
      </c>
      <c r="K74" s="236">
        <v>0</v>
      </c>
      <c r="L74" s="236">
        <v>0</v>
      </c>
      <c r="M74" s="241">
        <v>0</v>
      </c>
      <c r="N74" s="85">
        <f t="shared" si="5"/>
        <v>71</v>
      </c>
      <c r="O74" s="43">
        <f t="shared" si="6"/>
        <v>76</v>
      </c>
    </row>
    <row r="75" spans="1:15" ht="22.5" customHeight="1" x14ac:dyDescent="0.3">
      <c r="A75" s="190" t="s">
        <v>156</v>
      </c>
      <c r="B75" s="235">
        <v>42</v>
      </c>
      <c r="C75" s="236">
        <v>31</v>
      </c>
      <c r="D75" s="236">
        <v>4</v>
      </c>
      <c r="E75" s="236">
        <v>5</v>
      </c>
      <c r="F75" s="237">
        <v>3</v>
      </c>
      <c r="G75" s="196">
        <f t="shared" si="4"/>
        <v>85</v>
      </c>
      <c r="H75" s="235">
        <v>0</v>
      </c>
      <c r="I75" s="236">
        <v>0</v>
      </c>
      <c r="J75" s="236">
        <v>0</v>
      </c>
      <c r="K75" s="236">
        <v>0</v>
      </c>
      <c r="L75" s="236">
        <v>1</v>
      </c>
      <c r="M75" s="241">
        <v>0</v>
      </c>
      <c r="N75" s="85">
        <f t="shared" si="5"/>
        <v>85</v>
      </c>
      <c r="O75" s="43">
        <f t="shared" si="6"/>
        <v>100</v>
      </c>
    </row>
    <row r="76" spans="1:15" ht="22.5" customHeight="1" x14ac:dyDescent="0.3">
      <c r="A76" s="190" t="s">
        <v>157</v>
      </c>
      <c r="B76" s="235">
        <v>40</v>
      </c>
      <c r="C76" s="236">
        <v>23</v>
      </c>
      <c r="D76" s="236">
        <v>6</v>
      </c>
      <c r="E76" s="236">
        <v>3</v>
      </c>
      <c r="F76" s="237">
        <v>2</v>
      </c>
      <c r="G76" s="196">
        <f t="shared" si="4"/>
        <v>74</v>
      </c>
      <c r="H76" s="235">
        <v>0</v>
      </c>
      <c r="I76" s="236">
        <v>0</v>
      </c>
      <c r="J76" s="236">
        <v>0</v>
      </c>
      <c r="K76" s="236">
        <v>0</v>
      </c>
      <c r="L76" s="236">
        <v>0</v>
      </c>
      <c r="M76" s="241">
        <v>0</v>
      </c>
      <c r="N76" s="85">
        <f t="shared" si="5"/>
        <v>74</v>
      </c>
      <c r="O76" s="43">
        <f t="shared" si="6"/>
        <v>78.5</v>
      </c>
    </row>
    <row r="77" spans="1:15" ht="22.5" customHeight="1" x14ac:dyDescent="0.3">
      <c r="A77" s="190" t="s">
        <v>158</v>
      </c>
      <c r="B77" s="235">
        <v>42</v>
      </c>
      <c r="C77" s="236">
        <v>15</v>
      </c>
      <c r="D77" s="236">
        <v>5</v>
      </c>
      <c r="E77" s="236">
        <v>1</v>
      </c>
      <c r="F77" s="237">
        <v>3</v>
      </c>
      <c r="G77" s="196">
        <f t="shared" si="4"/>
        <v>66</v>
      </c>
      <c r="H77" s="235">
        <v>0</v>
      </c>
      <c r="I77" s="236">
        <v>0</v>
      </c>
      <c r="J77" s="236">
        <v>0</v>
      </c>
      <c r="K77" s="236">
        <v>0</v>
      </c>
      <c r="L77" s="236">
        <v>0</v>
      </c>
      <c r="M77" s="241">
        <v>0</v>
      </c>
      <c r="N77" s="85">
        <f t="shared" si="5"/>
        <v>66</v>
      </c>
      <c r="O77" s="43">
        <f t="shared" si="6"/>
        <v>73.5</v>
      </c>
    </row>
    <row r="78" spans="1:15" ht="22.5" customHeight="1" x14ac:dyDescent="0.3">
      <c r="A78" s="190" t="s">
        <v>159</v>
      </c>
      <c r="B78" s="235">
        <v>31</v>
      </c>
      <c r="C78" s="236">
        <v>21</v>
      </c>
      <c r="D78" s="236">
        <v>4</v>
      </c>
      <c r="E78" s="236">
        <v>2</v>
      </c>
      <c r="F78" s="237">
        <v>5</v>
      </c>
      <c r="G78" s="196">
        <f t="shared" si="4"/>
        <v>63</v>
      </c>
      <c r="H78" s="235">
        <v>0</v>
      </c>
      <c r="I78" s="236">
        <v>0</v>
      </c>
      <c r="J78" s="236">
        <v>0</v>
      </c>
      <c r="K78" s="236">
        <v>0</v>
      </c>
      <c r="L78" s="236">
        <v>0</v>
      </c>
      <c r="M78" s="241">
        <v>0</v>
      </c>
      <c r="N78" s="85">
        <f t="shared" si="5"/>
        <v>63</v>
      </c>
      <c r="O78" s="43">
        <f t="shared" si="6"/>
        <v>76</v>
      </c>
    </row>
    <row r="79" spans="1:15" ht="22.5" customHeight="1" x14ac:dyDescent="0.3">
      <c r="A79" s="190" t="s">
        <v>160</v>
      </c>
      <c r="B79" s="235">
        <v>25</v>
      </c>
      <c r="C79" s="236">
        <v>31</v>
      </c>
      <c r="D79" s="236">
        <v>3</v>
      </c>
      <c r="E79" s="236">
        <v>3</v>
      </c>
      <c r="F79" s="237">
        <v>3</v>
      </c>
      <c r="G79" s="196">
        <f t="shared" si="4"/>
        <v>65</v>
      </c>
      <c r="H79" s="235">
        <v>0</v>
      </c>
      <c r="I79" s="236">
        <v>0</v>
      </c>
      <c r="J79" s="236">
        <v>0</v>
      </c>
      <c r="K79" s="236">
        <v>0</v>
      </c>
      <c r="L79" s="236">
        <v>1</v>
      </c>
      <c r="M79" s="241">
        <v>0</v>
      </c>
      <c r="N79" s="85">
        <f t="shared" si="5"/>
        <v>65</v>
      </c>
      <c r="O79" s="43">
        <f t="shared" si="6"/>
        <v>75.5</v>
      </c>
    </row>
    <row r="80" spans="1:15" ht="22.5" customHeight="1" x14ac:dyDescent="0.3">
      <c r="A80" s="190" t="s">
        <v>161</v>
      </c>
      <c r="B80" s="235">
        <v>29</v>
      </c>
      <c r="C80" s="236">
        <v>6</v>
      </c>
      <c r="D80" s="236">
        <v>3</v>
      </c>
      <c r="E80" s="236">
        <v>0</v>
      </c>
      <c r="F80" s="237">
        <v>3</v>
      </c>
      <c r="G80" s="196">
        <f t="shared" si="4"/>
        <v>41</v>
      </c>
      <c r="H80" s="235">
        <v>0</v>
      </c>
      <c r="I80" s="236">
        <v>0</v>
      </c>
      <c r="J80" s="236">
        <v>0</v>
      </c>
      <c r="K80" s="236">
        <v>0</v>
      </c>
      <c r="L80" s="236">
        <v>0</v>
      </c>
      <c r="M80" s="241">
        <v>0</v>
      </c>
      <c r="N80" s="85">
        <f t="shared" si="5"/>
        <v>41</v>
      </c>
      <c r="O80" s="43">
        <f t="shared" si="6"/>
        <v>50</v>
      </c>
    </row>
    <row r="81" spans="1:15" ht="22.5" customHeight="1" x14ac:dyDescent="0.3">
      <c r="A81" s="190" t="s">
        <v>162</v>
      </c>
      <c r="B81" s="235">
        <v>36</v>
      </c>
      <c r="C81" s="236">
        <v>5</v>
      </c>
      <c r="D81" s="236">
        <v>3</v>
      </c>
      <c r="E81" s="236">
        <v>2</v>
      </c>
      <c r="F81" s="237">
        <v>1</v>
      </c>
      <c r="G81" s="196">
        <f t="shared" si="4"/>
        <v>47</v>
      </c>
      <c r="H81" s="235">
        <v>0</v>
      </c>
      <c r="I81" s="236">
        <v>0</v>
      </c>
      <c r="J81" s="236">
        <v>0</v>
      </c>
      <c r="K81" s="236">
        <v>0</v>
      </c>
      <c r="L81" s="236">
        <v>0</v>
      </c>
      <c r="M81" s="241">
        <v>0</v>
      </c>
      <c r="N81" s="85">
        <f t="shared" si="5"/>
        <v>47</v>
      </c>
      <c r="O81" s="43">
        <f t="shared" si="6"/>
        <v>53.5</v>
      </c>
    </row>
    <row r="82" spans="1:15" ht="22.5" customHeight="1" x14ac:dyDescent="0.3">
      <c r="A82" s="190" t="s">
        <v>163</v>
      </c>
      <c r="B82" s="235">
        <v>31</v>
      </c>
      <c r="C82" s="236">
        <v>6</v>
      </c>
      <c r="D82" s="236">
        <v>5</v>
      </c>
      <c r="E82" s="236">
        <v>1</v>
      </c>
      <c r="F82" s="237">
        <v>1</v>
      </c>
      <c r="G82" s="196">
        <f t="shared" si="4"/>
        <v>44</v>
      </c>
      <c r="H82" s="235">
        <v>0</v>
      </c>
      <c r="I82" s="236">
        <v>0</v>
      </c>
      <c r="J82" s="236">
        <v>0</v>
      </c>
      <c r="K82" s="236">
        <v>0</v>
      </c>
      <c r="L82" s="236">
        <v>0</v>
      </c>
      <c r="M82" s="241">
        <v>0</v>
      </c>
      <c r="N82" s="85">
        <f t="shared" si="5"/>
        <v>44</v>
      </c>
      <c r="O82" s="43">
        <f t="shared" si="6"/>
        <v>49</v>
      </c>
    </row>
    <row r="83" spans="1:15" ht="22.5" customHeight="1" x14ac:dyDescent="0.3">
      <c r="A83" s="190" t="s">
        <v>164</v>
      </c>
      <c r="B83" s="235">
        <v>26</v>
      </c>
      <c r="C83" s="236">
        <v>3</v>
      </c>
      <c r="D83" s="236">
        <v>1</v>
      </c>
      <c r="E83" s="236">
        <v>2</v>
      </c>
      <c r="F83" s="237">
        <v>3</v>
      </c>
      <c r="G83" s="196">
        <f t="shared" si="4"/>
        <v>35</v>
      </c>
      <c r="H83" s="235">
        <v>0</v>
      </c>
      <c r="I83" s="236">
        <v>0</v>
      </c>
      <c r="J83" s="236">
        <v>0</v>
      </c>
      <c r="K83" s="236">
        <v>0</v>
      </c>
      <c r="L83" s="236">
        <v>0</v>
      </c>
      <c r="M83" s="241">
        <v>0</v>
      </c>
      <c r="N83" s="85">
        <f t="shared" si="5"/>
        <v>35</v>
      </c>
      <c r="O83" s="43">
        <f t="shared" si="6"/>
        <v>48.5</v>
      </c>
    </row>
    <row r="84" spans="1:15" ht="22.5" customHeight="1" x14ac:dyDescent="0.3">
      <c r="A84" s="190" t="s">
        <v>165</v>
      </c>
      <c r="B84" s="235">
        <v>14</v>
      </c>
      <c r="C84" s="236">
        <v>7</v>
      </c>
      <c r="D84" s="236">
        <v>0</v>
      </c>
      <c r="E84" s="236">
        <v>4</v>
      </c>
      <c r="F84" s="237">
        <v>0</v>
      </c>
      <c r="G84" s="196">
        <f t="shared" si="4"/>
        <v>25</v>
      </c>
      <c r="H84" s="235">
        <v>0</v>
      </c>
      <c r="I84" s="236">
        <v>0</v>
      </c>
      <c r="J84" s="236">
        <v>0</v>
      </c>
      <c r="K84" s="236">
        <v>0</v>
      </c>
      <c r="L84" s="236">
        <v>0</v>
      </c>
      <c r="M84" s="241">
        <v>0</v>
      </c>
      <c r="N84" s="85">
        <f t="shared" si="5"/>
        <v>25</v>
      </c>
      <c r="O84" s="43">
        <f t="shared" si="6"/>
        <v>29.5</v>
      </c>
    </row>
    <row r="85" spans="1:15" ht="22.5" customHeight="1" x14ac:dyDescent="0.3">
      <c r="A85" s="190" t="s">
        <v>166</v>
      </c>
      <c r="B85" s="235">
        <v>21</v>
      </c>
      <c r="C85" s="236">
        <v>3</v>
      </c>
      <c r="D85" s="236">
        <v>2</v>
      </c>
      <c r="E85" s="236">
        <v>5</v>
      </c>
      <c r="F85" s="237">
        <v>0</v>
      </c>
      <c r="G85" s="196">
        <f t="shared" si="4"/>
        <v>31</v>
      </c>
      <c r="H85" s="235">
        <v>0</v>
      </c>
      <c r="I85" s="236">
        <v>0</v>
      </c>
      <c r="J85" s="236">
        <v>0</v>
      </c>
      <c r="K85" s="236">
        <v>0</v>
      </c>
      <c r="L85" s="236">
        <v>0</v>
      </c>
      <c r="M85" s="241">
        <v>0</v>
      </c>
      <c r="N85" s="85">
        <f t="shared" si="5"/>
        <v>31</v>
      </c>
      <c r="O85" s="43">
        <f t="shared" si="6"/>
        <v>40.5</v>
      </c>
    </row>
    <row r="86" spans="1:15" ht="22.5" customHeight="1" x14ac:dyDescent="0.3">
      <c r="A86" s="190" t="s">
        <v>167</v>
      </c>
      <c r="B86" s="235">
        <v>30</v>
      </c>
      <c r="C86" s="236">
        <v>2</v>
      </c>
      <c r="D86" s="236">
        <v>2</v>
      </c>
      <c r="E86" s="236">
        <v>5</v>
      </c>
      <c r="F86" s="237">
        <v>0</v>
      </c>
      <c r="G86" s="196">
        <f t="shared" si="4"/>
        <v>39</v>
      </c>
      <c r="H86" s="235">
        <v>0</v>
      </c>
      <c r="I86" s="236">
        <v>0</v>
      </c>
      <c r="J86" s="236">
        <v>0</v>
      </c>
      <c r="K86" s="236">
        <v>0</v>
      </c>
      <c r="L86" s="236">
        <v>0</v>
      </c>
      <c r="M86" s="241">
        <v>0</v>
      </c>
      <c r="N86" s="85">
        <f t="shared" si="5"/>
        <v>39</v>
      </c>
      <c r="O86" s="43">
        <f t="shared" si="6"/>
        <v>49</v>
      </c>
    </row>
    <row r="87" spans="1:15" ht="22.5" customHeight="1" x14ac:dyDescent="0.3">
      <c r="A87" s="190" t="s">
        <v>168</v>
      </c>
      <c r="B87" s="235">
        <v>21</v>
      </c>
      <c r="C87" s="236">
        <v>3</v>
      </c>
      <c r="D87" s="236">
        <v>1</v>
      </c>
      <c r="E87" s="236">
        <v>6</v>
      </c>
      <c r="F87" s="237">
        <v>3</v>
      </c>
      <c r="G87" s="196">
        <f t="shared" si="4"/>
        <v>34</v>
      </c>
      <c r="H87" s="235">
        <v>0</v>
      </c>
      <c r="I87" s="236">
        <v>0</v>
      </c>
      <c r="J87" s="236">
        <v>0</v>
      </c>
      <c r="K87" s="236">
        <v>0</v>
      </c>
      <c r="L87" s="236">
        <v>0</v>
      </c>
      <c r="M87" s="241">
        <v>0</v>
      </c>
      <c r="N87" s="85">
        <f t="shared" si="5"/>
        <v>34</v>
      </c>
      <c r="O87" s="43">
        <f t="shared" si="6"/>
        <v>55.5</v>
      </c>
    </row>
    <row r="88" spans="1:15" ht="22.5" customHeight="1" x14ac:dyDescent="0.3">
      <c r="A88" s="190" t="s">
        <v>169</v>
      </c>
      <c r="B88" s="235">
        <v>27</v>
      </c>
      <c r="C88" s="236">
        <v>5</v>
      </c>
      <c r="D88" s="236">
        <v>4</v>
      </c>
      <c r="E88" s="236">
        <v>2</v>
      </c>
      <c r="F88" s="237">
        <v>3</v>
      </c>
      <c r="G88" s="196">
        <f t="shared" si="4"/>
        <v>41</v>
      </c>
      <c r="H88" s="235">
        <v>0</v>
      </c>
      <c r="I88" s="236">
        <v>0</v>
      </c>
      <c r="J88" s="236">
        <v>0</v>
      </c>
      <c r="K88" s="236">
        <v>0</v>
      </c>
      <c r="L88" s="236">
        <v>0</v>
      </c>
      <c r="M88" s="241">
        <v>0</v>
      </c>
      <c r="N88" s="85">
        <f t="shared" si="5"/>
        <v>41</v>
      </c>
      <c r="O88" s="43">
        <f t="shared" si="6"/>
        <v>55</v>
      </c>
    </row>
    <row r="89" spans="1:15" ht="22.5" customHeight="1" x14ac:dyDescent="0.3">
      <c r="A89" s="190" t="s">
        <v>170</v>
      </c>
      <c r="B89" s="235">
        <v>27</v>
      </c>
      <c r="C89" s="236">
        <v>7</v>
      </c>
      <c r="D89" s="236">
        <v>5</v>
      </c>
      <c r="E89" s="236">
        <v>5</v>
      </c>
      <c r="F89" s="237">
        <v>2</v>
      </c>
      <c r="G89" s="196">
        <f t="shared" si="4"/>
        <v>46</v>
      </c>
      <c r="H89" s="235">
        <v>0</v>
      </c>
      <c r="I89" s="236">
        <v>0</v>
      </c>
      <c r="J89" s="236">
        <v>0</v>
      </c>
      <c r="K89" s="236">
        <v>0</v>
      </c>
      <c r="L89" s="236">
        <v>0</v>
      </c>
      <c r="M89" s="241">
        <v>0</v>
      </c>
      <c r="N89" s="85">
        <f t="shared" si="5"/>
        <v>46</v>
      </c>
      <c r="O89" s="43">
        <f t="shared" si="6"/>
        <v>62</v>
      </c>
    </row>
    <row r="90" spans="1:15" ht="22.5" customHeight="1" x14ac:dyDescent="0.3">
      <c r="A90" s="190" t="s">
        <v>171</v>
      </c>
      <c r="B90" s="235">
        <v>45</v>
      </c>
      <c r="C90" s="236">
        <v>9</v>
      </c>
      <c r="D90" s="236">
        <v>2</v>
      </c>
      <c r="E90" s="236">
        <v>8</v>
      </c>
      <c r="F90" s="237">
        <v>2</v>
      </c>
      <c r="G90" s="196">
        <f t="shared" si="4"/>
        <v>66</v>
      </c>
      <c r="H90" s="235">
        <v>0</v>
      </c>
      <c r="I90" s="236">
        <v>0</v>
      </c>
      <c r="J90" s="236">
        <v>0</v>
      </c>
      <c r="K90" s="236">
        <v>0</v>
      </c>
      <c r="L90" s="236">
        <v>0</v>
      </c>
      <c r="M90" s="241">
        <v>0</v>
      </c>
      <c r="N90" s="85">
        <f t="shared" si="5"/>
        <v>66</v>
      </c>
      <c r="O90" s="43">
        <f t="shared" si="6"/>
        <v>85.5</v>
      </c>
    </row>
    <row r="91" spans="1:15" ht="22.5" customHeight="1" x14ac:dyDescent="0.3">
      <c r="A91" s="190" t="s">
        <v>172</v>
      </c>
      <c r="B91" s="235">
        <v>31</v>
      </c>
      <c r="C91" s="236">
        <v>8</v>
      </c>
      <c r="D91" s="236">
        <v>2</v>
      </c>
      <c r="E91" s="236">
        <v>9</v>
      </c>
      <c r="F91" s="237">
        <v>1</v>
      </c>
      <c r="G91" s="196">
        <f t="shared" si="4"/>
        <v>51</v>
      </c>
      <c r="H91" s="235">
        <v>0</v>
      </c>
      <c r="I91" s="236">
        <v>0</v>
      </c>
      <c r="J91" s="236">
        <v>0</v>
      </c>
      <c r="K91" s="236">
        <v>0</v>
      </c>
      <c r="L91" s="236">
        <v>0</v>
      </c>
      <c r="M91" s="241">
        <v>0</v>
      </c>
      <c r="N91" s="85">
        <f t="shared" si="5"/>
        <v>51</v>
      </c>
      <c r="O91" s="43">
        <f t="shared" si="6"/>
        <v>69.5</v>
      </c>
    </row>
    <row r="92" spans="1:15" ht="22.5" customHeight="1" x14ac:dyDescent="0.3">
      <c r="A92" s="190" t="s">
        <v>173</v>
      </c>
      <c r="B92" s="235">
        <v>45</v>
      </c>
      <c r="C92" s="236">
        <v>9</v>
      </c>
      <c r="D92" s="236">
        <v>2</v>
      </c>
      <c r="E92" s="236">
        <v>8</v>
      </c>
      <c r="F92" s="237">
        <v>2</v>
      </c>
      <c r="G92" s="196">
        <f t="shared" si="4"/>
        <v>66</v>
      </c>
      <c r="H92" s="235">
        <v>1</v>
      </c>
      <c r="I92" s="236">
        <v>0</v>
      </c>
      <c r="J92" s="236">
        <v>0</v>
      </c>
      <c r="K92" s="236">
        <v>0</v>
      </c>
      <c r="L92" s="236">
        <v>1</v>
      </c>
      <c r="M92" s="241">
        <v>0</v>
      </c>
      <c r="N92" s="85">
        <f t="shared" si="5"/>
        <v>66</v>
      </c>
      <c r="O92" s="43">
        <f t="shared" si="6"/>
        <v>94</v>
      </c>
    </row>
    <row r="93" spans="1:15" ht="22.5" customHeight="1" x14ac:dyDescent="0.3">
      <c r="A93" s="190" t="s">
        <v>174</v>
      </c>
      <c r="B93" s="235">
        <v>3</v>
      </c>
      <c r="C93" s="236">
        <v>2</v>
      </c>
      <c r="D93" s="236">
        <v>5</v>
      </c>
      <c r="E93" s="236">
        <v>3</v>
      </c>
      <c r="F93" s="237">
        <v>2</v>
      </c>
      <c r="G93" s="196">
        <f t="shared" si="4"/>
        <v>15</v>
      </c>
      <c r="H93" s="235">
        <v>0</v>
      </c>
      <c r="I93" s="236">
        <v>0</v>
      </c>
      <c r="J93" s="236">
        <v>0</v>
      </c>
      <c r="K93" s="236">
        <v>0</v>
      </c>
      <c r="L93" s="236">
        <v>0</v>
      </c>
      <c r="M93" s="241">
        <v>0</v>
      </c>
      <c r="N93" s="85">
        <f t="shared" si="5"/>
        <v>15</v>
      </c>
      <c r="O93" s="43">
        <f t="shared" si="6"/>
        <v>29.5</v>
      </c>
    </row>
    <row r="94" spans="1:15" ht="22.5" customHeight="1" x14ac:dyDescent="0.3">
      <c r="A94" s="190" t="s">
        <v>175</v>
      </c>
      <c r="B94" s="235">
        <v>73</v>
      </c>
      <c r="C94" s="236">
        <v>20</v>
      </c>
      <c r="D94" s="236">
        <v>2</v>
      </c>
      <c r="E94" s="236">
        <v>6</v>
      </c>
      <c r="F94" s="237">
        <v>1</v>
      </c>
      <c r="G94" s="196">
        <f t="shared" si="4"/>
        <v>102</v>
      </c>
      <c r="H94" s="235">
        <v>0</v>
      </c>
      <c r="I94" s="236">
        <v>0</v>
      </c>
      <c r="J94" s="236">
        <v>0</v>
      </c>
      <c r="K94" s="236">
        <v>0</v>
      </c>
      <c r="L94" s="236">
        <v>0</v>
      </c>
      <c r="M94" s="241">
        <v>0</v>
      </c>
      <c r="N94" s="85">
        <f t="shared" si="5"/>
        <v>102</v>
      </c>
      <c r="O94" s="43">
        <f t="shared" si="6"/>
        <v>108.5</v>
      </c>
    </row>
    <row r="95" spans="1:15" ht="22.5" customHeight="1" x14ac:dyDescent="0.3">
      <c r="A95" s="190" t="s">
        <v>176</v>
      </c>
      <c r="B95" s="235">
        <v>83</v>
      </c>
      <c r="C95" s="236">
        <v>31</v>
      </c>
      <c r="D95" s="236">
        <v>2</v>
      </c>
      <c r="E95" s="236">
        <v>6</v>
      </c>
      <c r="F95" s="237">
        <v>1</v>
      </c>
      <c r="G95" s="196">
        <f t="shared" si="4"/>
        <v>123</v>
      </c>
      <c r="H95" s="235">
        <v>0</v>
      </c>
      <c r="I95" s="236">
        <v>0</v>
      </c>
      <c r="J95" s="236">
        <v>0</v>
      </c>
      <c r="K95" s="236">
        <v>0</v>
      </c>
      <c r="L95" s="236">
        <v>0</v>
      </c>
      <c r="M95" s="241">
        <v>0</v>
      </c>
      <c r="N95" s="85">
        <f t="shared" si="5"/>
        <v>123</v>
      </c>
      <c r="O95" s="43">
        <f t="shared" si="6"/>
        <v>124</v>
      </c>
    </row>
    <row r="96" spans="1:15" ht="22.5" customHeight="1" x14ac:dyDescent="0.3">
      <c r="A96" s="190" t="s">
        <v>135</v>
      </c>
      <c r="B96" s="235">
        <v>64</v>
      </c>
      <c r="C96" s="236">
        <v>31</v>
      </c>
      <c r="D96" s="236">
        <v>2</v>
      </c>
      <c r="E96" s="236">
        <v>9</v>
      </c>
      <c r="F96" s="237">
        <v>1</v>
      </c>
      <c r="G96" s="196">
        <f t="shared" si="4"/>
        <v>107</v>
      </c>
      <c r="H96" s="235">
        <v>0</v>
      </c>
      <c r="I96" s="236">
        <v>0</v>
      </c>
      <c r="J96" s="236">
        <v>0</v>
      </c>
      <c r="K96" s="236">
        <v>0</v>
      </c>
      <c r="L96" s="236">
        <v>1</v>
      </c>
      <c r="M96" s="241">
        <v>0</v>
      </c>
      <c r="N96" s="85">
        <f t="shared" si="5"/>
        <v>107</v>
      </c>
      <c r="O96" s="43">
        <f t="shared" si="6"/>
        <v>122</v>
      </c>
    </row>
    <row r="97" spans="1:15" ht="22.5" customHeight="1" x14ac:dyDescent="0.3">
      <c r="A97" s="190" t="s">
        <v>136</v>
      </c>
      <c r="B97" s="235">
        <v>73</v>
      </c>
      <c r="C97" s="236">
        <v>31</v>
      </c>
      <c r="D97" s="236">
        <v>2</v>
      </c>
      <c r="E97" s="236">
        <v>5</v>
      </c>
      <c r="F97" s="237">
        <v>0</v>
      </c>
      <c r="G97" s="196">
        <f t="shared" si="4"/>
        <v>111</v>
      </c>
      <c r="H97" s="235">
        <v>0</v>
      </c>
      <c r="I97" s="236">
        <v>0</v>
      </c>
      <c r="J97" s="236">
        <v>0</v>
      </c>
      <c r="K97" s="236">
        <v>0</v>
      </c>
      <c r="L97" s="236">
        <v>0</v>
      </c>
      <c r="M97" s="241">
        <v>0</v>
      </c>
      <c r="N97" s="85">
        <f t="shared" si="5"/>
        <v>111</v>
      </c>
      <c r="O97" s="43">
        <f t="shared" si="6"/>
        <v>106.5</v>
      </c>
    </row>
    <row r="98" spans="1:15" ht="22.5" customHeight="1" x14ac:dyDescent="0.3">
      <c r="A98" s="190" t="s">
        <v>137</v>
      </c>
      <c r="B98" s="235">
        <v>91</v>
      </c>
      <c r="C98" s="236">
        <v>33</v>
      </c>
      <c r="D98" s="236">
        <v>2</v>
      </c>
      <c r="E98" s="236">
        <v>4</v>
      </c>
      <c r="F98" s="237">
        <v>0</v>
      </c>
      <c r="G98" s="196">
        <f t="shared" si="4"/>
        <v>130</v>
      </c>
      <c r="H98" s="235">
        <v>0</v>
      </c>
      <c r="I98" s="236">
        <v>0</v>
      </c>
      <c r="J98" s="236">
        <v>0</v>
      </c>
      <c r="K98" s="236">
        <v>0</v>
      </c>
      <c r="L98" s="236">
        <v>0</v>
      </c>
      <c r="M98" s="241">
        <v>0</v>
      </c>
      <c r="N98" s="85">
        <f t="shared" si="5"/>
        <v>130</v>
      </c>
      <c r="O98" s="43">
        <f t="shared" si="6"/>
        <v>122.5</v>
      </c>
    </row>
    <row r="99" spans="1:15" ht="22.5" customHeight="1" x14ac:dyDescent="0.3">
      <c r="A99" s="190" t="s">
        <v>138</v>
      </c>
      <c r="B99" s="235">
        <v>83</v>
      </c>
      <c r="C99" s="236">
        <v>42</v>
      </c>
      <c r="D99" s="236">
        <v>3</v>
      </c>
      <c r="E99" s="236">
        <v>3</v>
      </c>
      <c r="F99" s="237">
        <v>3</v>
      </c>
      <c r="G99" s="196">
        <f t="shared" si="4"/>
        <v>134</v>
      </c>
      <c r="H99" s="235">
        <v>0</v>
      </c>
      <c r="I99" s="236">
        <v>0</v>
      </c>
      <c r="J99" s="236">
        <v>0</v>
      </c>
      <c r="K99" s="236">
        <v>0</v>
      </c>
      <c r="L99" s="236">
        <v>2</v>
      </c>
      <c r="M99" s="241">
        <v>0</v>
      </c>
      <c r="N99" s="85">
        <f t="shared" si="5"/>
        <v>134</v>
      </c>
      <c r="O99" s="43">
        <f t="shared" si="6"/>
        <v>147</v>
      </c>
    </row>
    <row r="100" spans="1:15" ht="22.5" customHeight="1" x14ac:dyDescent="0.3">
      <c r="A100" s="190" t="s">
        <v>139</v>
      </c>
      <c r="B100" s="235">
        <v>115</v>
      </c>
      <c r="C100" s="236">
        <v>43</v>
      </c>
      <c r="D100" s="236">
        <v>7</v>
      </c>
      <c r="E100" s="236">
        <v>8</v>
      </c>
      <c r="F100" s="237">
        <v>5</v>
      </c>
      <c r="G100" s="196">
        <f t="shared" si="4"/>
        <v>178</v>
      </c>
      <c r="H100" s="235">
        <v>0</v>
      </c>
      <c r="I100" s="236">
        <v>0</v>
      </c>
      <c r="J100" s="236">
        <v>0</v>
      </c>
      <c r="K100" s="236">
        <v>0</v>
      </c>
      <c r="L100" s="236">
        <v>1</v>
      </c>
      <c r="M100" s="241">
        <v>0</v>
      </c>
      <c r="N100" s="85">
        <f t="shared" si="5"/>
        <v>178</v>
      </c>
      <c r="O100" s="43">
        <f t="shared" si="6"/>
        <v>201.5</v>
      </c>
    </row>
    <row r="101" spans="1:15" ht="22.5" customHeight="1" x14ac:dyDescent="0.3">
      <c r="A101" s="190" t="s">
        <v>140</v>
      </c>
      <c r="B101" s="235">
        <v>114</v>
      </c>
      <c r="C101" s="236">
        <v>21</v>
      </c>
      <c r="D101" s="236">
        <v>8</v>
      </c>
      <c r="E101" s="236">
        <v>15</v>
      </c>
      <c r="F101" s="237">
        <v>3</v>
      </c>
      <c r="G101" s="196">
        <f t="shared" si="4"/>
        <v>161</v>
      </c>
      <c r="H101" s="235">
        <v>0</v>
      </c>
      <c r="I101" s="236">
        <v>0</v>
      </c>
      <c r="J101" s="236">
        <v>0</v>
      </c>
      <c r="K101" s="236">
        <v>0</v>
      </c>
      <c r="L101" s="236">
        <v>0</v>
      </c>
      <c r="M101" s="241">
        <v>0</v>
      </c>
      <c r="N101" s="85">
        <f t="shared" si="5"/>
        <v>161</v>
      </c>
      <c r="O101" s="43">
        <f t="shared" si="6"/>
        <v>195</v>
      </c>
    </row>
    <row r="102" spans="1:15" ht="22.5" customHeight="1" x14ac:dyDescent="0.3">
      <c r="A102" s="190" t="s">
        <v>141</v>
      </c>
      <c r="B102" s="235">
        <v>109</v>
      </c>
      <c r="C102" s="236">
        <v>32</v>
      </c>
      <c r="D102" s="236">
        <v>5</v>
      </c>
      <c r="E102" s="236">
        <v>17</v>
      </c>
      <c r="F102" s="237">
        <v>1</v>
      </c>
      <c r="G102" s="196">
        <f t="shared" si="4"/>
        <v>164</v>
      </c>
      <c r="H102" s="235">
        <v>0</v>
      </c>
      <c r="I102" s="236">
        <v>0</v>
      </c>
      <c r="J102" s="236">
        <v>0</v>
      </c>
      <c r="K102" s="236">
        <v>0</v>
      </c>
      <c r="L102" s="236">
        <v>2</v>
      </c>
      <c r="M102" s="241">
        <v>0</v>
      </c>
      <c r="N102" s="85">
        <f t="shared" si="5"/>
        <v>164</v>
      </c>
      <c r="O102" s="43">
        <f t="shared" si="6"/>
        <v>204</v>
      </c>
    </row>
    <row r="103" spans="1:15" ht="22.5" customHeight="1" thickBot="1" x14ac:dyDescent="0.35">
      <c r="A103" s="191" t="s">
        <v>142</v>
      </c>
      <c r="B103" s="238">
        <v>104</v>
      </c>
      <c r="C103" s="239">
        <v>31</v>
      </c>
      <c r="D103" s="239">
        <v>3</v>
      </c>
      <c r="E103" s="239">
        <v>11</v>
      </c>
      <c r="F103" s="240">
        <v>2</v>
      </c>
      <c r="G103" s="197">
        <f t="shared" si="4"/>
        <v>151</v>
      </c>
      <c r="H103" s="238">
        <v>0</v>
      </c>
      <c r="I103" s="239">
        <v>0</v>
      </c>
      <c r="J103" s="239">
        <v>0</v>
      </c>
      <c r="K103" s="239">
        <v>0</v>
      </c>
      <c r="L103" s="239">
        <v>2</v>
      </c>
      <c r="M103" s="242">
        <v>0</v>
      </c>
      <c r="N103" s="116">
        <f t="shared" si="5"/>
        <v>151</v>
      </c>
      <c r="O103" s="84">
        <f t="shared" si="6"/>
        <v>182</v>
      </c>
    </row>
    <row r="104" spans="1:15" ht="22.5" customHeight="1" thickBot="1" x14ac:dyDescent="0.35">
      <c r="A104" s="86" t="s">
        <v>11</v>
      </c>
      <c r="B104" s="117">
        <f t="shared" ref="B104:N104" si="7">SUM(B8:B103)</f>
        <v>8286</v>
      </c>
      <c r="C104" s="117">
        <f t="shared" si="7"/>
        <v>7736</v>
      </c>
      <c r="D104" s="117">
        <f t="shared" si="7"/>
        <v>456</v>
      </c>
      <c r="E104" s="118">
        <f t="shared" si="7"/>
        <v>565</v>
      </c>
      <c r="F104" s="118">
        <f t="shared" si="7"/>
        <v>150</v>
      </c>
      <c r="G104" s="94">
        <f t="shared" si="7"/>
        <v>17193</v>
      </c>
      <c r="H104" s="117">
        <f t="shared" si="7"/>
        <v>4</v>
      </c>
      <c r="I104" s="117">
        <f t="shared" si="7"/>
        <v>0</v>
      </c>
      <c r="J104" s="117">
        <f t="shared" si="7"/>
        <v>0</v>
      </c>
      <c r="K104" s="118">
        <f t="shared" si="7"/>
        <v>0</v>
      </c>
      <c r="L104" s="118">
        <f t="shared" si="7"/>
        <v>62</v>
      </c>
      <c r="M104" s="199">
        <f>SUM(M8:M103)</f>
        <v>1</v>
      </c>
      <c r="N104" s="95">
        <f t="shared" si="7"/>
        <v>17194</v>
      </c>
      <c r="O104" s="142">
        <f>SUM(O8:O103)</f>
        <v>15706</v>
      </c>
    </row>
    <row r="105" spans="1:15" ht="22.5" customHeight="1" thickBot="1" x14ac:dyDescent="0.35">
      <c r="A105" s="41" t="s">
        <v>143</v>
      </c>
      <c r="B105" s="88">
        <f>+B104*1</f>
        <v>8286</v>
      </c>
      <c r="C105" s="88">
        <f>+C104*0.5</f>
        <v>3868</v>
      </c>
      <c r="D105" s="88">
        <f>+D104*1.5</f>
        <v>684</v>
      </c>
      <c r="E105" s="88">
        <f>+E104*3</f>
        <v>1695</v>
      </c>
      <c r="F105" s="89">
        <f>+F104*4.5</f>
        <v>675</v>
      </c>
      <c r="G105" s="90">
        <f>SUM(B105:F105)</f>
        <v>15208</v>
      </c>
      <c r="H105" s="88">
        <f>+H104*0.5</f>
        <v>2</v>
      </c>
      <c r="I105" s="89">
        <f>+I104*1.5</f>
        <v>0</v>
      </c>
      <c r="J105" s="89">
        <f>+J104*3</f>
        <v>0</v>
      </c>
      <c r="K105" s="96">
        <f>+K104*4</f>
        <v>0</v>
      </c>
      <c r="L105" s="96">
        <f>+L104*8</f>
        <v>496</v>
      </c>
      <c r="M105" s="147">
        <f>SUM(H105:L105)</f>
        <v>498</v>
      </c>
      <c r="N105" s="91"/>
      <c r="O105" s="92">
        <f>G105+M105</f>
        <v>15706</v>
      </c>
    </row>
    <row r="106" spans="1:15" ht="22.5" customHeight="1" thickBot="1" x14ac:dyDescent="0.35">
      <c r="A106" s="42" t="s">
        <v>12</v>
      </c>
      <c r="B106" s="93">
        <f t="shared" ref="B106:N106" si="8">B104/$N$104</f>
        <v>0.48191229498662325</v>
      </c>
      <c r="C106" s="93">
        <f t="shared" si="8"/>
        <v>0.44992439222984765</v>
      </c>
      <c r="D106" s="93">
        <f t="shared" si="8"/>
        <v>2.6520879376526696E-2</v>
      </c>
      <c r="E106" s="93">
        <f t="shared" si="8"/>
        <v>3.2860300104687684E-2</v>
      </c>
      <c r="F106" s="93">
        <f t="shared" si="8"/>
        <v>8.7239734791206228E-3</v>
      </c>
      <c r="G106" s="98">
        <f t="shared" si="8"/>
        <v>0.99994184017680587</v>
      </c>
      <c r="H106" s="93">
        <f t="shared" si="8"/>
        <v>2.3263929277654997E-4</v>
      </c>
      <c r="I106" s="93">
        <f t="shared" si="8"/>
        <v>0</v>
      </c>
      <c r="J106" s="93">
        <f t="shared" si="8"/>
        <v>0</v>
      </c>
      <c r="K106" s="97">
        <f t="shared" si="8"/>
        <v>0</v>
      </c>
      <c r="L106" s="97">
        <f t="shared" si="8"/>
        <v>3.6059090380365245E-3</v>
      </c>
      <c r="M106" s="98">
        <f t="shared" si="8"/>
        <v>5.8159823194137493E-5</v>
      </c>
      <c r="N106" s="99">
        <f t="shared" si="8"/>
        <v>1</v>
      </c>
      <c r="O106" s="94"/>
    </row>
    <row r="107" spans="1:15" x14ac:dyDescent="0.3">
      <c r="B107" s="188"/>
      <c r="C107" s="188"/>
      <c r="D107" s="188"/>
      <c r="E107" s="188"/>
      <c r="F107" s="188"/>
      <c r="G107" s="188"/>
      <c r="H107" s="188"/>
      <c r="I107" s="188"/>
      <c r="J107" s="188"/>
      <c r="K107" s="188"/>
      <c r="L107" s="188"/>
      <c r="M107" s="188"/>
      <c r="N107" s="188"/>
      <c r="O107" s="188"/>
    </row>
    <row r="108" spans="1:15" s="4" customFormat="1" x14ac:dyDescent="0.3">
      <c r="A108" s="4" t="s">
        <v>103</v>
      </c>
      <c r="B108" s="4" t="str">
        <f>B2</f>
        <v>TMC-14 Number (D2)</v>
      </c>
    </row>
    <row r="109" spans="1:15" s="4" customFormat="1" x14ac:dyDescent="0.3">
      <c r="A109" s="4" t="s">
        <v>102</v>
      </c>
      <c r="B109" s="4" t="str">
        <f>B3</f>
        <v>D2</v>
      </c>
    </row>
    <row r="110" spans="1:15" s="4" customFormat="1" x14ac:dyDescent="0.3">
      <c r="A110" s="4" t="s">
        <v>104</v>
      </c>
      <c r="B110" s="4" t="str">
        <f>B4</f>
        <v>Chomu Pulia</v>
      </c>
      <c r="D110" s="4" t="str">
        <f>D4</f>
        <v>To:</v>
      </c>
    </row>
    <row r="111" spans="1:15" ht="16.2" thickBot="1" x14ac:dyDescent="0.35"/>
    <row r="112" spans="1:15" ht="25.2" customHeight="1" x14ac:dyDescent="0.3">
      <c r="A112" s="252" t="s">
        <v>95</v>
      </c>
      <c r="B112" s="258" t="s">
        <v>280</v>
      </c>
      <c r="C112" s="254" t="s">
        <v>281</v>
      </c>
      <c r="D112" s="250" t="s">
        <v>282</v>
      </c>
      <c r="E112" s="260" t="s">
        <v>283</v>
      </c>
      <c r="F112" s="256" t="s">
        <v>284</v>
      </c>
      <c r="G112" s="250" t="s">
        <v>129</v>
      </c>
      <c r="H112" s="248" t="s">
        <v>150</v>
      </c>
      <c r="I112" s="250" t="s">
        <v>151</v>
      </c>
      <c r="J112" s="250" t="s">
        <v>285</v>
      </c>
      <c r="K112" s="248" t="s">
        <v>286</v>
      </c>
      <c r="L112" s="250" t="s">
        <v>287</v>
      </c>
      <c r="M112" s="250" t="s">
        <v>78</v>
      </c>
      <c r="N112" s="250" t="s">
        <v>131</v>
      </c>
      <c r="O112" s="250" t="s">
        <v>132</v>
      </c>
    </row>
    <row r="113" spans="1:15" ht="43.5" customHeight="1" thickBot="1" x14ac:dyDescent="0.35">
      <c r="A113" s="253"/>
      <c r="B113" s="259"/>
      <c r="C113" s="255"/>
      <c r="D113" s="251"/>
      <c r="E113" s="261"/>
      <c r="F113" s="257"/>
      <c r="G113" s="259"/>
      <c r="H113" s="249"/>
      <c r="I113" s="251"/>
      <c r="J113" s="251"/>
      <c r="K113" s="249"/>
      <c r="L113" s="251"/>
      <c r="M113" s="251"/>
      <c r="N113" s="251"/>
      <c r="O113" s="251"/>
    </row>
    <row r="114" spans="1:15" ht="22.95" customHeight="1" x14ac:dyDescent="0.3">
      <c r="A114" s="52" t="s">
        <v>15</v>
      </c>
      <c r="B114" s="112">
        <f>B8+B9+B10+B11</f>
        <v>543</v>
      </c>
      <c r="C114" s="113">
        <f t="shared" ref="C114:F115" si="9">C8+C9+C10+C11</f>
        <v>384</v>
      </c>
      <c r="D114" s="113">
        <f t="shared" si="9"/>
        <v>15</v>
      </c>
      <c r="E114" s="113">
        <f t="shared" si="9"/>
        <v>9</v>
      </c>
      <c r="F114" s="113">
        <f t="shared" si="9"/>
        <v>0</v>
      </c>
      <c r="G114" s="49">
        <f t="shared" ref="G114:G145" si="10">SUM(B114:F114)</f>
        <v>951</v>
      </c>
      <c r="H114" s="112">
        <f t="shared" ref="H114" si="11">H8+H9+H10+H11</f>
        <v>1</v>
      </c>
      <c r="I114" s="113">
        <f t="shared" ref="I114:L114" si="12">I8+I9+I10+I11</f>
        <v>0</v>
      </c>
      <c r="J114" s="113">
        <f t="shared" si="12"/>
        <v>0</v>
      </c>
      <c r="K114" s="114">
        <f t="shared" si="12"/>
        <v>0</v>
      </c>
      <c r="L114" s="143">
        <f t="shared" si="12"/>
        <v>8</v>
      </c>
      <c r="M114" s="49">
        <f>SUM(H114:K114)</f>
        <v>1</v>
      </c>
      <c r="N114" s="40">
        <f>G114+M114</f>
        <v>952</v>
      </c>
      <c r="O114" s="115">
        <f>B114*1+C114*0.5+D114*1.5+E114*3+F114*4.5+H114*0.5+I114*1.5+J114*3+K114*4+L114*8</f>
        <v>849</v>
      </c>
    </row>
    <row r="115" spans="1:15" ht="22.95" customHeight="1" x14ac:dyDescent="0.3">
      <c r="A115" s="52" t="s">
        <v>16</v>
      </c>
      <c r="B115" s="44">
        <f>B9+B10+B11+B12</f>
        <v>605</v>
      </c>
      <c r="C115" s="39">
        <f t="shared" si="9"/>
        <v>444</v>
      </c>
      <c r="D115" s="39">
        <f t="shared" si="9"/>
        <v>22</v>
      </c>
      <c r="E115" s="39">
        <f t="shared" si="9"/>
        <v>3</v>
      </c>
      <c r="F115" s="39">
        <f t="shared" si="9"/>
        <v>0</v>
      </c>
      <c r="G115" s="50">
        <f t="shared" si="10"/>
        <v>1074</v>
      </c>
      <c r="H115" s="44">
        <f t="shared" ref="H115:L115" si="13">H9+H10+H11+H12</f>
        <v>1</v>
      </c>
      <c r="I115" s="39">
        <f t="shared" si="13"/>
        <v>0</v>
      </c>
      <c r="J115" s="39">
        <f t="shared" si="13"/>
        <v>0</v>
      </c>
      <c r="K115" s="45">
        <f t="shared" si="13"/>
        <v>0</v>
      </c>
      <c r="L115" s="144">
        <f t="shared" si="13"/>
        <v>8</v>
      </c>
      <c r="M115" s="50">
        <f t="shared" ref="M115:M178" si="14">SUM(H115:K115)</f>
        <v>1</v>
      </c>
      <c r="N115" s="40">
        <f t="shared" ref="N115:N178" si="15">G115+M115</f>
        <v>1075</v>
      </c>
      <c r="O115" s="43">
        <f t="shared" ref="O115:O178" si="16">B115*1+C115*0.5+D115*1.5+E115*3+F115*4.5+H115*0.5+I115*1.5+J115*3+K115*4+L115*8</f>
        <v>933.5</v>
      </c>
    </row>
    <row r="116" spans="1:15" ht="22.95" customHeight="1" x14ac:dyDescent="0.3">
      <c r="A116" s="52" t="s">
        <v>17</v>
      </c>
      <c r="B116" s="44">
        <f t="shared" ref="B116:F131" si="17">B10+B11+B12+B13</f>
        <v>652</v>
      </c>
      <c r="C116" s="39">
        <f t="shared" si="17"/>
        <v>492</v>
      </c>
      <c r="D116" s="39">
        <f t="shared" si="17"/>
        <v>23</v>
      </c>
      <c r="E116" s="39">
        <f t="shared" si="17"/>
        <v>1</v>
      </c>
      <c r="F116" s="39">
        <f t="shared" si="17"/>
        <v>0</v>
      </c>
      <c r="G116" s="50">
        <f t="shared" si="10"/>
        <v>1168</v>
      </c>
      <c r="H116" s="44">
        <f t="shared" ref="H116:L116" si="18">H10+H11+H12+H13</f>
        <v>0</v>
      </c>
      <c r="I116" s="39">
        <f t="shared" si="18"/>
        <v>0</v>
      </c>
      <c r="J116" s="39">
        <f t="shared" si="18"/>
        <v>0</v>
      </c>
      <c r="K116" s="45">
        <f t="shared" si="18"/>
        <v>0</v>
      </c>
      <c r="L116" s="144">
        <f t="shared" si="18"/>
        <v>6</v>
      </c>
      <c r="M116" s="50">
        <f t="shared" si="14"/>
        <v>0</v>
      </c>
      <c r="N116" s="40">
        <f t="shared" si="15"/>
        <v>1168</v>
      </c>
      <c r="O116" s="43">
        <f t="shared" si="16"/>
        <v>983.5</v>
      </c>
    </row>
    <row r="117" spans="1:15" ht="22.95" customHeight="1" x14ac:dyDescent="0.3">
      <c r="A117" s="52" t="s">
        <v>18</v>
      </c>
      <c r="B117" s="44">
        <f t="shared" si="17"/>
        <v>621</v>
      </c>
      <c r="C117" s="39">
        <f t="shared" si="17"/>
        <v>460</v>
      </c>
      <c r="D117" s="39">
        <f t="shared" si="17"/>
        <v>21</v>
      </c>
      <c r="E117" s="39">
        <f t="shared" si="17"/>
        <v>1</v>
      </c>
      <c r="F117" s="39">
        <f t="shared" si="17"/>
        <v>0</v>
      </c>
      <c r="G117" s="50">
        <f t="shared" si="10"/>
        <v>1103</v>
      </c>
      <c r="H117" s="44">
        <f t="shared" ref="H117:L117" si="19">H11+H12+H13+H14</f>
        <v>0</v>
      </c>
      <c r="I117" s="39">
        <f t="shared" si="19"/>
        <v>0</v>
      </c>
      <c r="J117" s="39">
        <f t="shared" si="19"/>
        <v>0</v>
      </c>
      <c r="K117" s="45">
        <f t="shared" si="19"/>
        <v>0</v>
      </c>
      <c r="L117" s="144">
        <f t="shared" si="19"/>
        <v>5</v>
      </c>
      <c r="M117" s="50">
        <f t="shared" si="14"/>
        <v>0</v>
      </c>
      <c r="N117" s="40">
        <f t="shared" si="15"/>
        <v>1103</v>
      </c>
      <c r="O117" s="43">
        <f t="shared" si="16"/>
        <v>925.5</v>
      </c>
    </row>
    <row r="118" spans="1:15" ht="22.95" customHeight="1" x14ac:dyDescent="0.3">
      <c r="A118" s="52" t="s">
        <v>19</v>
      </c>
      <c r="B118" s="44">
        <f t="shared" si="17"/>
        <v>547</v>
      </c>
      <c r="C118" s="39">
        <f t="shared" si="17"/>
        <v>380</v>
      </c>
      <c r="D118" s="39">
        <f t="shared" si="17"/>
        <v>21</v>
      </c>
      <c r="E118" s="39">
        <f t="shared" si="17"/>
        <v>1</v>
      </c>
      <c r="F118" s="39">
        <f t="shared" si="17"/>
        <v>0</v>
      </c>
      <c r="G118" s="50">
        <f t="shared" si="10"/>
        <v>949</v>
      </c>
      <c r="H118" s="44">
        <f t="shared" ref="H118:L118" si="20">H12+H13+H14+H15</f>
        <v>0</v>
      </c>
      <c r="I118" s="39">
        <f t="shared" si="20"/>
        <v>0</v>
      </c>
      <c r="J118" s="39">
        <f t="shared" si="20"/>
        <v>0</v>
      </c>
      <c r="K118" s="45">
        <f t="shared" si="20"/>
        <v>0</v>
      </c>
      <c r="L118" s="144">
        <f t="shared" si="20"/>
        <v>4</v>
      </c>
      <c r="M118" s="50">
        <f t="shared" si="14"/>
        <v>0</v>
      </c>
      <c r="N118" s="40">
        <f t="shared" si="15"/>
        <v>949</v>
      </c>
      <c r="O118" s="43">
        <f t="shared" si="16"/>
        <v>803.5</v>
      </c>
    </row>
    <row r="119" spans="1:15" ht="22.95" customHeight="1" x14ac:dyDescent="0.3">
      <c r="A119" s="52" t="s">
        <v>20</v>
      </c>
      <c r="B119" s="44">
        <f t="shared" si="17"/>
        <v>515</v>
      </c>
      <c r="C119" s="39">
        <f t="shared" si="17"/>
        <v>356</v>
      </c>
      <c r="D119" s="39">
        <f t="shared" si="17"/>
        <v>16</v>
      </c>
      <c r="E119" s="39">
        <f t="shared" si="17"/>
        <v>1</v>
      </c>
      <c r="F119" s="39">
        <f t="shared" si="17"/>
        <v>1</v>
      </c>
      <c r="G119" s="50">
        <f t="shared" si="10"/>
        <v>889</v>
      </c>
      <c r="H119" s="44">
        <f t="shared" ref="H119:L119" si="21">H13+H14+H15+H16</f>
        <v>0</v>
      </c>
      <c r="I119" s="39">
        <f t="shared" si="21"/>
        <v>0</v>
      </c>
      <c r="J119" s="39">
        <f t="shared" si="21"/>
        <v>0</v>
      </c>
      <c r="K119" s="45">
        <f t="shared" si="21"/>
        <v>0</v>
      </c>
      <c r="L119" s="144">
        <f t="shared" si="21"/>
        <v>3</v>
      </c>
      <c r="M119" s="50">
        <f t="shared" si="14"/>
        <v>0</v>
      </c>
      <c r="N119" s="40">
        <f t="shared" si="15"/>
        <v>889</v>
      </c>
      <c r="O119" s="43">
        <f t="shared" si="16"/>
        <v>748.5</v>
      </c>
    </row>
    <row r="120" spans="1:15" ht="22.95" customHeight="1" x14ac:dyDescent="0.3">
      <c r="A120" s="52" t="s">
        <v>21</v>
      </c>
      <c r="B120" s="44">
        <f t="shared" si="17"/>
        <v>468</v>
      </c>
      <c r="C120" s="39">
        <f t="shared" si="17"/>
        <v>312</v>
      </c>
      <c r="D120" s="39">
        <f t="shared" si="17"/>
        <v>15</v>
      </c>
      <c r="E120" s="39">
        <f t="shared" si="17"/>
        <v>2</v>
      </c>
      <c r="F120" s="39">
        <f t="shared" si="17"/>
        <v>3</v>
      </c>
      <c r="G120" s="50">
        <f t="shared" si="10"/>
        <v>800</v>
      </c>
      <c r="H120" s="44">
        <f t="shared" ref="H120:L120" si="22">H14+H15+H16+H17</f>
        <v>0</v>
      </c>
      <c r="I120" s="39">
        <f t="shared" si="22"/>
        <v>0</v>
      </c>
      <c r="J120" s="39">
        <f t="shared" si="22"/>
        <v>0</v>
      </c>
      <c r="K120" s="45">
        <f t="shared" si="22"/>
        <v>0</v>
      </c>
      <c r="L120" s="144">
        <f t="shared" si="22"/>
        <v>3</v>
      </c>
      <c r="M120" s="50">
        <f t="shared" si="14"/>
        <v>0</v>
      </c>
      <c r="N120" s="40">
        <f t="shared" si="15"/>
        <v>800</v>
      </c>
      <c r="O120" s="43">
        <f t="shared" si="16"/>
        <v>690</v>
      </c>
    </row>
    <row r="121" spans="1:15" ht="22.95" customHeight="1" x14ac:dyDescent="0.3">
      <c r="A121" s="52" t="s">
        <v>22</v>
      </c>
      <c r="B121" s="44">
        <f t="shared" si="17"/>
        <v>449</v>
      </c>
      <c r="C121" s="39">
        <f t="shared" si="17"/>
        <v>292</v>
      </c>
      <c r="D121" s="39">
        <f t="shared" si="17"/>
        <v>15</v>
      </c>
      <c r="E121" s="39">
        <f t="shared" si="17"/>
        <v>2</v>
      </c>
      <c r="F121" s="39">
        <f t="shared" si="17"/>
        <v>5</v>
      </c>
      <c r="G121" s="50">
        <f t="shared" si="10"/>
        <v>763</v>
      </c>
      <c r="H121" s="44">
        <f t="shared" ref="H121:L121" si="23">H15+H16+H17+H18</f>
        <v>0</v>
      </c>
      <c r="I121" s="39">
        <f t="shared" si="23"/>
        <v>0</v>
      </c>
      <c r="J121" s="39">
        <f t="shared" si="23"/>
        <v>0</v>
      </c>
      <c r="K121" s="45">
        <f t="shared" si="23"/>
        <v>0</v>
      </c>
      <c r="L121" s="144">
        <f t="shared" si="23"/>
        <v>4</v>
      </c>
      <c r="M121" s="50">
        <f t="shared" si="14"/>
        <v>0</v>
      </c>
      <c r="N121" s="40">
        <f t="shared" si="15"/>
        <v>763</v>
      </c>
      <c r="O121" s="43">
        <f t="shared" si="16"/>
        <v>678</v>
      </c>
    </row>
    <row r="122" spans="1:15" ht="22.95" customHeight="1" x14ac:dyDescent="0.3">
      <c r="A122" s="52" t="s">
        <v>23</v>
      </c>
      <c r="B122" s="44">
        <f t="shared" si="17"/>
        <v>445</v>
      </c>
      <c r="C122" s="39">
        <f t="shared" si="17"/>
        <v>292</v>
      </c>
      <c r="D122" s="39">
        <f t="shared" si="17"/>
        <v>9</v>
      </c>
      <c r="E122" s="39">
        <f t="shared" si="17"/>
        <v>2</v>
      </c>
      <c r="F122" s="39">
        <f t="shared" si="17"/>
        <v>5</v>
      </c>
      <c r="G122" s="50">
        <f t="shared" si="10"/>
        <v>753</v>
      </c>
      <c r="H122" s="44">
        <f t="shared" ref="H122:L122" si="24">H16+H17+H18+H19</f>
        <v>0</v>
      </c>
      <c r="I122" s="39">
        <f t="shared" si="24"/>
        <v>0</v>
      </c>
      <c r="J122" s="39">
        <f t="shared" si="24"/>
        <v>0</v>
      </c>
      <c r="K122" s="45">
        <f t="shared" si="24"/>
        <v>0</v>
      </c>
      <c r="L122" s="144">
        <f t="shared" si="24"/>
        <v>3</v>
      </c>
      <c r="M122" s="50">
        <f t="shared" si="14"/>
        <v>0</v>
      </c>
      <c r="N122" s="40">
        <f t="shared" si="15"/>
        <v>753</v>
      </c>
      <c r="O122" s="43">
        <f t="shared" si="16"/>
        <v>657</v>
      </c>
    </row>
    <row r="123" spans="1:15" ht="22.95" customHeight="1" x14ac:dyDescent="0.3">
      <c r="A123" s="52" t="s">
        <v>24</v>
      </c>
      <c r="B123" s="44">
        <f t="shared" si="17"/>
        <v>405</v>
      </c>
      <c r="C123" s="39">
        <f t="shared" si="17"/>
        <v>244</v>
      </c>
      <c r="D123" s="39">
        <f t="shared" si="17"/>
        <v>5</v>
      </c>
      <c r="E123" s="39">
        <f t="shared" si="17"/>
        <v>3</v>
      </c>
      <c r="F123" s="39">
        <f t="shared" si="17"/>
        <v>4</v>
      </c>
      <c r="G123" s="50">
        <f t="shared" si="10"/>
        <v>661</v>
      </c>
      <c r="H123" s="44">
        <f t="shared" ref="H123:L123" si="25">H17+H18+H19+H20</f>
        <v>0</v>
      </c>
      <c r="I123" s="39">
        <f t="shared" si="25"/>
        <v>0</v>
      </c>
      <c r="J123" s="39">
        <f t="shared" si="25"/>
        <v>0</v>
      </c>
      <c r="K123" s="45">
        <f t="shared" si="25"/>
        <v>0</v>
      </c>
      <c r="L123" s="144">
        <f t="shared" si="25"/>
        <v>3</v>
      </c>
      <c r="M123" s="50">
        <f t="shared" si="14"/>
        <v>0</v>
      </c>
      <c r="N123" s="40">
        <f t="shared" si="15"/>
        <v>661</v>
      </c>
      <c r="O123" s="43">
        <f t="shared" si="16"/>
        <v>585.5</v>
      </c>
    </row>
    <row r="124" spans="1:15" ht="22.95" customHeight="1" x14ac:dyDescent="0.3">
      <c r="A124" s="52" t="s">
        <v>25</v>
      </c>
      <c r="B124" s="44">
        <f t="shared" si="17"/>
        <v>413</v>
      </c>
      <c r="C124" s="39">
        <f t="shared" si="17"/>
        <v>252</v>
      </c>
      <c r="D124" s="39">
        <f t="shared" si="17"/>
        <v>4</v>
      </c>
      <c r="E124" s="39">
        <f t="shared" si="17"/>
        <v>5</v>
      </c>
      <c r="F124" s="39">
        <f t="shared" si="17"/>
        <v>3</v>
      </c>
      <c r="G124" s="50">
        <f t="shared" si="10"/>
        <v>677</v>
      </c>
      <c r="H124" s="44">
        <f t="shared" ref="H124:L124" si="26">H18+H19+H20+H21</f>
        <v>0</v>
      </c>
      <c r="I124" s="39">
        <f t="shared" si="26"/>
        <v>0</v>
      </c>
      <c r="J124" s="39">
        <f t="shared" si="26"/>
        <v>0</v>
      </c>
      <c r="K124" s="45">
        <f t="shared" si="26"/>
        <v>0</v>
      </c>
      <c r="L124" s="144">
        <f t="shared" si="26"/>
        <v>3</v>
      </c>
      <c r="M124" s="50">
        <f t="shared" si="14"/>
        <v>0</v>
      </c>
      <c r="N124" s="40">
        <f t="shared" si="15"/>
        <v>677</v>
      </c>
      <c r="O124" s="43">
        <f t="shared" si="16"/>
        <v>597.5</v>
      </c>
    </row>
    <row r="125" spans="1:15" ht="22.95" customHeight="1" x14ac:dyDescent="0.3">
      <c r="A125" s="52" t="s">
        <v>26</v>
      </c>
      <c r="B125" s="44">
        <f t="shared" si="17"/>
        <v>394</v>
      </c>
      <c r="C125" s="39">
        <f t="shared" si="17"/>
        <v>254</v>
      </c>
      <c r="D125" s="39">
        <f t="shared" si="17"/>
        <v>7</v>
      </c>
      <c r="E125" s="39">
        <f t="shared" si="17"/>
        <v>4</v>
      </c>
      <c r="F125" s="39">
        <f t="shared" si="17"/>
        <v>1</v>
      </c>
      <c r="G125" s="50">
        <f t="shared" si="10"/>
        <v>660</v>
      </c>
      <c r="H125" s="44">
        <f t="shared" ref="H125:L125" si="27">H19+H20+H21+H22</f>
        <v>0</v>
      </c>
      <c r="I125" s="39">
        <f t="shared" si="27"/>
        <v>0</v>
      </c>
      <c r="J125" s="39">
        <f t="shared" si="27"/>
        <v>0</v>
      </c>
      <c r="K125" s="45">
        <f t="shared" si="27"/>
        <v>0</v>
      </c>
      <c r="L125" s="144">
        <f t="shared" si="27"/>
        <v>1</v>
      </c>
      <c r="M125" s="50">
        <f t="shared" si="14"/>
        <v>0</v>
      </c>
      <c r="N125" s="40">
        <f t="shared" si="15"/>
        <v>660</v>
      </c>
      <c r="O125" s="43">
        <f t="shared" si="16"/>
        <v>556</v>
      </c>
    </row>
    <row r="126" spans="1:15" ht="22.95" customHeight="1" x14ac:dyDescent="0.3">
      <c r="A126" s="52" t="s">
        <v>27</v>
      </c>
      <c r="B126" s="44">
        <f t="shared" si="17"/>
        <v>404</v>
      </c>
      <c r="C126" s="39">
        <f t="shared" si="17"/>
        <v>252</v>
      </c>
      <c r="D126" s="39">
        <f t="shared" si="17"/>
        <v>11</v>
      </c>
      <c r="E126" s="39">
        <f t="shared" si="17"/>
        <v>4</v>
      </c>
      <c r="F126" s="39">
        <f t="shared" si="17"/>
        <v>2</v>
      </c>
      <c r="G126" s="50">
        <f t="shared" si="10"/>
        <v>673</v>
      </c>
      <c r="H126" s="44">
        <f t="shared" ref="H126:L126" si="28">H20+H21+H22+H23</f>
        <v>0</v>
      </c>
      <c r="I126" s="39">
        <f t="shared" si="28"/>
        <v>0</v>
      </c>
      <c r="J126" s="39">
        <f t="shared" si="28"/>
        <v>0</v>
      </c>
      <c r="K126" s="45">
        <f t="shared" si="28"/>
        <v>0</v>
      </c>
      <c r="L126" s="144">
        <f t="shared" si="28"/>
        <v>2</v>
      </c>
      <c r="M126" s="50">
        <f t="shared" si="14"/>
        <v>0</v>
      </c>
      <c r="N126" s="40">
        <f t="shared" si="15"/>
        <v>673</v>
      </c>
      <c r="O126" s="43">
        <f t="shared" si="16"/>
        <v>583.5</v>
      </c>
    </row>
    <row r="127" spans="1:15" ht="22.95" customHeight="1" x14ac:dyDescent="0.3">
      <c r="A127" s="52" t="s">
        <v>28</v>
      </c>
      <c r="B127" s="44">
        <f t="shared" si="17"/>
        <v>429</v>
      </c>
      <c r="C127" s="39">
        <f t="shared" si="17"/>
        <v>286</v>
      </c>
      <c r="D127" s="39">
        <f t="shared" si="17"/>
        <v>14</v>
      </c>
      <c r="E127" s="39">
        <f t="shared" si="17"/>
        <v>14</v>
      </c>
      <c r="F127" s="39">
        <f t="shared" si="17"/>
        <v>3</v>
      </c>
      <c r="G127" s="50">
        <f t="shared" si="10"/>
        <v>746</v>
      </c>
      <c r="H127" s="44">
        <f t="shared" ref="H127:L127" si="29">H21+H22+H23+H24</f>
        <v>0</v>
      </c>
      <c r="I127" s="39">
        <f t="shared" si="29"/>
        <v>0</v>
      </c>
      <c r="J127" s="39">
        <f t="shared" si="29"/>
        <v>0</v>
      </c>
      <c r="K127" s="45">
        <f t="shared" si="29"/>
        <v>0</v>
      </c>
      <c r="L127" s="144">
        <f t="shared" si="29"/>
        <v>2</v>
      </c>
      <c r="M127" s="50">
        <f t="shared" si="14"/>
        <v>0</v>
      </c>
      <c r="N127" s="40">
        <f t="shared" si="15"/>
        <v>746</v>
      </c>
      <c r="O127" s="43">
        <f t="shared" si="16"/>
        <v>664.5</v>
      </c>
    </row>
    <row r="128" spans="1:15" ht="22.95" customHeight="1" x14ac:dyDescent="0.3">
      <c r="A128" s="52" t="s">
        <v>29</v>
      </c>
      <c r="B128" s="44">
        <f t="shared" si="17"/>
        <v>437</v>
      </c>
      <c r="C128" s="39">
        <f t="shared" si="17"/>
        <v>293</v>
      </c>
      <c r="D128" s="39">
        <f t="shared" si="17"/>
        <v>18</v>
      </c>
      <c r="E128" s="39">
        <f t="shared" si="17"/>
        <v>18</v>
      </c>
      <c r="F128" s="39">
        <f t="shared" si="17"/>
        <v>2</v>
      </c>
      <c r="G128" s="50">
        <f t="shared" si="10"/>
        <v>768</v>
      </c>
      <c r="H128" s="44">
        <f t="shared" ref="H128:L128" si="30">H22+H23+H24+H25</f>
        <v>0</v>
      </c>
      <c r="I128" s="39">
        <f t="shared" si="30"/>
        <v>0</v>
      </c>
      <c r="J128" s="39">
        <f t="shared" si="30"/>
        <v>0</v>
      </c>
      <c r="K128" s="45">
        <f t="shared" si="30"/>
        <v>0</v>
      </c>
      <c r="L128" s="144">
        <f t="shared" si="30"/>
        <v>3</v>
      </c>
      <c r="M128" s="50">
        <f t="shared" si="14"/>
        <v>0</v>
      </c>
      <c r="N128" s="40">
        <f t="shared" si="15"/>
        <v>768</v>
      </c>
      <c r="O128" s="43">
        <f t="shared" si="16"/>
        <v>697.5</v>
      </c>
    </row>
    <row r="129" spans="1:15" ht="22.95" customHeight="1" x14ac:dyDescent="0.3">
      <c r="A129" s="52" t="s">
        <v>30</v>
      </c>
      <c r="B129" s="44">
        <f t="shared" si="17"/>
        <v>474</v>
      </c>
      <c r="C129" s="39">
        <f t="shared" si="17"/>
        <v>358</v>
      </c>
      <c r="D129" s="39">
        <f t="shared" si="17"/>
        <v>21</v>
      </c>
      <c r="E129" s="39">
        <f t="shared" si="17"/>
        <v>27</v>
      </c>
      <c r="F129" s="39">
        <f t="shared" si="17"/>
        <v>2</v>
      </c>
      <c r="G129" s="50">
        <f t="shared" si="10"/>
        <v>882</v>
      </c>
      <c r="H129" s="44">
        <f t="shared" ref="H129:L129" si="31">H23+H24+H25+H26</f>
        <v>0</v>
      </c>
      <c r="I129" s="39">
        <f t="shared" si="31"/>
        <v>0</v>
      </c>
      <c r="J129" s="39">
        <f t="shared" si="31"/>
        <v>0</v>
      </c>
      <c r="K129" s="45">
        <f t="shared" si="31"/>
        <v>0</v>
      </c>
      <c r="L129" s="144">
        <f t="shared" si="31"/>
        <v>4</v>
      </c>
      <c r="M129" s="50">
        <f t="shared" si="14"/>
        <v>0</v>
      </c>
      <c r="N129" s="40">
        <f t="shared" si="15"/>
        <v>882</v>
      </c>
      <c r="O129" s="43">
        <f t="shared" si="16"/>
        <v>806.5</v>
      </c>
    </row>
    <row r="130" spans="1:15" ht="22.95" customHeight="1" x14ac:dyDescent="0.3">
      <c r="A130" s="52" t="s">
        <v>31</v>
      </c>
      <c r="B130" s="44">
        <f t="shared" si="17"/>
        <v>486</v>
      </c>
      <c r="C130" s="39">
        <f t="shared" si="17"/>
        <v>377</v>
      </c>
      <c r="D130" s="39">
        <f t="shared" si="17"/>
        <v>32</v>
      </c>
      <c r="E130" s="39">
        <f t="shared" si="17"/>
        <v>37</v>
      </c>
      <c r="F130" s="39">
        <f t="shared" si="17"/>
        <v>1</v>
      </c>
      <c r="G130" s="50">
        <f t="shared" si="10"/>
        <v>933</v>
      </c>
      <c r="H130" s="44">
        <f t="shared" ref="H130:L130" si="32">H24+H25+H26+H27</f>
        <v>0</v>
      </c>
      <c r="I130" s="39">
        <f t="shared" si="32"/>
        <v>0</v>
      </c>
      <c r="J130" s="39">
        <f t="shared" si="32"/>
        <v>0</v>
      </c>
      <c r="K130" s="45">
        <f t="shared" si="32"/>
        <v>0</v>
      </c>
      <c r="L130" s="144">
        <f t="shared" si="32"/>
        <v>5</v>
      </c>
      <c r="M130" s="50">
        <f t="shared" si="14"/>
        <v>0</v>
      </c>
      <c r="N130" s="40">
        <f t="shared" si="15"/>
        <v>933</v>
      </c>
      <c r="O130" s="43">
        <f t="shared" si="16"/>
        <v>878</v>
      </c>
    </row>
    <row r="131" spans="1:15" ht="22.95" customHeight="1" x14ac:dyDescent="0.3">
      <c r="A131" s="52" t="s">
        <v>32</v>
      </c>
      <c r="B131" s="44">
        <f t="shared" si="17"/>
        <v>505</v>
      </c>
      <c r="C131" s="39">
        <f t="shared" si="17"/>
        <v>376</v>
      </c>
      <c r="D131" s="39">
        <f t="shared" si="17"/>
        <v>40</v>
      </c>
      <c r="E131" s="39">
        <f t="shared" si="17"/>
        <v>44</v>
      </c>
      <c r="F131" s="39">
        <f t="shared" si="17"/>
        <v>1</v>
      </c>
      <c r="G131" s="50">
        <f t="shared" si="10"/>
        <v>966</v>
      </c>
      <c r="H131" s="44">
        <f t="shared" ref="H131:L131" si="33">H25+H26+H27+H28</f>
        <v>0</v>
      </c>
      <c r="I131" s="39">
        <f t="shared" si="33"/>
        <v>0</v>
      </c>
      <c r="J131" s="39">
        <f t="shared" si="33"/>
        <v>0</v>
      </c>
      <c r="K131" s="45">
        <f t="shared" si="33"/>
        <v>0</v>
      </c>
      <c r="L131" s="144">
        <f t="shared" si="33"/>
        <v>5</v>
      </c>
      <c r="M131" s="50">
        <f t="shared" si="14"/>
        <v>0</v>
      </c>
      <c r="N131" s="40">
        <f t="shared" si="15"/>
        <v>966</v>
      </c>
      <c r="O131" s="43">
        <f t="shared" si="16"/>
        <v>929.5</v>
      </c>
    </row>
    <row r="132" spans="1:15" ht="22.95" customHeight="1" x14ac:dyDescent="0.3">
      <c r="A132" s="52" t="s">
        <v>33</v>
      </c>
      <c r="B132" s="44">
        <f t="shared" ref="B132:F147" si="34">B26+B27+B28+B29</f>
        <v>531</v>
      </c>
      <c r="C132" s="39">
        <f t="shared" si="34"/>
        <v>376</v>
      </c>
      <c r="D132" s="39">
        <f t="shared" si="34"/>
        <v>46</v>
      </c>
      <c r="E132" s="39">
        <f t="shared" si="34"/>
        <v>48</v>
      </c>
      <c r="F132" s="39">
        <f t="shared" si="34"/>
        <v>1</v>
      </c>
      <c r="G132" s="50">
        <f t="shared" si="10"/>
        <v>1002</v>
      </c>
      <c r="H132" s="44">
        <f t="shared" ref="H132:L132" si="35">H26+H27+H28+H29</f>
        <v>0</v>
      </c>
      <c r="I132" s="39">
        <f t="shared" si="35"/>
        <v>0</v>
      </c>
      <c r="J132" s="39">
        <f t="shared" si="35"/>
        <v>0</v>
      </c>
      <c r="K132" s="45">
        <f t="shared" si="35"/>
        <v>0</v>
      </c>
      <c r="L132" s="144">
        <f t="shared" si="35"/>
        <v>4</v>
      </c>
      <c r="M132" s="50">
        <f t="shared" si="14"/>
        <v>0</v>
      </c>
      <c r="N132" s="40">
        <f t="shared" si="15"/>
        <v>1002</v>
      </c>
      <c r="O132" s="43">
        <f t="shared" si="16"/>
        <v>968.5</v>
      </c>
    </row>
    <row r="133" spans="1:15" ht="22.95" customHeight="1" x14ac:dyDescent="0.3">
      <c r="A133" s="52" t="s">
        <v>34</v>
      </c>
      <c r="B133" s="44">
        <f t="shared" si="34"/>
        <v>549</v>
      </c>
      <c r="C133" s="39">
        <f t="shared" si="34"/>
        <v>389</v>
      </c>
      <c r="D133" s="39">
        <f t="shared" si="34"/>
        <v>48</v>
      </c>
      <c r="E133" s="39">
        <f t="shared" si="34"/>
        <v>50</v>
      </c>
      <c r="F133" s="39">
        <f t="shared" si="34"/>
        <v>1</v>
      </c>
      <c r="G133" s="50">
        <f t="shared" si="10"/>
        <v>1037</v>
      </c>
      <c r="H133" s="44">
        <f t="shared" ref="H133:L133" si="36">H27+H28+H29+H30</f>
        <v>0</v>
      </c>
      <c r="I133" s="39">
        <f t="shared" si="36"/>
        <v>0</v>
      </c>
      <c r="J133" s="39">
        <f t="shared" si="36"/>
        <v>0</v>
      </c>
      <c r="K133" s="45">
        <f t="shared" si="36"/>
        <v>0</v>
      </c>
      <c r="L133" s="144">
        <f t="shared" si="36"/>
        <v>5</v>
      </c>
      <c r="M133" s="50">
        <f t="shared" si="14"/>
        <v>0</v>
      </c>
      <c r="N133" s="40">
        <f t="shared" si="15"/>
        <v>1037</v>
      </c>
      <c r="O133" s="43">
        <f t="shared" si="16"/>
        <v>1010</v>
      </c>
    </row>
    <row r="134" spans="1:15" ht="22.95" customHeight="1" x14ac:dyDescent="0.3">
      <c r="A134" s="52" t="s">
        <v>35</v>
      </c>
      <c r="B134" s="44">
        <f t="shared" si="34"/>
        <v>589</v>
      </c>
      <c r="C134" s="39">
        <f t="shared" si="34"/>
        <v>428</v>
      </c>
      <c r="D134" s="39">
        <f t="shared" si="34"/>
        <v>46</v>
      </c>
      <c r="E134" s="39">
        <f t="shared" si="34"/>
        <v>52</v>
      </c>
      <c r="F134" s="39">
        <f t="shared" si="34"/>
        <v>1</v>
      </c>
      <c r="G134" s="50">
        <f t="shared" si="10"/>
        <v>1116</v>
      </c>
      <c r="H134" s="44">
        <f t="shared" ref="H134:L134" si="37">H28+H29+H30+H31</f>
        <v>0</v>
      </c>
      <c r="I134" s="39">
        <f t="shared" si="37"/>
        <v>0</v>
      </c>
      <c r="J134" s="39">
        <f t="shared" si="37"/>
        <v>0</v>
      </c>
      <c r="K134" s="45">
        <f t="shared" si="37"/>
        <v>0</v>
      </c>
      <c r="L134" s="144">
        <f t="shared" si="37"/>
        <v>3</v>
      </c>
      <c r="M134" s="50">
        <f t="shared" si="14"/>
        <v>0</v>
      </c>
      <c r="N134" s="40">
        <f t="shared" si="15"/>
        <v>1116</v>
      </c>
      <c r="O134" s="43">
        <f t="shared" si="16"/>
        <v>1056.5</v>
      </c>
    </row>
    <row r="135" spans="1:15" ht="22.95" customHeight="1" x14ac:dyDescent="0.3">
      <c r="A135" s="52" t="s">
        <v>36</v>
      </c>
      <c r="B135" s="44">
        <f t="shared" si="34"/>
        <v>579</v>
      </c>
      <c r="C135" s="39">
        <f t="shared" si="34"/>
        <v>428</v>
      </c>
      <c r="D135" s="39">
        <f t="shared" si="34"/>
        <v>38</v>
      </c>
      <c r="E135" s="39">
        <f t="shared" si="34"/>
        <v>59</v>
      </c>
      <c r="F135" s="39">
        <f t="shared" si="34"/>
        <v>1</v>
      </c>
      <c r="G135" s="50">
        <f t="shared" si="10"/>
        <v>1105</v>
      </c>
      <c r="H135" s="44">
        <f t="shared" ref="H135:L135" si="38">H29+H30+H31+H32</f>
        <v>0</v>
      </c>
      <c r="I135" s="39">
        <f t="shared" si="38"/>
        <v>0</v>
      </c>
      <c r="J135" s="39">
        <f t="shared" si="38"/>
        <v>0</v>
      </c>
      <c r="K135" s="45">
        <f t="shared" si="38"/>
        <v>0</v>
      </c>
      <c r="L135" s="144">
        <f t="shared" si="38"/>
        <v>4</v>
      </c>
      <c r="M135" s="50">
        <f t="shared" si="14"/>
        <v>0</v>
      </c>
      <c r="N135" s="40">
        <f t="shared" si="15"/>
        <v>1105</v>
      </c>
      <c r="O135" s="43">
        <f t="shared" si="16"/>
        <v>1063.5</v>
      </c>
    </row>
    <row r="136" spans="1:15" ht="22.95" customHeight="1" x14ac:dyDescent="0.3">
      <c r="A136" s="52" t="s">
        <v>37</v>
      </c>
      <c r="B136" s="44">
        <f t="shared" si="34"/>
        <v>558</v>
      </c>
      <c r="C136" s="39">
        <f t="shared" si="34"/>
        <v>428</v>
      </c>
      <c r="D136" s="39">
        <f t="shared" si="34"/>
        <v>31</v>
      </c>
      <c r="E136" s="39">
        <f t="shared" si="34"/>
        <v>69</v>
      </c>
      <c r="F136" s="39">
        <f t="shared" si="34"/>
        <v>2</v>
      </c>
      <c r="G136" s="50">
        <f t="shared" si="10"/>
        <v>1088</v>
      </c>
      <c r="H136" s="44">
        <f t="shared" ref="H136:L136" si="39">H30+H31+H32+H33</f>
        <v>0</v>
      </c>
      <c r="I136" s="39">
        <f t="shared" si="39"/>
        <v>0</v>
      </c>
      <c r="J136" s="39">
        <f t="shared" si="39"/>
        <v>0</v>
      </c>
      <c r="K136" s="45">
        <f t="shared" si="39"/>
        <v>0</v>
      </c>
      <c r="L136" s="144">
        <f t="shared" si="39"/>
        <v>5</v>
      </c>
      <c r="M136" s="50">
        <f t="shared" si="14"/>
        <v>0</v>
      </c>
      <c r="N136" s="40">
        <f t="shared" si="15"/>
        <v>1088</v>
      </c>
      <c r="O136" s="43">
        <f t="shared" si="16"/>
        <v>1074.5</v>
      </c>
    </row>
    <row r="137" spans="1:15" ht="22.95" customHeight="1" x14ac:dyDescent="0.3">
      <c r="A137" s="52" t="s">
        <v>38</v>
      </c>
      <c r="B137" s="44">
        <f t="shared" si="34"/>
        <v>548</v>
      </c>
      <c r="C137" s="39">
        <f t="shared" si="34"/>
        <v>423</v>
      </c>
      <c r="D137" s="39">
        <f t="shared" si="34"/>
        <v>30</v>
      </c>
      <c r="E137" s="39">
        <f t="shared" si="34"/>
        <v>77</v>
      </c>
      <c r="F137" s="39">
        <f t="shared" si="34"/>
        <v>3</v>
      </c>
      <c r="G137" s="50">
        <f t="shared" si="10"/>
        <v>1081</v>
      </c>
      <c r="H137" s="44">
        <f t="shared" ref="H137:L137" si="40">H31+H32+H33+H34</f>
        <v>0</v>
      </c>
      <c r="I137" s="39">
        <f t="shared" si="40"/>
        <v>0</v>
      </c>
      <c r="J137" s="39">
        <f t="shared" si="40"/>
        <v>0</v>
      </c>
      <c r="K137" s="45">
        <f t="shared" si="40"/>
        <v>0</v>
      </c>
      <c r="L137" s="144">
        <f t="shared" si="40"/>
        <v>3</v>
      </c>
      <c r="M137" s="50">
        <f t="shared" si="14"/>
        <v>0</v>
      </c>
      <c r="N137" s="40">
        <f t="shared" si="15"/>
        <v>1081</v>
      </c>
      <c r="O137" s="43">
        <f t="shared" si="16"/>
        <v>1073</v>
      </c>
    </row>
    <row r="138" spans="1:15" ht="22.95" customHeight="1" x14ac:dyDescent="0.3">
      <c r="A138" s="52" t="s">
        <v>39</v>
      </c>
      <c r="B138" s="44">
        <f t="shared" si="34"/>
        <v>519</v>
      </c>
      <c r="C138" s="39">
        <f t="shared" si="34"/>
        <v>432</v>
      </c>
      <c r="D138" s="39">
        <f t="shared" si="34"/>
        <v>20</v>
      </c>
      <c r="E138" s="39">
        <f t="shared" si="34"/>
        <v>85</v>
      </c>
      <c r="F138" s="39">
        <f t="shared" si="34"/>
        <v>4</v>
      </c>
      <c r="G138" s="50">
        <f t="shared" si="10"/>
        <v>1060</v>
      </c>
      <c r="H138" s="44">
        <f t="shared" ref="H138:L138" si="41">H32+H33+H34+H35</f>
        <v>0</v>
      </c>
      <c r="I138" s="39">
        <f t="shared" si="41"/>
        <v>0</v>
      </c>
      <c r="J138" s="39">
        <f t="shared" si="41"/>
        <v>0</v>
      </c>
      <c r="K138" s="45">
        <f t="shared" si="41"/>
        <v>0</v>
      </c>
      <c r="L138" s="144">
        <f t="shared" si="41"/>
        <v>4</v>
      </c>
      <c r="M138" s="50">
        <f t="shared" si="14"/>
        <v>0</v>
      </c>
      <c r="N138" s="40">
        <f t="shared" si="15"/>
        <v>1060</v>
      </c>
      <c r="O138" s="43">
        <f t="shared" si="16"/>
        <v>1070</v>
      </c>
    </row>
    <row r="139" spans="1:15" ht="22.95" customHeight="1" x14ac:dyDescent="0.3">
      <c r="A139" s="52" t="s">
        <v>40</v>
      </c>
      <c r="B139" s="44">
        <f t="shared" si="34"/>
        <v>515</v>
      </c>
      <c r="C139" s="39">
        <f t="shared" si="34"/>
        <v>467</v>
      </c>
      <c r="D139" s="39">
        <f t="shared" si="34"/>
        <v>28</v>
      </c>
      <c r="E139" s="39">
        <f t="shared" si="34"/>
        <v>89</v>
      </c>
      <c r="F139" s="39">
        <f t="shared" si="34"/>
        <v>5</v>
      </c>
      <c r="G139" s="50">
        <f t="shared" si="10"/>
        <v>1104</v>
      </c>
      <c r="H139" s="44">
        <f t="shared" ref="H139:L139" si="42">H33+H34+H35+H36</f>
        <v>0</v>
      </c>
      <c r="I139" s="39">
        <f t="shared" si="42"/>
        <v>0</v>
      </c>
      <c r="J139" s="39">
        <f t="shared" si="42"/>
        <v>0</v>
      </c>
      <c r="K139" s="45">
        <f t="shared" si="42"/>
        <v>0</v>
      </c>
      <c r="L139" s="144">
        <f t="shared" si="42"/>
        <v>4</v>
      </c>
      <c r="M139" s="50">
        <f t="shared" si="14"/>
        <v>0</v>
      </c>
      <c r="N139" s="40">
        <f t="shared" si="15"/>
        <v>1104</v>
      </c>
      <c r="O139" s="43">
        <f t="shared" si="16"/>
        <v>1112</v>
      </c>
    </row>
    <row r="140" spans="1:15" ht="22.95" customHeight="1" x14ac:dyDescent="0.3">
      <c r="A140" s="52" t="s">
        <v>41</v>
      </c>
      <c r="B140" s="44">
        <f t="shared" si="34"/>
        <v>510</v>
      </c>
      <c r="C140" s="39">
        <f t="shared" si="34"/>
        <v>498</v>
      </c>
      <c r="D140" s="39">
        <f t="shared" si="34"/>
        <v>34</v>
      </c>
      <c r="E140" s="39">
        <f t="shared" si="34"/>
        <v>93</v>
      </c>
      <c r="F140" s="39">
        <f t="shared" si="34"/>
        <v>7</v>
      </c>
      <c r="G140" s="50">
        <f t="shared" si="10"/>
        <v>1142</v>
      </c>
      <c r="H140" s="44">
        <f t="shared" ref="H140:L140" si="43">H34+H35+H36+H37</f>
        <v>0</v>
      </c>
      <c r="I140" s="39">
        <f t="shared" si="43"/>
        <v>0</v>
      </c>
      <c r="J140" s="39">
        <f t="shared" si="43"/>
        <v>0</v>
      </c>
      <c r="K140" s="45">
        <f t="shared" si="43"/>
        <v>0</v>
      </c>
      <c r="L140" s="144">
        <f t="shared" si="43"/>
        <v>3</v>
      </c>
      <c r="M140" s="50">
        <f t="shared" si="14"/>
        <v>0</v>
      </c>
      <c r="N140" s="40">
        <f t="shared" si="15"/>
        <v>1142</v>
      </c>
      <c r="O140" s="43">
        <f t="shared" si="16"/>
        <v>1144.5</v>
      </c>
    </row>
    <row r="141" spans="1:15" ht="22.95" customHeight="1" x14ac:dyDescent="0.3">
      <c r="A141" s="52" t="s">
        <v>42</v>
      </c>
      <c r="B141" s="44">
        <f t="shared" si="34"/>
        <v>513</v>
      </c>
      <c r="C141" s="39">
        <f t="shared" si="34"/>
        <v>481</v>
      </c>
      <c r="D141" s="39">
        <f t="shared" si="34"/>
        <v>35</v>
      </c>
      <c r="E141" s="39">
        <f t="shared" si="34"/>
        <v>86</v>
      </c>
      <c r="F141" s="39">
        <f t="shared" si="34"/>
        <v>8</v>
      </c>
      <c r="G141" s="50">
        <f t="shared" si="10"/>
        <v>1123</v>
      </c>
      <c r="H141" s="44">
        <f t="shared" ref="H141:L141" si="44">H35+H36+H37+H38</f>
        <v>0</v>
      </c>
      <c r="I141" s="39">
        <f t="shared" si="44"/>
        <v>0</v>
      </c>
      <c r="J141" s="39">
        <f t="shared" si="44"/>
        <v>0</v>
      </c>
      <c r="K141" s="45">
        <f t="shared" si="44"/>
        <v>0</v>
      </c>
      <c r="L141" s="144">
        <f t="shared" si="44"/>
        <v>3</v>
      </c>
      <c r="M141" s="50">
        <f t="shared" si="14"/>
        <v>0</v>
      </c>
      <c r="N141" s="40">
        <f t="shared" si="15"/>
        <v>1123</v>
      </c>
      <c r="O141" s="43">
        <f t="shared" si="16"/>
        <v>1124</v>
      </c>
    </row>
    <row r="142" spans="1:15" ht="22.95" customHeight="1" x14ac:dyDescent="0.3">
      <c r="A142" s="52" t="s">
        <v>43</v>
      </c>
      <c r="B142" s="44">
        <f t="shared" si="34"/>
        <v>481</v>
      </c>
      <c r="C142" s="39">
        <f t="shared" si="34"/>
        <v>462</v>
      </c>
      <c r="D142" s="39">
        <f t="shared" si="34"/>
        <v>44</v>
      </c>
      <c r="E142" s="39">
        <f t="shared" si="34"/>
        <v>77</v>
      </c>
      <c r="F142" s="39">
        <f t="shared" si="34"/>
        <v>10</v>
      </c>
      <c r="G142" s="50">
        <f t="shared" si="10"/>
        <v>1074</v>
      </c>
      <c r="H142" s="44">
        <f t="shared" ref="H142:L142" si="45">H36+H37+H38+H39</f>
        <v>0</v>
      </c>
      <c r="I142" s="39">
        <f t="shared" si="45"/>
        <v>0</v>
      </c>
      <c r="J142" s="39">
        <f t="shared" si="45"/>
        <v>0</v>
      </c>
      <c r="K142" s="45">
        <f t="shared" si="45"/>
        <v>0</v>
      </c>
      <c r="L142" s="144">
        <f t="shared" si="45"/>
        <v>2</v>
      </c>
      <c r="M142" s="50">
        <f t="shared" si="14"/>
        <v>0</v>
      </c>
      <c r="N142" s="40">
        <f t="shared" si="15"/>
        <v>1074</v>
      </c>
      <c r="O142" s="43">
        <f t="shared" si="16"/>
        <v>1070</v>
      </c>
    </row>
    <row r="143" spans="1:15" ht="22.95" customHeight="1" x14ac:dyDescent="0.3">
      <c r="A143" s="52" t="s">
        <v>44</v>
      </c>
      <c r="B143" s="44">
        <f t="shared" si="34"/>
        <v>457</v>
      </c>
      <c r="C143" s="39">
        <f t="shared" si="34"/>
        <v>447</v>
      </c>
      <c r="D143" s="39">
        <f t="shared" si="34"/>
        <v>35</v>
      </c>
      <c r="E143" s="39">
        <f t="shared" si="34"/>
        <v>49</v>
      </c>
      <c r="F143" s="39">
        <f t="shared" si="34"/>
        <v>10</v>
      </c>
      <c r="G143" s="50">
        <f t="shared" si="10"/>
        <v>998</v>
      </c>
      <c r="H143" s="44">
        <f t="shared" ref="H143:L143" si="46">H37+H38+H39+H40</f>
        <v>0</v>
      </c>
      <c r="I143" s="39">
        <f t="shared" si="46"/>
        <v>0</v>
      </c>
      <c r="J143" s="39">
        <f t="shared" si="46"/>
        <v>0</v>
      </c>
      <c r="K143" s="45">
        <f t="shared" si="46"/>
        <v>0</v>
      </c>
      <c r="L143" s="144">
        <f t="shared" si="46"/>
        <v>2</v>
      </c>
      <c r="M143" s="50">
        <f t="shared" si="14"/>
        <v>0</v>
      </c>
      <c r="N143" s="40">
        <f t="shared" si="15"/>
        <v>998</v>
      </c>
      <c r="O143" s="43">
        <f t="shared" si="16"/>
        <v>941</v>
      </c>
    </row>
    <row r="144" spans="1:15" ht="22.95" customHeight="1" x14ac:dyDescent="0.3">
      <c r="A144" s="52" t="s">
        <v>45</v>
      </c>
      <c r="B144" s="44">
        <f t="shared" si="34"/>
        <v>419</v>
      </c>
      <c r="C144" s="39">
        <f t="shared" si="34"/>
        <v>474</v>
      </c>
      <c r="D144" s="39">
        <f t="shared" si="34"/>
        <v>28</v>
      </c>
      <c r="E144" s="39">
        <f t="shared" si="34"/>
        <v>24</v>
      </c>
      <c r="F144" s="39">
        <f t="shared" si="34"/>
        <v>10</v>
      </c>
      <c r="G144" s="50">
        <f t="shared" si="10"/>
        <v>955</v>
      </c>
      <c r="H144" s="44">
        <f t="shared" ref="H144:L144" si="47">H38+H39+H40+H41</f>
        <v>0</v>
      </c>
      <c r="I144" s="39">
        <f t="shared" si="47"/>
        <v>0</v>
      </c>
      <c r="J144" s="39">
        <f t="shared" si="47"/>
        <v>0</v>
      </c>
      <c r="K144" s="45">
        <f t="shared" si="47"/>
        <v>0</v>
      </c>
      <c r="L144" s="144">
        <f t="shared" si="47"/>
        <v>1</v>
      </c>
      <c r="M144" s="50">
        <f t="shared" si="14"/>
        <v>0</v>
      </c>
      <c r="N144" s="40">
        <f t="shared" si="15"/>
        <v>955</v>
      </c>
      <c r="O144" s="43">
        <f t="shared" si="16"/>
        <v>823</v>
      </c>
    </row>
    <row r="145" spans="1:15" ht="22.95" customHeight="1" x14ac:dyDescent="0.3">
      <c r="A145" s="52" t="s">
        <v>46</v>
      </c>
      <c r="B145" s="44">
        <f t="shared" si="34"/>
        <v>372</v>
      </c>
      <c r="C145" s="39">
        <f t="shared" si="34"/>
        <v>538</v>
      </c>
      <c r="D145" s="39">
        <f t="shared" si="34"/>
        <v>24</v>
      </c>
      <c r="E145" s="39">
        <f t="shared" si="34"/>
        <v>14</v>
      </c>
      <c r="F145" s="39">
        <f t="shared" si="34"/>
        <v>10</v>
      </c>
      <c r="G145" s="50">
        <f t="shared" si="10"/>
        <v>958</v>
      </c>
      <c r="H145" s="44">
        <f t="shared" ref="H145:L145" si="48">H39+H40+H41+H42</f>
        <v>0</v>
      </c>
      <c r="I145" s="39">
        <f t="shared" si="48"/>
        <v>0</v>
      </c>
      <c r="J145" s="39">
        <f t="shared" si="48"/>
        <v>0</v>
      </c>
      <c r="K145" s="45">
        <f t="shared" si="48"/>
        <v>0</v>
      </c>
      <c r="L145" s="144">
        <f t="shared" si="48"/>
        <v>1</v>
      </c>
      <c r="M145" s="50">
        <f t="shared" si="14"/>
        <v>0</v>
      </c>
      <c r="N145" s="40">
        <f t="shared" si="15"/>
        <v>958</v>
      </c>
      <c r="O145" s="43">
        <f t="shared" si="16"/>
        <v>772</v>
      </c>
    </row>
    <row r="146" spans="1:15" ht="22.95" customHeight="1" x14ac:dyDescent="0.3">
      <c r="A146" s="52" t="s">
        <v>47</v>
      </c>
      <c r="B146" s="44">
        <f t="shared" si="34"/>
        <v>394</v>
      </c>
      <c r="C146" s="39">
        <f t="shared" si="34"/>
        <v>625</v>
      </c>
      <c r="D146" s="39">
        <f t="shared" si="34"/>
        <v>22</v>
      </c>
      <c r="E146" s="39">
        <f t="shared" si="34"/>
        <v>5</v>
      </c>
      <c r="F146" s="39">
        <f t="shared" si="34"/>
        <v>7</v>
      </c>
      <c r="G146" s="50">
        <f t="shared" ref="G146:G177" si="49">SUM(B146:F146)</f>
        <v>1053</v>
      </c>
      <c r="H146" s="44">
        <f t="shared" ref="H146:L146" si="50">H40+H41+H42+H43</f>
        <v>0</v>
      </c>
      <c r="I146" s="39">
        <f t="shared" si="50"/>
        <v>0</v>
      </c>
      <c r="J146" s="39">
        <f t="shared" si="50"/>
        <v>0</v>
      </c>
      <c r="K146" s="45">
        <f t="shared" si="50"/>
        <v>0</v>
      </c>
      <c r="L146" s="144">
        <f t="shared" si="50"/>
        <v>1</v>
      </c>
      <c r="M146" s="50">
        <f t="shared" si="14"/>
        <v>0</v>
      </c>
      <c r="N146" s="40">
        <f t="shared" si="15"/>
        <v>1053</v>
      </c>
      <c r="O146" s="43">
        <f t="shared" si="16"/>
        <v>794</v>
      </c>
    </row>
    <row r="147" spans="1:15" ht="22.95" customHeight="1" x14ac:dyDescent="0.3">
      <c r="A147" s="52" t="s">
        <v>48</v>
      </c>
      <c r="B147" s="44">
        <f t="shared" si="34"/>
        <v>441</v>
      </c>
      <c r="C147" s="39">
        <f t="shared" si="34"/>
        <v>751</v>
      </c>
      <c r="D147" s="39">
        <f t="shared" si="34"/>
        <v>32</v>
      </c>
      <c r="E147" s="39">
        <f t="shared" si="34"/>
        <v>12</v>
      </c>
      <c r="F147" s="39">
        <f t="shared" si="34"/>
        <v>7</v>
      </c>
      <c r="G147" s="50">
        <f t="shared" si="49"/>
        <v>1243</v>
      </c>
      <c r="H147" s="44">
        <f t="shared" ref="H147:L147" si="51">H41+H42+H43+H44</f>
        <v>0</v>
      </c>
      <c r="I147" s="39">
        <f t="shared" si="51"/>
        <v>0</v>
      </c>
      <c r="J147" s="39">
        <f t="shared" si="51"/>
        <v>0</v>
      </c>
      <c r="K147" s="45">
        <f t="shared" si="51"/>
        <v>0</v>
      </c>
      <c r="L147" s="144">
        <f t="shared" si="51"/>
        <v>1</v>
      </c>
      <c r="M147" s="50">
        <f t="shared" si="14"/>
        <v>0</v>
      </c>
      <c r="N147" s="40">
        <f t="shared" si="15"/>
        <v>1243</v>
      </c>
      <c r="O147" s="43">
        <f t="shared" si="16"/>
        <v>940</v>
      </c>
    </row>
    <row r="148" spans="1:15" ht="22.95" customHeight="1" x14ac:dyDescent="0.3">
      <c r="A148" s="52" t="s">
        <v>49</v>
      </c>
      <c r="B148" s="44">
        <f t="shared" ref="B148:F163" si="52">B42+B43+B44+B45</f>
        <v>467</v>
      </c>
      <c r="C148" s="39">
        <f t="shared" si="52"/>
        <v>801</v>
      </c>
      <c r="D148" s="39">
        <f t="shared" si="52"/>
        <v>34</v>
      </c>
      <c r="E148" s="39">
        <f t="shared" si="52"/>
        <v>13</v>
      </c>
      <c r="F148" s="39">
        <f t="shared" si="52"/>
        <v>4</v>
      </c>
      <c r="G148" s="50">
        <f t="shared" si="49"/>
        <v>1319</v>
      </c>
      <c r="H148" s="44">
        <f t="shared" ref="H148:L148" si="53">H42+H43+H44+H45</f>
        <v>0</v>
      </c>
      <c r="I148" s="39">
        <f t="shared" si="53"/>
        <v>0</v>
      </c>
      <c r="J148" s="39">
        <f t="shared" si="53"/>
        <v>0</v>
      </c>
      <c r="K148" s="45">
        <f t="shared" si="53"/>
        <v>0</v>
      </c>
      <c r="L148" s="144">
        <f t="shared" si="53"/>
        <v>5</v>
      </c>
      <c r="M148" s="50">
        <f t="shared" si="14"/>
        <v>0</v>
      </c>
      <c r="N148" s="40">
        <f t="shared" si="15"/>
        <v>1319</v>
      </c>
      <c r="O148" s="43">
        <f t="shared" si="16"/>
        <v>1015.5</v>
      </c>
    </row>
    <row r="149" spans="1:15" ht="22.95" customHeight="1" x14ac:dyDescent="0.3">
      <c r="A149" s="52" t="s">
        <v>50</v>
      </c>
      <c r="B149" s="44">
        <f t="shared" si="52"/>
        <v>441</v>
      </c>
      <c r="C149" s="39">
        <f t="shared" si="52"/>
        <v>758</v>
      </c>
      <c r="D149" s="39">
        <f t="shared" si="52"/>
        <v>31</v>
      </c>
      <c r="E149" s="39">
        <f t="shared" si="52"/>
        <v>12</v>
      </c>
      <c r="F149" s="39">
        <f t="shared" si="52"/>
        <v>4</v>
      </c>
      <c r="G149" s="50">
        <f t="shared" si="49"/>
        <v>1246</v>
      </c>
      <c r="H149" s="44">
        <f t="shared" ref="H149:L149" si="54">H43+H44+H45+H46</f>
        <v>0</v>
      </c>
      <c r="I149" s="39">
        <f t="shared" si="54"/>
        <v>0</v>
      </c>
      <c r="J149" s="39">
        <f t="shared" si="54"/>
        <v>0</v>
      </c>
      <c r="K149" s="45">
        <f t="shared" si="54"/>
        <v>0</v>
      </c>
      <c r="L149" s="144">
        <f t="shared" si="54"/>
        <v>6</v>
      </c>
      <c r="M149" s="50">
        <f t="shared" si="14"/>
        <v>0</v>
      </c>
      <c r="N149" s="40">
        <f t="shared" si="15"/>
        <v>1246</v>
      </c>
      <c r="O149" s="43">
        <f t="shared" si="16"/>
        <v>968.5</v>
      </c>
    </row>
    <row r="150" spans="1:15" ht="22.95" customHeight="1" x14ac:dyDescent="0.3">
      <c r="A150" s="52" t="s">
        <v>51</v>
      </c>
      <c r="B150" s="44">
        <f t="shared" si="52"/>
        <v>415</v>
      </c>
      <c r="C150" s="39">
        <f t="shared" si="52"/>
        <v>763</v>
      </c>
      <c r="D150" s="39">
        <f t="shared" si="52"/>
        <v>29</v>
      </c>
      <c r="E150" s="39">
        <f t="shared" si="52"/>
        <v>12</v>
      </c>
      <c r="F150" s="39">
        <f t="shared" si="52"/>
        <v>6</v>
      </c>
      <c r="G150" s="50">
        <f t="shared" si="49"/>
        <v>1225</v>
      </c>
      <c r="H150" s="44">
        <f t="shared" ref="H150:L150" si="55">H44+H45+H46+H47</f>
        <v>0</v>
      </c>
      <c r="I150" s="39">
        <f t="shared" si="55"/>
        <v>0</v>
      </c>
      <c r="J150" s="39">
        <f t="shared" si="55"/>
        <v>0</v>
      </c>
      <c r="K150" s="45">
        <f t="shared" si="55"/>
        <v>0</v>
      </c>
      <c r="L150" s="144">
        <f t="shared" si="55"/>
        <v>7</v>
      </c>
      <c r="M150" s="50">
        <f t="shared" si="14"/>
        <v>0</v>
      </c>
      <c r="N150" s="40">
        <f t="shared" si="15"/>
        <v>1225</v>
      </c>
      <c r="O150" s="43">
        <f t="shared" si="16"/>
        <v>959</v>
      </c>
    </row>
    <row r="151" spans="1:15" ht="22.95" customHeight="1" x14ac:dyDescent="0.3">
      <c r="A151" s="52" t="s">
        <v>52</v>
      </c>
      <c r="B151" s="44">
        <f t="shared" si="52"/>
        <v>369</v>
      </c>
      <c r="C151" s="39">
        <f t="shared" si="52"/>
        <v>719</v>
      </c>
      <c r="D151" s="39">
        <f t="shared" si="52"/>
        <v>24</v>
      </c>
      <c r="E151" s="39">
        <f t="shared" si="52"/>
        <v>5</v>
      </c>
      <c r="F151" s="39">
        <f t="shared" si="52"/>
        <v>5</v>
      </c>
      <c r="G151" s="50">
        <f t="shared" si="49"/>
        <v>1122</v>
      </c>
      <c r="H151" s="44">
        <f t="shared" ref="H151:L151" si="56">H45+H46+H47+H48</f>
        <v>0</v>
      </c>
      <c r="I151" s="39">
        <f t="shared" si="56"/>
        <v>0</v>
      </c>
      <c r="J151" s="39">
        <f t="shared" si="56"/>
        <v>0</v>
      </c>
      <c r="K151" s="45">
        <f t="shared" si="56"/>
        <v>0</v>
      </c>
      <c r="L151" s="144">
        <f t="shared" si="56"/>
        <v>7</v>
      </c>
      <c r="M151" s="50">
        <f t="shared" si="14"/>
        <v>0</v>
      </c>
      <c r="N151" s="40">
        <f t="shared" si="15"/>
        <v>1122</v>
      </c>
      <c r="O151" s="43">
        <f t="shared" si="16"/>
        <v>858</v>
      </c>
    </row>
    <row r="152" spans="1:15" ht="22.95" customHeight="1" x14ac:dyDescent="0.3">
      <c r="A152" s="52" t="s">
        <v>53</v>
      </c>
      <c r="B152" s="44">
        <f t="shared" si="52"/>
        <v>338</v>
      </c>
      <c r="C152" s="39">
        <f t="shared" si="52"/>
        <v>701</v>
      </c>
      <c r="D152" s="39">
        <f t="shared" si="52"/>
        <v>25</v>
      </c>
      <c r="E152" s="39">
        <f t="shared" si="52"/>
        <v>5</v>
      </c>
      <c r="F152" s="39">
        <f t="shared" si="52"/>
        <v>5</v>
      </c>
      <c r="G152" s="50">
        <f t="shared" si="49"/>
        <v>1074</v>
      </c>
      <c r="H152" s="44">
        <f t="shared" ref="H152:L152" si="57">H46+H47+H48+H49</f>
        <v>0</v>
      </c>
      <c r="I152" s="39">
        <f t="shared" si="57"/>
        <v>0</v>
      </c>
      <c r="J152" s="39">
        <f t="shared" si="57"/>
        <v>0</v>
      </c>
      <c r="K152" s="45">
        <f t="shared" si="57"/>
        <v>0</v>
      </c>
      <c r="L152" s="144">
        <f t="shared" si="57"/>
        <v>4</v>
      </c>
      <c r="M152" s="50">
        <f t="shared" si="14"/>
        <v>0</v>
      </c>
      <c r="N152" s="40">
        <f t="shared" si="15"/>
        <v>1074</v>
      </c>
      <c r="O152" s="43">
        <f t="shared" si="16"/>
        <v>795.5</v>
      </c>
    </row>
    <row r="153" spans="1:15" ht="22.95" customHeight="1" x14ac:dyDescent="0.3">
      <c r="A153" s="52" t="s">
        <v>54</v>
      </c>
      <c r="B153" s="44">
        <f t="shared" si="52"/>
        <v>362</v>
      </c>
      <c r="C153" s="39">
        <f t="shared" si="52"/>
        <v>717</v>
      </c>
      <c r="D153" s="39">
        <f t="shared" si="52"/>
        <v>25</v>
      </c>
      <c r="E153" s="39">
        <f t="shared" si="52"/>
        <v>8</v>
      </c>
      <c r="F153" s="39">
        <f t="shared" si="52"/>
        <v>3</v>
      </c>
      <c r="G153" s="50">
        <f t="shared" si="49"/>
        <v>1115</v>
      </c>
      <c r="H153" s="44">
        <f t="shared" ref="H153:L153" si="58">H47+H48+H49+H50</f>
        <v>0</v>
      </c>
      <c r="I153" s="39">
        <f t="shared" si="58"/>
        <v>0</v>
      </c>
      <c r="J153" s="39">
        <f t="shared" si="58"/>
        <v>0</v>
      </c>
      <c r="K153" s="45">
        <f t="shared" si="58"/>
        <v>0</v>
      </c>
      <c r="L153" s="144">
        <f t="shared" si="58"/>
        <v>3</v>
      </c>
      <c r="M153" s="50">
        <f t="shared" si="14"/>
        <v>0</v>
      </c>
      <c r="N153" s="40">
        <f t="shared" si="15"/>
        <v>1115</v>
      </c>
      <c r="O153" s="43">
        <f t="shared" si="16"/>
        <v>819.5</v>
      </c>
    </row>
    <row r="154" spans="1:15" ht="22.95" customHeight="1" x14ac:dyDescent="0.3">
      <c r="A154" s="52" t="s">
        <v>55</v>
      </c>
      <c r="B154" s="44">
        <f t="shared" si="52"/>
        <v>302</v>
      </c>
      <c r="C154" s="39">
        <f t="shared" si="52"/>
        <v>536</v>
      </c>
      <c r="D154" s="39">
        <f t="shared" si="52"/>
        <v>20</v>
      </c>
      <c r="E154" s="39">
        <f t="shared" si="52"/>
        <v>6</v>
      </c>
      <c r="F154" s="39">
        <f t="shared" si="52"/>
        <v>2</v>
      </c>
      <c r="G154" s="50">
        <f t="shared" si="49"/>
        <v>866</v>
      </c>
      <c r="H154" s="44">
        <f t="shared" ref="H154:L154" si="59">H48+H49+H50+H51</f>
        <v>0</v>
      </c>
      <c r="I154" s="39">
        <f t="shared" si="59"/>
        <v>0</v>
      </c>
      <c r="J154" s="39">
        <f t="shared" si="59"/>
        <v>0</v>
      </c>
      <c r="K154" s="45">
        <f t="shared" si="59"/>
        <v>0</v>
      </c>
      <c r="L154" s="144">
        <f t="shared" si="59"/>
        <v>2</v>
      </c>
      <c r="M154" s="50">
        <f t="shared" si="14"/>
        <v>0</v>
      </c>
      <c r="N154" s="40">
        <f t="shared" si="15"/>
        <v>866</v>
      </c>
      <c r="O154" s="43">
        <f t="shared" si="16"/>
        <v>643</v>
      </c>
    </row>
    <row r="155" spans="1:15" ht="22.95" customHeight="1" x14ac:dyDescent="0.3">
      <c r="A155" s="52" t="s">
        <v>56</v>
      </c>
      <c r="B155" s="44">
        <f t="shared" si="52"/>
        <v>235</v>
      </c>
      <c r="C155" s="39">
        <f t="shared" si="52"/>
        <v>402</v>
      </c>
      <c r="D155" s="39">
        <f t="shared" si="52"/>
        <v>15</v>
      </c>
      <c r="E155" s="39">
        <f t="shared" si="52"/>
        <v>5</v>
      </c>
      <c r="F155" s="39">
        <f t="shared" si="52"/>
        <v>2</v>
      </c>
      <c r="G155" s="50">
        <f t="shared" si="49"/>
        <v>659</v>
      </c>
      <c r="H155" s="44">
        <f t="shared" ref="H155:L155" si="60">H49+H50+H51+H52</f>
        <v>0</v>
      </c>
      <c r="I155" s="39">
        <f t="shared" si="60"/>
        <v>0</v>
      </c>
      <c r="J155" s="39">
        <f t="shared" si="60"/>
        <v>0</v>
      </c>
      <c r="K155" s="45">
        <f t="shared" si="60"/>
        <v>0</v>
      </c>
      <c r="L155" s="144">
        <f t="shared" si="60"/>
        <v>1</v>
      </c>
      <c r="M155" s="50">
        <f t="shared" si="14"/>
        <v>0</v>
      </c>
      <c r="N155" s="40">
        <f t="shared" si="15"/>
        <v>659</v>
      </c>
      <c r="O155" s="43">
        <f t="shared" si="16"/>
        <v>490.5</v>
      </c>
    </row>
    <row r="156" spans="1:15" ht="22.95" customHeight="1" x14ac:dyDescent="0.3">
      <c r="A156" s="52" t="s">
        <v>57</v>
      </c>
      <c r="B156" s="44">
        <f t="shared" si="52"/>
        <v>220</v>
      </c>
      <c r="C156" s="39">
        <f t="shared" si="52"/>
        <v>350</v>
      </c>
      <c r="D156" s="39">
        <f t="shared" si="52"/>
        <v>12</v>
      </c>
      <c r="E156" s="39">
        <f t="shared" si="52"/>
        <v>5</v>
      </c>
      <c r="F156" s="39">
        <f t="shared" si="52"/>
        <v>2</v>
      </c>
      <c r="G156" s="50">
        <f t="shared" si="49"/>
        <v>589</v>
      </c>
      <c r="H156" s="44">
        <f t="shared" ref="H156:L156" si="61">H50+H51+H52+H53</f>
        <v>0</v>
      </c>
      <c r="I156" s="39">
        <f t="shared" si="61"/>
        <v>0</v>
      </c>
      <c r="J156" s="39">
        <f t="shared" si="61"/>
        <v>0</v>
      </c>
      <c r="K156" s="45">
        <f t="shared" si="61"/>
        <v>0</v>
      </c>
      <c r="L156" s="144">
        <f t="shared" si="61"/>
        <v>1</v>
      </c>
      <c r="M156" s="50">
        <f t="shared" si="14"/>
        <v>0</v>
      </c>
      <c r="N156" s="40">
        <f t="shared" si="15"/>
        <v>589</v>
      </c>
      <c r="O156" s="43">
        <f t="shared" si="16"/>
        <v>445</v>
      </c>
    </row>
    <row r="157" spans="1:15" ht="22.95" customHeight="1" x14ac:dyDescent="0.3">
      <c r="A157" s="52" t="s">
        <v>58</v>
      </c>
      <c r="B157" s="44">
        <f t="shared" si="52"/>
        <v>251</v>
      </c>
      <c r="C157" s="39">
        <f t="shared" si="52"/>
        <v>434</v>
      </c>
      <c r="D157" s="39">
        <f t="shared" si="52"/>
        <v>14</v>
      </c>
      <c r="E157" s="39">
        <f t="shared" si="52"/>
        <v>1</v>
      </c>
      <c r="F157" s="39">
        <f t="shared" si="52"/>
        <v>2</v>
      </c>
      <c r="G157" s="50">
        <f t="shared" si="49"/>
        <v>702</v>
      </c>
      <c r="H157" s="44">
        <f t="shared" ref="H157:L157" si="62">H51+H52+H53+H54</f>
        <v>0</v>
      </c>
      <c r="I157" s="39">
        <f t="shared" si="62"/>
        <v>0</v>
      </c>
      <c r="J157" s="39">
        <f t="shared" si="62"/>
        <v>0</v>
      </c>
      <c r="K157" s="45">
        <f t="shared" si="62"/>
        <v>0</v>
      </c>
      <c r="L157" s="144">
        <f t="shared" si="62"/>
        <v>1</v>
      </c>
      <c r="M157" s="50">
        <f t="shared" si="14"/>
        <v>0</v>
      </c>
      <c r="N157" s="40">
        <f t="shared" si="15"/>
        <v>702</v>
      </c>
      <c r="O157" s="43">
        <f t="shared" si="16"/>
        <v>509</v>
      </c>
    </row>
    <row r="158" spans="1:15" ht="22.95" customHeight="1" x14ac:dyDescent="0.3">
      <c r="A158" s="52" t="s">
        <v>59</v>
      </c>
      <c r="B158" s="44">
        <f t="shared" si="52"/>
        <v>304</v>
      </c>
      <c r="C158" s="39">
        <f t="shared" si="52"/>
        <v>604</v>
      </c>
      <c r="D158" s="39">
        <f t="shared" si="52"/>
        <v>18</v>
      </c>
      <c r="E158" s="39">
        <f t="shared" si="52"/>
        <v>5</v>
      </c>
      <c r="F158" s="39">
        <f t="shared" si="52"/>
        <v>5</v>
      </c>
      <c r="G158" s="50">
        <f t="shared" si="49"/>
        <v>936</v>
      </c>
      <c r="H158" s="44">
        <f t="shared" ref="H158:L158" si="63">H52+H53+H54+H55</f>
        <v>0</v>
      </c>
      <c r="I158" s="39">
        <f t="shared" si="63"/>
        <v>0</v>
      </c>
      <c r="J158" s="39">
        <f t="shared" si="63"/>
        <v>0</v>
      </c>
      <c r="K158" s="45">
        <f t="shared" si="63"/>
        <v>0</v>
      </c>
      <c r="L158" s="144">
        <f t="shared" si="63"/>
        <v>1</v>
      </c>
      <c r="M158" s="50">
        <f t="shared" si="14"/>
        <v>0</v>
      </c>
      <c r="N158" s="40">
        <f t="shared" si="15"/>
        <v>936</v>
      </c>
      <c r="O158" s="43">
        <f t="shared" si="16"/>
        <v>678.5</v>
      </c>
    </row>
    <row r="159" spans="1:15" ht="22.95" customHeight="1" x14ac:dyDescent="0.3">
      <c r="A159" s="52" t="s">
        <v>77</v>
      </c>
      <c r="B159" s="44">
        <f t="shared" si="52"/>
        <v>389</v>
      </c>
      <c r="C159" s="39">
        <f t="shared" si="52"/>
        <v>794</v>
      </c>
      <c r="D159" s="39">
        <f t="shared" si="52"/>
        <v>21</v>
      </c>
      <c r="E159" s="39">
        <f t="shared" si="52"/>
        <v>17</v>
      </c>
      <c r="F159" s="39">
        <f t="shared" si="52"/>
        <v>5</v>
      </c>
      <c r="G159" s="50">
        <f t="shared" si="49"/>
        <v>1226</v>
      </c>
      <c r="H159" s="44">
        <f t="shared" ref="H159:L159" si="64">H53+H54+H55+H56</f>
        <v>1</v>
      </c>
      <c r="I159" s="39">
        <f t="shared" si="64"/>
        <v>0</v>
      </c>
      <c r="J159" s="39">
        <f t="shared" si="64"/>
        <v>0</v>
      </c>
      <c r="K159" s="45">
        <f t="shared" si="64"/>
        <v>0</v>
      </c>
      <c r="L159" s="144">
        <f t="shared" si="64"/>
        <v>2</v>
      </c>
      <c r="M159" s="50">
        <f t="shared" si="14"/>
        <v>1</v>
      </c>
      <c r="N159" s="40">
        <f t="shared" si="15"/>
        <v>1227</v>
      </c>
      <c r="O159" s="43">
        <f t="shared" si="16"/>
        <v>907.5</v>
      </c>
    </row>
    <row r="160" spans="1:15" ht="22.95" customHeight="1" x14ac:dyDescent="0.3">
      <c r="A160" s="52" t="s">
        <v>75</v>
      </c>
      <c r="B160" s="44">
        <f t="shared" si="52"/>
        <v>448</v>
      </c>
      <c r="C160" s="39">
        <f t="shared" si="52"/>
        <v>910</v>
      </c>
      <c r="D160" s="39">
        <f t="shared" si="52"/>
        <v>18</v>
      </c>
      <c r="E160" s="39">
        <f t="shared" si="52"/>
        <v>28</v>
      </c>
      <c r="F160" s="39">
        <f t="shared" si="52"/>
        <v>7</v>
      </c>
      <c r="G160" s="50">
        <f t="shared" si="49"/>
        <v>1411</v>
      </c>
      <c r="H160" s="44">
        <f t="shared" ref="H160:L160" si="65">H54+H55+H56+H57</f>
        <v>1</v>
      </c>
      <c r="I160" s="39">
        <f t="shared" si="65"/>
        <v>0</v>
      </c>
      <c r="J160" s="39">
        <f t="shared" si="65"/>
        <v>0</v>
      </c>
      <c r="K160" s="45">
        <f t="shared" si="65"/>
        <v>0</v>
      </c>
      <c r="L160" s="144">
        <f t="shared" si="65"/>
        <v>2</v>
      </c>
      <c r="M160" s="50">
        <f t="shared" si="14"/>
        <v>1</v>
      </c>
      <c r="N160" s="40">
        <f t="shared" si="15"/>
        <v>1412</v>
      </c>
      <c r="O160" s="43">
        <f t="shared" si="16"/>
        <v>1062</v>
      </c>
    </row>
    <row r="161" spans="1:15" ht="22.95" customHeight="1" x14ac:dyDescent="0.3">
      <c r="A161" s="52" t="s">
        <v>76</v>
      </c>
      <c r="B161" s="44">
        <f t="shared" si="52"/>
        <v>453</v>
      </c>
      <c r="C161" s="39">
        <f t="shared" si="52"/>
        <v>800</v>
      </c>
      <c r="D161" s="39">
        <f t="shared" si="52"/>
        <v>17</v>
      </c>
      <c r="E161" s="39">
        <f t="shared" si="52"/>
        <v>41</v>
      </c>
      <c r="F161" s="39">
        <f t="shared" si="52"/>
        <v>8</v>
      </c>
      <c r="G161" s="50">
        <f t="shared" si="49"/>
        <v>1319</v>
      </c>
      <c r="H161" s="44">
        <f t="shared" ref="H161:L161" si="66">H55+H56+H57+H58</f>
        <v>2</v>
      </c>
      <c r="I161" s="39">
        <f t="shared" si="66"/>
        <v>0</v>
      </c>
      <c r="J161" s="39">
        <f t="shared" si="66"/>
        <v>0</v>
      </c>
      <c r="K161" s="45">
        <f t="shared" si="66"/>
        <v>0</v>
      </c>
      <c r="L161" s="144">
        <f t="shared" si="66"/>
        <v>2</v>
      </c>
      <c r="M161" s="50">
        <f t="shared" si="14"/>
        <v>2</v>
      </c>
      <c r="N161" s="40">
        <f t="shared" si="15"/>
        <v>1321</v>
      </c>
      <c r="O161" s="43">
        <f t="shared" si="16"/>
        <v>1054.5</v>
      </c>
    </row>
    <row r="162" spans="1:15" ht="22.95" customHeight="1" x14ac:dyDescent="0.3">
      <c r="A162" s="52" t="s">
        <v>70</v>
      </c>
      <c r="B162" s="44">
        <f t="shared" si="52"/>
        <v>461</v>
      </c>
      <c r="C162" s="39">
        <f t="shared" si="52"/>
        <v>739</v>
      </c>
      <c r="D162" s="39">
        <f t="shared" si="52"/>
        <v>12</v>
      </c>
      <c r="E162" s="39">
        <f t="shared" si="52"/>
        <v>48</v>
      </c>
      <c r="F162" s="39">
        <f t="shared" si="52"/>
        <v>5</v>
      </c>
      <c r="G162" s="50">
        <f t="shared" si="49"/>
        <v>1265</v>
      </c>
      <c r="H162" s="44">
        <f t="shared" ref="H162:L162" si="67">H56+H57+H58+H59</f>
        <v>2</v>
      </c>
      <c r="I162" s="39">
        <f t="shared" si="67"/>
        <v>0</v>
      </c>
      <c r="J162" s="39">
        <f t="shared" si="67"/>
        <v>0</v>
      </c>
      <c r="K162" s="45">
        <f t="shared" si="67"/>
        <v>0</v>
      </c>
      <c r="L162" s="144">
        <f t="shared" si="67"/>
        <v>2</v>
      </c>
      <c r="M162" s="50">
        <f t="shared" si="14"/>
        <v>2</v>
      </c>
      <c r="N162" s="40">
        <f t="shared" si="15"/>
        <v>1267</v>
      </c>
      <c r="O162" s="43">
        <f t="shared" si="16"/>
        <v>1032</v>
      </c>
    </row>
    <row r="163" spans="1:15" ht="22.95" customHeight="1" x14ac:dyDescent="0.3">
      <c r="A163" s="52" t="s">
        <v>71</v>
      </c>
      <c r="B163" s="44">
        <f t="shared" si="52"/>
        <v>444</v>
      </c>
      <c r="C163" s="39">
        <f t="shared" si="52"/>
        <v>647</v>
      </c>
      <c r="D163" s="39">
        <f t="shared" si="52"/>
        <v>13</v>
      </c>
      <c r="E163" s="39">
        <f t="shared" si="52"/>
        <v>41</v>
      </c>
      <c r="F163" s="39">
        <f t="shared" si="52"/>
        <v>6</v>
      </c>
      <c r="G163" s="50">
        <f t="shared" si="49"/>
        <v>1151</v>
      </c>
      <c r="H163" s="44">
        <f t="shared" ref="H163:L163" si="68">H57+H58+H59+H60</f>
        <v>1</v>
      </c>
      <c r="I163" s="39">
        <f t="shared" si="68"/>
        <v>0</v>
      </c>
      <c r="J163" s="39">
        <f t="shared" si="68"/>
        <v>0</v>
      </c>
      <c r="K163" s="45">
        <f t="shared" si="68"/>
        <v>0</v>
      </c>
      <c r="L163" s="144">
        <f t="shared" si="68"/>
        <v>3</v>
      </c>
      <c r="M163" s="50">
        <f t="shared" si="14"/>
        <v>1</v>
      </c>
      <c r="N163" s="40">
        <f t="shared" si="15"/>
        <v>1152</v>
      </c>
      <c r="O163" s="43">
        <f t="shared" si="16"/>
        <v>961.5</v>
      </c>
    </row>
    <row r="164" spans="1:15" ht="22.95" customHeight="1" x14ac:dyDescent="0.3">
      <c r="A164" s="52" t="s">
        <v>72</v>
      </c>
      <c r="B164" s="44">
        <f t="shared" ref="B164:F179" si="69">B58+B59+B60+B61</f>
        <v>393</v>
      </c>
      <c r="C164" s="39">
        <f t="shared" si="69"/>
        <v>570</v>
      </c>
      <c r="D164" s="39">
        <f t="shared" si="69"/>
        <v>15</v>
      </c>
      <c r="E164" s="39">
        <f t="shared" si="69"/>
        <v>34</v>
      </c>
      <c r="F164" s="39">
        <f t="shared" si="69"/>
        <v>8</v>
      </c>
      <c r="G164" s="50">
        <f t="shared" si="49"/>
        <v>1020</v>
      </c>
      <c r="H164" s="44">
        <f t="shared" ref="H164:L164" si="70">H58+H59+H60+H61</f>
        <v>1</v>
      </c>
      <c r="I164" s="39">
        <f t="shared" si="70"/>
        <v>0</v>
      </c>
      <c r="J164" s="39">
        <f t="shared" si="70"/>
        <v>0</v>
      </c>
      <c r="K164" s="45">
        <f t="shared" si="70"/>
        <v>0</v>
      </c>
      <c r="L164" s="144">
        <f t="shared" si="70"/>
        <v>2</v>
      </c>
      <c r="M164" s="50">
        <f t="shared" si="14"/>
        <v>1</v>
      </c>
      <c r="N164" s="40">
        <f t="shared" si="15"/>
        <v>1021</v>
      </c>
      <c r="O164" s="43">
        <f t="shared" si="16"/>
        <v>855</v>
      </c>
    </row>
    <row r="165" spans="1:15" ht="22.95" customHeight="1" x14ac:dyDescent="0.3">
      <c r="A165" s="52" t="s">
        <v>73</v>
      </c>
      <c r="B165" s="44">
        <f t="shared" si="69"/>
        <v>320</v>
      </c>
      <c r="C165" s="39">
        <f t="shared" si="69"/>
        <v>559</v>
      </c>
      <c r="D165" s="39">
        <f t="shared" si="69"/>
        <v>14</v>
      </c>
      <c r="E165" s="39">
        <f t="shared" si="69"/>
        <v>28</v>
      </c>
      <c r="F165" s="39">
        <f t="shared" si="69"/>
        <v>10</v>
      </c>
      <c r="G165" s="50">
        <f t="shared" si="49"/>
        <v>931</v>
      </c>
      <c r="H165" s="44">
        <f t="shared" ref="H165:L165" si="71">H59+H60+H61+H62</f>
        <v>0</v>
      </c>
      <c r="I165" s="39">
        <f t="shared" si="71"/>
        <v>0</v>
      </c>
      <c r="J165" s="39">
        <f t="shared" si="71"/>
        <v>0</v>
      </c>
      <c r="K165" s="45">
        <f t="shared" si="71"/>
        <v>0</v>
      </c>
      <c r="L165" s="144">
        <f t="shared" si="71"/>
        <v>2</v>
      </c>
      <c r="M165" s="50">
        <f t="shared" si="14"/>
        <v>0</v>
      </c>
      <c r="N165" s="40">
        <f t="shared" si="15"/>
        <v>931</v>
      </c>
      <c r="O165" s="43">
        <f t="shared" si="16"/>
        <v>765.5</v>
      </c>
    </row>
    <row r="166" spans="1:15" ht="22.95" customHeight="1" x14ac:dyDescent="0.3">
      <c r="A166" s="52" t="s">
        <v>74</v>
      </c>
      <c r="B166" s="44">
        <f t="shared" si="69"/>
        <v>262</v>
      </c>
      <c r="C166" s="39">
        <f t="shared" si="69"/>
        <v>559</v>
      </c>
      <c r="D166" s="39">
        <f t="shared" si="69"/>
        <v>14</v>
      </c>
      <c r="E166" s="39">
        <f t="shared" si="69"/>
        <v>23</v>
      </c>
      <c r="F166" s="39">
        <f t="shared" si="69"/>
        <v>12</v>
      </c>
      <c r="G166" s="50">
        <f t="shared" si="49"/>
        <v>870</v>
      </c>
      <c r="H166" s="44">
        <f t="shared" ref="H166:L166" si="72">H60+H61+H62+H63</f>
        <v>0</v>
      </c>
      <c r="I166" s="39">
        <f t="shared" si="72"/>
        <v>0</v>
      </c>
      <c r="J166" s="39">
        <f t="shared" si="72"/>
        <v>0</v>
      </c>
      <c r="K166" s="45">
        <f t="shared" si="72"/>
        <v>0</v>
      </c>
      <c r="L166" s="144">
        <f t="shared" si="72"/>
        <v>2</v>
      </c>
      <c r="M166" s="50">
        <f t="shared" si="14"/>
        <v>0</v>
      </c>
      <c r="N166" s="40">
        <f t="shared" si="15"/>
        <v>870</v>
      </c>
      <c r="O166" s="43">
        <f t="shared" si="16"/>
        <v>701.5</v>
      </c>
    </row>
    <row r="167" spans="1:15" ht="22.95" customHeight="1" x14ac:dyDescent="0.3">
      <c r="A167" s="52" t="s">
        <v>262</v>
      </c>
      <c r="B167" s="44">
        <f t="shared" si="69"/>
        <v>211</v>
      </c>
      <c r="C167" s="39">
        <f t="shared" si="69"/>
        <v>448</v>
      </c>
      <c r="D167" s="39">
        <f t="shared" si="69"/>
        <v>10</v>
      </c>
      <c r="E167" s="39">
        <f t="shared" si="69"/>
        <v>22</v>
      </c>
      <c r="F167" s="39">
        <f t="shared" si="69"/>
        <v>13</v>
      </c>
      <c r="G167" s="50">
        <f t="shared" si="49"/>
        <v>704</v>
      </c>
      <c r="H167" s="44">
        <f t="shared" ref="H167:L167" si="73">H61+H62+H63+H64</f>
        <v>0</v>
      </c>
      <c r="I167" s="39">
        <f t="shared" si="73"/>
        <v>0</v>
      </c>
      <c r="J167" s="39">
        <f t="shared" si="73"/>
        <v>0</v>
      </c>
      <c r="K167" s="45">
        <f t="shared" si="73"/>
        <v>0</v>
      </c>
      <c r="L167" s="144">
        <f t="shared" si="73"/>
        <v>2</v>
      </c>
      <c r="M167" s="50">
        <f t="shared" si="14"/>
        <v>0</v>
      </c>
      <c r="N167" s="40">
        <f t="shared" si="15"/>
        <v>704</v>
      </c>
      <c r="O167" s="43">
        <f t="shared" si="16"/>
        <v>590.5</v>
      </c>
    </row>
    <row r="168" spans="1:15" ht="22.95" customHeight="1" x14ac:dyDescent="0.3">
      <c r="A168" s="52" t="s">
        <v>263</v>
      </c>
      <c r="B168" s="44">
        <f t="shared" si="69"/>
        <v>197</v>
      </c>
      <c r="C168" s="39">
        <f t="shared" si="69"/>
        <v>335</v>
      </c>
      <c r="D168" s="39">
        <f t="shared" si="69"/>
        <v>18</v>
      </c>
      <c r="E168" s="39">
        <f t="shared" si="69"/>
        <v>25</v>
      </c>
      <c r="F168" s="39">
        <f t="shared" si="69"/>
        <v>11</v>
      </c>
      <c r="G168" s="50">
        <f t="shared" si="49"/>
        <v>586</v>
      </c>
      <c r="H168" s="44">
        <f t="shared" ref="H168:L168" si="74">H62+H63+H64+H65</f>
        <v>0</v>
      </c>
      <c r="I168" s="39">
        <f t="shared" si="74"/>
        <v>0</v>
      </c>
      <c r="J168" s="39">
        <f t="shared" si="74"/>
        <v>0</v>
      </c>
      <c r="K168" s="45">
        <f t="shared" si="74"/>
        <v>0</v>
      </c>
      <c r="L168" s="144">
        <f t="shared" si="74"/>
        <v>3</v>
      </c>
      <c r="M168" s="50">
        <f t="shared" si="14"/>
        <v>0</v>
      </c>
      <c r="N168" s="40">
        <f t="shared" si="15"/>
        <v>586</v>
      </c>
      <c r="O168" s="43">
        <f t="shared" si="16"/>
        <v>540</v>
      </c>
    </row>
    <row r="169" spans="1:15" ht="22.95" customHeight="1" x14ac:dyDescent="0.3">
      <c r="A169" s="52" t="s">
        <v>264</v>
      </c>
      <c r="B169" s="44">
        <f t="shared" si="69"/>
        <v>205</v>
      </c>
      <c r="C169" s="39">
        <f t="shared" si="69"/>
        <v>253</v>
      </c>
      <c r="D169" s="39">
        <f t="shared" si="69"/>
        <v>21</v>
      </c>
      <c r="E169" s="39">
        <f t="shared" si="69"/>
        <v>21</v>
      </c>
      <c r="F169" s="39">
        <f t="shared" si="69"/>
        <v>10</v>
      </c>
      <c r="G169" s="50">
        <f t="shared" si="49"/>
        <v>510</v>
      </c>
      <c r="H169" s="44">
        <f t="shared" ref="H169:L169" si="75">H63+H64+H65+H66</f>
        <v>0</v>
      </c>
      <c r="I169" s="39">
        <f t="shared" si="75"/>
        <v>0</v>
      </c>
      <c r="J169" s="39">
        <f t="shared" si="75"/>
        <v>0</v>
      </c>
      <c r="K169" s="45">
        <f t="shared" si="75"/>
        <v>0</v>
      </c>
      <c r="L169" s="144">
        <f t="shared" si="75"/>
        <v>3</v>
      </c>
      <c r="M169" s="50">
        <f t="shared" si="14"/>
        <v>0</v>
      </c>
      <c r="N169" s="40">
        <f t="shared" si="15"/>
        <v>510</v>
      </c>
      <c r="O169" s="43">
        <f t="shared" si="16"/>
        <v>495</v>
      </c>
    </row>
    <row r="170" spans="1:15" ht="22.95" customHeight="1" x14ac:dyDescent="0.3">
      <c r="A170" s="52" t="s">
        <v>265</v>
      </c>
      <c r="B170" s="44">
        <f t="shared" si="69"/>
        <v>230</v>
      </c>
      <c r="C170" s="39">
        <f t="shared" si="69"/>
        <v>150</v>
      </c>
      <c r="D170" s="39">
        <f t="shared" si="69"/>
        <v>24</v>
      </c>
      <c r="E170" s="39">
        <f t="shared" si="69"/>
        <v>18</v>
      </c>
      <c r="F170" s="39">
        <f t="shared" si="69"/>
        <v>10</v>
      </c>
      <c r="G170" s="50">
        <f t="shared" si="49"/>
        <v>432</v>
      </c>
      <c r="H170" s="44">
        <f t="shared" ref="H170:L170" si="76">H64+H65+H66+H67</f>
        <v>0</v>
      </c>
      <c r="I170" s="39">
        <f t="shared" si="76"/>
        <v>0</v>
      </c>
      <c r="J170" s="39">
        <f t="shared" si="76"/>
        <v>0</v>
      </c>
      <c r="K170" s="45">
        <f t="shared" si="76"/>
        <v>0</v>
      </c>
      <c r="L170" s="144">
        <f t="shared" si="76"/>
        <v>3</v>
      </c>
      <c r="M170" s="50">
        <f t="shared" si="14"/>
        <v>0</v>
      </c>
      <c r="N170" s="40">
        <f t="shared" si="15"/>
        <v>432</v>
      </c>
      <c r="O170" s="43">
        <f t="shared" si="16"/>
        <v>464</v>
      </c>
    </row>
    <row r="171" spans="1:15" ht="22.95" customHeight="1" x14ac:dyDescent="0.3">
      <c r="A171" s="52" t="s">
        <v>266</v>
      </c>
      <c r="B171" s="44">
        <f t="shared" si="69"/>
        <v>260</v>
      </c>
      <c r="C171" s="39">
        <f t="shared" si="69"/>
        <v>135</v>
      </c>
      <c r="D171" s="39">
        <f t="shared" si="69"/>
        <v>26</v>
      </c>
      <c r="E171" s="39">
        <f t="shared" si="69"/>
        <v>15</v>
      </c>
      <c r="F171" s="39">
        <f t="shared" si="69"/>
        <v>8</v>
      </c>
      <c r="G171" s="50">
        <f t="shared" si="49"/>
        <v>444</v>
      </c>
      <c r="H171" s="44">
        <f t="shared" ref="H171:L171" si="77">H65+H66+H67+H68</f>
        <v>0</v>
      </c>
      <c r="I171" s="39">
        <f t="shared" si="77"/>
        <v>0</v>
      </c>
      <c r="J171" s="39">
        <f t="shared" si="77"/>
        <v>0</v>
      </c>
      <c r="K171" s="45">
        <f t="shared" si="77"/>
        <v>0</v>
      </c>
      <c r="L171" s="144">
        <f t="shared" si="77"/>
        <v>1</v>
      </c>
      <c r="M171" s="50">
        <f t="shared" si="14"/>
        <v>0</v>
      </c>
      <c r="N171" s="40">
        <f t="shared" si="15"/>
        <v>444</v>
      </c>
      <c r="O171" s="43">
        <f t="shared" si="16"/>
        <v>455.5</v>
      </c>
    </row>
    <row r="172" spans="1:15" ht="22.95" customHeight="1" x14ac:dyDescent="0.3">
      <c r="A172" s="52" t="s">
        <v>267</v>
      </c>
      <c r="B172" s="44">
        <f t="shared" si="69"/>
        <v>291</v>
      </c>
      <c r="C172" s="39">
        <f t="shared" si="69"/>
        <v>119</v>
      </c>
      <c r="D172" s="39">
        <f t="shared" si="69"/>
        <v>19</v>
      </c>
      <c r="E172" s="39">
        <f t="shared" si="69"/>
        <v>10</v>
      </c>
      <c r="F172" s="39">
        <f t="shared" si="69"/>
        <v>8</v>
      </c>
      <c r="G172" s="50">
        <f t="shared" si="49"/>
        <v>447</v>
      </c>
      <c r="H172" s="44">
        <f t="shared" ref="H172:L172" si="78">H66+H67+H68+H69</f>
        <v>0</v>
      </c>
      <c r="I172" s="39">
        <f t="shared" si="78"/>
        <v>0</v>
      </c>
      <c r="J172" s="39">
        <f t="shared" si="78"/>
        <v>0</v>
      </c>
      <c r="K172" s="45">
        <f t="shared" si="78"/>
        <v>0</v>
      </c>
      <c r="L172" s="144">
        <f t="shared" si="78"/>
        <v>1</v>
      </c>
      <c r="M172" s="50">
        <f t="shared" si="14"/>
        <v>0</v>
      </c>
      <c r="N172" s="40">
        <f t="shared" si="15"/>
        <v>447</v>
      </c>
      <c r="O172" s="43">
        <f t="shared" si="16"/>
        <v>453</v>
      </c>
    </row>
    <row r="173" spans="1:15" ht="22.95" customHeight="1" x14ac:dyDescent="0.3">
      <c r="A173" s="52" t="s">
        <v>268</v>
      </c>
      <c r="B173" s="44">
        <f t="shared" si="69"/>
        <v>304</v>
      </c>
      <c r="C173" s="39">
        <f t="shared" si="69"/>
        <v>112</v>
      </c>
      <c r="D173" s="39">
        <f t="shared" si="69"/>
        <v>16</v>
      </c>
      <c r="E173" s="39">
        <f t="shared" si="69"/>
        <v>11</v>
      </c>
      <c r="F173" s="39">
        <f t="shared" si="69"/>
        <v>10</v>
      </c>
      <c r="G173" s="50">
        <f t="shared" si="49"/>
        <v>453</v>
      </c>
      <c r="H173" s="44">
        <f t="shared" ref="H173:L173" si="79">H67+H68+H69+H70</f>
        <v>0</v>
      </c>
      <c r="I173" s="39">
        <f t="shared" si="79"/>
        <v>0</v>
      </c>
      <c r="J173" s="39">
        <f t="shared" si="79"/>
        <v>0</v>
      </c>
      <c r="K173" s="45">
        <f t="shared" si="79"/>
        <v>0</v>
      </c>
      <c r="L173" s="144">
        <f t="shared" si="79"/>
        <v>1</v>
      </c>
      <c r="M173" s="50">
        <f t="shared" si="14"/>
        <v>0</v>
      </c>
      <c r="N173" s="40">
        <f t="shared" si="15"/>
        <v>453</v>
      </c>
      <c r="O173" s="43">
        <f t="shared" si="16"/>
        <v>470</v>
      </c>
    </row>
    <row r="174" spans="1:15" ht="22.95" customHeight="1" x14ac:dyDescent="0.3">
      <c r="A174" s="52" t="s">
        <v>269</v>
      </c>
      <c r="B174" s="44">
        <f t="shared" si="69"/>
        <v>310</v>
      </c>
      <c r="C174" s="39">
        <f t="shared" si="69"/>
        <v>112</v>
      </c>
      <c r="D174" s="39">
        <f t="shared" si="69"/>
        <v>13</v>
      </c>
      <c r="E174" s="39">
        <f t="shared" si="69"/>
        <v>12</v>
      </c>
      <c r="F174" s="39">
        <f t="shared" si="69"/>
        <v>13</v>
      </c>
      <c r="G174" s="50">
        <f t="shared" si="49"/>
        <v>460</v>
      </c>
      <c r="H174" s="44">
        <f t="shared" ref="H174:L174" si="80">H68+H69+H70+H71</f>
        <v>0</v>
      </c>
      <c r="I174" s="39">
        <f t="shared" si="80"/>
        <v>0</v>
      </c>
      <c r="J174" s="39">
        <f t="shared" si="80"/>
        <v>0</v>
      </c>
      <c r="K174" s="45">
        <f t="shared" si="80"/>
        <v>0</v>
      </c>
      <c r="L174" s="144">
        <f t="shared" si="80"/>
        <v>1</v>
      </c>
      <c r="M174" s="50">
        <f t="shared" si="14"/>
        <v>0</v>
      </c>
      <c r="N174" s="40">
        <f t="shared" si="15"/>
        <v>460</v>
      </c>
      <c r="O174" s="43">
        <f t="shared" si="16"/>
        <v>488</v>
      </c>
    </row>
    <row r="175" spans="1:15" ht="22.95" customHeight="1" x14ac:dyDescent="0.3">
      <c r="A175" s="54" t="s">
        <v>241</v>
      </c>
      <c r="B175" s="44">
        <f t="shared" si="69"/>
        <v>288</v>
      </c>
      <c r="C175" s="39">
        <f t="shared" si="69"/>
        <v>143</v>
      </c>
      <c r="D175" s="39">
        <f t="shared" si="69"/>
        <v>13</v>
      </c>
      <c r="E175" s="39">
        <f t="shared" si="69"/>
        <v>15</v>
      </c>
      <c r="F175" s="39">
        <f t="shared" si="69"/>
        <v>16</v>
      </c>
      <c r="G175" s="50">
        <f t="shared" si="49"/>
        <v>475</v>
      </c>
      <c r="H175" s="44">
        <f t="shared" ref="H175:L175" si="81">H69+H70+H71+H72</f>
        <v>0</v>
      </c>
      <c r="I175" s="39">
        <f t="shared" si="81"/>
        <v>0</v>
      </c>
      <c r="J175" s="39">
        <f t="shared" si="81"/>
        <v>0</v>
      </c>
      <c r="K175" s="45">
        <f t="shared" si="81"/>
        <v>0</v>
      </c>
      <c r="L175" s="144">
        <f t="shared" si="81"/>
        <v>2</v>
      </c>
      <c r="M175" s="50">
        <f t="shared" si="14"/>
        <v>0</v>
      </c>
      <c r="N175" s="40">
        <f t="shared" si="15"/>
        <v>475</v>
      </c>
      <c r="O175" s="43">
        <f t="shared" si="16"/>
        <v>512</v>
      </c>
    </row>
    <row r="176" spans="1:15" ht="22.95" customHeight="1" x14ac:dyDescent="0.3">
      <c r="A176" s="52" t="s">
        <v>242</v>
      </c>
      <c r="B176" s="44">
        <f t="shared" si="69"/>
        <v>229</v>
      </c>
      <c r="C176" s="39">
        <f t="shared" si="69"/>
        <v>158</v>
      </c>
      <c r="D176" s="39">
        <f t="shared" si="69"/>
        <v>11</v>
      </c>
      <c r="E176" s="39">
        <f t="shared" si="69"/>
        <v>16</v>
      </c>
      <c r="F176" s="39">
        <f t="shared" si="69"/>
        <v>18</v>
      </c>
      <c r="G176" s="50">
        <f t="shared" si="49"/>
        <v>432</v>
      </c>
      <c r="H176" s="44">
        <f t="shared" ref="H176:L176" si="82">H70+H71+H72+H73</f>
        <v>0</v>
      </c>
      <c r="I176" s="39">
        <f t="shared" si="82"/>
        <v>0</v>
      </c>
      <c r="J176" s="39">
        <f t="shared" si="82"/>
        <v>0</v>
      </c>
      <c r="K176" s="45">
        <f t="shared" si="82"/>
        <v>0</v>
      </c>
      <c r="L176" s="144">
        <f t="shared" si="82"/>
        <v>1</v>
      </c>
      <c r="M176" s="50">
        <f t="shared" si="14"/>
        <v>0</v>
      </c>
      <c r="N176" s="40">
        <f t="shared" si="15"/>
        <v>432</v>
      </c>
      <c r="O176" s="43">
        <f t="shared" si="16"/>
        <v>461.5</v>
      </c>
    </row>
    <row r="177" spans="1:15" ht="22.95" customHeight="1" x14ac:dyDescent="0.3">
      <c r="A177" s="52" t="s">
        <v>243</v>
      </c>
      <c r="B177" s="44">
        <f t="shared" si="69"/>
        <v>192</v>
      </c>
      <c r="C177" s="39">
        <f t="shared" si="69"/>
        <v>161</v>
      </c>
      <c r="D177" s="39">
        <f t="shared" si="69"/>
        <v>13</v>
      </c>
      <c r="E177" s="39">
        <f t="shared" si="69"/>
        <v>15</v>
      </c>
      <c r="F177" s="39">
        <f t="shared" si="69"/>
        <v>17</v>
      </c>
      <c r="G177" s="50">
        <f t="shared" si="49"/>
        <v>398</v>
      </c>
      <c r="H177" s="44">
        <f t="shared" ref="H177:L177" si="83">H71+H72+H73+H74</f>
        <v>0</v>
      </c>
      <c r="I177" s="39">
        <f t="shared" si="83"/>
        <v>0</v>
      </c>
      <c r="J177" s="39">
        <f t="shared" si="83"/>
        <v>0</v>
      </c>
      <c r="K177" s="45">
        <f t="shared" si="83"/>
        <v>0</v>
      </c>
      <c r="L177" s="144">
        <f t="shared" si="83"/>
        <v>1</v>
      </c>
      <c r="M177" s="50">
        <f t="shared" si="14"/>
        <v>0</v>
      </c>
      <c r="N177" s="40">
        <f t="shared" si="15"/>
        <v>398</v>
      </c>
      <c r="O177" s="43">
        <f t="shared" si="16"/>
        <v>421.5</v>
      </c>
    </row>
    <row r="178" spans="1:15" ht="22.95" customHeight="1" x14ac:dyDescent="0.3">
      <c r="A178" s="52" t="s">
        <v>244</v>
      </c>
      <c r="B178" s="44">
        <f t="shared" si="69"/>
        <v>161</v>
      </c>
      <c r="C178" s="39">
        <f t="shared" si="69"/>
        <v>161</v>
      </c>
      <c r="D178" s="39">
        <f t="shared" si="69"/>
        <v>15</v>
      </c>
      <c r="E178" s="39">
        <f t="shared" si="69"/>
        <v>16</v>
      </c>
      <c r="F178" s="39">
        <f t="shared" si="69"/>
        <v>14</v>
      </c>
      <c r="G178" s="50">
        <f t="shared" ref="G178:G206" si="84">SUM(B178:F178)</f>
        <v>367</v>
      </c>
      <c r="H178" s="44">
        <f t="shared" ref="H178:L178" si="85">H72+H73+H74+H75</f>
        <v>0</v>
      </c>
      <c r="I178" s="39">
        <f t="shared" si="85"/>
        <v>0</v>
      </c>
      <c r="J178" s="39">
        <f t="shared" si="85"/>
        <v>0</v>
      </c>
      <c r="K178" s="45">
        <f t="shared" si="85"/>
        <v>0</v>
      </c>
      <c r="L178" s="144">
        <f t="shared" si="85"/>
        <v>2</v>
      </c>
      <c r="M178" s="50">
        <f t="shared" si="14"/>
        <v>0</v>
      </c>
      <c r="N178" s="40">
        <f t="shared" si="15"/>
        <v>367</v>
      </c>
      <c r="O178" s="43">
        <f t="shared" si="16"/>
        <v>391</v>
      </c>
    </row>
    <row r="179" spans="1:15" ht="22.95" customHeight="1" x14ac:dyDescent="0.3">
      <c r="A179" s="52" t="s">
        <v>245</v>
      </c>
      <c r="B179" s="44">
        <f t="shared" si="69"/>
        <v>145</v>
      </c>
      <c r="C179" s="39">
        <f t="shared" si="69"/>
        <v>128</v>
      </c>
      <c r="D179" s="39">
        <f t="shared" si="69"/>
        <v>17</v>
      </c>
      <c r="E179" s="39">
        <f t="shared" si="69"/>
        <v>15</v>
      </c>
      <c r="F179" s="39">
        <f t="shared" si="69"/>
        <v>12</v>
      </c>
      <c r="G179" s="50">
        <f t="shared" si="84"/>
        <v>317</v>
      </c>
      <c r="H179" s="44">
        <f t="shared" ref="H179:L179" si="86">H73+H74+H75+H76</f>
        <v>0</v>
      </c>
      <c r="I179" s="39">
        <f t="shared" si="86"/>
        <v>0</v>
      </c>
      <c r="J179" s="39">
        <f t="shared" si="86"/>
        <v>0</v>
      </c>
      <c r="K179" s="45">
        <f t="shared" si="86"/>
        <v>0</v>
      </c>
      <c r="L179" s="144">
        <f t="shared" si="86"/>
        <v>1</v>
      </c>
      <c r="M179" s="50">
        <f t="shared" ref="M179:M206" si="87">SUM(H179:K179)</f>
        <v>0</v>
      </c>
      <c r="N179" s="40">
        <f t="shared" ref="N179:N206" si="88">G179+M179</f>
        <v>317</v>
      </c>
      <c r="O179" s="43">
        <f t="shared" ref="O179:O206" si="89">B179*1+C179*0.5+D179*1.5+E179*3+F179*4.5+H179*0.5+I179*1.5+J179*3+K179*4+L179*8</f>
        <v>341.5</v>
      </c>
    </row>
    <row r="180" spans="1:15" ht="22.95" customHeight="1" x14ac:dyDescent="0.3">
      <c r="A180" s="52" t="s">
        <v>246</v>
      </c>
      <c r="B180" s="44">
        <f t="shared" ref="B180:F195" si="90">B74+B75+B76+B77</f>
        <v>156</v>
      </c>
      <c r="C180" s="39">
        <f t="shared" si="90"/>
        <v>97</v>
      </c>
      <c r="D180" s="39">
        <f t="shared" si="90"/>
        <v>20</v>
      </c>
      <c r="E180" s="39">
        <f t="shared" si="90"/>
        <v>12</v>
      </c>
      <c r="F180" s="39">
        <f t="shared" si="90"/>
        <v>11</v>
      </c>
      <c r="G180" s="50">
        <f t="shared" si="84"/>
        <v>296</v>
      </c>
      <c r="H180" s="44">
        <f t="shared" ref="H180:L180" si="91">H74+H75+H76+H77</f>
        <v>0</v>
      </c>
      <c r="I180" s="39">
        <f t="shared" si="91"/>
        <v>0</v>
      </c>
      <c r="J180" s="39">
        <f t="shared" si="91"/>
        <v>0</v>
      </c>
      <c r="K180" s="45">
        <f t="shared" si="91"/>
        <v>0</v>
      </c>
      <c r="L180" s="144">
        <f t="shared" si="91"/>
        <v>1</v>
      </c>
      <c r="M180" s="50">
        <f t="shared" si="87"/>
        <v>0</v>
      </c>
      <c r="N180" s="40">
        <f t="shared" si="88"/>
        <v>296</v>
      </c>
      <c r="O180" s="43">
        <f t="shared" si="89"/>
        <v>328</v>
      </c>
    </row>
    <row r="181" spans="1:15" ht="22.95" customHeight="1" x14ac:dyDescent="0.3">
      <c r="A181" s="52" t="s">
        <v>247</v>
      </c>
      <c r="B181" s="44">
        <f t="shared" si="90"/>
        <v>155</v>
      </c>
      <c r="C181" s="39">
        <f t="shared" si="90"/>
        <v>90</v>
      </c>
      <c r="D181" s="39">
        <f t="shared" si="90"/>
        <v>19</v>
      </c>
      <c r="E181" s="39">
        <f t="shared" si="90"/>
        <v>11</v>
      </c>
      <c r="F181" s="39">
        <f t="shared" si="90"/>
        <v>13</v>
      </c>
      <c r="G181" s="50">
        <f t="shared" si="84"/>
        <v>288</v>
      </c>
      <c r="H181" s="44">
        <f t="shared" ref="H181:L181" si="92">H75+H76+H77+H78</f>
        <v>0</v>
      </c>
      <c r="I181" s="39">
        <f t="shared" si="92"/>
        <v>0</v>
      </c>
      <c r="J181" s="39">
        <f t="shared" si="92"/>
        <v>0</v>
      </c>
      <c r="K181" s="45">
        <f t="shared" si="92"/>
        <v>0</v>
      </c>
      <c r="L181" s="144">
        <f t="shared" si="92"/>
        <v>1</v>
      </c>
      <c r="M181" s="50">
        <f t="shared" si="87"/>
        <v>0</v>
      </c>
      <c r="N181" s="40">
        <f t="shared" si="88"/>
        <v>288</v>
      </c>
      <c r="O181" s="43">
        <f t="shared" si="89"/>
        <v>328</v>
      </c>
    </row>
    <row r="182" spans="1:15" ht="22.95" customHeight="1" x14ac:dyDescent="0.3">
      <c r="A182" s="52" t="s">
        <v>248</v>
      </c>
      <c r="B182" s="44">
        <f t="shared" si="90"/>
        <v>138</v>
      </c>
      <c r="C182" s="39">
        <f t="shared" si="90"/>
        <v>90</v>
      </c>
      <c r="D182" s="39">
        <f t="shared" si="90"/>
        <v>18</v>
      </c>
      <c r="E182" s="39">
        <f t="shared" si="90"/>
        <v>9</v>
      </c>
      <c r="F182" s="39">
        <f t="shared" si="90"/>
        <v>13</v>
      </c>
      <c r="G182" s="50">
        <f t="shared" si="84"/>
        <v>268</v>
      </c>
      <c r="H182" s="44">
        <f t="shared" ref="H182:L182" si="93">H76+H77+H78+H79</f>
        <v>0</v>
      </c>
      <c r="I182" s="39">
        <f t="shared" si="93"/>
        <v>0</v>
      </c>
      <c r="J182" s="39">
        <f t="shared" si="93"/>
        <v>0</v>
      </c>
      <c r="K182" s="45">
        <f t="shared" si="93"/>
        <v>0</v>
      </c>
      <c r="L182" s="144">
        <f t="shared" si="93"/>
        <v>1</v>
      </c>
      <c r="M182" s="50">
        <f t="shared" si="87"/>
        <v>0</v>
      </c>
      <c r="N182" s="40">
        <f t="shared" si="88"/>
        <v>268</v>
      </c>
      <c r="O182" s="43">
        <f t="shared" si="89"/>
        <v>303.5</v>
      </c>
    </row>
    <row r="183" spans="1:15" ht="22.95" customHeight="1" x14ac:dyDescent="0.3">
      <c r="A183" s="52" t="s">
        <v>249</v>
      </c>
      <c r="B183" s="44">
        <f t="shared" si="90"/>
        <v>127</v>
      </c>
      <c r="C183" s="39">
        <f t="shared" si="90"/>
        <v>73</v>
      </c>
      <c r="D183" s="39">
        <f t="shared" si="90"/>
        <v>15</v>
      </c>
      <c r="E183" s="39">
        <f t="shared" si="90"/>
        <v>6</v>
      </c>
      <c r="F183" s="39">
        <f t="shared" si="90"/>
        <v>14</v>
      </c>
      <c r="G183" s="50">
        <f t="shared" si="84"/>
        <v>235</v>
      </c>
      <c r="H183" s="44">
        <f t="shared" ref="H183:L183" si="94">H77+H78+H79+H80</f>
        <v>0</v>
      </c>
      <c r="I183" s="39">
        <f t="shared" si="94"/>
        <v>0</v>
      </c>
      <c r="J183" s="39">
        <f t="shared" si="94"/>
        <v>0</v>
      </c>
      <c r="K183" s="45">
        <f t="shared" si="94"/>
        <v>0</v>
      </c>
      <c r="L183" s="144">
        <f t="shared" si="94"/>
        <v>1</v>
      </c>
      <c r="M183" s="50">
        <f t="shared" si="87"/>
        <v>0</v>
      </c>
      <c r="N183" s="40">
        <f t="shared" si="88"/>
        <v>235</v>
      </c>
      <c r="O183" s="43">
        <f t="shared" si="89"/>
        <v>275</v>
      </c>
    </row>
    <row r="184" spans="1:15" ht="22.95" customHeight="1" x14ac:dyDescent="0.3">
      <c r="A184" s="52" t="s">
        <v>250</v>
      </c>
      <c r="B184" s="44">
        <f t="shared" si="90"/>
        <v>121</v>
      </c>
      <c r="C184" s="39">
        <f t="shared" si="90"/>
        <v>63</v>
      </c>
      <c r="D184" s="39">
        <f t="shared" si="90"/>
        <v>13</v>
      </c>
      <c r="E184" s="39">
        <f t="shared" si="90"/>
        <v>7</v>
      </c>
      <c r="F184" s="39">
        <f t="shared" si="90"/>
        <v>12</v>
      </c>
      <c r="G184" s="50">
        <f t="shared" si="84"/>
        <v>216</v>
      </c>
      <c r="H184" s="44">
        <f t="shared" ref="H184:L184" si="95">H78+H79+H80+H81</f>
        <v>0</v>
      </c>
      <c r="I184" s="39">
        <f t="shared" si="95"/>
        <v>0</v>
      </c>
      <c r="J184" s="39">
        <f t="shared" si="95"/>
        <v>0</v>
      </c>
      <c r="K184" s="45">
        <f t="shared" si="95"/>
        <v>0</v>
      </c>
      <c r="L184" s="144">
        <f t="shared" si="95"/>
        <v>1</v>
      </c>
      <c r="M184" s="50">
        <f t="shared" si="87"/>
        <v>0</v>
      </c>
      <c r="N184" s="40">
        <f t="shared" si="88"/>
        <v>216</v>
      </c>
      <c r="O184" s="43">
        <f t="shared" si="89"/>
        <v>255</v>
      </c>
    </row>
    <row r="185" spans="1:15" ht="22.95" customHeight="1" x14ac:dyDescent="0.3">
      <c r="A185" s="52" t="s">
        <v>251</v>
      </c>
      <c r="B185" s="44">
        <f t="shared" si="90"/>
        <v>121</v>
      </c>
      <c r="C185" s="39">
        <f t="shared" si="90"/>
        <v>48</v>
      </c>
      <c r="D185" s="39">
        <f t="shared" si="90"/>
        <v>14</v>
      </c>
      <c r="E185" s="39">
        <f t="shared" si="90"/>
        <v>6</v>
      </c>
      <c r="F185" s="39">
        <f t="shared" si="90"/>
        <v>8</v>
      </c>
      <c r="G185" s="50">
        <f t="shared" si="84"/>
        <v>197</v>
      </c>
      <c r="H185" s="44">
        <f t="shared" ref="H185:L185" si="96">H79+H80+H81+H82</f>
        <v>0</v>
      </c>
      <c r="I185" s="39">
        <f t="shared" si="96"/>
        <v>0</v>
      </c>
      <c r="J185" s="39">
        <f t="shared" si="96"/>
        <v>0</v>
      </c>
      <c r="K185" s="45">
        <f t="shared" si="96"/>
        <v>0</v>
      </c>
      <c r="L185" s="144">
        <f t="shared" si="96"/>
        <v>1</v>
      </c>
      <c r="M185" s="50">
        <f t="shared" si="87"/>
        <v>0</v>
      </c>
      <c r="N185" s="40">
        <f t="shared" si="88"/>
        <v>197</v>
      </c>
      <c r="O185" s="43">
        <f t="shared" si="89"/>
        <v>228</v>
      </c>
    </row>
    <row r="186" spans="1:15" ht="22.95" customHeight="1" x14ac:dyDescent="0.3">
      <c r="A186" s="52" t="s">
        <v>252</v>
      </c>
      <c r="B186" s="44">
        <f t="shared" si="90"/>
        <v>122</v>
      </c>
      <c r="C186" s="39">
        <f t="shared" si="90"/>
        <v>20</v>
      </c>
      <c r="D186" s="39">
        <f t="shared" si="90"/>
        <v>12</v>
      </c>
      <c r="E186" s="39">
        <f t="shared" si="90"/>
        <v>5</v>
      </c>
      <c r="F186" s="39">
        <f t="shared" si="90"/>
        <v>8</v>
      </c>
      <c r="G186" s="50">
        <f t="shared" si="84"/>
        <v>167</v>
      </c>
      <c r="H186" s="44">
        <f t="shared" ref="H186:L186" si="97">H80+H81+H82+H83</f>
        <v>0</v>
      </c>
      <c r="I186" s="39">
        <f t="shared" si="97"/>
        <v>0</v>
      </c>
      <c r="J186" s="39">
        <f t="shared" si="97"/>
        <v>0</v>
      </c>
      <c r="K186" s="45">
        <f t="shared" si="97"/>
        <v>0</v>
      </c>
      <c r="L186" s="144">
        <f t="shared" si="97"/>
        <v>0</v>
      </c>
      <c r="M186" s="50">
        <f t="shared" si="87"/>
        <v>0</v>
      </c>
      <c r="N186" s="40">
        <f t="shared" si="88"/>
        <v>167</v>
      </c>
      <c r="O186" s="43">
        <f t="shared" si="89"/>
        <v>201</v>
      </c>
    </row>
    <row r="187" spans="1:15" ht="22.95" customHeight="1" x14ac:dyDescent="0.3">
      <c r="A187" s="52" t="s">
        <v>253</v>
      </c>
      <c r="B187" s="44">
        <f t="shared" si="90"/>
        <v>107</v>
      </c>
      <c r="C187" s="39">
        <f t="shared" si="90"/>
        <v>21</v>
      </c>
      <c r="D187" s="39">
        <f t="shared" si="90"/>
        <v>9</v>
      </c>
      <c r="E187" s="39">
        <f t="shared" si="90"/>
        <v>9</v>
      </c>
      <c r="F187" s="39">
        <f t="shared" si="90"/>
        <v>5</v>
      </c>
      <c r="G187" s="50">
        <f t="shared" si="84"/>
        <v>151</v>
      </c>
      <c r="H187" s="44">
        <f t="shared" ref="H187:L187" si="98">H81+H82+H83+H84</f>
        <v>0</v>
      </c>
      <c r="I187" s="39">
        <f t="shared" si="98"/>
        <v>0</v>
      </c>
      <c r="J187" s="39">
        <f t="shared" si="98"/>
        <v>0</v>
      </c>
      <c r="K187" s="45">
        <f t="shared" si="98"/>
        <v>0</v>
      </c>
      <c r="L187" s="144">
        <f t="shared" si="98"/>
        <v>0</v>
      </c>
      <c r="M187" s="50">
        <f t="shared" si="87"/>
        <v>0</v>
      </c>
      <c r="N187" s="40">
        <f t="shared" si="88"/>
        <v>151</v>
      </c>
      <c r="O187" s="43">
        <f t="shared" si="89"/>
        <v>180.5</v>
      </c>
    </row>
    <row r="188" spans="1:15" ht="22.95" customHeight="1" x14ac:dyDescent="0.3">
      <c r="A188" s="52" t="s">
        <v>254</v>
      </c>
      <c r="B188" s="44">
        <f t="shared" si="90"/>
        <v>92</v>
      </c>
      <c r="C188" s="39">
        <f t="shared" si="90"/>
        <v>19</v>
      </c>
      <c r="D188" s="39">
        <f t="shared" si="90"/>
        <v>8</v>
      </c>
      <c r="E188" s="39">
        <f t="shared" si="90"/>
        <v>12</v>
      </c>
      <c r="F188" s="39">
        <f t="shared" si="90"/>
        <v>4</v>
      </c>
      <c r="G188" s="50">
        <f t="shared" si="84"/>
        <v>135</v>
      </c>
      <c r="H188" s="44">
        <f t="shared" ref="H188:L188" si="99">H82+H83+H84+H85</f>
        <v>0</v>
      </c>
      <c r="I188" s="39">
        <f t="shared" si="99"/>
        <v>0</v>
      </c>
      <c r="J188" s="39">
        <f t="shared" si="99"/>
        <v>0</v>
      </c>
      <c r="K188" s="45">
        <f t="shared" si="99"/>
        <v>0</v>
      </c>
      <c r="L188" s="144">
        <f t="shared" si="99"/>
        <v>0</v>
      </c>
      <c r="M188" s="50">
        <f t="shared" si="87"/>
        <v>0</v>
      </c>
      <c r="N188" s="40">
        <f t="shared" si="88"/>
        <v>135</v>
      </c>
      <c r="O188" s="43">
        <f t="shared" si="89"/>
        <v>167.5</v>
      </c>
    </row>
    <row r="189" spans="1:15" ht="22.95" customHeight="1" x14ac:dyDescent="0.3">
      <c r="A189" s="52" t="s">
        <v>255</v>
      </c>
      <c r="B189" s="44">
        <f t="shared" si="90"/>
        <v>91</v>
      </c>
      <c r="C189" s="39">
        <f t="shared" si="90"/>
        <v>15</v>
      </c>
      <c r="D189" s="39">
        <f t="shared" si="90"/>
        <v>5</v>
      </c>
      <c r="E189" s="39">
        <f t="shared" si="90"/>
        <v>16</v>
      </c>
      <c r="F189" s="39">
        <f t="shared" si="90"/>
        <v>3</v>
      </c>
      <c r="G189" s="50">
        <f t="shared" si="84"/>
        <v>130</v>
      </c>
      <c r="H189" s="44">
        <f t="shared" ref="H189:L189" si="100">H83+H84+H85+H86</f>
        <v>0</v>
      </c>
      <c r="I189" s="39">
        <f t="shared" si="100"/>
        <v>0</v>
      </c>
      <c r="J189" s="39">
        <f t="shared" si="100"/>
        <v>0</v>
      </c>
      <c r="K189" s="45">
        <f t="shared" si="100"/>
        <v>0</v>
      </c>
      <c r="L189" s="144">
        <f t="shared" si="100"/>
        <v>0</v>
      </c>
      <c r="M189" s="50">
        <f t="shared" si="87"/>
        <v>0</v>
      </c>
      <c r="N189" s="40">
        <f t="shared" si="88"/>
        <v>130</v>
      </c>
      <c r="O189" s="43">
        <f t="shared" si="89"/>
        <v>167.5</v>
      </c>
    </row>
    <row r="190" spans="1:15" ht="22.95" customHeight="1" x14ac:dyDescent="0.3">
      <c r="A190" s="52" t="s">
        <v>256</v>
      </c>
      <c r="B190" s="44">
        <f t="shared" si="90"/>
        <v>86</v>
      </c>
      <c r="C190" s="39">
        <f t="shared" si="90"/>
        <v>15</v>
      </c>
      <c r="D190" s="39">
        <f t="shared" si="90"/>
        <v>5</v>
      </c>
      <c r="E190" s="39">
        <f t="shared" si="90"/>
        <v>20</v>
      </c>
      <c r="F190" s="39">
        <f t="shared" si="90"/>
        <v>3</v>
      </c>
      <c r="G190" s="50">
        <f t="shared" si="84"/>
        <v>129</v>
      </c>
      <c r="H190" s="44">
        <f t="shared" ref="H190:L190" si="101">H84+H85+H86+H87</f>
        <v>0</v>
      </c>
      <c r="I190" s="39">
        <f t="shared" si="101"/>
        <v>0</v>
      </c>
      <c r="J190" s="39">
        <f t="shared" si="101"/>
        <v>0</v>
      </c>
      <c r="K190" s="45">
        <f t="shared" si="101"/>
        <v>0</v>
      </c>
      <c r="L190" s="144">
        <f t="shared" si="101"/>
        <v>0</v>
      </c>
      <c r="M190" s="50">
        <f t="shared" si="87"/>
        <v>0</v>
      </c>
      <c r="N190" s="40">
        <f t="shared" si="88"/>
        <v>129</v>
      </c>
      <c r="O190" s="43">
        <f t="shared" si="89"/>
        <v>174.5</v>
      </c>
    </row>
    <row r="191" spans="1:15" ht="22.95" customHeight="1" x14ac:dyDescent="0.3">
      <c r="A191" s="52" t="s">
        <v>257</v>
      </c>
      <c r="B191" s="44">
        <f t="shared" si="90"/>
        <v>99</v>
      </c>
      <c r="C191" s="39">
        <f t="shared" si="90"/>
        <v>13</v>
      </c>
      <c r="D191" s="39">
        <f t="shared" si="90"/>
        <v>9</v>
      </c>
      <c r="E191" s="39">
        <f t="shared" si="90"/>
        <v>18</v>
      </c>
      <c r="F191" s="39">
        <f t="shared" si="90"/>
        <v>6</v>
      </c>
      <c r="G191" s="50">
        <f t="shared" si="84"/>
        <v>145</v>
      </c>
      <c r="H191" s="44">
        <f t="shared" ref="H191:L191" si="102">H85+H86+H87+H88</f>
        <v>0</v>
      </c>
      <c r="I191" s="39">
        <f t="shared" si="102"/>
        <v>0</v>
      </c>
      <c r="J191" s="39">
        <f t="shared" si="102"/>
        <v>0</v>
      </c>
      <c r="K191" s="45">
        <f t="shared" si="102"/>
        <v>0</v>
      </c>
      <c r="L191" s="144">
        <f t="shared" si="102"/>
        <v>0</v>
      </c>
      <c r="M191" s="50">
        <f t="shared" si="87"/>
        <v>0</v>
      </c>
      <c r="N191" s="40">
        <f t="shared" si="88"/>
        <v>145</v>
      </c>
      <c r="O191" s="43">
        <f t="shared" si="89"/>
        <v>200</v>
      </c>
    </row>
    <row r="192" spans="1:15" ht="22.95" customHeight="1" x14ac:dyDescent="0.3">
      <c r="A192" s="52" t="s">
        <v>258</v>
      </c>
      <c r="B192" s="44">
        <f t="shared" si="90"/>
        <v>105</v>
      </c>
      <c r="C192" s="39">
        <f t="shared" si="90"/>
        <v>17</v>
      </c>
      <c r="D192" s="39">
        <f t="shared" si="90"/>
        <v>12</v>
      </c>
      <c r="E192" s="39">
        <f t="shared" si="90"/>
        <v>18</v>
      </c>
      <c r="F192" s="39">
        <f t="shared" si="90"/>
        <v>8</v>
      </c>
      <c r="G192" s="50">
        <f t="shared" si="84"/>
        <v>160</v>
      </c>
      <c r="H192" s="44">
        <f t="shared" ref="H192:L192" si="103">H86+H87+H88+H89</f>
        <v>0</v>
      </c>
      <c r="I192" s="39">
        <f t="shared" si="103"/>
        <v>0</v>
      </c>
      <c r="J192" s="39">
        <f t="shared" si="103"/>
        <v>0</v>
      </c>
      <c r="K192" s="45">
        <f t="shared" si="103"/>
        <v>0</v>
      </c>
      <c r="L192" s="144">
        <f t="shared" si="103"/>
        <v>0</v>
      </c>
      <c r="M192" s="50">
        <f t="shared" si="87"/>
        <v>0</v>
      </c>
      <c r="N192" s="40">
        <f t="shared" si="88"/>
        <v>160</v>
      </c>
      <c r="O192" s="43">
        <f t="shared" si="89"/>
        <v>221.5</v>
      </c>
    </row>
    <row r="193" spans="1:15" ht="22.95" customHeight="1" x14ac:dyDescent="0.3">
      <c r="A193" s="52" t="s">
        <v>259</v>
      </c>
      <c r="B193" s="44">
        <f t="shared" si="90"/>
        <v>120</v>
      </c>
      <c r="C193" s="39">
        <f t="shared" si="90"/>
        <v>24</v>
      </c>
      <c r="D193" s="39">
        <f t="shared" si="90"/>
        <v>12</v>
      </c>
      <c r="E193" s="39">
        <f t="shared" si="90"/>
        <v>21</v>
      </c>
      <c r="F193" s="39">
        <f t="shared" si="90"/>
        <v>10</v>
      </c>
      <c r="G193" s="50">
        <f t="shared" si="84"/>
        <v>187</v>
      </c>
      <c r="H193" s="44">
        <f t="shared" ref="H193:L193" si="104">H87+H88+H89+H90</f>
        <v>0</v>
      </c>
      <c r="I193" s="39">
        <f t="shared" si="104"/>
        <v>0</v>
      </c>
      <c r="J193" s="39">
        <f t="shared" si="104"/>
        <v>0</v>
      </c>
      <c r="K193" s="45">
        <f t="shared" si="104"/>
        <v>0</v>
      </c>
      <c r="L193" s="144">
        <f t="shared" si="104"/>
        <v>0</v>
      </c>
      <c r="M193" s="50">
        <f t="shared" si="87"/>
        <v>0</v>
      </c>
      <c r="N193" s="40">
        <f t="shared" si="88"/>
        <v>187</v>
      </c>
      <c r="O193" s="43">
        <f t="shared" si="89"/>
        <v>258</v>
      </c>
    </row>
    <row r="194" spans="1:15" ht="22.95" customHeight="1" x14ac:dyDescent="0.3">
      <c r="A194" s="52" t="s">
        <v>260</v>
      </c>
      <c r="B194" s="44">
        <f t="shared" si="90"/>
        <v>130</v>
      </c>
      <c r="C194" s="39">
        <f t="shared" si="90"/>
        <v>29</v>
      </c>
      <c r="D194" s="39">
        <f t="shared" si="90"/>
        <v>13</v>
      </c>
      <c r="E194" s="39">
        <f t="shared" si="90"/>
        <v>24</v>
      </c>
      <c r="F194" s="39">
        <f t="shared" si="90"/>
        <v>8</v>
      </c>
      <c r="G194" s="50">
        <f t="shared" si="84"/>
        <v>204</v>
      </c>
      <c r="H194" s="44">
        <f t="shared" ref="H194:L194" si="105">H88+H89+H90+H91</f>
        <v>0</v>
      </c>
      <c r="I194" s="39">
        <f t="shared" si="105"/>
        <v>0</v>
      </c>
      <c r="J194" s="39">
        <f t="shared" si="105"/>
        <v>0</v>
      </c>
      <c r="K194" s="45">
        <f t="shared" si="105"/>
        <v>0</v>
      </c>
      <c r="L194" s="144">
        <f t="shared" si="105"/>
        <v>0</v>
      </c>
      <c r="M194" s="50">
        <f t="shared" si="87"/>
        <v>0</v>
      </c>
      <c r="N194" s="40">
        <f t="shared" si="88"/>
        <v>204</v>
      </c>
      <c r="O194" s="43">
        <f t="shared" si="89"/>
        <v>272</v>
      </c>
    </row>
    <row r="195" spans="1:15" ht="22.95" customHeight="1" x14ac:dyDescent="0.3">
      <c r="A195" s="52" t="s">
        <v>261</v>
      </c>
      <c r="B195" s="44">
        <f t="shared" si="90"/>
        <v>148</v>
      </c>
      <c r="C195" s="39">
        <f t="shared" si="90"/>
        <v>33</v>
      </c>
      <c r="D195" s="39">
        <f t="shared" si="90"/>
        <v>11</v>
      </c>
      <c r="E195" s="39">
        <f t="shared" si="90"/>
        <v>30</v>
      </c>
      <c r="F195" s="39">
        <f t="shared" si="90"/>
        <v>7</v>
      </c>
      <c r="G195" s="50">
        <f t="shared" si="84"/>
        <v>229</v>
      </c>
      <c r="H195" s="44">
        <f t="shared" ref="H195:L195" si="106">H89+H90+H91+H92</f>
        <v>1</v>
      </c>
      <c r="I195" s="39">
        <f t="shared" si="106"/>
        <v>0</v>
      </c>
      <c r="J195" s="39">
        <f t="shared" si="106"/>
        <v>0</v>
      </c>
      <c r="K195" s="45">
        <f t="shared" si="106"/>
        <v>0</v>
      </c>
      <c r="L195" s="144">
        <f t="shared" si="106"/>
        <v>1</v>
      </c>
      <c r="M195" s="50">
        <f t="shared" si="87"/>
        <v>1</v>
      </c>
      <c r="N195" s="40">
        <f t="shared" si="88"/>
        <v>230</v>
      </c>
      <c r="O195" s="43">
        <f t="shared" si="89"/>
        <v>311</v>
      </c>
    </row>
    <row r="196" spans="1:15" ht="22.95" customHeight="1" x14ac:dyDescent="0.3">
      <c r="A196" s="52" t="s">
        <v>270</v>
      </c>
      <c r="B196" s="44">
        <f t="shared" ref="B196:F206" si="107">B90+B91+B92+B93</f>
        <v>124</v>
      </c>
      <c r="C196" s="39">
        <f t="shared" si="107"/>
        <v>28</v>
      </c>
      <c r="D196" s="39">
        <f t="shared" si="107"/>
        <v>11</v>
      </c>
      <c r="E196" s="39">
        <f t="shared" si="107"/>
        <v>28</v>
      </c>
      <c r="F196" s="39">
        <f t="shared" si="107"/>
        <v>7</v>
      </c>
      <c r="G196" s="50">
        <f t="shared" si="84"/>
        <v>198</v>
      </c>
      <c r="H196" s="44">
        <f t="shared" ref="H196:L196" si="108">H90+H91+H92+H93</f>
        <v>1</v>
      </c>
      <c r="I196" s="39">
        <f t="shared" si="108"/>
        <v>0</v>
      </c>
      <c r="J196" s="39">
        <f t="shared" si="108"/>
        <v>0</v>
      </c>
      <c r="K196" s="45">
        <f t="shared" si="108"/>
        <v>0</v>
      </c>
      <c r="L196" s="144">
        <f t="shared" si="108"/>
        <v>1</v>
      </c>
      <c r="M196" s="50">
        <f t="shared" si="87"/>
        <v>1</v>
      </c>
      <c r="N196" s="40">
        <f t="shared" si="88"/>
        <v>199</v>
      </c>
      <c r="O196" s="43">
        <f t="shared" si="89"/>
        <v>278.5</v>
      </c>
    </row>
    <row r="197" spans="1:15" ht="22.95" customHeight="1" x14ac:dyDescent="0.3">
      <c r="A197" s="52" t="s">
        <v>271</v>
      </c>
      <c r="B197" s="44">
        <f t="shared" si="107"/>
        <v>152</v>
      </c>
      <c r="C197" s="39">
        <f t="shared" si="107"/>
        <v>39</v>
      </c>
      <c r="D197" s="39">
        <f t="shared" si="107"/>
        <v>11</v>
      </c>
      <c r="E197" s="39">
        <f t="shared" si="107"/>
        <v>26</v>
      </c>
      <c r="F197" s="39">
        <f t="shared" si="107"/>
        <v>6</v>
      </c>
      <c r="G197" s="50">
        <f t="shared" si="84"/>
        <v>234</v>
      </c>
      <c r="H197" s="44">
        <f t="shared" ref="H197:L197" si="109">H91+H92+H93+H94</f>
        <v>1</v>
      </c>
      <c r="I197" s="39">
        <f t="shared" si="109"/>
        <v>0</v>
      </c>
      <c r="J197" s="39">
        <f t="shared" si="109"/>
        <v>0</v>
      </c>
      <c r="K197" s="45">
        <f t="shared" si="109"/>
        <v>0</v>
      </c>
      <c r="L197" s="144">
        <f t="shared" si="109"/>
        <v>1</v>
      </c>
      <c r="M197" s="50">
        <f t="shared" si="87"/>
        <v>1</v>
      </c>
      <c r="N197" s="40">
        <f t="shared" si="88"/>
        <v>235</v>
      </c>
      <c r="O197" s="43">
        <f t="shared" si="89"/>
        <v>301.5</v>
      </c>
    </row>
    <row r="198" spans="1:15" ht="22.95" customHeight="1" x14ac:dyDescent="0.3">
      <c r="A198" s="52" t="s">
        <v>279</v>
      </c>
      <c r="B198" s="44">
        <f t="shared" si="107"/>
        <v>204</v>
      </c>
      <c r="C198" s="39">
        <f t="shared" si="107"/>
        <v>62</v>
      </c>
      <c r="D198" s="39">
        <f t="shared" si="107"/>
        <v>11</v>
      </c>
      <c r="E198" s="39">
        <f t="shared" si="107"/>
        <v>23</v>
      </c>
      <c r="F198" s="39">
        <f t="shared" si="107"/>
        <v>6</v>
      </c>
      <c r="G198" s="50">
        <f t="shared" si="84"/>
        <v>306</v>
      </c>
      <c r="H198" s="44">
        <f t="shared" ref="H198:L198" si="110">H92+H93+H94+H95</f>
        <v>1</v>
      </c>
      <c r="I198" s="39">
        <f t="shared" si="110"/>
        <v>0</v>
      </c>
      <c r="J198" s="39">
        <f t="shared" si="110"/>
        <v>0</v>
      </c>
      <c r="K198" s="45">
        <f t="shared" si="110"/>
        <v>0</v>
      </c>
      <c r="L198" s="144">
        <f t="shared" si="110"/>
        <v>1</v>
      </c>
      <c r="M198" s="50">
        <f t="shared" si="87"/>
        <v>1</v>
      </c>
      <c r="N198" s="40">
        <f t="shared" si="88"/>
        <v>307</v>
      </c>
      <c r="O198" s="43">
        <f t="shared" si="89"/>
        <v>356</v>
      </c>
    </row>
    <row r="199" spans="1:15" ht="22.95" customHeight="1" x14ac:dyDescent="0.3">
      <c r="A199" s="52" t="s">
        <v>62</v>
      </c>
      <c r="B199" s="44">
        <f t="shared" si="107"/>
        <v>223</v>
      </c>
      <c r="C199" s="39">
        <f t="shared" si="107"/>
        <v>84</v>
      </c>
      <c r="D199" s="39">
        <f t="shared" si="107"/>
        <v>11</v>
      </c>
      <c r="E199" s="39">
        <f t="shared" si="107"/>
        <v>24</v>
      </c>
      <c r="F199" s="39">
        <f t="shared" si="107"/>
        <v>5</v>
      </c>
      <c r="G199" s="50">
        <f t="shared" si="84"/>
        <v>347</v>
      </c>
      <c r="H199" s="44">
        <f t="shared" ref="H199:L199" si="111">H93+H94+H95+H96</f>
        <v>0</v>
      </c>
      <c r="I199" s="39">
        <f t="shared" si="111"/>
        <v>0</v>
      </c>
      <c r="J199" s="39">
        <f t="shared" si="111"/>
        <v>0</v>
      </c>
      <c r="K199" s="45">
        <f t="shared" si="111"/>
        <v>0</v>
      </c>
      <c r="L199" s="144">
        <f t="shared" si="111"/>
        <v>1</v>
      </c>
      <c r="M199" s="50">
        <f t="shared" si="87"/>
        <v>0</v>
      </c>
      <c r="N199" s="40">
        <f t="shared" si="88"/>
        <v>347</v>
      </c>
      <c r="O199" s="43">
        <f t="shared" si="89"/>
        <v>384</v>
      </c>
    </row>
    <row r="200" spans="1:15" ht="22.95" customHeight="1" x14ac:dyDescent="0.3">
      <c r="A200" s="52" t="s">
        <v>63</v>
      </c>
      <c r="B200" s="44">
        <f t="shared" si="107"/>
        <v>293</v>
      </c>
      <c r="C200" s="39">
        <f t="shared" si="107"/>
        <v>113</v>
      </c>
      <c r="D200" s="39">
        <f t="shared" si="107"/>
        <v>8</v>
      </c>
      <c r="E200" s="39">
        <f t="shared" si="107"/>
        <v>26</v>
      </c>
      <c r="F200" s="39">
        <f t="shared" si="107"/>
        <v>3</v>
      </c>
      <c r="G200" s="50">
        <f t="shared" si="84"/>
        <v>443</v>
      </c>
      <c r="H200" s="44">
        <f t="shared" ref="H200:L200" si="112">H94+H95+H96+H97</f>
        <v>0</v>
      </c>
      <c r="I200" s="39">
        <f t="shared" si="112"/>
        <v>0</v>
      </c>
      <c r="J200" s="39">
        <f t="shared" si="112"/>
        <v>0</v>
      </c>
      <c r="K200" s="45">
        <f t="shared" si="112"/>
        <v>0</v>
      </c>
      <c r="L200" s="144">
        <f t="shared" si="112"/>
        <v>1</v>
      </c>
      <c r="M200" s="50">
        <f t="shared" si="87"/>
        <v>0</v>
      </c>
      <c r="N200" s="40">
        <f t="shared" si="88"/>
        <v>443</v>
      </c>
      <c r="O200" s="43">
        <f t="shared" si="89"/>
        <v>461</v>
      </c>
    </row>
    <row r="201" spans="1:15" ht="22.95" customHeight="1" x14ac:dyDescent="0.3">
      <c r="A201" s="52" t="s">
        <v>64</v>
      </c>
      <c r="B201" s="44">
        <f t="shared" si="107"/>
        <v>311</v>
      </c>
      <c r="C201" s="39">
        <f t="shared" si="107"/>
        <v>126</v>
      </c>
      <c r="D201" s="39">
        <f t="shared" si="107"/>
        <v>8</v>
      </c>
      <c r="E201" s="39">
        <f t="shared" si="107"/>
        <v>24</v>
      </c>
      <c r="F201" s="39">
        <f t="shared" si="107"/>
        <v>2</v>
      </c>
      <c r="G201" s="50">
        <f t="shared" si="84"/>
        <v>471</v>
      </c>
      <c r="H201" s="44">
        <f t="shared" ref="H201:L201" si="113">H95+H96+H97+H98</f>
        <v>0</v>
      </c>
      <c r="I201" s="39">
        <f t="shared" si="113"/>
        <v>0</v>
      </c>
      <c r="J201" s="39">
        <f t="shared" si="113"/>
        <v>0</v>
      </c>
      <c r="K201" s="45">
        <f t="shared" si="113"/>
        <v>0</v>
      </c>
      <c r="L201" s="144">
        <f t="shared" si="113"/>
        <v>1</v>
      </c>
      <c r="M201" s="50">
        <f t="shared" si="87"/>
        <v>0</v>
      </c>
      <c r="N201" s="40">
        <f t="shared" si="88"/>
        <v>471</v>
      </c>
      <c r="O201" s="43">
        <f t="shared" si="89"/>
        <v>475</v>
      </c>
    </row>
    <row r="202" spans="1:15" ht="22.95" customHeight="1" x14ac:dyDescent="0.3">
      <c r="A202" s="52" t="s">
        <v>65</v>
      </c>
      <c r="B202" s="44">
        <f t="shared" si="107"/>
        <v>311</v>
      </c>
      <c r="C202" s="39">
        <f t="shared" si="107"/>
        <v>137</v>
      </c>
      <c r="D202" s="39">
        <f t="shared" si="107"/>
        <v>9</v>
      </c>
      <c r="E202" s="39">
        <f t="shared" si="107"/>
        <v>21</v>
      </c>
      <c r="F202" s="39">
        <f t="shared" si="107"/>
        <v>4</v>
      </c>
      <c r="G202" s="50">
        <f t="shared" si="84"/>
        <v>482</v>
      </c>
      <c r="H202" s="44">
        <f t="shared" ref="H202:L202" si="114">H96+H97+H98+H99</f>
        <v>0</v>
      </c>
      <c r="I202" s="39">
        <f t="shared" si="114"/>
        <v>0</v>
      </c>
      <c r="J202" s="39">
        <f t="shared" si="114"/>
        <v>0</v>
      </c>
      <c r="K202" s="45">
        <f t="shared" si="114"/>
        <v>0</v>
      </c>
      <c r="L202" s="144">
        <f t="shared" si="114"/>
        <v>3</v>
      </c>
      <c r="M202" s="50">
        <f t="shared" si="87"/>
        <v>0</v>
      </c>
      <c r="N202" s="40">
        <f t="shared" si="88"/>
        <v>482</v>
      </c>
      <c r="O202" s="43">
        <f t="shared" si="89"/>
        <v>498</v>
      </c>
    </row>
    <row r="203" spans="1:15" ht="22.95" customHeight="1" x14ac:dyDescent="0.3">
      <c r="A203" s="52" t="s">
        <v>66</v>
      </c>
      <c r="B203" s="44">
        <f t="shared" si="107"/>
        <v>362</v>
      </c>
      <c r="C203" s="39">
        <f t="shared" si="107"/>
        <v>149</v>
      </c>
      <c r="D203" s="39">
        <f t="shared" si="107"/>
        <v>14</v>
      </c>
      <c r="E203" s="39">
        <f t="shared" si="107"/>
        <v>20</v>
      </c>
      <c r="F203" s="39">
        <f t="shared" si="107"/>
        <v>8</v>
      </c>
      <c r="G203" s="50">
        <f t="shared" si="84"/>
        <v>553</v>
      </c>
      <c r="H203" s="44">
        <f t="shared" ref="H203:L203" si="115">H97+H98+H99+H100</f>
        <v>0</v>
      </c>
      <c r="I203" s="39">
        <f t="shared" si="115"/>
        <v>0</v>
      </c>
      <c r="J203" s="39">
        <f t="shared" si="115"/>
        <v>0</v>
      </c>
      <c r="K203" s="45">
        <f t="shared" si="115"/>
        <v>0</v>
      </c>
      <c r="L203" s="144">
        <f t="shared" si="115"/>
        <v>3</v>
      </c>
      <c r="M203" s="50">
        <f t="shared" si="87"/>
        <v>0</v>
      </c>
      <c r="N203" s="40">
        <f t="shared" si="88"/>
        <v>553</v>
      </c>
      <c r="O203" s="43">
        <f t="shared" si="89"/>
        <v>577.5</v>
      </c>
    </row>
    <row r="204" spans="1:15" ht="22.95" customHeight="1" x14ac:dyDescent="0.3">
      <c r="A204" s="52" t="s">
        <v>67</v>
      </c>
      <c r="B204" s="44">
        <f t="shared" si="107"/>
        <v>403</v>
      </c>
      <c r="C204" s="39">
        <f t="shared" si="107"/>
        <v>139</v>
      </c>
      <c r="D204" s="39">
        <f t="shared" si="107"/>
        <v>20</v>
      </c>
      <c r="E204" s="39">
        <f t="shared" si="107"/>
        <v>30</v>
      </c>
      <c r="F204" s="39">
        <f t="shared" si="107"/>
        <v>11</v>
      </c>
      <c r="G204" s="50">
        <f t="shared" si="84"/>
        <v>603</v>
      </c>
      <c r="H204" s="44">
        <f t="shared" ref="H204:L204" si="116">H98+H99+H100+H101</f>
        <v>0</v>
      </c>
      <c r="I204" s="39">
        <f t="shared" si="116"/>
        <v>0</v>
      </c>
      <c r="J204" s="39">
        <f t="shared" si="116"/>
        <v>0</v>
      </c>
      <c r="K204" s="45">
        <f t="shared" si="116"/>
        <v>0</v>
      </c>
      <c r="L204" s="144">
        <f t="shared" si="116"/>
        <v>3</v>
      </c>
      <c r="M204" s="50">
        <f t="shared" si="87"/>
        <v>0</v>
      </c>
      <c r="N204" s="40">
        <f t="shared" si="88"/>
        <v>603</v>
      </c>
      <c r="O204" s="43">
        <f t="shared" si="89"/>
        <v>666</v>
      </c>
    </row>
    <row r="205" spans="1:15" ht="22.95" customHeight="1" x14ac:dyDescent="0.3">
      <c r="A205" s="52" t="s">
        <v>68</v>
      </c>
      <c r="B205" s="44">
        <f t="shared" si="107"/>
        <v>421</v>
      </c>
      <c r="C205" s="39">
        <f t="shared" si="107"/>
        <v>138</v>
      </c>
      <c r="D205" s="39">
        <f t="shared" si="107"/>
        <v>23</v>
      </c>
      <c r="E205" s="39">
        <f t="shared" si="107"/>
        <v>43</v>
      </c>
      <c r="F205" s="39">
        <f t="shared" si="107"/>
        <v>12</v>
      </c>
      <c r="G205" s="50">
        <f t="shared" si="84"/>
        <v>637</v>
      </c>
      <c r="H205" s="44">
        <f t="shared" ref="H205:L205" si="117">H99+H100+H101+H102</f>
        <v>0</v>
      </c>
      <c r="I205" s="39">
        <f t="shared" si="117"/>
        <v>0</v>
      </c>
      <c r="J205" s="39">
        <f t="shared" si="117"/>
        <v>0</v>
      </c>
      <c r="K205" s="45">
        <f t="shared" si="117"/>
        <v>0</v>
      </c>
      <c r="L205" s="144">
        <f t="shared" si="117"/>
        <v>5</v>
      </c>
      <c r="M205" s="50">
        <f t="shared" si="87"/>
        <v>0</v>
      </c>
      <c r="N205" s="40">
        <f t="shared" si="88"/>
        <v>637</v>
      </c>
      <c r="O205" s="43">
        <f t="shared" si="89"/>
        <v>747.5</v>
      </c>
    </row>
    <row r="206" spans="1:15" ht="22.95" customHeight="1" thickBot="1" x14ac:dyDescent="0.35">
      <c r="A206" s="52" t="s">
        <v>69</v>
      </c>
      <c r="B206" s="46">
        <f t="shared" si="107"/>
        <v>442</v>
      </c>
      <c r="C206" s="47">
        <f t="shared" si="107"/>
        <v>127</v>
      </c>
      <c r="D206" s="47">
        <f t="shared" si="107"/>
        <v>23</v>
      </c>
      <c r="E206" s="47">
        <f t="shared" si="107"/>
        <v>51</v>
      </c>
      <c r="F206" s="47">
        <f t="shared" si="107"/>
        <v>11</v>
      </c>
      <c r="G206" s="50">
        <f t="shared" si="84"/>
        <v>654</v>
      </c>
      <c r="H206" s="44">
        <f t="shared" ref="H206:L206" si="118">H100+H101+H102+H103</f>
        <v>0</v>
      </c>
      <c r="I206" s="39">
        <f t="shared" si="118"/>
        <v>0</v>
      </c>
      <c r="J206" s="39">
        <f t="shared" si="118"/>
        <v>0</v>
      </c>
      <c r="K206" s="45">
        <f t="shared" si="118"/>
        <v>0</v>
      </c>
      <c r="L206" s="145">
        <f t="shared" si="118"/>
        <v>5</v>
      </c>
      <c r="M206" s="50">
        <f t="shared" si="87"/>
        <v>0</v>
      </c>
      <c r="N206" s="40">
        <f t="shared" si="88"/>
        <v>654</v>
      </c>
      <c r="O206" s="43">
        <f t="shared" si="89"/>
        <v>782.5</v>
      </c>
    </row>
  </sheetData>
  <mergeCells count="31">
    <mergeCell ref="A1:M1"/>
    <mergeCell ref="D6:D7"/>
    <mergeCell ref="E6:E7"/>
    <mergeCell ref="H6:H7"/>
    <mergeCell ref="I6:I7"/>
    <mergeCell ref="J6:J7"/>
    <mergeCell ref="K6:K7"/>
    <mergeCell ref="M6:M7"/>
    <mergeCell ref="A6:A7"/>
    <mergeCell ref="B6:B7"/>
    <mergeCell ref="F6:F7"/>
    <mergeCell ref="A112:A113"/>
    <mergeCell ref="C6:C7"/>
    <mergeCell ref="C112:C113"/>
    <mergeCell ref="D112:D113"/>
    <mergeCell ref="E112:E113"/>
    <mergeCell ref="B112:B113"/>
    <mergeCell ref="N6:N7"/>
    <mergeCell ref="O6:O7"/>
    <mergeCell ref="F112:F113"/>
    <mergeCell ref="G112:G113"/>
    <mergeCell ref="N112:N113"/>
    <mergeCell ref="O112:O113"/>
    <mergeCell ref="H112:H113"/>
    <mergeCell ref="I112:I113"/>
    <mergeCell ref="J112:J113"/>
    <mergeCell ref="K112:K113"/>
    <mergeCell ref="M112:M113"/>
    <mergeCell ref="L6:L7"/>
    <mergeCell ref="L112:L113"/>
    <mergeCell ref="G6:G7"/>
  </mergeCells>
  <pageMargins left="0.7" right="0.7" top="0.75" bottom="0.75" header="0.3" footer="0.3"/>
  <pageSetup paperSize="9" scale="29" orientation="portrait" r:id="rId1"/>
  <rowBreaks count="1" manualBreakCount="1">
    <brk id="106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9FFCC"/>
  </sheetPr>
  <dimension ref="A1:O206"/>
  <sheetViews>
    <sheetView view="pageBreakPreview" zoomScale="40" zoomScaleNormal="70" zoomScaleSheetLayoutView="40" workbookViewId="0">
      <selection activeCell="U27" sqref="U27"/>
    </sheetView>
  </sheetViews>
  <sheetFormatPr defaultColWidth="9" defaultRowHeight="15.6" x14ac:dyDescent="0.3"/>
  <cols>
    <col min="1" max="1" width="22.19921875" bestFit="1" customWidth="1"/>
    <col min="2" max="13" width="11.69921875" customWidth="1"/>
    <col min="14" max="14" width="15.19921875" bestFit="1" customWidth="1"/>
  </cols>
  <sheetData>
    <row r="1" spans="1:15" x14ac:dyDescent="0.3">
      <c r="A1" s="247" t="s">
        <v>99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</row>
    <row r="2" spans="1:15" s="4" customFormat="1" x14ac:dyDescent="0.3">
      <c r="A2" s="4" t="s">
        <v>103</v>
      </c>
      <c r="B2" s="4" t="str">
        <f>Summary!B2</f>
        <v>TMC-14 Number (D2)</v>
      </c>
    </row>
    <row r="3" spans="1:15" s="4" customFormat="1" x14ac:dyDescent="0.3">
      <c r="A3" s="4" t="s">
        <v>102</v>
      </c>
      <c r="B3" s="4" t="str">
        <f>Summary!B3</f>
        <v>D2</v>
      </c>
    </row>
    <row r="4" spans="1:15" s="4" customFormat="1" x14ac:dyDescent="0.3">
      <c r="A4" s="4" t="s">
        <v>104</v>
      </c>
      <c r="B4" s="4" t="str">
        <f>Summary!H16</f>
        <v>Chomu Pulia</v>
      </c>
      <c r="D4" s="4" t="s">
        <v>1</v>
      </c>
      <c r="E4" s="4" t="str">
        <f>Summary!J11</f>
        <v>Delhi</v>
      </c>
    </row>
    <row r="5" spans="1:15" ht="16.2" thickBot="1" x14ac:dyDescent="0.35"/>
    <row r="6" spans="1:15" ht="25.2" customHeight="1" x14ac:dyDescent="0.3">
      <c r="A6" s="252" t="s">
        <v>95</v>
      </c>
      <c r="B6" s="258" t="s">
        <v>280</v>
      </c>
      <c r="C6" s="254" t="s">
        <v>281</v>
      </c>
      <c r="D6" s="250" t="s">
        <v>282</v>
      </c>
      <c r="E6" s="260" t="s">
        <v>283</v>
      </c>
      <c r="F6" s="256" t="s">
        <v>284</v>
      </c>
      <c r="G6" s="250" t="s">
        <v>129</v>
      </c>
      <c r="H6" s="248" t="s">
        <v>150</v>
      </c>
      <c r="I6" s="250" t="s">
        <v>151</v>
      </c>
      <c r="J6" s="250" t="s">
        <v>285</v>
      </c>
      <c r="K6" s="248" t="s">
        <v>286</v>
      </c>
      <c r="L6" s="250" t="s">
        <v>287</v>
      </c>
      <c r="M6" s="250" t="s">
        <v>78</v>
      </c>
      <c r="N6" s="250" t="s">
        <v>131</v>
      </c>
      <c r="O6" s="250" t="s">
        <v>132</v>
      </c>
    </row>
    <row r="7" spans="1:15" ht="43.5" customHeight="1" thickBot="1" x14ac:dyDescent="0.35">
      <c r="A7" s="262"/>
      <c r="B7" s="263"/>
      <c r="C7" s="264"/>
      <c r="D7" s="265"/>
      <c r="E7" s="266"/>
      <c r="F7" s="267"/>
      <c r="G7" s="259"/>
      <c r="H7" s="268"/>
      <c r="I7" s="265"/>
      <c r="J7" s="265"/>
      <c r="K7" s="268"/>
      <c r="L7" s="265"/>
      <c r="M7" s="265"/>
      <c r="N7" s="251"/>
      <c r="O7" s="251"/>
    </row>
    <row r="8" spans="1:15" ht="22.5" customHeight="1" x14ac:dyDescent="0.3">
      <c r="A8" s="189" t="s">
        <v>177</v>
      </c>
      <c r="B8" s="192">
        <v>37</v>
      </c>
      <c r="C8" s="157">
        <v>10</v>
      </c>
      <c r="D8" s="157">
        <v>4</v>
      </c>
      <c r="E8" s="157">
        <v>4</v>
      </c>
      <c r="F8" s="193">
        <v>1</v>
      </c>
      <c r="G8" s="198">
        <f t="shared" ref="G8:G39" si="0">SUM(B8:F8)</f>
        <v>56</v>
      </c>
      <c r="H8" s="200">
        <v>0</v>
      </c>
      <c r="I8" s="201">
        <v>0</v>
      </c>
      <c r="J8" s="201">
        <v>0</v>
      </c>
      <c r="K8" s="201">
        <v>0</v>
      </c>
      <c r="L8" s="201">
        <v>1</v>
      </c>
      <c r="M8" s="202">
        <v>0</v>
      </c>
      <c r="N8" s="85">
        <f>G8+M8</f>
        <v>56</v>
      </c>
      <c r="O8" s="115">
        <f>B8*1+C8*0.5+D8*1.5+E8*3+F8*4.5+H8*0.5+I8*1.5+J8*3+K8*4+L8*8</f>
        <v>72.5</v>
      </c>
    </row>
    <row r="9" spans="1:15" ht="22.5" customHeight="1" x14ac:dyDescent="0.3">
      <c r="A9" s="190" t="s">
        <v>178</v>
      </c>
      <c r="B9" s="44">
        <v>16</v>
      </c>
      <c r="C9" s="39">
        <v>11</v>
      </c>
      <c r="D9" s="39">
        <v>3</v>
      </c>
      <c r="E9" s="39">
        <v>1</v>
      </c>
      <c r="F9" s="194">
        <v>1</v>
      </c>
      <c r="G9" s="196">
        <f t="shared" si="0"/>
        <v>32</v>
      </c>
      <c r="H9" s="203">
        <v>0</v>
      </c>
      <c r="I9" s="204">
        <v>1</v>
      </c>
      <c r="J9" s="204">
        <v>0</v>
      </c>
      <c r="K9" s="204">
        <v>0</v>
      </c>
      <c r="L9" s="204">
        <v>0</v>
      </c>
      <c r="M9" s="205">
        <v>0</v>
      </c>
      <c r="N9" s="85">
        <f t="shared" ref="N9:N72" si="1">G9+M9</f>
        <v>32</v>
      </c>
      <c r="O9" s="43">
        <f t="shared" ref="O9:O72" si="2">B9*1+C9*0.5+D9*1.5+E9*3+F9*4.5+H9*0.5+I9*1.5+J9*3+K9*4+L9*8</f>
        <v>35</v>
      </c>
    </row>
    <row r="10" spans="1:15" ht="22.5" customHeight="1" x14ac:dyDescent="0.3">
      <c r="A10" s="190" t="s">
        <v>179</v>
      </c>
      <c r="B10" s="44">
        <v>24</v>
      </c>
      <c r="C10" s="39">
        <v>14</v>
      </c>
      <c r="D10" s="39">
        <v>4</v>
      </c>
      <c r="E10" s="39">
        <v>0</v>
      </c>
      <c r="F10" s="194">
        <v>1</v>
      </c>
      <c r="G10" s="196">
        <f t="shared" si="0"/>
        <v>43</v>
      </c>
      <c r="H10" s="203">
        <v>0</v>
      </c>
      <c r="I10" s="204">
        <v>0</v>
      </c>
      <c r="J10" s="204">
        <v>0</v>
      </c>
      <c r="K10" s="204">
        <v>0</v>
      </c>
      <c r="L10" s="204">
        <v>0</v>
      </c>
      <c r="M10" s="205">
        <v>0</v>
      </c>
      <c r="N10" s="85">
        <f t="shared" si="1"/>
        <v>43</v>
      </c>
      <c r="O10" s="43">
        <f t="shared" si="2"/>
        <v>41.5</v>
      </c>
    </row>
    <row r="11" spans="1:15" ht="22.5" customHeight="1" x14ac:dyDescent="0.3">
      <c r="A11" s="190" t="s">
        <v>180</v>
      </c>
      <c r="B11" s="44">
        <v>32</v>
      </c>
      <c r="C11" s="39">
        <v>17</v>
      </c>
      <c r="D11" s="39">
        <v>2</v>
      </c>
      <c r="E11" s="39">
        <v>1</v>
      </c>
      <c r="F11" s="194">
        <v>1</v>
      </c>
      <c r="G11" s="196">
        <f t="shared" si="0"/>
        <v>53</v>
      </c>
      <c r="H11" s="203">
        <v>1</v>
      </c>
      <c r="I11" s="204">
        <v>0</v>
      </c>
      <c r="J11" s="204">
        <v>0</v>
      </c>
      <c r="K11" s="204">
        <v>0</v>
      </c>
      <c r="L11" s="204">
        <v>0</v>
      </c>
      <c r="M11" s="205">
        <v>0</v>
      </c>
      <c r="N11" s="85">
        <f t="shared" si="1"/>
        <v>53</v>
      </c>
      <c r="O11" s="43">
        <f t="shared" si="2"/>
        <v>51.5</v>
      </c>
    </row>
    <row r="12" spans="1:15" ht="22.5" customHeight="1" x14ac:dyDescent="0.3">
      <c r="A12" s="190" t="s">
        <v>181</v>
      </c>
      <c r="B12" s="44">
        <v>23</v>
      </c>
      <c r="C12" s="39">
        <v>13</v>
      </c>
      <c r="D12" s="39">
        <v>2</v>
      </c>
      <c r="E12" s="39">
        <v>1</v>
      </c>
      <c r="F12" s="194">
        <v>3</v>
      </c>
      <c r="G12" s="196">
        <f t="shared" si="0"/>
        <v>42</v>
      </c>
      <c r="H12" s="203">
        <v>0</v>
      </c>
      <c r="I12" s="204">
        <v>0</v>
      </c>
      <c r="J12" s="204">
        <v>0</v>
      </c>
      <c r="K12" s="204">
        <v>0</v>
      </c>
      <c r="L12" s="204">
        <v>2</v>
      </c>
      <c r="M12" s="205">
        <v>0</v>
      </c>
      <c r="N12" s="85">
        <f t="shared" si="1"/>
        <v>42</v>
      </c>
      <c r="O12" s="43">
        <f t="shared" si="2"/>
        <v>65</v>
      </c>
    </row>
    <row r="13" spans="1:15" ht="22.5" customHeight="1" x14ac:dyDescent="0.3">
      <c r="A13" s="190" t="s">
        <v>182</v>
      </c>
      <c r="B13" s="44">
        <v>33</v>
      </c>
      <c r="C13" s="39">
        <v>17</v>
      </c>
      <c r="D13" s="39">
        <v>0</v>
      </c>
      <c r="E13" s="39">
        <v>1</v>
      </c>
      <c r="F13" s="194">
        <v>0</v>
      </c>
      <c r="G13" s="196">
        <f t="shared" si="0"/>
        <v>51</v>
      </c>
      <c r="H13" s="203">
        <v>0</v>
      </c>
      <c r="I13" s="204">
        <v>0</v>
      </c>
      <c r="J13" s="204">
        <v>0</v>
      </c>
      <c r="K13" s="204">
        <v>0</v>
      </c>
      <c r="L13" s="204">
        <v>0</v>
      </c>
      <c r="M13" s="205">
        <v>0</v>
      </c>
      <c r="N13" s="85">
        <f t="shared" si="1"/>
        <v>51</v>
      </c>
      <c r="O13" s="43">
        <f t="shared" si="2"/>
        <v>44.5</v>
      </c>
    </row>
    <row r="14" spans="1:15" ht="22.5" customHeight="1" x14ac:dyDescent="0.3">
      <c r="A14" s="190" t="s">
        <v>183</v>
      </c>
      <c r="B14" s="44">
        <v>25</v>
      </c>
      <c r="C14" s="39">
        <v>9</v>
      </c>
      <c r="D14" s="39">
        <v>2</v>
      </c>
      <c r="E14" s="39">
        <v>3</v>
      </c>
      <c r="F14" s="194">
        <v>1</v>
      </c>
      <c r="G14" s="196">
        <f t="shared" si="0"/>
        <v>40</v>
      </c>
      <c r="H14" s="203">
        <v>0</v>
      </c>
      <c r="I14" s="204">
        <v>0</v>
      </c>
      <c r="J14" s="204">
        <v>0</v>
      </c>
      <c r="K14" s="204">
        <v>0</v>
      </c>
      <c r="L14" s="204">
        <v>0</v>
      </c>
      <c r="M14" s="205">
        <v>0</v>
      </c>
      <c r="N14" s="85">
        <f t="shared" si="1"/>
        <v>40</v>
      </c>
      <c r="O14" s="43">
        <f t="shared" si="2"/>
        <v>46</v>
      </c>
    </row>
    <row r="15" spans="1:15" ht="22.5" customHeight="1" x14ac:dyDescent="0.3">
      <c r="A15" s="190" t="s">
        <v>184</v>
      </c>
      <c r="B15" s="44">
        <v>31</v>
      </c>
      <c r="C15" s="39">
        <v>19</v>
      </c>
      <c r="D15" s="39">
        <v>0</v>
      </c>
      <c r="E15" s="39">
        <v>1</v>
      </c>
      <c r="F15" s="194">
        <v>0</v>
      </c>
      <c r="G15" s="196">
        <f t="shared" si="0"/>
        <v>51</v>
      </c>
      <c r="H15" s="203">
        <v>0</v>
      </c>
      <c r="I15" s="204">
        <v>0</v>
      </c>
      <c r="J15" s="204">
        <v>0</v>
      </c>
      <c r="K15" s="204">
        <v>0</v>
      </c>
      <c r="L15" s="204">
        <v>0</v>
      </c>
      <c r="M15" s="205">
        <v>0</v>
      </c>
      <c r="N15" s="85">
        <f t="shared" si="1"/>
        <v>51</v>
      </c>
      <c r="O15" s="43">
        <f t="shared" si="2"/>
        <v>43.5</v>
      </c>
    </row>
    <row r="16" spans="1:15" ht="22.5" customHeight="1" x14ac:dyDescent="0.3">
      <c r="A16" s="190" t="s">
        <v>185</v>
      </c>
      <c r="B16" s="44">
        <v>25</v>
      </c>
      <c r="C16" s="39">
        <v>12</v>
      </c>
      <c r="D16" s="39">
        <v>5</v>
      </c>
      <c r="E16" s="39">
        <v>0</v>
      </c>
      <c r="F16" s="194">
        <v>1</v>
      </c>
      <c r="G16" s="196">
        <f t="shared" si="0"/>
        <v>43</v>
      </c>
      <c r="H16" s="203">
        <v>0</v>
      </c>
      <c r="I16" s="204">
        <v>0</v>
      </c>
      <c r="J16" s="204">
        <v>0</v>
      </c>
      <c r="K16" s="204">
        <v>0</v>
      </c>
      <c r="L16" s="204">
        <v>0</v>
      </c>
      <c r="M16" s="205">
        <v>0</v>
      </c>
      <c r="N16" s="85">
        <f t="shared" si="1"/>
        <v>43</v>
      </c>
      <c r="O16" s="43">
        <f t="shared" si="2"/>
        <v>43</v>
      </c>
    </row>
    <row r="17" spans="1:15" ht="22.5" customHeight="1" x14ac:dyDescent="0.3">
      <c r="A17" s="190" t="s">
        <v>186</v>
      </c>
      <c r="B17" s="44">
        <v>32</v>
      </c>
      <c r="C17" s="39">
        <v>22</v>
      </c>
      <c r="D17" s="39">
        <v>0</v>
      </c>
      <c r="E17" s="39">
        <v>0</v>
      </c>
      <c r="F17" s="194">
        <v>1</v>
      </c>
      <c r="G17" s="196">
        <f t="shared" si="0"/>
        <v>55</v>
      </c>
      <c r="H17" s="203">
        <v>0</v>
      </c>
      <c r="I17" s="204">
        <v>0</v>
      </c>
      <c r="J17" s="204">
        <v>0</v>
      </c>
      <c r="K17" s="204">
        <v>0</v>
      </c>
      <c r="L17" s="204">
        <v>1</v>
      </c>
      <c r="M17" s="205">
        <v>0</v>
      </c>
      <c r="N17" s="85">
        <f t="shared" si="1"/>
        <v>55</v>
      </c>
      <c r="O17" s="43">
        <f t="shared" si="2"/>
        <v>55.5</v>
      </c>
    </row>
    <row r="18" spans="1:15" ht="22.5" customHeight="1" x14ac:dyDescent="0.3">
      <c r="A18" s="190" t="s">
        <v>187</v>
      </c>
      <c r="B18" s="44">
        <v>36</v>
      </c>
      <c r="C18" s="39">
        <v>16</v>
      </c>
      <c r="D18" s="39">
        <v>0</v>
      </c>
      <c r="E18" s="39">
        <v>1</v>
      </c>
      <c r="F18" s="194">
        <v>2</v>
      </c>
      <c r="G18" s="196">
        <f t="shared" si="0"/>
        <v>55</v>
      </c>
      <c r="H18" s="203">
        <v>0</v>
      </c>
      <c r="I18" s="204">
        <v>0</v>
      </c>
      <c r="J18" s="204">
        <v>0</v>
      </c>
      <c r="K18" s="204">
        <v>0</v>
      </c>
      <c r="L18" s="204">
        <v>0</v>
      </c>
      <c r="M18" s="205">
        <v>0</v>
      </c>
      <c r="N18" s="85">
        <f t="shared" si="1"/>
        <v>55</v>
      </c>
      <c r="O18" s="43">
        <f t="shared" si="2"/>
        <v>56</v>
      </c>
    </row>
    <row r="19" spans="1:15" ht="22.5" customHeight="1" x14ac:dyDescent="0.3">
      <c r="A19" s="190" t="s">
        <v>188</v>
      </c>
      <c r="B19" s="44">
        <v>40</v>
      </c>
      <c r="C19" s="39">
        <v>14</v>
      </c>
      <c r="D19" s="39">
        <v>2</v>
      </c>
      <c r="E19" s="39">
        <v>0</v>
      </c>
      <c r="F19" s="194">
        <v>3</v>
      </c>
      <c r="G19" s="196">
        <f t="shared" si="0"/>
        <v>59</v>
      </c>
      <c r="H19" s="203">
        <v>0</v>
      </c>
      <c r="I19" s="204">
        <v>0</v>
      </c>
      <c r="J19" s="204">
        <v>0</v>
      </c>
      <c r="K19" s="204">
        <v>0</v>
      </c>
      <c r="L19" s="204">
        <v>0</v>
      </c>
      <c r="M19" s="205">
        <v>0</v>
      </c>
      <c r="N19" s="85">
        <f t="shared" si="1"/>
        <v>59</v>
      </c>
      <c r="O19" s="43">
        <f t="shared" si="2"/>
        <v>63.5</v>
      </c>
    </row>
    <row r="20" spans="1:15" ht="22.5" customHeight="1" x14ac:dyDescent="0.3">
      <c r="A20" s="190" t="s">
        <v>189</v>
      </c>
      <c r="B20" s="44">
        <v>37</v>
      </c>
      <c r="C20" s="39">
        <v>11</v>
      </c>
      <c r="D20" s="39">
        <v>1</v>
      </c>
      <c r="E20" s="39">
        <v>0</v>
      </c>
      <c r="F20" s="194">
        <v>2</v>
      </c>
      <c r="G20" s="196">
        <f t="shared" si="0"/>
        <v>51</v>
      </c>
      <c r="H20" s="203">
        <v>0</v>
      </c>
      <c r="I20" s="204">
        <v>0</v>
      </c>
      <c r="J20" s="204">
        <v>0</v>
      </c>
      <c r="K20" s="204">
        <v>0</v>
      </c>
      <c r="L20" s="204">
        <v>0</v>
      </c>
      <c r="M20" s="205">
        <v>0</v>
      </c>
      <c r="N20" s="85">
        <f t="shared" si="1"/>
        <v>51</v>
      </c>
      <c r="O20" s="43">
        <f t="shared" si="2"/>
        <v>53</v>
      </c>
    </row>
    <row r="21" spans="1:15" ht="22.5" customHeight="1" x14ac:dyDescent="0.3">
      <c r="A21" s="190" t="s">
        <v>190</v>
      </c>
      <c r="B21" s="44">
        <v>34</v>
      </c>
      <c r="C21" s="39">
        <v>19</v>
      </c>
      <c r="D21" s="39">
        <v>1</v>
      </c>
      <c r="E21" s="39">
        <v>0</v>
      </c>
      <c r="F21" s="194">
        <v>5</v>
      </c>
      <c r="G21" s="196">
        <f t="shared" si="0"/>
        <v>59</v>
      </c>
      <c r="H21" s="203">
        <v>0</v>
      </c>
      <c r="I21" s="204">
        <v>0</v>
      </c>
      <c r="J21" s="204">
        <v>0</v>
      </c>
      <c r="K21" s="204">
        <v>0</v>
      </c>
      <c r="L21" s="204">
        <v>2</v>
      </c>
      <c r="M21" s="205">
        <v>0</v>
      </c>
      <c r="N21" s="85">
        <f t="shared" si="1"/>
        <v>59</v>
      </c>
      <c r="O21" s="43">
        <f t="shared" si="2"/>
        <v>83.5</v>
      </c>
    </row>
    <row r="22" spans="1:15" ht="22.5" customHeight="1" x14ac:dyDescent="0.3">
      <c r="A22" s="190" t="s">
        <v>191</v>
      </c>
      <c r="B22" s="44">
        <v>28</v>
      </c>
      <c r="C22" s="39">
        <v>19</v>
      </c>
      <c r="D22" s="39">
        <v>3</v>
      </c>
      <c r="E22" s="39">
        <v>0</v>
      </c>
      <c r="F22" s="194">
        <v>4</v>
      </c>
      <c r="G22" s="196">
        <f t="shared" si="0"/>
        <v>54</v>
      </c>
      <c r="H22" s="203">
        <v>0</v>
      </c>
      <c r="I22" s="204">
        <v>0</v>
      </c>
      <c r="J22" s="204">
        <v>0</v>
      </c>
      <c r="K22" s="204">
        <v>0</v>
      </c>
      <c r="L22" s="204">
        <v>0</v>
      </c>
      <c r="M22" s="205">
        <v>0</v>
      </c>
      <c r="N22" s="85">
        <f t="shared" si="1"/>
        <v>54</v>
      </c>
      <c r="O22" s="43">
        <f t="shared" si="2"/>
        <v>60</v>
      </c>
    </row>
    <row r="23" spans="1:15" ht="22.5" customHeight="1" x14ac:dyDescent="0.3">
      <c r="A23" s="190" t="s">
        <v>192</v>
      </c>
      <c r="B23" s="44">
        <v>31</v>
      </c>
      <c r="C23" s="39">
        <v>24</v>
      </c>
      <c r="D23" s="39">
        <v>3</v>
      </c>
      <c r="E23" s="39">
        <v>0</v>
      </c>
      <c r="F23" s="194">
        <v>4</v>
      </c>
      <c r="G23" s="196">
        <f t="shared" si="0"/>
        <v>62</v>
      </c>
      <c r="H23" s="203">
        <v>0</v>
      </c>
      <c r="I23" s="204">
        <v>0</v>
      </c>
      <c r="J23" s="204">
        <v>0</v>
      </c>
      <c r="K23" s="204">
        <v>0</v>
      </c>
      <c r="L23" s="204">
        <v>0</v>
      </c>
      <c r="M23" s="205">
        <v>0</v>
      </c>
      <c r="N23" s="85">
        <f t="shared" si="1"/>
        <v>62</v>
      </c>
      <c r="O23" s="43">
        <f t="shared" si="2"/>
        <v>65.5</v>
      </c>
    </row>
    <row r="24" spans="1:15" ht="22.5" customHeight="1" x14ac:dyDescent="0.3">
      <c r="A24" s="190" t="s">
        <v>193</v>
      </c>
      <c r="B24" s="44">
        <v>32</v>
      </c>
      <c r="C24" s="39">
        <v>13</v>
      </c>
      <c r="D24" s="39">
        <v>2</v>
      </c>
      <c r="E24" s="39">
        <v>3</v>
      </c>
      <c r="F24" s="194">
        <v>0</v>
      </c>
      <c r="G24" s="196">
        <f t="shared" si="0"/>
        <v>50</v>
      </c>
      <c r="H24" s="203">
        <v>0</v>
      </c>
      <c r="I24" s="204">
        <v>0</v>
      </c>
      <c r="J24" s="204">
        <v>0</v>
      </c>
      <c r="K24" s="204">
        <v>0</v>
      </c>
      <c r="L24" s="204">
        <v>0</v>
      </c>
      <c r="M24" s="205">
        <v>0</v>
      </c>
      <c r="N24" s="85">
        <f t="shared" si="1"/>
        <v>50</v>
      </c>
      <c r="O24" s="43">
        <f t="shared" si="2"/>
        <v>50.5</v>
      </c>
    </row>
    <row r="25" spans="1:15" ht="22.5" customHeight="1" x14ac:dyDescent="0.3">
      <c r="A25" s="190" t="s">
        <v>194</v>
      </c>
      <c r="B25" s="44">
        <v>31</v>
      </c>
      <c r="C25" s="39">
        <v>21</v>
      </c>
      <c r="D25" s="39">
        <v>1</v>
      </c>
      <c r="E25" s="39">
        <v>3</v>
      </c>
      <c r="F25" s="194">
        <v>0</v>
      </c>
      <c r="G25" s="196">
        <f t="shared" si="0"/>
        <v>56</v>
      </c>
      <c r="H25" s="203">
        <v>0</v>
      </c>
      <c r="I25" s="204">
        <v>0</v>
      </c>
      <c r="J25" s="204">
        <v>0</v>
      </c>
      <c r="K25" s="204">
        <v>0</v>
      </c>
      <c r="L25" s="204">
        <v>2</v>
      </c>
      <c r="M25" s="205">
        <v>0</v>
      </c>
      <c r="N25" s="85">
        <f t="shared" si="1"/>
        <v>56</v>
      </c>
      <c r="O25" s="43">
        <f t="shared" si="2"/>
        <v>68</v>
      </c>
    </row>
    <row r="26" spans="1:15" ht="22.5" customHeight="1" x14ac:dyDescent="0.3">
      <c r="A26" s="190" t="s">
        <v>195</v>
      </c>
      <c r="B26" s="44">
        <v>44</v>
      </c>
      <c r="C26" s="39">
        <v>30</v>
      </c>
      <c r="D26" s="39">
        <v>2</v>
      </c>
      <c r="E26" s="39">
        <v>0</v>
      </c>
      <c r="F26" s="194">
        <v>1</v>
      </c>
      <c r="G26" s="196">
        <f t="shared" si="0"/>
        <v>77</v>
      </c>
      <c r="H26" s="203">
        <v>0</v>
      </c>
      <c r="I26" s="204">
        <v>0</v>
      </c>
      <c r="J26" s="204">
        <v>0</v>
      </c>
      <c r="K26" s="204">
        <v>0</v>
      </c>
      <c r="L26" s="204">
        <v>1</v>
      </c>
      <c r="M26" s="205">
        <v>0</v>
      </c>
      <c r="N26" s="85">
        <f t="shared" si="1"/>
        <v>77</v>
      </c>
      <c r="O26" s="43">
        <f t="shared" si="2"/>
        <v>74.5</v>
      </c>
    </row>
    <row r="27" spans="1:15" ht="22.5" customHeight="1" x14ac:dyDescent="0.3">
      <c r="A27" s="190" t="s">
        <v>196</v>
      </c>
      <c r="B27" s="44">
        <v>70</v>
      </c>
      <c r="C27" s="39">
        <v>22</v>
      </c>
      <c r="D27" s="39">
        <v>4</v>
      </c>
      <c r="E27" s="39">
        <v>0</v>
      </c>
      <c r="F27" s="194">
        <v>1</v>
      </c>
      <c r="G27" s="196">
        <f t="shared" si="0"/>
        <v>97</v>
      </c>
      <c r="H27" s="203">
        <v>0</v>
      </c>
      <c r="I27" s="204">
        <v>0</v>
      </c>
      <c r="J27" s="204">
        <v>0</v>
      </c>
      <c r="K27" s="204">
        <v>0</v>
      </c>
      <c r="L27" s="204">
        <v>0</v>
      </c>
      <c r="M27" s="205">
        <v>0</v>
      </c>
      <c r="N27" s="85">
        <f t="shared" si="1"/>
        <v>97</v>
      </c>
      <c r="O27" s="43">
        <f t="shared" si="2"/>
        <v>91.5</v>
      </c>
    </row>
    <row r="28" spans="1:15" ht="22.5" customHeight="1" x14ac:dyDescent="0.3">
      <c r="A28" s="190" t="s">
        <v>197</v>
      </c>
      <c r="B28" s="44">
        <v>63</v>
      </c>
      <c r="C28" s="39">
        <v>22</v>
      </c>
      <c r="D28" s="39">
        <v>1</v>
      </c>
      <c r="E28" s="39">
        <v>0</v>
      </c>
      <c r="F28" s="194">
        <v>1</v>
      </c>
      <c r="G28" s="196">
        <f t="shared" si="0"/>
        <v>87</v>
      </c>
      <c r="H28" s="203">
        <v>0</v>
      </c>
      <c r="I28" s="204">
        <v>0</v>
      </c>
      <c r="J28" s="204">
        <v>0</v>
      </c>
      <c r="K28" s="204">
        <v>0</v>
      </c>
      <c r="L28" s="204">
        <v>0</v>
      </c>
      <c r="M28" s="205">
        <v>0</v>
      </c>
      <c r="N28" s="85">
        <f t="shared" si="1"/>
        <v>87</v>
      </c>
      <c r="O28" s="43">
        <f t="shared" si="2"/>
        <v>80</v>
      </c>
    </row>
    <row r="29" spans="1:15" ht="22.5" customHeight="1" x14ac:dyDescent="0.3">
      <c r="A29" s="190" t="s">
        <v>198</v>
      </c>
      <c r="B29" s="44">
        <v>63</v>
      </c>
      <c r="C29" s="39">
        <v>26</v>
      </c>
      <c r="D29" s="39">
        <v>1</v>
      </c>
      <c r="E29" s="39">
        <v>2</v>
      </c>
      <c r="F29" s="194">
        <v>1</v>
      </c>
      <c r="G29" s="196">
        <f t="shared" si="0"/>
        <v>93</v>
      </c>
      <c r="H29" s="203">
        <v>0</v>
      </c>
      <c r="I29" s="204">
        <v>0</v>
      </c>
      <c r="J29" s="204">
        <v>0</v>
      </c>
      <c r="K29" s="204">
        <v>0</v>
      </c>
      <c r="L29" s="204">
        <v>0</v>
      </c>
      <c r="M29" s="205">
        <v>0</v>
      </c>
      <c r="N29" s="85">
        <f t="shared" si="1"/>
        <v>93</v>
      </c>
      <c r="O29" s="43">
        <f t="shared" si="2"/>
        <v>88</v>
      </c>
    </row>
    <row r="30" spans="1:15" ht="22.5" customHeight="1" x14ac:dyDescent="0.3">
      <c r="A30" s="190" t="s">
        <v>199</v>
      </c>
      <c r="B30" s="44">
        <v>80</v>
      </c>
      <c r="C30" s="39">
        <v>19</v>
      </c>
      <c r="D30" s="39">
        <v>2</v>
      </c>
      <c r="E30" s="39">
        <v>3</v>
      </c>
      <c r="F30" s="194">
        <v>3</v>
      </c>
      <c r="G30" s="196">
        <f t="shared" si="0"/>
        <v>107</v>
      </c>
      <c r="H30" s="203">
        <v>0</v>
      </c>
      <c r="I30" s="204">
        <v>0</v>
      </c>
      <c r="J30" s="204">
        <v>0</v>
      </c>
      <c r="K30" s="204">
        <v>0</v>
      </c>
      <c r="L30" s="204">
        <v>2</v>
      </c>
      <c r="M30" s="205">
        <v>1</v>
      </c>
      <c r="N30" s="85">
        <f t="shared" si="1"/>
        <v>108</v>
      </c>
      <c r="O30" s="43">
        <f t="shared" si="2"/>
        <v>131</v>
      </c>
    </row>
    <row r="31" spans="1:15" ht="22.5" customHeight="1" x14ac:dyDescent="0.3">
      <c r="A31" s="190" t="s">
        <v>200</v>
      </c>
      <c r="B31" s="44">
        <v>83</v>
      </c>
      <c r="C31" s="39">
        <v>18</v>
      </c>
      <c r="D31" s="39">
        <v>3</v>
      </c>
      <c r="E31" s="39">
        <v>1</v>
      </c>
      <c r="F31" s="194">
        <v>2</v>
      </c>
      <c r="G31" s="196">
        <f t="shared" si="0"/>
        <v>107</v>
      </c>
      <c r="H31" s="203">
        <v>0</v>
      </c>
      <c r="I31" s="204">
        <v>0</v>
      </c>
      <c r="J31" s="204">
        <v>0</v>
      </c>
      <c r="K31" s="204">
        <v>0</v>
      </c>
      <c r="L31" s="204">
        <v>2</v>
      </c>
      <c r="M31" s="205">
        <v>0</v>
      </c>
      <c r="N31" s="85">
        <f t="shared" si="1"/>
        <v>107</v>
      </c>
      <c r="O31" s="43">
        <f t="shared" si="2"/>
        <v>124.5</v>
      </c>
    </row>
    <row r="32" spans="1:15" ht="22.5" customHeight="1" x14ac:dyDescent="0.3">
      <c r="A32" s="190" t="s">
        <v>201</v>
      </c>
      <c r="B32" s="44">
        <v>51</v>
      </c>
      <c r="C32" s="39">
        <v>26</v>
      </c>
      <c r="D32" s="39">
        <v>3</v>
      </c>
      <c r="E32" s="39">
        <v>0</v>
      </c>
      <c r="F32" s="194">
        <v>0</v>
      </c>
      <c r="G32" s="196">
        <f t="shared" si="0"/>
        <v>80</v>
      </c>
      <c r="H32" s="203">
        <v>0</v>
      </c>
      <c r="I32" s="204">
        <v>0</v>
      </c>
      <c r="J32" s="204">
        <v>0</v>
      </c>
      <c r="K32" s="204">
        <v>0</v>
      </c>
      <c r="L32" s="204">
        <v>0</v>
      </c>
      <c r="M32" s="205">
        <v>0</v>
      </c>
      <c r="N32" s="85">
        <f t="shared" si="1"/>
        <v>80</v>
      </c>
      <c r="O32" s="43">
        <f t="shared" si="2"/>
        <v>68.5</v>
      </c>
    </row>
    <row r="33" spans="1:15" ht="22.5" customHeight="1" x14ac:dyDescent="0.3">
      <c r="A33" s="190" t="s">
        <v>202</v>
      </c>
      <c r="B33" s="44">
        <v>43</v>
      </c>
      <c r="C33" s="39">
        <v>31</v>
      </c>
      <c r="D33" s="39">
        <v>1</v>
      </c>
      <c r="E33" s="39">
        <v>2</v>
      </c>
      <c r="F33" s="194">
        <v>0</v>
      </c>
      <c r="G33" s="196">
        <f t="shared" si="0"/>
        <v>77</v>
      </c>
      <c r="H33" s="203">
        <v>0</v>
      </c>
      <c r="I33" s="204">
        <v>0</v>
      </c>
      <c r="J33" s="204">
        <v>0</v>
      </c>
      <c r="K33" s="204">
        <v>0</v>
      </c>
      <c r="L33" s="204">
        <v>0</v>
      </c>
      <c r="M33" s="205">
        <v>0</v>
      </c>
      <c r="N33" s="85">
        <f t="shared" si="1"/>
        <v>77</v>
      </c>
      <c r="O33" s="43">
        <f t="shared" si="2"/>
        <v>66</v>
      </c>
    </row>
    <row r="34" spans="1:15" ht="22.5" customHeight="1" x14ac:dyDescent="0.3">
      <c r="A34" s="190" t="s">
        <v>203</v>
      </c>
      <c r="B34" s="44">
        <v>50</v>
      </c>
      <c r="C34" s="39">
        <v>15</v>
      </c>
      <c r="D34" s="39">
        <v>2</v>
      </c>
      <c r="E34" s="39">
        <v>1</v>
      </c>
      <c r="F34" s="194">
        <v>1</v>
      </c>
      <c r="G34" s="196">
        <f t="shared" si="0"/>
        <v>69</v>
      </c>
      <c r="H34" s="203">
        <v>0</v>
      </c>
      <c r="I34" s="204">
        <v>0</v>
      </c>
      <c r="J34" s="204">
        <v>0</v>
      </c>
      <c r="K34" s="204">
        <v>0</v>
      </c>
      <c r="L34" s="204">
        <v>0</v>
      </c>
      <c r="M34" s="205">
        <v>0</v>
      </c>
      <c r="N34" s="85">
        <f t="shared" si="1"/>
        <v>69</v>
      </c>
      <c r="O34" s="43">
        <f t="shared" si="2"/>
        <v>68</v>
      </c>
    </row>
    <row r="35" spans="1:15" ht="22.5" customHeight="1" x14ac:dyDescent="0.3">
      <c r="A35" s="190" t="s">
        <v>204</v>
      </c>
      <c r="B35" s="44">
        <v>47</v>
      </c>
      <c r="C35" s="39">
        <v>26</v>
      </c>
      <c r="D35" s="39">
        <v>1</v>
      </c>
      <c r="E35" s="39">
        <v>2</v>
      </c>
      <c r="F35" s="194">
        <v>3</v>
      </c>
      <c r="G35" s="196">
        <f t="shared" si="0"/>
        <v>79</v>
      </c>
      <c r="H35" s="203">
        <v>0</v>
      </c>
      <c r="I35" s="204">
        <v>0</v>
      </c>
      <c r="J35" s="204">
        <v>0</v>
      </c>
      <c r="K35" s="204">
        <v>0</v>
      </c>
      <c r="L35" s="204">
        <v>0</v>
      </c>
      <c r="M35" s="205">
        <v>0</v>
      </c>
      <c r="N35" s="85">
        <f t="shared" si="1"/>
        <v>79</v>
      </c>
      <c r="O35" s="43">
        <f t="shared" si="2"/>
        <v>81</v>
      </c>
    </row>
    <row r="36" spans="1:15" ht="22.5" customHeight="1" x14ac:dyDescent="0.3">
      <c r="A36" s="190" t="s">
        <v>205</v>
      </c>
      <c r="B36" s="44">
        <v>49</v>
      </c>
      <c r="C36" s="39">
        <v>31</v>
      </c>
      <c r="D36" s="39">
        <v>1</v>
      </c>
      <c r="E36" s="39">
        <v>2</v>
      </c>
      <c r="F36" s="194">
        <v>4</v>
      </c>
      <c r="G36" s="196">
        <f t="shared" si="0"/>
        <v>87</v>
      </c>
      <c r="H36" s="203">
        <v>0</v>
      </c>
      <c r="I36" s="204">
        <v>0</v>
      </c>
      <c r="J36" s="204">
        <v>0</v>
      </c>
      <c r="K36" s="204">
        <v>0</v>
      </c>
      <c r="L36" s="204">
        <v>0</v>
      </c>
      <c r="M36" s="205">
        <v>0</v>
      </c>
      <c r="N36" s="85">
        <f t="shared" si="1"/>
        <v>87</v>
      </c>
      <c r="O36" s="43">
        <f t="shared" si="2"/>
        <v>90</v>
      </c>
    </row>
    <row r="37" spans="1:15" ht="22.5" customHeight="1" x14ac:dyDescent="0.3">
      <c r="A37" s="190" t="s">
        <v>206</v>
      </c>
      <c r="B37" s="44">
        <v>43</v>
      </c>
      <c r="C37" s="39">
        <v>31</v>
      </c>
      <c r="D37" s="39">
        <v>2</v>
      </c>
      <c r="E37" s="39">
        <v>1</v>
      </c>
      <c r="F37" s="194">
        <v>3</v>
      </c>
      <c r="G37" s="196">
        <f t="shared" si="0"/>
        <v>80</v>
      </c>
      <c r="H37" s="203">
        <v>0</v>
      </c>
      <c r="I37" s="204">
        <v>0</v>
      </c>
      <c r="J37" s="204">
        <v>0</v>
      </c>
      <c r="K37" s="204">
        <v>0</v>
      </c>
      <c r="L37" s="204">
        <v>0</v>
      </c>
      <c r="M37" s="205">
        <v>0</v>
      </c>
      <c r="N37" s="85">
        <f t="shared" si="1"/>
        <v>80</v>
      </c>
      <c r="O37" s="43">
        <f t="shared" si="2"/>
        <v>78</v>
      </c>
    </row>
    <row r="38" spans="1:15" ht="22.5" customHeight="1" x14ac:dyDescent="0.3">
      <c r="A38" s="190" t="s">
        <v>207</v>
      </c>
      <c r="B38" s="44">
        <v>45</v>
      </c>
      <c r="C38" s="39">
        <v>14</v>
      </c>
      <c r="D38" s="39">
        <v>0</v>
      </c>
      <c r="E38" s="39">
        <v>0</v>
      </c>
      <c r="F38" s="194">
        <v>2</v>
      </c>
      <c r="G38" s="196">
        <f t="shared" si="0"/>
        <v>61</v>
      </c>
      <c r="H38" s="203">
        <v>0</v>
      </c>
      <c r="I38" s="204">
        <v>0</v>
      </c>
      <c r="J38" s="204">
        <v>0</v>
      </c>
      <c r="K38" s="204">
        <v>0</v>
      </c>
      <c r="L38" s="204">
        <v>0</v>
      </c>
      <c r="M38" s="205">
        <v>0</v>
      </c>
      <c r="N38" s="85">
        <f t="shared" si="1"/>
        <v>61</v>
      </c>
      <c r="O38" s="43">
        <f t="shared" si="2"/>
        <v>61</v>
      </c>
    </row>
    <row r="39" spans="1:15" ht="22.5" customHeight="1" x14ac:dyDescent="0.3">
      <c r="A39" s="190" t="s">
        <v>208</v>
      </c>
      <c r="B39" s="44">
        <v>31</v>
      </c>
      <c r="C39" s="39">
        <v>16</v>
      </c>
      <c r="D39" s="39">
        <v>3</v>
      </c>
      <c r="E39" s="39">
        <v>3</v>
      </c>
      <c r="F39" s="194">
        <v>1</v>
      </c>
      <c r="G39" s="196">
        <f t="shared" si="0"/>
        <v>54</v>
      </c>
      <c r="H39" s="203">
        <v>0</v>
      </c>
      <c r="I39" s="204">
        <v>0</v>
      </c>
      <c r="J39" s="204">
        <v>0</v>
      </c>
      <c r="K39" s="204">
        <v>0</v>
      </c>
      <c r="L39" s="204">
        <v>0</v>
      </c>
      <c r="M39" s="205">
        <v>0</v>
      </c>
      <c r="N39" s="85">
        <f t="shared" si="1"/>
        <v>54</v>
      </c>
      <c r="O39" s="43">
        <f t="shared" si="2"/>
        <v>57</v>
      </c>
    </row>
    <row r="40" spans="1:15" ht="22.5" customHeight="1" x14ac:dyDescent="0.3">
      <c r="A40" s="190" t="s">
        <v>209</v>
      </c>
      <c r="B40" s="44">
        <v>32</v>
      </c>
      <c r="C40" s="39">
        <v>26</v>
      </c>
      <c r="D40" s="39">
        <v>3</v>
      </c>
      <c r="E40" s="39">
        <v>1</v>
      </c>
      <c r="F40" s="194">
        <v>3</v>
      </c>
      <c r="G40" s="196">
        <f t="shared" ref="G40:G71" si="3">SUM(B40:F40)</f>
        <v>65</v>
      </c>
      <c r="H40" s="203">
        <v>0</v>
      </c>
      <c r="I40" s="204">
        <v>0</v>
      </c>
      <c r="J40" s="204">
        <v>0</v>
      </c>
      <c r="K40" s="204">
        <v>0</v>
      </c>
      <c r="L40" s="204">
        <v>2</v>
      </c>
      <c r="M40" s="205">
        <v>0</v>
      </c>
      <c r="N40" s="85">
        <f t="shared" si="1"/>
        <v>65</v>
      </c>
      <c r="O40" s="43">
        <f t="shared" si="2"/>
        <v>82</v>
      </c>
    </row>
    <row r="41" spans="1:15" ht="22.5" customHeight="1" x14ac:dyDescent="0.3">
      <c r="A41" s="190" t="s">
        <v>210</v>
      </c>
      <c r="B41" s="44">
        <v>42</v>
      </c>
      <c r="C41" s="39">
        <v>19</v>
      </c>
      <c r="D41" s="39">
        <v>7</v>
      </c>
      <c r="E41" s="39">
        <v>0</v>
      </c>
      <c r="F41" s="194">
        <v>6</v>
      </c>
      <c r="G41" s="196">
        <f t="shared" si="3"/>
        <v>74</v>
      </c>
      <c r="H41" s="203">
        <v>0</v>
      </c>
      <c r="I41" s="204">
        <v>0</v>
      </c>
      <c r="J41" s="204">
        <v>0</v>
      </c>
      <c r="K41" s="204">
        <v>0</v>
      </c>
      <c r="L41" s="204">
        <v>3</v>
      </c>
      <c r="M41" s="205">
        <v>0</v>
      </c>
      <c r="N41" s="85">
        <f t="shared" si="1"/>
        <v>74</v>
      </c>
      <c r="O41" s="43">
        <f t="shared" si="2"/>
        <v>113</v>
      </c>
    </row>
    <row r="42" spans="1:15" ht="22.5" customHeight="1" x14ac:dyDescent="0.3">
      <c r="A42" s="190" t="s">
        <v>211</v>
      </c>
      <c r="B42" s="44">
        <v>53</v>
      </c>
      <c r="C42" s="39">
        <v>16</v>
      </c>
      <c r="D42" s="39">
        <v>1</v>
      </c>
      <c r="E42" s="39">
        <v>0</v>
      </c>
      <c r="F42" s="194">
        <v>5</v>
      </c>
      <c r="G42" s="196">
        <f t="shared" si="3"/>
        <v>75</v>
      </c>
      <c r="H42" s="203">
        <v>0</v>
      </c>
      <c r="I42" s="204">
        <v>0</v>
      </c>
      <c r="J42" s="204">
        <v>0</v>
      </c>
      <c r="K42" s="204">
        <v>0</v>
      </c>
      <c r="L42" s="204">
        <v>2</v>
      </c>
      <c r="M42" s="205">
        <v>0</v>
      </c>
      <c r="N42" s="85">
        <f t="shared" si="1"/>
        <v>75</v>
      </c>
      <c r="O42" s="43">
        <f t="shared" si="2"/>
        <v>101</v>
      </c>
    </row>
    <row r="43" spans="1:15" ht="22.5" customHeight="1" x14ac:dyDescent="0.3">
      <c r="A43" s="190" t="s">
        <v>212</v>
      </c>
      <c r="B43" s="44">
        <v>43</v>
      </c>
      <c r="C43" s="39">
        <v>13</v>
      </c>
      <c r="D43" s="39">
        <v>5</v>
      </c>
      <c r="E43" s="39">
        <v>0</v>
      </c>
      <c r="F43" s="194">
        <v>10</v>
      </c>
      <c r="G43" s="196">
        <f t="shared" si="3"/>
        <v>71</v>
      </c>
      <c r="H43" s="203">
        <v>0</v>
      </c>
      <c r="I43" s="204">
        <v>0</v>
      </c>
      <c r="J43" s="204">
        <v>0</v>
      </c>
      <c r="K43" s="204">
        <v>0</v>
      </c>
      <c r="L43" s="204">
        <v>1</v>
      </c>
      <c r="M43" s="205">
        <v>0</v>
      </c>
      <c r="N43" s="85">
        <f t="shared" si="1"/>
        <v>71</v>
      </c>
      <c r="O43" s="43">
        <f t="shared" si="2"/>
        <v>110</v>
      </c>
    </row>
    <row r="44" spans="1:15" ht="22.5" customHeight="1" x14ac:dyDescent="0.3">
      <c r="A44" s="190" t="s">
        <v>213</v>
      </c>
      <c r="B44" s="44">
        <v>42</v>
      </c>
      <c r="C44" s="39">
        <v>18</v>
      </c>
      <c r="D44" s="39">
        <v>2</v>
      </c>
      <c r="E44" s="39">
        <v>0</v>
      </c>
      <c r="F44" s="194">
        <v>5</v>
      </c>
      <c r="G44" s="196">
        <f t="shared" si="3"/>
        <v>67</v>
      </c>
      <c r="H44" s="203">
        <v>2</v>
      </c>
      <c r="I44" s="204">
        <v>0</v>
      </c>
      <c r="J44" s="204">
        <v>0</v>
      </c>
      <c r="K44" s="204">
        <v>0</v>
      </c>
      <c r="L44" s="204">
        <v>3</v>
      </c>
      <c r="M44" s="205">
        <v>0</v>
      </c>
      <c r="N44" s="85">
        <f t="shared" si="1"/>
        <v>67</v>
      </c>
      <c r="O44" s="43">
        <f t="shared" si="2"/>
        <v>101.5</v>
      </c>
    </row>
    <row r="45" spans="1:15" ht="22.5" customHeight="1" x14ac:dyDescent="0.3">
      <c r="A45" s="190" t="s">
        <v>214</v>
      </c>
      <c r="B45" s="44">
        <v>36</v>
      </c>
      <c r="C45" s="39">
        <v>19</v>
      </c>
      <c r="D45" s="39">
        <v>2</v>
      </c>
      <c r="E45" s="39">
        <v>0</v>
      </c>
      <c r="F45" s="194">
        <v>4</v>
      </c>
      <c r="G45" s="196">
        <f t="shared" si="3"/>
        <v>61</v>
      </c>
      <c r="H45" s="203">
        <v>0</v>
      </c>
      <c r="I45" s="204">
        <v>0</v>
      </c>
      <c r="J45" s="204">
        <v>0</v>
      </c>
      <c r="K45" s="204">
        <v>0</v>
      </c>
      <c r="L45" s="204">
        <v>1</v>
      </c>
      <c r="M45" s="205">
        <v>0</v>
      </c>
      <c r="N45" s="85">
        <f t="shared" si="1"/>
        <v>61</v>
      </c>
      <c r="O45" s="43">
        <f t="shared" si="2"/>
        <v>74.5</v>
      </c>
    </row>
    <row r="46" spans="1:15" ht="22.5" customHeight="1" x14ac:dyDescent="0.3">
      <c r="A46" s="190" t="s">
        <v>215</v>
      </c>
      <c r="B46" s="44">
        <v>56</v>
      </c>
      <c r="C46" s="39">
        <v>20</v>
      </c>
      <c r="D46" s="39">
        <v>5</v>
      </c>
      <c r="E46" s="39">
        <v>0</v>
      </c>
      <c r="F46" s="194">
        <v>8</v>
      </c>
      <c r="G46" s="196">
        <f t="shared" si="3"/>
        <v>89</v>
      </c>
      <c r="H46" s="203">
        <v>0</v>
      </c>
      <c r="I46" s="204">
        <v>0</v>
      </c>
      <c r="J46" s="204">
        <v>0</v>
      </c>
      <c r="K46" s="204">
        <v>0</v>
      </c>
      <c r="L46" s="204">
        <v>1</v>
      </c>
      <c r="M46" s="205">
        <v>0</v>
      </c>
      <c r="N46" s="85">
        <f t="shared" si="1"/>
        <v>89</v>
      </c>
      <c r="O46" s="43">
        <f t="shared" si="2"/>
        <v>117.5</v>
      </c>
    </row>
    <row r="47" spans="1:15" ht="22.5" customHeight="1" x14ac:dyDescent="0.3">
      <c r="A47" s="190" t="s">
        <v>216</v>
      </c>
      <c r="B47" s="44">
        <v>52</v>
      </c>
      <c r="C47" s="39">
        <v>22</v>
      </c>
      <c r="D47" s="39">
        <v>3</v>
      </c>
      <c r="E47" s="39">
        <v>2</v>
      </c>
      <c r="F47" s="194">
        <v>4</v>
      </c>
      <c r="G47" s="196">
        <f t="shared" si="3"/>
        <v>83</v>
      </c>
      <c r="H47" s="203">
        <v>0</v>
      </c>
      <c r="I47" s="204">
        <v>0</v>
      </c>
      <c r="J47" s="204">
        <v>0</v>
      </c>
      <c r="K47" s="204">
        <v>0</v>
      </c>
      <c r="L47" s="204">
        <v>1</v>
      </c>
      <c r="M47" s="205">
        <v>0</v>
      </c>
      <c r="N47" s="85">
        <f t="shared" si="1"/>
        <v>83</v>
      </c>
      <c r="O47" s="43">
        <f t="shared" si="2"/>
        <v>99.5</v>
      </c>
    </row>
    <row r="48" spans="1:15" ht="22.5" customHeight="1" x14ac:dyDescent="0.3">
      <c r="A48" s="190" t="s">
        <v>217</v>
      </c>
      <c r="B48" s="44">
        <v>49</v>
      </c>
      <c r="C48" s="39">
        <v>24</v>
      </c>
      <c r="D48" s="39">
        <v>6</v>
      </c>
      <c r="E48" s="39">
        <v>1</v>
      </c>
      <c r="F48" s="194">
        <v>2</v>
      </c>
      <c r="G48" s="196">
        <f t="shared" si="3"/>
        <v>82</v>
      </c>
      <c r="H48" s="203">
        <v>0</v>
      </c>
      <c r="I48" s="204">
        <v>0</v>
      </c>
      <c r="J48" s="204">
        <v>0</v>
      </c>
      <c r="K48" s="204">
        <v>0</v>
      </c>
      <c r="L48" s="204">
        <v>0</v>
      </c>
      <c r="M48" s="205">
        <v>0</v>
      </c>
      <c r="N48" s="85">
        <f t="shared" si="1"/>
        <v>82</v>
      </c>
      <c r="O48" s="43">
        <f t="shared" si="2"/>
        <v>82</v>
      </c>
    </row>
    <row r="49" spans="1:15" ht="22.5" customHeight="1" x14ac:dyDescent="0.3">
      <c r="A49" s="190" t="s">
        <v>218</v>
      </c>
      <c r="B49" s="44">
        <v>35</v>
      </c>
      <c r="C49" s="39">
        <v>37</v>
      </c>
      <c r="D49" s="39">
        <v>7</v>
      </c>
      <c r="E49" s="39">
        <v>1</v>
      </c>
      <c r="F49" s="194">
        <v>3</v>
      </c>
      <c r="G49" s="196">
        <f t="shared" si="3"/>
        <v>83</v>
      </c>
      <c r="H49" s="203">
        <v>0</v>
      </c>
      <c r="I49" s="204">
        <v>0</v>
      </c>
      <c r="J49" s="204">
        <v>0</v>
      </c>
      <c r="K49" s="204">
        <v>0</v>
      </c>
      <c r="L49" s="204">
        <v>2</v>
      </c>
      <c r="M49" s="205">
        <v>0</v>
      </c>
      <c r="N49" s="85">
        <f t="shared" si="1"/>
        <v>83</v>
      </c>
      <c r="O49" s="43">
        <f t="shared" si="2"/>
        <v>96.5</v>
      </c>
    </row>
    <row r="50" spans="1:15" ht="22.5" customHeight="1" x14ac:dyDescent="0.3">
      <c r="A50" s="190" t="s">
        <v>219</v>
      </c>
      <c r="B50" s="44">
        <v>45</v>
      </c>
      <c r="C50" s="39">
        <v>25</v>
      </c>
      <c r="D50" s="39">
        <v>3</v>
      </c>
      <c r="E50" s="39">
        <v>2</v>
      </c>
      <c r="F50" s="194">
        <v>3</v>
      </c>
      <c r="G50" s="196">
        <f t="shared" si="3"/>
        <v>78</v>
      </c>
      <c r="H50" s="203">
        <v>0</v>
      </c>
      <c r="I50" s="204">
        <v>0</v>
      </c>
      <c r="J50" s="204">
        <v>0</v>
      </c>
      <c r="K50" s="204">
        <v>0</v>
      </c>
      <c r="L50" s="204">
        <v>3</v>
      </c>
      <c r="M50" s="205">
        <v>0</v>
      </c>
      <c r="N50" s="85">
        <f t="shared" si="1"/>
        <v>78</v>
      </c>
      <c r="O50" s="43">
        <f t="shared" si="2"/>
        <v>105.5</v>
      </c>
    </row>
    <row r="51" spans="1:15" ht="22.5" customHeight="1" x14ac:dyDescent="0.3">
      <c r="A51" s="190" t="s">
        <v>220</v>
      </c>
      <c r="B51" s="44">
        <v>46</v>
      </c>
      <c r="C51" s="39">
        <v>34</v>
      </c>
      <c r="D51" s="39">
        <v>3</v>
      </c>
      <c r="E51" s="39">
        <v>2</v>
      </c>
      <c r="F51" s="194">
        <v>1</v>
      </c>
      <c r="G51" s="196">
        <f t="shared" si="3"/>
        <v>86</v>
      </c>
      <c r="H51" s="203">
        <v>0</v>
      </c>
      <c r="I51" s="204">
        <v>0</v>
      </c>
      <c r="J51" s="204">
        <v>0</v>
      </c>
      <c r="K51" s="204">
        <v>0</v>
      </c>
      <c r="L51" s="204">
        <v>2</v>
      </c>
      <c r="M51" s="205">
        <v>0</v>
      </c>
      <c r="N51" s="85">
        <f t="shared" si="1"/>
        <v>86</v>
      </c>
      <c r="O51" s="43">
        <f t="shared" si="2"/>
        <v>94</v>
      </c>
    </row>
    <row r="52" spans="1:15" ht="22.5" customHeight="1" x14ac:dyDescent="0.3">
      <c r="A52" s="190" t="s">
        <v>221</v>
      </c>
      <c r="B52" s="44">
        <v>28</v>
      </c>
      <c r="C52" s="39">
        <v>19</v>
      </c>
      <c r="D52" s="39">
        <v>5</v>
      </c>
      <c r="E52" s="39">
        <v>2</v>
      </c>
      <c r="F52" s="194">
        <v>2</v>
      </c>
      <c r="G52" s="196">
        <f t="shared" si="3"/>
        <v>56</v>
      </c>
      <c r="H52" s="203">
        <v>0</v>
      </c>
      <c r="I52" s="204">
        <v>0</v>
      </c>
      <c r="J52" s="204">
        <v>0</v>
      </c>
      <c r="K52" s="204">
        <v>0</v>
      </c>
      <c r="L52" s="204">
        <v>1</v>
      </c>
      <c r="M52" s="205">
        <v>0</v>
      </c>
      <c r="N52" s="85">
        <f t="shared" si="1"/>
        <v>56</v>
      </c>
      <c r="O52" s="43">
        <f t="shared" si="2"/>
        <v>68</v>
      </c>
    </row>
    <row r="53" spans="1:15" ht="22.5" customHeight="1" x14ac:dyDescent="0.3">
      <c r="A53" s="190" t="s">
        <v>222</v>
      </c>
      <c r="B53" s="44">
        <v>34</v>
      </c>
      <c r="C53" s="39">
        <v>15</v>
      </c>
      <c r="D53" s="39">
        <v>6</v>
      </c>
      <c r="E53" s="39">
        <v>1</v>
      </c>
      <c r="F53" s="194">
        <v>6</v>
      </c>
      <c r="G53" s="196">
        <f t="shared" si="3"/>
        <v>62</v>
      </c>
      <c r="H53" s="203">
        <v>0</v>
      </c>
      <c r="I53" s="204">
        <v>0</v>
      </c>
      <c r="J53" s="204">
        <v>0</v>
      </c>
      <c r="K53" s="204">
        <v>0</v>
      </c>
      <c r="L53" s="204">
        <v>1</v>
      </c>
      <c r="M53" s="205">
        <v>0</v>
      </c>
      <c r="N53" s="85">
        <f t="shared" si="1"/>
        <v>62</v>
      </c>
      <c r="O53" s="43">
        <f t="shared" si="2"/>
        <v>88.5</v>
      </c>
    </row>
    <row r="54" spans="1:15" ht="22.5" customHeight="1" x14ac:dyDescent="0.3">
      <c r="A54" s="190" t="s">
        <v>223</v>
      </c>
      <c r="B54" s="44">
        <v>35</v>
      </c>
      <c r="C54" s="39">
        <v>20</v>
      </c>
      <c r="D54" s="39">
        <v>5</v>
      </c>
      <c r="E54" s="39">
        <v>0</v>
      </c>
      <c r="F54" s="194">
        <v>4</v>
      </c>
      <c r="G54" s="196">
        <f t="shared" si="3"/>
        <v>64</v>
      </c>
      <c r="H54" s="203">
        <v>0</v>
      </c>
      <c r="I54" s="204">
        <v>0</v>
      </c>
      <c r="J54" s="204">
        <v>0</v>
      </c>
      <c r="K54" s="204">
        <v>0</v>
      </c>
      <c r="L54" s="204">
        <v>2</v>
      </c>
      <c r="M54" s="205">
        <v>0</v>
      </c>
      <c r="N54" s="85">
        <f t="shared" si="1"/>
        <v>64</v>
      </c>
      <c r="O54" s="43">
        <f t="shared" si="2"/>
        <v>86.5</v>
      </c>
    </row>
    <row r="55" spans="1:15" ht="22.5" customHeight="1" x14ac:dyDescent="0.3">
      <c r="A55" s="190" t="s">
        <v>224</v>
      </c>
      <c r="B55" s="44">
        <v>40</v>
      </c>
      <c r="C55" s="39">
        <v>35</v>
      </c>
      <c r="D55" s="39">
        <v>1</v>
      </c>
      <c r="E55" s="39">
        <v>1</v>
      </c>
      <c r="F55" s="194">
        <v>7</v>
      </c>
      <c r="G55" s="196">
        <f t="shared" si="3"/>
        <v>84</v>
      </c>
      <c r="H55" s="203">
        <v>0</v>
      </c>
      <c r="I55" s="204">
        <v>0</v>
      </c>
      <c r="J55" s="204">
        <v>0</v>
      </c>
      <c r="K55" s="204">
        <v>0</v>
      </c>
      <c r="L55" s="204">
        <v>0</v>
      </c>
      <c r="M55" s="205">
        <v>0</v>
      </c>
      <c r="N55" s="85">
        <f t="shared" si="1"/>
        <v>84</v>
      </c>
      <c r="O55" s="43">
        <f t="shared" si="2"/>
        <v>93.5</v>
      </c>
    </row>
    <row r="56" spans="1:15" ht="22.5" customHeight="1" x14ac:dyDescent="0.3">
      <c r="A56" s="190" t="s">
        <v>225</v>
      </c>
      <c r="B56" s="44">
        <v>50</v>
      </c>
      <c r="C56" s="39">
        <v>12</v>
      </c>
      <c r="D56" s="39">
        <v>3</v>
      </c>
      <c r="E56" s="39">
        <v>4</v>
      </c>
      <c r="F56" s="194">
        <v>2</v>
      </c>
      <c r="G56" s="196">
        <f t="shared" si="3"/>
        <v>71</v>
      </c>
      <c r="H56" s="203">
        <v>0</v>
      </c>
      <c r="I56" s="204">
        <v>0</v>
      </c>
      <c r="J56" s="204">
        <v>0</v>
      </c>
      <c r="K56" s="204">
        <v>0</v>
      </c>
      <c r="L56" s="204">
        <v>0</v>
      </c>
      <c r="M56" s="205">
        <v>0</v>
      </c>
      <c r="N56" s="85">
        <f t="shared" si="1"/>
        <v>71</v>
      </c>
      <c r="O56" s="43">
        <f t="shared" si="2"/>
        <v>81.5</v>
      </c>
    </row>
    <row r="57" spans="1:15" ht="22.5" customHeight="1" x14ac:dyDescent="0.3">
      <c r="A57" s="190" t="s">
        <v>226</v>
      </c>
      <c r="B57" s="44">
        <v>43</v>
      </c>
      <c r="C57" s="39">
        <v>13</v>
      </c>
      <c r="D57" s="39">
        <v>2</v>
      </c>
      <c r="E57" s="39">
        <v>3</v>
      </c>
      <c r="F57" s="194">
        <v>1</v>
      </c>
      <c r="G57" s="196">
        <f t="shared" si="3"/>
        <v>62</v>
      </c>
      <c r="H57" s="203">
        <v>0</v>
      </c>
      <c r="I57" s="204">
        <v>0</v>
      </c>
      <c r="J57" s="204">
        <v>0</v>
      </c>
      <c r="K57" s="204">
        <v>0</v>
      </c>
      <c r="L57" s="204">
        <v>0</v>
      </c>
      <c r="M57" s="205">
        <v>0</v>
      </c>
      <c r="N57" s="85">
        <f t="shared" si="1"/>
        <v>62</v>
      </c>
      <c r="O57" s="43">
        <f t="shared" si="2"/>
        <v>66</v>
      </c>
    </row>
    <row r="58" spans="1:15" ht="22.5" customHeight="1" x14ac:dyDescent="0.3">
      <c r="A58" s="190" t="s">
        <v>227</v>
      </c>
      <c r="B58" s="44">
        <v>35</v>
      </c>
      <c r="C58" s="39">
        <v>8</v>
      </c>
      <c r="D58" s="39">
        <v>1</v>
      </c>
      <c r="E58" s="39">
        <v>6</v>
      </c>
      <c r="F58" s="194">
        <v>1</v>
      </c>
      <c r="G58" s="196">
        <f t="shared" si="3"/>
        <v>51</v>
      </c>
      <c r="H58" s="203">
        <v>0</v>
      </c>
      <c r="I58" s="204">
        <v>0</v>
      </c>
      <c r="J58" s="204">
        <v>0</v>
      </c>
      <c r="K58" s="204">
        <v>0</v>
      </c>
      <c r="L58" s="204">
        <v>0</v>
      </c>
      <c r="M58" s="205">
        <v>0</v>
      </c>
      <c r="N58" s="85">
        <f t="shared" si="1"/>
        <v>51</v>
      </c>
      <c r="O58" s="43">
        <f t="shared" si="2"/>
        <v>63</v>
      </c>
    </row>
    <row r="59" spans="1:15" ht="22.5" customHeight="1" x14ac:dyDescent="0.3">
      <c r="A59" s="190" t="s">
        <v>228</v>
      </c>
      <c r="B59" s="44">
        <v>32</v>
      </c>
      <c r="C59" s="39">
        <v>3</v>
      </c>
      <c r="D59" s="39">
        <v>1</v>
      </c>
      <c r="E59" s="39">
        <v>3</v>
      </c>
      <c r="F59" s="194">
        <v>2</v>
      </c>
      <c r="G59" s="196">
        <f t="shared" si="3"/>
        <v>41</v>
      </c>
      <c r="H59" s="203">
        <v>0</v>
      </c>
      <c r="I59" s="204">
        <v>0</v>
      </c>
      <c r="J59" s="204">
        <v>0</v>
      </c>
      <c r="K59" s="204">
        <v>0</v>
      </c>
      <c r="L59" s="204">
        <v>0</v>
      </c>
      <c r="M59" s="205">
        <v>0</v>
      </c>
      <c r="N59" s="85">
        <f t="shared" si="1"/>
        <v>41</v>
      </c>
      <c r="O59" s="43">
        <f t="shared" si="2"/>
        <v>53</v>
      </c>
    </row>
    <row r="60" spans="1:15" ht="22.5" customHeight="1" x14ac:dyDescent="0.3">
      <c r="A60" s="190" t="s">
        <v>229</v>
      </c>
      <c r="B60" s="44">
        <v>26</v>
      </c>
      <c r="C60" s="39">
        <v>3</v>
      </c>
      <c r="D60" s="39">
        <v>2</v>
      </c>
      <c r="E60" s="39">
        <v>2</v>
      </c>
      <c r="F60" s="194">
        <v>1</v>
      </c>
      <c r="G60" s="196">
        <f t="shared" si="3"/>
        <v>34</v>
      </c>
      <c r="H60" s="203">
        <v>0</v>
      </c>
      <c r="I60" s="204">
        <v>0</v>
      </c>
      <c r="J60" s="204">
        <v>0</v>
      </c>
      <c r="K60" s="204">
        <v>0</v>
      </c>
      <c r="L60" s="204">
        <v>0</v>
      </c>
      <c r="M60" s="205">
        <v>0</v>
      </c>
      <c r="N60" s="85">
        <f t="shared" si="1"/>
        <v>34</v>
      </c>
      <c r="O60" s="43">
        <f t="shared" si="2"/>
        <v>41</v>
      </c>
    </row>
    <row r="61" spans="1:15" ht="22.5" customHeight="1" x14ac:dyDescent="0.3">
      <c r="A61" s="190" t="s">
        <v>230</v>
      </c>
      <c r="B61" s="44">
        <v>21</v>
      </c>
      <c r="C61" s="39">
        <v>3</v>
      </c>
      <c r="D61" s="39">
        <v>1</v>
      </c>
      <c r="E61" s="39">
        <v>1</v>
      </c>
      <c r="F61" s="194">
        <v>2</v>
      </c>
      <c r="G61" s="196">
        <f t="shared" si="3"/>
        <v>28</v>
      </c>
      <c r="H61" s="203">
        <v>0</v>
      </c>
      <c r="I61" s="204">
        <v>0</v>
      </c>
      <c r="J61" s="204">
        <v>0</v>
      </c>
      <c r="K61" s="204">
        <v>0</v>
      </c>
      <c r="L61" s="204">
        <v>0</v>
      </c>
      <c r="M61" s="205">
        <v>0</v>
      </c>
      <c r="N61" s="85">
        <f t="shared" si="1"/>
        <v>28</v>
      </c>
      <c r="O61" s="43">
        <f t="shared" si="2"/>
        <v>36</v>
      </c>
    </row>
    <row r="62" spans="1:15" ht="22.5" customHeight="1" x14ac:dyDescent="0.3">
      <c r="A62" s="190" t="s">
        <v>231</v>
      </c>
      <c r="B62" s="44">
        <v>20</v>
      </c>
      <c r="C62" s="39">
        <v>5</v>
      </c>
      <c r="D62" s="39">
        <v>1</v>
      </c>
      <c r="E62" s="39">
        <v>2</v>
      </c>
      <c r="F62" s="194">
        <v>3</v>
      </c>
      <c r="G62" s="196">
        <f t="shared" si="3"/>
        <v>31</v>
      </c>
      <c r="H62" s="203">
        <v>0</v>
      </c>
      <c r="I62" s="204">
        <v>0</v>
      </c>
      <c r="J62" s="204">
        <v>0</v>
      </c>
      <c r="K62" s="204">
        <v>0</v>
      </c>
      <c r="L62" s="204">
        <v>0</v>
      </c>
      <c r="M62" s="205">
        <v>0</v>
      </c>
      <c r="N62" s="85">
        <f t="shared" si="1"/>
        <v>31</v>
      </c>
      <c r="O62" s="43">
        <f t="shared" si="2"/>
        <v>43.5</v>
      </c>
    </row>
    <row r="63" spans="1:15" ht="22.5" customHeight="1" x14ac:dyDescent="0.3">
      <c r="A63" s="190" t="s">
        <v>232</v>
      </c>
      <c r="B63" s="44">
        <v>16</v>
      </c>
      <c r="C63" s="39">
        <v>3</v>
      </c>
      <c r="D63" s="39">
        <v>2</v>
      </c>
      <c r="E63" s="39">
        <v>0</v>
      </c>
      <c r="F63" s="194">
        <v>1</v>
      </c>
      <c r="G63" s="196">
        <f t="shared" si="3"/>
        <v>22</v>
      </c>
      <c r="H63" s="203">
        <v>0</v>
      </c>
      <c r="I63" s="204">
        <v>0</v>
      </c>
      <c r="J63" s="204">
        <v>0</v>
      </c>
      <c r="K63" s="204">
        <v>0</v>
      </c>
      <c r="L63" s="204">
        <v>0</v>
      </c>
      <c r="M63" s="205">
        <v>0</v>
      </c>
      <c r="N63" s="85">
        <f t="shared" si="1"/>
        <v>22</v>
      </c>
      <c r="O63" s="43">
        <f t="shared" si="2"/>
        <v>25</v>
      </c>
    </row>
    <row r="64" spans="1:15" ht="22.5" customHeight="1" x14ac:dyDescent="0.3">
      <c r="A64" s="190" t="s">
        <v>233</v>
      </c>
      <c r="B64" s="44">
        <v>19</v>
      </c>
      <c r="C64" s="39">
        <v>3</v>
      </c>
      <c r="D64" s="39">
        <v>4</v>
      </c>
      <c r="E64" s="39">
        <v>0</v>
      </c>
      <c r="F64" s="194">
        <v>0</v>
      </c>
      <c r="G64" s="196">
        <f t="shared" si="3"/>
        <v>26</v>
      </c>
      <c r="H64" s="203">
        <v>0</v>
      </c>
      <c r="I64" s="204">
        <v>0</v>
      </c>
      <c r="J64" s="204">
        <v>0</v>
      </c>
      <c r="K64" s="204">
        <v>0</v>
      </c>
      <c r="L64" s="204">
        <v>0</v>
      </c>
      <c r="M64" s="205">
        <v>0</v>
      </c>
      <c r="N64" s="85">
        <f t="shared" si="1"/>
        <v>26</v>
      </c>
      <c r="O64" s="43">
        <f t="shared" si="2"/>
        <v>26.5</v>
      </c>
    </row>
    <row r="65" spans="1:15" ht="22.5" customHeight="1" x14ac:dyDescent="0.3">
      <c r="A65" s="190" t="s">
        <v>234</v>
      </c>
      <c r="B65" s="44">
        <v>12</v>
      </c>
      <c r="C65" s="39">
        <v>2</v>
      </c>
      <c r="D65" s="39">
        <v>3</v>
      </c>
      <c r="E65" s="39">
        <v>0</v>
      </c>
      <c r="F65" s="194">
        <v>0</v>
      </c>
      <c r="G65" s="196">
        <f t="shared" si="3"/>
        <v>17</v>
      </c>
      <c r="H65" s="203">
        <v>0</v>
      </c>
      <c r="I65" s="204">
        <v>0</v>
      </c>
      <c r="J65" s="204">
        <v>0</v>
      </c>
      <c r="K65" s="204">
        <v>0</v>
      </c>
      <c r="L65" s="204">
        <v>0</v>
      </c>
      <c r="M65" s="205">
        <v>0</v>
      </c>
      <c r="N65" s="85">
        <f t="shared" si="1"/>
        <v>17</v>
      </c>
      <c r="O65" s="43">
        <f t="shared" si="2"/>
        <v>17.5</v>
      </c>
    </row>
    <row r="66" spans="1:15" ht="22.5" customHeight="1" x14ac:dyDescent="0.3">
      <c r="A66" s="190" t="s">
        <v>235</v>
      </c>
      <c r="B66" s="44">
        <v>7</v>
      </c>
      <c r="C66" s="39">
        <v>23</v>
      </c>
      <c r="D66" s="39">
        <v>2</v>
      </c>
      <c r="E66" s="39">
        <v>0</v>
      </c>
      <c r="F66" s="194">
        <v>0</v>
      </c>
      <c r="G66" s="196">
        <f t="shared" si="3"/>
        <v>32</v>
      </c>
      <c r="H66" s="203">
        <v>0</v>
      </c>
      <c r="I66" s="204">
        <v>0</v>
      </c>
      <c r="J66" s="204">
        <v>0</v>
      </c>
      <c r="K66" s="204">
        <v>0</v>
      </c>
      <c r="L66" s="204">
        <v>0</v>
      </c>
      <c r="M66" s="205">
        <v>0</v>
      </c>
      <c r="N66" s="85">
        <f t="shared" si="1"/>
        <v>32</v>
      </c>
      <c r="O66" s="43">
        <f t="shared" si="2"/>
        <v>21.5</v>
      </c>
    </row>
    <row r="67" spans="1:15" ht="22.5" customHeight="1" x14ac:dyDescent="0.3">
      <c r="A67" s="190" t="s">
        <v>236</v>
      </c>
      <c r="B67" s="44">
        <v>11</v>
      </c>
      <c r="C67" s="39">
        <v>21</v>
      </c>
      <c r="D67" s="39">
        <v>1</v>
      </c>
      <c r="E67" s="39">
        <v>3</v>
      </c>
      <c r="F67" s="194">
        <v>1</v>
      </c>
      <c r="G67" s="196">
        <f t="shared" si="3"/>
        <v>37</v>
      </c>
      <c r="H67" s="203">
        <v>0</v>
      </c>
      <c r="I67" s="204">
        <v>0</v>
      </c>
      <c r="J67" s="204">
        <v>0</v>
      </c>
      <c r="K67" s="204">
        <v>0</v>
      </c>
      <c r="L67" s="204">
        <v>0</v>
      </c>
      <c r="M67" s="205">
        <v>0</v>
      </c>
      <c r="N67" s="85">
        <f t="shared" si="1"/>
        <v>37</v>
      </c>
      <c r="O67" s="43">
        <f t="shared" si="2"/>
        <v>36.5</v>
      </c>
    </row>
    <row r="68" spans="1:15" ht="22.5" customHeight="1" x14ac:dyDescent="0.3">
      <c r="A68" s="190" t="s">
        <v>237</v>
      </c>
      <c r="B68" s="44">
        <v>11</v>
      </c>
      <c r="C68" s="39">
        <v>9</v>
      </c>
      <c r="D68" s="39">
        <v>4</v>
      </c>
      <c r="E68" s="39">
        <v>2</v>
      </c>
      <c r="F68" s="194">
        <v>4</v>
      </c>
      <c r="G68" s="196">
        <f t="shared" si="3"/>
        <v>30</v>
      </c>
      <c r="H68" s="203">
        <v>0</v>
      </c>
      <c r="I68" s="204">
        <v>0</v>
      </c>
      <c r="J68" s="204">
        <v>0</v>
      </c>
      <c r="K68" s="204">
        <v>0</v>
      </c>
      <c r="L68" s="204">
        <v>0</v>
      </c>
      <c r="M68" s="205">
        <v>0</v>
      </c>
      <c r="N68" s="85">
        <f t="shared" si="1"/>
        <v>30</v>
      </c>
      <c r="O68" s="43">
        <f t="shared" si="2"/>
        <v>45.5</v>
      </c>
    </row>
    <row r="69" spans="1:15" ht="22.5" customHeight="1" x14ac:dyDescent="0.3">
      <c r="A69" s="190" t="s">
        <v>238</v>
      </c>
      <c r="B69" s="44">
        <v>13</v>
      </c>
      <c r="C69" s="39">
        <v>13</v>
      </c>
      <c r="D69" s="39">
        <v>1</v>
      </c>
      <c r="E69" s="39">
        <v>1</v>
      </c>
      <c r="F69" s="194">
        <v>2</v>
      </c>
      <c r="G69" s="196">
        <f t="shared" si="3"/>
        <v>30</v>
      </c>
      <c r="H69" s="203">
        <v>0</v>
      </c>
      <c r="I69" s="204">
        <v>0</v>
      </c>
      <c r="J69" s="204">
        <v>0</v>
      </c>
      <c r="K69" s="204">
        <v>0</v>
      </c>
      <c r="L69" s="204">
        <v>0</v>
      </c>
      <c r="M69" s="205">
        <v>0</v>
      </c>
      <c r="N69" s="85">
        <f t="shared" si="1"/>
        <v>30</v>
      </c>
      <c r="O69" s="43">
        <f t="shared" si="2"/>
        <v>33</v>
      </c>
    </row>
    <row r="70" spans="1:15" ht="22.5" customHeight="1" x14ac:dyDescent="0.3">
      <c r="A70" s="190" t="s">
        <v>239</v>
      </c>
      <c r="B70" s="44">
        <v>12</v>
      </c>
      <c r="C70" s="39">
        <v>9</v>
      </c>
      <c r="D70" s="39">
        <v>2</v>
      </c>
      <c r="E70" s="39">
        <v>1</v>
      </c>
      <c r="F70" s="194">
        <v>1</v>
      </c>
      <c r="G70" s="196">
        <f t="shared" si="3"/>
        <v>25</v>
      </c>
      <c r="H70" s="203">
        <v>0</v>
      </c>
      <c r="I70" s="204">
        <v>0</v>
      </c>
      <c r="J70" s="204">
        <v>0</v>
      </c>
      <c r="K70" s="204">
        <v>0</v>
      </c>
      <c r="L70" s="204">
        <v>0</v>
      </c>
      <c r="M70" s="205">
        <v>0</v>
      </c>
      <c r="N70" s="85">
        <f t="shared" si="1"/>
        <v>25</v>
      </c>
      <c r="O70" s="43">
        <f t="shared" si="2"/>
        <v>27</v>
      </c>
    </row>
    <row r="71" spans="1:15" ht="22.5" customHeight="1" x14ac:dyDescent="0.3">
      <c r="A71" s="190" t="s">
        <v>240</v>
      </c>
      <c r="B71" s="44">
        <v>15</v>
      </c>
      <c r="C71" s="39">
        <v>7</v>
      </c>
      <c r="D71" s="39">
        <v>1</v>
      </c>
      <c r="E71" s="39">
        <v>2</v>
      </c>
      <c r="F71" s="194">
        <v>1</v>
      </c>
      <c r="G71" s="196">
        <f t="shared" si="3"/>
        <v>26</v>
      </c>
      <c r="H71" s="203">
        <v>0</v>
      </c>
      <c r="I71" s="204">
        <v>0</v>
      </c>
      <c r="J71" s="204">
        <v>0</v>
      </c>
      <c r="K71" s="204">
        <v>0</v>
      </c>
      <c r="L71" s="204">
        <v>0</v>
      </c>
      <c r="M71" s="205">
        <v>0</v>
      </c>
      <c r="N71" s="85">
        <f t="shared" si="1"/>
        <v>26</v>
      </c>
      <c r="O71" s="43">
        <f t="shared" si="2"/>
        <v>30.5</v>
      </c>
    </row>
    <row r="72" spans="1:15" ht="22.5" customHeight="1" x14ac:dyDescent="0.3">
      <c r="A72" s="190" t="s">
        <v>153</v>
      </c>
      <c r="B72" s="44">
        <v>4</v>
      </c>
      <c r="C72" s="39">
        <v>8</v>
      </c>
      <c r="D72" s="39">
        <v>3</v>
      </c>
      <c r="E72" s="39">
        <v>3</v>
      </c>
      <c r="F72" s="194">
        <v>1</v>
      </c>
      <c r="G72" s="196">
        <f t="shared" ref="G72:G103" si="4">SUM(B72:F72)</f>
        <v>19</v>
      </c>
      <c r="H72" s="203">
        <v>0</v>
      </c>
      <c r="I72" s="204">
        <v>0</v>
      </c>
      <c r="J72" s="204">
        <v>0</v>
      </c>
      <c r="K72" s="204">
        <v>0</v>
      </c>
      <c r="L72" s="204">
        <v>0</v>
      </c>
      <c r="M72" s="205">
        <v>0</v>
      </c>
      <c r="N72" s="85">
        <f t="shared" si="1"/>
        <v>19</v>
      </c>
      <c r="O72" s="43">
        <f t="shared" si="2"/>
        <v>26</v>
      </c>
    </row>
    <row r="73" spans="1:15" ht="22.5" customHeight="1" x14ac:dyDescent="0.3">
      <c r="A73" s="190" t="s">
        <v>154</v>
      </c>
      <c r="B73" s="44">
        <v>3</v>
      </c>
      <c r="C73" s="39">
        <v>3</v>
      </c>
      <c r="D73" s="39">
        <v>4</v>
      </c>
      <c r="E73" s="39">
        <v>5</v>
      </c>
      <c r="F73" s="194">
        <v>0</v>
      </c>
      <c r="G73" s="196">
        <f t="shared" si="4"/>
        <v>15</v>
      </c>
      <c r="H73" s="203">
        <v>0</v>
      </c>
      <c r="I73" s="204">
        <v>0</v>
      </c>
      <c r="J73" s="204">
        <v>0</v>
      </c>
      <c r="K73" s="204">
        <v>0</v>
      </c>
      <c r="L73" s="204">
        <v>0</v>
      </c>
      <c r="M73" s="205">
        <v>0</v>
      </c>
      <c r="N73" s="85">
        <f t="shared" ref="N73:N103" si="5">G73+M73</f>
        <v>15</v>
      </c>
      <c r="O73" s="43">
        <f t="shared" ref="O73:O103" si="6">B73*1+C73*0.5+D73*1.5+E73*3+F73*4.5+H73*0.5+I73*1.5+J73*3+K73*4+L73*8</f>
        <v>25.5</v>
      </c>
    </row>
    <row r="74" spans="1:15" ht="22.5" customHeight="1" x14ac:dyDescent="0.3">
      <c r="A74" s="190" t="s">
        <v>155</v>
      </c>
      <c r="B74" s="44">
        <v>4</v>
      </c>
      <c r="C74" s="39">
        <v>1</v>
      </c>
      <c r="D74" s="39">
        <v>2</v>
      </c>
      <c r="E74" s="39">
        <v>2</v>
      </c>
      <c r="F74" s="194">
        <v>0</v>
      </c>
      <c r="G74" s="196">
        <f t="shared" si="4"/>
        <v>9</v>
      </c>
      <c r="H74" s="203">
        <v>0</v>
      </c>
      <c r="I74" s="204">
        <v>0</v>
      </c>
      <c r="J74" s="204">
        <v>0</v>
      </c>
      <c r="K74" s="204">
        <v>0</v>
      </c>
      <c r="L74" s="204">
        <v>0</v>
      </c>
      <c r="M74" s="205">
        <v>0</v>
      </c>
      <c r="N74" s="85">
        <f t="shared" si="5"/>
        <v>9</v>
      </c>
      <c r="O74" s="43">
        <f t="shared" si="6"/>
        <v>13.5</v>
      </c>
    </row>
    <row r="75" spans="1:15" ht="22.5" customHeight="1" x14ac:dyDescent="0.3">
      <c r="A75" s="190" t="s">
        <v>156</v>
      </c>
      <c r="B75" s="44">
        <v>2</v>
      </c>
      <c r="C75" s="39">
        <v>1</v>
      </c>
      <c r="D75" s="39">
        <v>2</v>
      </c>
      <c r="E75" s="39">
        <v>0</v>
      </c>
      <c r="F75" s="194">
        <v>1</v>
      </c>
      <c r="G75" s="196">
        <f t="shared" si="4"/>
        <v>6</v>
      </c>
      <c r="H75" s="203">
        <v>0</v>
      </c>
      <c r="I75" s="204">
        <v>0</v>
      </c>
      <c r="J75" s="204">
        <v>0</v>
      </c>
      <c r="K75" s="204">
        <v>0</v>
      </c>
      <c r="L75" s="204">
        <v>0</v>
      </c>
      <c r="M75" s="205">
        <v>0</v>
      </c>
      <c r="N75" s="85">
        <f t="shared" si="5"/>
        <v>6</v>
      </c>
      <c r="O75" s="43">
        <f t="shared" si="6"/>
        <v>10</v>
      </c>
    </row>
    <row r="76" spans="1:15" ht="22.5" customHeight="1" x14ac:dyDescent="0.3">
      <c r="A76" s="190" t="s">
        <v>157</v>
      </c>
      <c r="B76" s="44">
        <v>6</v>
      </c>
      <c r="C76" s="39">
        <v>2</v>
      </c>
      <c r="D76" s="39">
        <v>3</v>
      </c>
      <c r="E76" s="39">
        <v>0</v>
      </c>
      <c r="F76" s="194">
        <v>0</v>
      </c>
      <c r="G76" s="196">
        <f t="shared" si="4"/>
        <v>11</v>
      </c>
      <c r="H76" s="203">
        <v>0</v>
      </c>
      <c r="I76" s="204">
        <v>0</v>
      </c>
      <c r="J76" s="204">
        <v>0</v>
      </c>
      <c r="K76" s="204">
        <v>0</v>
      </c>
      <c r="L76" s="204">
        <v>0</v>
      </c>
      <c r="M76" s="205">
        <v>0</v>
      </c>
      <c r="N76" s="85">
        <f t="shared" si="5"/>
        <v>11</v>
      </c>
      <c r="O76" s="43">
        <f t="shared" si="6"/>
        <v>11.5</v>
      </c>
    </row>
    <row r="77" spans="1:15" ht="22.5" customHeight="1" x14ac:dyDescent="0.3">
      <c r="A77" s="190" t="s">
        <v>158</v>
      </c>
      <c r="B77" s="44">
        <v>7</v>
      </c>
      <c r="C77" s="39">
        <v>1</v>
      </c>
      <c r="D77" s="39">
        <v>0</v>
      </c>
      <c r="E77" s="39">
        <v>2</v>
      </c>
      <c r="F77" s="194">
        <v>1</v>
      </c>
      <c r="G77" s="196">
        <f t="shared" si="4"/>
        <v>11</v>
      </c>
      <c r="H77" s="203">
        <v>0</v>
      </c>
      <c r="I77" s="204">
        <v>0</v>
      </c>
      <c r="J77" s="204">
        <v>0</v>
      </c>
      <c r="K77" s="204">
        <v>0</v>
      </c>
      <c r="L77" s="204">
        <v>0</v>
      </c>
      <c r="M77" s="205">
        <v>0</v>
      </c>
      <c r="N77" s="85">
        <f t="shared" si="5"/>
        <v>11</v>
      </c>
      <c r="O77" s="43">
        <f t="shared" si="6"/>
        <v>18</v>
      </c>
    </row>
    <row r="78" spans="1:15" ht="22.5" customHeight="1" x14ac:dyDescent="0.3">
      <c r="A78" s="190" t="s">
        <v>159</v>
      </c>
      <c r="B78" s="44">
        <v>8</v>
      </c>
      <c r="C78" s="39">
        <v>2</v>
      </c>
      <c r="D78" s="39">
        <v>1</v>
      </c>
      <c r="E78" s="39">
        <v>0</v>
      </c>
      <c r="F78" s="194">
        <v>0</v>
      </c>
      <c r="G78" s="196">
        <f t="shared" si="4"/>
        <v>11</v>
      </c>
      <c r="H78" s="203">
        <v>0</v>
      </c>
      <c r="I78" s="204">
        <v>0</v>
      </c>
      <c r="J78" s="204">
        <v>0</v>
      </c>
      <c r="K78" s="204">
        <v>0</v>
      </c>
      <c r="L78" s="204">
        <v>0</v>
      </c>
      <c r="M78" s="205">
        <v>0</v>
      </c>
      <c r="N78" s="85">
        <f t="shared" si="5"/>
        <v>11</v>
      </c>
      <c r="O78" s="43">
        <f t="shared" si="6"/>
        <v>10.5</v>
      </c>
    </row>
    <row r="79" spans="1:15" ht="22.5" customHeight="1" x14ac:dyDescent="0.3">
      <c r="A79" s="190" t="s">
        <v>160</v>
      </c>
      <c r="B79" s="44">
        <v>8</v>
      </c>
      <c r="C79" s="39">
        <v>1</v>
      </c>
      <c r="D79" s="39">
        <v>2</v>
      </c>
      <c r="E79" s="39">
        <v>1</v>
      </c>
      <c r="F79" s="194">
        <v>3</v>
      </c>
      <c r="G79" s="196">
        <f t="shared" si="4"/>
        <v>15</v>
      </c>
      <c r="H79" s="203">
        <v>0</v>
      </c>
      <c r="I79" s="204">
        <v>0</v>
      </c>
      <c r="J79" s="204">
        <v>0</v>
      </c>
      <c r="K79" s="204">
        <v>0</v>
      </c>
      <c r="L79" s="204">
        <v>0</v>
      </c>
      <c r="M79" s="205">
        <v>0</v>
      </c>
      <c r="N79" s="85">
        <f t="shared" si="5"/>
        <v>15</v>
      </c>
      <c r="O79" s="43">
        <f t="shared" si="6"/>
        <v>28</v>
      </c>
    </row>
    <row r="80" spans="1:15" ht="22.5" customHeight="1" x14ac:dyDescent="0.3">
      <c r="A80" s="190" t="s">
        <v>161</v>
      </c>
      <c r="B80" s="44">
        <v>0</v>
      </c>
      <c r="C80" s="39">
        <v>2</v>
      </c>
      <c r="D80" s="39">
        <v>0</v>
      </c>
      <c r="E80" s="39">
        <v>0</v>
      </c>
      <c r="F80" s="194">
        <v>0</v>
      </c>
      <c r="G80" s="196">
        <f t="shared" si="4"/>
        <v>2</v>
      </c>
      <c r="H80" s="203">
        <v>0</v>
      </c>
      <c r="I80" s="204">
        <v>0</v>
      </c>
      <c r="J80" s="204">
        <v>0</v>
      </c>
      <c r="K80" s="204">
        <v>0</v>
      </c>
      <c r="L80" s="204">
        <v>0</v>
      </c>
      <c r="M80" s="205">
        <v>0</v>
      </c>
      <c r="N80" s="85">
        <f t="shared" si="5"/>
        <v>2</v>
      </c>
      <c r="O80" s="43">
        <f t="shared" si="6"/>
        <v>1</v>
      </c>
    </row>
    <row r="81" spans="1:15" ht="22.5" customHeight="1" x14ac:dyDescent="0.3">
      <c r="A81" s="190" t="s">
        <v>162</v>
      </c>
      <c r="B81" s="44">
        <v>0</v>
      </c>
      <c r="C81" s="39">
        <v>1</v>
      </c>
      <c r="D81" s="39">
        <v>0</v>
      </c>
      <c r="E81" s="39">
        <v>0</v>
      </c>
      <c r="F81" s="194">
        <v>0</v>
      </c>
      <c r="G81" s="196">
        <f t="shared" si="4"/>
        <v>1</v>
      </c>
      <c r="H81" s="203">
        <v>0</v>
      </c>
      <c r="I81" s="204">
        <v>0</v>
      </c>
      <c r="J81" s="204">
        <v>0</v>
      </c>
      <c r="K81" s="204">
        <v>0</v>
      </c>
      <c r="L81" s="204">
        <v>0</v>
      </c>
      <c r="M81" s="205">
        <v>0</v>
      </c>
      <c r="N81" s="85">
        <f t="shared" si="5"/>
        <v>1</v>
      </c>
      <c r="O81" s="43">
        <f t="shared" si="6"/>
        <v>0.5</v>
      </c>
    </row>
    <row r="82" spans="1:15" ht="22.5" customHeight="1" x14ac:dyDescent="0.3">
      <c r="A82" s="190" t="s">
        <v>163</v>
      </c>
      <c r="B82" s="44">
        <v>2</v>
      </c>
      <c r="C82" s="39">
        <v>2</v>
      </c>
      <c r="D82" s="39">
        <v>3</v>
      </c>
      <c r="E82" s="39">
        <v>0</v>
      </c>
      <c r="F82" s="194">
        <v>0</v>
      </c>
      <c r="G82" s="196">
        <f t="shared" si="4"/>
        <v>7</v>
      </c>
      <c r="H82" s="203">
        <v>0</v>
      </c>
      <c r="I82" s="204">
        <v>0</v>
      </c>
      <c r="J82" s="204">
        <v>0</v>
      </c>
      <c r="K82" s="204">
        <v>0</v>
      </c>
      <c r="L82" s="204">
        <v>0</v>
      </c>
      <c r="M82" s="205">
        <v>0</v>
      </c>
      <c r="N82" s="85">
        <f t="shared" si="5"/>
        <v>7</v>
      </c>
      <c r="O82" s="43">
        <f t="shared" si="6"/>
        <v>7.5</v>
      </c>
    </row>
    <row r="83" spans="1:15" ht="22.5" customHeight="1" x14ac:dyDescent="0.3">
      <c r="A83" s="190" t="s">
        <v>164</v>
      </c>
      <c r="B83" s="44">
        <v>0</v>
      </c>
      <c r="C83" s="39">
        <v>0</v>
      </c>
      <c r="D83" s="39">
        <v>0</v>
      </c>
      <c r="E83" s="39">
        <v>1</v>
      </c>
      <c r="F83" s="194">
        <v>0</v>
      </c>
      <c r="G83" s="196">
        <f t="shared" si="4"/>
        <v>1</v>
      </c>
      <c r="H83" s="203">
        <v>0</v>
      </c>
      <c r="I83" s="204">
        <v>0</v>
      </c>
      <c r="J83" s="204">
        <v>0</v>
      </c>
      <c r="K83" s="204">
        <v>0</v>
      </c>
      <c r="L83" s="204">
        <v>0</v>
      </c>
      <c r="M83" s="205">
        <v>0</v>
      </c>
      <c r="N83" s="85">
        <f t="shared" si="5"/>
        <v>1</v>
      </c>
      <c r="O83" s="43">
        <f t="shared" si="6"/>
        <v>3</v>
      </c>
    </row>
    <row r="84" spans="1:15" ht="22.5" customHeight="1" x14ac:dyDescent="0.3">
      <c r="A84" s="190" t="s">
        <v>165</v>
      </c>
      <c r="B84" s="44">
        <v>2</v>
      </c>
      <c r="C84" s="39">
        <v>1</v>
      </c>
      <c r="D84" s="39">
        <v>1</v>
      </c>
      <c r="E84" s="39">
        <v>0</v>
      </c>
      <c r="F84" s="194">
        <v>0</v>
      </c>
      <c r="G84" s="196">
        <f t="shared" si="4"/>
        <v>4</v>
      </c>
      <c r="H84" s="203">
        <v>0</v>
      </c>
      <c r="I84" s="204">
        <v>0</v>
      </c>
      <c r="J84" s="204">
        <v>0</v>
      </c>
      <c r="K84" s="204">
        <v>0</v>
      </c>
      <c r="L84" s="204">
        <v>0</v>
      </c>
      <c r="M84" s="205">
        <v>0</v>
      </c>
      <c r="N84" s="85">
        <f t="shared" si="5"/>
        <v>4</v>
      </c>
      <c r="O84" s="43">
        <f t="shared" si="6"/>
        <v>4</v>
      </c>
    </row>
    <row r="85" spans="1:15" ht="22.5" customHeight="1" x14ac:dyDescent="0.3">
      <c r="A85" s="190" t="s">
        <v>166</v>
      </c>
      <c r="B85" s="44">
        <v>2</v>
      </c>
      <c r="C85" s="39">
        <v>2</v>
      </c>
      <c r="D85" s="39">
        <v>2</v>
      </c>
      <c r="E85" s="39">
        <v>2</v>
      </c>
      <c r="F85" s="194">
        <v>0</v>
      </c>
      <c r="G85" s="196">
        <f t="shared" si="4"/>
        <v>8</v>
      </c>
      <c r="H85" s="203">
        <v>0</v>
      </c>
      <c r="I85" s="204">
        <v>0</v>
      </c>
      <c r="J85" s="204">
        <v>0</v>
      </c>
      <c r="K85" s="204">
        <v>0</v>
      </c>
      <c r="L85" s="204">
        <v>0</v>
      </c>
      <c r="M85" s="205">
        <v>0</v>
      </c>
      <c r="N85" s="85">
        <f t="shared" si="5"/>
        <v>8</v>
      </c>
      <c r="O85" s="43">
        <f t="shared" si="6"/>
        <v>12</v>
      </c>
    </row>
    <row r="86" spans="1:15" ht="22.5" customHeight="1" x14ac:dyDescent="0.3">
      <c r="A86" s="190" t="s">
        <v>167</v>
      </c>
      <c r="B86" s="44">
        <v>5</v>
      </c>
      <c r="C86" s="39">
        <v>0</v>
      </c>
      <c r="D86" s="39">
        <v>0</v>
      </c>
      <c r="E86" s="39">
        <v>0</v>
      </c>
      <c r="F86" s="194">
        <v>0</v>
      </c>
      <c r="G86" s="196">
        <f t="shared" si="4"/>
        <v>5</v>
      </c>
      <c r="H86" s="203">
        <v>0</v>
      </c>
      <c r="I86" s="204">
        <v>0</v>
      </c>
      <c r="J86" s="204">
        <v>0</v>
      </c>
      <c r="K86" s="204">
        <v>0</v>
      </c>
      <c r="L86" s="204">
        <v>0</v>
      </c>
      <c r="M86" s="205">
        <v>0</v>
      </c>
      <c r="N86" s="85">
        <f t="shared" si="5"/>
        <v>5</v>
      </c>
      <c r="O86" s="43">
        <f t="shared" si="6"/>
        <v>5</v>
      </c>
    </row>
    <row r="87" spans="1:15" ht="22.5" customHeight="1" x14ac:dyDescent="0.3">
      <c r="A87" s="190" t="s">
        <v>168</v>
      </c>
      <c r="B87" s="44">
        <v>5</v>
      </c>
      <c r="C87" s="39">
        <v>0</v>
      </c>
      <c r="D87" s="39">
        <v>0</v>
      </c>
      <c r="E87" s="39">
        <v>1</v>
      </c>
      <c r="F87" s="194">
        <v>0</v>
      </c>
      <c r="G87" s="196">
        <f t="shared" si="4"/>
        <v>6</v>
      </c>
      <c r="H87" s="203">
        <v>0</v>
      </c>
      <c r="I87" s="204">
        <v>0</v>
      </c>
      <c r="J87" s="204">
        <v>0</v>
      </c>
      <c r="K87" s="204">
        <v>0</v>
      </c>
      <c r="L87" s="204">
        <v>0</v>
      </c>
      <c r="M87" s="205">
        <v>0</v>
      </c>
      <c r="N87" s="85">
        <f t="shared" si="5"/>
        <v>6</v>
      </c>
      <c r="O87" s="43">
        <f t="shared" si="6"/>
        <v>8</v>
      </c>
    </row>
    <row r="88" spans="1:15" ht="22.5" customHeight="1" x14ac:dyDescent="0.3">
      <c r="A88" s="190" t="s">
        <v>169</v>
      </c>
      <c r="B88" s="44">
        <v>3</v>
      </c>
      <c r="C88" s="39">
        <v>0</v>
      </c>
      <c r="D88" s="39">
        <v>2</v>
      </c>
      <c r="E88" s="39">
        <v>0</v>
      </c>
      <c r="F88" s="194">
        <v>1</v>
      </c>
      <c r="G88" s="196">
        <f t="shared" si="4"/>
        <v>6</v>
      </c>
      <c r="H88" s="203">
        <v>0</v>
      </c>
      <c r="I88" s="204">
        <v>0</v>
      </c>
      <c r="J88" s="204">
        <v>0</v>
      </c>
      <c r="K88" s="204">
        <v>0</v>
      </c>
      <c r="L88" s="204">
        <v>0</v>
      </c>
      <c r="M88" s="205">
        <v>0</v>
      </c>
      <c r="N88" s="85">
        <f t="shared" si="5"/>
        <v>6</v>
      </c>
      <c r="O88" s="43">
        <f t="shared" si="6"/>
        <v>10.5</v>
      </c>
    </row>
    <row r="89" spans="1:15" ht="22.5" customHeight="1" x14ac:dyDescent="0.3">
      <c r="A89" s="190" t="s">
        <v>170</v>
      </c>
      <c r="B89" s="44">
        <v>1</v>
      </c>
      <c r="C89" s="39">
        <v>2</v>
      </c>
      <c r="D89" s="39">
        <v>1</v>
      </c>
      <c r="E89" s="39">
        <v>2</v>
      </c>
      <c r="F89" s="194">
        <v>0</v>
      </c>
      <c r="G89" s="196">
        <f t="shared" si="4"/>
        <v>6</v>
      </c>
      <c r="H89" s="203">
        <v>0</v>
      </c>
      <c r="I89" s="204">
        <v>0</v>
      </c>
      <c r="J89" s="204">
        <v>0</v>
      </c>
      <c r="K89" s="204">
        <v>0</v>
      </c>
      <c r="L89" s="204">
        <v>0</v>
      </c>
      <c r="M89" s="205">
        <v>0</v>
      </c>
      <c r="N89" s="85">
        <f t="shared" si="5"/>
        <v>6</v>
      </c>
      <c r="O89" s="43">
        <f t="shared" si="6"/>
        <v>9.5</v>
      </c>
    </row>
    <row r="90" spans="1:15" ht="22.5" customHeight="1" x14ac:dyDescent="0.3">
      <c r="A90" s="190" t="s">
        <v>171</v>
      </c>
      <c r="B90" s="44">
        <v>7</v>
      </c>
      <c r="C90" s="39">
        <v>2</v>
      </c>
      <c r="D90" s="39">
        <v>4</v>
      </c>
      <c r="E90" s="39">
        <v>0</v>
      </c>
      <c r="F90" s="194">
        <v>0</v>
      </c>
      <c r="G90" s="196">
        <f t="shared" si="4"/>
        <v>13</v>
      </c>
      <c r="H90" s="203">
        <v>0</v>
      </c>
      <c r="I90" s="204">
        <v>0</v>
      </c>
      <c r="J90" s="204">
        <v>0</v>
      </c>
      <c r="K90" s="204">
        <v>0</v>
      </c>
      <c r="L90" s="204">
        <v>0</v>
      </c>
      <c r="M90" s="205">
        <v>0</v>
      </c>
      <c r="N90" s="85">
        <f t="shared" si="5"/>
        <v>13</v>
      </c>
      <c r="O90" s="43">
        <f t="shared" si="6"/>
        <v>14</v>
      </c>
    </row>
    <row r="91" spans="1:15" ht="22.5" customHeight="1" x14ac:dyDescent="0.3">
      <c r="A91" s="190" t="s">
        <v>172</v>
      </c>
      <c r="B91" s="44">
        <v>8</v>
      </c>
      <c r="C91" s="39">
        <v>1</v>
      </c>
      <c r="D91" s="39">
        <v>2</v>
      </c>
      <c r="E91" s="39">
        <v>0</v>
      </c>
      <c r="F91" s="194">
        <v>1</v>
      </c>
      <c r="G91" s="196">
        <f t="shared" si="4"/>
        <v>12</v>
      </c>
      <c r="H91" s="203">
        <v>0</v>
      </c>
      <c r="I91" s="204">
        <v>0</v>
      </c>
      <c r="J91" s="204">
        <v>0</v>
      </c>
      <c r="K91" s="204">
        <v>0</v>
      </c>
      <c r="L91" s="204">
        <v>0</v>
      </c>
      <c r="M91" s="205">
        <v>0</v>
      </c>
      <c r="N91" s="85">
        <f t="shared" si="5"/>
        <v>12</v>
      </c>
      <c r="O91" s="43">
        <f t="shared" si="6"/>
        <v>16</v>
      </c>
    </row>
    <row r="92" spans="1:15" ht="22.5" customHeight="1" x14ac:dyDescent="0.3">
      <c r="A92" s="190" t="s">
        <v>173</v>
      </c>
      <c r="B92" s="44">
        <v>11</v>
      </c>
      <c r="C92" s="39">
        <v>9</v>
      </c>
      <c r="D92" s="39">
        <v>0</v>
      </c>
      <c r="E92" s="39">
        <v>0</v>
      </c>
      <c r="F92" s="194">
        <v>0</v>
      </c>
      <c r="G92" s="196">
        <f t="shared" si="4"/>
        <v>20</v>
      </c>
      <c r="H92" s="203">
        <v>0</v>
      </c>
      <c r="I92" s="204">
        <v>0</v>
      </c>
      <c r="J92" s="204">
        <v>0</v>
      </c>
      <c r="K92" s="204">
        <v>0</v>
      </c>
      <c r="L92" s="204">
        <v>0</v>
      </c>
      <c r="M92" s="205">
        <v>0</v>
      </c>
      <c r="N92" s="85">
        <f t="shared" si="5"/>
        <v>20</v>
      </c>
      <c r="O92" s="43">
        <f t="shared" si="6"/>
        <v>15.5</v>
      </c>
    </row>
    <row r="93" spans="1:15" ht="22.5" customHeight="1" x14ac:dyDescent="0.3">
      <c r="A93" s="190" t="s">
        <v>174</v>
      </c>
      <c r="B93" s="44">
        <v>9</v>
      </c>
      <c r="C93" s="39">
        <v>8</v>
      </c>
      <c r="D93" s="39">
        <v>1</v>
      </c>
      <c r="E93" s="39">
        <v>0</v>
      </c>
      <c r="F93" s="194">
        <v>0</v>
      </c>
      <c r="G93" s="196">
        <f t="shared" si="4"/>
        <v>18</v>
      </c>
      <c r="H93" s="203">
        <v>0</v>
      </c>
      <c r="I93" s="204">
        <v>0</v>
      </c>
      <c r="J93" s="204">
        <v>0</v>
      </c>
      <c r="K93" s="204">
        <v>0</v>
      </c>
      <c r="L93" s="204">
        <v>0</v>
      </c>
      <c r="M93" s="205">
        <v>0</v>
      </c>
      <c r="N93" s="85">
        <f t="shared" si="5"/>
        <v>18</v>
      </c>
      <c r="O93" s="43">
        <f t="shared" si="6"/>
        <v>14.5</v>
      </c>
    </row>
    <row r="94" spans="1:15" ht="22.5" customHeight="1" x14ac:dyDescent="0.3">
      <c r="A94" s="190" t="s">
        <v>175</v>
      </c>
      <c r="B94" s="44">
        <v>9</v>
      </c>
      <c r="C94" s="39">
        <v>9</v>
      </c>
      <c r="D94" s="39">
        <v>1</v>
      </c>
      <c r="E94" s="39">
        <v>1</v>
      </c>
      <c r="F94" s="194">
        <v>0</v>
      </c>
      <c r="G94" s="196">
        <f t="shared" si="4"/>
        <v>20</v>
      </c>
      <c r="H94" s="203">
        <v>0</v>
      </c>
      <c r="I94" s="204">
        <v>0</v>
      </c>
      <c r="J94" s="204">
        <v>0</v>
      </c>
      <c r="K94" s="204">
        <v>0</v>
      </c>
      <c r="L94" s="204">
        <v>0</v>
      </c>
      <c r="M94" s="205">
        <v>0</v>
      </c>
      <c r="N94" s="85">
        <f t="shared" si="5"/>
        <v>20</v>
      </c>
      <c r="O94" s="43">
        <f t="shared" si="6"/>
        <v>18</v>
      </c>
    </row>
    <row r="95" spans="1:15" ht="22.5" customHeight="1" x14ac:dyDescent="0.3">
      <c r="A95" s="190" t="s">
        <v>176</v>
      </c>
      <c r="B95" s="44">
        <v>13</v>
      </c>
      <c r="C95" s="39">
        <v>3</v>
      </c>
      <c r="D95" s="39">
        <v>2</v>
      </c>
      <c r="E95" s="39">
        <v>0</v>
      </c>
      <c r="F95" s="194">
        <v>1</v>
      </c>
      <c r="G95" s="196">
        <f t="shared" si="4"/>
        <v>19</v>
      </c>
      <c r="H95" s="203">
        <v>0</v>
      </c>
      <c r="I95" s="204">
        <v>0</v>
      </c>
      <c r="J95" s="204">
        <v>0</v>
      </c>
      <c r="K95" s="204">
        <v>0</v>
      </c>
      <c r="L95" s="204">
        <v>1</v>
      </c>
      <c r="M95" s="205">
        <v>0</v>
      </c>
      <c r="N95" s="85">
        <f t="shared" si="5"/>
        <v>19</v>
      </c>
      <c r="O95" s="43">
        <f t="shared" si="6"/>
        <v>30</v>
      </c>
    </row>
    <row r="96" spans="1:15" ht="22.5" customHeight="1" x14ac:dyDescent="0.3">
      <c r="A96" s="190" t="s">
        <v>135</v>
      </c>
      <c r="B96" s="44">
        <v>22</v>
      </c>
      <c r="C96" s="39">
        <v>8</v>
      </c>
      <c r="D96" s="39">
        <v>2</v>
      </c>
      <c r="E96" s="39">
        <v>1</v>
      </c>
      <c r="F96" s="194">
        <v>0</v>
      </c>
      <c r="G96" s="196">
        <f t="shared" si="4"/>
        <v>33</v>
      </c>
      <c r="H96" s="203">
        <v>0</v>
      </c>
      <c r="I96" s="204">
        <v>0</v>
      </c>
      <c r="J96" s="204">
        <v>0</v>
      </c>
      <c r="K96" s="204">
        <v>0</v>
      </c>
      <c r="L96" s="204">
        <v>1</v>
      </c>
      <c r="M96" s="205">
        <v>0</v>
      </c>
      <c r="N96" s="85">
        <f t="shared" si="5"/>
        <v>33</v>
      </c>
      <c r="O96" s="43">
        <f t="shared" si="6"/>
        <v>40</v>
      </c>
    </row>
    <row r="97" spans="1:15" ht="22.5" customHeight="1" x14ac:dyDescent="0.3">
      <c r="A97" s="190" t="s">
        <v>136</v>
      </c>
      <c r="B97" s="44">
        <v>21</v>
      </c>
      <c r="C97" s="39">
        <v>5</v>
      </c>
      <c r="D97" s="39">
        <v>2</v>
      </c>
      <c r="E97" s="39">
        <v>1</v>
      </c>
      <c r="F97" s="194">
        <v>0</v>
      </c>
      <c r="G97" s="196">
        <f t="shared" si="4"/>
        <v>29</v>
      </c>
      <c r="H97" s="203">
        <v>0</v>
      </c>
      <c r="I97" s="204">
        <v>0</v>
      </c>
      <c r="J97" s="204">
        <v>0</v>
      </c>
      <c r="K97" s="204">
        <v>0</v>
      </c>
      <c r="L97" s="204">
        <v>2</v>
      </c>
      <c r="M97" s="205">
        <v>0</v>
      </c>
      <c r="N97" s="85">
        <f t="shared" si="5"/>
        <v>29</v>
      </c>
      <c r="O97" s="43">
        <f t="shared" si="6"/>
        <v>45.5</v>
      </c>
    </row>
    <row r="98" spans="1:15" ht="22.5" customHeight="1" x14ac:dyDescent="0.3">
      <c r="A98" s="190" t="s">
        <v>137</v>
      </c>
      <c r="B98" s="44">
        <v>24</v>
      </c>
      <c r="C98" s="39">
        <v>13</v>
      </c>
      <c r="D98" s="39">
        <v>2</v>
      </c>
      <c r="E98" s="39">
        <v>0</v>
      </c>
      <c r="F98" s="194">
        <v>1</v>
      </c>
      <c r="G98" s="196">
        <f t="shared" si="4"/>
        <v>40</v>
      </c>
      <c r="H98" s="203">
        <v>0</v>
      </c>
      <c r="I98" s="204">
        <v>0</v>
      </c>
      <c r="J98" s="204">
        <v>0</v>
      </c>
      <c r="K98" s="204">
        <v>0</v>
      </c>
      <c r="L98" s="204">
        <v>1</v>
      </c>
      <c r="M98" s="205">
        <v>0</v>
      </c>
      <c r="N98" s="85">
        <f t="shared" si="5"/>
        <v>40</v>
      </c>
      <c r="O98" s="43">
        <f t="shared" si="6"/>
        <v>46</v>
      </c>
    </row>
    <row r="99" spans="1:15" ht="22.5" customHeight="1" x14ac:dyDescent="0.3">
      <c r="A99" s="190" t="s">
        <v>138</v>
      </c>
      <c r="B99" s="44">
        <v>21</v>
      </c>
      <c r="C99" s="39">
        <v>8</v>
      </c>
      <c r="D99" s="39">
        <v>2</v>
      </c>
      <c r="E99" s="39">
        <v>0</v>
      </c>
      <c r="F99" s="194">
        <v>0</v>
      </c>
      <c r="G99" s="196">
        <f t="shared" si="4"/>
        <v>31</v>
      </c>
      <c r="H99" s="203">
        <v>0</v>
      </c>
      <c r="I99" s="204">
        <v>0</v>
      </c>
      <c r="J99" s="204">
        <v>0</v>
      </c>
      <c r="K99" s="204">
        <v>0</v>
      </c>
      <c r="L99" s="204">
        <v>1</v>
      </c>
      <c r="M99" s="205">
        <v>0</v>
      </c>
      <c r="N99" s="85">
        <f t="shared" si="5"/>
        <v>31</v>
      </c>
      <c r="O99" s="43">
        <f t="shared" si="6"/>
        <v>36</v>
      </c>
    </row>
    <row r="100" spans="1:15" ht="22.5" customHeight="1" x14ac:dyDescent="0.3">
      <c r="A100" s="190" t="s">
        <v>139</v>
      </c>
      <c r="B100" s="44">
        <v>38</v>
      </c>
      <c r="C100" s="39">
        <v>16</v>
      </c>
      <c r="D100" s="39">
        <v>0</v>
      </c>
      <c r="E100" s="39">
        <v>2</v>
      </c>
      <c r="F100" s="194">
        <v>0</v>
      </c>
      <c r="G100" s="196">
        <f t="shared" si="4"/>
        <v>56</v>
      </c>
      <c r="H100" s="203">
        <v>0</v>
      </c>
      <c r="I100" s="204">
        <v>0</v>
      </c>
      <c r="J100" s="204">
        <v>0</v>
      </c>
      <c r="K100" s="204">
        <v>0</v>
      </c>
      <c r="L100" s="204">
        <v>1</v>
      </c>
      <c r="M100" s="205">
        <v>0</v>
      </c>
      <c r="N100" s="85">
        <f t="shared" si="5"/>
        <v>56</v>
      </c>
      <c r="O100" s="43">
        <f t="shared" si="6"/>
        <v>60</v>
      </c>
    </row>
    <row r="101" spans="1:15" ht="22.5" customHeight="1" x14ac:dyDescent="0.3">
      <c r="A101" s="190" t="s">
        <v>140</v>
      </c>
      <c r="B101" s="44">
        <v>43</v>
      </c>
      <c r="C101" s="39">
        <v>21</v>
      </c>
      <c r="D101" s="39">
        <v>5</v>
      </c>
      <c r="E101" s="39">
        <v>0</v>
      </c>
      <c r="F101" s="194">
        <v>1</v>
      </c>
      <c r="G101" s="196">
        <f t="shared" si="4"/>
        <v>70</v>
      </c>
      <c r="H101" s="203">
        <v>0</v>
      </c>
      <c r="I101" s="204">
        <v>0</v>
      </c>
      <c r="J101" s="204">
        <v>0</v>
      </c>
      <c r="K101" s="204">
        <v>0</v>
      </c>
      <c r="L101" s="204">
        <v>2</v>
      </c>
      <c r="M101" s="205">
        <v>0</v>
      </c>
      <c r="N101" s="85">
        <f t="shared" si="5"/>
        <v>70</v>
      </c>
      <c r="O101" s="43">
        <f t="shared" si="6"/>
        <v>81.5</v>
      </c>
    </row>
    <row r="102" spans="1:15" ht="22.5" customHeight="1" x14ac:dyDescent="0.3">
      <c r="A102" s="190" t="s">
        <v>141</v>
      </c>
      <c r="B102" s="44">
        <v>15</v>
      </c>
      <c r="C102" s="39">
        <v>18</v>
      </c>
      <c r="D102" s="39">
        <v>1</v>
      </c>
      <c r="E102" s="39">
        <v>0</v>
      </c>
      <c r="F102" s="194">
        <v>2</v>
      </c>
      <c r="G102" s="196">
        <f t="shared" si="4"/>
        <v>36</v>
      </c>
      <c r="H102" s="203">
        <v>0</v>
      </c>
      <c r="I102" s="204">
        <v>0</v>
      </c>
      <c r="J102" s="204">
        <v>0</v>
      </c>
      <c r="K102" s="204">
        <v>0</v>
      </c>
      <c r="L102" s="204">
        <v>3</v>
      </c>
      <c r="M102" s="205">
        <v>0</v>
      </c>
      <c r="N102" s="85">
        <f t="shared" si="5"/>
        <v>36</v>
      </c>
      <c r="O102" s="43">
        <f t="shared" si="6"/>
        <v>58.5</v>
      </c>
    </row>
    <row r="103" spans="1:15" ht="22.5" customHeight="1" thickBot="1" x14ac:dyDescent="0.35">
      <c r="A103" s="191" t="s">
        <v>142</v>
      </c>
      <c r="B103" s="46">
        <v>21</v>
      </c>
      <c r="C103" s="47">
        <v>25</v>
      </c>
      <c r="D103" s="47">
        <v>2</v>
      </c>
      <c r="E103" s="47">
        <v>1</v>
      </c>
      <c r="F103" s="195">
        <v>3</v>
      </c>
      <c r="G103" s="197">
        <f t="shared" si="4"/>
        <v>52</v>
      </c>
      <c r="H103" s="206">
        <v>0</v>
      </c>
      <c r="I103" s="207">
        <v>0</v>
      </c>
      <c r="J103" s="207">
        <v>0</v>
      </c>
      <c r="K103" s="207">
        <v>0</v>
      </c>
      <c r="L103" s="207">
        <v>3</v>
      </c>
      <c r="M103" s="208">
        <v>0</v>
      </c>
      <c r="N103" s="116">
        <f t="shared" si="5"/>
        <v>52</v>
      </c>
      <c r="O103" s="84">
        <f t="shared" si="6"/>
        <v>77</v>
      </c>
    </row>
    <row r="104" spans="1:15" ht="22.5" customHeight="1" thickBot="1" x14ac:dyDescent="0.35">
      <c r="A104" s="86" t="s">
        <v>11</v>
      </c>
      <c r="B104" s="117">
        <f t="shared" ref="B104:N104" si="7">SUM(B8:B103)</f>
        <v>2644</v>
      </c>
      <c r="C104" s="117">
        <f t="shared" si="7"/>
        <v>1282</v>
      </c>
      <c r="D104" s="117">
        <f t="shared" si="7"/>
        <v>208</v>
      </c>
      <c r="E104" s="118">
        <f t="shared" si="7"/>
        <v>104</v>
      </c>
      <c r="F104" s="118">
        <f t="shared" si="7"/>
        <v>164</v>
      </c>
      <c r="G104" s="94">
        <f t="shared" si="7"/>
        <v>4402</v>
      </c>
      <c r="H104" s="117">
        <f t="shared" si="7"/>
        <v>3</v>
      </c>
      <c r="I104" s="117">
        <f t="shared" si="7"/>
        <v>1</v>
      </c>
      <c r="J104" s="117">
        <f t="shared" si="7"/>
        <v>0</v>
      </c>
      <c r="K104" s="118">
        <f t="shared" si="7"/>
        <v>0</v>
      </c>
      <c r="L104" s="118">
        <f t="shared" si="7"/>
        <v>53</v>
      </c>
      <c r="M104" s="199">
        <f>SUM(M8:M103)</f>
        <v>1</v>
      </c>
      <c r="N104" s="95">
        <f t="shared" si="7"/>
        <v>4403</v>
      </c>
      <c r="O104" s="142">
        <f>SUM(O8:O103)</f>
        <v>5074</v>
      </c>
    </row>
    <row r="105" spans="1:15" ht="22.5" customHeight="1" thickBot="1" x14ac:dyDescent="0.35">
      <c r="A105" s="41" t="s">
        <v>143</v>
      </c>
      <c r="B105" s="88">
        <f>+B104*1</f>
        <v>2644</v>
      </c>
      <c r="C105" s="88">
        <f>+C104*0.5</f>
        <v>641</v>
      </c>
      <c r="D105" s="88">
        <f>+D104*1.5</f>
        <v>312</v>
      </c>
      <c r="E105" s="88">
        <f>+E104*3</f>
        <v>312</v>
      </c>
      <c r="F105" s="89">
        <f>+F104*4.5</f>
        <v>738</v>
      </c>
      <c r="G105" s="90">
        <f>SUM(B105:F105)</f>
        <v>4647</v>
      </c>
      <c r="H105" s="88">
        <f>+H104*0.5</f>
        <v>1.5</v>
      </c>
      <c r="I105" s="89">
        <f>+I104*1.5</f>
        <v>1.5</v>
      </c>
      <c r="J105" s="89">
        <f>+J104*3</f>
        <v>0</v>
      </c>
      <c r="K105" s="96">
        <f>+K104*4</f>
        <v>0</v>
      </c>
      <c r="L105" s="96">
        <f>+L104*8</f>
        <v>424</v>
      </c>
      <c r="M105" s="147">
        <f>SUM(H105:L105)</f>
        <v>427</v>
      </c>
      <c r="N105" s="91"/>
      <c r="O105" s="92">
        <f>G105+M105</f>
        <v>5074</v>
      </c>
    </row>
    <row r="106" spans="1:15" ht="22.5" customHeight="1" thickBot="1" x14ac:dyDescent="0.35">
      <c r="A106" s="42" t="s">
        <v>12</v>
      </c>
      <c r="B106" s="93">
        <f t="shared" ref="B106:N106" si="8">B104/$N$104</f>
        <v>0.60049965932318872</v>
      </c>
      <c r="C106" s="93">
        <f t="shared" si="8"/>
        <v>0.29116511469452644</v>
      </c>
      <c r="D106" s="93">
        <f t="shared" si="8"/>
        <v>4.7240517828753124E-2</v>
      </c>
      <c r="E106" s="93">
        <f t="shared" si="8"/>
        <v>2.3620258914376562E-2</v>
      </c>
      <c r="F106" s="93">
        <f t="shared" si="8"/>
        <v>3.7247331364978424E-2</v>
      </c>
      <c r="G106" s="98">
        <f t="shared" si="8"/>
        <v>0.99977288212582327</v>
      </c>
      <c r="H106" s="93">
        <f t="shared" si="8"/>
        <v>6.8135362253009312E-4</v>
      </c>
      <c r="I106" s="93">
        <f t="shared" si="8"/>
        <v>2.2711787417669771E-4</v>
      </c>
      <c r="J106" s="93">
        <f t="shared" si="8"/>
        <v>0</v>
      </c>
      <c r="K106" s="97">
        <f t="shared" si="8"/>
        <v>0</v>
      </c>
      <c r="L106" s="97">
        <f t="shared" si="8"/>
        <v>1.2037247331364978E-2</v>
      </c>
      <c r="M106" s="98">
        <f t="shared" si="8"/>
        <v>2.2711787417669771E-4</v>
      </c>
      <c r="N106" s="99">
        <f t="shared" si="8"/>
        <v>1</v>
      </c>
      <c r="O106" s="94"/>
    </row>
    <row r="108" spans="1:15" s="4" customFormat="1" x14ac:dyDescent="0.3">
      <c r="A108" s="4" t="s">
        <v>103</v>
      </c>
      <c r="B108" s="4" t="str">
        <f>B2</f>
        <v>TMC-14 Number (D2)</v>
      </c>
    </row>
    <row r="109" spans="1:15" s="4" customFormat="1" x14ac:dyDescent="0.3">
      <c r="A109" s="4" t="s">
        <v>102</v>
      </c>
      <c r="B109" s="4" t="str">
        <f>B3</f>
        <v>D2</v>
      </c>
    </row>
    <row r="110" spans="1:15" s="4" customFormat="1" x14ac:dyDescent="0.3">
      <c r="A110" s="4" t="s">
        <v>104</v>
      </c>
      <c r="B110" s="4" t="str">
        <f>B4</f>
        <v>Chomu Pulia</v>
      </c>
      <c r="D110" s="4" t="str">
        <f>D4</f>
        <v>To:</v>
      </c>
    </row>
    <row r="111" spans="1:15" ht="16.2" thickBot="1" x14ac:dyDescent="0.35"/>
    <row r="112" spans="1:15" ht="25.2" customHeight="1" x14ac:dyDescent="0.3">
      <c r="A112" s="252" t="s">
        <v>95</v>
      </c>
      <c r="B112" s="258" t="s">
        <v>280</v>
      </c>
      <c r="C112" s="254" t="s">
        <v>281</v>
      </c>
      <c r="D112" s="250" t="s">
        <v>282</v>
      </c>
      <c r="E112" s="260" t="s">
        <v>283</v>
      </c>
      <c r="F112" s="256" t="s">
        <v>284</v>
      </c>
      <c r="G112" s="250" t="s">
        <v>129</v>
      </c>
      <c r="H112" s="248" t="s">
        <v>150</v>
      </c>
      <c r="I112" s="250" t="s">
        <v>151</v>
      </c>
      <c r="J112" s="250" t="s">
        <v>285</v>
      </c>
      <c r="K112" s="248" t="s">
        <v>286</v>
      </c>
      <c r="L112" s="250" t="s">
        <v>287</v>
      </c>
      <c r="M112" s="250" t="s">
        <v>78</v>
      </c>
      <c r="N112" s="250" t="s">
        <v>131</v>
      </c>
      <c r="O112" s="250" t="s">
        <v>132</v>
      </c>
    </row>
    <row r="113" spans="1:15" ht="43.5" customHeight="1" thickBot="1" x14ac:dyDescent="0.35">
      <c r="A113" s="253"/>
      <c r="B113" s="259"/>
      <c r="C113" s="255"/>
      <c r="D113" s="251"/>
      <c r="E113" s="261"/>
      <c r="F113" s="257"/>
      <c r="G113" s="259"/>
      <c r="H113" s="249"/>
      <c r="I113" s="251"/>
      <c r="J113" s="251"/>
      <c r="K113" s="249"/>
      <c r="L113" s="251"/>
      <c r="M113" s="251"/>
      <c r="N113" s="251"/>
      <c r="O113" s="251"/>
    </row>
    <row r="114" spans="1:15" ht="22.95" customHeight="1" x14ac:dyDescent="0.3">
      <c r="A114" s="52" t="s">
        <v>15</v>
      </c>
      <c r="B114" s="112">
        <f>B8+B9+B10+B11</f>
        <v>109</v>
      </c>
      <c r="C114" s="113">
        <f t="shared" ref="C114:F115" si="9">C8+C9+C10+C11</f>
        <v>52</v>
      </c>
      <c r="D114" s="113">
        <f t="shared" si="9"/>
        <v>13</v>
      </c>
      <c r="E114" s="113">
        <f t="shared" si="9"/>
        <v>6</v>
      </c>
      <c r="F114" s="113">
        <f t="shared" si="9"/>
        <v>4</v>
      </c>
      <c r="G114" s="49">
        <f t="shared" ref="G114:G145" si="10">SUM(B114:F114)</f>
        <v>184</v>
      </c>
      <c r="H114" s="112">
        <f t="shared" ref="H114" si="11">H8+H9+H10+H11</f>
        <v>1</v>
      </c>
      <c r="I114" s="113">
        <f t="shared" ref="I114:L114" si="12">I8+I9+I10+I11</f>
        <v>1</v>
      </c>
      <c r="J114" s="113">
        <f t="shared" si="12"/>
        <v>0</v>
      </c>
      <c r="K114" s="114">
        <f t="shared" si="12"/>
        <v>0</v>
      </c>
      <c r="L114" s="143">
        <f t="shared" si="12"/>
        <v>1</v>
      </c>
      <c r="M114" s="49">
        <f>SUM(H114:K114)</f>
        <v>2</v>
      </c>
      <c r="N114" s="40">
        <f>G114+M114</f>
        <v>186</v>
      </c>
      <c r="O114" s="115">
        <f>B114*1+C114*0.5+D114*1.5+E114*3+F114*4.5+H114*0.5+I114*1.5+J114*3+K114*4+L114*8</f>
        <v>200.5</v>
      </c>
    </row>
    <row r="115" spans="1:15" ht="22.95" customHeight="1" x14ac:dyDescent="0.3">
      <c r="A115" s="52" t="s">
        <v>16</v>
      </c>
      <c r="B115" s="44">
        <f>B9+B10+B11+B12</f>
        <v>95</v>
      </c>
      <c r="C115" s="39">
        <f t="shared" si="9"/>
        <v>55</v>
      </c>
      <c r="D115" s="39">
        <f t="shared" si="9"/>
        <v>11</v>
      </c>
      <c r="E115" s="39">
        <f t="shared" si="9"/>
        <v>3</v>
      </c>
      <c r="F115" s="39">
        <f t="shared" si="9"/>
        <v>6</v>
      </c>
      <c r="G115" s="50">
        <f t="shared" si="10"/>
        <v>170</v>
      </c>
      <c r="H115" s="44">
        <f t="shared" ref="H115:L115" si="13">H9+H10+H11+H12</f>
        <v>1</v>
      </c>
      <c r="I115" s="39">
        <f t="shared" si="13"/>
        <v>1</v>
      </c>
      <c r="J115" s="39">
        <f t="shared" si="13"/>
        <v>0</v>
      </c>
      <c r="K115" s="45">
        <f t="shared" si="13"/>
        <v>0</v>
      </c>
      <c r="L115" s="144">
        <f t="shared" si="13"/>
        <v>2</v>
      </c>
      <c r="M115" s="50">
        <f t="shared" ref="M115:M178" si="14">SUM(H115:K115)</f>
        <v>2</v>
      </c>
      <c r="N115" s="40">
        <f t="shared" ref="N115:N178" si="15">G115+M115</f>
        <v>172</v>
      </c>
      <c r="O115" s="43">
        <f t="shared" ref="O115:O178" si="16">B115*1+C115*0.5+D115*1.5+E115*3+F115*4.5+H115*0.5+I115*1.5+J115*3+K115*4+L115*8</f>
        <v>193</v>
      </c>
    </row>
    <row r="116" spans="1:15" ht="22.95" customHeight="1" x14ac:dyDescent="0.3">
      <c r="A116" s="52" t="s">
        <v>17</v>
      </c>
      <c r="B116" s="44">
        <f t="shared" ref="B116:F131" si="17">B10+B11+B12+B13</f>
        <v>112</v>
      </c>
      <c r="C116" s="39">
        <f t="shared" si="17"/>
        <v>61</v>
      </c>
      <c r="D116" s="39">
        <f t="shared" si="17"/>
        <v>8</v>
      </c>
      <c r="E116" s="39">
        <f t="shared" si="17"/>
        <v>3</v>
      </c>
      <c r="F116" s="39">
        <f t="shared" si="17"/>
        <v>5</v>
      </c>
      <c r="G116" s="50">
        <f t="shared" si="10"/>
        <v>189</v>
      </c>
      <c r="H116" s="44">
        <f t="shared" ref="H116:L116" si="18">H10+H11+H12+H13</f>
        <v>1</v>
      </c>
      <c r="I116" s="39">
        <f t="shared" si="18"/>
        <v>0</v>
      </c>
      <c r="J116" s="39">
        <f t="shared" si="18"/>
        <v>0</v>
      </c>
      <c r="K116" s="45">
        <f t="shared" si="18"/>
        <v>0</v>
      </c>
      <c r="L116" s="144">
        <f t="shared" si="18"/>
        <v>2</v>
      </c>
      <c r="M116" s="50">
        <f t="shared" si="14"/>
        <v>1</v>
      </c>
      <c r="N116" s="40">
        <f t="shared" si="15"/>
        <v>190</v>
      </c>
      <c r="O116" s="43">
        <f t="shared" si="16"/>
        <v>202.5</v>
      </c>
    </row>
    <row r="117" spans="1:15" ht="22.95" customHeight="1" x14ac:dyDescent="0.3">
      <c r="A117" s="52" t="s">
        <v>18</v>
      </c>
      <c r="B117" s="44">
        <f t="shared" si="17"/>
        <v>113</v>
      </c>
      <c r="C117" s="39">
        <f t="shared" si="17"/>
        <v>56</v>
      </c>
      <c r="D117" s="39">
        <f t="shared" si="17"/>
        <v>6</v>
      </c>
      <c r="E117" s="39">
        <f t="shared" si="17"/>
        <v>6</v>
      </c>
      <c r="F117" s="39">
        <f t="shared" si="17"/>
        <v>5</v>
      </c>
      <c r="G117" s="50">
        <f t="shared" si="10"/>
        <v>186</v>
      </c>
      <c r="H117" s="44">
        <f t="shared" ref="H117:L117" si="19">H11+H12+H13+H14</f>
        <v>1</v>
      </c>
      <c r="I117" s="39">
        <f t="shared" si="19"/>
        <v>0</v>
      </c>
      <c r="J117" s="39">
        <f t="shared" si="19"/>
        <v>0</v>
      </c>
      <c r="K117" s="45">
        <f t="shared" si="19"/>
        <v>0</v>
      </c>
      <c r="L117" s="144">
        <f t="shared" si="19"/>
        <v>2</v>
      </c>
      <c r="M117" s="50">
        <f t="shared" si="14"/>
        <v>1</v>
      </c>
      <c r="N117" s="40">
        <f t="shared" si="15"/>
        <v>187</v>
      </c>
      <c r="O117" s="43">
        <f t="shared" si="16"/>
        <v>207</v>
      </c>
    </row>
    <row r="118" spans="1:15" ht="22.95" customHeight="1" x14ac:dyDescent="0.3">
      <c r="A118" s="52" t="s">
        <v>19</v>
      </c>
      <c r="B118" s="44">
        <f t="shared" si="17"/>
        <v>112</v>
      </c>
      <c r="C118" s="39">
        <f t="shared" si="17"/>
        <v>58</v>
      </c>
      <c r="D118" s="39">
        <f t="shared" si="17"/>
        <v>4</v>
      </c>
      <c r="E118" s="39">
        <f t="shared" si="17"/>
        <v>6</v>
      </c>
      <c r="F118" s="39">
        <f t="shared" si="17"/>
        <v>4</v>
      </c>
      <c r="G118" s="50">
        <f t="shared" si="10"/>
        <v>184</v>
      </c>
      <c r="H118" s="44">
        <f t="shared" ref="H118:L118" si="20">H12+H13+H14+H15</f>
        <v>0</v>
      </c>
      <c r="I118" s="39">
        <f t="shared" si="20"/>
        <v>0</v>
      </c>
      <c r="J118" s="39">
        <f t="shared" si="20"/>
        <v>0</v>
      </c>
      <c r="K118" s="45">
        <f t="shared" si="20"/>
        <v>0</v>
      </c>
      <c r="L118" s="144">
        <f t="shared" si="20"/>
        <v>2</v>
      </c>
      <c r="M118" s="50">
        <f t="shared" si="14"/>
        <v>0</v>
      </c>
      <c r="N118" s="40">
        <f t="shared" si="15"/>
        <v>184</v>
      </c>
      <c r="O118" s="43">
        <f t="shared" si="16"/>
        <v>199</v>
      </c>
    </row>
    <row r="119" spans="1:15" ht="22.95" customHeight="1" x14ac:dyDescent="0.3">
      <c r="A119" s="52" t="s">
        <v>20</v>
      </c>
      <c r="B119" s="44">
        <f t="shared" si="17"/>
        <v>114</v>
      </c>
      <c r="C119" s="39">
        <f t="shared" si="17"/>
        <v>57</v>
      </c>
      <c r="D119" s="39">
        <f t="shared" si="17"/>
        <v>7</v>
      </c>
      <c r="E119" s="39">
        <f t="shared" si="17"/>
        <v>5</v>
      </c>
      <c r="F119" s="39">
        <f t="shared" si="17"/>
        <v>2</v>
      </c>
      <c r="G119" s="50">
        <f t="shared" si="10"/>
        <v>185</v>
      </c>
      <c r="H119" s="44">
        <f t="shared" ref="H119:L119" si="21">H13+H14+H15+H16</f>
        <v>0</v>
      </c>
      <c r="I119" s="39">
        <f t="shared" si="21"/>
        <v>0</v>
      </c>
      <c r="J119" s="39">
        <f t="shared" si="21"/>
        <v>0</v>
      </c>
      <c r="K119" s="45">
        <f t="shared" si="21"/>
        <v>0</v>
      </c>
      <c r="L119" s="144">
        <f t="shared" si="21"/>
        <v>0</v>
      </c>
      <c r="M119" s="50">
        <f t="shared" si="14"/>
        <v>0</v>
      </c>
      <c r="N119" s="40">
        <f t="shared" si="15"/>
        <v>185</v>
      </c>
      <c r="O119" s="43">
        <f t="shared" si="16"/>
        <v>177</v>
      </c>
    </row>
    <row r="120" spans="1:15" ht="22.95" customHeight="1" x14ac:dyDescent="0.3">
      <c r="A120" s="52" t="s">
        <v>21</v>
      </c>
      <c r="B120" s="44">
        <f t="shared" si="17"/>
        <v>113</v>
      </c>
      <c r="C120" s="39">
        <f t="shared" si="17"/>
        <v>62</v>
      </c>
      <c r="D120" s="39">
        <f t="shared" si="17"/>
        <v>7</v>
      </c>
      <c r="E120" s="39">
        <f t="shared" si="17"/>
        <v>4</v>
      </c>
      <c r="F120" s="39">
        <f t="shared" si="17"/>
        <v>3</v>
      </c>
      <c r="G120" s="50">
        <f t="shared" si="10"/>
        <v>189</v>
      </c>
      <c r="H120" s="44">
        <f t="shared" ref="H120:L120" si="22">H14+H15+H16+H17</f>
        <v>0</v>
      </c>
      <c r="I120" s="39">
        <f t="shared" si="22"/>
        <v>0</v>
      </c>
      <c r="J120" s="39">
        <f t="shared" si="22"/>
        <v>0</v>
      </c>
      <c r="K120" s="45">
        <f t="shared" si="22"/>
        <v>0</v>
      </c>
      <c r="L120" s="144">
        <f t="shared" si="22"/>
        <v>1</v>
      </c>
      <c r="M120" s="50">
        <f t="shared" si="14"/>
        <v>0</v>
      </c>
      <c r="N120" s="40">
        <f t="shared" si="15"/>
        <v>189</v>
      </c>
      <c r="O120" s="43">
        <f t="shared" si="16"/>
        <v>188</v>
      </c>
    </row>
    <row r="121" spans="1:15" ht="22.95" customHeight="1" x14ac:dyDescent="0.3">
      <c r="A121" s="52" t="s">
        <v>22</v>
      </c>
      <c r="B121" s="44">
        <f t="shared" si="17"/>
        <v>124</v>
      </c>
      <c r="C121" s="39">
        <f t="shared" si="17"/>
        <v>69</v>
      </c>
      <c r="D121" s="39">
        <f t="shared" si="17"/>
        <v>5</v>
      </c>
      <c r="E121" s="39">
        <f t="shared" si="17"/>
        <v>2</v>
      </c>
      <c r="F121" s="39">
        <f t="shared" si="17"/>
        <v>4</v>
      </c>
      <c r="G121" s="50">
        <f t="shared" si="10"/>
        <v>204</v>
      </c>
      <c r="H121" s="44">
        <f t="shared" ref="H121:L121" si="23">H15+H16+H17+H18</f>
        <v>0</v>
      </c>
      <c r="I121" s="39">
        <f t="shared" si="23"/>
        <v>0</v>
      </c>
      <c r="J121" s="39">
        <f t="shared" si="23"/>
        <v>0</v>
      </c>
      <c r="K121" s="45">
        <f t="shared" si="23"/>
        <v>0</v>
      </c>
      <c r="L121" s="144">
        <f t="shared" si="23"/>
        <v>1</v>
      </c>
      <c r="M121" s="50">
        <f t="shared" si="14"/>
        <v>0</v>
      </c>
      <c r="N121" s="40">
        <f t="shared" si="15"/>
        <v>204</v>
      </c>
      <c r="O121" s="43">
        <f t="shared" si="16"/>
        <v>198</v>
      </c>
    </row>
    <row r="122" spans="1:15" ht="22.95" customHeight="1" x14ac:dyDescent="0.3">
      <c r="A122" s="52" t="s">
        <v>23</v>
      </c>
      <c r="B122" s="44">
        <f t="shared" si="17"/>
        <v>133</v>
      </c>
      <c r="C122" s="39">
        <f t="shared" si="17"/>
        <v>64</v>
      </c>
      <c r="D122" s="39">
        <f t="shared" si="17"/>
        <v>7</v>
      </c>
      <c r="E122" s="39">
        <f t="shared" si="17"/>
        <v>1</v>
      </c>
      <c r="F122" s="39">
        <f t="shared" si="17"/>
        <v>7</v>
      </c>
      <c r="G122" s="50">
        <f t="shared" si="10"/>
        <v>212</v>
      </c>
      <c r="H122" s="44">
        <f t="shared" ref="H122:L122" si="24">H16+H17+H18+H19</f>
        <v>0</v>
      </c>
      <c r="I122" s="39">
        <f t="shared" si="24"/>
        <v>0</v>
      </c>
      <c r="J122" s="39">
        <f t="shared" si="24"/>
        <v>0</v>
      </c>
      <c r="K122" s="45">
        <f t="shared" si="24"/>
        <v>0</v>
      </c>
      <c r="L122" s="144">
        <f t="shared" si="24"/>
        <v>1</v>
      </c>
      <c r="M122" s="50">
        <f t="shared" si="14"/>
        <v>0</v>
      </c>
      <c r="N122" s="40">
        <f t="shared" si="15"/>
        <v>212</v>
      </c>
      <c r="O122" s="43">
        <f t="shared" si="16"/>
        <v>218</v>
      </c>
    </row>
    <row r="123" spans="1:15" ht="22.95" customHeight="1" x14ac:dyDescent="0.3">
      <c r="A123" s="52" t="s">
        <v>24</v>
      </c>
      <c r="B123" s="44">
        <f t="shared" si="17"/>
        <v>145</v>
      </c>
      <c r="C123" s="39">
        <f t="shared" si="17"/>
        <v>63</v>
      </c>
      <c r="D123" s="39">
        <f t="shared" si="17"/>
        <v>3</v>
      </c>
      <c r="E123" s="39">
        <f t="shared" si="17"/>
        <v>1</v>
      </c>
      <c r="F123" s="39">
        <f t="shared" si="17"/>
        <v>8</v>
      </c>
      <c r="G123" s="50">
        <f t="shared" si="10"/>
        <v>220</v>
      </c>
      <c r="H123" s="44">
        <f t="shared" ref="H123:L123" si="25">H17+H18+H19+H20</f>
        <v>0</v>
      </c>
      <c r="I123" s="39">
        <f t="shared" si="25"/>
        <v>0</v>
      </c>
      <c r="J123" s="39">
        <f t="shared" si="25"/>
        <v>0</v>
      </c>
      <c r="K123" s="45">
        <f t="shared" si="25"/>
        <v>0</v>
      </c>
      <c r="L123" s="144">
        <f t="shared" si="25"/>
        <v>1</v>
      </c>
      <c r="M123" s="50">
        <f t="shared" si="14"/>
        <v>0</v>
      </c>
      <c r="N123" s="40">
        <f t="shared" si="15"/>
        <v>220</v>
      </c>
      <c r="O123" s="43">
        <f t="shared" si="16"/>
        <v>228</v>
      </c>
    </row>
    <row r="124" spans="1:15" ht="22.95" customHeight="1" x14ac:dyDescent="0.3">
      <c r="A124" s="52" t="s">
        <v>25</v>
      </c>
      <c r="B124" s="44">
        <f t="shared" si="17"/>
        <v>147</v>
      </c>
      <c r="C124" s="39">
        <f t="shared" si="17"/>
        <v>60</v>
      </c>
      <c r="D124" s="39">
        <f t="shared" si="17"/>
        <v>4</v>
      </c>
      <c r="E124" s="39">
        <f t="shared" si="17"/>
        <v>1</v>
      </c>
      <c r="F124" s="39">
        <f t="shared" si="17"/>
        <v>12</v>
      </c>
      <c r="G124" s="50">
        <f t="shared" si="10"/>
        <v>224</v>
      </c>
      <c r="H124" s="44">
        <f t="shared" ref="H124:L124" si="26">H18+H19+H20+H21</f>
        <v>0</v>
      </c>
      <c r="I124" s="39">
        <f t="shared" si="26"/>
        <v>0</v>
      </c>
      <c r="J124" s="39">
        <f t="shared" si="26"/>
        <v>0</v>
      </c>
      <c r="K124" s="45">
        <f t="shared" si="26"/>
        <v>0</v>
      </c>
      <c r="L124" s="144">
        <f t="shared" si="26"/>
        <v>2</v>
      </c>
      <c r="M124" s="50">
        <f t="shared" si="14"/>
        <v>0</v>
      </c>
      <c r="N124" s="40">
        <f t="shared" si="15"/>
        <v>224</v>
      </c>
      <c r="O124" s="43">
        <f t="shared" si="16"/>
        <v>256</v>
      </c>
    </row>
    <row r="125" spans="1:15" ht="22.95" customHeight="1" x14ac:dyDescent="0.3">
      <c r="A125" s="52" t="s">
        <v>26</v>
      </c>
      <c r="B125" s="44">
        <f t="shared" si="17"/>
        <v>139</v>
      </c>
      <c r="C125" s="39">
        <f t="shared" si="17"/>
        <v>63</v>
      </c>
      <c r="D125" s="39">
        <f t="shared" si="17"/>
        <v>7</v>
      </c>
      <c r="E125" s="39">
        <f t="shared" si="17"/>
        <v>0</v>
      </c>
      <c r="F125" s="39">
        <f t="shared" si="17"/>
        <v>14</v>
      </c>
      <c r="G125" s="50">
        <f t="shared" si="10"/>
        <v>223</v>
      </c>
      <c r="H125" s="44">
        <f t="shared" ref="H125:L125" si="27">H19+H20+H21+H22</f>
        <v>0</v>
      </c>
      <c r="I125" s="39">
        <f t="shared" si="27"/>
        <v>0</v>
      </c>
      <c r="J125" s="39">
        <f t="shared" si="27"/>
        <v>0</v>
      </c>
      <c r="K125" s="45">
        <f t="shared" si="27"/>
        <v>0</v>
      </c>
      <c r="L125" s="144">
        <f t="shared" si="27"/>
        <v>2</v>
      </c>
      <c r="M125" s="50">
        <f t="shared" si="14"/>
        <v>0</v>
      </c>
      <c r="N125" s="40">
        <f t="shared" si="15"/>
        <v>223</v>
      </c>
      <c r="O125" s="43">
        <f t="shared" si="16"/>
        <v>260</v>
      </c>
    </row>
    <row r="126" spans="1:15" ht="22.95" customHeight="1" x14ac:dyDescent="0.3">
      <c r="A126" s="52" t="s">
        <v>27</v>
      </c>
      <c r="B126" s="44">
        <f t="shared" si="17"/>
        <v>130</v>
      </c>
      <c r="C126" s="39">
        <f t="shared" si="17"/>
        <v>73</v>
      </c>
      <c r="D126" s="39">
        <f t="shared" si="17"/>
        <v>8</v>
      </c>
      <c r="E126" s="39">
        <f t="shared" si="17"/>
        <v>0</v>
      </c>
      <c r="F126" s="39">
        <f t="shared" si="17"/>
        <v>15</v>
      </c>
      <c r="G126" s="50">
        <f t="shared" si="10"/>
        <v>226</v>
      </c>
      <c r="H126" s="44">
        <f t="shared" ref="H126:L126" si="28">H20+H21+H22+H23</f>
        <v>0</v>
      </c>
      <c r="I126" s="39">
        <f t="shared" si="28"/>
        <v>0</v>
      </c>
      <c r="J126" s="39">
        <f t="shared" si="28"/>
        <v>0</v>
      </c>
      <c r="K126" s="45">
        <f t="shared" si="28"/>
        <v>0</v>
      </c>
      <c r="L126" s="144">
        <f t="shared" si="28"/>
        <v>2</v>
      </c>
      <c r="M126" s="50">
        <f t="shared" si="14"/>
        <v>0</v>
      </c>
      <c r="N126" s="40">
        <f t="shared" si="15"/>
        <v>226</v>
      </c>
      <c r="O126" s="43">
        <f t="shared" si="16"/>
        <v>262</v>
      </c>
    </row>
    <row r="127" spans="1:15" ht="22.95" customHeight="1" x14ac:dyDescent="0.3">
      <c r="A127" s="52" t="s">
        <v>28</v>
      </c>
      <c r="B127" s="44">
        <f t="shared" si="17"/>
        <v>125</v>
      </c>
      <c r="C127" s="39">
        <f t="shared" si="17"/>
        <v>75</v>
      </c>
      <c r="D127" s="39">
        <f t="shared" si="17"/>
        <v>9</v>
      </c>
      <c r="E127" s="39">
        <f t="shared" si="17"/>
        <v>3</v>
      </c>
      <c r="F127" s="39">
        <f t="shared" si="17"/>
        <v>13</v>
      </c>
      <c r="G127" s="50">
        <f t="shared" si="10"/>
        <v>225</v>
      </c>
      <c r="H127" s="44">
        <f t="shared" ref="H127:L127" si="29">H21+H22+H23+H24</f>
        <v>0</v>
      </c>
      <c r="I127" s="39">
        <f t="shared" si="29"/>
        <v>0</v>
      </c>
      <c r="J127" s="39">
        <f t="shared" si="29"/>
        <v>0</v>
      </c>
      <c r="K127" s="45">
        <f t="shared" si="29"/>
        <v>0</v>
      </c>
      <c r="L127" s="144">
        <f t="shared" si="29"/>
        <v>2</v>
      </c>
      <c r="M127" s="50">
        <f t="shared" si="14"/>
        <v>0</v>
      </c>
      <c r="N127" s="40">
        <f t="shared" si="15"/>
        <v>225</v>
      </c>
      <c r="O127" s="43">
        <f t="shared" si="16"/>
        <v>259.5</v>
      </c>
    </row>
    <row r="128" spans="1:15" ht="22.95" customHeight="1" x14ac:dyDescent="0.3">
      <c r="A128" s="52" t="s">
        <v>29</v>
      </c>
      <c r="B128" s="44">
        <f t="shared" si="17"/>
        <v>122</v>
      </c>
      <c r="C128" s="39">
        <f t="shared" si="17"/>
        <v>77</v>
      </c>
      <c r="D128" s="39">
        <f t="shared" si="17"/>
        <v>9</v>
      </c>
      <c r="E128" s="39">
        <f t="shared" si="17"/>
        <v>6</v>
      </c>
      <c r="F128" s="39">
        <f t="shared" si="17"/>
        <v>8</v>
      </c>
      <c r="G128" s="50">
        <f t="shared" si="10"/>
        <v>222</v>
      </c>
      <c r="H128" s="44">
        <f t="shared" ref="H128:L128" si="30">H22+H23+H24+H25</f>
        <v>0</v>
      </c>
      <c r="I128" s="39">
        <f t="shared" si="30"/>
        <v>0</v>
      </c>
      <c r="J128" s="39">
        <f t="shared" si="30"/>
        <v>0</v>
      </c>
      <c r="K128" s="45">
        <f t="shared" si="30"/>
        <v>0</v>
      </c>
      <c r="L128" s="144">
        <f t="shared" si="30"/>
        <v>2</v>
      </c>
      <c r="M128" s="50">
        <f t="shared" si="14"/>
        <v>0</v>
      </c>
      <c r="N128" s="40">
        <f t="shared" si="15"/>
        <v>222</v>
      </c>
      <c r="O128" s="43">
        <f t="shared" si="16"/>
        <v>244</v>
      </c>
    </row>
    <row r="129" spans="1:15" ht="22.95" customHeight="1" x14ac:dyDescent="0.3">
      <c r="A129" s="52" t="s">
        <v>30</v>
      </c>
      <c r="B129" s="44">
        <f t="shared" si="17"/>
        <v>138</v>
      </c>
      <c r="C129" s="39">
        <f t="shared" si="17"/>
        <v>88</v>
      </c>
      <c r="D129" s="39">
        <f t="shared" si="17"/>
        <v>8</v>
      </c>
      <c r="E129" s="39">
        <f t="shared" si="17"/>
        <v>6</v>
      </c>
      <c r="F129" s="39">
        <f t="shared" si="17"/>
        <v>5</v>
      </c>
      <c r="G129" s="50">
        <f t="shared" si="10"/>
        <v>245</v>
      </c>
      <c r="H129" s="44">
        <f t="shared" ref="H129:L129" si="31">H23+H24+H25+H26</f>
        <v>0</v>
      </c>
      <c r="I129" s="39">
        <f t="shared" si="31"/>
        <v>0</v>
      </c>
      <c r="J129" s="39">
        <f t="shared" si="31"/>
        <v>0</v>
      </c>
      <c r="K129" s="45">
        <f t="shared" si="31"/>
        <v>0</v>
      </c>
      <c r="L129" s="144">
        <f t="shared" si="31"/>
        <v>3</v>
      </c>
      <c r="M129" s="50">
        <f t="shared" si="14"/>
        <v>0</v>
      </c>
      <c r="N129" s="40">
        <f t="shared" si="15"/>
        <v>245</v>
      </c>
      <c r="O129" s="43">
        <f t="shared" si="16"/>
        <v>258.5</v>
      </c>
    </row>
    <row r="130" spans="1:15" ht="22.95" customHeight="1" x14ac:dyDescent="0.3">
      <c r="A130" s="52" t="s">
        <v>31</v>
      </c>
      <c r="B130" s="44">
        <f t="shared" si="17"/>
        <v>177</v>
      </c>
      <c r="C130" s="39">
        <f t="shared" si="17"/>
        <v>86</v>
      </c>
      <c r="D130" s="39">
        <f t="shared" si="17"/>
        <v>9</v>
      </c>
      <c r="E130" s="39">
        <f t="shared" si="17"/>
        <v>6</v>
      </c>
      <c r="F130" s="39">
        <f t="shared" si="17"/>
        <v>2</v>
      </c>
      <c r="G130" s="50">
        <f t="shared" si="10"/>
        <v>280</v>
      </c>
      <c r="H130" s="44">
        <f t="shared" ref="H130:L130" si="32">H24+H25+H26+H27</f>
        <v>0</v>
      </c>
      <c r="I130" s="39">
        <f t="shared" si="32"/>
        <v>0</v>
      </c>
      <c r="J130" s="39">
        <f t="shared" si="32"/>
        <v>0</v>
      </c>
      <c r="K130" s="45">
        <f t="shared" si="32"/>
        <v>0</v>
      </c>
      <c r="L130" s="144">
        <f t="shared" si="32"/>
        <v>3</v>
      </c>
      <c r="M130" s="50">
        <f t="shared" si="14"/>
        <v>0</v>
      </c>
      <c r="N130" s="40">
        <f t="shared" si="15"/>
        <v>280</v>
      </c>
      <c r="O130" s="43">
        <f t="shared" si="16"/>
        <v>284.5</v>
      </c>
    </row>
    <row r="131" spans="1:15" ht="22.95" customHeight="1" x14ac:dyDescent="0.3">
      <c r="A131" s="52" t="s">
        <v>32</v>
      </c>
      <c r="B131" s="44">
        <f t="shared" si="17"/>
        <v>208</v>
      </c>
      <c r="C131" s="39">
        <f t="shared" si="17"/>
        <v>95</v>
      </c>
      <c r="D131" s="39">
        <f t="shared" si="17"/>
        <v>8</v>
      </c>
      <c r="E131" s="39">
        <f t="shared" si="17"/>
        <v>3</v>
      </c>
      <c r="F131" s="39">
        <f t="shared" si="17"/>
        <v>3</v>
      </c>
      <c r="G131" s="50">
        <f t="shared" si="10"/>
        <v>317</v>
      </c>
      <c r="H131" s="44">
        <f t="shared" ref="H131:L131" si="33">H25+H26+H27+H28</f>
        <v>0</v>
      </c>
      <c r="I131" s="39">
        <f t="shared" si="33"/>
        <v>0</v>
      </c>
      <c r="J131" s="39">
        <f t="shared" si="33"/>
        <v>0</v>
      </c>
      <c r="K131" s="45">
        <f t="shared" si="33"/>
        <v>0</v>
      </c>
      <c r="L131" s="144">
        <f t="shared" si="33"/>
        <v>3</v>
      </c>
      <c r="M131" s="50">
        <f t="shared" si="14"/>
        <v>0</v>
      </c>
      <c r="N131" s="40">
        <f t="shared" si="15"/>
        <v>317</v>
      </c>
      <c r="O131" s="43">
        <f t="shared" si="16"/>
        <v>314</v>
      </c>
    </row>
    <row r="132" spans="1:15" ht="22.95" customHeight="1" x14ac:dyDescent="0.3">
      <c r="A132" s="52" t="s">
        <v>33</v>
      </c>
      <c r="B132" s="44">
        <f t="shared" ref="B132:F147" si="34">B26+B27+B28+B29</f>
        <v>240</v>
      </c>
      <c r="C132" s="39">
        <f t="shared" si="34"/>
        <v>100</v>
      </c>
      <c r="D132" s="39">
        <f t="shared" si="34"/>
        <v>8</v>
      </c>
      <c r="E132" s="39">
        <f t="shared" si="34"/>
        <v>2</v>
      </c>
      <c r="F132" s="39">
        <f t="shared" si="34"/>
        <v>4</v>
      </c>
      <c r="G132" s="50">
        <f t="shared" si="10"/>
        <v>354</v>
      </c>
      <c r="H132" s="44">
        <f t="shared" ref="H132:L132" si="35">H26+H27+H28+H29</f>
        <v>0</v>
      </c>
      <c r="I132" s="39">
        <f t="shared" si="35"/>
        <v>0</v>
      </c>
      <c r="J132" s="39">
        <f t="shared" si="35"/>
        <v>0</v>
      </c>
      <c r="K132" s="45">
        <f t="shared" si="35"/>
        <v>0</v>
      </c>
      <c r="L132" s="144">
        <f t="shared" si="35"/>
        <v>1</v>
      </c>
      <c r="M132" s="50">
        <f t="shared" si="14"/>
        <v>0</v>
      </c>
      <c r="N132" s="40">
        <f t="shared" si="15"/>
        <v>354</v>
      </c>
      <c r="O132" s="43">
        <f t="shared" si="16"/>
        <v>334</v>
      </c>
    </row>
    <row r="133" spans="1:15" ht="22.95" customHeight="1" x14ac:dyDescent="0.3">
      <c r="A133" s="52" t="s">
        <v>34</v>
      </c>
      <c r="B133" s="44">
        <f t="shared" si="34"/>
        <v>276</v>
      </c>
      <c r="C133" s="39">
        <f t="shared" si="34"/>
        <v>89</v>
      </c>
      <c r="D133" s="39">
        <f t="shared" si="34"/>
        <v>8</v>
      </c>
      <c r="E133" s="39">
        <f t="shared" si="34"/>
        <v>5</v>
      </c>
      <c r="F133" s="39">
        <f t="shared" si="34"/>
        <v>6</v>
      </c>
      <c r="G133" s="50">
        <f t="shared" si="10"/>
        <v>384</v>
      </c>
      <c r="H133" s="44">
        <f t="shared" ref="H133:L133" si="36">H27+H28+H29+H30</f>
        <v>0</v>
      </c>
      <c r="I133" s="39">
        <f t="shared" si="36"/>
        <v>0</v>
      </c>
      <c r="J133" s="39">
        <f t="shared" si="36"/>
        <v>0</v>
      </c>
      <c r="K133" s="45">
        <f t="shared" si="36"/>
        <v>0</v>
      </c>
      <c r="L133" s="144">
        <f t="shared" si="36"/>
        <v>2</v>
      </c>
      <c r="M133" s="50">
        <f t="shared" si="14"/>
        <v>0</v>
      </c>
      <c r="N133" s="40">
        <f t="shared" si="15"/>
        <v>384</v>
      </c>
      <c r="O133" s="43">
        <f t="shared" si="16"/>
        <v>390.5</v>
      </c>
    </row>
    <row r="134" spans="1:15" ht="22.95" customHeight="1" x14ac:dyDescent="0.3">
      <c r="A134" s="52" t="s">
        <v>35</v>
      </c>
      <c r="B134" s="44">
        <f t="shared" si="34"/>
        <v>289</v>
      </c>
      <c r="C134" s="39">
        <f t="shared" si="34"/>
        <v>85</v>
      </c>
      <c r="D134" s="39">
        <f t="shared" si="34"/>
        <v>7</v>
      </c>
      <c r="E134" s="39">
        <f t="shared" si="34"/>
        <v>6</v>
      </c>
      <c r="F134" s="39">
        <f t="shared" si="34"/>
        <v>7</v>
      </c>
      <c r="G134" s="50">
        <f t="shared" si="10"/>
        <v>394</v>
      </c>
      <c r="H134" s="44">
        <f t="shared" ref="H134:L134" si="37">H28+H29+H30+H31</f>
        <v>0</v>
      </c>
      <c r="I134" s="39">
        <f t="shared" si="37"/>
        <v>0</v>
      </c>
      <c r="J134" s="39">
        <f t="shared" si="37"/>
        <v>0</v>
      </c>
      <c r="K134" s="45">
        <f t="shared" si="37"/>
        <v>0</v>
      </c>
      <c r="L134" s="144">
        <f t="shared" si="37"/>
        <v>4</v>
      </c>
      <c r="M134" s="50">
        <f t="shared" si="14"/>
        <v>0</v>
      </c>
      <c r="N134" s="40">
        <f t="shared" si="15"/>
        <v>394</v>
      </c>
      <c r="O134" s="43">
        <f t="shared" si="16"/>
        <v>423.5</v>
      </c>
    </row>
    <row r="135" spans="1:15" ht="22.95" customHeight="1" x14ac:dyDescent="0.3">
      <c r="A135" s="52" t="s">
        <v>36</v>
      </c>
      <c r="B135" s="44">
        <f t="shared" si="34"/>
        <v>277</v>
      </c>
      <c r="C135" s="39">
        <f t="shared" si="34"/>
        <v>89</v>
      </c>
      <c r="D135" s="39">
        <f t="shared" si="34"/>
        <v>9</v>
      </c>
      <c r="E135" s="39">
        <f t="shared" si="34"/>
        <v>6</v>
      </c>
      <c r="F135" s="39">
        <f t="shared" si="34"/>
        <v>6</v>
      </c>
      <c r="G135" s="50">
        <f t="shared" si="10"/>
        <v>387</v>
      </c>
      <c r="H135" s="44">
        <f t="shared" ref="H135:L135" si="38">H29+H30+H31+H32</f>
        <v>0</v>
      </c>
      <c r="I135" s="39">
        <f t="shared" si="38"/>
        <v>0</v>
      </c>
      <c r="J135" s="39">
        <f t="shared" si="38"/>
        <v>0</v>
      </c>
      <c r="K135" s="45">
        <f t="shared" si="38"/>
        <v>0</v>
      </c>
      <c r="L135" s="144">
        <f t="shared" si="38"/>
        <v>4</v>
      </c>
      <c r="M135" s="50">
        <f t="shared" si="14"/>
        <v>0</v>
      </c>
      <c r="N135" s="40">
        <f t="shared" si="15"/>
        <v>387</v>
      </c>
      <c r="O135" s="43">
        <f t="shared" si="16"/>
        <v>412</v>
      </c>
    </row>
    <row r="136" spans="1:15" ht="22.95" customHeight="1" x14ac:dyDescent="0.3">
      <c r="A136" s="52" t="s">
        <v>37</v>
      </c>
      <c r="B136" s="44">
        <f t="shared" si="34"/>
        <v>257</v>
      </c>
      <c r="C136" s="39">
        <f t="shared" si="34"/>
        <v>94</v>
      </c>
      <c r="D136" s="39">
        <f t="shared" si="34"/>
        <v>9</v>
      </c>
      <c r="E136" s="39">
        <f t="shared" si="34"/>
        <v>6</v>
      </c>
      <c r="F136" s="39">
        <f t="shared" si="34"/>
        <v>5</v>
      </c>
      <c r="G136" s="50">
        <f t="shared" si="10"/>
        <v>371</v>
      </c>
      <c r="H136" s="44">
        <f t="shared" ref="H136:L136" si="39">H30+H31+H32+H33</f>
        <v>0</v>
      </c>
      <c r="I136" s="39">
        <f t="shared" si="39"/>
        <v>0</v>
      </c>
      <c r="J136" s="39">
        <f t="shared" si="39"/>
        <v>0</v>
      </c>
      <c r="K136" s="45">
        <f t="shared" si="39"/>
        <v>0</v>
      </c>
      <c r="L136" s="144">
        <f t="shared" si="39"/>
        <v>4</v>
      </c>
      <c r="M136" s="50">
        <f t="shared" si="14"/>
        <v>0</v>
      </c>
      <c r="N136" s="40">
        <f t="shared" si="15"/>
        <v>371</v>
      </c>
      <c r="O136" s="43">
        <f t="shared" si="16"/>
        <v>390</v>
      </c>
    </row>
    <row r="137" spans="1:15" ht="22.95" customHeight="1" x14ac:dyDescent="0.3">
      <c r="A137" s="52" t="s">
        <v>38</v>
      </c>
      <c r="B137" s="44">
        <f t="shared" si="34"/>
        <v>227</v>
      </c>
      <c r="C137" s="39">
        <f t="shared" si="34"/>
        <v>90</v>
      </c>
      <c r="D137" s="39">
        <f t="shared" si="34"/>
        <v>9</v>
      </c>
      <c r="E137" s="39">
        <f t="shared" si="34"/>
        <v>4</v>
      </c>
      <c r="F137" s="39">
        <f t="shared" si="34"/>
        <v>3</v>
      </c>
      <c r="G137" s="50">
        <f t="shared" si="10"/>
        <v>333</v>
      </c>
      <c r="H137" s="44">
        <f t="shared" ref="H137:L137" si="40">H31+H32+H33+H34</f>
        <v>0</v>
      </c>
      <c r="I137" s="39">
        <f t="shared" si="40"/>
        <v>0</v>
      </c>
      <c r="J137" s="39">
        <f t="shared" si="40"/>
        <v>0</v>
      </c>
      <c r="K137" s="45">
        <f t="shared" si="40"/>
        <v>0</v>
      </c>
      <c r="L137" s="144">
        <f t="shared" si="40"/>
        <v>2</v>
      </c>
      <c r="M137" s="50">
        <f t="shared" si="14"/>
        <v>0</v>
      </c>
      <c r="N137" s="40">
        <f t="shared" si="15"/>
        <v>333</v>
      </c>
      <c r="O137" s="43">
        <f t="shared" si="16"/>
        <v>327</v>
      </c>
    </row>
    <row r="138" spans="1:15" ht="22.95" customHeight="1" x14ac:dyDescent="0.3">
      <c r="A138" s="52" t="s">
        <v>39</v>
      </c>
      <c r="B138" s="44">
        <f t="shared" si="34"/>
        <v>191</v>
      </c>
      <c r="C138" s="39">
        <f t="shared" si="34"/>
        <v>98</v>
      </c>
      <c r="D138" s="39">
        <f t="shared" si="34"/>
        <v>7</v>
      </c>
      <c r="E138" s="39">
        <f t="shared" si="34"/>
        <v>5</v>
      </c>
      <c r="F138" s="39">
        <f t="shared" si="34"/>
        <v>4</v>
      </c>
      <c r="G138" s="50">
        <f t="shared" si="10"/>
        <v>305</v>
      </c>
      <c r="H138" s="44">
        <f t="shared" ref="H138:L138" si="41">H32+H33+H34+H35</f>
        <v>0</v>
      </c>
      <c r="I138" s="39">
        <f t="shared" si="41"/>
        <v>0</v>
      </c>
      <c r="J138" s="39">
        <f t="shared" si="41"/>
        <v>0</v>
      </c>
      <c r="K138" s="45">
        <f t="shared" si="41"/>
        <v>0</v>
      </c>
      <c r="L138" s="144">
        <f t="shared" si="41"/>
        <v>0</v>
      </c>
      <c r="M138" s="50">
        <f t="shared" si="14"/>
        <v>0</v>
      </c>
      <c r="N138" s="40">
        <f t="shared" si="15"/>
        <v>305</v>
      </c>
      <c r="O138" s="43">
        <f t="shared" si="16"/>
        <v>283.5</v>
      </c>
    </row>
    <row r="139" spans="1:15" ht="22.95" customHeight="1" x14ac:dyDescent="0.3">
      <c r="A139" s="52" t="s">
        <v>40</v>
      </c>
      <c r="B139" s="44">
        <f t="shared" si="34"/>
        <v>189</v>
      </c>
      <c r="C139" s="39">
        <f t="shared" si="34"/>
        <v>103</v>
      </c>
      <c r="D139" s="39">
        <f t="shared" si="34"/>
        <v>5</v>
      </c>
      <c r="E139" s="39">
        <f t="shared" si="34"/>
        <v>7</v>
      </c>
      <c r="F139" s="39">
        <f t="shared" si="34"/>
        <v>8</v>
      </c>
      <c r="G139" s="50">
        <f t="shared" si="10"/>
        <v>312</v>
      </c>
      <c r="H139" s="44">
        <f t="shared" ref="H139:L139" si="42">H33+H34+H35+H36</f>
        <v>0</v>
      </c>
      <c r="I139" s="39">
        <f t="shared" si="42"/>
        <v>0</v>
      </c>
      <c r="J139" s="39">
        <f t="shared" si="42"/>
        <v>0</v>
      </c>
      <c r="K139" s="45">
        <f t="shared" si="42"/>
        <v>0</v>
      </c>
      <c r="L139" s="144">
        <f t="shared" si="42"/>
        <v>0</v>
      </c>
      <c r="M139" s="50">
        <f t="shared" si="14"/>
        <v>0</v>
      </c>
      <c r="N139" s="40">
        <f t="shared" si="15"/>
        <v>312</v>
      </c>
      <c r="O139" s="43">
        <f t="shared" si="16"/>
        <v>305</v>
      </c>
    </row>
    <row r="140" spans="1:15" ht="22.95" customHeight="1" x14ac:dyDescent="0.3">
      <c r="A140" s="52" t="s">
        <v>41</v>
      </c>
      <c r="B140" s="44">
        <f t="shared" si="34"/>
        <v>189</v>
      </c>
      <c r="C140" s="39">
        <f t="shared" si="34"/>
        <v>103</v>
      </c>
      <c r="D140" s="39">
        <f t="shared" si="34"/>
        <v>6</v>
      </c>
      <c r="E140" s="39">
        <f t="shared" si="34"/>
        <v>6</v>
      </c>
      <c r="F140" s="39">
        <f t="shared" si="34"/>
        <v>11</v>
      </c>
      <c r="G140" s="50">
        <f t="shared" si="10"/>
        <v>315</v>
      </c>
      <c r="H140" s="44">
        <f t="shared" ref="H140:L140" si="43">H34+H35+H36+H37</f>
        <v>0</v>
      </c>
      <c r="I140" s="39">
        <f t="shared" si="43"/>
        <v>0</v>
      </c>
      <c r="J140" s="39">
        <f t="shared" si="43"/>
        <v>0</v>
      </c>
      <c r="K140" s="45">
        <f t="shared" si="43"/>
        <v>0</v>
      </c>
      <c r="L140" s="144">
        <f t="shared" si="43"/>
        <v>0</v>
      </c>
      <c r="M140" s="50">
        <f t="shared" si="14"/>
        <v>0</v>
      </c>
      <c r="N140" s="40">
        <f t="shared" si="15"/>
        <v>315</v>
      </c>
      <c r="O140" s="43">
        <f t="shared" si="16"/>
        <v>317</v>
      </c>
    </row>
    <row r="141" spans="1:15" ht="22.95" customHeight="1" x14ac:dyDescent="0.3">
      <c r="A141" s="52" t="s">
        <v>42</v>
      </c>
      <c r="B141" s="44">
        <f t="shared" si="34"/>
        <v>184</v>
      </c>
      <c r="C141" s="39">
        <f t="shared" si="34"/>
        <v>102</v>
      </c>
      <c r="D141" s="39">
        <f t="shared" si="34"/>
        <v>4</v>
      </c>
      <c r="E141" s="39">
        <f t="shared" si="34"/>
        <v>5</v>
      </c>
      <c r="F141" s="39">
        <f t="shared" si="34"/>
        <v>12</v>
      </c>
      <c r="G141" s="50">
        <f t="shared" si="10"/>
        <v>307</v>
      </c>
      <c r="H141" s="44">
        <f t="shared" ref="H141:L141" si="44">H35+H36+H37+H38</f>
        <v>0</v>
      </c>
      <c r="I141" s="39">
        <f t="shared" si="44"/>
        <v>0</v>
      </c>
      <c r="J141" s="39">
        <f t="shared" si="44"/>
        <v>0</v>
      </c>
      <c r="K141" s="45">
        <f t="shared" si="44"/>
        <v>0</v>
      </c>
      <c r="L141" s="144">
        <f t="shared" si="44"/>
        <v>0</v>
      </c>
      <c r="M141" s="50">
        <f t="shared" si="14"/>
        <v>0</v>
      </c>
      <c r="N141" s="40">
        <f t="shared" si="15"/>
        <v>307</v>
      </c>
      <c r="O141" s="43">
        <f t="shared" si="16"/>
        <v>310</v>
      </c>
    </row>
    <row r="142" spans="1:15" ht="22.95" customHeight="1" x14ac:dyDescent="0.3">
      <c r="A142" s="52" t="s">
        <v>43</v>
      </c>
      <c r="B142" s="44">
        <f t="shared" si="34"/>
        <v>168</v>
      </c>
      <c r="C142" s="39">
        <f t="shared" si="34"/>
        <v>92</v>
      </c>
      <c r="D142" s="39">
        <f t="shared" si="34"/>
        <v>6</v>
      </c>
      <c r="E142" s="39">
        <f t="shared" si="34"/>
        <v>6</v>
      </c>
      <c r="F142" s="39">
        <f t="shared" si="34"/>
        <v>10</v>
      </c>
      <c r="G142" s="50">
        <f t="shared" si="10"/>
        <v>282</v>
      </c>
      <c r="H142" s="44">
        <f t="shared" ref="H142:L142" si="45">H36+H37+H38+H39</f>
        <v>0</v>
      </c>
      <c r="I142" s="39">
        <f t="shared" si="45"/>
        <v>0</v>
      </c>
      <c r="J142" s="39">
        <f t="shared" si="45"/>
        <v>0</v>
      </c>
      <c r="K142" s="45">
        <f t="shared" si="45"/>
        <v>0</v>
      </c>
      <c r="L142" s="144">
        <f t="shared" si="45"/>
        <v>0</v>
      </c>
      <c r="M142" s="50">
        <f t="shared" si="14"/>
        <v>0</v>
      </c>
      <c r="N142" s="40">
        <f t="shared" si="15"/>
        <v>282</v>
      </c>
      <c r="O142" s="43">
        <f t="shared" si="16"/>
        <v>286</v>
      </c>
    </row>
    <row r="143" spans="1:15" ht="22.95" customHeight="1" x14ac:dyDescent="0.3">
      <c r="A143" s="52" t="s">
        <v>44</v>
      </c>
      <c r="B143" s="44">
        <f t="shared" si="34"/>
        <v>151</v>
      </c>
      <c r="C143" s="39">
        <f t="shared" si="34"/>
        <v>87</v>
      </c>
      <c r="D143" s="39">
        <f t="shared" si="34"/>
        <v>8</v>
      </c>
      <c r="E143" s="39">
        <f t="shared" si="34"/>
        <v>5</v>
      </c>
      <c r="F143" s="39">
        <f t="shared" si="34"/>
        <v>9</v>
      </c>
      <c r="G143" s="50">
        <f t="shared" si="10"/>
        <v>260</v>
      </c>
      <c r="H143" s="44">
        <f t="shared" ref="H143:L143" si="46">H37+H38+H39+H40</f>
        <v>0</v>
      </c>
      <c r="I143" s="39">
        <f t="shared" si="46"/>
        <v>0</v>
      </c>
      <c r="J143" s="39">
        <f t="shared" si="46"/>
        <v>0</v>
      </c>
      <c r="K143" s="45">
        <f t="shared" si="46"/>
        <v>0</v>
      </c>
      <c r="L143" s="144">
        <f t="shared" si="46"/>
        <v>2</v>
      </c>
      <c r="M143" s="50">
        <f t="shared" si="14"/>
        <v>0</v>
      </c>
      <c r="N143" s="40">
        <f t="shared" si="15"/>
        <v>260</v>
      </c>
      <c r="O143" s="43">
        <f t="shared" si="16"/>
        <v>278</v>
      </c>
    </row>
    <row r="144" spans="1:15" ht="22.95" customHeight="1" x14ac:dyDescent="0.3">
      <c r="A144" s="52" t="s">
        <v>45</v>
      </c>
      <c r="B144" s="44">
        <f t="shared" si="34"/>
        <v>150</v>
      </c>
      <c r="C144" s="39">
        <f t="shared" si="34"/>
        <v>75</v>
      </c>
      <c r="D144" s="39">
        <f t="shared" si="34"/>
        <v>13</v>
      </c>
      <c r="E144" s="39">
        <f t="shared" si="34"/>
        <v>4</v>
      </c>
      <c r="F144" s="39">
        <f t="shared" si="34"/>
        <v>12</v>
      </c>
      <c r="G144" s="50">
        <f t="shared" si="10"/>
        <v>254</v>
      </c>
      <c r="H144" s="44">
        <f t="shared" ref="H144:L144" si="47">H38+H39+H40+H41</f>
        <v>0</v>
      </c>
      <c r="I144" s="39">
        <f t="shared" si="47"/>
        <v>0</v>
      </c>
      <c r="J144" s="39">
        <f t="shared" si="47"/>
        <v>0</v>
      </c>
      <c r="K144" s="45">
        <f t="shared" si="47"/>
        <v>0</v>
      </c>
      <c r="L144" s="144">
        <f t="shared" si="47"/>
        <v>5</v>
      </c>
      <c r="M144" s="50">
        <f t="shared" si="14"/>
        <v>0</v>
      </c>
      <c r="N144" s="40">
        <f t="shared" si="15"/>
        <v>254</v>
      </c>
      <c r="O144" s="43">
        <f t="shared" si="16"/>
        <v>313</v>
      </c>
    </row>
    <row r="145" spans="1:15" ht="22.95" customHeight="1" x14ac:dyDescent="0.3">
      <c r="A145" s="52" t="s">
        <v>46</v>
      </c>
      <c r="B145" s="44">
        <f t="shared" si="34"/>
        <v>158</v>
      </c>
      <c r="C145" s="39">
        <f t="shared" si="34"/>
        <v>77</v>
      </c>
      <c r="D145" s="39">
        <f t="shared" si="34"/>
        <v>14</v>
      </c>
      <c r="E145" s="39">
        <f t="shared" si="34"/>
        <v>4</v>
      </c>
      <c r="F145" s="39">
        <f t="shared" si="34"/>
        <v>15</v>
      </c>
      <c r="G145" s="50">
        <f t="shared" si="10"/>
        <v>268</v>
      </c>
      <c r="H145" s="44">
        <f t="shared" ref="H145:L145" si="48">H39+H40+H41+H42</f>
        <v>0</v>
      </c>
      <c r="I145" s="39">
        <f t="shared" si="48"/>
        <v>0</v>
      </c>
      <c r="J145" s="39">
        <f t="shared" si="48"/>
        <v>0</v>
      </c>
      <c r="K145" s="45">
        <f t="shared" si="48"/>
        <v>0</v>
      </c>
      <c r="L145" s="144">
        <f t="shared" si="48"/>
        <v>7</v>
      </c>
      <c r="M145" s="50">
        <f t="shared" si="14"/>
        <v>0</v>
      </c>
      <c r="N145" s="40">
        <f t="shared" si="15"/>
        <v>268</v>
      </c>
      <c r="O145" s="43">
        <f t="shared" si="16"/>
        <v>353</v>
      </c>
    </row>
    <row r="146" spans="1:15" ht="22.95" customHeight="1" x14ac:dyDescent="0.3">
      <c r="A146" s="52" t="s">
        <v>47</v>
      </c>
      <c r="B146" s="44">
        <f t="shared" si="34"/>
        <v>170</v>
      </c>
      <c r="C146" s="39">
        <f t="shared" si="34"/>
        <v>74</v>
      </c>
      <c r="D146" s="39">
        <f t="shared" si="34"/>
        <v>16</v>
      </c>
      <c r="E146" s="39">
        <f t="shared" si="34"/>
        <v>1</v>
      </c>
      <c r="F146" s="39">
        <f t="shared" si="34"/>
        <v>24</v>
      </c>
      <c r="G146" s="50">
        <f t="shared" ref="G146:G177" si="49">SUM(B146:F146)</f>
        <v>285</v>
      </c>
      <c r="H146" s="44">
        <f t="shared" ref="H146:L146" si="50">H40+H41+H42+H43</f>
        <v>0</v>
      </c>
      <c r="I146" s="39">
        <f t="shared" si="50"/>
        <v>0</v>
      </c>
      <c r="J146" s="39">
        <f t="shared" si="50"/>
        <v>0</v>
      </c>
      <c r="K146" s="45">
        <f t="shared" si="50"/>
        <v>0</v>
      </c>
      <c r="L146" s="144">
        <f t="shared" si="50"/>
        <v>8</v>
      </c>
      <c r="M146" s="50">
        <f t="shared" si="14"/>
        <v>0</v>
      </c>
      <c r="N146" s="40">
        <f t="shared" si="15"/>
        <v>285</v>
      </c>
      <c r="O146" s="43">
        <f t="shared" si="16"/>
        <v>406</v>
      </c>
    </row>
    <row r="147" spans="1:15" ht="22.95" customHeight="1" x14ac:dyDescent="0.3">
      <c r="A147" s="52" t="s">
        <v>48</v>
      </c>
      <c r="B147" s="44">
        <f t="shared" si="34"/>
        <v>180</v>
      </c>
      <c r="C147" s="39">
        <f t="shared" si="34"/>
        <v>66</v>
      </c>
      <c r="D147" s="39">
        <f t="shared" si="34"/>
        <v>15</v>
      </c>
      <c r="E147" s="39">
        <f t="shared" si="34"/>
        <v>0</v>
      </c>
      <c r="F147" s="39">
        <f t="shared" si="34"/>
        <v>26</v>
      </c>
      <c r="G147" s="50">
        <f t="shared" si="49"/>
        <v>287</v>
      </c>
      <c r="H147" s="44">
        <f t="shared" ref="H147:L147" si="51">H41+H42+H43+H44</f>
        <v>2</v>
      </c>
      <c r="I147" s="39">
        <f t="shared" si="51"/>
        <v>0</v>
      </c>
      <c r="J147" s="39">
        <f t="shared" si="51"/>
        <v>0</v>
      </c>
      <c r="K147" s="45">
        <f t="shared" si="51"/>
        <v>0</v>
      </c>
      <c r="L147" s="144">
        <f t="shared" si="51"/>
        <v>9</v>
      </c>
      <c r="M147" s="50">
        <f t="shared" si="14"/>
        <v>2</v>
      </c>
      <c r="N147" s="40">
        <f t="shared" si="15"/>
        <v>289</v>
      </c>
      <c r="O147" s="43">
        <f t="shared" si="16"/>
        <v>425.5</v>
      </c>
    </row>
    <row r="148" spans="1:15" ht="22.95" customHeight="1" x14ac:dyDescent="0.3">
      <c r="A148" s="52" t="s">
        <v>49</v>
      </c>
      <c r="B148" s="44">
        <f t="shared" ref="B148:F163" si="52">B42+B43+B44+B45</f>
        <v>174</v>
      </c>
      <c r="C148" s="39">
        <f t="shared" si="52"/>
        <v>66</v>
      </c>
      <c r="D148" s="39">
        <f t="shared" si="52"/>
        <v>10</v>
      </c>
      <c r="E148" s="39">
        <f t="shared" si="52"/>
        <v>0</v>
      </c>
      <c r="F148" s="39">
        <f t="shared" si="52"/>
        <v>24</v>
      </c>
      <c r="G148" s="50">
        <f t="shared" si="49"/>
        <v>274</v>
      </c>
      <c r="H148" s="44">
        <f t="shared" ref="H148:L148" si="53">H42+H43+H44+H45</f>
        <v>2</v>
      </c>
      <c r="I148" s="39">
        <f t="shared" si="53"/>
        <v>0</v>
      </c>
      <c r="J148" s="39">
        <f t="shared" si="53"/>
        <v>0</v>
      </c>
      <c r="K148" s="45">
        <f t="shared" si="53"/>
        <v>0</v>
      </c>
      <c r="L148" s="144">
        <f t="shared" si="53"/>
        <v>7</v>
      </c>
      <c r="M148" s="50">
        <f t="shared" si="14"/>
        <v>2</v>
      </c>
      <c r="N148" s="40">
        <f t="shared" si="15"/>
        <v>276</v>
      </c>
      <c r="O148" s="43">
        <f t="shared" si="16"/>
        <v>387</v>
      </c>
    </row>
    <row r="149" spans="1:15" ht="22.95" customHeight="1" x14ac:dyDescent="0.3">
      <c r="A149" s="52" t="s">
        <v>50</v>
      </c>
      <c r="B149" s="44">
        <f t="shared" si="52"/>
        <v>177</v>
      </c>
      <c r="C149" s="39">
        <f t="shared" si="52"/>
        <v>70</v>
      </c>
      <c r="D149" s="39">
        <f t="shared" si="52"/>
        <v>14</v>
      </c>
      <c r="E149" s="39">
        <f t="shared" si="52"/>
        <v>0</v>
      </c>
      <c r="F149" s="39">
        <f t="shared" si="52"/>
        <v>27</v>
      </c>
      <c r="G149" s="50">
        <f t="shared" si="49"/>
        <v>288</v>
      </c>
      <c r="H149" s="44">
        <f t="shared" ref="H149:L149" si="54">H43+H44+H45+H46</f>
        <v>2</v>
      </c>
      <c r="I149" s="39">
        <f t="shared" si="54"/>
        <v>0</v>
      </c>
      <c r="J149" s="39">
        <f t="shared" si="54"/>
        <v>0</v>
      </c>
      <c r="K149" s="45">
        <f t="shared" si="54"/>
        <v>0</v>
      </c>
      <c r="L149" s="144">
        <f t="shared" si="54"/>
        <v>6</v>
      </c>
      <c r="M149" s="50">
        <f t="shared" si="14"/>
        <v>2</v>
      </c>
      <c r="N149" s="40">
        <f t="shared" si="15"/>
        <v>290</v>
      </c>
      <c r="O149" s="43">
        <f t="shared" si="16"/>
        <v>403.5</v>
      </c>
    </row>
    <row r="150" spans="1:15" ht="22.95" customHeight="1" x14ac:dyDescent="0.3">
      <c r="A150" s="52" t="s">
        <v>51</v>
      </c>
      <c r="B150" s="44">
        <f t="shared" si="52"/>
        <v>186</v>
      </c>
      <c r="C150" s="39">
        <f t="shared" si="52"/>
        <v>79</v>
      </c>
      <c r="D150" s="39">
        <f t="shared" si="52"/>
        <v>12</v>
      </c>
      <c r="E150" s="39">
        <f t="shared" si="52"/>
        <v>2</v>
      </c>
      <c r="F150" s="39">
        <f t="shared" si="52"/>
        <v>21</v>
      </c>
      <c r="G150" s="50">
        <f t="shared" si="49"/>
        <v>300</v>
      </c>
      <c r="H150" s="44">
        <f t="shared" ref="H150:L150" si="55">H44+H45+H46+H47</f>
        <v>2</v>
      </c>
      <c r="I150" s="39">
        <f t="shared" si="55"/>
        <v>0</v>
      </c>
      <c r="J150" s="39">
        <f t="shared" si="55"/>
        <v>0</v>
      </c>
      <c r="K150" s="45">
        <f t="shared" si="55"/>
        <v>0</v>
      </c>
      <c r="L150" s="144">
        <f t="shared" si="55"/>
        <v>6</v>
      </c>
      <c r="M150" s="50">
        <f t="shared" si="14"/>
        <v>2</v>
      </c>
      <c r="N150" s="40">
        <f t="shared" si="15"/>
        <v>302</v>
      </c>
      <c r="O150" s="43">
        <f t="shared" si="16"/>
        <v>393</v>
      </c>
    </row>
    <row r="151" spans="1:15" ht="22.95" customHeight="1" x14ac:dyDescent="0.3">
      <c r="A151" s="52" t="s">
        <v>52</v>
      </c>
      <c r="B151" s="44">
        <f t="shared" si="52"/>
        <v>193</v>
      </c>
      <c r="C151" s="39">
        <f t="shared" si="52"/>
        <v>85</v>
      </c>
      <c r="D151" s="39">
        <f t="shared" si="52"/>
        <v>16</v>
      </c>
      <c r="E151" s="39">
        <f t="shared" si="52"/>
        <v>3</v>
      </c>
      <c r="F151" s="39">
        <f t="shared" si="52"/>
        <v>18</v>
      </c>
      <c r="G151" s="50">
        <f t="shared" si="49"/>
        <v>315</v>
      </c>
      <c r="H151" s="44">
        <f t="shared" ref="H151:L151" si="56">H45+H46+H47+H48</f>
        <v>0</v>
      </c>
      <c r="I151" s="39">
        <f t="shared" si="56"/>
        <v>0</v>
      </c>
      <c r="J151" s="39">
        <f t="shared" si="56"/>
        <v>0</v>
      </c>
      <c r="K151" s="45">
        <f t="shared" si="56"/>
        <v>0</v>
      </c>
      <c r="L151" s="144">
        <f t="shared" si="56"/>
        <v>3</v>
      </c>
      <c r="M151" s="50">
        <f t="shared" si="14"/>
        <v>0</v>
      </c>
      <c r="N151" s="40">
        <f t="shared" si="15"/>
        <v>315</v>
      </c>
      <c r="O151" s="43">
        <f t="shared" si="16"/>
        <v>373.5</v>
      </c>
    </row>
    <row r="152" spans="1:15" ht="22.95" customHeight="1" x14ac:dyDescent="0.3">
      <c r="A152" s="52" t="s">
        <v>53</v>
      </c>
      <c r="B152" s="44">
        <f t="shared" si="52"/>
        <v>192</v>
      </c>
      <c r="C152" s="39">
        <f t="shared" si="52"/>
        <v>103</v>
      </c>
      <c r="D152" s="39">
        <f t="shared" si="52"/>
        <v>21</v>
      </c>
      <c r="E152" s="39">
        <f t="shared" si="52"/>
        <v>4</v>
      </c>
      <c r="F152" s="39">
        <f t="shared" si="52"/>
        <v>17</v>
      </c>
      <c r="G152" s="50">
        <f t="shared" si="49"/>
        <v>337</v>
      </c>
      <c r="H152" s="44">
        <f t="shared" ref="H152:L152" si="57">H46+H47+H48+H49</f>
        <v>0</v>
      </c>
      <c r="I152" s="39">
        <f t="shared" si="57"/>
        <v>0</v>
      </c>
      <c r="J152" s="39">
        <f t="shared" si="57"/>
        <v>0</v>
      </c>
      <c r="K152" s="45">
        <f t="shared" si="57"/>
        <v>0</v>
      </c>
      <c r="L152" s="144">
        <f t="shared" si="57"/>
        <v>4</v>
      </c>
      <c r="M152" s="50">
        <f t="shared" si="14"/>
        <v>0</v>
      </c>
      <c r="N152" s="40">
        <f t="shared" si="15"/>
        <v>337</v>
      </c>
      <c r="O152" s="43">
        <f t="shared" si="16"/>
        <v>395.5</v>
      </c>
    </row>
    <row r="153" spans="1:15" ht="22.95" customHeight="1" x14ac:dyDescent="0.3">
      <c r="A153" s="52" t="s">
        <v>54</v>
      </c>
      <c r="B153" s="44">
        <f t="shared" si="52"/>
        <v>181</v>
      </c>
      <c r="C153" s="39">
        <f t="shared" si="52"/>
        <v>108</v>
      </c>
      <c r="D153" s="39">
        <f t="shared" si="52"/>
        <v>19</v>
      </c>
      <c r="E153" s="39">
        <f t="shared" si="52"/>
        <v>6</v>
      </c>
      <c r="F153" s="39">
        <f t="shared" si="52"/>
        <v>12</v>
      </c>
      <c r="G153" s="50">
        <f t="shared" si="49"/>
        <v>326</v>
      </c>
      <c r="H153" s="44">
        <f t="shared" ref="H153:L153" si="58">H47+H48+H49+H50</f>
        <v>0</v>
      </c>
      <c r="I153" s="39">
        <f t="shared" si="58"/>
        <v>0</v>
      </c>
      <c r="J153" s="39">
        <f t="shared" si="58"/>
        <v>0</v>
      </c>
      <c r="K153" s="45">
        <f t="shared" si="58"/>
        <v>0</v>
      </c>
      <c r="L153" s="144">
        <f t="shared" si="58"/>
        <v>6</v>
      </c>
      <c r="M153" s="50">
        <f t="shared" si="14"/>
        <v>0</v>
      </c>
      <c r="N153" s="40">
        <f t="shared" si="15"/>
        <v>326</v>
      </c>
      <c r="O153" s="43">
        <f t="shared" si="16"/>
        <v>383.5</v>
      </c>
    </row>
    <row r="154" spans="1:15" ht="22.95" customHeight="1" x14ac:dyDescent="0.3">
      <c r="A154" s="52" t="s">
        <v>55</v>
      </c>
      <c r="B154" s="44">
        <f t="shared" si="52"/>
        <v>175</v>
      </c>
      <c r="C154" s="39">
        <f t="shared" si="52"/>
        <v>120</v>
      </c>
      <c r="D154" s="39">
        <f t="shared" si="52"/>
        <v>19</v>
      </c>
      <c r="E154" s="39">
        <f t="shared" si="52"/>
        <v>6</v>
      </c>
      <c r="F154" s="39">
        <f t="shared" si="52"/>
        <v>9</v>
      </c>
      <c r="G154" s="50">
        <f t="shared" si="49"/>
        <v>329</v>
      </c>
      <c r="H154" s="44">
        <f t="shared" ref="H154:L154" si="59">H48+H49+H50+H51</f>
        <v>0</v>
      </c>
      <c r="I154" s="39">
        <f t="shared" si="59"/>
        <v>0</v>
      </c>
      <c r="J154" s="39">
        <f t="shared" si="59"/>
        <v>0</v>
      </c>
      <c r="K154" s="45">
        <f t="shared" si="59"/>
        <v>0</v>
      </c>
      <c r="L154" s="144">
        <f t="shared" si="59"/>
        <v>7</v>
      </c>
      <c r="M154" s="50">
        <f t="shared" si="14"/>
        <v>0</v>
      </c>
      <c r="N154" s="40">
        <f t="shared" si="15"/>
        <v>329</v>
      </c>
      <c r="O154" s="43">
        <f t="shared" si="16"/>
        <v>378</v>
      </c>
    </row>
    <row r="155" spans="1:15" ht="22.95" customHeight="1" x14ac:dyDescent="0.3">
      <c r="A155" s="52" t="s">
        <v>56</v>
      </c>
      <c r="B155" s="44">
        <f t="shared" si="52"/>
        <v>154</v>
      </c>
      <c r="C155" s="39">
        <f t="shared" si="52"/>
        <v>115</v>
      </c>
      <c r="D155" s="39">
        <f t="shared" si="52"/>
        <v>18</v>
      </c>
      <c r="E155" s="39">
        <f t="shared" si="52"/>
        <v>7</v>
      </c>
      <c r="F155" s="39">
        <f t="shared" si="52"/>
        <v>9</v>
      </c>
      <c r="G155" s="50">
        <f t="shared" si="49"/>
        <v>303</v>
      </c>
      <c r="H155" s="44">
        <f t="shared" ref="H155:L155" si="60">H49+H50+H51+H52</f>
        <v>0</v>
      </c>
      <c r="I155" s="39">
        <f t="shared" si="60"/>
        <v>0</v>
      </c>
      <c r="J155" s="39">
        <f t="shared" si="60"/>
        <v>0</v>
      </c>
      <c r="K155" s="45">
        <f t="shared" si="60"/>
        <v>0</v>
      </c>
      <c r="L155" s="144">
        <f t="shared" si="60"/>
        <v>8</v>
      </c>
      <c r="M155" s="50">
        <f t="shared" si="14"/>
        <v>0</v>
      </c>
      <c r="N155" s="40">
        <f t="shared" si="15"/>
        <v>303</v>
      </c>
      <c r="O155" s="43">
        <f t="shared" si="16"/>
        <v>364</v>
      </c>
    </row>
    <row r="156" spans="1:15" ht="22.95" customHeight="1" x14ac:dyDescent="0.3">
      <c r="A156" s="52" t="s">
        <v>57</v>
      </c>
      <c r="B156" s="44">
        <f t="shared" si="52"/>
        <v>153</v>
      </c>
      <c r="C156" s="39">
        <f t="shared" si="52"/>
        <v>93</v>
      </c>
      <c r="D156" s="39">
        <f t="shared" si="52"/>
        <v>17</v>
      </c>
      <c r="E156" s="39">
        <f t="shared" si="52"/>
        <v>7</v>
      </c>
      <c r="F156" s="39">
        <f t="shared" si="52"/>
        <v>12</v>
      </c>
      <c r="G156" s="50">
        <f t="shared" si="49"/>
        <v>282</v>
      </c>
      <c r="H156" s="44">
        <f t="shared" ref="H156:L156" si="61">H50+H51+H52+H53</f>
        <v>0</v>
      </c>
      <c r="I156" s="39">
        <f t="shared" si="61"/>
        <v>0</v>
      </c>
      <c r="J156" s="39">
        <f t="shared" si="61"/>
        <v>0</v>
      </c>
      <c r="K156" s="45">
        <f t="shared" si="61"/>
        <v>0</v>
      </c>
      <c r="L156" s="144">
        <f t="shared" si="61"/>
        <v>7</v>
      </c>
      <c r="M156" s="50">
        <f t="shared" si="14"/>
        <v>0</v>
      </c>
      <c r="N156" s="40">
        <f t="shared" si="15"/>
        <v>282</v>
      </c>
      <c r="O156" s="43">
        <f t="shared" si="16"/>
        <v>356</v>
      </c>
    </row>
    <row r="157" spans="1:15" ht="22.95" customHeight="1" x14ac:dyDescent="0.3">
      <c r="A157" s="52" t="s">
        <v>58</v>
      </c>
      <c r="B157" s="44">
        <f t="shared" si="52"/>
        <v>143</v>
      </c>
      <c r="C157" s="39">
        <f t="shared" si="52"/>
        <v>88</v>
      </c>
      <c r="D157" s="39">
        <f t="shared" si="52"/>
        <v>19</v>
      </c>
      <c r="E157" s="39">
        <f t="shared" si="52"/>
        <v>5</v>
      </c>
      <c r="F157" s="39">
        <f t="shared" si="52"/>
        <v>13</v>
      </c>
      <c r="G157" s="50">
        <f t="shared" si="49"/>
        <v>268</v>
      </c>
      <c r="H157" s="44">
        <f t="shared" ref="H157:L157" si="62">H51+H52+H53+H54</f>
        <v>0</v>
      </c>
      <c r="I157" s="39">
        <f t="shared" si="62"/>
        <v>0</v>
      </c>
      <c r="J157" s="39">
        <f t="shared" si="62"/>
        <v>0</v>
      </c>
      <c r="K157" s="45">
        <f t="shared" si="62"/>
        <v>0</v>
      </c>
      <c r="L157" s="144">
        <f t="shared" si="62"/>
        <v>6</v>
      </c>
      <c r="M157" s="50">
        <f t="shared" si="14"/>
        <v>0</v>
      </c>
      <c r="N157" s="40">
        <f t="shared" si="15"/>
        <v>268</v>
      </c>
      <c r="O157" s="43">
        <f t="shared" si="16"/>
        <v>337</v>
      </c>
    </row>
    <row r="158" spans="1:15" ht="22.95" customHeight="1" x14ac:dyDescent="0.3">
      <c r="A158" s="52" t="s">
        <v>59</v>
      </c>
      <c r="B158" s="44">
        <f t="shared" si="52"/>
        <v>137</v>
      </c>
      <c r="C158" s="39">
        <f t="shared" si="52"/>
        <v>89</v>
      </c>
      <c r="D158" s="39">
        <f t="shared" si="52"/>
        <v>17</v>
      </c>
      <c r="E158" s="39">
        <f t="shared" si="52"/>
        <v>4</v>
      </c>
      <c r="F158" s="39">
        <f t="shared" si="52"/>
        <v>19</v>
      </c>
      <c r="G158" s="50">
        <f t="shared" si="49"/>
        <v>266</v>
      </c>
      <c r="H158" s="44">
        <f t="shared" ref="H158:L158" si="63">H52+H53+H54+H55</f>
        <v>0</v>
      </c>
      <c r="I158" s="39">
        <f t="shared" si="63"/>
        <v>0</v>
      </c>
      <c r="J158" s="39">
        <f t="shared" si="63"/>
        <v>0</v>
      </c>
      <c r="K158" s="45">
        <f t="shared" si="63"/>
        <v>0</v>
      </c>
      <c r="L158" s="144">
        <f t="shared" si="63"/>
        <v>4</v>
      </c>
      <c r="M158" s="50">
        <f t="shared" si="14"/>
        <v>0</v>
      </c>
      <c r="N158" s="40">
        <f t="shared" si="15"/>
        <v>266</v>
      </c>
      <c r="O158" s="43">
        <f t="shared" si="16"/>
        <v>336.5</v>
      </c>
    </row>
    <row r="159" spans="1:15" ht="22.95" customHeight="1" x14ac:dyDescent="0.3">
      <c r="A159" s="52" t="s">
        <v>77</v>
      </c>
      <c r="B159" s="44">
        <f t="shared" si="52"/>
        <v>159</v>
      </c>
      <c r="C159" s="39">
        <f t="shared" si="52"/>
        <v>82</v>
      </c>
      <c r="D159" s="39">
        <f t="shared" si="52"/>
        <v>15</v>
      </c>
      <c r="E159" s="39">
        <f t="shared" si="52"/>
        <v>6</v>
      </c>
      <c r="F159" s="39">
        <f t="shared" si="52"/>
        <v>19</v>
      </c>
      <c r="G159" s="50">
        <f t="shared" si="49"/>
        <v>281</v>
      </c>
      <c r="H159" s="44">
        <f t="shared" ref="H159:L159" si="64">H53+H54+H55+H56</f>
        <v>0</v>
      </c>
      <c r="I159" s="39">
        <f t="shared" si="64"/>
        <v>0</v>
      </c>
      <c r="J159" s="39">
        <f t="shared" si="64"/>
        <v>0</v>
      </c>
      <c r="K159" s="45">
        <f t="shared" si="64"/>
        <v>0</v>
      </c>
      <c r="L159" s="144">
        <f t="shared" si="64"/>
        <v>3</v>
      </c>
      <c r="M159" s="50">
        <f t="shared" si="14"/>
        <v>0</v>
      </c>
      <c r="N159" s="40">
        <f t="shared" si="15"/>
        <v>281</v>
      </c>
      <c r="O159" s="43">
        <f t="shared" si="16"/>
        <v>350</v>
      </c>
    </row>
    <row r="160" spans="1:15" ht="22.95" customHeight="1" x14ac:dyDescent="0.3">
      <c r="A160" s="52" t="s">
        <v>75</v>
      </c>
      <c r="B160" s="44">
        <f t="shared" si="52"/>
        <v>168</v>
      </c>
      <c r="C160" s="39">
        <f t="shared" si="52"/>
        <v>80</v>
      </c>
      <c r="D160" s="39">
        <f t="shared" si="52"/>
        <v>11</v>
      </c>
      <c r="E160" s="39">
        <f t="shared" si="52"/>
        <v>8</v>
      </c>
      <c r="F160" s="39">
        <f t="shared" si="52"/>
        <v>14</v>
      </c>
      <c r="G160" s="50">
        <f t="shared" si="49"/>
        <v>281</v>
      </c>
      <c r="H160" s="44">
        <f t="shared" ref="H160:L160" si="65">H54+H55+H56+H57</f>
        <v>0</v>
      </c>
      <c r="I160" s="39">
        <f t="shared" si="65"/>
        <v>0</v>
      </c>
      <c r="J160" s="39">
        <f t="shared" si="65"/>
        <v>0</v>
      </c>
      <c r="K160" s="45">
        <f t="shared" si="65"/>
        <v>0</v>
      </c>
      <c r="L160" s="144">
        <f t="shared" si="65"/>
        <v>2</v>
      </c>
      <c r="M160" s="50">
        <f t="shared" si="14"/>
        <v>0</v>
      </c>
      <c r="N160" s="40">
        <f t="shared" si="15"/>
        <v>281</v>
      </c>
      <c r="O160" s="43">
        <f t="shared" si="16"/>
        <v>327.5</v>
      </c>
    </row>
    <row r="161" spans="1:15" ht="22.95" customHeight="1" x14ac:dyDescent="0.3">
      <c r="A161" s="52" t="s">
        <v>76</v>
      </c>
      <c r="B161" s="44">
        <f t="shared" si="52"/>
        <v>168</v>
      </c>
      <c r="C161" s="39">
        <f t="shared" si="52"/>
        <v>68</v>
      </c>
      <c r="D161" s="39">
        <f t="shared" si="52"/>
        <v>7</v>
      </c>
      <c r="E161" s="39">
        <f t="shared" si="52"/>
        <v>14</v>
      </c>
      <c r="F161" s="39">
        <f t="shared" si="52"/>
        <v>11</v>
      </c>
      <c r="G161" s="50">
        <f t="shared" si="49"/>
        <v>268</v>
      </c>
      <c r="H161" s="44">
        <f t="shared" ref="H161:L161" si="66">H55+H56+H57+H58</f>
        <v>0</v>
      </c>
      <c r="I161" s="39">
        <f t="shared" si="66"/>
        <v>0</v>
      </c>
      <c r="J161" s="39">
        <f t="shared" si="66"/>
        <v>0</v>
      </c>
      <c r="K161" s="45">
        <f t="shared" si="66"/>
        <v>0</v>
      </c>
      <c r="L161" s="144">
        <f t="shared" si="66"/>
        <v>0</v>
      </c>
      <c r="M161" s="50">
        <f t="shared" si="14"/>
        <v>0</v>
      </c>
      <c r="N161" s="40">
        <f t="shared" si="15"/>
        <v>268</v>
      </c>
      <c r="O161" s="43">
        <f t="shared" si="16"/>
        <v>304</v>
      </c>
    </row>
    <row r="162" spans="1:15" ht="22.95" customHeight="1" x14ac:dyDescent="0.3">
      <c r="A162" s="52" t="s">
        <v>70</v>
      </c>
      <c r="B162" s="44">
        <f t="shared" si="52"/>
        <v>160</v>
      </c>
      <c r="C162" s="39">
        <f t="shared" si="52"/>
        <v>36</v>
      </c>
      <c r="D162" s="39">
        <f t="shared" si="52"/>
        <v>7</v>
      </c>
      <c r="E162" s="39">
        <f t="shared" si="52"/>
        <v>16</v>
      </c>
      <c r="F162" s="39">
        <f t="shared" si="52"/>
        <v>6</v>
      </c>
      <c r="G162" s="50">
        <f t="shared" si="49"/>
        <v>225</v>
      </c>
      <c r="H162" s="44">
        <f t="shared" ref="H162:L162" si="67">H56+H57+H58+H59</f>
        <v>0</v>
      </c>
      <c r="I162" s="39">
        <f t="shared" si="67"/>
        <v>0</v>
      </c>
      <c r="J162" s="39">
        <f t="shared" si="67"/>
        <v>0</v>
      </c>
      <c r="K162" s="45">
        <f t="shared" si="67"/>
        <v>0</v>
      </c>
      <c r="L162" s="144">
        <f t="shared" si="67"/>
        <v>0</v>
      </c>
      <c r="M162" s="50">
        <f t="shared" si="14"/>
        <v>0</v>
      </c>
      <c r="N162" s="40">
        <f t="shared" si="15"/>
        <v>225</v>
      </c>
      <c r="O162" s="43">
        <f t="shared" si="16"/>
        <v>263.5</v>
      </c>
    </row>
    <row r="163" spans="1:15" ht="22.95" customHeight="1" x14ac:dyDescent="0.3">
      <c r="A163" s="52" t="s">
        <v>71</v>
      </c>
      <c r="B163" s="44">
        <f t="shared" si="52"/>
        <v>136</v>
      </c>
      <c r="C163" s="39">
        <f t="shared" si="52"/>
        <v>27</v>
      </c>
      <c r="D163" s="39">
        <f t="shared" si="52"/>
        <v>6</v>
      </c>
      <c r="E163" s="39">
        <f t="shared" si="52"/>
        <v>14</v>
      </c>
      <c r="F163" s="39">
        <f t="shared" si="52"/>
        <v>5</v>
      </c>
      <c r="G163" s="50">
        <f t="shared" si="49"/>
        <v>188</v>
      </c>
      <c r="H163" s="44">
        <f t="shared" ref="H163:L163" si="68">H57+H58+H59+H60</f>
        <v>0</v>
      </c>
      <c r="I163" s="39">
        <f t="shared" si="68"/>
        <v>0</v>
      </c>
      <c r="J163" s="39">
        <f t="shared" si="68"/>
        <v>0</v>
      </c>
      <c r="K163" s="45">
        <f t="shared" si="68"/>
        <v>0</v>
      </c>
      <c r="L163" s="144">
        <f t="shared" si="68"/>
        <v>0</v>
      </c>
      <c r="M163" s="50">
        <f t="shared" si="14"/>
        <v>0</v>
      </c>
      <c r="N163" s="40">
        <f t="shared" si="15"/>
        <v>188</v>
      </c>
      <c r="O163" s="43">
        <f t="shared" si="16"/>
        <v>223</v>
      </c>
    </row>
    <row r="164" spans="1:15" ht="22.95" customHeight="1" x14ac:dyDescent="0.3">
      <c r="A164" s="52" t="s">
        <v>72</v>
      </c>
      <c r="B164" s="44">
        <f t="shared" ref="B164:F179" si="69">B58+B59+B60+B61</f>
        <v>114</v>
      </c>
      <c r="C164" s="39">
        <f t="shared" si="69"/>
        <v>17</v>
      </c>
      <c r="D164" s="39">
        <f t="shared" si="69"/>
        <v>5</v>
      </c>
      <c r="E164" s="39">
        <f t="shared" si="69"/>
        <v>12</v>
      </c>
      <c r="F164" s="39">
        <f t="shared" si="69"/>
        <v>6</v>
      </c>
      <c r="G164" s="50">
        <f t="shared" si="49"/>
        <v>154</v>
      </c>
      <c r="H164" s="44">
        <f t="shared" ref="H164:L164" si="70">H58+H59+H60+H61</f>
        <v>0</v>
      </c>
      <c r="I164" s="39">
        <f t="shared" si="70"/>
        <v>0</v>
      </c>
      <c r="J164" s="39">
        <f t="shared" si="70"/>
        <v>0</v>
      </c>
      <c r="K164" s="45">
        <f t="shared" si="70"/>
        <v>0</v>
      </c>
      <c r="L164" s="144">
        <f t="shared" si="70"/>
        <v>0</v>
      </c>
      <c r="M164" s="50">
        <f t="shared" si="14"/>
        <v>0</v>
      </c>
      <c r="N164" s="40">
        <f t="shared" si="15"/>
        <v>154</v>
      </c>
      <c r="O164" s="43">
        <f t="shared" si="16"/>
        <v>193</v>
      </c>
    </row>
    <row r="165" spans="1:15" ht="22.95" customHeight="1" x14ac:dyDescent="0.3">
      <c r="A165" s="52" t="s">
        <v>73</v>
      </c>
      <c r="B165" s="44">
        <f t="shared" si="69"/>
        <v>99</v>
      </c>
      <c r="C165" s="39">
        <f t="shared" si="69"/>
        <v>14</v>
      </c>
      <c r="D165" s="39">
        <f t="shared" si="69"/>
        <v>5</v>
      </c>
      <c r="E165" s="39">
        <f t="shared" si="69"/>
        <v>8</v>
      </c>
      <c r="F165" s="39">
        <f t="shared" si="69"/>
        <v>8</v>
      </c>
      <c r="G165" s="50">
        <f t="shared" si="49"/>
        <v>134</v>
      </c>
      <c r="H165" s="44">
        <f t="shared" ref="H165:L165" si="71">H59+H60+H61+H62</f>
        <v>0</v>
      </c>
      <c r="I165" s="39">
        <f t="shared" si="71"/>
        <v>0</v>
      </c>
      <c r="J165" s="39">
        <f t="shared" si="71"/>
        <v>0</v>
      </c>
      <c r="K165" s="45">
        <f t="shared" si="71"/>
        <v>0</v>
      </c>
      <c r="L165" s="144">
        <f t="shared" si="71"/>
        <v>0</v>
      </c>
      <c r="M165" s="50">
        <f t="shared" si="14"/>
        <v>0</v>
      </c>
      <c r="N165" s="40">
        <f t="shared" si="15"/>
        <v>134</v>
      </c>
      <c r="O165" s="43">
        <f t="shared" si="16"/>
        <v>173.5</v>
      </c>
    </row>
    <row r="166" spans="1:15" ht="22.95" customHeight="1" x14ac:dyDescent="0.3">
      <c r="A166" s="52" t="s">
        <v>74</v>
      </c>
      <c r="B166" s="44">
        <f t="shared" si="69"/>
        <v>83</v>
      </c>
      <c r="C166" s="39">
        <f t="shared" si="69"/>
        <v>14</v>
      </c>
      <c r="D166" s="39">
        <f t="shared" si="69"/>
        <v>6</v>
      </c>
      <c r="E166" s="39">
        <f t="shared" si="69"/>
        <v>5</v>
      </c>
      <c r="F166" s="39">
        <f t="shared" si="69"/>
        <v>7</v>
      </c>
      <c r="G166" s="50">
        <f t="shared" si="49"/>
        <v>115</v>
      </c>
      <c r="H166" s="44">
        <f t="shared" ref="H166:L166" si="72">H60+H61+H62+H63</f>
        <v>0</v>
      </c>
      <c r="I166" s="39">
        <f t="shared" si="72"/>
        <v>0</v>
      </c>
      <c r="J166" s="39">
        <f t="shared" si="72"/>
        <v>0</v>
      </c>
      <c r="K166" s="45">
        <f t="shared" si="72"/>
        <v>0</v>
      </c>
      <c r="L166" s="144">
        <f t="shared" si="72"/>
        <v>0</v>
      </c>
      <c r="M166" s="50">
        <f t="shared" si="14"/>
        <v>0</v>
      </c>
      <c r="N166" s="40">
        <f t="shared" si="15"/>
        <v>115</v>
      </c>
      <c r="O166" s="43">
        <f t="shared" si="16"/>
        <v>145.5</v>
      </c>
    </row>
    <row r="167" spans="1:15" ht="22.95" customHeight="1" x14ac:dyDescent="0.3">
      <c r="A167" s="52" t="s">
        <v>262</v>
      </c>
      <c r="B167" s="44">
        <f t="shared" si="69"/>
        <v>76</v>
      </c>
      <c r="C167" s="39">
        <f t="shared" si="69"/>
        <v>14</v>
      </c>
      <c r="D167" s="39">
        <f t="shared" si="69"/>
        <v>8</v>
      </c>
      <c r="E167" s="39">
        <f t="shared" si="69"/>
        <v>3</v>
      </c>
      <c r="F167" s="39">
        <f t="shared" si="69"/>
        <v>6</v>
      </c>
      <c r="G167" s="50">
        <f t="shared" si="49"/>
        <v>107</v>
      </c>
      <c r="H167" s="44">
        <f t="shared" ref="H167:L167" si="73">H61+H62+H63+H64</f>
        <v>0</v>
      </c>
      <c r="I167" s="39">
        <f t="shared" si="73"/>
        <v>0</v>
      </c>
      <c r="J167" s="39">
        <f t="shared" si="73"/>
        <v>0</v>
      </c>
      <c r="K167" s="45">
        <f t="shared" si="73"/>
        <v>0</v>
      </c>
      <c r="L167" s="144">
        <f t="shared" si="73"/>
        <v>0</v>
      </c>
      <c r="M167" s="50">
        <f t="shared" si="14"/>
        <v>0</v>
      </c>
      <c r="N167" s="40">
        <f t="shared" si="15"/>
        <v>107</v>
      </c>
      <c r="O167" s="43">
        <f t="shared" si="16"/>
        <v>131</v>
      </c>
    </row>
    <row r="168" spans="1:15" ht="22.95" customHeight="1" x14ac:dyDescent="0.3">
      <c r="A168" s="52" t="s">
        <v>263</v>
      </c>
      <c r="B168" s="44">
        <f t="shared" si="69"/>
        <v>67</v>
      </c>
      <c r="C168" s="39">
        <f t="shared" si="69"/>
        <v>13</v>
      </c>
      <c r="D168" s="39">
        <f t="shared" si="69"/>
        <v>10</v>
      </c>
      <c r="E168" s="39">
        <f t="shared" si="69"/>
        <v>2</v>
      </c>
      <c r="F168" s="39">
        <f t="shared" si="69"/>
        <v>4</v>
      </c>
      <c r="G168" s="50">
        <f t="shared" si="49"/>
        <v>96</v>
      </c>
      <c r="H168" s="44">
        <f t="shared" ref="H168:L168" si="74">H62+H63+H64+H65</f>
        <v>0</v>
      </c>
      <c r="I168" s="39">
        <f t="shared" si="74"/>
        <v>0</v>
      </c>
      <c r="J168" s="39">
        <f t="shared" si="74"/>
        <v>0</v>
      </c>
      <c r="K168" s="45">
        <f t="shared" si="74"/>
        <v>0</v>
      </c>
      <c r="L168" s="144">
        <f t="shared" si="74"/>
        <v>0</v>
      </c>
      <c r="M168" s="50">
        <f t="shared" si="14"/>
        <v>0</v>
      </c>
      <c r="N168" s="40">
        <f t="shared" si="15"/>
        <v>96</v>
      </c>
      <c r="O168" s="43">
        <f t="shared" si="16"/>
        <v>112.5</v>
      </c>
    </row>
    <row r="169" spans="1:15" ht="22.95" customHeight="1" x14ac:dyDescent="0.3">
      <c r="A169" s="52" t="s">
        <v>264</v>
      </c>
      <c r="B169" s="44">
        <f t="shared" si="69"/>
        <v>54</v>
      </c>
      <c r="C169" s="39">
        <f t="shared" si="69"/>
        <v>31</v>
      </c>
      <c r="D169" s="39">
        <f t="shared" si="69"/>
        <v>11</v>
      </c>
      <c r="E169" s="39">
        <f t="shared" si="69"/>
        <v>0</v>
      </c>
      <c r="F169" s="39">
        <f t="shared" si="69"/>
        <v>1</v>
      </c>
      <c r="G169" s="50">
        <f t="shared" si="49"/>
        <v>97</v>
      </c>
      <c r="H169" s="44">
        <f t="shared" ref="H169:L169" si="75">H63+H64+H65+H66</f>
        <v>0</v>
      </c>
      <c r="I169" s="39">
        <f t="shared" si="75"/>
        <v>0</v>
      </c>
      <c r="J169" s="39">
        <f t="shared" si="75"/>
        <v>0</v>
      </c>
      <c r="K169" s="45">
        <f t="shared" si="75"/>
        <v>0</v>
      </c>
      <c r="L169" s="144">
        <f t="shared" si="75"/>
        <v>0</v>
      </c>
      <c r="M169" s="50">
        <f t="shared" si="14"/>
        <v>0</v>
      </c>
      <c r="N169" s="40">
        <f t="shared" si="15"/>
        <v>97</v>
      </c>
      <c r="O169" s="43">
        <f t="shared" si="16"/>
        <v>90.5</v>
      </c>
    </row>
    <row r="170" spans="1:15" ht="22.95" customHeight="1" x14ac:dyDescent="0.3">
      <c r="A170" s="52" t="s">
        <v>265</v>
      </c>
      <c r="B170" s="44">
        <f t="shared" si="69"/>
        <v>49</v>
      </c>
      <c r="C170" s="39">
        <f t="shared" si="69"/>
        <v>49</v>
      </c>
      <c r="D170" s="39">
        <f t="shared" si="69"/>
        <v>10</v>
      </c>
      <c r="E170" s="39">
        <f t="shared" si="69"/>
        <v>3</v>
      </c>
      <c r="F170" s="39">
        <f t="shared" si="69"/>
        <v>1</v>
      </c>
      <c r="G170" s="50">
        <f t="shared" si="49"/>
        <v>112</v>
      </c>
      <c r="H170" s="44">
        <f t="shared" ref="H170:L170" si="76">H64+H65+H66+H67</f>
        <v>0</v>
      </c>
      <c r="I170" s="39">
        <f t="shared" si="76"/>
        <v>0</v>
      </c>
      <c r="J170" s="39">
        <f t="shared" si="76"/>
        <v>0</v>
      </c>
      <c r="K170" s="45">
        <f t="shared" si="76"/>
        <v>0</v>
      </c>
      <c r="L170" s="144">
        <f t="shared" si="76"/>
        <v>0</v>
      </c>
      <c r="M170" s="50">
        <f t="shared" si="14"/>
        <v>0</v>
      </c>
      <c r="N170" s="40">
        <f t="shared" si="15"/>
        <v>112</v>
      </c>
      <c r="O170" s="43">
        <f t="shared" si="16"/>
        <v>102</v>
      </c>
    </row>
    <row r="171" spans="1:15" ht="22.95" customHeight="1" x14ac:dyDescent="0.3">
      <c r="A171" s="52" t="s">
        <v>266</v>
      </c>
      <c r="B171" s="44">
        <f t="shared" si="69"/>
        <v>41</v>
      </c>
      <c r="C171" s="39">
        <f t="shared" si="69"/>
        <v>55</v>
      </c>
      <c r="D171" s="39">
        <f t="shared" si="69"/>
        <v>10</v>
      </c>
      <c r="E171" s="39">
        <f t="shared" si="69"/>
        <v>5</v>
      </c>
      <c r="F171" s="39">
        <f t="shared" si="69"/>
        <v>5</v>
      </c>
      <c r="G171" s="50">
        <f t="shared" si="49"/>
        <v>116</v>
      </c>
      <c r="H171" s="44">
        <f t="shared" ref="H171:L171" si="77">H65+H66+H67+H68</f>
        <v>0</v>
      </c>
      <c r="I171" s="39">
        <f t="shared" si="77"/>
        <v>0</v>
      </c>
      <c r="J171" s="39">
        <f t="shared" si="77"/>
        <v>0</v>
      </c>
      <c r="K171" s="45">
        <f t="shared" si="77"/>
        <v>0</v>
      </c>
      <c r="L171" s="144">
        <f t="shared" si="77"/>
        <v>0</v>
      </c>
      <c r="M171" s="50">
        <f t="shared" si="14"/>
        <v>0</v>
      </c>
      <c r="N171" s="40">
        <f t="shared" si="15"/>
        <v>116</v>
      </c>
      <c r="O171" s="43">
        <f t="shared" si="16"/>
        <v>121</v>
      </c>
    </row>
    <row r="172" spans="1:15" ht="22.95" customHeight="1" x14ac:dyDescent="0.3">
      <c r="A172" s="52" t="s">
        <v>267</v>
      </c>
      <c r="B172" s="44">
        <f t="shared" si="69"/>
        <v>42</v>
      </c>
      <c r="C172" s="39">
        <f t="shared" si="69"/>
        <v>66</v>
      </c>
      <c r="D172" s="39">
        <f t="shared" si="69"/>
        <v>8</v>
      </c>
      <c r="E172" s="39">
        <f t="shared" si="69"/>
        <v>6</v>
      </c>
      <c r="F172" s="39">
        <f t="shared" si="69"/>
        <v>7</v>
      </c>
      <c r="G172" s="50">
        <f t="shared" si="49"/>
        <v>129</v>
      </c>
      <c r="H172" s="44">
        <f t="shared" ref="H172:L172" si="78">H66+H67+H68+H69</f>
        <v>0</v>
      </c>
      <c r="I172" s="39">
        <f t="shared" si="78"/>
        <v>0</v>
      </c>
      <c r="J172" s="39">
        <f t="shared" si="78"/>
        <v>0</v>
      </c>
      <c r="K172" s="45">
        <f t="shared" si="78"/>
        <v>0</v>
      </c>
      <c r="L172" s="144">
        <f t="shared" si="78"/>
        <v>0</v>
      </c>
      <c r="M172" s="50">
        <f t="shared" si="14"/>
        <v>0</v>
      </c>
      <c r="N172" s="40">
        <f t="shared" si="15"/>
        <v>129</v>
      </c>
      <c r="O172" s="43">
        <f t="shared" si="16"/>
        <v>136.5</v>
      </c>
    </row>
    <row r="173" spans="1:15" ht="22.95" customHeight="1" x14ac:dyDescent="0.3">
      <c r="A173" s="52" t="s">
        <v>268</v>
      </c>
      <c r="B173" s="44">
        <f t="shared" si="69"/>
        <v>47</v>
      </c>
      <c r="C173" s="39">
        <f t="shared" si="69"/>
        <v>52</v>
      </c>
      <c r="D173" s="39">
        <f t="shared" si="69"/>
        <v>8</v>
      </c>
      <c r="E173" s="39">
        <f t="shared" si="69"/>
        <v>7</v>
      </c>
      <c r="F173" s="39">
        <f t="shared" si="69"/>
        <v>8</v>
      </c>
      <c r="G173" s="50">
        <f t="shared" si="49"/>
        <v>122</v>
      </c>
      <c r="H173" s="44">
        <f t="shared" ref="H173:L173" si="79">H67+H68+H69+H70</f>
        <v>0</v>
      </c>
      <c r="I173" s="39">
        <f t="shared" si="79"/>
        <v>0</v>
      </c>
      <c r="J173" s="39">
        <f t="shared" si="79"/>
        <v>0</v>
      </c>
      <c r="K173" s="45">
        <f t="shared" si="79"/>
        <v>0</v>
      </c>
      <c r="L173" s="144">
        <f t="shared" si="79"/>
        <v>0</v>
      </c>
      <c r="M173" s="50">
        <f t="shared" si="14"/>
        <v>0</v>
      </c>
      <c r="N173" s="40">
        <f t="shared" si="15"/>
        <v>122</v>
      </c>
      <c r="O173" s="43">
        <f t="shared" si="16"/>
        <v>142</v>
      </c>
    </row>
    <row r="174" spans="1:15" ht="22.95" customHeight="1" x14ac:dyDescent="0.3">
      <c r="A174" s="52" t="s">
        <v>269</v>
      </c>
      <c r="B174" s="44">
        <f t="shared" si="69"/>
        <v>51</v>
      </c>
      <c r="C174" s="39">
        <f t="shared" si="69"/>
        <v>38</v>
      </c>
      <c r="D174" s="39">
        <f t="shared" si="69"/>
        <v>8</v>
      </c>
      <c r="E174" s="39">
        <f t="shared" si="69"/>
        <v>6</v>
      </c>
      <c r="F174" s="39">
        <f t="shared" si="69"/>
        <v>8</v>
      </c>
      <c r="G174" s="50">
        <f t="shared" si="49"/>
        <v>111</v>
      </c>
      <c r="H174" s="44">
        <f t="shared" ref="H174:L174" si="80">H68+H69+H70+H71</f>
        <v>0</v>
      </c>
      <c r="I174" s="39">
        <f t="shared" si="80"/>
        <v>0</v>
      </c>
      <c r="J174" s="39">
        <f t="shared" si="80"/>
        <v>0</v>
      </c>
      <c r="K174" s="45">
        <f t="shared" si="80"/>
        <v>0</v>
      </c>
      <c r="L174" s="144">
        <f t="shared" si="80"/>
        <v>0</v>
      </c>
      <c r="M174" s="50">
        <f t="shared" si="14"/>
        <v>0</v>
      </c>
      <c r="N174" s="40">
        <f t="shared" si="15"/>
        <v>111</v>
      </c>
      <c r="O174" s="43">
        <f t="shared" si="16"/>
        <v>136</v>
      </c>
    </row>
    <row r="175" spans="1:15" ht="22.95" customHeight="1" x14ac:dyDescent="0.3">
      <c r="A175" s="54" t="s">
        <v>241</v>
      </c>
      <c r="B175" s="44">
        <f t="shared" si="69"/>
        <v>44</v>
      </c>
      <c r="C175" s="39">
        <f t="shared" si="69"/>
        <v>37</v>
      </c>
      <c r="D175" s="39">
        <f t="shared" si="69"/>
        <v>7</v>
      </c>
      <c r="E175" s="39">
        <f t="shared" si="69"/>
        <v>7</v>
      </c>
      <c r="F175" s="39">
        <f t="shared" si="69"/>
        <v>5</v>
      </c>
      <c r="G175" s="50">
        <f t="shared" si="49"/>
        <v>100</v>
      </c>
      <c r="H175" s="44">
        <f t="shared" ref="H175:L175" si="81">H69+H70+H71+H72</f>
        <v>0</v>
      </c>
      <c r="I175" s="39">
        <f t="shared" si="81"/>
        <v>0</v>
      </c>
      <c r="J175" s="39">
        <f t="shared" si="81"/>
        <v>0</v>
      </c>
      <c r="K175" s="45">
        <f t="shared" si="81"/>
        <v>0</v>
      </c>
      <c r="L175" s="144">
        <f t="shared" si="81"/>
        <v>0</v>
      </c>
      <c r="M175" s="50">
        <f t="shared" si="14"/>
        <v>0</v>
      </c>
      <c r="N175" s="40">
        <f t="shared" si="15"/>
        <v>100</v>
      </c>
      <c r="O175" s="43">
        <f t="shared" si="16"/>
        <v>116.5</v>
      </c>
    </row>
    <row r="176" spans="1:15" ht="22.95" customHeight="1" x14ac:dyDescent="0.3">
      <c r="A176" s="52" t="s">
        <v>242</v>
      </c>
      <c r="B176" s="44">
        <f t="shared" si="69"/>
        <v>34</v>
      </c>
      <c r="C176" s="39">
        <f t="shared" si="69"/>
        <v>27</v>
      </c>
      <c r="D176" s="39">
        <f t="shared" si="69"/>
        <v>10</v>
      </c>
      <c r="E176" s="39">
        <f t="shared" si="69"/>
        <v>11</v>
      </c>
      <c r="F176" s="39">
        <f t="shared" si="69"/>
        <v>3</v>
      </c>
      <c r="G176" s="50">
        <f t="shared" si="49"/>
        <v>85</v>
      </c>
      <c r="H176" s="44">
        <f t="shared" ref="H176:L176" si="82">H70+H71+H72+H73</f>
        <v>0</v>
      </c>
      <c r="I176" s="39">
        <f t="shared" si="82"/>
        <v>0</v>
      </c>
      <c r="J176" s="39">
        <f t="shared" si="82"/>
        <v>0</v>
      </c>
      <c r="K176" s="45">
        <f t="shared" si="82"/>
        <v>0</v>
      </c>
      <c r="L176" s="144">
        <f t="shared" si="82"/>
        <v>0</v>
      </c>
      <c r="M176" s="50">
        <f t="shared" si="14"/>
        <v>0</v>
      </c>
      <c r="N176" s="40">
        <f t="shared" si="15"/>
        <v>85</v>
      </c>
      <c r="O176" s="43">
        <f t="shared" si="16"/>
        <v>109</v>
      </c>
    </row>
    <row r="177" spans="1:15" ht="22.95" customHeight="1" x14ac:dyDescent="0.3">
      <c r="A177" s="52" t="s">
        <v>243</v>
      </c>
      <c r="B177" s="44">
        <f t="shared" si="69"/>
        <v>26</v>
      </c>
      <c r="C177" s="39">
        <f t="shared" si="69"/>
        <v>19</v>
      </c>
      <c r="D177" s="39">
        <f t="shared" si="69"/>
        <v>10</v>
      </c>
      <c r="E177" s="39">
        <f t="shared" si="69"/>
        <v>12</v>
      </c>
      <c r="F177" s="39">
        <f t="shared" si="69"/>
        <v>2</v>
      </c>
      <c r="G177" s="50">
        <f t="shared" si="49"/>
        <v>69</v>
      </c>
      <c r="H177" s="44">
        <f t="shared" ref="H177:L177" si="83">H71+H72+H73+H74</f>
        <v>0</v>
      </c>
      <c r="I177" s="39">
        <f t="shared" si="83"/>
        <v>0</v>
      </c>
      <c r="J177" s="39">
        <f t="shared" si="83"/>
        <v>0</v>
      </c>
      <c r="K177" s="45">
        <f t="shared" si="83"/>
        <v>0</v>
      </c>
      <c r="L177" s="144">
        <f t="shared" si="83"/>
        <v>0</v>
      </c>
      <c r="M177" s="50">
        <f t="shared" si="14"/>
        <v>0</v>
      </c>
      <c r="N177" s="40">
        <f t="shared" si="15"/>
        <v>69</v>
      </c>
      <c r="O177" s="43">
        <f t="shared" si="16"/>
        <v>95.5</v>
      </c>
    </row>
    <row r="178" spans="1:15" ht="22.95" customHeight="1" x14ac:dyDescent="0.3">
      <c r="A178" s="52" t="s">
        <v>244</v>
      </c>
      <c r="B178" s="44">
        <f t="shared" si="69"/>
        <v>13</v>
      </c>
      <c r="C178" s="39">
        <f t="shared" si="69"/>
        <v>13</v>
      </c>
      <c r="D178" s="39">
        <f t="shared" si="69"/>
        <v>11</v>
      </c>
      <c r="E178" s="39">
        <f t="shared" si="69"/>
        <v>10</v>
      </c>
      <c r="F178" s="39">
        <f t="shared" si="69"/>
        <v>2</v>
      </c>
      <c r="G178" s="50">
        <f t="shared" ref="G178:G206" si="84">SUM(B178:F178)</f>
        <v>49</v>
      </c>
      <c r="H178" s="44">
        <f t="shared" ref="H178:L178" si="85">H72+H73+H74+H75</f>
        <v>0</v>
      </c>
      <c r="I178" s="39">
        <f t="shared" si="85"/>
        <v>0</v>
      </c>
      <c r="J178" s="39">
        <f t="shared" si="85"/>
        <v>0</v>
      </c>
      <c r="K178" s="45">
        <f t="shared" si="85"/>
        <v>0</v>
      </c>
      <c r="L178" s="144">
        <f t="shared" si="85"/>
        <v>0</v>
      </c>
      <c r="M178" s="50">
        <f t="shared" si="14"/>
        <v>0</v>
      </c>
      <c r="N178" s="40">
        <f t="shared" si="15"/>
        <v>49</v>
      </c>
      <c r="O178" s="43">
        <f t="shared" si="16"/>
        <v>75</v>
      </c>
    </row>
    <row r="179" spans="1:15" ht="22.95" customHeight="1" x14ac:dyDescent="0.3">
      <c r="A179" s="52" t="s">
        <v>245</v>
      </c>
      <c r="B179" s="44">
        <f t="shared" si="69"/>
        <v>15</v>
      </c>
      <c r="C179" s="39">
        <f t="shared" si="69"/>
        <v>7</v>
      </c>
      <c r="D179" s="39">
        <f t="shared" si="69"/>
        <v>11</v>
      </c>
      <c r="E179" s="39">
        <f t="shared" si="69"/>
        <v>7</v>
      </c>
      <c r="F179" s="39">
        <f t="shared" si="69"/>
        <v>1</v>
      </c>
      <c r="G179" s="50">
        <f t="shared" si="84"/>
        <v>41</v>
      </c>
      <c r="H179" s="44">
        <f t="shared" ref="H179:L179" si="86">H73+H74+H75+H76</f>
        <v>0</v>
      </c>
      <c r="I179" s="39">
        <f t="shared" si="86"/>
        <v>0</v>
      </c>
      <c r="J179" s="39">
        <f t="shared" si="86"/>
        <v>0</v>
      </c>
      <c r="K179" s="45">
        <f t="shared" si="86"/>
        <v>0</v>
      </c>
      <c r="L179" s="144">
        <f t="shared" si="86"/>
        <v>0</v>
      </c>
      <c r="M179" s="50">
        <f t="shared" ref="M179:M206" si="87">SUM(H179:K179)</f>
        <v>0</v>
      </c>
      <c r="N179" s="40">
        <f t="shared" ref="N179:N206" si="88">G179+M179</f>
        <v>41</v>
      </c>
      <c r="O179" s="43">
        <f t="shared" ref="O179:O206" si="89">B179*1+C179*0.5+D179*1.5+E179*3+F179*4.5+H179*0.5+I179*1.5+J179*3+K179*4+L179*8</f>
        <v>60.5</v>
      </c>
    </row>
    <row r="180" spans="1:15" ht="22.95" customHeight="1" x14ac:dyDescent="0.3">
      <c r="A180" s="52" t="s">
        <v>246</v>
      </c>
      <c r="B180" s="44">
        <f t="shared" ref="B180:F195" si="90">B74+B75+B76+B77</f>
        <v>19</v>
      </c>
      <c r="C180" s="39">
        <f t="shared" si="90"/>
        <v>5</v>
      </c>
      <c r="D180" s="39">
        <f t="shared" si="90"/>
        <v>7</v>
      </c>
      <c r="E180" s="39">
        <f t="shared" si="90"/>
        <v>4</v>
      </c>
      <c r="F180" s="39">
        <f t="shared" si="90"/>
        <v>2</v>
      </c>
      <c r="G180" s="50">
        <f t="shared" si="84"/>
        <v>37</v>
      </c>
      <c r="H180" s="44">
        <f t="shared" ref="H180:L180" si="91">H74+H75+H76+H77</f>
        <v>0</v>
      </c>
      <c r="I180" s="39">
        <f t="shared" si="91"/>
        <v>0</v>
      </c>
      <c r="J180" s="39">
        <f t="shared" si="91"/>
        <v>0</v>
      </c>
      <c r="K180" s="45">
        <f t="shared" si="91"/>
        <v>0</v>
      </c>
      <c r="L180" s="144">
        <f t="shared" si="91"/>
        <v>0</v>
      </c>
      <c r="M180" s="50">
        <f t="shared" si="87"/>
        <v>0</v>
      </c>
      <c r="N180" s="40">
        <f t="shared" si="88"/>
        <v>37</v>
      </c>
      <c r="O180" s="43">
        <f t="shared" si="89"/>
        <v>53</v>
      </c>
    </row>
    <row r="181" spans="1:15" ht="22.95" customHeight="1" x14ac:dyDescent="0.3">
      <c r="A181" s="52" t="s">
        <v>247</v>
      </c>
      <c r="B181" s="44">
        <f t="shared" si="90"/>
        <v>23</v>
      </c>
      <c r="C181" s="39">
        <f t="shared" si="90"/>
        <v>6</v>
      </c>
      <c r="D181" s="39">
        <f t="shared" si="90"/>
        <v>6</v>
      </c>
      <c r="E181" s="39">
        <f t="shared" si="90"/>
        <v>2</v>
      </c>
      <c r="F181" s="39">
        <f t="shared" si="90"/>
        <v>2</v>
      </c>
      <c r="G181" s="50">
        <f t="shared" si="84"/>
        <v>39</v>
      </c>
      <c r="H181" s="44">
        <f t="shared" ref="H181:L181" si="92">H75+H76+H77+H78</f>
        <v>0</v>
      </c>
      <c r="I181" s="39">
        <f t="shared" si="92"/>
        <v>0</v>
      </c>
      <c r="J181" s="39">
        <f t="shared" si="92"/>
        <v>0</v>
      </c>
      <c r="K181" s="45">
        <f t="shared" si="92"/>
        <v>0</v>
      </c>
      <c r="L181" s="144">
        <f t="shared" si="92"/>
        <v>0</v>
      </c>
      <c r="M181" s="50">
        <f t="shared" si="87"/>
        <v>0</v>
      </c>
      <c r="N181" s="40">
        <f t="shared" si="88"/>
        <v>39</v>
      </c>
      <c r="O181" s="43">
        <f t="shared" si="89"/>
        <v>50</v>
      </c>
    </row>
    <row r="182" spans="1:15" ht="22.95" customHeight="1" x14ac:dyDescent="0.3">
      <c r="A182" s="52" t="s">
        <v>248</v>
      </c>
      <c r="B182" s="44">
        <f t="shared" si="90"/>
        <v>29</v>
      </c>
      <c r="C182" s="39">
        <f t="shared" si="90"/>
        <v>6</v>
      </c>
      <c r="D182" s="39">
        <f t="shared" si="90"/>
        <v>6</v>
      </c>
      <c r="E182" s="39">
        <f t="shared" si="90"/>
        <v>3</v>
      </c>
      <c r="F182" s="39">
        <f t="shared" si="90"/>
        <v>4</v>
      </c>
      <c r="G182" s="50">
        <f t="shared" si="84"/>
        <v>48</v>
      </c>
      <c r="H182" s="44">
        <f t="shared" ref="H182:L182" si="93">H76+H77+H78+H79</f>
        <v>0</v>
      </c>
      <c r="I182" s="39">
        <f t="shared" si="93"/>
        <v>0</v>
      </c>
      <c r="J182" s="39">
        <f t="shared" si="93"/>
        <v>0</v>
      </c>
      <c r="K182" s="45">
        <f t="shared" si="93"/>
        <v>0</v>
      </c>
      <c r="L182" s="144">
        <f t="shared" si="93"/>
        <v>0</v>
      </c>
      <c r="M182" s="50">
        <f t="shared" si="87"/>
        <v>0</v>
      </c>
      <c r="N182" s="40">
        <f t="shared" si="88"/>
        <v>48</v>
      </c>
      <c r="O182" s="43">
        <f t="shared" si="89"/>
        <v>68</v>
      </c>
    </row>
    <row r="183" spans="1:15" ht="22.95" customHeight="1" x14ac:dyDescent="0.3">
      <c r="A183" s="52" t="s">
        <v>249</v>
      </c>
      <c r="B183" s="44">
        <f t="shared" si="90"/>
        <v>23</v>
      </c>
      <c r="C183" s="39">
        <f t="shared" si="90"/>
        <v>6</v>
      </c>
      <c r="D183" s="39">
        <f t="shared" si="90"/>
        <v>3</v>
      </c>
      <c r="E183" s="39">
        <f t="shared" si="90"/>
        <v>3</v>
      </c>
      <c r="F183" s="39">
        <f t="shared" si="90"/>
        <v>4</v>
      </c>
      <c r="G183" s="50">
        <f t="shared" si="84"/>
        <v>39</v>
      </c>
      <c r="H183" s="44">
        <f t="shared" ref="H183:L183" si="94">H77+H78+H79+H80</f>
        <v>0</v>
      </c>
      <c r="I183" s="39">
        <f t="shared" si="94"/>
        <v>0</v>
      </c>
      <c r="J183" s="39">
        <f t="shared" si="94"/>
        <v>0</v>
      </c>
      <c r="K183" s="45">
        <f t="shared" si="94"/>
        <v>0</v>
      </c>
      <c r="L183" s="144">
        <f t="shared" si="94"/>
        <v>0</v>
      </c>
      <c r="M183" s="50">
        <f t="shared" si="87"/>
        <v>0</v>
      </c>
      <c r="N183" s="40">
        <f t="shared" si="88"/>
        <v>39</v>
      </c>
      <c r="O183" s="43">
        <f t="shared" si="89"/>
        <v>57.5</v>
      </c>
    </row>
    <row r="184" spans="1:15" ht="22.95" customHeight="1" x14ac:dyDescent="0.3">
      <c r="A184" s="52" t="s">
        <v>250</v>
      </c>
      <c r="B184" s="44">
        <f t="shared" si="90"/>
        <v>16</v>
      </c>
      <c r="C184" s="39">
        <f t="shared" si="90"/>
        <v>6</v>
      </c>
      <c r="D184" s="39">
        <f t="shared" si="90"/>
        <v>3</v>
      </c>
      <c r="E184" s="39">
        <f t="shared" si="90"/>
        <v>1</v>
      </c>
      <c r="F184" s="39">
        <f t="shared" si="90"/>
        <v>3</v>
      </c>
      <c r="G184" s="50">
        <f t="shared" si="84"/>
        <v>29</v>
      </c>
      <c r="H184" s="44">
        <f t="shared" ref="H184:L184" si="95">H78+H79+H80+H81</f>
        <v>0</v>
      </c>
      <c r="I184" s="39">
        <f t="shared" si="95"/>
        <v>0</v>
      </c>
      <c r="J184" s="39">
        <f t="shared" si="95"/>
        <v>0</v>
      </c>
      <c r="K184" s="45">
        <f t="shared" si="95"/>
        <v>0</v>
      </c>
      <c r="L184" s="144">
        <f t="shared" si="95"/>
        <v>0</v>
      </c>
      <c r="M184" s="50">
        <f t="shared" si="87"/>
        <v>0</v>
      </c>
      <c r="N184" s="40">
        <f t="shared" si="88"/>
        <v>29</v>
      </c>
      <c r="O184" s="43">
        <f t="shared" si="89"/>
        <v>40</v>
      </c>
    </row>
    <row r="185" spans="1:15" ht="22.95" customHeight="1" x14ac:dyDescent="0.3">
      <c r="A185" s="52" t="s">
        <v>251</v>
      </c>
      <c r="B185" s="44">
        <f t="shared" si="90"/>
        <v>10</v>
      </c>
      <c r="C185" s="39">
        <f t="shared" si="90"/>
        <v>6</v>
      </c>
      <c r="D185" s="39">
        <f t="shared" si="90"/>
        <v>5</v>
      </c>
      <c r="E185" s="39">
        <f t="shared" si="90"/>
        <v>1</v>
      </c>
      <c r="F185" s="39">
        <f t="shared" si="90"/>
        <v>3</v>
      </c>
      <c r="G185" s="50">
        <f t="shared" si="84"/>
        <v>25</v>
      </c>
      <c r="H185" s="44">
        <f t="shared" ref="H185:L185" si="96">H79+H80+H81+H82</f>
        <v>0</v>
      </c>
      <c r="I185" s="39">
        <f t="shared" si="96"/>
        <v>0</v>
      </c>
      <c r="J185" s="39">
        <f t="shared" si="96"/>
        <v>0</v>
      </c>
      <c r="K185" s="45">
        <f t="shared" si="96"/>
        <v>0</v>
      </c>
      <c r="L185" s="144">
        <f t="shared" si="96"/>
        <v>0</v>
      </c>
      <c r="M185" s="50">
        <f t="shared" si="87"/>
        <v>0</v>
      </c>
      <c r="N185" s="40">
        <f t="shared" si="88"/>
        <v>25</v>
      </c>
      <c r="O185" s="43">
        <f t="shared" si="89"/>
        <v>37</v>
      </c>
    </row>
    <row r="186" spans="1:15" ht="22.95" customHeight="1" x14ac:dyDescent="0.3">
      <c r="A186" s="52" t="s">
        <v>252</v>
      </c>
      <c r="B186" s="44">
        <f t="shared" si="90"/>
        <v>2</v>
      </c>
      <c r="C186" s="39">
        <f t="shared" si="90"/>
        <v>5</v>
      </c>
      <c r="D186" s="39">
        <f t="shared" si="90"/>
        <v>3</v>
      </c>
      <c r="E186" s="39">
        <f t="shared" si="90"/>
        <v>1</v>
      </c>
      <c r="F186" s="39">
        <f t="shared" si="90"/>
        <v>0</v>
      </c>
      <c r="G186" s="50">
        <f t="shared" si="84"/>
        <v>11</v>
      </c>
      <c r="H186" s="44">
        <f t="shared" ref="H186:L186" si="97">H80+H81+H82+H83</f>
        <v>0</v>
      </c>
      <c r="I186" s="39">
        <f t="shared" si="97"/>
        <v>0</v>
      </c>
      <c r="J186" s="39">
        <f t="shared" si="97"/>
        <v>0</v>
      </c>
      <c r="K186" s="45">
        <f t="shared" si="97"/>
        <v>0</v>
      </c>
      <c r="L186" s="144">
        <f t="shared" si="97"/>
        <v>0</v>
      </c>
      <c r="M186" s="50">
        <f t="shared" si="87"/>
        <v>0</v>
      </c>
      <c r="N186" s="40">
        <f t="shared" si="88"/>
        <v>11</v>
      </c>
      <c r="O186" s="43">
        <f t="shared" si="89"/>
        <v>12</v>
      </c>
    </row>
    <row r="187" spans="1:15" ht="22.95" customHeight="1" x14ac:dyDescent="0.3">
      <c r="A187" s="52" t="s">
        <v>253</v>
      </c>
      <c r="B187" s="44">
        <f t="shared" si="90"/>
        <v>4</v>
      </c>
      <c r="C187" s="39">
        <f t="shared" si="90"/>
        <v>4</v>
      </c>
      <c r="D187" s="39">
        <f t="shared" si="90"/>
        <v>4</v>
      </c>
      <c r="E187" s="39">
        <f t="shared" si="90"/>
        <v>1</v>
      </c>
      <c r="F187" s="39">
        <f t="shared" si="90"/>
        <v>0</v>
      </c>
      <c r="G187" s="50">
        <f t="shared" si="84"/>
        <v>13</v>
      </c>
      <c r="H187" s="44">
        <f t="shared" ref="H187:L187" si="98">H81+H82+H83+H84</f>
        <v>0</v>
      </c>
      <c r="I187" s="39">
        <f t="shared" si="98"/>
        <v>0</v>
      </c>
      <c r="J187" s="39">
        <f t="shared" si="98"/>
        <v>0</v>
      </c>
      <c r="K187" s="45">
        <f t="shared" si="98"/>
        <v>0</v>
      </c>
      <c r="L187" s="144">
        <f t="shared" si="98"/>
        <v>0</v>
      </c>
      <c r="M187" s="50">
        <f t="shared" si="87"/>
        <v>0</v>
      </c>
      <c r="N187" s="40">
        <f t="shared" si="88"/>
        <v>13</v>
      </c>
      <c r="O187" s="43">
        <f t="shared" si="89"/>
        <v>15</v>
      </c>
    </row>
    <row r="188" spans="1:15" ht="22.95" customHeight="1" x14ac:dyDescent="0.3">
      <c r="A188" s="52" t="s">
        <v>254</v>
      </c>
      <c r="B188" s="44">
        <f t="shared" si="90"/>
        <v>6</v>
      </c>
      <c r="C188" s="39">
        <f t="shared" si="90"/>
        <v>5</v>
      </c>
      <c r="D188" s="39">
        <f t="shared" si="90"/>
        <v>6</v>
      </c>
      <c r="E188" s="39">
        <f t="shared" si="90"/>
        <v>3</v>
      </c>
      <c r="F188" s="39">
        <f t="shared" si="90"/>
        <v>0</v>
      </c>
      <c r="G188" s="50">
        <f t="shared" si="84"/>
        <v>20</v>
      </c>
      <c r="H188" s="44">
        <f t="shared" ref="H188:L188" si="99">H82+H83+H84+H85</f>
        <v>0</v>
      </c>
      <c r="I188" s="39">
        <f t="shared" si="99"/>
        <v>0</v>
      </c>
      <c r="J188" s="39">
        <f t="shared" si="99"/>
        <v>0</v>
      </c>
      <c r="K188" s="45">
        <f t="shared" si="99"/>
        <v>0</v>
      </c>
      <c r="L188" s="144">
        <f t="shared" si="99"/>
        <v>0</v>
      </c>
      <c r="M188" s="50">
        <f t="shared" si="87"/>
        <v>0</v>
      </c>
      <c r="N188" s="40">
        <f t="shared" si="88"/>
        <v>20</v>
      </c>
      <c r="O188" s="43">
        <f t="shared" si="89"/>
        <v>26.5</v>
      </c>
    </row>
    <row r="189" spans="1:15" ht="22.95" customHeight="1" x14ac:dyDescent="0.3">
      <c r="A189" s="52" t="s">
        <v>255</v>
      </c>
      <c r="B189" s="44">
        <f t="shared" si="90"/>
        <v>9</v>
      </c>
      <c r="C189" s="39">
        <f t="shared" si="90"/>
        <v>3</v>
      </c>
      <c r="D189" s="39">
        <f t="shared" si="90"/>
        <v>3</v>
      </c>
      <c r="E189" s="39">
        <f t="shared" si="90"/>
        <v>3</v>
      </c>
      <c r="F189" s="39">
        <f t="shared" si="90"/>
        <v>0</v>
      </c>
      <c r="G189" s="50">
        <f t="shared" si="84"/>
        <v>18</v>
      </c>
      <c r="H189" s="44">
        <f t="shared" ref="H189:L189" si="100">H83+H84+H85+H86</f>
        <v>0</v>
      </c>
      <c r="I189" s="39">
        <f t="shared" si="100"/>
        <v>0</v>
      </c>
      <c r="J189" s="39">
        <f t="shared" si="100"/>
        <v>0</v>
      </c>
      <c r="K189" s="45">
        <f t="shared" si="100"/>
        <v>0</v>
      </c>
      <c r="L189" s="144">
        <f t="shared" si="100"/>
        <v>0</v>
      </c>
      <c r="M189" s="50">
        <f t="shared" si="87"/>
        <v>0</v>
      </c>
      <c r="N189" s="40">
        <f t="shared" si="88"/>
        <v>18</v>
      </c>
      <c r="O189" s="43">
        <f t="shared" si="89"/>
        <v>24</v>
      </c>
    </row>
    <row r="190" spans="1:15" ht="22.95" customHeight="1" x14ac:dyDescent="0.3">
      <c r="A190" s="52" t="s">
        <v>256</v>
      </c>
      <c r="B190" s="44">
        <f t="shared" si="90"/>
        <v>14</v>
      </c>
      <c r="C190" s="39">
        <f t="shared" si="90"/>
        <v>3</v>
      </c>
      <c r="D190" s="39">
        <f t="shared" si="90"/>
        <v>3</v>
      </c>
      <c r="E190" s="39">
        <f t="shared" si="90"/>
        <v>3</v>
      </c>
      <c r="F190" s="39">
        <f t="shared" si="90"/>
        <v>0</v>
      </c>
      <c r="G190" s="50">
        <f t="shared" si="84"/>
        <v>23</v>
      </c>
      <c r="H190" s="44">
        <f t="shared" ref="H190:L190" si="101">H84+H85+H86+H87</f>
        <v>0</v>
      </c>
      <c r="I190" s="39">
        <f t="shared" si="101"/>
        <v>0</v>
      </c>
      <c r="J190" s="39">
        <f t="shared" si="101"/>
        <v>0</v>
      </c>
      <c r="K190" s="45">
        <f t="shared" si="101"/>
        <v>0</v>
      </c>
      <c r="L190" s="144">
        <f t="shared" si="101"/>
        <v>0</v>
      </c>
      <c r="M190" s="50">
        <f t="shared" si="87"/>
        <v>0</v>
      </c>
      <c r="N190" s="40">
        <f t="shared" si="88"/>
        <v>23</v>
      </c>
      <c r="O190" s="43">
        <f t="shared" si="89"/>
        <v>29</v>
      </c>
    </row>
    <row r="191" spans="1:15" ht="22.95" customHeight="1" x14ac:dyDescent="0.3">
      <c r="A191" s="52" t="s">
        <v>257</v>
      </c>
      <c r="B191" s="44">
        <f t="shared" si="90"/>
        <v>15</v>
      </c>
      <c r="C191" s="39">
        <f t="shared" si="90"/>
        <v>2</v>
      </c>
      <c r="D191" s="39">
        <f t="shared" si="90"/>
        <v>4</v>
      </c>
      <c r="E191" s="39">
        <f t="shared" si="90"/>
        <v>3</v>
      </c>
      <c r="F191" s="39">
        <f t="shared" si="90"/>
        <v>1</v>
      </c>
      <c r="G191" s="50">
        <f t="shared" si="84"/>
        <v>25</v>
      </c>
      <c r="H191" s="44">
        <f t="shared" ref="H191:L191" si="102">H85+H86+H87+H88</f>
        <v>0</v>
      </c>
      <c r="I191" s="39">
        <f t="shared" si="102"/>
        <v>0</v>
      </c>
      <c r="J191" s="39">
        <f t="shared" si="102"/>
        <v>0</v>
      </c>
      <c r="K191" s="45">
        <f t="shared" si="102"/>
        <v>0</v>
      </c>
      <c r="L191" s="144">
        <f t="shared" si="102"/>
        <v>0</v>
      </c>
      <c r="M191" s="50">
        <f t="shared" si="87"/>
        <v>0</v>
      </c>
      <c r="N191" s="40">
        <f t="shared" si="88"/>
        <v>25</v>
      </c>
      <c r="O191" s="43">
        <f t="shared" si="89"/>
        <v>35.5</v>
      </c>
    </row>
    <row r="192" spans="1:15" ht="22.95" customHeight="1" x14ac:dyDescent="0.3">
      <c r="A192" s="52" t="s">
        <v>258</v>
      </c>
      <c r="B192" s="44">
        <f t="shared" si="90"/>
        <v>14</v>
      </c>
      <c r="C192" s="39">
        <f t="shared" si="90"/>
        <v>2</v>
      </c>
      <c r="D192" s="39">
        <f t="shared" si="90"/>
        <v>3</v>
      </c>
      <c r="E192" s="39">
        <f t="shared" si="90"/>
        <v>3</v>
      </c>
      <c r="F192" s="39">
        <f t="shared" si="90"/>
        <v>1</v>
      </c>
      <c r="G192" s="50">
        <f t="shared" si="84"/>
        <v>23</v>
      </c>
      <c r="H192" s="44">
        <f t="shared" ref="H192:L192" si="103">H86+H87+H88+H89</f>
        <v>0</v>
      </c>
      <c r="I192" s="39">
        <f t="shared" si="103"/>
        <v>0</v>
      </c>
      <c r="J192" s="39">
        <f t="shared" si="103"/>
        <v>0</v>
      </c>
      <c r="K192" s="45">
        <f t="shared" si="103"/>
        <v>0</v>
      </c>
      <c r="L192" s="144">
        <f t="shared" si="103"/>
        <v>0</v>
      </c>
      <c r="M192" s="50">
        <f t="shared" si="87"/>
        <v>0</v>
      </c>
      <c r="N192" s="40">
        <f t="shared" si="88"/>
        <v>23</v>
      </c>
      <c r="O192" s="43">
        <f t="shared" si="89"/>
        <v>33</v>
      </c>
    </row>
    <row r="193" spans="1:15" ht="22.95" customHeight="1" x14ac:dyDescent="0.3">
      <c r="A193" s="52" t="s">
        <v>259</v>
      </c>
      <c r="B193" s="44">
        <f t="shared" si="90"/>
        <v>16</v>
      </c>
      <c r="C193" s="39">
        <f t="shared" si="90"/>
        <v>4</v>
      </c>
      <c r="D193" s="39">
        <f t="shared" si="90"/>
        <v>7</v>
      </c>
      <c r="E193" s="39">
        <f t="shared" si="90"/>
        <v>3</v>
      </c>
      <c r="F193" s="39">
        <f t="shared" si="90"/>
        <v>1</v>
      </c>
      <c r="G193" s="50">
        <f t="shared" si="84"/>
        <v>31</v>
      </c>
      <c r="H193" s="44">
        <f t="shared" ref="H193:L193" si="104">H87+H88+H89+H90</f>
        <v>0</v>
      </c>
      <c r="I193" s="39">
        <f t="shared" si="104"/>
        <v>0</v>
      </c>
      <c r="J193" s="39">
        <f t="shared" si="104"/>
        <v>0</v>
      </c>
      <c r="K193" s="45">
        <f t="shared" si="104"/>
        <v>0</v>
      </c>
      <c r="L193" s="144">
        <f t="shared" si="104"/>
        <v>0</v>
      </c>
      <c r="M193" s="50">
        <f t="shared" si="87"/>
        <v>0</v>
      </c>
      <c r="N193" s="40">
        <f t="shared" si="88"/>
        <v>31</v>
      </c>
      <c r="O193" s="43">
        <f t="shared" si="89"/>
        <v>42</v>
      </c>
    </row>
    <row r="194" spans="1:15" ht="22.95" customHeight="1" x14ac:dyDescent="0.3">
      <c r="A194" s="52" t="s">
        <v>260</v>
      </c>
      <c r="B194" s="44">
        <f t="shared" si="90"/>
        <v>19</v>
      </c>
      <c r="C194" s="39">
        <f t="shared" si="90"/>
        <v>5</v>
      </c>
      <c r="D194" s="39">
        <f t="shared" si="90"/>
        <v>9</v>
      </c>
      <c r="E194" s="39">
        <f t="shared" si="90"/>
        <v>2</v>
      </c>
      <c r="F194" s="39">
        <f t="shared" si="90"/>
        <v>2</v>
      </c>
      <c r="G194" s="50">
        <f t="shared" si="84"/>
        <v>37</v>
      </c>
      <c r="H194" s="44">
        <f t="shared" ref="H194:L194" si="105">H88+H89+H90+H91</f>
        <v>0</v>
      </c>
      <c r="I194" s="39">
        <f t="shared" si="105"/>
        <v>0</v>
      </c>
      <c r="J194" s="39">
        <f t="shared" si="105"/>
        <v>0</v>
      </c>
      <c r="K194" s="45">
        <f t="shared" si="105"/>
        <v>0</v>
      </c>
      <c r="L194" s="144">
        <f t="shared" si="105"/>
        <v>0</v>
      </c>
      <c r="M194" s="50">
        <f t="shared" si="87"/>
        <v>0</v>
      </c>
      <c r="N194" s="40">
        <f t="shared" si="88"/>
        <v>37</v>
      </c>
      <c r="O194" s="43">
        <f t="shared" si="89"/>
        <v>50</v>
      </c>
    </row>
    <row r="195" spans="1:15" ht="22.95" customHeight="1" x14ac:dyDescent="0.3">
      <c r="A195" s="52" t="s">
        <v>261</v>
      </c>
      <c r="B195" s="44">
        <f t="shared" si="90"/>
        <v>27</v>
      </c>
      <c r="C195" s="39">
        <f t="shared" si="90"/>
        <v>14</v>
      </c>
      <c r="D195" s="39">
        <f t="shared" si="90"/>
        <v>7</v>
      </c>
      <c r="E195" s="39">
        <f t="shared" si="90"/>
        <v>2</v>
      </c>
      <c r="F195" s="39">
        <f t="shared" si="90"/>
        <v>1</v>
      </c>
      <c r="G195" s="50">
        <f t="shared" si="84"/>
        <v>51</v>
      </c>
      <c r="H195" s="44">
        <f t="shared" ref="H195:L195" si="106">H89+H90+H91+H92</f>
        <v>0</v>
      </c>
      <c r="I195" s="39">
        <f t="shared" si="106"/>
        <v>0</v>
      </c>
      <c r="J195" s="39">
        <f t="shared" si="106"/>
        <v>0</v>
      </c>
      <c r="K195" s="45">
        <f t="shared" si="106"/>
        <v>0</v>
      </c>
      <c r="L195" s="144">
        <f t="shared" si="106"/>
        <v>0</v>
      </c>
      <c r="M195" s="50">
        <f t="shared" si="87"/>
        <v>0</v>
      </c>
      <c r="N195" s="40">
        <f t="shared" si="88"/>
        <v>51</v>
      </c>
      <c r="O195" s="43">
        <f t="shared" si="89"/>
        <v>55</v>
      </c>
    </row>
    <row r="196" spans="1:15" ht="22.95" customHeight="1" x14ac:dyDescent="0.3">
      <c r="A196" s="52" t="s">
        <v>270</v>
      </c>
      <c r="B196" s="44">
        <f t="shared" ref="B196:F206" si="107">B90+B91+B92+B93</f>
        <v>35</v>
      </c>
      <c r="C196" s="39">
        <f t="shared" si="107"/>
        <v>20</v>
      </c>
      <c r="D196" s="39">
        <f t="shared" si="107"/>
        <v>7</v>
      </c>
      <c r="E196" s="39">
        <f t="shared" si="107"/>
        <v>0</v>
      </c>
      <c r="F196" s="39">
        <f t="shared" si="107"/>
        <v>1</v>
      </c>
      <c r="G196" s="50">
        <f t="shared" si="84"/>
        <v>63</v>
      </c>
      <c r="H196" s="44">
        <f t="shared" ref="H196:L196" si="108">H90+H91+H92+H93</f>
        <v>0</v>
      </c>
      <c r="I196" s="39">
        <f t="shared" si="108"/>
        <v>0</v>
      </c>
      <c r="J196" s="39">
        <f t="shared" si="108"/>
        <v>0</v>
      </c>
      <c r="K196" s="45">
        <f t="shared" si="108"/>
        <v>0</v>
      </c>
      <c r="L196" s="144">
        <f t="shared" si="108"/>
        <v>0</v>
      </c>
      <c r="M196" s="50">
        <f t="shared" si="87"/>
        <v>0</v>
      </c>
      <c r="N196" s="40">
        <f t="shared" si="88"/>
        <v>63</v>
      </c>
      <c r="O196" s="43">
        <f t="shared" si="89"/>
        <v>60</v>
      </c>
    </row>
    <row r="197" spans="1:15" ht="22.95" customHeight="1" x14ac:dyDescent="0.3">
      <c r="A197" s="52" t="s">
        <v>271</v>
      </c>
      <c r="B197" s="44">
        <f t="shared" si="107"/>
        <v>37</v>
      </c>
      <c r="C197" s="39">
        <f t="shared" si="107"/>
        <v>27</v>
      </c>
      <c r="D197" s="39">
        <f t="shared" si="107"/>
        <v>4</v>
      </c>
      <c r="E197" s="39">
        <f t="shared" si="107"/>
        <v>1</v>
      </c>
      <c r="F197" s="39">
        <f t="shared" si="107"/>
        <v>1</v>
      </c>
      <c r="G197" s="50">
        <f t="shared" si="84"/>
        <v>70</v>
      </c>
      <c r="H197" s="44">
        <f t="shared" ref="H197:L197" si="109">H91+H92+H93+H94</f>
        <v>0</v>
      </c>
      <c r="I197" s="39">
        <f t="shared" si="109"/>
        <v>0</v>
      </c>
      <c r="J197" s="39">
        <f t="shared" si="109"/>
        <v>0</v>
      </c>
      <c r="K197" s="45">
        <f t="shared" si="109"/>
        <v>0</v>
      </c>
      <c r="L197" s="144">
        <f t="shared" si="109"/>
        <v>0</v>
      </c>
      <c r="M197" s="50">
        <f t="shared" si="87"/>
        <v>0</v>
      </c>
      <c r="N197" s="40">
        <f t="shared" si="88"/>
        <v>70</v>
      </c>
      <c r="O197" s="43">
        <f t="shared" si="89"/>
        <v>64</v>
      </c>
    </row>
    <row r="198" spans="1:15" ht="22.95" customHeight="1" x14ac:dyDescent="0.3">
      <c r="A198" s="52" t="s">
        <v>279</v>
      </c>
      <c r="B198" s="44">
        <f t="shared" si="107"/>
        <v>42</v>
      </c>
      <c r="C198" s="39">
        <f t="shared" si="107"/>
        <v>29</v>
      </c>
      <c r="D198" s="39">
        <f t="shared" si="107"/>
        <v>4</v>
      </c>
      <c r="E198" s="39">
        <f t="shared" si="107"/>
        <v>1</v>
      </c>
      <c r="F198" s="39">
        <f t="shared" si="107"/>
        <v>1</v>
      </c>
      <c r="G198" s="50">
        <f t="shared" si="84"/>
        <v>77</v>
      </c>
      <c r="H198" s="44">
        <f t="shared" ref="H198:L198" si="110">H92+H93+H94+H95</f>
        <v>0</v>
      </c>
      <c r="I198" s="39">
        <f t="shared" si="110"/>
        <v>0</v>
      </c>
      <c r="J198" s="39">
        <f t="shared" si="110"/>
        <v>0</v>
      </c>
      <c r="K198" s="45">
        <f t="shared" si="110"/>
        <v>0</v>
      </c>
      <c r="L198" s="144">
        <f t="shared" si="110"/>
        <v>1</v>
      </c>
      <c r="M198" s="50">
        <f t="shared" si="87"/>
        <v>0</v>
      </c>
      <c r="N198" s="40">
        <f t="shared" si="88"/>
        <v>77</v>
      </c>
      <c r="O198" s="43">
        <f t="shared" si="89"/>
        <v>78</v>
      </c>
    </row>
    <row r="199" spans="1:15" ht="22.95" customHeight="1" x14ac:dyDescent="0.3">
      <c r="A199" s="52" t="s">
        <v>62</v>
      </c>
      <c r="B199" s="44">
        <f t="shared" si="107"/>
        <v>53</v>
      </c>
      <c r="C199" s="39">
        <f t="shared" si="107"/>
        <v>28</v>
      </c>
      <c r="D199" s="39">
        <f t="shared" si="107"/>
        <v>6</v>
      </c>
      <c r="E199" s="39">
        <f t="shared" si="107"/>
        <v>2</v>
      </c>
      <c r="F199" s="39">
        <f t="shared" si="107"/>
        <v>1</v>
      </c>
      <c r="G199" s="50">
        <f t="shared" si="84"/>
        <v>90</v>
      </c>
      <c r="H199" s="44">
        <f t="shared" ref="H199:L199" si="111">H93+H94+H95+H96</f>
        <v>0</v>
      </c>
      <c r="I199" s="39">
        <f t="shared" si="111"/>
        <v>0</v>
      </c>
      <c r="J199" s="39">
        <f t="shared" si="111"/>
        <v>0</v>
      </c>
      <c r="K199" s="45">
        <f t="shared" si="111"/>
        <v>0</v>
      </c>
      <c r="L199" s="144">
        <f t="shared" si="111"/>
        <v>2</v>
      </c>
      <c r="M199" s="50">
        <f t="shared" si="87"/>
        <v>0</v>
      </c>
      <c r="N199" s="40">
        <f t="shared" si="88"/>
        <v>90</v>
      </c>
      <c r="O199" s="43">
        <f t="shared" si="89"/>
        <v>102.5</v>
      </c>
    </row>
    <row r="200" spans="1:15" ht="22.95" customHeight="1" x14ac:dyDescent="0.3">
      <c r="A200" s="52" t="s">
        <v>63</v>
      </c>
      <c r="B200" s="44">
        <f t="shared" si="107"/>
        <v>65</v>
      </c>
      <c r="C200" s="39">
        <f t="shared" si="107"/>
        <v>25</v>
      </c>
      <c r="D200" s="39">
        <f t="shared" si="107"/>
        <v>7</v>
      </c>
      <c r="E200" s="39">
        <f t="shared" si="107"/>
        <v>3</v>
      </c>
      <c r="F200" s="39">
        <f t="shared" si="107"/>
        <v>1</v>
      </c>
      <c r="G200" s="50">
        <f t="shared" si="84"/>
        <v>101</v>
      </c>
      <c r="H200" s="44">
        <f t="shared" ref="H200:L200" si="112">H94+H95+H96+H97</f>
        <v>0</v>
      </c>
      <c r="I200" s="39">
        <f t="shared" si="112"/>
        <v>0</v>
      </c>
      <c r="J200" s="39">
        <f t="shared" si="112"/>
        <v>0</v>
      </c>
      <c r="K200" s="45">
        <f t="shared" si="112"/>
        <v>0</v>
      </c>
      <c r="L200" s="144">
        <f t="shared" si="112"/>
        <v>4</v>
      </c>
      <c r="M200" s="50">
        <f t="shared" si="87"/>
        <v>0</v>
      </c>
      <c r="N200" s="40">
        <f t="shared" si="88"/>
        <v>101</v>
      </c>
      <c r="O200" s="43">
        <f t="shared" si="89"/>
        <v>133.5</v>
      </c>
    </row>
    <row r="201" spans="1:15" ht="22.95" customHeight="1" x14ac:dyDescent="0.3">
      <c r="A201" s="52" t="s">
        <v>64</v>
      </c>
      <c r="B201" s="44">
        <f t="shared" si="107"/>
        <v>80</v>
      </c>
      <c r="C201" s="39">
        <f t="shared" si="107"/>
        <v>29</v>
      </c>
      <c r="D201" s="39">
        <f t="shared" si="107"/>
        <v>8</v>
      </c>
      <c r="E201" s="39">
        <f t="shared" si="107"/>
        <v>2</v>
      </c>
      <c r="F201" s="39">
        <f t="shared" si="107"/>
        <v>2</v>
      </c>
      <c r="G201" s="50">
        <f t="shared" si="84"/>
        <v>121</v>
      </c>
      <c r="H201" s="44">
        <f t="shared" ref="H201:L201" si="113">H95+H96+H97+H98</f>
        <v>0</v>
      </c>
      <c r="I201" s="39">
        <f t="shared" si="113"/>
        <v>0</v>
      </c>
      <c r="J201" s="39">
        <f t="shared" si="113"/>
        <v>0</v>
      </c>
      <c r="K201" s="45">
        <f t="shared" si="113"/>
        <v>0</v>
      </c>
      <c r="L201" s="144">
        <f t="shared" si="113"/>
        <v>5</v>
      </c>
      <c r="M201" s="50">
        <f t="shared" si="87"/>
        <v>0</v>
      </c>
      <c r="N201" s="40">
        <f t="shared" si="88"/>
        <v>121</v>
      </c>
      <c r="O201" s="43">
        <f t="shared" si="89"/>
        <v>161.5</v>
      </c>
    </row>
    <row r="202" spans="1:15" ht="22.95" customHeight="1" x14ac:dyDescent="0.3">
      <c r="A202" s="52" t="s">
        <v>65</v>
      </c>
      <c r="B202" s="44">
        <f t="shared" si="107"/>
        <v>88</v>
      </c>
      <c r="C202" s="39">
        <f t="shared" si="107"/>
        <v>34</v>
      </c>
      <c r="D202" s="39">
        <f t="shared" si="107"/>
        <v>8</v>
      </c>
      <c r="E202" s="39">
        <f t="shared" si="107"/>
        <v>2</v>
      </c>
      <c r="F202" s="39">
        <f t="shared" si="107"/>
        <v>1</v>
      </c>
      <c r="G202" s="50">
        <f t="shared" si="84"/>
        <v>133</v>
      </c>
      <c r="H202" s="44">
        <f t="shared" ref="H202:L202" si="114">H96+H97+H98+H99</f>
        <v>0</v>
      </c>
      <c r="I202" s="39">
        <f t="shared" si="114"/>
        <v>0</v>
      </c>
      <c r="J202" s="39">
        <f t="shared" si="114"/>
        <v>0</v>
      </c>
      <c r="K202" s="45">
        <f t="shared" si="114"/>
        <v>0</v>
      </c>
      <c r="L202" s="144">
        <f t="shared" si="114"/>
        <v>5</v>
      </c>
      <c r="M202" s="50">
        <f t="shared" si="87"/>
        <v>0</v>
      </c>
      <c r="N202" s="40">
        <f t="shared" si="88"/>
        <v>133</v>
      </c>
      <c r="O202" s="43">
        <f t="shared" si="89"/>
        <v>167.5</v>
      </c>
    </row>
    <row r="203" spans="1:15" ht="22.95" customHeight="1" x14ac:dyDescent="0.3">
      <c r="A203" s="52" t="s">
        <v>66</v>
      </c>
      <c r="B203" s="44">
        <f t="shared" si="107"/>
        <v>104</v>
      </c>
      <c r="C203" s="39">
        <f t="shared" si="107"/>
        <v>42</v>
      </c>
      <c r="D203" s="39">
        <f t="shared" si="107"/>
        <v>6</v>
      </c>
      <c r="E203" s="39">
        <f t="shared" si="107"/>
        <v>3</v>
      </c>
      <c r="F203" s="39">
        <f t="shared" si="107"/>
        <v>1</v>
      </c>
      <c r="G203" s="50">
        <f t="shared" si="84"/>
        <v>156</v>
      </c>
      <c r="H203" s="44">
        <f t="shared" ref="H203:L203" si="115">H97+H98+H99+H100</f>
        <v>0</v>
      </c>
      <c r="I203" s="39">
        <f t="shared" si="115"/>
        <v>0</v>
      </c>
      <c r="J203" s="39">
        <f t="shared" si="115"/>
        <v>0</v>
      </c>
      <c r="K203" s="45">
        <f t="shared" si="115"/>
        <v>0</v>
      </c>
      <c r="L203" s="144">
        <f t="shared" si="115"/>
        <v>5</v>
      </c>
      <c r="M203" s="50">
        <f t="shared" si="87"/>
        <v>0</v>
      </c>
      <c r="N203" s="40">
        <f t="shared" si="88"/>
        <v>156</v>
      </c>
      <c r="O203" s="43">
        <f t="shared" si="89"/>
        <v>187.5</v>
      </c>
    </row>
    <row r="204" spans="1:15" ht="22.95" customHeight="1" x14ac:dyDescent="0.3">
      <c r="A204" s="52" t="s">
        <v>67</v>
      </c>
      <c r="B204" s="44">
        <f t="shared" si="107"/>
        <v>126</v>
      </c>
      <c r="C204" s="39">
        <f t="shared" si="107"/>
        <v>58</v>
      </c>
      <c r="D204" s="39">
        <f t="shared" si="107"/>
        <v>9</v>
      </c>
      <c r="E204" s="39">
        <f t="shared" si="107"/>
        <v>2</v>
      </c>
      <c r="F204" s="39">
        <f t="shared" si="107"/>
        <v>2</v>
      </c>
      <c r="G204" s="50">
        <f t="shared" si="84"/>
        <v>197</v>
      </c>
      <c r="H204" s="44">
        <f t="shared" ref="H204:L204" si="116">H98+H99+H100+H101</f>
        <v>0</v>
      </c>
      <c r="I204" s="39">
        <f t="shared" si="116"/>
        <v>0</v>
      </c>
      <c r="J204" s="39">
        <f t="shared" si="116"/>
        <v>0</v>
      </c>
      <c r="K204" s="45">
        <f t="shared" si="116"/>
        <v>0</v>
      </c>
      <c r="L204" s="144">
        <f t="shared" si="116"/>
        <v>5</v>
      </c>
      <c r="M204" s="50">
        <f t="shared" si="87"/>
        <v>0</v>
      </c>
      <c r="N204" s="40">
        <f t="shared" si="88"/>
        <v>197</v>
      </c>
      <c r="O204" s="43">
        <f t="shared" si="89"/>
        <v>223.5</v>
      </c>
    </row>
    <row r="205" spans="1:15" ht="22.95" customHeight="1" x14ac:dyDescent="0.3">
      <c r="A205" s="52" t="s">
        <v>68</v>
      </c>
      <c r="B205" s="44">
        <f t="shared" si="107"/>
        <v>117</v>
      </c>
      <c r="C205" s="39">
        <f t="shared" si="107"/>
        <v>63</v>
      </c>
      <c r="D205" s="39">
        <f t="shared" si="107"/>
        <v>8</v>
      </c>
      <c r="E205" s="39">
        <f t="shared" si="107"/>
        <v>2</v>
      </c>
      <c r="F205" s="39">
        <f t="shared" si="107"/>
        <v>3</v>
      </c>
      <c r="G205" s="50">
        <f t="shared" si="84"/>
        <v>193</v>
      </c>
      <c r="H205" s="44">
        <f t="shared" ref="H205:L205" si="117">H99+H100+H101+H102</f>
        <v>0</v>
      </c>
      <c r="I205" s="39">
        <f t="shared" si="117"/>
        <v>0</v>
      </c>
      <c r="J205" s="39">
        <f t="shared" si="117"/>
        <v>0</v>
      </c>
      <c r="K205" s="45">
        <f t="shared" si="117"/>
        <v>0</v>
      </c>
      <c r="L205" s="144">
        <f t="shared" si="117"/>
        <v>7</v>
      </c>
      <c r="M205" s="50">
        <f t="shared" si="87"/>
        <v>0</v>
      </c>
      <c r="N205" s="40">
        <f t="shared" si="88"/>
        <v>193</v>
      </c>
      <c r="O205" s="43">
        <f t="shared" si="89"/>
        <v>236</v>
      </c>
    </row>
    <row r="206" spans="1:15" ht="22.95" customHeight="1" thickBot="1" x14ac:dyDescent="0.35">
      <c r="A206" s="52" t="s">
        <v>69</v>
      </c>
      <c r="B206" s="46">
        <f t="shared" si="107"/>
        <v>117</v>
      </c>
      <c r="C206" s="47">
        <f t="shared" si="107"/>
        <v>80</v>
      </c>
      <c r="D206" s="47">
        <f t="shared" si="107"/>
        <v>8</v>
      </c>
      <c r="E206" s="47">
        <f t="shared" si="107"/>
        <v>3</v>
      </c>
      <c r="F206" s="47">
        <f t="shared" si="107"/>
        <v>6</v>
      </c>
      <c r="G206" s="50">
        <f t="shared" si="84"/>
        <v>214</v>
      </c>
      <c r="H206" s="44">
        <f t="shared" ref="H206:L206" si="118">H100+H101+H102+H103</f>
        <v>0</v>
      </c>
      <c r="I206" s="39">
        <f t="shared" si="118"/>
        <v>0</v>
      </c>
      <c r="J206" s="39">
        <f t="shared" si="118"/>
        <v>0</v>
      </c>
      <c r="K206" s="45">
        <f t="shared" si="118"/>
        <v>0</v>
      </c>
      <c r="L206" s="145">
        <f t="shared" si="118"/>
        <v>9</v>
      </c>
      <c r="M206" s="50">
        <f t="shared" si="87"/>
        <v>0</v>
      </c>
      <c r="N206" s="40">
        <f t="shared" si="88"/>
        <v>214</v>
      </c>
      <c r="O206" s="43">
        <f t="shared" si="89"/>
        <v>277</v>
      </c>
    </row>
  </sheetData>
  <mergeCells count="31">
    <mergeCell ref="A1:M1"/>
    <mergeCell ref="D6:D7"/>
    <mergeCell ref="E6:E7"/>
    <mergeCell ref="H6:H7"/>
    <mergeCell ref="I6:I7"/>
    <mergeCell ref="J6:J7"/>
    <mergeCell ref="K6:K7"/>
    <mergeCell ref="M6:M7"/>
    <mergeCell ref="A6:A7"/>
    <mergeCell ref="B6:B7"/>
    <mergeCell ref="F6:F7"/>
    <mergeCell ref="A112:A113"/>
    <mergeCell ref="C6:C7"/>
    <mergeCell ref="C112:C113"/>
    <mergeCell ref="D112:D113"/>
    <mergeCell ref="E112:E113"/>
    <mergeCell ref="B112:B113"/>
    <mergeCell ref="N6:N7"/>
    <mergeCell ref="O6:O7"/>
    <mergeCell ref="F112:F113"/>
    <mergeCell ref="G112:G113"/>
    <mergeCell ref="N112:N113"/>
    <mergeCell ref="O112:O113"/>
    <mergeCell ref="H112:H113"/>
    <mergeCell ref="I112:I113"/>
    <mergeCell ref="J112:J113"/>
    <mergeCell ref="K112:K113"/>
    <mergeCell ref="M112:M113"/>
    <mergeCell ref="L6:L7"/>
    <mergeCell ref="L112:L113"/>
    <mergeCell ref="G6:G7"/>
  </mergeCells>
  <pageMargins left="0.7" right="0.7" top="0.75" bottom="0.75" header="0.3" footer="0.3"/>
  <pageSetup paperSize="9" scale="30" orientation="portrait" r:id="rId1"/>
  <rowBreaks count="1" manualBreakCount="1">
    <brk id="106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9FFCC"/>
  </sheetPr>
  <dimension ref="A1:O206"/>
  <sheetViews>
    <sheetView view="pageBreakPreview" zoomScale="40" zoomScaleNormal="70" zoomScaleSheetLayoutView="40" workbookViewId="0">
      <selection activeCell="F95" sqref="F95"/>
    </sheetView>
  </sheetViews>
  <sheetFormatPr defaultColWidth="9" defaultRowHeight="15.6" x14ac:dyDescent="0.3"/>
  <cols>
    <col min="1" max="1" width="17.09765625" customWidth="1"/>
    <col min="2" max="13" width="11.69921875" customWidth="1"/>
  </cols>
  <sheetData>
    <row r="1" spans="1:15" x14ac:dyDescent="0.3">
      <c r="A1" s="247" t="s">
        <v>99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</row>
    <row r="2" spans="1:15" s="4" customFormat="1" x14ac:dyDescent="0.3">
      <c r="A2" s="4" t="s">
        <v>103</v>
      </c>
      <c r="B2" s="4" t="str">
        <f>Summary!B2</f>
        <v>TMC-14 Number (D2)</v>
      </c>
    </row>
    <row r="3" spans="1:15" s="4" customFormat="1" x14ac:dyDescent="0.3">
      <c r="A3" s="4" t="s">
        <v>102</v>
      </c>
      <c r="B3" s="4" t="str">
        <f>Summary!B3</f>
        <v>D2</v>
      </c>
    </row>
    <row r="4" spans="1:15" s="4" customFormat="1" x14ac:dyDescent="0.3">
      <c r="A4" s="4" t="s">
        <v>104</v>
      </c>
      <c r="B4" s="4" t="str">
        <f>Summary!F11</f>
        <v>Mansarover</v>
      </c>
      <c r="D4" s="4" t="s">
        <v>1</v>
      </c>
      <c r="E4" s="4" t="str">
        <f>Summary!H6</f>
        <v>Nindar</v>
      </c>
    </row>
    <row r="5" spans="1:15" ht="16.2" thickBot="1" x14ac:dyDescent="0.35"/>
    <row r="6" spans="1:15" ht="25.2" customHeight="1" x14ac:dyDescent="0.3">
      <c r="A6" s="252" t="s">
        <v>95</v>
      </c>
      <c r="B6" s="258" t="s">
        <v>280</v>
      </c>
      <c r="C6" s="254" t="s">
        <v>281</v>
      </c>
      <c r="D6" s="250" t="s">
        <v>282</v>
      </c>
      <c r="E6" s="260" t="s">
        <v>283</v>
      </c>
      <c r="F6" s="256" t="s">
        <v>284</v>
      </c>
      <c r="G6" s="250" t="s">
        <v>129</v>
      </c>
      <c r="H6" s="248" t="s">
        <v>150</v>
      </c>
      <c r="I6" s="250" t="s">
        <v>151</v>
      </c>
      <c r="J6" s="250" t="s">
        <v>285</v>
      </c>
      <c r="K6" s="248" t="s">
        <v>286</v>
      </c>
      <c r="L6" s="250" t="s">
        <v>287</v>
      </c>
      <c r="M6" s="250" t="s">
        <v>78</v>
      </c>
      <c r="N6" s="250" t="s">
        <v>131</v>
      </c>
      <c r="O6" s="250" t="s">
        <v>132</v>
      </c>
    </row>
    <row r="7" spans="1:15" ht="43.5" customHeight="1" thickBot="1" x14ac:dyDescent="0.35">
      <c r="A7" s="262"/>
      <c r="B7" s="263"/>
      <c r="C7" s="264"/>
      <c r="D7" s="265"/>
      <c r="E7" s="266"/>
      <c r="F7" s="267"/>
      <c r="G7" s="259"/>
      <c r="H7" s="268"/>
      <c r="I7" s="265"/>
      <c r="J7" s="265"/>
      <c r="K7" s="268"/>
      <c r="L7" s="265"/>
      <c r="M7" s="265"/>
      <c r="N7" s="251"/>
      <c r="O7" s="251"/>
    </row>
    <row r="8" spans="1:15" ht="22.5" customHeight="1" x14ac:dyDescent="0.3">
      <c r="A8" s="189" t="s">
        <v>177</v>
      </c>
      <c r="B8" s="192">
        <v>98</v>
      </c>
      <c r="C8" s="157">
        <v>37</v>
      </c>
      <c r="D8" s="157">
        <v>1</v>
      </c>
      <c r="E8" s="157">
        <v>4</v>
      </c>
      <c r="F8" s="193">
        <v>2</v>
      </c>
      <c r="G8" s="198">
        <f t="shared" ref="G8:G39" si="0">SUM(B8:F8)</f>
        <v>142</v>
      </c>
      <c r="H8" s="200">
        <v>0</v>
      </c>
      <c r="I8" s="201">
        <v>0</v>
      </c>
      <c r="J8" s="201">
        <v>0</v>
      </c>
      <c r="K8" s="201">
        <v>0</v>
      </c>
      <c r="L8" s="201">
        <v>0</v>
      </c>
      <c r="M8" s="202">
        <v>0</v>
      </c>
      <c r="N8" s="85">
        <f>G8+M8</f>
        <v>142</v>
      </c>
      <c r="O8" s="115">
        <f>B8*1+C8*0.5+D8*1.5+E8*3+F8*4.5+H8*0.5+I8*1.5+J8*3+K8*4+L8*8</f>
        <v>139</v>
      </c>
    </row>
    <row r="9" spans="1:15" ht="22.5" customHeight="1" x14ac:dyDescent="0.3">
      <c r="A9" s="190" t="s">
        <v>178</v>
      </c>
      <c r="B9" s="44">
        <v>90</v>
      </c>
      <c r="C9" s="39">
        <v>12</v>
      </c>
      <c r="D9" s="39">
        <v>9</v>
      </c>
      <c r="E9" s="39">
        <v>4</v>
      </c>
      <c r="F9" s="194">
        <v>9</v>
      </c>
      <c r="G9" s="196">
        <f t="shared" si="0"/>
        <v>124</v>
      </c>
      <c r="H9" s="203">
        <v>0</v>
      </c>
      <c r="I9" s="204">
        <v>0</v>
      </c>
      <c r="J9" s="204">
        <v>0</v>
      </c>
      <c r="K9" s="204">
        <v>0</v>
      </c>
      <c r="L9" s="204">
        <v>2</v>
      </c>
      <c r="M9" s="205">
        <v>0</v>
      </c>
      <c r="N9" s="85">
        <f t="shared" ref="N9:N72" si="1">G9+M9</f>
        <v>124</v>
      </c>
      <c r="O9" s="43">
        <f t="shared" ref="O9:O72" si="2">B9*1+C9*0.5+D9*1.5+E9*3+F9*4.5+H9*0.5+I9*1.5+J9*3+K9*4+L9*8</f>
        <v>178</v>
      </c>
    </row>
    <row r="10" spans="1:15" ht="22.5" customHeight="1" x14ac:dyDescent="0.3">
      <c r="A10" s="190" t="s">
        <v>179</v>
      </c>
      <c r="B10" s="44">
        <v>108</v>
      </c>
      <c r="C10" s="39">
        <v>27</v>
      </c>
      <c r="D10" s="39">
        <v>5</v>
      </c>
      <c r="E10" s="39">
        <v>2</v>
      </c>
      <c r="F10" s="194">
        <v>4</v>
      </c>
      <c r="G10" s="196">
        <f t="shared" si="0"/>
        <v>146</v>
      </c>
      <c r="H10" s="203">
        <v>0</v>
      </c>
      <c r="I10" s="204">
        <v>0</v>
      </c>
      <c r="J10" s="204">
        <v>0</v>
      </c>
      <c r="K10" s="204">
        <v>0</v>
      </c>
      <c r="L10" s="204">
        <v>2</v>
      </c>
      <c r="M10" s="205">
        <v>0</v>
      </c>
      <c r="N10" s="85">
        <f t="shared" si="1"/>
        <v>146</v>
      </c>
      <c r="O10" s="43">
        <f t="shared" si="2"/>
        <v>169</v>
      </c>
    </row>
    <row r="11" spans="1:15" ht="22.5" customHeight="1" x14ac:dyDescent="0.3">
      <c r="A11" s="190" t="s">
        <v>180</v>
      </c>
      <c r="B11" s="44">
        <v>117</v>
      </c>
      <c r="C11" s="39">
        <v>12</v>
      </c>
      <c r="D11" s="39">
        <v>4</v>
      </c>
      <c r="E11" s="39">
        <v>0</v>
      </c>
      <c r="F11" s="194">
        <v>2</v>
      </c>
      <c r="G11" s="196">
        <f t="shared" si="0"/>
        <v>135</v>
      </c>
      <c r="H11" s="203">
        <v>0</v>
      </c>
      <c r="I11" s="204">
        <v>0</v>
      </c>
      <c r="J11" s="204">
        <v>0</v>
      </c>
      <c r="K11" s="204">
        <v>0</v>
      </c>
      <c r="L11" s="204">
        <v>2</v>
      </c>
      <c r="M11" s="205">
        <v>0</v>
      </c>
      <c r="N11" s="85">
        <f t="shared" si="1"/>
        <v>135</v>
      </c>
      <c r="O11" s="43">
        <f t="shared" si="2"/>
        <v>154</v>
      </c>
    </row>
    <row r="12" spans="1:15" ht="22.5" customHeight="1" x14ac:dyDescent="0.3">
      <c r="A12" s="190" t="s">
        <v>181</v>
      </c>
      <c r="B12" s="44">
        <v>118</v>
      </c>
      <c r="C12" s="39">
        <v>15</v>
      </c>
      <c r="D12" s="39">
        <v>4</v>
      </c>
      <c r="E12" s="39">
        <v>2</v>
      </c>
      <c r="F12" s="194">
        <v>6</v>
      </c>
      <c r="G12" s="196">
        <f t="shared" si="0"/>
        <v>145</v>
      </c>
      <c r="H12" s="203">
        <v>0</v>
      </c>
      <c r="I12" s="204">
        <v>0</v>
      </c>
      <c r="J12" s="204">
        <v>0</v>
      </c>
      <c r="K12" s="204">
        <v>0</v>
      </c>
      <c r="L12" s="204">
        <v>4</v>
      </c>
      <c r="M12" s="205">
        <v>0</v>
      </c>
      <c r="N12" s="85">
        <f t="shared" si="1"/>
        <v>145</v>
      </c>
      <c r="O12" s="43">
        <f t="shared" si="2"/>
        <v>196.5</v>
      </c>
    </row>
    <row r="13" spans="1:15" ht="22.5" customHeight="1" x14ac:dyDescent="0.3">
      <c r="A13" s="190" t="s">
        <v>182</v>
      </c>
      <c r="B13" s="44">
        <v>140</v>
      </c>
      <c r="C13" s="39">
        <v>2</v>
      </c>
      <c r="D13" s="39">
        <v>6</v>
      </c>
      <c r="E13" s="39">
        <v>0</v>
      </c>
      <c r="F13" s="194">
        <v>8</v>
      </c>
      <c r="G13" s="196">
        <f t="shared" si="0"/>
        <v>156</v>
      </c>
      <c r="H13" s="203">
        <v>0</v>
      </c>
      <c r="I13" s="204">
        <v>0</v>
      </c>
      <c r="J13" s="204">
        <v>0</v>
      </c>
      <c r="K13" s="204">
        <v>0</v>
      </c>
      <c r="L13" s="204">
        <v>0</v>
      </c>
      <c r="M13" s="205">
        <v>0</v>
      </c>
      <c r="N13" s="85">
        <f t="shared" si="1"/>
        <v>156</v>
      </c>
      <c r="O13" s="43">
        <f t="shared" si="2"/>
        <v>186</v>
      </c>
    </row>
    <row r="14" spans="1:15" ht="22.5" customHeight="1" x14ac:dyDescent="0.3">
      <c r="A14" s="190" t="s">
        <v>183</v>
      </c>
      <c r="B14" s="44">
        <v>143</v>
      </c>
      <c r="C14" s="39">
        <v>18</v>
      </c>
      <c r="D14" s="39">
        <v>6</v>
      </c>
      <c r="E14" s="39">
        <v>2</v>
      </c>
      <c r="F14" s="194">
        <v>10</v>
      </c>
      <c r="G14" s="196">
        <f t="shared" si="0"/>
        <v>179</v>
      </c>
      <c r="H14" s="203">
        <v>0</v>
      </c>
      <c r="I14" s="204">
        <v>0</v>
      </c>
      <c r="J14" s="204">
        <v>0</v>
      </c>
      <c r="K14" s="204">
        <v>0</v>
      </c>
      <c r="L14" s="204">
        <v>1</v>
      </c>
      <c r="M14" s="205">
        <v>0</v>
      </c>
      <c r="N14" s="85">
        <f t="shared" si="1"/>
        <v>179</v>
      </c>
      <c r="O14" s="43">
        <f t="shared" si="2"/>
        <v>220</v>
      </c>
    </row>
    <row r="15" spans="1:15" ht="22.5" customHeight="1" x14ac:dyDescent="0.3">
      <c r="A15" s="190" t="s">
        <v>184</v>
      </c>
      <c r="B15" s="44">
        <v>135</v>
      </c>
      <c r="C15" s="39">
        <v>10</v>
      </c>
      <c r="D15" s="39">
        <v>2</v>
      </c>
      <c r="E15" s="39">
        <v>1</v>
      </c>
      <c r="F15" s="194">
        <v>7</v>
      </c>
      <c r="G15" s="196">
        <f t="shared" si="0"/>
        <v>155</v>
      </c>
      <c r="H15" s="203">
        <v>0</v>
      </c>
      <c r="I15" s="204">
        <v>0</v>
      </c>
      <c r="J15" s="204">
        <v>0</v>
      </c>
      <c r="K15" s="204">
        <v>0</v>
      </c>
      <c r="L15" s="204">
        <v>3</v>
      </c>
      <c r="M15" s="205">
        <v>0</v>
      </c>
      <c r="N15" s="85">
        <f t="shared" si="1"/>
        <v>155</v>
      </c>
      <c r="O15" s="43">
        <f t="shared" si="2"/>
        <v>201.5</v>
      </c>
    </row>
    <row r="16" spans="1:15" ht="22.5" customHeight="1" x14ac:dyDescent="0.3">
      <c r="A16" s="190" t="s">
        <v>185</v>
      </c>
      <c r="B16" s="44">
        <v>144</v>
      </c>
      <c r="C16" s="39">
        <v>31</v>
      </c>
      <c r="D16" s="39">
        <v>4</v>
      </c>
      <c r="E16" s="39">
        <v>4</v>
      </c>
      <c r="F16" s="194">
        <v>5</v>
      </c>
      <c r="G16" s="196">
        <f t="shared" si="0"/>
        <v>188</v>
      </c>
      <c r="H16" s="203">
        <v>0</v>
      </c>
      <c r="I16" s="204">
        <v>0</v>
      </c>
      <c r="J16" s="204">
        <v>0</v>
      </c>
      <c r="K16" s="204">
        <v>0</v>
      </c>
      <c r="L16" s="204">
        <v>1</v>
      </c>
      <c r="M16" s="205">
        <v>0</v>
      </c>
      <c r="N16" s="85">
        <f t="shared" si="1"/>
        <v>188</v>
      </c>
      <c r="O16" s="43">
        <f t="shared" si="2"/>
        <v>208</v>
      </c>
    </row>
    <row r="17" spans="1:15" ht="22.5" customHeight="1" x14ac:dyDescent="0.3">
      <c r="A17" s="190" t="s">
        <v>186</v>
      </c>
      <c r="B17" s="44">
        <v>163</v>
      </c>
      <c r="C17" s="39">
        <v>21</v>
      </c>
      <c r="D17" s="39">
        <v>6</v>
      </c>
      <c r="E17" s="39">
        <v>6</v>
      </c>
      <c r="F17" s="194">
        <v>5</v>
      </c>
      <c r="G17" s="196">
        <f t="shared" si="0"/>
        <v>201</v>
      </c>
      <c r="H17" s="203">
        <v>0</v>
      </c>
      <c r="I17" s="204">
        <v>0</v>
      </c>
      <c r="J17" s="204">
        <v>0</v>
      </c>
      <c r="K17" s="204">
        <v>0</v>
      </c>
      <c r="L17" s="204">
        <v>0</v>
      </c>
      <c r="M17" s="205">
        <v>0</v>
      </c>
      <c r="N17" s="85">
        <f t="shared" si="1"/>
        <v>201</v>
      </c>
      <c r="O17" s="43">
        <f t="shared" si="2"/>
        <v>223</v>
      </c>
    </row>
    <row r="18" spans="1:15" ht="22.5" customHeight="1" x14ac:dyDescent="0.3">
      <c r="A18" s="190" t="s">
        <v>187</v>
      </c>
      <c r="B18" s="44">
        <v>144</v>
      </c>
      <c r="C18" s="39">
        <v>18</v>
      </c>
      <c r="D18" s="39">
        <v>2</v>
      </c>
      <c r="E18" s="39">
        <v>5</v>
      </c>
      <c r="F18" s="194">
        <v>2</v>
      </c>
      <c r="G18" s="196">
        <f t="shared" si="0"/>
        <v>171</v>
      </c>
      <c r="H18" s="203">
        <v>0</v>
      </c>
      <c r="I18" s="204">
        <v>0</v>
      </c>
      <c r="J18" s="204">
        <v>0</v>
      </c>
      <c r="K18" s="204">
        <v>0</v>
      </c>
      <c r="L18" s="204">
        <v>0</v>
      </c>
      <c r="M18" s="205">
        <v>0</v>
      </c>
      <c r="N18" s="85">
        <f t="shared" si="1"/>
        <v>171</v>
      </c>
      <c r="O18" s="43">
        <f t="shared" si="2"/>
        <v>180</v>
      </c>
    </row>
    <row r="19" spans="1:15" ht="22.5" customHeight="1" x14ac:dyDescent="0.3">
      <c r="A19" s="190" t="s">
        <v>188</v>
      </c>
      <c r="B19" s="44">
        <v>176</v>
      </c>
      <c r="C19" s="39">
        <v>16</v>
      </c>
      <c r="D19" s="39">
        <v>9</v>
      </c>
      <c r="E19" s="39">
        <v>1</v>
      </c>
      <c r="F19" s="194">
        <v>9</v>
      </c>
      <c r="G19" s="196">
        <f t="shared" si="0"/>
        <v>211</v>
      </c>
      <c r="H19" s="203">
        <v>0</v>
      </c>
      <c r="I19" s="204">
        <v>0</v>
      </c>
      <c r="J19" s="204">
        <v>0</v>
      </c>
      <c r="K19" s="204">
        <v>0</v>
      </c>
      <c r="L19" s="204">
        <v>1</v>
      </c>
      <c r="M19" s="205">
        <v>1</v>
      </c>
      <c r="N19" s="85">
        <f t="shared" si="1"/>
        <v>212</v>
      </c>
      <c r="O19" s="43">
        <f t="shared" si="2"/>
        <v>249</v>
      </c>
    </row>
    <row r="20" spans="1:15" ht="22.5" customHeight="1" x14ac:dyDescent="0.3">
      <c r="A20" s="190" t="s">
        <v>189</v>
      </c>
      <c r="B20" s="44">
        <v>147</v>
      </c>
      <c r="C20" s="39">
        <v>42</v>
      </c>
      <c r="D20" s="39">
        <v>8</v>
      </c>
      <c r="E20" s="39">
        <v>5</v>
      </c>
      <c r="F20" s="194">
        <v>8</v>
      </c>
      <c r="G20" s="196">
        <f t="shared" si="0"/>
        <v>210</v>
      </c>
      <c r="H20" s="203">
        <v>0</v>
      </c>
      <c r="I20" s="204">
        <v>0</v>
      </c>
      <c r="J20" s="204">
        <v>0</v>
      </c>
      <c r="K20" s="204">
        <v>0</v>
      </c>
      <c r="L20" s="204">
        <v>1</v>
      </c>
      <c r="M20" s="205">
        <v>0</v>
      </c>
      <c r="N20" s="85">
        <f t="shared" si="1"/>
        <v>210</v>
      </c>
      <c r="O20" s="43">
        <f t="shared" si="2"/>
        <v>239</v>
      </c>
    </row>
    <row r="21" spans="1:15" ht="22.5" customHeight="1" x14ac:dyDescent="0.3">
      <c r="A21" s="190" t="s">
        <v>190</v>
      </c>
      <c r="B21" s="44">
        <v>188</v>
      </c>
      <c r="C21" s="39">
        <v>49</v>
      </c>
      <c r="D21" s="39">
        <v>8</v>
      </c>
      <c r="E21" s="39">
        <v>2</v>
      </c>
      <c r="F21" s="194">
        <v>17</v>
      </c>
      <c r="G21" s="196">
        <f t="shared" si="0"/>
        <v>264</v>
      </c>
      <c r="H21" s="203">
        <v>0</v>
      </c>
      <c r="I21" s="204">
        <v>0</v>
      </c>
      <c r="J21" s="204">
        <v>0</v>
      </c>
      <c r="K21" s="204">
        <v>0</v>
      </c>
      <c r="L21" s="204">
        <v>0</v>
      </c>
      <c r="M21" s="205">
        <v>0</v>
      </c>
      <c r="N21" s="85">
        <f t="shared" si="1"/>
        <v>264</v>
      </c>
      <c r="O21" s="43">
        <f t="shared" si="2"/>
        <v>307</v>
      </c>
    </row>
    <row r="22" spans="1:15" ht="22.5" customHeight="1" x14ac:dyDescent="0.3">
      <c r="A22" s="190" t="s">
        <v>191</v>
      </c>
      <c r="B22" s="44">
        <v>169</v>
      </c>
      <c r="C22" s="39">
        <v>21</v>
      </c>
      <c r="D22" s="39">
        <v>6</v>
      </c>
      <c r="E22" s="39">
        <v>1</v>
      </c>
      <c r="F22" s="194">
        <v>8</v>
      </c>
      <c r="G22" s="196">
        <f t="shared" si="0"/>
        <v>205</v>
      </c>
      <c r="H22" s="203">
        <v>0</v>
      </c>
      <c r="I22" s="204">
        <v>0</v>
      </c>
      <c r="J22" s="204">
        <v>0</v>
      </c>
      <c r="K22" s="204">
        <v>0</v>
      </c>
      <c r="L22" s="204">
        <v>0</v>
      </c>
      <c r="M22" s="205">
        <v>0</v>
      </c>
      <c r="N22" s="85">
        <f t="shared" si="1"/>
        <v>205</v>
      </c>
      <c r="O22" s="43">
        <f t="shared" si="2"/>
        <v>227.5</v>
      </c>
    </row>
    <row r="23" spans="1:15" ht="22.5" customHeight="1" x14ac:dyDescent="0.3">
      <c r="A23" s="190" t="s">
        <v>192</v>
      </c>
      <c r="B23" s="44">
        <v>118</v>
      </c>
      <c r="C23" s="39">
        <v>28</v>
      </c>
      <c r="D23" s="39">
        <v>7</v>
      </c>
      <c r="E23" s="39">
        <v>2</v>
      </c>
      <c r="F23" s="194">
        <v>11</v>
      </c>
      <c r="G23" s="196">
        <f t="shared" si="0"/>
        <v>166</v>
      </c>
      <c r="H23" s="203">
        <v>0</v>
      </c>
      <c r="I23" s="204">
        <v>0</v>
      </c>
      <c r="J23" s="204">
        <v>0</v>
      </c>
      <c r="K23" s="204">
        <v>0</v>
      </c>
      <c r="L23" s="204">
        <v>1</v>
      </c>
      <c r="M23" s="205">
        <v>0</v>
      </c>
      <c r="N23" s="85">
        <f t="shared" si="1"/>
        <v>166</v>
      </c>
      <c r="O23" s="43">
        <f t="shared" si="2"/>
        <v>206</v>
      </c>
    </row>
    <row r="24" spans="1:15" ht="22.5" customHeight="1" x14ac:dyDescent="0.3">
      <c r="A24" s="190" t="s">
        <v>193</v>
      </c>
      <c r="B24" s="44">
        <v>124</v>
      </c>
      <c r="C24" s="39">
        <v>17</v>
      </c>
      <c r="D24" s="39">
        <v>10</v>
      </c>
      <c r="E24" s="39">
        <v>3</v>
      </c>
      <c r="F24" s="194">
        <v>8</v>
      </c>
      <c r="G24" s="196">
        <f t="shared" si="0"/>
        <v>162</v>
      </c>
      <c r="H24" s="203">
        <v>0</v>
      </c>
      <c r="I24" s="204">
        <v>0</v>
      </c>
      <c r="J24" s="204">
        <v>0</v>
      </c>
      <c r="K24" s="204">
        <v>0</v>
      </c>
      <c r="L24" s="204">
        <v>0</v>
      </c>
      <c r="M24" s="205">
        <v>0</v>
      </c>
      <c r="N24" s="85">
        <f t="shared" si="1"/>
        <v>162</v>
      </c>
      <c r="O24" s="43">
        <f t="shared" si="2"/>
        <v>192.5</v>
      </c>
    </row>
    <row r="25" spans="1:15" ht="22.5" customHeight="1" x14ac:dyDescent="0.3">
      <c r="A25" s="190" t="s">
        <v>194</v>
      </c>
      <c r="B25" s="44">
        <v>134</v>
      </c>
      <c r="C25" s="39">
        <v>21</v>
      </c>
      <c r="D25" s="39">
        <v>7</v>
      </c>
      <c r="E25" s="39">
        <v>2</v>
      </c>
      <c r="F25" s="194">
        <v>3</v>
      </c>
      <c r="G25" s="196">
        <f t="shared" si="0"/>
        <v>167</v>
      </c>
      <c r="H25" s="203">
        <v>0</v>
      </c>
      <c r="I25" s="204">
        <v>0</v>
      </c>
      <c r="J25" s="204">
        <v>0</v>
      </c>
      <c r="K25" s="204">
        <v>0</v>
      </c>
      <c r="L25" s="204">
        <v>0</v>
      </c>
      <c r="M25" s="205">
        <v>0</v>
      </c>
      <c r="N25" s="85">
        <f t="shared" si="1"/>
        <v>167</v>
      </c>
      <c r="O25" s="43">
        <f t="shared" si="2"/>
        <v>174.5</v>
      </c>
    </row>
    <row r="26" spans="1:15" ht="22.5" customHeight="1" x14ac:dyDescent="0.3">
      <c r="A26" s="190" t="s">
        <v>195</v>
      </c>
      <c r="B26" s="44">
        <v>113</v>
      </c>
      <c r="C26" s="39">
        <v>15</v>
      </c>
      <c r="D26" s="39">
        <v>8</v>
      </c>
      <c r="E26" s="39">
        <v>2</v>
      </c>
      <c r="F26" s="194">
        <v>8</v>
      </c>
      <c r="G26" s="196">
        <f t="shared" si="0"/>
        <v>146</v>
      </c>
      <c r="H26" s="203">
        <v>0</v>
      </c>
      <c r="I26" s="204">
        <v>0</v>
      </c>
      <c r="J26" s="204">
        <v>0</v>
      </c>
      <c r="K26" s="204">
        <v>0</v>
      </c>
      <c r="L26" s="204">
        <v>0</v>
      </c>
      <c r="M26" s="205">
        <v>0</v>
      </c>
      <c r="N26" s="85">
        <f t="shared" si="1"/>
        <v>146</v>
      </c>
      <c r="O26" s="43">
        <f t="shared" si="2"/>
        <v>174.5</v>
      </c>
    </row>
    <row r="27" spans="1:15" ht="22.5" customHeight="1" x14ac:dyDescent="0.3">
      <c r="A27" s="190" t="s">
        <v>196</v>
      </c>
      <c r="B27" s="44">
        <v>91</v>
      </c>
      <c r="C27" s="39">
        <v>20</v>
      </c>
      <c r="D27" s="39">
        <v>8</v>
      </c>
      <c r="E27" s="39">
        <v>3</v>
      </c>
      <c r="F27" s="194">
        <v>3</v>
      </c>
      <c r="G27" s="196">
        <f t="shared" si="0"/>
        <v>125</v>
      </c>
      <c r="H27" s="203">
        <v>0</v>
      </c>
      <c r="I27" s="204">
        <v>0</v>
      </c>
      <c r="J27" s="204">
        <v>0</v>
      </c>
      <c r="K27" s="204">
        <v>0</v>
      </c>
      <c r="L27" s="204">
        <v>0</v>
      </c>
      <c r="M27" s="205">
        <v>0</v>
      </c>
      <c r="N27" s="85">
        <f t="shared" si="1"/>
        <v>125</v>
      </c>
      <c r="O27" s="43">
        <f t="shared" si="2"/>
        <v>135.5</v>
      </c>
    </row>
    <row r="28" spans="1:15" ht="22.5" customHeight="1" x14ac:dyDescent="0.3">
      <c r="A28" s="190" t="s">
        <v>197</v>
      </c>
      <c r="B28" s="44">
        <v>120</v>
      </c>
      <c r="C28" s="39">
        <v>20</v>
      </c>
      <c r="D28" s="39">
        <v>6</v>
      </c>
      <c r="E28" s="39">
        <v>0</v>
      </c>
      <c r="F28" s="194">
        <v>12</v>
      </c>
      <c r="G28" s="196">
        <f t="shared" si="0"/>
        <v>158</v>
      </c>
      <c r="H28" s="203">
        <v>0</v>
      </c>
      <c r="I28" s="204">
        <v>0</v>
      </c>
      <c r="J28" s="204">
        <v>1</v>
      </c>
      <c r="K28" s="204">
        <v>0</v>
      </c>
      <c r="L28" s="204">
        <v>0</v>
      </c>
      <c r="M28" s="205">
        <v>0</v>
      </c>
      <c r="N28" s="85">
        <f t="shared" si="1"/>
        <v>158</v>
      </c>
      <c r="O28" s="43">
        <f t="shared" si="2"/>
        <v>196</v>
      </c>
    </row>
    <row r="29" spans="1:15" ht="22.5" customHeight="1" x14ac:dyDescent="0.3">
      <c r="A29" s="190" t="s">
        <v>198</v>
      </c>
      <c r="B29" s="44">
        <v>124</v>
      </c>
      <c r="C29" s="39">
        <v>23</v>
      </c>
      <c r="D29" s="39">
        <v>7</v>
      </c>
      <c r="E29" s="39">
        <v>3</v>
      </c>
      <c r="F29" s="194">
        <v>1</v>
      </c>
      <c r="G29" s="196">
        <f t="shared" si="0"/>
        <v>158</v>
      </c>
      <c r="H29" s="203">
        <v>0</v>
      </c>
      <c r="I29" s="204">
        <v>0</v>
      </c>
      <c r="J29" s="204">
        <v>0</v>
      </c>
      <c r="K29" s="204">
        <v>0</v>
      </c>
      <c r="L29" s="204">
        <v>0</v>
      </c>
      <c r="M29" s="205">
        <v>0</v>
      </c>
      <c r="N29" s="85">
        <f t="shared" si="1"/>
        <v>158</v>
      </c>
      <c r="O29" s="43">
        <f t="shared" si="2"/>
        <v>159.5</v>
      </c>
    </row>
    <row r="30" spans="1:15" ht="22.5" customHeight="1" x14ac:dyDescent="0.3">
      <c r="A30" s="190" t="s">
        <v>199</v>
      </c>
      <c r="B30" s="44">
        <v>119</v>
      </c>
      <c r="C30" s="39">
        <v>25</v>
      </c>
      <c r="D30" s="39">
        <v>14</v>
      </c>
      <c r="E30" s="39">
        <v>2</v>
      </c>
      <c r="F30" s="194">
        <v>6</v>
      </c>
      <c r="G30" s="196">
        <f t="shared" si="0"/>
        <v>166</v>
      </c>
      <c r="H30" s="203">
        <v>0</v>
      </c>
      <c r="I30" s="204">
        <v>0</v>
      </c>
      <c r="J30" s="204">
        <v>0</v>
      </c>
      <c r="K30" s="204">
        <v>0</v>
      </c>
      <c r="L30" s="204">
        <v>0</v>
      </c>
      <c r="M30" s="205">
        <v>0</v>
      </c>
      <c r="N30" s="85">
        <f t="shared" si="1"/>
        <v>166</v>
      </c>
      <c r="O30" s="43">
        <f t="shared" si="2"/>
        <v>185.5</v>
      </c>
    </row>
    <row r="31" spans="1:15" ht="22.5" customHeight="1" x14ac:dyDescent="0.3">
      <c r="A31" s="190" t="s">
        <v>200</v>
      </c>
      <c r="B31" s="44">
        <v>124</v>
      </c>
      <c r="C31" s="39">
        <v>31</v>
      </c>
      <c r="D31" s="39">
        <v>11</v>
      </c>
      <c r="E31" s="39">
        <v>2</v>
      </c>
      <c r="F31" s="194">
        <v>7</v>
      </c>
      <c r="G31" s="196">
        <f t="shared" si="0"/>
        <v>175</v>
      </c>
      <c r="H31" s="203">
        <v>0</v>
      </c>
      <c r="I31" s="204">
        <v>0</v>
      </c>
      <c r="J31" s="204">
        <v>0</v>
      </c>
      <c r="K31" s="204">
        <v>0</v>
      </c>
      <c r="L31" s="204">
        <v>1</v>
      </c>
      <c r="M31" s="205">
        <v>0</v>
      </c>
      <c r="N31" s="85">
        <f t="shared" si="1"/>
        <v>175</v>
      </c>
      <c r="O31" s="43">
        <f t="shared" si="2"/>
        <v>201.5</v>
      </c>
    </row>
    <row r="32" spans="1:15" ht="22.5" customHeight="1" x14ac:dyDescent="0.3">
      <c r="A32" s="190" t="s">
        <v>201</v>
      </c>
      <c r="B32" s="44">
        <v>107</v>
      </c>
      <c r="C32" s="39">
        <v>43</v>
      </c>
      <c r="D32" s="39">
        <v>9</v>
      </c>
      <c r="E32" s="39">
        <v>2</v>
      </c>
      <c r="F32" s="194">
        <v>12</v>
      </c>
      <c r="G32" s="196">
        <f t="shared" si="0"/>
        <v>173</v>
      </c>
      <c r="H32" s="203">
        <v>0</v>
      </c>
      <c r="I32" s="204">
        <v>0</v>
      </c>
      <c r="J32" s="204">
        <v>0</v>
      </c>
      <c r="K32" s="204">
        <v>0</v>
      </c>
      <c r="L32" s="204">
        <v>0</v>
      </c>
      <c r="M32" s="205">
        <v>0</v>
      </c>
      <c r="N32" s="85">
        <f t="shared" si="1"/>
        <v>173</v>
      </c>
      <c r="O32" s="43">
        <f t="shared" si="2"/>
        <v>202</v>
      </c>
    </row>
    <row r="33" spans="1:15" ht="22.5" customHeight="1" x14ac:dyDescent="0.3">
      <c r="A33" s="190" t="s">
        <v>202</v>
      </c>
      <c r="B33" s="44">
        <v>91</v>
      </c>
      <c r="C33" s="39">
        <v>31</v>
      </c>
      <c r="D33" s="39">
        <v>9</v>
      </c>
      <c r="E33" s="39">
        <v>1</v>
      </c>
      <c r="F33" s="194">
        <v>15</v>
      </c>
      <c r="G33" s="196">
        <f t="shared" si="0"/>
        <v>147</v>
      </c>
      <c r="H33" s="203">
        <v>0</v>
      </c>
      <c r="I33" s="204">
        <v>0</v>
      </c>
      <c r="J33" s="204">
        <v>0</v>
      </c>
      <c r="K33" s="204">
        <v>0</v>
      </c>
      <c r="L33" s="204">
        <v>0</v>
      </c>
      <c r="M33" s="205">
        <v>0</v>
      </c>
      <c r="N33" s="85">
        <f t="shared" si="1"/>
        <v>147</v>
      </c>
      <c r="O33" s="43">
        <f t="shared" si="2"/>
        <v>190.5</v>
      </c>
    </row>
    <row r="34" spans="1:15" ht="22.5" customHeight="1" x14ac:dyDescent="0.3">
      <c r="A34" s="190" t="s">
        <v>203</v>
      </c>
      <c r="B34" s="44">
        <v>121</v>
      </c>
      <c r="C34" s="39">
        <v>42</v>
      </c>
      <c r="D34" s="39">
        <v>9</v>
      </c>
      <c r="E34" s="39">
        <v>3</v>
      </c>
      <c r="F34" s="194">
        <v>7</v>
      </c>
      <c r="G34" s="196">
        <f t="shared" si="0"/>
        <v>182</v>
      </c>
      <c r="H34" s="203">
        <v>0</v>
      </c>
      <c r="I34" s="204">
        <v>0</v>
      </c>
      <c r="J34" s="204">
        <v>0</v>
      </c>
      <c r="K34" s="204">
        <v>0</v>
      </c>
      <c r="L34" s="204">
        <v>0</v>
      </c>
      <c r="M34" s="205">
        <v>0</v>
      </c>
      <c r="N34" s="85">
        <f t="shared" si="1"/>
        <v>182</v>
      </c>
      <c r="O34" s="43">
        <f t="shared" si="2"/>
        <v>196</v>
      </c>
    </row>
    <row r="35" spans="1:15" ht="22.5" customHeight="1" x14ac:dyDescent="0.3">
      <c r="A35" s="190" t="s">
        <v>204</v>
      </c>
      <c r="B35" s="44">
        <v>124</v>
      </c>
      <c r="C35" s="39">
        <v>32</v>
      </c>
      <c r="D35" s="39">
        <v>17</v>
      </c>
      <c r="E35" s="39">
        <v>3</v>
      </c>
      <c r="F35" s="194">
        <v>8</v>
      </c>
      <c r="G35" s="196">
        <f t="shared" si="0"/>
        <v>184</v>
      </c>
      <c r="H35" s="203">
        <v>0</v>
      </c>
      <c r="I35" s="204">
        <v>0</v>
      </c>
      <c r="J35" s="204">
        <v>0</v>
      </c>
      <c r="K35" s="204">
        <v>0</v>
      </c>
      <c r="L35" s="204">
        <v>0</v>
      </c>
      <c r="M35" s="205">
        <v>0</v>
      </c>
      <c r="N35" s="85">
        <f t="shared" si="1"/>
        <v>184</v>
      </c>
      <c r="O35" s="43">
        <f t="shared" si="2"/>
        <v>210.5</v>
      </c>
    </row>
    <row r="36" spans="1:15" ht="22.5" customHeight="1" x14ac:dyDescent="0.3">
      <c r="A36" s="190" t="s">
        <v>205</v>
      </c>
      <c r="B36" s="44">
        <v>140</v>
      </c>
      <c r="C36" s="39">
        <v>28</v>
      </c>
      <c r="D36" s="39">
        <v>18</v>
      </c>
      <c r="E36" s="39">
        <v>0</v>
      </c>
      <c r="F36" s="194">
        <v>9</v>
      </c>
      <c r="G36" s="196">
        <f t="shared" si="0"/>
        <v>195</v>
      </c>
      <c r="H36" s="203">
        <v>0</v>
      </c>
      <c r="I36" s="204">
        <v>0</v>
      </c>
      <c r="J36" s="204">
        <v>0</v>
      </c>
      <c r="K36" s="204">
        <v>0</v>
      </c>
      <c r="L36" s="204">
        <v>0</v>
      </c>
      <c r="M36" s="205">
        <v>0</v>
      </c>
      <c r="N36" s="85">
        <f t="shared" si="1"/>
        <v>195</v>
      </c>
      <c r="O36" s="43">
        <f t="shared" si="2"/>
        <v>221.5</v>
      </c>
    </row>
    <row r="37" spans="1:15" ht="22.5" customHeight="1" x14ac:dyDescent="0.3">
      <c r="A37" s="190" t="s">
        <v>206</v>
      </c>
      <c r="B37" s="44">
        <v>139</v>
      </c>
      <c r="C37" s="39">
        <v>15</v>
      </c>
      <c r="D37" s="39">
        <v>14</v>
      </c>
      <c r="E37" s="39">
        <v>1</v>
      </c>
      <c r="F37" s="194">
        <v>7</v>
      </c>
      <c r="G37" s="196">
        <f t="shared" si="0"/>
        <v>176</v>
      </c>
      <c r="H37" s="203">
        <v>0</v>
      </c>
      <c r="I37" s="204">
        <v>0</v>
      </c>
      <c r="J37" s="204">
        <v>0</v>
      </c>
      <c r="K37" s="204">
        <v>0</v>
      </c>
      <c r="L37" s="204">
        <v>0</v>
      </c>
      <c r="M37" s="205">
        <v>0</v>
      </c>
      <c r="N37" s="85">
        <f t="shared" si="1"/>
        <v>176</v>
      </c>
      <c r="O37" s="43">
        <f t="shared" si="2"/>
        <v>202</v>
      </c>
    </row>
    <row r="38" spans="1:15" ht="22.5" customHeight="1" x14ac:dyDescent="0.3">
      <c r="A38" s="190" t="s">
        <v>207</v>
      </c>
      <c r="B38" s="44">
        <v>116</v>
      </c>
      <c r="C38" s="39">
        <v>8</v>
      </c>
      <c r="D38" s="39">
        <v>4</v>
      </c>
      <c r="E38" s="39">
        <v>2</v>
      </c>
      <c r="F38" s="194">
        <v>8</v>
      </c>
      <c r="G38" s="196">
        <f t="shared" si="0"/>
        <v>138</v>
      </c>
      <c r="H38" s="203">
        <v>0</v>
      </c>
      <c r="I38" s="204">
        <v>0</v>
      </c>
      <c r="J38" s="204">
        <v>0</v>
      </c>
      <c r="K38" s="204">
        <v>0</v>
      </c>
      <c r="L38" s="204">
        <v>0</v>
      </c>
      <c r="M38" s="205">
        <v>0</v>
      </c>
      <c r="N38" s="85">
        <f t="shared" si="1"/>
        <v>138</v>
      </c>
      <c r="O38" s="43">
        <f t="shared" si="2"/>
        <v>168</v>
      </c>
    </row>
    <row r="39" spans="1:15" ht="22.5" customHeight="1" x14ac:dyDescent="0.3">
      <c r="A39" s="190" t="s">
        <v>208</v>
      </c>
      <c r="B39" s="44">
        <v>132</v>
      </c>
      <c r="C39" s="39">
        <v>36</v>
      </c>
      <c r="D39" s="39">
        <v>11</v>
      </c>
      <c r="E39" s="39">
        <v>8</v>
      </c>
      <c r="F39" s="194">
        <v>7</v>
      </c>
      <c r="G39" s="196">
        <f t="shared" si="0"/>
        <v>194</v>
      </c>
      <c r="H39" s="203">
        <v>0</v>
      </c>
      <c r="I39" s="204">
        <v>0</v>
      </c>
      <c r="J39" s="204">
        <v>0</v>
      </c>
      <c r="K39" s="204">
        <v>0</v>
      </c>
      <c r="L39" s="204">
        <v>0</v>
      </c>
      <c r="M39" s="205">
        <v>0</v>
      </c>
      <c r="N39" s="85">
        <f t="shared" si="1"/>
        <v>194</v>
      </c>
      <c r="O39" s="43">
        <f t="shared" si="2"/>
        <v>222</v>
      </c>
    </row>
    <row r="40" spans="1:15" ht="22.5" customHeight="1" x14ac:dyDescent="0.3">
      <c r="A40" s="190" t="s">
        <v>209</v>
      </c>
      <c r="B40" s="44">
        <v>148</v>
      </c>
      <c r="C40" s="39">
        <v>26</v>
      </c>
      <c r="D40" s="39">
        <v>7</v>
      </c>
      <c r="E40" s="39">
        <v>5</v>
      </c>
      <c r="F40" s="194">
        <v>0</v>
      </c>
      <c r="G40" s="196">
        <f t="shared" ref="G40:G71" si="3">SUM(B40:F40)</f>
        <v>186</v>
      </c>
      <c r="H40" s="203">
        <v>0</v>
      </c>
      <c r="I40" s="204">
        <v>0</v>
      </c>
      <c r="J40" s="204">
        <v>0</v>
      </c>
      <c r="K40" s="204">
        <v>0</v>
      </c>
      <c r="L40" s="204">
        <v>0</v>
      </c>
      <c r="M40" s="205">
        <v>0</v>
      </c>
      <c r="N40" s="85">
        <f t="shared" si="1"/>
        <v>186</v>
      </c>
      <c r="O40" s="43">
        <f t="shared" si="2"/>
        <v>186.5</v>
      </c>
    </row>
    <row r="41" spans="1:15" ht="22.5" customHeight="1" x14ac:dyDescent="0.3">
      <c r="A41" s="190" t="s">
        <v>210</v>
      </c>
      <c r="B41" s="44">
        <v>92</v>
      </c>
      <c r="C41" s="39">
        <v>31</v>
      </c>
      <c r="D41" s="39">
        <v>8</v>
      </c>
      <c r="E41" s="39">
        <v>6</v>
      </c>
      <c r="F41" s="194">
        <v>1</v>
      </c>
      <c r="G41" s="196">
        <f t="shared" si="3"/>
        <v>138</v>
      </c>
      <c r="H41" s="203">
        <v>0</v>
      </c>
      <c r="I41" s="204">
        <v>0</v>
      </c>
      <c r="J41" s="204">
        <v>0</v>
      </c>
      <c r="K41" s="204">
        <v>0</v>
      </c>
      <c r="L41" s="204">
        <v>0</v>
      </c>
      <c r="M41" s="205">
        <v>0</v>
      </c>
      <c r="N41" s="85">
        <f t="shared" si="1"/>
        <v>138</v>
      </c>
      <c r="O41" s="43">
        <f t="shared" si="2"/>
        <v>142</v>
      </c>
    </row>
    <row r="42" spans="1:15" ht="22.5" customHeight="1" x14ac:dyDescent="0.3">
      <c r="A42" s="190" t="s">
        <v>211</v>
      </c>
      <c r="B42" s="44">
        <v>145</v>
      </c>
      <c r="C42" s="39">
        <v>36</v>
      </c>
      <c r="D42" s="39">
        <v>12</v>
      </c>
      <c r="E42" s="39">
        <v>7</v>
      </c>
      <c r="F42" s="194">
        <v>0</v>
      </c>
      <c r="G42" s="196">
        <f t="shared" si="3"/>
        <v>200</v>
      </c>
      <c r="H42" s="203">
        <v>0</v>
      </c>
      <c r="I42" s="204">
        <v>0</v>
      </c>
      <c r="J42" s="204">
        <v>0</v>
      </c>
      <c r="K42" s="204">
        <v>0</v>
      </c>
      <c r="L42" s="204">
        <v>1</v>
      </c>
      <c r="M42" s="205">
        <v>0</v>
      </c>
      <c r="N42" s="85">
        <f t="shared" si="1"/>
        <v>200</v>
      </c>
      <c r="O42" s="43">
        <f t="shared" si="2"/>
        <v>210</v>
      </c>
    </row>
    <row r="43" spans="1:15" ht="22.5" customHeight="1" x14ac:dyDescent="0.3">
      <c r="A43" s="190" t="s">
        <v>212</v>
      </c>
      <c r="B43" s="44">
        <v>139</v>
      </c>
      <c r="C43" s="39">
        <v>21</v>
      </c>
      <c r="D43" s="39">
        <v>5</v>
      </c>
      <c r="E43" s="39">
        <v>6</v>
      </c>
      <c r="F43" s="194">
        <v>0</v>
      </c>
      <c r="G43" s="196">
        <f t="shared" si="3"/>
        <v>171</v>
      </c>
      <c r="H43" s="203">
        <v>0</v>
      </c>
      <c r="I43" s="204">
        <v>0</v>
      </c>
      <c r="J43" s="204">
        <v>0</v>
      </c>
      <c r="K43" s="204">
        <v>0</v>
      </c>
      <c r="L43" s="204">
        <v>1</v>
      </c>
      <c r="M43" s="205">
        <v>0</v>
      </c>
      <c r="N43" s="85">
        <f t="shared" si="1"/>
        <v>171</v>
      </c>
      <c r="O43" s="43">
        <f t="shared" si="2"/>
        <v>183</v>
      </c>
    </row>
    <row r="44" spans="1:15" ht="22.5" customHeight="1" x14ac:dyDescent="0.3">
      <c r="A44" s="190" t="s">
        <v>213</v>
      </c>
      <c r="B44" s="44">
        <v>130</v>
      </c>
      <c r="C44" s="39">
        <v>27</v>
      </c>
      <c r="D44" s="39">
        <v>7</v>
      </c>
      <c r="E44" s="39">
        <v>7</v>
      </c>
      <c r="F44" s="194">
        <v>1</v>
      </c>
      <c r="G44" s="196">
        <f t="shared" si="3"/>
        <v>172</v>
      </c>
      <c r="H44" s="203">
        <v>0</v>
      </c>
      <c r="I44" s="204">
        <v>0</v>
      </c>
      <c r="J44" s="204">
        <v>0</v>
      </c>
      <c r="K44" s="204">
        <v>0</v>
      </c>
      <c r="L44" s="204">
        <v>0</v>
      </c>
      <c r="M44" s="205">
        <v>0</v>
      </c>
      <c r="N44" s="85">
        <f t="shared" si="1"/>
        <v>172</v>
      </c>
      <c r="O44" s="43">
        <f t="shared" si="2"/>
        <v>179.5</v>
      </c>
    </row>
    <row r="45" spans="1:15" ht="22.5" customHeight="1" x14ac:dyDescent="0.3">
      <c r="A45" s="190" t="s">
        <v>214</v>
      </c>
      <c r="B45" s="44">
        <v>130</v>
      </c>
      <c r="C45" s="39">
        <v>25</v>
      </c>
      <c r="D45" s="39">
        <v>6</v>
      </c>
      <c r="E45" s="39">
        <v>1</v>
      </c>
      <c r="F45" s="194">
        <v>0</v>
      </c>
      <c r="G45" s="196">
        <f t="shared" si="3"/>
        <v>162</v>
      </c>
      <c r="H45" s="203">
        <v>0</v>
      </c>
      <c r="I45" s="204">
        <v>0</v>
      </c>
      <c r="J45" s="204">
        <v>1</v>
      </c>
      <c r="K45" s="204">
        <v>0</v>
      </c>
      <c r="L45" s="204">
        <v>0</v>
      </c>
      <c r="M45" s="205">
        <v>0</v>
      </c>
      <c r="N45" s="85">
        <f t="shared" si="1"/>
        <v>162</v>
      </c>
      <c r="O45" s="43">
        <f t="shared" si="2"/>
        <v>157.5</v>
      </c>
    </row>
    <row r="46" spans="1:15" ht="22.5" customHeight="1" x14ac:dyDescent="0.3">
      <c r="A46" s="190" t="s">
        <v>215</v>
      </c>
      <c r="B46" s="44">
        <v>139</v>
      </c>
      <c r="C46" s="39">
        <v>32</v>
      </c>
      <c r="D46" s="39">
        <v>15</v>
      </c>
      <c r="E46" s="39">
        <v>5</v>
      </c>
      <c r="F46" s="194">
        <v>0</v>
      </c>
      <c r="G46" s="196">
        <f t="shared" si="3"/>
        <v>191</v>
      </c>
      <c r="H46" s="203">
        <v>0</v>
      </c>
      <c r="I46" s="204">
        <v>0</v>
      </c>
      <c r="J46" s="204">
        <v>1</v>
      </c>
      <c r="K46" s="204">
        <v>0</v>
      </c>
      <c r="L46" s="204">
        <v>1</v>
      </c>
      <c r="M46" s="205">
        <v>0</v>
      </c>
      <c r="N46" s="85">
        <f t="shared" si="1"/>
        <v>191</v>
      </c>
      <c r="O46" s="43">
        <f t="shared" si="2"/>
        <v>203.5</v>
      </c>
    </row>
    <row r="47" spans="1:15" ht="22.5" customHeight="1" x14ac:dyDescent="0.3">
      <c r="A47" s="190" t="s">
        <v>216</v>
      </c>
      <c r="B47" s="44">
        <v>152</v>
      </c>
      <c r="C47" s="39">
        <v>26</v>
      </c>
      <c r="D47" s="39">
        <v>4</v>
      </c>
      <c r="E47" s="39">
        <v>2</v>
      </c>
      <c r="F47" s="194">
        <v>0</v>
      </c>
      <c r="G47" s="196">
        <f t="shared" si="3"/>
        <v>184</v>
      </c>
      <c r="H47" s="203">
        <v>0</v>
      </c>
      <c r="I47" s="204">
        <v>0</v>
      </c>
      <c r="J47" s="204">
        <v>0</v>
      </c>
      <c r="K47" s="204">
        <v>0</v>
      </c>
      <c r="L47" s="204">
        <v>1</v>
      </c>
      <c r="M47" s="205">
        <v>0</v>
      </c>
      <c r="N47" s="85">
        <f t="shared" si="1"/>
        <v>184</v>
      </c>
      <c r="O47" s="43">
        <f t="shared" si="2"/>
        <v>185</v>
      </c>
    </row>
    <row r="48" spans="1:15" ht="22.5" customHeight="1" x14ac:dyDescent="0.3">
      <c r="A48" s="190" t="s">
        <v>217</v>
      </c>
      <c r="B48" s="44">
        <v>119</v>
      </c>
      <c r="C48" s="39">
        <v>31</v>
      </c>
      <c r="D48" s="39">
        <v>12</v>
      </c>
      <c r="E48" s="39">
        <v>2</v>
      </c>
      <c r="F48" s="194">
        <v>0</v>
      </c>
      <c r="G48" s="196">
        <f t="shared" si="3"/>
        <v>164</v>
      </c>
      <c r="H48" s="203">
        <v>0</v>
      </c>
      <c r="I48" s="204">
        <v>0</v>
      </c>
      <c r="J48" s="204">
        <v>0</v>
      </c>
      <c r="K48" s="204">
        <v>0</v>
      </c>
      <c r="L48" s="204">
        <v>1</v>
      </c>
      <c r="M48" s="205">
        <v>0</v>
      </c>
      <c r="N48" s="85">
        <f t="shared" si="1"/>
        <v>164</v>
      </c>
      <c r="O48" s="43">
        <f t="shared" si="2"/>
        <v>166.5</v>
      </c>
    </row>
    <row r="49" spans="1:15" ht="22.5" customHeight="1" x14ac:dyDescent="0.3">
      <c r="A49" s="190" t="s">
        <v>218</v>
      </c>
      <c r="B49" s="44">
        <v>120</v>
      </c>
      <c r="C49" s="39">
        <v>44</v>
      </c>
      <c r="D49" s="39">
        <v>12</v>
      </c>
      <c r="E49" s="39">
        <v>1</v>
      </c>
      <c r="F49" s="194">
        <v>0</v>
      </c>
      <c r="G49" s="196">
        <f t="shared" si="3"/>
        <v>177</v>
      </c>
      <c r="H49" s="203">
        <v>0</v>
      </c>
      <c r="I49" s="204">
        <v>0</v>
      </c>
      <c r="J49" s="204">
        <v>0</v>
      </c>
      <c r="K49" s="204">
        <v>0</v>
      </c>
      <c r="L49" s="204">
        <v>0</v>
      </c>
      <c r="M49" s="205">
        <v>0</v>
      </c>
      <c r="N49" s="85">
        <f t="shared" si="1"/>
        <v>177</v>
      </c>
      <c r="O49" s="43">
        <f t="shared" si="2"/>
        <v>163</v>
      </c>
    </row>
    <row r="50" spans="1:15" ht="22.5" customHeight="1" x14ac:dyDescent="0.3">
      <c r="A50" s="190" t="s">
        <v>219</v>
      </c>
      <c r="B50" s="44">
        <v>131</v>
      </c>
      <c r="C50" s="39">
        <v>30</v>
      </c>
      <c r="D50" s="39">
        <v>7</v>
      </c>
      <c r="E50" s="39">
        <v>9</v>
      </c>
      <c r="F50" s="194">
        <v>0</v>
      </c>
      <c r="G50" s="196">
        <f t="shared" si="3"/>
        <v>177</v>
      </c>
      <c r="H50" s="203">
        <v>0</v>
      </c>
      <c r="I50" s="204">
        <v>0</v>
      </c>
      <c r="J50" s="204">
        <v>0</v>
      </c>
      <c r="K50" s="204">
        <v>0</v>
      </c>
      <c r="L50" s="204">
        <v>0</v>
      </c>
      <c r="M50" s="205">
        <v>0</v>
      </c>
      <c r="N50" s="85">
        <f t="shared" si="1"/>
        <v>177</v>
      </c>
      <c r="O50" s="43">
        <f t="shared" si="2"/>
        <v>183.5</v>
      </c>
    </row>
    <row r="51" spans="1:15" ht="22.5" customHeight="1" x14ac:dyDescent="0.3">
      <c r="A51" s="190" t="s">
        <v>220</v>
      </c>
      <c r="B51" s="44">
        <v>152</v>
      </c>
      <c r="C51" s="39">
        <v>51</v>
      </c>
      <c r="D51" s="39">
        <v>10</v>
      </c>
      <c r="E51" s="39">
        <v>6</v>
      </c>
      <c r="F51" s="194">
        <v>0</v>
      </c>
      <c r="G51" s="196">
        <f t="shared" si="3"/>
        <v>219</v>
      </c>
      <c r="H51" s="203">
        <v>0</v>
      </c>
      <c r="I51" s="204">
        <v>0</v>
      </c>
      <c r="J51" s="204">
        <v>0</v>
      </c>
      <c r="K51" s="204">
        <v>0</v>
      </c>
      <c r="L51" s="204">
        <v>1</v>
      </c>
      <c r="M51" s="205">
        <v>0</v>
      </c>
      <c r="N51" s="85">
        <f t="shared" si="1"/>
        <v>219</v>
      </c>
      <c r="O51" s="43">
        <f t="shared" si="2"/>
        <v>218.5</v>
      </c>
    </row>
    <row r="52" spans="1:15" ht="22.5" customHeight="1" x14ac:dyDescent="0.3">
      <c r="A52" s="190" t="s">
        <v>221</v>
      </c>
      <c r="B52" s="44">
        <v>107</v>
      </c>
      <c r="C52" s="39">
        <v>31</v>
      </c>
      <c r="D52" s="39">
        <v>8</v>
      </c>
      <c r="E52" s="39">
        <v>10</v>
      </c>
      <c r="F52" s="194">
        <v>0</v>
      </c>
      <c r="G52" s="196">
        <f t="shared" si="3"/>
        <v>156</v>
      </c>
      <c r="H52" s="203">
        <v>0</v>
      </c>
      <c r="I52" s="204">
        <v>0</v>
      </c>
      <c r="J52" s="204">
        <v>0</v>
      </c>
      <c r="K52" s="204">
        <v>0</v>
      </c>
      <c r="L52" s="204">
        <v>0</v>
      </c>
      <c r="M52" s="205">
        <v>0</v>
      </c>
      <c r="N52" s="85">
        <f t="shared" si="1"/>
        <v>156</v>
      </c>
      <c r="O52" s="43">
        <f t="shared" si="2"/>
        <v>164.5</v>
      </c>
    </row>
    <row r="53" spans="1:15" ht="22.5" customHeight="1" x14ac:dyDescent="0.3">
      <c r="A53" s="190" t="s">
        <v>222</v>
      </c>
      <c r="B53" s="44">
        <v>133</v>
      </c>
      <c r="C53" s="39">
        <v>27</v>
      </c>
      <c r="D53" s="39">
        <v>9</v>
      </c>
      <c r="E53" s="39">
        <v>0</v>
      </c>
      <c r="F53" s="194">
        <v>0</v>
      </c>
      <c r="G53" s="196">
        <f t="shared" si="3"/>
        <v>169</v>
      </c>
      <c r="H53" s="203">
        <v>0</v>
      </c>
      <c r="I53" s="204">
        <v>0</v>
      </c>
      <c r="J53" s="204">
        <v>0</v>
      </c>
      <c r="K53" s="204">
        <v>0</v>
      </c>
      <c r="L53" s="204">
        <v>0</v>
      </c>
      <c r="M53" s="205">
        <v>0</v>
      </c>
      <c r="N53" s="85">
        <f t="shared" si="1"/>
        <v>169</v>
      </c>
      <c r="O53" s="43">
        <f t="shared" si="2"/>
        <v>160</v>
      </c>
    </row>
    <row r="54" spans="1:15" ht="22.5" customHeight="1" x14ac:dyDescent="0.3">
      <c r="A54" s="190" t="s">
        <v>223</v>
      </c>
      <c r="B54" s="44">
        <v>112</v>
      </c>
      <c r="C54" s="39">
        <v>49</v>
      </c>
      <c r="D54" s="39">
        <v>6</v>
      </c>
      <c r="E54" s="39">
        <v>1</v>
      </c>
      <c r="F54" s="194">
        <v>0</v>
      </c>
      <c r="G54" s="196">
        <f t="shared" si="3"/>
        <v>168</v>
      </c>
      <c r="H54" s="203">
        <v>0</v>
      </c>
      <c r="I54" s="204">
        <v>0</v>
      </c>
      <c r="J54" s="204">
        <v>0</v>
      </c>
      <c r="K54" s="204">
        <v>0</v>
      </c>
      <c r="L54" s="204">
        <v>0</v>
      </c>
      <c r="M54" s="205">
        <v>0</v>
      </c>
      <c r="N54" s="85">
        <f t="shared" si="1"/>
        <v>168</v>
      </c>
      <c r="O54" s="43">
        <f t="shared" si="2"/>
        <v>148.5</v>
      </c>
    </row>
    <row r="55" spans="1:15" ht="22.5" customHeight="1" x14ac:dyDescent="0.3">
      <c r="A55" s="190" t="s">
        <v>224</v>
      </c>
      <c r="B55" s="44">
        <v>132</v>
      </c>
      <c r="C55" s="39">
        <v>27</v>
      </c>
      <c r="D55" s="39">
        <v>11</v>
      </c>
      <c r="E55" s="39">
        <v>2</v>
      </c>
      <c r="F55" s="194">
        <v>0</v>
      </c>
      <c r="G55" s="196">
        <f t="shared" si="3"/>
        <v>172</v>
      </c>
      <c r="H55" s="203">
        <v>0</v>
      </c>
      <c r="I55" s="204">
        <v>0</v>
      </c>
      <c r="J55" s="204">
        <v>0</v>
      </c>
      <c r="K55" s="204">
        <v>0</v>
      </c>
      <c r="L55" s="204">
        <v>0</v>
      </c>
      <c r="M55" s="205">
        <v>0</v>
      </c>
      <c r="N55" s="85">
        <f t="shared" si="1"/>
        <v>172</v>
      </c>
      <c r="O55" s="43">
        <f t="shared" si="2"/>
        <v>168</v>
      </c>
    </row>
    <row r="56" spans="1:15" ht="22.5" customHeight="1" x14ac:dyDescent="0.3">
      <c r="A56" s="190" t="s">
        <v>225</v>
      </c>
      <c r="B56" s="44">
        <v>106</v>
      </c>
      <c r="C56" s="39">
        <v>76</v>
      </c>
      <c r="D56" s="39">
        <v>9</v>
      </c>
      <c r="E56" s="39">
        <v>2</v>
      </c>
      <c r="F56" s="194">
        <v>2</v>
      </c>
      <c r="G56" s="196">
        <f t="shared" si="3"/>
        <v>195</v>
      </c>
      <c r="H56" s="203">
        <v>0</v>
      </c>
      <c r="I56" s="204">
        <v>0</v>
      </c>
      <c r="J56" s="204">
        <v>0</v>
      </c>
      <c r="K56" s="204">
        <v>0</v>
      </c>
      <c r="L56" s="204">
        <v>0</v>
      </c>
      <c r="M56" s="205">
        <v>0</v>
      </c>
      <c r="N56" s="85">
        <f t="shared" si="1"/>
        <v>195</v>
      </c>
      <c r="O56" s="43">
        <f t="shared" si="2"/>
        <v>172.5</v>
      </c>
    </row>
    <row r="57" spans="1:15" ht="22.5" customHeight="1" x14ac:dyDescent="0.3">
      <c r="A57" s="190" t="s">
        <v>226</v>
      </c>
      <c r="B57" s="44">
        <v>124</v>
      </c>
      <c r="C57" s="39">
        <v>83</v>
      </c>
      <c r="D57" s="39">
        <v>5</v>
      </c>
      <c r="E57" s="39">
        <v>2</v>
      </c>
      <c r="F57" s="194">
        <v>3</v>
      </c>
      <c r="G57" s="196">
        <f t="shared" si="3"/>
        <v>217</v>
      </c>
      <c r="H57" s="203">
        <v>0</v>
      </c>
      <c r="I57" s="204">
        <v>0</v>
      </c>
      <c r="J57" s="204">
        <v>0</v>
      </c>
      <c r="K57" s="204">
        <v>0</v>
      </c>
      <c r="L57" s="204">
        <v>0</v>
      </c>
      <c r="M57" s="205">
        <v>0</v>
      </c>
      <c r="N57" s="85">
        <f t="shared" si="1"/>
        <v>217</v>
      </c>
      <c r="O57" s="43">
        <f t="shared" si="2"/>
        <v>192.5</v>
      </c>
    </row>
    <row r="58" spans="1:15" ht="22.5" customHeight="1" x14ac:dyDescent="0.3">
      <c r="A58" s="190" t="s">
        <v>227</v>
      </c>
      <c r="B58" s="44">
        <v>109</v>
      </c>
      <c r="C58" s="39">
        <v>23</v>
      </c>
      <c r="D58" s="39">
        <v>5</v>
      </c>
      <c r="E58" s="39">
        <v>1</v>
      </c>
      <c r="F58" s="194">
        <v>4</v>
      </c>
      <c r="G58" s="196">
        <f t="shared" si="3"/>
        <v>142</v>
      </c>
      <c r="H58" s="203">
        <v>0</v>
      </c>
      <c r="I58" s="204">
        <v>0</v>
      </c>
      <c r="J58" s="204">
        <v>0</v>
      </c>
      <c r="K58" s="204">
        <v>0</v>
      </c>
      <c r="L58" s="204">
        <v>0</v>
      </c>
      <c r="M58" s="205">
        <v>0</v>
      </c>
      <c r="N58" s="85">
        <f t="shared" si="1"/>
        <v>142</v>
      </c>
      <c r="O58" s="43">
        <f t="shared" si="2"/>
        <v>149</v>
      </c>
    </row>
    <row r="59" spans="1:15" ht="22.5" customHeight="1" x14ac:dyDescent="0.3">
      <c r="A59" s="190" t="s">
        <v>228</v>
      </c>
      <c r="B59" s="44">
        <v>128</v>
      </c>
      <c r="C59" s="39">
        <v>57</v>
      </c>
      <c r="D59" s="39">
        <v>6</v>
      </c>
      <c r="E59" s="39">
        <v>1</v>
      </c>
      <c r="F59" s="194">
        <v>2</v>
      </c>
      <c r="G59" s="196">
        <f t="shared" si="3"/>
        <v>194</v>
      </c>
      <c r="H59" s="203">
        <v>0</v>
      </c>
      <c r="I59" s="204">
        <v>0</v>
      </c>
      <c r="J59" s="204">
        <v>0</v>
      </c>
      <c r="K59" s="204">
        <v>0</v>
      </c>
      <c r="L59" s="204">
        <v>0</v>
      </c>
      <c r="M59" s="205">
        <v>0</v>
      </c>
      <c r="N59" s="85">
        <f t="shared" si="1"/>
        <v>194</v>
      </c>
      <c r="O59" s="43">
        <f t="shared" si="2"/>
        <v>177.5</v>
      </c>
    </row>
    <row r="60" spans="1:15" ht="22.5" customHeight="1" x14ac:dyDescent="0.3">
      <c r="A60" s="190" t="s">
        <v>229</v>
      </c>
      <c r="B60" s="44">
        <v>101</v>
      </c>
      <c r="C60" s="39">
        <v>24</v>
      </c>
      <c r="D60" s="39">
        <v>5</v>
      </c>
      <c r="E60" s="39">
        <v>5</v>
      </c>
      <c r="F60" s="194">
        <v>7</v>
      </c>
      <c r="G60" s="196">
        <f t="shared" si="3"/>
        <v>142</v>
      </c>
      <c r="H60" s="203">
        <v>0</v>
      </c>
      <c r="I60" s="204">
        <v>0</v>
      </c>
      <c r="J60" s="204">
        <v>0</v>
      </c>
      <c r="K60" s="204">
        <v>0</v>
      </c>
      <c r="L60" s="204">
        <v>0</v>
      </c>
      <c r="M60" s="205">
        <v>0</v>
      </c>
      <c r="N60" s="85">
        <f t="shared" si="1"/>
        <v>142</v>
      </c>
      <c r="O60" s="43">
        <f t="shared" si="2"/>
        <v>167</v>
      </c>
    </row>
    <row r="61" spans="1:15" ht="22.5" customHeight="1" x14ac:dyDescent="0.3">
      <c r="A61" s="190" t="s">
        <v>230</v>
      </c>
      <c r="B61" s="44">
        <v>83</v>
      </c>
      <c r="C61" s="39">
        <v>26</v>
      </c>
      <c r="D61" s="39">
        <v>3</v>
      </c>
      <c r="E61" s="39">
        <v>6</v>
      </c>
      <c r="F61" s="194">
        <v>3</v>
      </c>
      <c r="G61" s="196">
        <f t="shared" si="3"/>
        <v>121</v>
      </c>
      <c r="H61" s="203">
        <v>0</v>
      </c>
      <c r="I61" s="204">
        <v>0</v>
      </c>
      <c r="J61" s="204">
        <v>0</v>
      </c>
      <c r="K61" s="204">
        <v>0</v>
      </c>
      <c r="L61" s="204">
        <v>0</v>
      </c>
      <c r="M61" s="205">
        <v>0</v>
      </c>
      <c r="N61" s="85">
        <f t="shared" si="1"/>
        <v>121</v>
      </c>
      <c r="O61" s="43">
        <f t="shared" si="2"/>
        <v>132</v>
      </c>
    </row>
    <row r="62" spans="1:15" ht="22.5" customHeight="1" x14ac:dyDescent="0.3">
      <c r="A62" s="190" t="s">
        <v>231</v>
      </c>
      <c r="B62" s="44">
        <v>121</v>
      </c>
      <c r="C62" s="39">
        <v>10</v>
      </c>
      <c r="D62" s="39">
        <v>1</v>
      </c>
      <c r="E62" s="39">
        <v>4</v>
      </c>
      <c r="F62" s="194">
        <v>10</v>
      </c>
      <c r="G62" s="196">
        <f t="shared" si="3"/>
        <v>146</v>
      </c>
      <c r="H62" s="203">
        <v>0</v>
      </c>
      <c r="I62" s="204">
        <v>0</v>
      </c>
      <c r="J62" s="204">
        <v>0</v>
      </c>
      <c r="K62" s="204">
        <v>0</v>
      </c>
      <c r="L62" s="204">
        <v>0</v>
      </c>
      <c r="M62" s="205">
        <v>0</v>
      </c>
      <c r="N62" s="85">
        <f t="shared" si="1"/>
        <v>146</v>
      </c>
      <c r="O62" s="43">
        <f t="shared" si="2"/>
        <v>184.5</v>
      </c>
    </row>
    <row r="63" spans="1:15" ht="22.5" customHeight="1" x14ac:dyDescent="0.3">
      <c r="A63" s="190" t="s">
        <v>232</v>
      </c>
      <c r="B63" s="44">
        <v>118</v>
      </c>
      <c r="C63" s="39">
        <v>3</v>
      </c>
      <c r="D63" s="39">
        <v>7</v>
      </c>
      <c r="E63" s="39">
        <v>2</v>
      </c>
      <c r="F63" s="194">
        <v>15</v>
      </c>
      <c r="G63" s="196">
        <f t="shared" si="3"/>
        <v>145</v>
      </c>
      <c r="H63" s="203">
        <v>0</v>
      </c>
      <c r="I63" s="204">
        <v>0</v>
      </c>
      <c r="J63" s="204">
        <v>0</v>
      </c>
      <c r="K63" s="204">
        <v>0</v>
      </c>
      <c r="L63" s="204">
        <v>0</v>
      </c>
      <c r="M63" s="205">
        <v>0</v>
      </c>
      <c r="N63" s="85">
        <f t="shared" si="1"/>
        <v>145</v>
      </c>
      <c r="O63" s="43">
        <f t="shared" si="2"/>
        <v>203.5</v>
      </c>
    </row>
    <row r="64" spans="1:15" ht="22.5" customHeight="1" x14ac:dyDescent="0.3">
      <c r="A64" s="190" t="s">
        <v>233</v>
      </c>
      <c r="B64" s="44">
        <v>71</v>
      </c>
      <c r="C64" s="39">
        <v>22</v>
      </c>
      <c r="D64" s="39">
        <v>8</v>
      </c>
      <c r="E64" s="39">
        <v>2</v>
      </c>
      <c r="F64" s="194">
        <v>3</v>
      </c>
      <c r="G64" s="196">
        <f t="shared" si="3"/>
        <v>106</v>
      </c>
      <c r="H64" s="203">
        <v>0</v>
      </c>
      <c r="I64" s="204">
        <v>0</v>
      </c>
      <c r="J64" s="204">
        <v>0</v>
      </c>
      <c r="K64" s="204">
        <v>0</v>
      </c>
      <c r="L64" s="204">
        <v>0</v>
      </c>
      <c r="M64" s="205">
        <v>0</v>
      </c>
      <c r="N64" s="85">
        <f t="shared" si="1"/>
        <v>106</v>
      </c>
      <c r="O64" s="43">
        <f t="shared" si="2"/>
        <v>113.5</v>
      </c>
    </row>
    <row r="65" spans="1:15" ht="22.5" customHeight="1" x14ac:dyDescent="0.3">
      <c r="A65" s="190" t="s">
        <v>234</v>
      </c>
      <c r="B65" s="44">
        <v>74</v>
      </c>
      <c r="C65" s="39">
        <v>16</v>
      </c>
      <c r="D65" s="39">
        <v>6</v>
      </c>
      <c r="E65" s="39">
        <v>2</v>
      </c>
      <c r="F65" s="194">
        <v>13</v>
      </c>
      <c r="G65" s="196">
        <f t="shared" si="3"/>
        <v>111</v>
      </c>
      <c r="H65" s="203">
        <v>0</v>
      </c>
      <c r="I65" s="204">
        <v>0</v>
      </c>
      <c r="J65" s="204">
        <v>0</v>
      </c>
      <c r="K65" s="204">
        <v>0</v>
      </c>
      <c r="L65" s="204">
        <v>0</v>
      </c>
      <c r="M65" s="205">
        <v>0</v>
      </c>
      <c r="N65" s="85">
        <f t="shared" si="1"/>
        <v>111</v>
      </c>
      <c r="O65" s="43">
        <f t="shared" si="2"/>
        <v>155.5</v>
      </c>
    </row>
    <row r="66" spans="1:15" ht="22.5" customHeight="1" x14ac:dyDescent="0.3">
      <c r="A66" s="190" t="s">
        <v>235</v>
      </c>
      <c r="B66" s="44">
        <v>94</v>
      </c>
      <c r="C66" s="39">
        <v>36</v>
      </c>
      <c r="D66" s="39">
        <v>5</v>
      </c>
      <c r="E66" s="39">
        <v>0</v>
      </c>
      <c r="F66" s="194">
        <v>7</v>
      </c>
      <c r="G66" s="196">
        <f t="shared" si="3"/>
        <v>142</v>
      </c>
      <c r="H66" s="203">
        <v>0</v>
      </c>
      <c r="I66" s="204">
        <v>0</v>
      </c>
      <c r="J66" s="204">
        <v>0</v>
      </c>
      <c r="K66" s="204">
        <v>0</v>
      </c>
      <c r="L66" s="204">
        <v>1</v>
      </c>
      <c r="M66" s="205">
        <v>0</v>
      </c>
      <c r="N66" s="85">
        <f t="shared" si="1"/>
        <v>142</v>
      </c>
      <c r="O66" s="43">
        <f t="shared" si="2"/>
        <v>159</v>
      </c>
    </row>
    <row r="67" spans="1:15" ht="22.5" customHeight="1" x14ac:dyDescent="0.3">
      <c r="A67" s="190" t="s">
        <v>236</v>
      </c>
      <c r="B67" s="44">
        <v>64</v>
      </c>
      <c r="C67" s="39">
        <v>23</v>
      </c>
      <c r="D67" s="39">
        <v>12</v>
      </c>
      <c r="E67" s="39">
        <v>3</v>
      </c>
      <c r="F67" s="194">
        <v>8</v>
      </c>
      <c r="G67" s="196">
        <f t="shared" si="3"/>
        <v>110</v>
      </c>
      <c r="H67" s="203">
        <v>0</v>
      </c>
      <c r="I67" s="204">
        <v>0</v>
      </c>
      <c r="J67" s="204">
        <v>0</v>
      </c>
      <c r="K67" s="204">
        <v>0</v>
      </c>
      <c r="L67" s="204">
        <v>0</v>
      </c>
      <c r="M67" s="205">
        <v>0</v>
      </c>
      <c r="N67" s="85">
        <f t="shared" si="1"/>
        <v>110</v>
      </c>
      <c r="O67" s="43">
        <f t="shared" si="2"/>
        <v>138.5</v>
      </c>
    </row>
    <row r="68" spans="1:15" ht="22.5" customHeight="1" x14ac:dyDescent="0.3">
      <c r="A68" s="190" t="s">
        <v>237</v>
      </c>
      <c r="B68" s="44">
        <v>42</v>
      </c>
      <c r="C68" s="39">
        <v>20</v>
      </c>
      <c r="D68" s="39">
        <v>10</v>
      </c>
      <c r="E68" s="39">
        <v>0</v>
      </c>
      <c r="F68" s="194">
        <v>9</v>
      </c>
      <c r="G68" s="196">
        <f t="shared" si="3"/>
        <v>81</v>
      </c>
      <c r="H68" s="203">
        <v>0</v>
      </c>
      <c r="I68" s="204">
        <v>0</v>
      </c>
      <c r="J68" s="204">
        <v>0</v>
      </c>
      <c r="K68" s="204">
        <v>0</v>
      </c>
      <c r="L68" s="204">
        <v>0</v>
      </c>
      <c r="M68" s="205">
        <v>0</v>
      </c>
      <c r="N68" s="85">
        <f t="shared" si="1"/>
        <v>81</v>
      </c>
      <c r="O68" s="43">
        <f t="shared" si="2"/>
        <v>107.5</v>
      </c>
    </row>
    <row r="69" spans="1:15" ht="22.5" customHeight="1" x14ac:dyDescent="0.3">
      <c r="A69" s="190" t="s">
        <v>238</v>
      </c>
      <c r="B69" s="44">
        <v>43</v>
      </c>
      <c r="C69" s="39">
        <v>11</v>
      </c>
      <c r="D69" s="39">
        <v>2</v>
      </c>
      <c r="E69" s="39">
        <v>2</v>
      </c>
      <c r="F69" s="194">
        <v>12</v>
      </c>
      <c r="G69" s="196">
        <f t="shared" si="3"/>
        <v>70</v>
      </c>
      <c r="H69" s="203">
        <v>0</v>
      </c>
      <c r="I69" s="204">
        <v>0</v>
      </c>
      <c r="J69" s="204">
        <v>0</v>
      </c>
      <c r="K69" s="204">
        <v>0</v>
      </c>
      <c r="L69" s="204">
        <v>0</v>
      </c>
      <c r="M69" s="205">
        <v>0</v>
      </c>
      <c r="N69" s="85">
        <f t="shared" si="1"/>
        <v>70</v>
      </c>
      <c r="O69" s="43">
        <f t="shared" si="2"/>
        <v>111.5</v>
      </c>
    </row>
    <row r="70" spans="1:15" ht="22.5" customHeight="1" x14ac:dyDescent="0.3">
      <c r="A70" s="190" t="s">
        <v>239</v>
      </c>
      <c r="B70" s="44">
        <v>41</v>
      </c>
      <c r="C70" s="39">
        <v>7</v>
      </c>
      <c r="D70" s="39">
        <v>6</v>
      </c>
      <c r="E70" s="39">
        <v>1</v>
      </c>
      <c r="F70" s="194">
        <v>11</v>
      </c>
      <c r="G70" s="196">
        <f t="shared" si="3"/>
        <v>66</v>
      </c>
      <c r="H70" s="203">
        <v>0</v>
      </c>
      <c r="I70" s="204">
        <v>0</v>
      </c>
      <c r="J70" s="204">
        <v>0</v>
      </c>
      <c r="K70" s="204">
        <v>0</v>
      </c>
      <c r="L70" s="204">
        <v>0</v>
      </c>
      <c r="M70" s="205">
        <v>0</v>
      </c>
      <c r="N70" s="85">
        <f t="shared" si="1"/>
        <v>66</v>
      </c>
      <c r="O70" s="43">
        <f t="shared" si="2"/>
        <v>106</v>
      </c>
    </row>
    <row r="71" spans="1:15" ht="22.5" customHeight="1" x14ac:dyDescent="0.3">
      <c r="A71" s="190" t="s">
        <v>240</v>
      </c>
      <c r="B71" s="44">
        <v>39</v>
      </c>
      <c r="C71" s="39">
        <v>8</v>
      </c>
      <c r="D71" s="39">
        <v>7</v>
      </c>
      <c r="E71" s="39">
        <v>2</v>
      </c>
      <c r="F71" s="194">
        <v>11</v>
      </c>
      <c r="G71" s="196">
        <f t="shared" si="3"/>
        <v>67</v>
      </c>
      <c r="H71" s="203">
        <v>0</v>
      </c>
      <c r="I71" s="204">
        <v>0</v>
      </c>
      <c r="J71" s="204">
        <v>0</v>
      </c>
      <c r="K71" s="204">
        <v>0</v>
      </c>
      <c r="L71" s="204">
        <v>0</v>
      </c>
      <c r="M71" s="205">
        <v>0</v>
      </c>
      <c r="N71" s="85">
        <f t="shared" si="1"/>
        <v>67</v>
      </c>
      <c r="O71" s="43">
        <f t="shared" si="2"/>
        <v>109</v>
      </c>
    </row>
    <row r="72" spans="1:15" ht="22.5" customHeight="1" x14ac:dyDescent="0.3">
      <c r="A72" s="190" t="s">
        <v>153</v>
      </c>
      <c r="B72" s="44">
        <v>2</v>
      </c>
      <c r="C72" s="39">
        <v>13</v>
      </c>
      <c r="D72" s="39">
        <v>7</v>
      </c>
      <c r="E72" s="39">
        <v>0</v>
      </c>
      <c r="F72" s="194">
        <v>13</v>
      </c>
      <c r="G72" s="196">
        <f t="shared" ref="G72:G103" si="4">SUM(B72:F72)</f>
        <v>35</v>
      </c>
      <c r="H72" s="203">
        <v>0</v>
      </c>
      <c r="I72" s="204">
        <v>0</v>
      </c>
      <c r="J72" s="204">
        <v>0</v>
      </c>
      <c r="K72" s="204">
        <v>0</v>
      </c>
      <c r="L72" s="204">
        <v>0</v>
      </c>
      <c r="M72" s="205">
        <v>0</v>
      </c>
      <c r="N72" s="85">
        <f t="shared" si="1"/>
        <v>35</v>
      </c>
      <c r="O72" s="43">
        <f t="shared" si="2"/>
        <v>77.5</v>
      </c>
    </row>
    <row r="73" spans="1:15" ht="22.5" customHeight="1" x14ac:dyDescent="0.3">
      <c r="A73" s="190" t="s">
        <v>154</v>
      </c>
      <c r="B73" s="44">
        <v>31</v>
      </c>
      <c r="C73" s="39">
        <v>10</v>
      </c>
      <c r="D73" s="39">
        <v>6</v>
      </c>
      <c r="E73" s="39">
        <v>1</v>
      </c>
      <c r="F73" s="194">
        <v>10</v>
      </c>
      <c r="G73" s="196">
        <f t="shared" si="4"/>
        <v>58</v>
      </c>
      <c r="H73" s="203">
        <v>0</v>
      </c>
      <c r="I73" s="204">
        <v>0</v>
      </c>
      <c r="J73" s="204">
        <v>0</v>
      </c>
      <c r="K73" s="204">
        <v>0</v>
      </c>
      <c r="L73" s="204">
        <v>0</v>
      </c>
      <c r="M73" s="205">
        <v>0</v>
      </c>
      <c r="N73" s="85">
        <f t="shared" ref="N73:N103" si="5">G73+M73</f>
        <v>58</v>
      </c>
      <c r="O73" s="43">
        <f t="shared" ref="O73:O103" si="6">B73*1+C73*0.5+D73*1.5+E73*3+F73*4.5+H73*0.5+I73*1.5+J73*3+K73*4+L73*8</f>
        <v>93</v>
      </c>
    </row>
    <row r="74" spans="1:15" ht="22.5" customHeight="1" x14ac:dyDescent="0.3">
      <c r="A74" s="190" t="s">
        <v>155</v>
      </c>
      <c r="B74" s="44">
        <v>35</v>
      </c>
      <c r="C74" s="39">
        <v>9</v>
      </c>
      <c r="D74" s="39">
        <v>11</v>
      </c>
      <c r="E74" s="39">
        <v>3</v>
      </c>
      <c r="F74" s="194">
        <v>9</v>
      </c>
      <c r="G74" s="196">
        <f t="shared" si="4"/>
        <v>67</v>
      </c>
      <c r="H74" s="203">
        <v>0</v>
      </c>
      <c r="I74" s="204">
        <v>0</v>
      </c>
      <c r="J74" s="204">
        <v>0</v>
      </c>
      <c r="K74" s="204">
        <v>0</v>
      </c>
      <c r="L74" s="204">
        <v>0</v>
      </c>
      <c r="M74" s="205">
        <v>0</v>
      </c>
      <c r="N74" s="85">
        <f t="shared" si="5"/>
        <v>67</v>
      </c>
      <c r="O74" s="43">
        <f t="shared" si="6"/>
        <v>105.5</v>
      </c>
    </row>
    <row r="75" spans="1:15" ht="22.5" customHeight="1" x14ac:dyDescent="0.3">
      <c r="A75" s="190" t="s">
        <v>156</v>
      </c>
      <c r="B75" s="44">
        <v>31</v>
      </c>
      <c r="C75" s="39">
        <v>8</v>
      </c>
      <c r="D75" s="39">
        <v>12</v>
      </c>
      <c r="E75" s="39">
        <v>2</v>
      </c>
      <c r="F75" s="194">
        <v>1</v>
      </c>
      <c r="G75" s="196">
        <f t="shared" si="4"/>
        <v>54</v>
      </c>
      <c r="H75" s="203">
        <v>0</v>
      </c>
      <c r="I75" s="204">
        <v>0</v>
      </c>
      <c r="J75" s="204">
        <v>0</v>
      </c>
      <c r="K75" s="204">
        <v>0</v>
      </c>
      <c r="L75" s="204">
        <v>0</v>
      </c>
      <c r="M75" s="205">
        <v>0</v>
      </c>
      <c r="N75" s="85">
        <f t="shared" si="5"/>
        <v>54</v>
      </c>
      <c r="O75" s="43">
        <f t="shared" si="6"/>
        <v>63.5</v>
      </c>
    </row>
    <row r="76" spans="1:15" ht="22.5" customHeight="1" x14ac:dyDescent="0.3">
      <c r="A76" s="190" t="s">
        <v>157</v>
      </c>
      <c r="B76" s="44">
        <v>16</v>
      </c>
      <c r="C76" s="39">
        <v>1</v>
      </c>
      <c r="D76" s="39">
        <v>2</v>
      </c>
      <c r="E76" s="39">
        <v>3</v>
      </c>
      <c r="F76" s="194">
        <v>4</v>
      </c>
      <c r="G76" s="196">
        <f t="shared" si="4"/>
        <v>26</v>
      </c>
      <c r="H76" s="203">
        <v>0</v>
      </c>
      <c r="I76" s="204">
        <v>0</v>
      </c>
      <c r="J76" s="204">
        <v>0</v>
      </c>
      <c r="K76" s="204">
        <v>0</v>
      </c>
      <c r="L76" s="204">
        <v>0</v>
      </c>
      <c r="M76" s="205">
        <v>0</v>
      </c>
      <c r="N76" s="85">
        <f t="shared" si="5"/>
        <v>26</v>
      </c>
      <c r="O76" s="43">
        <f t="shared" si="6"/>
        <v>46.5</v>
      </c>
    </row>
    <row r="77" spans="1:15" ht="22.5" customHeight="1" x14ac:dyDescent="0.3">
      <c r="A77" s="190" t="s">
        <v>158</v>
      </c>
      <c r="B77" s="44">
        <v>15</v>
      </c>
      <c r="C77" s="39">
        <v>2</v>
      </c>
      <c r="D77" s="39">
        <v>13</v>
      </c>
      <c r="E77" s="39">
        <v>2</v>
      </c>
      <c r="F77" s="194">
        <v>3</v>
      </c>
      <c r="G77" s="196">
        <f t="shared" si="4"/>
        <v>35</v>
      </c>
      <c r="H77" s="203">
        <v>0</v>
      </c>
      <c r="I77" s="204">
        <v>0</v>
      </c>
      <c r="J77" s="204">
        <v>0</v>
      </c>
      <c r="K77" s="204">
        <v>0</v>
      </c>
      <c r="L77" s="204">
        <v>0</v>
      </c>
      <c r="M77" s="205">
        <v>0</v>
      </c>
      <c r="N77" s="85">
        <f t="shared" si="5"/>
        <v>35</v>
      </c>
      <c r="O77" s="43">
        <f t="shared" si="6"/>
        <v>55</v>
      </c>
    </row>
    <row r="78" spans="1:15" ht="22.5" customHeight="1" x14ac:dyDescent="0.3">
      <c r="A78" s="190" t="s">
        <v>159</v>
      </c>
      <c r="B78" s="44">
        <v>14</v>
      </c>
      <c r="C78" s="39">
        <v>4</v>
      </c>
      <c r="D78" s="39">
        <v>1</v>
      </c>
      <c r="E78" s="39">
        <v>0</v>
      </c>
      <c r="F78" s="194">
        <v>13</v>
      </c>
      <c r="G78" s="196">
        <f t="shared" si="4"/>
        <v>32</v>
      </c>
      <c r="H78" s="203">
        <v>0</v>
      </c>
      <c r="I78" s="204">
        <v>0</v>
      </c>
      <c r="J78" s="204">
        <v>0</v>
      </c>
      <c r="K78" s="204">
        <v>0</v>
      </c>
      <c r="L78" s="204">
        <v>0</v>
      </c>
      <c r="M78" s="205">
        <v>0</v>
      </c>
      <c r="N78" s="85">
        <f t="shared" si="5"/>
        <v>32</v>
      </c>
      <c r="O78" s="43">
        <f t="shared" si="6"/>
        <v>76</v>
      </c>
    </row>
    <row r="79" spans="1:15" ht="22.5" customHeight="1" x14ac:dyDescent="0.3">
      <c r="A79" s="190" t="s">
        <v>160</v>
      </c>
      <c r="B79" s="44">
        <v>13</v>
      </c>
      <c r="C79" s="39">
        <v>1</v>
      </c>
      <c r="D79" s="39">
        <v>2</v>
      </c>
      <c r="E79" s="39">
        <v>3</v>
      </c>
      <c r="F79" s="194">
        <v>14</v>
      </c>
      <c r="G79" s="196">
        <f t="shared" si="4"/>
        <v>33</v>
      </c>
      <c r="H79" s="203">
        <v>0</v>
      </c>
      <c r="I79" s="204">
        <v>0</v>
      </c>
      <c r="J79" s="204">
        <v>0</v>
      </c>
      <c r="K79" s="204">
        <v>0</v>
      </c>
      <c r="L79" s="204">
        <v>0</v>
      </c>
      <c r="M79" s="205">
        <v>0</v>
      </c>
      <c r="N79" s="85">
        <f t="shared" si="5"/>
        <v>33</v>
      </c>
      <c r="O79" s="43">
        <f t="shared" si="6"/>
        <v>88.5</v>
      </c>
    </row>
    <row r="80" spans="1:15" ht="22.5" customHeight="1" x14ac:dyDescent="0.3">
      <c r="A80" s="190" t="s">
        <v>161</v>
      </c>
      <c r="B80" s="44">
        <v>24</v>
      </c>
      <c r="C80" s="39">
        <v>5</v>
      </c>
      <c r="D80" s="39">
        <v>7</v>
      </c>
      <c r="E80" s="39">
        <v>1</v>
      </c>
      <c r="F80" s="194">
        <v>7</v>
      </c>
      <c r="G80" s="196">
        <f t="shared" si="4"/>
        <v>44</v>
      </c>
      <c r="H80" s="203">
        <v>0</v>
      </c>
      <c r="I80" s="204">
        <v>0</v>
      </c>
      <c r="J80" s="204">
        <v>0</v>
      </c>
      <c r="K80" s="204">
        <v>0</v>
      </c>
      <c r="L80" s="204">
        <v>0</v>
      </c>
      <c r="M80" s="205">
        <v>0</v>
      </c>
      <c r="N80" s="85">
        <f t="shared" si="5"/>
        <v>44</v>
      </c>
      <c r="O80" s="43">
        <f t="shared" si="6"/>
        <v>71.5</v>
      </c>
    </row>
    <row r="81" spans="1:15" ht="22.5" customHeight="1" x14ac:dyDescent="0.3">
      <c r="A81" s="190" t="s">
        <v>162</v>
      </c>
      <c r="B81" s="44">
        <v>16</v>
      </c>
      <c r="C81" s="39">
        <v>0</v>
      </c>
      <c r="D81" s="39">
        <v>0</v>
      </c>
      <c r="E81" s="39">
        <v>2</v>
      </c>
      <c r="F81" s="194">
        <v>8</v>
      </c>
      <c r="G81" s="196">
        <f t="shared" si="4"/>
        <v>26</v>
      </c>
      <c r="H81" s="203">
        <v>0</v>
      </c>
      <c r="I81" s="204">
        <v>0</v>
      </c>
      <c r="J81" s="204">
        <v>0</v>
      </c>
      <c r="K81" s="204">
        <v>0</v>
      </c>
      <c r="L81" s="204">
        <v>0</v>
      </c>
      <c r="M81" s="205">
        <v>0</v>
      </c>
      <c r="N81" s="85">
        <f t="shared" si="5"/>
        <v>26</v>
      </c>
      <c r="O81" s="43">
        <f t="shared" si="6"/>
        <v>58</v>
      </c>
    </row>
    <row r="82" spans="1:15" ht="22.5" customHeight="1" x14ac:dyDescent="0.3">
      <c r="A82" s="190" t="s">
        <v>163</v>
      </c>
      <c r="B82" s="44">
        <v>22</v>
      </c>
      <c r="C82" s="39">
        <v>0</v>
      </c>
      <c r="D82" s="39">
        <v>3</v>
      </c>
      <c r="E82" s="39">
        <v>1</v>
      </c>
      <c r="F82" s="194">
        <v>4</v>
      </c>
      <c r="G82" s="196">
        <f t="shared" si="4"/>
        <v>30</v>
      </c>
      <c r="H82" s="203">
        <v>0</v>
      </c>
      <c r="I82" s="204">
        <v>0</v>
      </c>
      <c r="J82" s="204">
        <v>0</v>
      </c>
      <c r="K82" s="204">
        <v>0</v>
      </c>
      <c r="L82" s="204">
        <v>0</v>
      </c>
      <c r="M82" s="205">
        <v>0</v>
      </c>
      <c r="N82" s="85">
        <f t="shared" si="5"/>
        <v>30</v>
      </c>
      <c r="O82" s="43">
        <f t="shared" si="6"/>
        <v>47.5</v>
      </c>
    </row>
    <row r="83" spans="1:15" ht="22.5" customHeight="1" x14ac:dyDescent="0.3">
      <c r="A83" s="190" t="s">
        <v>164</v>
      </c>
      <c r="B83" s="44">
        <v>16</v>
      </c>
      <c r="C83" s="39">
        <v>2</v>
      </c>
      <c r="D83" s="39">
        <v>3</v>
      </c>
      <c r="E83" s="39">
        <v>1</v>
      </c>
      <c r="F83" s="194">
        <v>5</v>
      </c>
      <c r="G83" s="196">
        <f t="shared" si="4"/>
        <v>27</v>
      </c>
      <c r="H83" s="203">
        <v>0</v>
      </c>
      <c r="I83" s="204">
        <v>0</v>
      </c>
      <c r="J83" s="204">
        <v>0</v>
      </c>
      <c r="K83" s="204">
        <v>0</v>
      </c>
      <c r="L83" s="204">
        <v>0</v>
      </c>
      <c r="M83" s="205">
        <v>0</v>
      </c>
      <c r="N83" s="85">
        <f t="shared" si="5"/>
        <v>27</v>
      </c>
      <c r="O83" s="43">
        <f t="shared" si="6"/>
        <v>47</v>
      </c>
    </row>
    <row r="84" spans="1:15" ht="22.5" customHeight="1" x14ac:dyDescent="0.3">
      <c r="A84" s="190" t="s">
        <v>165</v>
      </c>
      <c r="B84" s="44">
        <v>26</v>
      </c>
      <c r="C84" s="39">
        <v>2</v>
      </c>
      <c r="D84" s="39">
        <v>2</v>
      </c>
      <c r="E84" s="39">
        <v>0</v>
      </c>
      <c r="F84" s="194">
        <v>2</v>
      </c>
      <c r="G84" s="196">
        <f t="shared" si="4"/>
        <v>32</v>
      </c>
      <c r="H84" s="203">
        <v>0</v>
      </c>
      <c r="I84" s="204">
        <v>0</v>
      </c>
      <c r="J84" s="204">
        <v>0</v>
      </c>
      <c r="K84" s="204">
        <v>0</v>
      </c>
      <c r="L84" s="204">
        <v>0</v>
      </c>
      <c r="M84" s="205">
        <v>0</v>
      </c>
      <c r="N84" s="85">
        <f t="shared" si="5"/>
        <v>32</v>
      </c>
      <c r="O84" s="43">
        <f t="shared" si="6"/>
        <v>39</v>
      </c>
    </row>
    <row r="85" spans="1:15" ht="22.5" customHeight="1" x14ac:dyDescent="0.3">
      <c r="A85" s="190" t="s">
        <v>166</v>
      </c>
      <c r="B85" s="44">
        <v>15</v>
      </c>
      <c r="C85" s="39">
        <v>2</v>
      </c>
      <c r="D85" s="39">
        <v>2</v>
      </c>
      <c r="E85" s="39">
        <v>0</v>
      </c>
      <c r="F85" s="194">
        <v>5</v>
      </c>
      <c r="G85" s="196">
        <f t="shared" si="4"/>
        <v>24</v>
      </c>
      <c r="H85" s="203">
        <v>0</v>
      </c>
      <c r="I85" s="204">
        <v>0</v>
      </c>
      <c r="J85" s="204">
        <v>0</v>
      </c>
      <c r="K85" s="204">
        <v>0</v>
      </c>
      <c r="L85" s="204">
        <v>0</v>
      </c>
      <c r="M85" s="205">
        <v>0</v>
      </c>
      <c r="N85" s="85">
        <f t="shared" si="5"/>
        <v>24</v>
      </c>
      <c r="O85" s="43">
        <f t="shared" si="6"/>
        <v>41.5</v>
      </c>
    </row>
    <row r="86" spans="1:15" ht="22.5" customHeight="1" x14ac:dyDescent="0.3">
      <c r="A86" s="190" t="s">
        <v>167</v>
      </c>
      <c r="B86" s="44">
        <v>10</v>
      </c>
      <c r="C86" s="39">
        <v>0</v>
      </c>
      <c r="D86" s="39">
        <v>3</v>
      </c>
      <c r="E86" s="39">
        <v>0</v>
      </c>
      <c r="F86" s="194">
        <v>6</v>
      </c>
      <c r="G86" s="196">
        <f t="shared" si="4"/>
        <v>19</v>
      </c>
      <c r="H86" s="203">
        <v>0</v>
      </c>
      <c r="I86" s="204">
        <v>0</v>
      </c>
      <c r="J86" s="204">
        <v>0</v>
      </c>
      <c r="K86" s="204">
        <v>0</v>
      </c>
      <c r="L86" s="204">
        <v>0</v>
      </c>
      <c r="M86" s="205">
        <v>0</v>
      </c>
      <c r="N86" s="85">
        <f t="shared" si="5"/>
        <v>19</v>
      </c>
      <c r="O86" s="43">
        <f t="shared" si="6"/>
        <v>41.5</v>
      </c>
    </row>
    <row r="87" spans="1:15" ht="22.5" customHeight="1" x14ac:dyDescent="0.3">
      <c r="A87" s="190" t="s">
        <v>168</v>
      </c>
      <c r="B87" s="44">
        <v>11</v>
      </c>
      <c r="C87" s="39">
        <v>2</v>
      </c>
      <c r="D87" s="39">
        <v>3</v>
      </c>
      <c r="E87" s="39">
        <v>4</v>
      </c>
      <c r="F87" s="194">
        <v>10</v>
      </c>
      <c r="G87" s="196">
        <f t="shared" si="4"/>
        <v>30</v>
      </c>
      <c r="H87" s="203">
        <v>0</v>
      </c>
      <c r="I87" s="204">
        <v>0</v>
      </c>
      <c r="J87" s="204">
        <v>0</v>
      </c>
      <c r="K87" s="204">
        <v>0</v>
      </c>
      <c r="L87" s="204">
        <v>0</v>
      </c>
      <c r="M87" s="205">
        <v>0</v>
      </c>
      <c r="N87" s="85">
        <f t="shared" si="5"/>
        <v>30</v>
      </c>
      <c r="O87" s="43">
        <f t="shared" si="6"/>
        <v>73.5</v>
      </c>
    </row>
    <row r="88" spans="1:15" ht="22.5" customHeight="1" x14ac:dyDescent="0.3">
      <c r="A88" s="190" t="s">
        <v>169</v>
      </c>
      <c r="B88" s="44">
        <v>32</v>
      </c>
      <c r="C88" s="39">
        <v>0</v>
      </c>
      <c r="D88" s="39">
        <v>3</v>
      </c>
      <c r="E88" s="39">
        <v>0</v>
      </c>
      <c r="F88" s="194">
        <v>2</v>
      </c>
      <c r="G88" s="196">
        <f t="shared" si="4"/>
        <v>37</v>
      </c>
      <c r="H88" s="203">
        <v>0</v>
      </c>
      <c r="I88" s="204">
        <v>0</v>
      </c>
      <c r="J88" s="204">
        <v>0</v>
      </c>
      <c r="K88" s="204">
        <v>0</v>
      </c>
      <c r="L88" s="204">
        <v>0</v>
      </c>
      <c r="M88" s="205">
        <v>0</v>
      </c>
      <c r="N88" s="85">
        <f t="shared" si="5"/>
        <v>37</v>
      </c>
      <c r="O88" s="43">
        <f t="shared" si="6"/>
        <v>45.5</v>
      </c>
    </row>
    <row r="89" spans="1:15" ht="22.5" customHeight="1" x14ac:dyDescent="0.3">
      <c r="A89" s="190" t="s">
        <v>170</v>
      </c>
      <c r="B89" s="44">
        <v>31</v>
      </c>
      <c r="C89" s="39">
        <v>0</v>
      </c>
      <c r="D89" s="39">
        <v>2</v>
      </c>
      <c r="E89" s="39">
        <v>0</v>
      </c>
      <c r="F89" s="194">
        <v>8</v>
      </c>
      <c r="G89" s="196">
        <f t="shared" si="4"/>
        <v>41</v>
      </c>
      <c r="H89" s="203">
        <v>0</v>
      </c>
      <c r="I89" s="204">
        <v>0</v>
      </c>
      <c r="J89" s="204">
        <v>0</v>
      </c>
      <c r="K89" s="204">
        <v>0</v>
      </c>
      <c r="L89" s="204">
        <v>0</v>
      </c>
      <c r="M89" s="205">
        <v>0</v>
      </c>
      <c r="N89" s="85">
        <f t="shared" si="5"/>
        <v>41</v>
      </c>
      <c r="O89" s="43">
        <f t="shared" si="6"/>
        <v>70</v>
      </c>
    </row>
    <row r="90" spans="1:15" ht="22.5" customHeight="1" x14ac:dyDescent="0.3">
      <c r="A90" s="190" t="s">
        <v>171</v>
      </c>
      <c r="B90" s="44">
        <v>23</v>
      </c>
      <c r="C90" s="39">
        <v>4</v>
      </c>
      <c r="D90" s="39">
        <v>0</v>
      </c>
      <c r="E90" s="39">
        <v>0</v>
      </c>
      <c r="F90" s="194">
        <v>9</v>
      </c>
      <c r="G90" s="196">
        <f t="shared" si="4"/>
        <v>36</v>
      </c>
      <c r="H90" s="203">
        <v>0</v>
      </c>
      <c r="I90" s="204">
        <v>0</v>
      </c>
      <c r="J90" s="204">
        <v>0</v>
      </c>
      <c r="K90" s="204">
        <v>0</v>
      </c>
      <c r="L90" s="204">
        <v>0</v>
      </c>
      <c r="M90" s="205">
        <v>0</v>
      </c>
      <c r="N90" s="85">
        <f t="shared" si="5"/>
        <v>36</v>
      </c>
      <c r="O90" s="43">
        <f t="shared" si="6"/>
        <v>65.5</v>
      </c>
    </row>
    <row r="91" spans="1:15" ht="22.5" customHeight="1" x14ac:dyDescent="0.3">
      <c r="A91" s="190" t="s">
        <v>172</v>
      </c>
      <c r="B91" s="44">
        <v>17</v>
      </c>
      <c r="C91" s="39">
        <v>3</v>
      </c>
      <c r="D91" s="39">
        <v>3</v>
      </c>
      <c r="E91" s="39">
        <v>2</v>
      </c>
      <c r="F91" s="194">
        <v>6</v>
      </c>
      <c r="G91" s="196">
        <f t="shared" si="4"/>
        <v>31</v>
      </c>
      <c r="H91" s="203">
        <v>0</v>
      </c>
      <c r="I91" s="204">
        <v>0</v>
      </c>
      <c r="J91" s="204">
        <v>0</v>
      </c>
      <c r="K91" s="204">
        <v>0</v>
      </c>
      <c r="L91" s="204">
        <v>0</v>
      </c>
      <c r="M91" s="205">
        <v>0</v>
      </c>
      <c r="N91" s="85">
        <f t="shared" si="5"/>
        <v>31</v>
      </c>
      <c r="O91" s="43">
        <f t="shared" si="6"/>
        <v>56</v>
      </c>
    </row>
    <row r="92" spans="1:15" ht="22.5" customHeight="1" x14ac:dyDescent="0.3">
      <c r="A92" s="190" t="s">
        <v>173</v>
      </c>
      <c r="B92" s="44">
        <v>23</v>
      </c>
      <c r="C92" s="39">
        <v>1</v>
      </c>
      <c r="D92" s="39">
        <v>1</v>
      </c>
      <c r="E92" s="39">
        <v>2</v>
      </c>
      <c r="F92" s="194">
        <v>7</v>
      </c>
      <c r="G92" s="196">
        <f t="shared" si="4"/>
        <v>34</v>
      </c>
      <c r="H92" s="203">
        <v>0</v>
      </c>
      <c r="I92" s="204">
        <v>0</v>
      </c>
      <c r="J92" s="204">
        <v>0</v>
      </c>
      <c r="K92" s="204">
        <v>0</v>
      </c>
      <c r="L92" s="204">
        <v>0</v>
      </c>
      <c r="M92" s="205">
        <v>0</v>
      </c>
      <c r="N92" s="85">
        <f t="shared" si="5"/>
        <v>34</v>
      </c>
      <c r="O92" s="43">
        <f t="shared" si="6"/>
        <v>62.5</v>
      </c>
    </row>
    <row r="93" spans="1:15" ht="22.5" customHeight="1" x14ac:dyDescent="0.3">
      <c r="A93" s="190" t="s">
        <v>174</v>
      </c>
      <c r="B93" s="44">
        <v>24</v>
      </c>
      <c r="C93" s="39">
        <v>2</v>
      </c>
      <c r="D93" s="39">
        <v>8</v>
      </c>
      <c r="E93" s="39">
        <v>1</v>
      </c>
      <c r="F93" s="194">
        <v>15</v>
      </c>
      <c r="G93" s="196">
        <f t="shared" si="4"/>
        <v>50</v>
      </c>
      <c r="H93" s="203">
        <v>0</v>
      </c>
      <c r="I93" s="204">
        <v>0</v>
      </c>
      <c r="J93" s="204">
        <v>0</v>
      </c>
      <c r="K93" s="204">
        <v>0</v>
      </c>
      <c r="L93" s="204">
        <v>0</v>
      </c>
      <c r="M93" s="205">
        <v>0</v>
      </c>
      <c r="N93" s="85">
        <f t="shared" si="5"/>
        <v>50</v>
      </c>
      <c r="O93" s="43">
        <f t="shared" si="6"/>
        <v>107.5</v>
      </c>
    </row>
    <row r="94" spans="1:15" ht="22.5" customHeight="1" x14ac:dyDescent="0.3">
      <c r="A94" s="190" t="s">
        <v>175</v>
      </c>
      <c r="B94" s="44">
        <v>50</v>
      </c>
      <c r="C94" s="39">
        <v>13</v>
      </c>
      <c r="D94" s="39">
        <v>7</v>
      </c>
      <c r="E94" s="39">
        <v>1</v>
      </c>
      <c r="F94" s="194">
        <v>10</v>
      </c>
      <c r="G94" s="196">
        <f t="shared" si="4"/>
        <v>81</v>
      </c>
      <c r="H94" s="203">
        <v>0</v>
      </c>
      <c r="I94" s="204">
        <v>0</v>
      </c>
      <c r="J94" s="204">
        <v>0</v>
      </c>
      <c r="K94" s="204">
        <v>0</v>
      </c>
      <c r="L94" s="204">
        <v>0</v>
      </c>
      <c r="M94" s="205">
        <v>0</v>
      </c>
      <c r="N94" s="85">
        <f t="shared" si="5"/>
        <v>81</v>
      </c>
      <c r="O94" s="43">
        <f t="shared" si="6"/>
        <v>115</v>
      </c>
    </row>
    <row r="95" spans="1:15" ht="22.5" customHeight="1" x14ac:dyDescent="0.3">
      <c r="A95" s="190" t="s">
        <v>176</v>
      </c>
      <c r="B95" s="44">
        <v>71</v>
      </c>
      <c r="C95" s="39">
        <v>14</v>
      </c>
      <c r="D95" s="39">
        <v>3</v>
      </c>
      <c r="E95" s="39">
        <v>2</v>
      </c>
      <c r="F95" s="194">
        <v>12</v>
      </c>
      <c r="G95" s="196">
        <f t="shared" si="4"/>
        <v>102</v>
      </c>
      <c r="H95" s="203">
        <v>0</v>
      </c>
      <c r="I95" s="204">
        <v>0</v>
      </c>
      <c r="J95" s="204">
        <v>0</v>
      </c>
      <c r="K95" s="204">
        <v>0</v>
      </c>
      <c r="L95" s="204">
        <v>0</v>
      </c>
      <c r="M95" s="205">
        <v>0</v>
      </c>
      <c r="N95" s="85">
        <f t="shared" si="5"/>
        <v>102</v>
      </c>
      <c r="O95" s="43">
        <f t="shared" si="6"/>
        <v>142.5</v>
      </c>
    </row>
    <row r="96" spans="1:15" ht="22.5" customHeight="1" x14ac:dyDescent="0.3">
      <c r="A96" s="190" t="s">
        <v>135</v>
      </c>
      <c r="B96" s="44">
        <v>58</v>
      </c>
      <c r="C96" s="39">
        <v>38</v>
      </c>
      <c r="D96" s="39">
        <v>5</v>
      </c>
      <c r="E96" s="39">
        <v>2</v>
      </c>
      <c r="F96" s="194">
        <v>11</v>
      </c>
      <c r="G96" s="196">
        <f t="shared" si="4"/>
        <v>114</v>
      </c>
      <c r="H96" s="203">
        <v>0</v>
      </c>
      <c r="I96" s="204">
        <v>0</v>
      </c>
      <c r="J96" s="204">
        <v>0</v>
      </c>
      <c r="K96" s="204">
        <v>0</v>
      </c>
      <c r="L96" s="204">
        <v>0</v>
      </c>
      <c r="M96" s="205">
        <v>0</v>
      </c>
      <c r="N96" s="85">
        <f t="shared" si="5"/>
        <v>114</v>
      </c>
      <c r="O96" s="43">
        <f t="shared" si="6"/>
        <v>140</v>
      </c>
    </row>
    <row r="97" spans="1:15" ht="22.5" customHeight="1" x14ac:dyDescent="0.3">
      <c r="A97" s="190" t="s">
        <v>136</v>
      </c>
      <c r="B97" s="44">
        <v>63</v>
      </c>
      <c r="C97" s="39">
        <v>43</v>
      </c>
      <c r="D97" s="39">
        <v>3</v>
      </c>
      <c r="E97" s="39">
        <v>3</v>
      </c>
      <c r="F97" s="194">
        <v>15</v>
      </c>
      <c r="G97" s="196">
        <f t="shared" si="4"/>
        <v>127</v>
      </c>
      <c r="H97" s="203">
        <v>0</v>
      </c>
      <c r="I97" s="204">
        <v>0</v>
      </c>
      <c r="J97" s="204">
        <v>0</v>
      </c>
      <c r="K97" s="204">
        <v>0</v>
      </c>
      <c r="L97" s="204">
        <v>0</v>
      </c>
      <c r="M97" s="205">
        <v>0</v>
      </c>
      <c r="N97" s="85">
        <f t="shared" si="5"/>
        <v>127</v>
      </c>
      <c r="O97" s="43">
        <f t="shared" si="6"/>
        <v>165.5</v>
      </c>
    </row>
    <row r="98" spans="1:15" ht="22.5" customHeight="1" x14ac:dyDescent="0.3">
      <c r="A98" s="190" t="s">
        <v>137</v>
      </c>
      <c r="B98" s="44">
        <v>95</v>
      </c>
      <c r="C98" s="39">
        <v>45</v>
      </c>
      <c r="D98" s="39">
        <v>6</v>
      </c>
      <c r="E98" s="39">
        <v>4</v>
      </c>
      <c r="F98" s="194">
        <v>6</v>
      </c>
      <c r="G98" s="196">
        <f t="shared" si="4"/>
        <v>156</v>
      </c>
      <c r="H98" s="203">
        <v>0</v>
      </c>
      <c r="I98" s="204">
        <v>0</v>
      </c>
      <c r="J98" s="204">
        <v>0</v>
      </c>
      <c r="K98" s="204">
        <v>0</v>
      </c>
      <c r="L98" s="204">
        <v>0</v>
      </c>
      <c r="M98" s="205">
        <v>0</v>
      </c>
      <c r="N98" s="85">
        <f t="shared" si="5"/>
        <v>156</v>
      </c>
      <c r="O98" s="43">
        <f t="shared" si="6"/>
        <v>165.5</v>
      </c>
    </row>
    <row r="99" spans="1:15" ht="22.5" customHeight="1" x14ac:dyDescent="0.3">
      <c r="A99" s="190" t="s">
        <v>138</v>
      </c>
      <c r="B99" s="44">
        <v>91</v>
      </c>
      <c r="C99" s="39">
        <v>42</v>
      </c>
      <c r="D99" s="39">
        <v>2</v>
      </c>
      <c r="E99" s="39">
        <v>5</v>
      </c>
      <c r="F99" s="194">
        <v>6</v>
      </c>
      <c r="G99" s="196">
        <f t="shared" si="4"/>
        <v>146</v>
      </c>
      <c r="H99" s="203">
        <v>0</v>
      </c>
      <c r="I99" s="204">
        <v>0</v>
      </c>
      <c r="J99" s="204">
        <v>0</v>
      </c>
      <c r="K99" s="204">
        <v>0</v>
      </c>
      <c r="L99" s="204">
        <v>0</v>
      </c>
      <c r="M99" s="205">
        <v>0</v>
      </c>
      <c r="N99" s="85">
        <f t="shared" si="5"/>
        <v>146</v>
      </c>
      <c r="O99" s="43">
        <f t="shared" si="6"/>
        <v>157</v>
      </c>
    </row>
    <row r="100" spans="1:15" ht="22.5" customHeight="1" x14ac:dyDescent="0.3">
      <c r="A100" s="190" t="s">
        <v>139</v>
      </c>
      <c r="B100" s="44">
        <v>84</v>
      </c>
      <c r="C100" s="39">
        <v>36</v>
      </c>
      <c r="D100" s="39">
        <v>5</v>
      </c>
      <c r="E100" s="39">
        <v>5</v>
      </c>
      <c r="F100" s="194">
        <v>8</v>
      </c>
      <c r="G100" s="196">
        <f t="shared" si="4"/>
        <v>138</v>
      </c>
      <c r="H100" s="203">
        <v>0</v>
      </c>
      <c r="I100" s="204">
        <v>0</v>
      </c>
      <c r="J100" s="204">
        <v>0</v>
      </c>
      <c r="K100" s="204">
        <v>0</v>
      </c>
      <c r="L100" s="204">
        <v>1</v>
      </c>
      <c r="M100" s="205">
        <v>0</v>
      </c>
      <c r="N100" s="85">
        <f t="shared" si="5"/>
        <v>138</v>
      </c>
      <c r="O100" s="43">
        <f t="shared" si="6"/>
        <v>168.5</v>
      </c>
    </row>
    <row r="101" spans="1:15" ht="22.5" customHeight="1" x14ac:dyDescent="0.3">
      <c r="A101" s="190" t="s">
        <v>140</v>
      </c>
      <c r="B101" s="44">
        <v>110</v>
      </c>
      <c r="C101" s="39">
        <v>26</v>
      </c>
      <c r="D101" s="39">
        <v>5</v>
      </c>
      <c r="E101" s="39">
        <v>3</v>
      </c>
      <c r="F101" s="194">
        <v>17</v>
      </c>
      <c r="G101" s="196">
        <f t="shared" si="4"/>
        <v>161</v>
      </c>
      <c r="H101" s="203">
        <v>0</v>
      </c>
      <c r="I101" s="204">
        <v>0</v>
      </c>
      <c r="J101" s="204">
        <v>0</v>
      </c>
      <c r="K101" s="204">
        <v>0</v>
      </c>
      <c r="L101" s="204">
        <v>0</v>
      </c>
      <c r="M101" s="205">
        <v>0</v>
      </c>
      <c r="N101" s="85">
        <f t="shared" si="5"/>
        <v>161</v>
      </c>
      <c r="O101" s="43">
        <f t="shared" si="6"/>
        <v>216</v>
      </c>
    </row>
    <row r="102" spans="1:15" ht="22.5" customHeight="1" x14ac:dyDescent="0.3">
      <c r="A102" s="190" t="s">
        <v>141</v>
      </c>
      <c r="B102" s="44">
        <v>109</v>
      </c>
      <c r="C102" s="39">
        <v>27</v>
      </c>
      <c r="D102" s="39">
        <v>5</v>
      </c>
      <c r="E102" s="39">
        <v>1</v>
      </c>
      <c r="F102" s="194">
        <v>15</v>
      </c>
      <c r="G102" s="196">
        <f t="shared" si="4"/>
        <v>157</v>
      </c>
      <c r="H102" s="203">
        <v>0</v>
      </c>
      <c r="I102" s="204">
        <v>0</v>
      </c>
      <c r="J102" s="204">
        <v>0</v>
      </c>
      <c r="K102" s="204">
        <v>0</v>
      </c>
      <c r="L102" s="204">
        <v>0</v>
      </c>
      <c r="M102" s="205">
        <v>0</v>
      </c>
      <c r="N102" s="85">
        <f t="shared" si="5"/>
        <v>157</v>
      </c>
      <c r="O102" s="43">
        <f t="shared" si="6"/>
        <v>200.5</v>
      </c>
    </row>
    <row r="103" spans="1:15" ht="22.5" customHeight="1" thickBot="1" x14ac:dyDescent="0.35">
      <c r="A103" s="191" t="s">
        <v>142</v>
      </c>
      <c r="B103" s="46">
        <v>110</v>
      </c>
      <c r="C103" s="47">
        <v>28</v>
      </c>
      <c r="D103" s="47">
        <v>8</v>
      </c>
      <c r="E103" s="47">
        <v>2</v>
      </c>
      <c r="F103" s="195">
        <v>12</v>
      </c>
      <c r="G103" s="197">
        <f t="shared" si="4"/>
        <v>160</v>
      </c>
      <c r="H103" s="206">
        <v>0</v>
      </c>
      <c r="I103" s="207">
        <v>0</v>
      </c>
      <c r="J103" s="207">
        <v>0</v>
      </c>
      <c r="K103" s="207">
        <v>0</v>
      </c>
      <c r="L103" s="207">
        <v>0</v>
      </c>
      <c r="M103" s="208">
        <v>0</v>
      </c>
      <c r="N103" s="116">
        <f t="shared" si="5"/>
        <v>160</v>
      </c>
      <c r="O103" s="84">
        <f t="shared" si="6"/>
        <v>196</v>
      </c>
    </row>
    <row r="104" spans="1:15" ht="22.5" customHeight="1" thickBot="1" x14ac:dyDescent="0.35">
      <c r="A104" s="86" t="s">
        <v>11</v>
      </c>
      <c r="B104" s="117">
        <f t="shared" ref="B104:N104" si="7">SUM(B8:B103)</f>
        <v>8844</v>
      </c>
      <c r="C104" s="117">
        <f t="shared" si="7"/>
        <v>2108</v>
      </c>
      <c r="D104" s="117">
        <f t="shared" si="7"/>
        <v>628</v>
      </c>
      <c r="E104" s="118">
        <f t="shared" si="7"/>
        <v>239</v>
      </c>
      <c r="F104" s="118">
        <f t="shared" si="7"/>
        <v>629</v>
      </c>
      <c r="G104" s="94">
        <f t="shared" si="7"/>
        <v>12448</v>
      </c>
      <c r="H104" s="117">
        <f t="shared" si="7"/>
        <v>0</v>
      </c>
      <c r="I104" s="117">
        <f t="shared" si="7"/>
        <v>0</v>
      </c>
      <c r="J104" s="117">
        <f t="shared" si="7"/>
        <v>3</v>
      </c>
      <c r="K104" s="118">
        <f t="shared" si="7"/>
        <v>0</v>
      </c>
      <c r="L104" s="118">
        <f t="shared" si="7"/>
        <v>27</v>
      </c>
      <c r="M104" s="199">
        <f>SUM(M8:M103)</f>
        <v>1</v>
      </c>
      <c r="N104" s="95">
        <f t="shared" si="7"/>
        <v>12449</v>
      </c>
      <c r="O104" s="142">
        <f>SUM(O8:O103)</f>
        <v>14612.5</v>
      </c>
    </row>
    <row r="105" spans="1:15" ht="22.5" customHeight="1" thickBot="1" x14ac:dyDescent="0.35">
      <c r="A105" s="41" t="s">
        <v>143</v>
      </c>
      <c r="B105" s="88">
        <f>+B104*1</f>
        <v>8844</v>
      </c>
      <c r="C105" s="88">
        <f>+C104*0.5</f>
        <v>1054</v>
      </c>
      <c r="D105" s="88">
        <f>+D104*1.5</f>
        <v>942</v>
      </c>
      <c r="E105" s="88">
        <f>+E104*3</f>
        <v>717</v>
      </c>
      <c r="F105" s="89">
        <f>+F104*4.5</f>
        <v>2830.5</v>
      </c>
      <c r="G105" s="90">
        <f>SUM(B105:F105)</f>
        <v>14387.5</v>
      </c>
      <c r="H105" s="88">
        <f>+H104*0.5</f>
        <v>0</v>
      </c>
      <c r="I105" s="89">
        <f>+I104*1.5</f>
        <v>0</v>
      </c>
      <c r="J105" s="89">
        <f>+J104*3</f>
        <v>9</v>
      </c>
      <c r="K105" s="96">
        <f>+K104*4</f>
        <v>0</v>
      </c>
      <c r="L105" s="96">
        <f>+L104*8</f>
        <v>216</v>
      </c>
      <c r="M105" s="147">
        <f>SUM(H105:L105)</f>
        <v>225</v>
      </c>
      <c r="N105" s="91"/>
      <c r="O105" s="92">
        <f>G105+M105</f>
        <v>14612.5</v>
      </c>
    </row>
    <row r="106" spans="1:15" ht="22.5" customHeight="1" thickBot="1" x14ac:dyDescent="0.35">
      <c r="A106" s="42" t="s">
        <v>12</v>
      </c>
      <c r="B106" s="93">
        <f t="shared" ref="B106:N106" si="8">B104/$N$104</f>
        <v>0.71041850751064339</v>
      </c>
      <c r="C106" s="93">
        <f t="shared" si="8"/>
        <v>0.16933086994939353</v>
      </c>
      <c r="D106" s="93">
        <f t="shared" si="8"/>
        <v>5.0445818941280425E-2</v>
      </c>
      <c r="E106" s="93">
        <f t="shared" si="8"/>
        <v>1.9198329183066912E-2</v>
      </c>
      <c r="F106" s="93">
        <f t="shared" si="8"/>
        <v>5.052614667844807E-2</v>
      </c>
      <c r="G106" s="98">
        <f t="shared" si="8"/>
        <v>0.9999196722628324</v>
      </c>
      <c r="H106" s="93">
        <f t="shared" si="8"/>
        <v>0</v>
      </c>
      <c r="I106" s="93">
        <f t="shared" si="8"/>
        <v>0</v>
      </c>
      <c r="J106" s="93">
        <f t="shared" si="8"/>
        <v>2.4098321150293196E-4</v>
      </c>
      <c r="K106" s="97">
        <f t="shared" si="8"/>
        <v>0</v>
      </c>
      <c r="L106" s="97">
        <f t="shared" si="8"/>
        <v>2.1688489035263875E-3</v>
      </c>
      <c r="M106" s="98">
        <f t="shared" si="8"/>
        <v>8.032773716764399E-5</v>
      </c>
      <c r="N106" s="99">
        <f t="shared" si="8"/>
        <v>1</v>
      </c>
      <c r="O106" s="94"/>
    </row>
    <row r="108" spans="1:15" s="4" customFormat="1" x14ac:dyDescent="0.3">
      <c r="A108" s="4" t="s">
        <v>103</v>
      </c>
      <c r="B108" s="4" t="str">
        <f>B2</f>
        <v>TMC-14 Number (D2)</v>
      </c>
    </row>
    <row r="109" spans="1:15" s="4" customFormat="1" x14ac:dyDescent="0.3">
      <c r="A109" s="4" t="s">
        <v>102</v>
      </c>
      <c r="B109" s="4" t="str">
        <f>B3</f>
        <v>D2</v>
      </c>
    </row>
    <row r="110" spans="1:15" s="4" customFormat="1" x14ac:dyDescent="0.3">
      <c r="A110" s="4" t="s">
        <v>104</v>
      </c>
      <c r="B110" s="4" t="str">
        <f>B4</f>
        <v>Mansarover</v>
      </c>
      <c r="D110" s="4" t="str">
        <f>D4</f>
        <v>To:</v>
      </c>
    </row>
    <row r="111" spans="1:15" ht="16.2" thickBot="1" x14ac:dyDescent="0.35"/>
    <row r="112" spans="1:15" ht="25.2" customHeight="1" x14ac:dyDescent="0.3">
      <c r="A112" s="252" t="s">
        <v>95</v>
      </c>
      <c r="B112" s="258" t="s">
        <v>280</v>
      </c>
      <c r="C112" s="254" t="s">
        <v>281</v>
      </c>
      <c r="D112" s="250" t="s">
        <v>282</v>
      </c>
      <c r="E112" s="260" t="s">
        <v>283</v>
      </c>
      <c r="F112" s="256" t="s">
        <v>284</v>
      </c>
      <c r="G112" s="250" t="s">
        <v>129</v>
      </c>
      <c r="H112" s="248" t="s">
        <v>150</v>
      </c>
      <c r="I112" s="250" t="s">
        <v>151</v>
      </c>
      <c r="J112" s="250" t="s">
        <v>285</v>
      </c>
      <c r="K112" s="248" t="s">
        <v>286</v>
      </c>
      <c r="L112" s="250" t="s">
        <v>287</v>
      </c>
      <c r="M112" s="250" t="s">
        <v>78</v>
      </c>
      <c r="N112" s="250" t="s">
        <v>131</v>
      </c>
      <c r="O112" s="250" t="s">
        <v>132</v>
      </c>
    </row>
    <row r="113" spans="1:15" ht="43.5" customHeight="1" thickBot="1" x14ac:dyDescent="0.35">
      <c r="A113" s="253"/>
      <c r="B113" s="259"/>
      <c r="C113" s="255"/>
      <c r="D113" s="251"/>
      <c r="E113" s="261"/>
      <c r="F113" s="257"/>
      <c r="G113" s="259"/>
      <c r="H113" s="249"/>
      <c r="I113" s="251"/>
      <c r="J113" s="251"/>
      <c r="K113" s="249"/>
      <c r="L113" s="251"/>
      <c r="M113" s="251"/>
      <c r="N113" s="251"/>
      <c r="O113" s="251"/>
    </row>
    <row r="114" spans="1:15" ht="22.95" customHeight="1" x14ac:dyDescent="0.3">
      <c r="A114" s="52" t="s">
        <v>15</v>
      </c>
      <c r="B114" s="112">
        <f>B8+B9+B10+B11</f>
        <v>413</v>
      </c>
      <c r="C114" s="113">
        <f t="shared" ref="C114:F115" si="9">C8+C9+C10+C11</f>
        <v>88</v>
      </c>
      <c r="D114" s="113">
        <f t="shared" si="9"/>
        <v>19</v>
      </c>
      <c r="E114" s="113">
        <f t="shared" si="9"/>
        <v>10</v>
      </c>
      <c r="F114" s="113">
        <f t="shared" si="9"/>
        <v>17</v>
      </c>
      <c r="G114" s="49">
        <f t="shared" ref="G114:G145" si="10">SUM(B114:F114)</f>
        <v>547</v>
      </c>
      <c r="H114" s="112">
        <f t="shared" ref="H114" si="11">H8+H9+H10+H11</f>
        <v>0</v>
      </c>
      <c r="I114" s="113">
        <f t="shared" ref="I114:L114" si="12">I8+I9+I10+I11</f>
        <v>0</v>
      </c>
      <c r="J114" s="113">
        <f t="shared" si="12"/>
        <v>0</v>
      </c>
      <c r="K114" s="114">
        <f t="shared" si="12"/>
        <v>0</v>
      </c>
      <c r="L114" s="143">
        <f t="shared" si="12"/>
        <v>6</v>
      </c>
      <c r="M114" s="49">
        <f>SUM(H114:K114)</f>
        <v>0</v>
      </c>
      <c r="N114" s="40">
        <f>G114+M114</f>
        <v>547</v>
      </c>
      <c r="O114" s="115">
        <f>B114*1+C114*0.5+D114*1.5+E114*3+F114*4.5+H114*0.5+I114*1.5+J114*3+K114*4+L114*8</f>
        <v>640</v>
      </c>
    </row>
    <row r="115" spans="1:15" ht="22.95" customHeight="1" x14ac:dyDescent="0.3">
      <c r="A115" s="52" t="s">
        <v>16</v>
      </c>
      <c r="B115" s="44">
        <f>B9+B10+B11+B12</f>
        <v>433</v>
      </c>
      <c r="C115" s="39">
        <f t="shared" si="9"/>
        <v>66</v>
      </c>
      <c r="D115" s="39">
        <f t="shared" si="9"/>
        <v>22</v>
      </c>
      <c r="E115" s="39">
        <f t="shared" si="9"/>
        <v>8</v>
      </c>
      <c r="F115" s="39">
        <f t="shared" si="9"/>
        <v>21</v>
      </c>
      <c r="G115" s="50">
        <f t="shared" si="10"/>
        <v>550</v>
      </c>
      <c r="H115" s="44">
        <f t="shared" ref="H115:L115" si="13">H9+H10+H11+H12</f>
        <v>0</v>
      </c>
      <c r="I115" s="39">
        <f t="shared" si="13"/>
        <v>0</v>
      </c>
      <c r="J115" s="39">
        <f t="shared" si="13"/>
        <v>0</v>
      </c>
      <c r="K115" s="45">
        <f t="shared" si="13"/>
        <v>0</v>
      </c>
      <c r="L115" s="144">
        <f t="shared" si="13"/>
        <v>10</v>
      </c>
      <c r="M115" s="50">
        <f t="shared" ref="M115:M178" si="14">SUM(H115:K115)</f>
        <v>0</v>
      </c>
      <c r="N115" s="40">
        <f t="shared" ref="N115:N178" si="15">G115+M115</f>
        <v>550</v>
      </c>
      <c r="O115" s="43">
        <f t="shared" ref="O115:O178" si="16">B115*1+C115*0.5+D115*1.5+E115*3+F115*4.5+H115*0.5+I115*1.5+J115*3+K115*4+L115*8</f>
        <v>697.5</v>
      </c>
    </row>
    <row r="116" spans="1:15" ht="22.95" customHeight="1" x14ac:dyDescent="0.3">
      <c r="A116" s="52" t="s">
        <v>17</v>
      </c>
      <c r="B116" s="44">
        <f t="shared" ref="B116:F131" si="17">B10+B11+B12+B13</f>
        <v>483</v>
      </c>
      <c r="C116" s="39">
        <f t="shared" si="17"/>
        <v>56</v>
      </c>
      <c r="D116" s="39">
        <f t="shared" si="17"/>
        <v>19</v>
      </c>
      <c r="E116" s="39">
        <f t="shared" si="17"/>
        <v>4</v>
      </c>
      <c r="F116" s="39">
        <f t="shared" si="17"/>
        <v>20</v>
      </c>
      <c r="G116" s="50">
        <f t="shared" si="10"/>
        <v>582</v>
      </c>
      <c r="H116" s="44">
        <f t="shared" ref="H116:L116" si="18">H10+H11+H12+H13</f>
        <v>0</v>
      </c>
      <c r="I116" s="39">
        <f t="shared" si="18"/>
        <v>0</v>
      </c>
      <c r="J116" s="39">
        <f t="shared" si="18"/>
        <v>0</v>
      </c>
      <c r="K116" s="45">
        <f t="shared" si="18"/>
        <v>0</v>
      </c>
      <c r="L116" s="144">
        <f t="shared" si="18"/>
        <v>8</v>
      </c>
      <c r="M116" s="50">
        <f t="shared" si="14"/>
        <v>0</v>
      </c>
      <c r="N116" s="40">
        <f t="shared" si="15"/>
        <v>582</v>
      </c>
      <c r="O116" s="43">
        <f t="shared" si="16"/>
        <v>705.5</v>
      </c>
    </row>
    <row r="117" spans="1:15" ht="22.95" customHeight="1" x14ac:dyDescent="0.3">
      <c r="A117" s="52" t="s">
        <v>18</v>
      </c>
      <c r="B117" s="44">
        <f t="shared" si="17"/>
        <v>518</v>
      </c>
      <c r="C117" s="39">
        <f t="shared" si="17"/>
        <v>47</v>
      </c>
      <c r="D117" s="39">
        <f t="shared" si="17"/>
        <v>20</v>
      </c>
      <c r="E117" s="39">
        <f t="shared" si="17"/>
        <v>4</v>
      </c>
      <c r="F117" s="39">
        <f t="shared" si="17"/>
        <v>26</v>
      </c>
      <c r="G117" s="50">
        <f t="shared" si="10"/>
        <v>615</v>
      </c>
      <c r="H117" s="44">
        <f t="shared" ref="H117:L117" si="19">H11+H12+H13+H14</f>
        <v>0</v>
      </c>
      <c r="I117" s="39">
        <f t="shared" si="19"/>
        <v>0</v>
      </c>
      <c r="J117" s="39">
        <f t="shared" si="19"/>
        <v>0</v>
      </c>
      <c r="K117" s="45">
        <f t="shared" si="19"/>
        <v>0</v>
      </c>
      <c r="L117" s="144">
        <f t="shared" si="19"/>
        <v>7</v>
      </c>
      <c r="M117" s="50">
        <f t="shared" si="14"/>
        <v>0</v>
      </c>
      <c r="N117" s="40">
        <f t="shared" si="15"/>
        <v>615</v>
      </c>
      <c r="O117" s="43">
        <f t="shared" si="16"/>
        <v>756.5</v>
      </c>
    </row>
    <row r="118" spans="1:15" ht="22.95" customHeight="1" x14ac:dyDescent="0.3">
      <c r="A118" s="52" t="s">
        <v>19</v>
      </c>
      <c r="B118" s="44">
        <f t="shared" si="17"/>
        <v>536</v>
      </c>
      <c r="C118" s="39">
        <f t="shared" si="17"/>
        <v>45</v>
      </c>
      <c r="D118" s="39">
        <f t="shared" si="17"/>
        <v>18</v>
      </c>
      <c r="E118" s="39">
        <f t="shared" si="17"/>
        <v>5</v>
      </c>
      <c r="F118" s="39">
        <f t="shared" si="17"/>
        <v>31</v>
      </c>
      <c r="G118" s="50">
        <f t="shared" si="10"/>
        <v>635</v>
      </c>
      <c r="H118" s="44">
        <f t="shared" ref="H118:L118" si="20">H12+H13+H14+H15</f>
        <v>0</v>
      </c>
      <c r="I118" s="39">
        <f t="shared" si="20"/>
        <v>0</v>
      </c>
      <c r="J118" s="39">
        <f t="shared" si="20"/>
        <v>0</v>
      </c>
      <c r="K118" s="45">
        <f t="shared" si="20"/>
        <v>0</v>
      </c>
      <c r="L118" s="144">
        <f t="shared" si="20"/>
        <v>8</v>
      </c>
      <c r="M118" s="50">
        <f t="shared" si="14"/>
        <v>0</v>
      </c>
      <c r="N118" s="40">
        <f t="shared" si="15"/>
        <v>635</v>
      </c>
      <c r="O118" s="43">
        <f t="shared" si="16"/>
        <v>804</v>
      </c>
    </row>
    <row r="119" spans="1:15" ht="22.95" customHeight="1" x14ac:dyDescent="0.3">
      <c r="A119" s="52" t="s">
        <v>20</v>
      </c>
      <c r="B119" s="44">
        <f t="shared" si="17"/>
        <v>562</v>
      </c>
      <c r="C119" s="39">
        <f t="shared" si="17"/>
        <v>61</v>
      </c>
      <c r="D119" s="39">
        <f t="shared" si="17"/>
        <v>18</v>
      </c>
      <c r="E119" s="39">
        <f t="shared" si="17"/>
        <v>7</v>
      </c>
      <c r="F119" s="39">
        <f t="shared" si="17"/>
        <v>30</v>
      </c>
      <c r="G119" s="50">
        <f t="shared" si="10"/>
        <v>678</v>
      </c>
      <c r="H119" s="44">
        <f t="shared" ref="H119:L119" si="21">H13+H14+H15+H16</f>
        <v>0</v>
      </c>
      <c r="I119" s="39">
        <f t="shared" si="21"/>
        <v>0</v>
      </c>
      <c r="J119" s="39">
        <f t="shared" si="21"/>
        <v>0</v>
      </c>
      <c r="K119" s="45">
        <f t="shared" si="21"/>
        <v>0</v>
      </c>
      <c r="L119" s="144">
        <f t="shared" si="21"/>
        <v>5</v>
      </c>
      <c r="M119" s="50">
        <f t="shared" si="14"/>
        <v>0</v>
      </c>
      <c r="N119" s="40">
        <f t="shared" si="15"/>
        <v>678</v>
      </c>
      <c r="O119" s="43">
        <f t="shared" si="16"/>
        <v>815.5</v>
      </c>
    </row>
    <row r="120" spans="1:15" ht="22.95" customHeight="1" x14ac:dyDescent="0.3">
      <c r="A120" s="52" t="s">
        <v>21</v>
      </c>
      <c r="B120" s="44">
        <f t="shared" si="17"/>
        <v>585</v>
      </c>
      <c r="C120" s="39">
        <f t="shared" si="17"/>
        <v>80</v>
      </c>
      <c r="D120" s="39">
        <f t="shared" si="17"/>
        <v>18</v>
      </c>
      <c r="E120" s="39">
        <f t="shared" si="17"/>
        <v>13</v>
      </c>
      <c r="F120" s="39">
        <f t="shared" si="17"/>
        <v>27</v>
      </c>
      <c r="G120" s="50">
        <f t="shared" si="10"/>
        <v>723</v>
      </c>
      <c r="H120" s="44">
        <f t="shared" ref="H120:L120" si="22">H14+H15+H16+H17</f>
        <v>0</v>
      </c>
      <c r="I120" s="39">
        <f t="shared" si="22"/>
        <v>0</v>
      </c>
      <c r="J120" s="39">
        <f t="shared" si="22"/>
        <v>0</v>
      </c>
      <c r="K120" s="45">
        <f t="shared" si="22"/>
        <v>0</v>
      </c>
      <c r="L120" s="144">
        <f t="shared" si="22"/>
        <v>5</v>
      </c>
      <c r="M120" s="50">
        <f t="shared" si="14"/>
        <v>0</v>
      </c>
      <c r="N120" s="40">
        <f t="shared" si="15"/>
        <v>723</v>
      </c>
      <c r="O120" s="43">
        <f t="shared" si="16"/>
        <v>852.5</v>
      </c>
    </row>
    <row r="121" spans="1:15" ht="22.95" customHeight="1" x14ac:dyDescent="0.3">
      <c r="A121" s="52" t="s">
        <v>22</v>
      </c>
      <c r="B121" s="44">
        <f t="shared" si="17"/>
        <v>586</v>
      </c>
      <c r="C121" s="39">
        <f t="shared" si="17"/>
        <v>80</v>
      </c>
      <c r="D121" s="39">
        <f t="shared" si="17"/>
        <v>14</v>
      </c>
      <c r="E121" s="39">
        <f t="shared" si="17"/>
        <v>16</v>
      </c>
      <c r="F121" s="39">
        <f t="shared" si="17"/>
        <v>19</v>
      </c>
      <c r="G121" s="50">
        <f t="shared" si="10"/>
        <v>715</v>
      </c>
      <c r="H121" s="44">
        <f t="shared" ref="H121:L121" si="23">H15+H16+H17+H18</f>
        <v>0</v>
      </c>
      <c r="I121" s="39">
        <f t="shared" si="23"/>
        <v>0</v>
      </c>
      <c r="J121" s="39">
        <f t="shared" si="23"/>
        <v>0</v>
      </c>
      <c r="K121" s="45">
        <f t="shared" si="23"/>
        <v>0</v>
      </c>
      <c r="L121" s="144">
        <f t="shared" si="23"/>
        <v>4</v>
      </c>
      <c r="M121" s="50">
        <f t="shared" si="14"/>
        <v>0</v>
      </c>
      <c r="N121" s="40">
        <f t="shared" si="15"/>
        <v>715</v>
      </c>
      <c r="O121" s="43">
        <f t="shared" si="16"/>
        <v>812.5</v>
      </c>
    </row>
    <row r="122" spans="1:15" ht="22.95" customHeight="1" x14ac:dyDescent="0.3">
      <c r="A122" s="52" t="s">
        <v>23</v>
      </c>
      <c r="B122" s="44">
        <f t="shared" si="17"/>
        <v>627</v>
      </c>
      <c r="C122" s="39">
        <f t="shared" si="17"/>
        <v>86</v>
      </c>
      <c r="D122" s="39">
        <f t="shared" si="17"/>
        <v>21</v>
      </c>
      <c r="E122" s="39">
        <f t="shared" si="17"/>
        <v>16</v>
      </c>
      <c r="F122" s="39">
        <f t="shared" si="17"/>
        <v>21</v>
      </c>
      <c r="G122" s="50">
        <f t="shared" si="10"/>
        <v>771</v>
      </c>
      <c r="H122" s="44">
        <f t="shared" ref="H122:L122" si="24">H16+H17+H18+H19</f>
        <v>0</v>
      </c>
      <c r="I122" s="39">
        <f t="shared" si="24"/>
        <v>0</v>
      </c>
      <c r="J122" s="39">
        <f t="shared" si="24"/>
        <v>0</v>
      </c>
      <c r="K122" s="45">
        <f t="shared" si="24"/>
        <v>0</v>
      </c>
      <c r="L122" s="144">
        <f t="shared" si="24"/>
        <v>2</v>
      </c>
      <c r="M122" s="50">
        <f t="shared" si="14"/>
        <v>0</v>
      </c>
      <c r="N122" s="40">
        <f t="shared" si="15"/>
        <v>771</v>
      </c>
      <c r="O122" s="43">
        <f t="shared" si="16"/>
        <v>860</v>
      </c>
    </row>
    <row r="123" spans="1:15" ht="22.95" customHeight="1" x14ac:dyDescent="0.3">
      <c r="A123" s="52" t="s">
        <v>24</v>
      </c>
      <c r="B123" s="44">
        <f t="shared" si="17"/>
        <v>630</v>
      </c>
      <c r="C123" s="39">
        <f t="shared" si="17"/>
        <v>97</v>
      </c>
      <c r="D123" s="39">
        <f t="shared" si="17"/>
        <v>25</v>
      </c>
      <c r="E123" s="39">
        <f t="shared" si="17"/>
        <v>17</v>
      </c>
      <c r="F123" s="39">
        <f t="shared" si="17"/>
        <v>24</v>
      </c>
      <c r="G123" s="50">
        <f t="shared" si="10"/>
        <v>793</v>
      </c>
      <c r="H123" s="44">
        <f t="shared" ref="H123:L123" si="25">H17+H18+H19+H20</f>
        <v>0</v>
      </c>
      <c r="I123" s="39">
        <f t="shared" si="25"/>
        <v>0</v>
      </c>
      <c r="J123" s="39">
        <f t="shared" si="25"/>
        <v>0</v>
      </c>
      <c r="K123" s="45">
        <f t="shared" si="25"/>
        <v>0</v>
      </c>
      <c r="L123" s="144">
        <f t="shared" si="25"/>
        <v>2</v>
      </c>
      <c r="M123" s="50">
        <f t="shared" si="14"/>
        <v>0</v>
      </c>
      <c r="N123" s="40">
        <f t="shared" si="15"/>
        <v>793</v>
      </c>
      <c r="O123" s="43">
        <f t="shared" si="16"/>
        <v>891</v>
      </c>
    </row>
    <row r="124" spans="1:15" ht="22.95" customHeight="1" x14ac:dyDescent="0.3">
      <c r="A124" s="52" t="s">
        <v>25</v>
      </c>
      <c r="B124" s="44">
        <f t="shared" si="17"/>
        <v>655</v>
      </c>
      <c r="C124" s="39">
        <f t="shared" si="17"/>
        <v>125</v>
      </c>
      <c r="D124" s="39">
        <f t="shared" si="17"/>
        <v>27</v>
      </c>
      <c r="E124" s="39">
        <f t="shared" si="17"/>
        <v>13</v>
      </c>
      <c r="F124" s="39">
        <f t="shared" si="17"/>
        <v>36</v>
      </c>
      <c r="G124" s="50">
        <f t="shared" si="10"/>
        <v>856</v>
      </c>
      <c r="H124" s="44">
        <f t="shared" ref="H124:L124" si="26">H18+H19+H20+H21</f>
        <v>0</v>
      </c>
      <c r="I124" s="39">
        <f t="shared" si="26"/>
        <v>0</v>
      </c>
      <c r="J124" s="39">
        <f t="shared" si="26"/>
        <v>0</v>
      </c>
      <c r="K124" s="45">
        <f t="shared" si="26"/>
        <v>0</v>
      </c>
      <c r="L124" s="144">
        <f t="shared" si="26"/>
        <v>2</v>
      </c>
      <c r="M124" s="50">
        <f t="shared" si="14"/>
        <v>0</v>
      </c>
      <c r="N124" s="40">
        <f t="shared" si="15"/>
        <v>856</v>
      </c>
      <c r="O124" s="43">
        <f t="shared" si="16"/>
        <v>975</v>
      </c>
    </row>
    <row r="125" spans="1:15" ht="22.95" customHeight="1" x14ac:dyDescent="0.3">
      <c r="A125" s="52" t="s">
        <v>26</v>
      </c>
      <c r="B125" s="44">
        <f t="shared" si="17"/>
        <v>680</v>
      </c>
      <c r="C125" s="39">
        <f t="shared" si="17"/>
        <v>128</v>
      </c>
      <c r="D125" s="39">
        <f t="shared" si="17"/>
        <v>31</v>
      </c>
      <c r="E125" s="39">
        <f t="shared" si="17"/>
        <v>9</v>
      </c>
      <c r="F125" s="39">
        <f t="shared" si="17"/>
        <v>42</v>
      </c>
      <c r="G125" s="50">
        <f t="shared" si="10"/>
        <v>890</v>
      </c>
      <c r="H125" s="44">
        <f t="shared" ref="H125:L125" si="27">H19+H20+H21+H22</f>
        <v>0</v>
      </c>
      <c r="I125" s="39">
        <f t="shared" si="27"/>
        <v>0</v>
      </c>
      <c r="J125" s="39">
        <f t="shared" si="27"/>
        <v>0</v>
      </c>
      <c r="K125" s="45">
        <f t="shared" si="27"/>
        <v>0</v>
      </c>
      <c r="L125" s="144">
        <f t="shared" si="27"/>
        <v>2</v>
      </c>
      <c r="M125" s="50">
        <f t="shared" si="14"/>
        <v>0</v>
      </c>
      <c r="N125" s="40">
        <f t="shared" si="15"/>
        <v>890</v>
      </c>
      <c r="O125" s="43">
        <f t="shared" si="16"/>
        <v>1022.5</v>
      </c>
    </row>
    <row r="126" spans="1:15" ht="22.95" customHeight="1" x14ac:dyDescent="0.3">
      <c r="A126" s="52" t="s">
        <v>27</v>
      </c>
      <c r="B126" s="44">
        <f t="shared" si="17"/>
        <v>622</v>
      </c>
      <c r="C126" s="39">
        <f t="shared" si="17"/>
        <v>140</v>
      </c>
      <c r="D126" s="39">
        <f t="shared" si="17"/>
        <v>29</v>
      </c>
      <c r="E126" s="39">
        <f t="shared" si="17"/>
        <v>10</v>
      </c>
      <c r="F126" s="39">
        <f t="shared" si="17"/>
        <v>44</v>
      </c>
      <c r="G126" s="50">
        <f t="shared" si="10"/>
        <v>845</v>
      </c>
      <c r="H126" s="44">
        <f t="shared" ref="H126:L126" si="28">H20+H21+H22+H23</f>
        <v>0</v>
      </c>
      <c r="I126" s="39">
        <f t="shared" si="28"/>
        <v>0</v>
      </c>
      <c r="J126" s="39">
        <f t="shared" si="28"/>
        <v>0</v>
      </c>
      <c r="K126" s="45">
        <f t="shared" si="28"/>
        <v>0</v>
      </c>
      <c r="L126" s="144">
        <f t="shared" si="28"/>
        <v>2</v>
      </c>
      <c r="M126" s="50">
        <f t="shared" si="14"/>
        <v>0</v>
      </c>
      <c r="N126" s="40">
        <f t="shared" si="15"/>
        <v>845</v>
      </c>
      <c r="O126" s="43">
        <f t="shared" si="16"/>
        <v>979.5</v>
      </c>
    </row>
    <row r="127" spans="1:15" ht="22.95" customHeight="1" x14ac:dyDescent="0.3">
      <c r="A127" s="52" t="s">
        <v>28</v>
      </c>
      <c r="B127" s="44">
        <f t="shared" si="17"/>
        <v>599</v>
      </c>
      <c r="C127" s="39">
        <f t="shared" si="17"/>
        <v>115</v>
      </c>
      <c r="D127" s="39">
        <f t="shared" si="17"/>
        <v>31</v>
      </c>
      <c r="E127" s="39">
        <f t="shared" si="17"/>
        <v>8</v>
      </c>
      <c r="F127" s="39">
        <f t="shared" si="17"/>
        <v>44</v>
      </c>
      <c r="G127" s="50">
        <f t="shared" si="10"/>
        <v>797</v>
      </c>
      <c r="H127" s="44">
        <f t="shared" ref="H127:L127" si="29">H21+H22+H23+H24</f>
        <v>0</v>
      </c>
      <c r="I127" s="39">
        <f t="shared" si="29"/>
        <v>0</v>
      </c>
      <c r="J127" s="39">
        <f t="shared" si="29"/>
        <v>0</v>
      </c>
      <c r="K127" s="45">
        <f t="shared" si="29"/>
        <v>0</v>
      </c>
      <c r="L127" s="144">
        <f t="shared" si="29"/>
        <v>1</v>
      </c>
      <c r="M127" s="50">
        <f t="shared" si="14"/>
        <v>0</v>
      </c>
      <c r="N127" s="40">
        <f t="shared" si="15"/>
        <v>797</v>
      </c>
      <c r="O127" s="43">
        <f t="shared" si="16"/>
        <v>933</v>
      </c>
    </row>
    <row r="128" spans="1:15" ht="22.95" customHeight="1" x14ac:dyDescent="0.3">
      <c r="A128" s="52" t="s">
        <v>29</v>
      </c>
      <c r="B128" s="44">
        <f t="shared" si="17"/>
        <v>545</v>
      </c>
      <c r="C128" s="39">
        <f t="shared" si="17"/>
        <v>87</v>
      </c>
      <c r="D128" s="39">
        <f t="shared" si="17"/>
        <v>30</v>
      </c>
      <c r="E128" s="39">
        <f t="shared" si="17"/>
        <v>8</v>
      </c>
      <c r="F128" s="39">
        <f t="shared" si="17"/>
        <v>30</v>
      </c>
      <c r="G128" s="50">
        <f t="shared" si="10"/>
        <v>700</v>
      </c>
      <c r="H128" s="44">
        <f t="shared" ref="H128:L128" si="30">H22+H23+H24+H25</f>
        <v>0</v>
      </c>
      <c r="I128" s="39">
        <f t="shared" si="30"/>
        <v>0</v>
      </c>
      <c r="J128" s="39">
        <f t="shared" si="30"/>
        <v>0</v>
      </c>
      <c r="K128" s="45">
        <f t="shared" si="30"/>
        <v>0</v>
      </c>
      <c r="L128" s="144">
        <f t="shared" si="30"/>
        <v>1</v>
      </c>
      <c r="M128" s="50">
        <f t="shared" si="14"/>
        <v>0</v>
      </c>
      <c r="N128" s="40">
        <f t="shared" si="15"/>
        <v>700</v>
      </c>
      <c r="O128" s="43">
        <f t="shared" si="16"/>
        <v>800.5</v>
      </c>
    </row>
    <row r="129" spans="1:15" ht="22.95" customHeight="1" x14ac:dyDescent="0.3">
      <c r="A129" s="52" t="s">
        <v>30</v>
      </c>
      <c r="B129" s="44">
        <f t="shared" si="17"/>
        <v>489</v>
      </c>
      <c r="C129" s="39">
        <f t="shared" si="17"/>
        <v>81</v>
      </c>
      <c r="D129" s="39">
        <f t="shared" si="17"/>
        <v>32</v>
      </c>
      <c r="E129" s="39">
        <f t="shared" si="17"/>
        <v>9</v>
      </c>
      <c r="F129" s="39">
        <f t="shared" si="17"/>
        <v>30</v>
      </c>
      <c r="G129" s="50">
        <f t="shared" si="10"/>
        <v>641</v>
      </c>
      <c r="H129" s="44">
        <f t="shared" ref="H129:L129" si="31">H23+H24+H25+H26</f>
        <v>0</v>
      </c>
      <c r="I129" s="39">
        <f t="shared" si="31"/>
        <v>0</v>
      </c>
      <c r="J129" s="39">
        <f t="shared" si="31"/>
        <v>0</v>
      </c>
      <c r="K129" s="45">
        <f t="shared" si="31"/>
        <v>0</v>
      </c>
      <c r="L129" s="144">
        <f t="shared" si="31"/>
        <v>1</v>
      </c>
      <c r="M129" s="50">
        <f t="shared" si="14"/>
        <v>0</v>
      </c>
      <c r="N129" s="40">
        <f t="shared" si="15"/>
        <v>641</v>
      </c>
      <c r="O129" s="43">
        <f t="shared" si="16"/>
        <v>747.5</v>
      </c>
    </row>
    <row r="130" spans="1:15" ht="22.95" customHeight="1" x14ac:dyDescent="0.3">
      <c r="A130" s="52" t="s">
        <v>31</v>
      </c>
      <c r="B130" s="44">
        <f t="shared" si="17"/>
        <v>462</v>
      </c>
      <c r="C130" s="39">
        <f t="shared" si="17"/>
        <v>73</v>
      </c>
      <c r="D130" s="39">
        <f t="shared" si="17"/>
        <v>33</v>
      </c>
      <c r="E130" s="39">
        <f t="shared" si="17"/>
        <v>10</v>
      </c>
      <c r="F130" s="39">
        <f t="shared" si="17"/>
        <v>22</v>
      </c>
      <c r="G130" s="50">
        <f t="shared" si="10"/>
        <v>600</v>
      </c>
      <c r="H130" s="44">
        <f t="shared" ref="H130:L130" si="32">H24+H25+H26+H27</f>
        <v>0</v>
      </c>
      <c r="I130" s="39">
        <f t="shared" si="32"/>
        <v>0</v>
      </c>
      <c r="J130" s="39">
        <f t="shared" si="32"/>
        <v>0</v>
      </c>
      <c r="K130" s="45">
        <f t="shared" si="32"/>
        <v>0</v>
      </c>
      <c r="L130" s="144">
        <f t="shared" si="32"/>
        <v>0</v>
      </c>
      <c r="M130" s="50">
        <f t="shared" si="14"/>
        <v>0</v>
      </c>
      <c r="N130" s="40">
        <f t="shared" si="15"/>
        <v>600</v>
      </c>
      <c r="O130" s="43">
        <f t="shared" si="16"/>
        <v>677</v>
      </c>
    </row>
    <row r="131" spans="1:15" ht="22.95" customHeight="1" x14ac:dyDescent="0.3">
      <c r="A131" s="52" t="s">
        <v>32</v>
      </c>
      <c r="B131" s="44">
        <f t="shared" si="17"/>
        <v>458</v>
      </c>
      <c r="C131" s="39">
        <f t="shared" si="17"/>
        <v>76</v>
      </c>
      <c r="D131" s="39">
        <f t="shared" si="17"/>
        <v>29</v>
      </c>
      <c r="E131" s="39">
        <f t="shared" si="17"/>
        <v>7</v>
      </c>
      <c r="F131" s="39">
        <f t="shared" si="17"/>
        <v>26</v>
      </c>
      <c r="G131" s="50">
        <f t="shared" si="10"/>
        <v>596</v>
      </c>
      <c r="H131" s="44">
        <f t="shared" ref="H131:L131" si="33">H25+H26+H27+H28</f>
        <v>0</v>
      </c>
      <c r="I131" s="39">
        <f t="shared" si="33"/>
        <v>0</v>
      </c>
      <c r="J131" s="39">
        <f t="shared" si="33"/>
        <v>1</v>
      </c>
      <c r="K131" s="45">
        <f t="shared" si="33"/>
        <v>0</v>
      </c>
      <c r="L131" s="144">
        <f t="shared" si="33"/>
        <v>0</v>
      </c>
      <c r="M131" s="50">
        <f t="shared" si="14"/>
        <v>1</v>
      </c>
      <c r="N131" s="40">
        <f t="shared" si="15"/>
        <v>597</v>
      </c>
      <c r="O131" s="43">
        <f t="shared" si="16"/>
        <v>680.5</v>
      </c>
    </row>
    <row r="132" spans="1:15" ht="22.95" customHeight="1" x14ac:dyDescent="0.3">
      <c r="A132" s="52" t="s">
        <v>33</v>
      </c>
      <c r="B132" s="44">
        <f t="shared" ref="B132:F147" si="34">B26+B27+B28+B29</f>
        <v>448</v>
      </c>
      <c r="C132" s="39">
        <f t="shared" si="34"/>
        <v>78</v>
      </c>
      <c r="D132" s="39">
        <f t="shared" si="34"/>
        <v>29</v>
      </c>
      <c r="E132" s="39">
        <f t="shared" si="34"/>
        <v>8</v>
      </c>
      <c r="F132" s="39">
        <f t="shared" si="34"/>
        <v>24</v>
      </c>
      <c r="G132" s="50">
        <f t="shared" si="10"/>
        <v>587</v>
      </c>
      <c r="H132" s="44">
        <f t="shared" ref="H132:L132" si="35">H26+H27+H28+H29</f>
        <v>0</v>
      </c>
      <c r="I132" s="39">
        <f t="shared" si="35"/>
        <v>0</v>
      </c>
      <c r="J132" s="39">
        <f t="shared" si="35"/>
        <v>1</v>
      </c>
      <c r="K132" s="45">
        <f t="shared" si="35"/>
        <v>0</v>
      </c>
      <c r="L132" s="144">
        <f t="shared" si="35"/>
        <v>0</v>
      </c>
      <c r="M132" s="50">
        <f t="shared" si="14"/>
        <v>1</v>
      </c>
      <c r="N132" s="40">
        <f t="shared" si="15"/>
        <v>588</v>
      </c>
      <c r="O132" s="43">
        <f t="shared" si="16"/>
        <v>665.5</v>
      </c>
    </row>
    <row r="133" spans="1:15" ht="22.95" customHeight="1" x14ac:dyDescent="0.3">
      <c r="A133" s="52" t="s">
        <v>34</v>
      </c>
      <c r="B133" s="44">
        <f t="shared" si="34"/>
        <v>454</v>
      </c>
      <c r="C133" s="39">
        <f t="shared" si="34"/>
        <v>88</v>
      </c>
      <c r="D133" s="39">
        <f t="shared" si="34"/>
        <v>35</v>
      </c>
      <c r="E133" s="39">
        <f t="shared" si="34"/>
        <v>8</v>
      </c>
      <c r="F133" s="39">
        <f t="shared" si="34"/>
        <v>22</v>
      </c>
      <c r="G133" s="50">
        <f t="shared" si="10"/>
        <v>607</v>
      </c>
      <c r="H133" s="44">
        <f t="shared" ref="H133:L133" si="36">H27+H28+H29+H30</f>
        <v>0</v>
      </c>
      <c r="I133" s="39">
        <f t="shared" si="36"/>
        <v>0</v>
      </c>
      <c r="J133" s="39">
        <f t="shared" si="36"/>
        <v>1</v>
      </c>
      <c r="K133" s="45">
        <f t="shared" si="36"/>
        <v>0</v>
      </c>
      <c r="L133" s="144">
        <f t="shared" si="36"/>
        <v>0</v>
      </c>
      <c r="M133" s="50">
        <f t="shared" si="14"/>
        <v>1</v>
      </c>
      <c r="N133" s="40">
        <f t="shared" si="15"/>
        <v>608</v>
      </c>
      <c r="O133" s="43">
        <f t="shared" si="16"/>
        <v>676.5</v>
      </c>
    </row>
    <row r="134" spans="1:15" ht="22.95" customHeight="1" x14ac:dyDescent="0.3">
      <c r="A134" s="52" t="s">
        <v>35</v>
      </c>
      <c r="B134" s="44">
        <f t="shared" si="34"/>
        <v>487</v>
      </c>
      <c r="C134" s="39">
        <f t="shared" si="34"/>
        <v>99</v>
      </c>
      <c r="D134" s="39">
        <f t="shared" si="34"/>
        <v>38</v>
      </c>
      <c r="E134" s="39">
        <f t="shared" si="34"/>
        <v>7</v>
      </c>
      <c r="F134" s="39">
        <f t="shared" si="34"/>
        <v>26</v>
      </c>
      <c r="G134" s="50">
        <f t="shared" si="10"/>
        <v>657</v>
      </c>
      <c r="H134" s="44">
        <f t="shared" ref="H134:L134" si="37">H28+H29+H30+H31</f>
        <v>0</v>
      </c>
      <c r="I134" s="39">
        <f t="shared" si="37"/>
        <v>0</v>
      </c>
      <c r="J134" s="39">
        <f t="shared" si="37"/>
        <v>1</v>
      </c>
      <c r="K134" s="45">
        <f t="shared" si="37"/>
        <v>0</v>
      </c>
      <c r="L134" s="144">
        <f t="shared" si="37"/>
        <v>1</v>
      </c>
      <c r="M134" s="50">
        <f t="shared" si="14"/>
        <v>1</v>
      </c>
      <c r="N134" s="40">
        <f t="shared" si="15"/>
        <v>658</v>
      </c>
      <c r="O134" s="43">
        <f t="shared" si="16"/>
        <v>742.5</v>
      </c>
    </row>
    <row r="135" spans="1:15" ht="22.95" customHeight="1" x14ac:dyDescent="0.3">
      <c r="A135" s="52" t="s">
        <v>36</v>
      </c>
      <c r="B135" s="44">
        <f t="shared" si="34"/>
        <v>474</v>
      </c>
      <c r="C135" s="39">
        <f t="shared" si="34"/>
        <v>122</v>
      </c>
      <c r="D135" s="39">
        <f t="shared" si="34"/>
        <v>41</v>
      </c>
      <c r="E135" s="39">
        <f t="shared" si="34"/>
        <v>9</v>
      </c>
      <c r="F135" s="39">
        <f t="shared" si="34"/>
        <v>26</v>
      </c>
      <c r="G135" s="50">
        <f t="shared" si="10"/>
        <v>672</v>
      </c>
      <c r="H135" s="44">
        <f t="shared" ref="H135:L135" si="38">H29+H30+H31+H32</f>
        <v>0</v>
      </c>
      <c r="I135" s="39">
        <f t="shared" si="38"/>
        <v>0</v>
      </c>
      <c r="J135" s="39">
        <f t="shared" si="38"/>
        <v>0</v>
      </c>
      <c r="K135" s="45">
        <f t="shared" si="38"/>
        <v>0</v>
      </c>
      <c r="L135" s="144">
        <f t="shared" si="38"/>
        <v>1</v>
      </c>
      <c r="M135" s="50">
        <f t="shared" si="14"/>
        <v>0</v>
      </c>
      <c r="N135" s="40">
        <f t="shared" si="15"/>
        <v>672</v>
      </c>
      <c r="O135" s="43">
        <f t="shared" si="16"/>
        <v>748.5</v>
      </c>
    </row>
    <row r="136" spans="1:15" ht="22.95" customHeight="1" x14ac:dyDescent="0.3">
      <c r="A136" s="52" t="s">
        <v>37</v>
      </c>
      <c r="B136" s="44">
        <f t="shared" si="34"/>
        <v>441</v>
      </c>
      <c r="C136" s="39">
        <f t="shared" si="34"/>
        <v>130</v>
      </c>
      <c r="D136" s="39">
        <f t="shared" si="34"/>
        <v>43</v>
      </c>
      <c r="E136" s="39">
        <f t="shared" si="34"/>
        <v>7</v>
      </c>
      <c r="F136" s="39">
        <f t="shared" si="34"/>
        <v>40</v>
      </c>
      <c r="G136" s="50">
        <f t="shared" si="10"/>
        <v>661</v>
      </c>
      <c r="H136" s="44">
        <f t="shared" ref="H136:L136" si="39">H30+H31+H32+H33</f>
        <v>0</v>
      </c>
      <c r="I136" s="39">
        <f t="shared" si="39"/>
        <v>0</v>
      </c>
      <c r="J136" s="39">
        <f t="shared" si="39"/>
        <v>0</v>
      </c>
      <c r="K136" s="45">
        <f t="shared" si="39"/>
        <v>0</v>
      </c>
      <c r="L136" s="144">
        <f t="shared" si="39"/>
        <v>1</v>
      </c>
      <c r="M136" s="50">
        <f t="shared" si="14"/>
        <v>0</v>
      </c>
      <c r="N136" s="40">
        <f t="shared" si="15"/>
        <v>661</v>
      </c>
      <c r="O136" s="43">
        <f t="shared" si="16"/>
        <v>779.5</v>
      </c>
    </row>
    <row r="137" spans="1:15" ht="22.95" customHeight="1" x14ac:dyDescent="0.3">
      <c r="A137" s="52" t="s">
        <v>38</v>
      </c>
      <c r="B137" s="44">
        <f t="shared" si="34"/>
        <v>443</v>
      </c>
      <c r="C137" s="39">
        <f t="shared" si="34"/>
        <v>147</v>
      </c>
      <c r="D137" s="39">
        <f t="shared" si="34"/>
        <v>38</v>
      </c>
      <c r="E137" s="39">
        <f t="shared" si="34"/>
        <v>8</v>
      </c>
      <c r="F137" s="39">
        <f t="shared" si="34"/>
        <v>41</v>
      </c>
      <c r="G137" s="50">
        <f t="shared" si="10"/>
        <v>677</v>
      </c>
      <c r="H137" s="44">
        <f t="shared" ref="H137:L137" si="40">H31+H32+H33+H34</f>
        <v>0</v>
      </c>
      <c r="I137" s="39">
        <f t="shared" si="40"/>
        <v>0</v>
      </c>
      <c r="J137" s="39">
        <f t="shared" si="40"/>
        <v>0</v>
      </c>
      <c r="K137" s="45">
        <f t="shared" si="40"/>
        <v>0</v>
      </c>
      <c r="L137" s="144">
        <f t="shared" si="40"/>
        <v>1</v>
      </c>
      <c r="M137" s="50">
        <f t="shared" si="14"/>
        <v>0</v>
      </c>
      <c r="N137" s="40">
        <f t="shared" si="15"/>
        <v>677</v>
      </c>
      <c r="O137" s="43">
        <f t="shared" si="16"/>
        <v>790</v>
      </c>
    </row>
    <row r="138" spans="1:15" ht="22.95" customHeight="1" x14ac:dyDescent="0.3">
      <c r="A138" s="52" t="s">
        <v>39</v>
      </c>
      <c r="B138" s="44">
        <f t="shared" si="34"/>
        <v>443</v>
      </c>
      <c r="C138" s="39">
        <f t="shared" si="34"/>
        <v>148</v>
      </c>
      <c r="D138" s="39">
        <f t="shared" si="34"/>
        <v>44</v>
      </c>
      <c r="E138" s="39">
        <f t="shared" si="34"/>
        <v>9</v>
      </c>
      <c r="F138" s="39">
        <f t="shared" si="34"/>
        <v>42</v>
      </c>
      <c r="G138" s="50">
        <f t="shared" si="10"/>
        <v>686</v>
      </c>
      <c r="H138" s="44">
        <f t="shared" ref="H138:L138" si="41">H32+H33+H34+H35</f>
        <v>0</v>
      </c>
      <c r="I138" s="39">
        <f t="shared" si="41"/>
        <v>0</v>
      </c>
      <c r="J138" s="39">
        <f t="shared" si="41"/>
        <v>0</v>
      </c>
      <c r="K138" s="45">
        <f t="shared" si="41"/>
        <v>0</v>
      </c>
      <c r="L138" s="144">
        <f t="shared" si="41"/>
        <v>0</v>
      </c>
      <c r="M138" s="50">
        <f t="shared" si="14"/>
        <v>0</v>
      </c>
      <c r="N138" s="40">
        <f t="shared" si="15"/>
        <v>686</v>
      </c>
      <c r="O138" s="43">
        <f t="shared" si="16"/>
        <v>799</v>
      </c>
    </row>
    <row r="139" spans="1:15" ht="22.95" customHeight="1" x14ac:dyDescent="0.3">
      <c r="A139" s="52" t="s">
        <v>40</v>
      </c>
      <c r="B139" s="44">
        <f t="shared" si="34"/>
        <v>476</v>
      </c>
      <c r="C139" s="39">
        <f t="shared" si="34"/>
        <v>133</v>
      </c>
      <c r="D139" s="39">
        <f t="shared" si="34"/>
        <v>53</v>
      </c>
      <c r="E139" s="39">
        <f t="shared" si="34"/>
        <v>7</v>
      </c>
      <c r="F139" s="39">
        <f t="shared" si="34"/>
        <v>39</v>
      </c>
      <c r="G139" s="50">
        <f t="shared" si="10"/>
        <v>708</v>
      </c>
      <c r="H139" s="44">
        <f t="shared" ref="H139:L139" si="42">H33+H34+H35+H36</f>
        <v>0</v>
      </c>
      <c r="I139" s="39">
        <f t="shared" si="42"/>
        <v>0</v>
      </c>
      <c r="J139" s="39">
        <f t="shared" si="42"/>
        <v>0</v>
      </c>
      <c r="K139" s="45">
        <f t="shared" si="42"/>
        <v>0</v>
      </c>
      <c r="L139" s="144">
        <f t="shared" si="42"/>
        <v>0</v>
      </c>
      <c r="M139" s="50">
        <f t="shared" si="14"/>
        <v>0</v>
      </c>
      <c r="N139" s="40">
        <f t="shared" si="15"/>
        <v>708</v>
      </c>
      <c r="O139" s="43">
        <f t="shared" si="16"/>
        <v>818.5</v>
      </c>
    </row>
    <row r="140" spans="1:15" ht="22.95" customHeight="1" x14ac:dyDescent="0.3">
      <c r="A140" s="52" t="s">
        <v>41</v>
      </c>
      <c r="B140" s="44">
        <f t="shared" si="34"/>
        <v>524</v>
      </c>
      <c r="C140" s="39">
        <f t="shared" si="34"/>
        <v>117</v>
      </c>
      <c r="D140" s="39">
        <f t="shared" si="34"/>
        <v>58</v>
      </c>
      <c r="E140" s="39">
        <f t="shared" si="34"/>
        <v>7</v>
      </c>
      <c r="F140" s="39">
        <f t="shared" si="34"/>
        <v>31</v>
      </c>
      <c r="G140" s="50">
        <f t="shared" si="10"/>
        <v>737</v>
      </c>
      <c r="H140" s="44">
        <f t="shared" ref="H140:L140" si="43">H34+H35+H36+H37</f>
        <v>0</v>
      </c>
      <c r="I140" s="39">
        <f t="shared" si="43"/>
        <v>0</v>
      </c>
      <c r="J140" s="39">
        <f t="shared" si="43"/>
        <v>0</v>
      </c>
      <c r="K140" s="45">
        <f t="shared" si="43"/>
        <v>0</v>
      </c>
      <c r="L140" s="144">
        <f t="shared" si="43"/>
        <v>0</v>
      </c>
      <c r="M140" s="50">
        <f t="shared" si="14"/>
        <v>0</v>
      </c>
      <c r="N140" s="40">
        <f t="shared" si="15"/>
        <v>737</v>
      </c>
      <c r="O140" s="43">
        <f t="shared" si="16"/>
        <v>830</v>
      </c>
    </row>
    <row r="141" spans="1:15" ht="22.95" customHeight="1" x14ac:dyDescent="0.3">
      <c r="A141" s="52" t="s">
        <v>42</v>
      </c>
      <c r="B141" s="44">
        <f t="shared" si="34"/>
        <v>519</v>
      </c>
      <c r="C141" s="39">
        <f t="shared" si="34"/>
        <v>83</v>
      </c>
      <c r="D141" s="39">
        <f t="shared" si="34"/>
        <v>53</v>
      </c>
      <c r="E141" s="39">
        <f t="shared" si="34"/>
        <v>6</v>
      </c>
      <c r="F141" s="39">
        <f t="shared" si="34"/>
        <v>32</v>
      </c>
      <c r="G141" s="50">
        <f t="shared" si="10"/>
        <v>693</v>
      </c>
      <c r="H141" s="44">
        <f t="shared" ref="H141:L141" si="44">H35+H36+H37+H38</f>
        <v>0</v>
      </c>
      <c r="I141" s="39">
        <f t="shared" si="44"/>
        <v>0</v>
      </c>
      <c r="J141" s="39">
        <f t="shared" si="44"/>
        <v>0</v>
      </c>
      <c r="K141" s="45">
        <f t="shared" si="44"/>
        <v>0</v>
      </c>
      <c r="L141" s="144">
        <f t="shared" si="44"/>
        <v>0</v>
      </c>
      <c r="M141" s="50">
        <f t="shared" si="14"/>
        <v>0</v>
      </c>
      <c r="N141" s="40">
        <f t="shared" si="15"/>
        <v>693</v>
      </c>
      <c r="O141" s="43">
        <f t="shared" si="16"/>
        <v>802</v>
      </c>
    </row>
    <row r="142" spans="1:15" ht="22.95" customHeight="1" x14ac:dyDescent="0.3">
      <c r="A142" s="52" t="s">
        <v>43</v>
      </c>
      <c r="B142" s="44">
        <f t="shared" si="34"/>
        <v>527</v>
      </c>
      <c r="C142" s="39">
        <f t="shared" si="34"/>
        <v>87</v>
      </c>
      <c r="D142" s="39">
        <f t="shared" si="34"/>
        <v>47</v>
      </c>
      <c r="E142" s="39">
        <f t="shared" si="34"/>
        <v>11</v>
      </c>
      <c r="F142" s="39">
        <f t="shared" si="34"/>
        <v>31</v>
      </c>
      <c r="G142" s="50">
        <f t="shared" si="10"/>
        <v>703</v>
      </c>
      <c r="H142" s="44">
        <f t="shared" ref="H142:L142" si="45">H36+H37+H38+H39</f>
        <v>0</v>
      </c>
      <c r="I142" s="39">
        <f t="shared" si="45"/>
        <v>0</v>
      </c>
      <c r="J142" s="39">
        <f t="shared" si="45"/>
        <v>0</v>
      </c>
      <c r="K142" s="45">
        <f t="shared" si="45"/>
        <v>0</v>
      </c>
      <c r="L142" s="144">
        <f t="shared" si="45"/>
        <v>0</v>
      </c>
      <c r="M142" s="50">
        <f t="shared" si="14"/>
        <v>0</v>
      </c>
      <c r="N142" s="40">
        <f t="shared" si="15"/>
        <v>703</v>
      </c>
      <c r="O142" s="43">
        <f t="shared" si="16"/>
        <v>813.5</v>
      </c>
    </row>
    <row r="143" spans="1:15" ht="22.95" customHeight="1" x14ac:dyDescent="0.3">
      <c r="A143" s="52" t="s">
        <v>44</v>
      </c>
      <c r="B143" s="44">
        <f t="shared" si="34"/>
        <v>535</v>
      </c>
      <c r="C143" s="39">
        <f t="shared" si="34"/>
        <v>85</v>
      </c>
      <c r="D143" s="39">
        <f t="shared" si="34"/>
        <v>36</v>
      </c>
      <c r="E143" s="39">
        <f t="shared" si="34"/>
        <v>16</v>
      </c>
      <c r="F143" s="39">
        <f t="shared" si="34"/>
        <v>22</v>
      </c>
      <c r="G143" s="50">
        <f t="shared" si="10"/>
        <v>694</v>
      </c>
      <c r="H143" s="44">
        <f t="shared" ref="H143:L143" si="46">H37+H38+H39+H40</f>
        <v>0</v>
      </c>
      <c r="I143" s="39">
        <f t="shared" si="46"/>
        <v>0</v>
      </c>
      <c r="J143" s="39">
        <f t="shared" si="46"/>
        <v>0</v>
      </c>
      <c r="K143" s="45">
        <f t="shared" si="46"/>
        <v>0</v>
      </c>
      <c r="L143" s="144">
        <f t="shared" si="46"/>
        <v>0</v>
      </c>
      <c r="M143" s="50">
        <f t="shared" si="14"/>
        <v>0</v>
      </c>
      <c r="N143" s="40">
        <f t="shared" si="15"/>
        <v>694</v>
      </c>
      <c r="O143" s="43">
        <f t="shared" si="16"/>
        <v>778.5</v>
      </c>
    </row>
    <row r="144" spans="1:15" ht="22.95" customHeight="1" x14ac:dyDescent="0.3">
      <c r="A144" s="52" t="s">
        <v>45</v>
      </c>
      <c r="B144" s="44">
        <f t="shared" si="34"/>
        <v>488</v>
      </c>
      <c r="C144" s="39">
        <f t="shared" si="34"/>
        <v>101</v>
      </c>
      <c r="D144" s="39">
        <f t="shared" si="34"/>
        <v>30</v>
      </c>
      <c r="E144" s="39">
        <f t="shared" si="34"/>
        <v>21</v>
      </c>
      <c r="F144" s="39">
        <f t="shared" si="34"/>
        <v>16</v>
      </c>
      <c r="G144" s="50">
        <f t="shared" si="10"/>
        <v>656</v>
      </c>
      <c r="H144" s="44">
        <f t="shared" ref="H144:L144" si="47">H38+H39+H40+H41</f>
        <v>0</v>
      </c>
      <c r="I144" s="39">
        <f t="shared" si="47"/>
        <v>0</v>
      </c>
      <c r="J144" s="39">
        <f t="shared" si="47"/>
        <v>0</v>
      </c>
      <c r="K144" s="45">
        <f t="shared" si="47"/>
        <v>0</v>
      </c>
      <c r="L144" s="144">
        <f t="shared" si="47"/>
        <v>0</v>
      </c>
      <c r="M144" s="50">
        <f t="shared" si="14"/>
        <v>0</v>
      </c>
      <c r="N144" s="40">
        <f t="shared" si="15"/>
        <v>656</v>
      </c>
      <c r="O144" s="43">
        <f t="shared" si="16"/>
        <v>718.5</v>
      </c>
    </row>
    <row r="145" spans="1:15" ht="22.95" customHeight="1" x14ac:dyDescent="0.3">
      <c r="A145" s="52" t="s">
        <v>46</v>
      </c>
      <c r="B145" s="44">
        <f t="shared" si="34"/>
        <v>517</v>
      </c>
      <c r="C145" s="39">
        <f t="shared" si="34"/>
        <v>129</v>
      </c>
      <c r="D145" s="39">
        <f t="shared" si="34"/>
        <v>38</v>
      </c>
      <c r="E145" s="39">
        <f t="shared" si="34"/>
        <v>26</v>
      </c>
      <c r="F145" s="39">
        <f t="shared" si="34"/>
        <v>8</v>
      </c>
      <c r="G145" s="50">
        <f t="shared" si="10"/>
        <v>718</v>
      </c>
      <c r="H145" s="44">
        <f t="shared" ref="H145:L145" si="48">H39+H40+H41+H42</f>
        <v>0</v>
      </c>
      <c r="I145" s="39">
        <f t="shared" si="48"/>
        <v>0</v>
      </c>
      <c r="J145" s="39">
        <f t="shared" si="48"/>
        <v>0</v>
      </c>
      <c r="K145" s="45">
        <f t="shared" si="48"/>
        <v>0</v>
      </c>
      <c r="L145" s="144">
        <f t="shared" si="48"/>
        <v>1</v>
      </c>
      <c r="M145" s="50">
        <f t="shared" si="14"/>
        <v>0</v>
      </c>
      <c r="N145" s="40">
        <f t="shared" si="15"/>
        <v>718</v>
      </c>
      <c r="O145" s="43">
        <f t="shared" si="16"/>
        <v>760.5</v>
      </c>
    </row>
    <row r="146" spans="1:15" ht="22.95" customHeight="1" x14ac:dyDescent="0.3">
      <c r="A146" s="52" t="s">
        <v>47</v>
      </c>
      <c r="B146" s="44">
        <f t="shared" si="34"/>
        <v>524</v>
      </c>
      <c r="C146" s="39">
        <f t="shared" si="34"/>
        <v>114</v>
      </c>
      <c r="D146" s="39">
        <f t="shared" si="34"/>
        <v>32</v>
      </c>
      <c r="E146" s="39">
        <f t="shared" si="34"/>
        <v>24</v>
      </c>
      <c r="F146" s="39">
        <f t="shared" si="34"/>
        <v>1</v>
      </c>
      <c r="G146" s="50">
        <f t="shared" ref="G146:G177" si="49">SUM(B146:F146)</f>
        <v>695</v>
      </c>
      <c r="H146" s="44">
        <f t="shared" ref="H146:L146" si="50">H40+H41+H42+H43</f>
        <v>0</v>
      </c>
      <c r="I146" s="39">
        <f t="shared" si="50"/>
        <v>0</v>
      </c>
      <c r="J146" s="39">
        <f t="shared" si="50"/>
        <v>0</v>
      </c>
      <c r="K146" s="45">
        <f t="shared" si="50"/>
        <v>0</v>
      </c>
      <c r="L146" s="144">
        <f t="shared" si="50"/>
        <v>2</v>
      </c>
      <c r="M146" s="50">
        <f t="shared" si="14"/>
        <v>0</v>
      </c>
      <c r="N146" s="40">
        <f t="shared" si="15"/>
        <v>695</v>
      </c>
      <c r="O146" s="43">
        <f t="shared" si="16"/>
        <v>721.5</v>
      </c>
    </row>
    <row r="147" spans="1:15" ht="22.95" customHeight="1" x14ac:dyDescent="0.3">
      <c r="A147" s="52" t="s">
        <v>48</v>
      </c>
      <c r="B147" s="44">
        <f t="shared" si="34"/>
        <v>506</v>
      </c>
      <c r="C147" s="39">
        <f t="shared" si="34"/>
        <v>115</v>
      </c>
      <c r="D147" s="39">
        <f t="shared" si="34"/>
        <v>32</v>
      </c>
      <c r="E147" s="39">
        <f t="shared" si="34"/>
        <v>26</v>
      </c>
      <c r="F147" s="39">
        <f t="shared" si="34"/>
        <v>2</v>
      </c>
      <c r="G147" s="50">
        <f t="shared" si="49"/>
        <v>681</v>
      </c>
      <c r="H147" s="44">
        <f t="shared" ref="H147:L147" si="51">H41+H42+H43+H44</f>
        <v>0</v>
      </c>
      <c r="I147" s="39">
        <f t="shared" si="51"/>
        <v>0</v>
      </c>
      <c r="J147" s="39">
        <f t="shared" si="51"/>
        <v>0</v>
      </c>
      <c r="K147" s="45">
        <f t="shared" si="51"/>
        <v>0</v>
      </c>
      <c r="L147" s="144">
        <f t="shared" si="51"/>
        <v>2</v>
      </c>
      <c r="M147" s="50">
        <f t="shared" si="14"/>
        <v>0</v>
      </c>
      <c r="N147" s="40">
        <f t="shared" si="15"/>
        <v>681</v>
      </c>
      <c r="O147" s="43">
        <f t="shared" si="16"/>
        <v>714.5</v>
      </c>
    </row>
    <row r="148" spans="1:15" ht="22.95" customHeight="1" x14ac:dyDescent="0.3">
      <c r="A148" s="52" t="s">
        <v>49</v>
      </c>
      <c r="B148" s="44">
        <f t="shared" ref="B148:F163" si="52">B42+B43+B44+B45</f>
        <v>544</v>
      </c>
      <c r="C148" s="39">
        <f t="shared" si="52"/>
        <v>109</v>
      </c>
      <c r="D148" s="39">
        <f t="shared" si="52"/>
        <v>30</v>
      </c>
      <c r="E148" s="39">
        <f t="shared" si="52"/>
        <v>21</v>
      </c>
      <c r="F148" s="39">
        <f t="shared" si="52"/>
        <v>1</v>
      </c>
      <c r="G148" s="50">
        <f t="shared" si="49"/>
        <v>705</v>
      </c>
      <c r="H148" s="44">
        <f t="shared" ref="H148:L148" si="53">H42+H43+H44+H45</f>
        <v>0</v>
      </c>
      <c r="I148" s="39">
        <f t="shared" si="53"/>
        <v>0</v>
      </c>
      <c r="J148" s="39">
        <f t="shared" si="53"/>
        <v>1</v>
      </c>
      <c r="K148" s="45">
        <f t="shared" si="53"/>
        <v>0</v>
      </c>
      <c r="L148" s="144">
        <f t="shared" si="53"/>
        <v>2</v>
      </c>
      <c r="M148" s="50">
        <f t="shared" si="14"/>
        <v>1</v>
      </c>
      <c r="N148" s="40">
        <f t="shared" si="15"/>
        <v>706</v>
      </c>
      <c r="O148" s="43">
        <f t="shared" si="16"/>
        <v>730</v>
      </c>
    </row>
    <row r="149" spans="1:15" ht="22.95" customHeight="1" x14ac:dyDescent="0.3">
      <c r="A149" s="52" t="s">
        <v>50</v>
      </c>
      <c r="B149" s="44">
        <f t="shared" si="52"/>
        <v>538</v>
      </c>
      <c r="C149" s="39">
        <f t="shared" si="52"/>
        <v>105</v>
      </c>
      <c r="D149" s="39">
        <f t="shared" si="52"/>
        <v>33</v>
      </c>
      <c r="E149" s="39">
        <f t="shared" si="52"/>
        <v>19</v>
      </c>
      <c r="F149" s="39">
        <f t="shared" si="52"/>
        <v>1</v>
      </c>
      <c r="G149" s="50">
        <f t="shared" si="49"/>
        <v>696</v>
      </c>
      <c r="H149" s="44">
        <f t="shared" ref="H149:L149" si="54">H43+H44+H45+H46</f>
        <v>0</v>
      </c>
      <c r="I149" s="39">
        <f t="shared" si="54"/>
        <v>0</v>
      </c>
      <c r="J149" s="39">
        <f t="shared" si="54"/>
        <v>2</v>
      </c>
      <c r="K149" s="45">
        <f t="shared" si="54"/>
        <v>0</v>
      </c>
      <c r="L149" s="144">
        <f t="shared" si="54"/>
        <v>2</v>
      </c>
      <c r="M149" s="50">
        <f t="shared" si="14"/>
        <v>2</v>
      </c>
      <c r="N149" s="40">
        <f t="shared" si="15"/>
        <v>698</v>
      </c>
      <c r="O149" s="43">
        <f t="shared" si="16"/>
        <v>723.5</v>
      </c>
    </row>
    <row r="150" spans="1:15" ht="22.95" customHeight="1" x14ac:dyDescent="0.3">
      <c r="A150" s="52" t="s">
        <v>51</v>
      </c>
      <c r="B150" s="44">
        <f t="shared" si="52"/>
        <v>551</v>
      </c>
      <c r="C150" s="39">
        <f t="shared" si="52"/>
        <v>110</v>
      </c>
      <c r="D150" s="39">
        <f t="shared" si="52"/>
        <v>32</v>
      </c>
      <c r="E150" s="39">
        <f t="shared" si="52"/>
        <v>15</v>
      </c>
      <c r="F150" s="39">
        <f t="shared" si="52"/>
        <v>1</v>
      </c>
      <c r="G150" s="50">
        <f t="shared" si="49"/>
        <v>709</v>
      </c>
      <c r="H150" s="44">
        <f t="shared" ref="H150:L150" si="55">H44+H45+H46+H47</f>
        <v>0</v>
      </c>
      <c r="I150" s="39">
        <f t="shared" si="55"/>
        <v>0</v>
      </c>
      <c r="J150" s="39">
        <f t="shared" si="55"/>
        <v>2</v>
      </c>
      <c r="K150" s="45">
        <f t="shared" si="55"/>
        <v>0</v>
      </c>
      <c r="L150" s="144">
        <f t="shared" si="55"/>
        <v>2</v>
      </c>
      <c r="M150" s="50">
        <f t="shared" si="14"/>
        <v>2</v>
      </c>
      <c r="N150" s="40">
        <f t="shared" si="15"/>
        <v>711</v>
      </c>
      <c r="O150" s="43">
        <f t="shared" si="16"/>
        <v>725.5</v>
      </c>
    </row>
    <row r="151" spans="1:15" ht="22.95" customHeight="1" x14ac:dyDescent="0.3">
      <c r="A151" s="52" t="s">
        <v>52</v>
      </c>
      <c r="B151" s="44">
        <f t="shared" si="52"/>
        <v>540</v>
      </c>
      <c r="C151" s="39">
        <f t="shared" si="52"/>
        <v>114</v>
      </c>
      <c r="D151" s="39">
        <f t="shared" si="52"/>
        <v>37</v>
      </c>
      <c r="E151" s="39">
        <f t="shared" si="52"/>
        <v>10</v>
      </c>
      <c r="F151" s="39">
        <f t="shared" si="52"/>
        <v>0</v>
      </c>
      <c r="G151" s="50">
        <f t="shared" si="49"/>
        <v>701</v>
      </c>
      <c r="H151" s="44">
        <f t="shared" ref="H151:L151" si="56">H45+H46+H47+H48</f>
        <v>0</v>
      </c>
      <c r="I151" s="39">
        <f t="shared" si="56"/>
        <v>0</v>
      </c>
      <c r="J151" s="39">
        <f t="shared" si="56"/>
        <v>2</v>
      </c>
      <c r="K151" s="45">
        <f t="shared" si="56"/>
        <v>0</v>
      </c>
      <c r="L151" s="144">
        <f t="shared" si="56"/>
        <v>3</v>
      </c>
      <c r="M151" s="50">
        <f t="shared" si="14"/>
        <v>2</v>
      </c>
      <c r="N151" s="40">
        <f t="shared" si="15"/>
        <v>703</v>
      </c>
      <c r="O151" s="43">
        <f t="shared" si="16"/>
        <v>712.5</v>
      </c>
    </row>
    <row r="152" spans="1:15" ht="22.95" customHeight="1" x14ac:dyDescent="0.3">
      <c r="A152" s="52" t="s">
        <v>53</v>
      </c>
      <c r="B152" s="44">
        <f t="shared" si="52"/>
        <v>530</v>
      </c>
      <c r="C152" s="39">
        <f t="shared" si="52"/>
        <v>133</v>
      </c>
      <c r="D152" s="39">
        <f t="shared" si="52"/>
        <v>43</v>
      </c>
      <c r="E152" s="39">
        <f t="shared" si="52"/>
        <v>10</v>
      </c>
      <c r="F152" s="39">
        <f t="shared" si="52"/>
        <v>0</v>
      </c>
      <c r="G152" s="50">
        <f t="shared" si="49"/>
        <v>716</v>
      </c>
      <c r="H152" s="44">
        <f t="shared" ref="H152:L152" si="57">H46+H47+H48+H49</f>
        <v>0</v>
      </c>
      <c r="I152" s="39">
        <f t="shared" si="57"/>
        <v>0</v>
      </c>
      <c r="J152" s="39">
        <f t="shared" si="57"/>
        <v>1</v>
      </c>
      <c r="K152" s="45">
        <f t="shared" si="57"/>
        <v>0</v>
      </c>
      <c r="L152" s="144">
        <f t="shared" si="57"/>
        <v>3</v>
      </c>
      <c r="M152" s="50">
        <f t="shared" si="14"/>
        <v>1</v>
      </c>
      <c r="N152" s="40">
        <f t="shared" si="15"/>
        <v>717</v>
      </c>
      <c r="O152" s="43">
        <f t="shared" si="16"/>
        <v>718</v>
      </c>
    </row>
    <row r="153" spans="1:15" ht="22.95" customHeight="1" x14ac:dyDescent="0.3">
      <c r="A153" s="52" t="s">
        <v>54</v>
      </c>
      <c r="B153" s="44">
        <f t="shared" si="52"/>
        <v>522</v>
      </c>
      <c r="C153" s="39">
        <f t="shared" si="52"/>
        <v>131</v>
      </c>
      <c r="D153" s="39">
        <f t="shared" si="52"/>
        <v>35</v>
      </c>
      <c r="E153" s="39">
        <f t="shared" si="52"/>
        <v>14</v>
      </c>
      <c r="F153" s="39">
        <f t="shared" si="52"/>
        <v>0</v>
      </c>
      <c r="G153" s="50">
        <f t="shared" si="49"/>
        <v>702</v>
      </c>
      <c r="H153" s="44">
        <f t="shared" ref="H153:L153" si="58">H47+H48+H49+H50</f>
        <v>0</v>
      </c>
      <c r="I153" s="39">
        <f t="shared" si="58"/>
        <v>0</v>
      </c>
      <c r="J153" s="39">
        <f t="shared" si="58"/>
        <v>0</v>
      </c>
      <c r="K153" s="45">
        <f t="shared" si="58"/>
        <v>0</v>
      </c>
      <c r="L153" s="144">
        <f t="shared" si="58"/>
        <v>2</v>
      </c>
      <c r="M153" s="50">
        <f t="shared" si="14"/>
        <v>0</v>
      </c>
      <c r="N153" s="40">
        <f t="shared" si="15"/>
        <v>702</v>
      </c>
      <c r="O153" s="43">
        <f t="shared" si="16"/>
        <v>698</v>
      </c>
    </row>
    <row r="154" spans="1:15" ht="22.95" customHeight="1" x14ac:dyDescent="0.3">
      <c r="A154" s="52" t="s">
        <v>55</v>
      </c>
      <c r="B154" s="44">
        <f t="shared" si="52"/>
        <v>522</v>
      </c>
      <c r="C154" s="39">
        <f t="shared" si="52"/>
        <v>156</v>
      </c>
      <c r="D154" s="39">
        <f t="shared" si="52"/>
        <v>41</v>
      </c>
      <c r="E154" s="39">
        <f t="shared" si="52"/>
        <v>18</v>
      </c>
      <c r="F154" s="39">
        <f t="shared" si="52"/>
        <v>0</v>
      </c>
      <c r="G154" s="50">
        <f t="shared" si="49"/>
        <v>737</v>
      </c>
      <c r="H154" s="44">
        <f t="shared" ref="H154:L154" si="59">H48+H49+H50+H51</f>
        <v>0</v>
      </c>
      <c r="I154" s="39">
        <f t="shared" si="59"/>
        <v>0</v>
      </c>
      <c r="J154" s="39">
        <f t="shared" si="59"/>
        <v>0</v>
      </c>
      <c r="K154" s="45">
        <f t="shared" si="59"/>
        <v>0</v>
      </c>
      <c r="L154" s="144">
        <f t="shared" si="59"/>
        <v>2</v>
      </c>
      <c r="M154" s="50">
        <f t="shared" si="14"/>
        <v>0</v>
      </c>
      <c r="N154" s="40">
        <f t="shared" si="15"/>
        <v>737</v>
      </c>
      <c r="O154" s="43">
        <f t="shared" si="16"/>
        <v>731.5</v>
      </c>
    </row>
    <row r="155" spans="1:15" ht="22.95" customHeight="1" x14ac:dyDescent="0.3">
      <c r="A155" s="52" t="s">
        <v>56</v>
      </c>
      <c r="B155" s="44">
        <f t="shared" si="52"/>
        <v>510</v>
      </c>
      <c r="C155" s="39">
        <f t="shared" si="52"/>
        <v>156</v>
      </c>
      <c r="D155" s="39">
        <f t="shared" si="52"/>
        <v>37</v>
      </c>
      <c r="E155" s="39">
        <f t="shared" si="52"/>
        <v>26</v>
      </c>
      <c r="F155" s="39">
        <f t="shared" si="52"/>
        <v>0</v>
      </c>
      <c r="G155" s="50">
        <f t="shared" si="49"/>
        <v>729</v>
      </c>
      <c r="H155" s="44">
        <f t="shared" ref="H155:L155" si="60">H49+H50+H51+H52</f>
        <v>0</v>
      </c>
      <c r="I155" s="39">
        <f t="shared" si="60"/>
        <v>0</v>
      </c>
      <c r="J155" s="39">
        <f t="shared" si="60"/>
        <v>0</v>
      </c>
      <c r="K155" s="45">
        <f t="shared" si="60"/>
        <v>0</v>
      </c>
      <c r="L155" s="144">
        <f t="shared" si="60"/>
        <v>1</v>
      </c>
      <c r="M155" s="50">
        <f t="shared" si="14"/>
        <v>0</v>
      </c>
      <c r="N155" s="40">
        <f t="shared" si="15"/>
        <v>729</v>
      </c>
      <c r="O155" s="43">
        <f t="shared" si="16"/>
        <v>729.5</v>
      </c>
    </row>
    <row r="156" spans="1:15" ht="22.95" customHeight="1" x14ac:dyDescent="0.3">
      <c r="A156" s="52" t="s">
        <v>57</v>
      </c>
      <c r="B156" s="44">
        <f t="shared" si="52"/>
        <v>523</v>
      </c>
      <c r="C156" s="39">
        <f t="shared" si="52"/>
        <v>139</v>
      </c>
      <c r="D156" s="39">
        <f t="shared" si="52"/>
        <v>34</v>
      </c>
      <c r="E156" s="39">
        <f t="shared" si="52"/>
        <v>25</v>
      </c>
      <c r="F156" s="39">
        <f t="shared" si="52"/>
        <v>0</v>
      </c>
      <c r="G156" s="50">
        <f t="shared" si="49"/>
        <v>721</v>
      </c>
      <c r="H156" s="44">
        <f t="shared" ref="H156:L156" si="61">H50+H51+H52+H53</f>
        <v>0</v>
      </c>
      <c r="I156" s="39">
        <f t="shared" si="61"/>
        <v>0</v>
      </c>
      <c r="J156" s="39">
        <f t="shared" si="61"/>
        <v>0</v>
      </c>
      <c r="K156" s="45">
        <f t="shared" si="61"/>
        <v>0</v>
      </c>
      <c r="L156" s="144">
        <f t="shared" si="61"/>
        <v>1</v>
      </c>
      <c r="M156" s="50">
        <f t="shared" si="14"/>
        <v>0</v>
      </c>
      <c r="N156" s="40">
        <f t="shared" si="15"/>
        <v>721</v>
      </c>
      <c r="O156" s="43">
        <f t="shared" si="16"/>
        <v>726.5</v>
      </c>
    </row>
    <row r="157" spans="1:15" ht="22.95" customHeight="1" x14ac:dyDescent="0.3">
      <c r="A157" s="52" t="s">
        <v>58</v>
      </c>
      <c r="B157" s="44">
        <f t="shared" si="52"/>
        <v>504</v>
      </c>
      <c r="C157" s="39">
        <f t="shared" si="52"/>
        <v>158</v>
      </c>
      <c r="D157" s="39">
        <f t="shared" si="52"/>
        <v>33</v>
      </c>
      <c r="E157" s="39">
        <f t="shared" si="52"/>
        <v>17</v>
      </c>
      <c r="F157" s="39">
        <f t="shared" si="52"/>
        <v>0</v>
      </c>
      <c r="G157" s="50">
        <f t="shared" si="49"/>
        <v>712</v>
      </c>
      <c r="H157" s="44">
        <f t="shared" ref="H157:L157" si="62">H51+H52+H53+H54</f>
        <v>0</v>
      </c>
      <c r="I157" s="39">
        <f t="shared" si="62"/>
        <v>0</v>
      </c>
      <c r="J157" s="39">
        <f t="shared" si="62"/>
        <v>0</v>
      </c>
      <c r="K157" s="45">
        <f t="shared" si="62"/>
        <v>0</v>
      </c>
      <c r="L157" s="144">
        <f t="shared" si="62"/>
        <v>1</v>
      </c>
      <c r="M157" s="50">
        <f t="shared" si="14"/>
        <v>0</v>
      </c>
      <c r="N157" s="40">
        <f t="shared" si="15"/>
        <v>712</v>
      </c>
      <c r="O157" s="43">
        <f t="shared" si="16"/>
        <v>691.5</v>
      </c>
    </row>
    <row r="158" spans="1:15" ht="22.95" customHeight="1" x14ac:dyDescent="0.3">
      <c r="A158" s="52" t="s">
        <v>59</v>
      </c>
      <c r="B158" s="44">
        <f t="shared" si="52"/>
        <v>484</v>
      </c>
      <c r="C158" s="39">
        <f t="shared" si="52"/>
        <v>134</v>
      </c>
      <c r="D158" s="39">
        <f t="shared" si="52"/>
        <v>34</v>
      </c>
      <c r="E158" s="39">
        <f t="shared" si="52"/>
        <v>13</v>
      </c>
      <c r="F158" s="39">
        <f t="shared" si="52"/>
        <v>0</v>
      </c>
      <c r="G158" s="50">
        <f t="shared" si="49"/>
        <v>665</v>
      </c>
      <c r="H158" s="44">
        <f t="shared" ref="H158:L158" si="63">H52+H53+H54+H55</f>
        <v>0</v>
      </c>
      <c r="I158" s="39">
        <f t="shared" si="63"/>
        <v>0</v>
      </c>
      <c r="J158" s="39">
        <f t="shared" si="63"/>
        <v>0</v>
      </c>
      <c r="K158" s="45">
        <f t="shared" si="63"/>
        <v>0</v>
      </c>
      <c r="L158" s="144">
        <f t="shared" si="63"/>
        <v>0</v>
      </c>
      <c r="M158" s="50">
        <f t="shared" si="14"/>
        <v>0</v>
      </c>
      <c r="N158" s="40">
        <f t="shared" si="15"/>
        <v>665</v>
      </c>
      <c r="O158" s="43">
        <f t="shared" si="16"/>
        <v>641</v>
      </c>
    </row>
    <row r="159" spans="1:15" ht="22.95" customHeight="1" x14ac:dyDescent="0.3">
      <c r="A159" s="52" t="s">
        <v>77</v>
      </c>
      <c r="B159" s="44">
        <f t="shared" si="52"/>
        <v>483</v>
      </c>
      <c r="C159" s="39">
        <f t="shared" si="52"/>
        <v>179</v>
      </c>
      <c r="D159" s="39">
        <f t="shared" si="52"/>
        <v>35</v>
      </c>
      <c r="E159" s="39">
        <f t="shared" si="52"/>
        <v>5</v>
      </c>
      <c r="F159" s="39">
        <f t="shared" si="52"/>
        <v>2</v>
      </c>
      <c r="G159" s="50">
        <f t="shared" si="49"/>
        <v>704</v>
      </c>
      <c r="H159" s="44">
        <f t="shared" ref="H159:L159" si="64">H53+H54+H55+H56</f>
        <v>0</v>
      </c>
      <c r="I159" s="39">
        <f t="shared" si="64"/>
        <v>0</v>
      </c>
      <c r="J159" s="39">
        <f t="shared" si="64"/>
        <v>0</v>
      </c>
      <c r="K159" s="45">
        <f t="shared" si="64"/>
        <v>0</v>
      </c>
      <c r="L159" s="144">
        <f t="shared" si="64"/>
        <v>0</v>
      </c>
      <c r="M159" s="50">
        <f t="shared" si="14"/>
        <v>0</v>
      </c>
      <c r="N159" s="40">
        <f t="shared" si="15"/>
        <v>704</v>
      </c>
      <c r="O159" s="43">
        <f t="shared" si="16"/>
        <v>649</v>
      </c>
    </row>
    <row r="160" spans="1:15" ht="22.95" customHeight="1" x14ac:dyDescent="0.3">
      <c r="A160" s="52" t="s">
        <v>75</v>
      </c>
      <c r="B160" s="44">
        <f t="shared" si="52"/>
        <v>474</v>
      </c>
      <c r="C160" s="39">
        <f t="shared" si="52"/>
        <v>235</v>
      </c>
      <c r="D160" s="39">
        <f t="shared" si="52"/>
        <v>31</v>
      </c>
      <c r="E160" s="39">
        <f t="shared" si="52"/>
        <v>7</v>
      </c>
      <c r="F160" s="39">
        <f t="shared" si="52"/>
        <v>5</v>
      </c>
      <c r="G160" s="50">
        <f t="shared" si="49"/>
        <v>752</v>
      </c>
      <c r="H160" s="44">
        <f t="shared" ref="H160:L160" si="65">H54+H55+H56+H57</f>
        <v>0</v>
      </c>
      <c r="I160" s="39">
        <f t="shared" si="65"/>
        <v>0</v>
      </c>
      <c r="J160" s="39">
        <f t="shared" si="65"/>
        <v>0</v>
      </c>
      <c r="K160" s="45">
        <f t="shared" si="65"/>
        <v>0</v>
      </c>
      <c r="L160" s="144">
        <f t="shared" si="65"/>
        <v>0</v>
      </c>
      <c r="M160" s="50">
        <f t="shared" si="14"/>
        <v>0</v>
      </c>
      <c r="N160" s="40">
        <f t="shared" si="15"/>
        <v>752</v>
      </c>
      <c r="O160" s="43">
        <f t="shared" si="16"/>
        <v>681.5</v>
      </c>
    </row>
    <row r="161" spans="1:15" ht="22.95" customHeight="1" x14ac:dyDescent="0.3">
      <c r="A161" s="52" t="s">
        <v>76</v>
      </c>
      <c r="B161" s="44">
        <f t="shared" si="52"/>
        <v>471</v>
      </c>
      <c r="C161" s="39">
        <f t="shared" si="52"/>
        <v>209</v>
      </c>
      <c r="D161" s="39">
        <f t="shared" si="52"/>
        <v>30</v>
      </c>
      <c r="E161" s="39">
        <f t="shared" si="52"/>
        <v>7</v>
      </c>
      <c r="F161" s="39">
        <f t="shared" si="52"/>
        <v>9</v>
      </c>
      <c r="G161" s="50">
        <f t="shared" si="49"/>
        <v>726</v>
      </c>
      <c r="H161" s="44">
        <f t="shared" ref="H161:L161" si="66">H55+H56+H57+H58</f>
        <v>0</v>
      </c>
      <c r="I161" s="39">
        <f t="shared" si="66"/>
        <v>0</v>
      </c>
      <c r="J161" s="39">
        <f t="shared" si="66"/>
        <v>0</v>
      </c>
      <c r="K161" s="45">
        <f t="shared" si="66"/>
        <v>0</v>
      </c>
      <c r="L161" s="144">
        <f t="shared" si="66"/>
        <v>0</v>
      </c>
      <c r="M161" s="50">
        <f t="shared" si="14"/>
        <v>0</v>
      </c>
      <c r="N161" s="40">
        <f t="shared" si="15"/>
        <v>726</v>
      </c>
      <c r="O161" s="43">
        <f t="shared" si="16"/>
        <v>682</v>
      </c>
    </row>
    <row r="162" spans="1:15" ht="22.95" customHeight="1" x14ac:dyDescent="0.3">
      <c r="A162" s="52" t="s">
        <v>70</v>
      </c>
      <c r="B162" s="44">
        <f t="shared" si="52"/>
        <v>467</v>
      </c>
      <c r="C162" s="39">
        <f t="shared" si="52"/>
        <v>239</v>
      </c>
      <c r="D162" s="39">
        <f t="shared" si="52"/>
        <v>25</v>
      </c>
      <c r="E162" s="39">
        <f t="shared" si="52"/>
        <v>6</v>
      </c>
      <c r="F162" s="39">
        <f t="shared" si="52"/>
        <v>11</v>
      </c>
      <c r="G162" s="50">
        <f t="shared" si="49"/>
        <v>748</v>
      </c>
      <c r="H162" s="44">
        <f t="shared" ref="H162:L162" si="67">H56+H57+H58+H59</f>
        <v>0</v>
      </c>
      <c r="I162" s="39">
        <f t="shared" si="67"/>
        <v>0</v>
      </c>
      <c r="J162" s="39">
        <f t="shared" si="67"/>
        <v>0</v>
      </c>
      <c r="K162" s="45">
        <f t="shared" si="67"/>
        <v>0</v>
      </c>
      <c r="L162" s="144">
        <f t="shared" si="67"/>
        <v>0</v>
      </c>
      <c r="M162" s="50">
        <f t="shared" si="14"/>
        <v>0</v>
      </c>
      <c r="N162" s="40">
        <f t="shared" si="15"/>
        <v>748</v>
      </c>
      <c r="O162" s="43">
        <f t="shared" si="16"/>
        <v>691.5</v>
      </c>
    </row>
    <row r="163" spans="1:15" ht="22.95" customHeight="1" x14ac:dyDescent="0.3">
      <c r="A163" s="52" t="s">
        <v>71</v>
      </c>
      <c r="B163" s="44">
        <f t="shared" si="52"/>
        <v>462</v>
      </c>
      <c r="C163" s="39">
        <f t="shared" si="52"/>
        <v>187</v>
      </c>
      <c r="D163" s="39">
        <f t="shared" si="52"/>
        <v>21</v>
      </c>
      <c r="E163" s="39">
        <f t="shared" si="52"/>
        <v>9</v>
      </c>
      <c r="F163" s="39">
        <f t="shared" si="52"/>
        <v>16</v>
      </c>
      <c r="G163" s="50">
        <f t="shared" si="49"/>
        <v>695</v>
      </c>
      <c r="H163" s="44">
        <f t="shared" ref="H163:L163" si="68">H57+H58+H59+H60</f>
        <v>0</v>
      </c>
      <c r="I163" s="39">
        <f t="shared" si="68"/>
        <v>0</v>
      </c>
      <c r="J163" s="39">
        <f t="shared" si="68"/>
        <v>0</v>
      </c>
      <c r="K163" s="45">
        <f t="shared" si="68"/>
        <v>0</v>
      </c>
      <c r="L163" s="144">
        <f t="shared" si="68"/>
        <v>0</v>
      </c>
      <c r="M163" s="50">
        <f t="shared" si="14"/>
        <v>0</v>
      </c>
      <c r="N163" s="40">
        <f t="shared" si="15"/>
        <v>695</v>
      </c>
      <c r="O163" s="43">
        <f t="shared" si="16"/>
        <v>686</v>
      </c>
    </row>
    <row r="164" spans="1:15" ht="22.95" customHeight="1" x14ac:dyDescent="0.3">
      <c r="A164" s="52" t="s">
        <v>72</v>
      </c>
      <c r="B164" s="44">
        <f t="shared" ref="B164:F179" si="69">B58+B59+B60+B61</f>
        <v>421</v>
      </c>
      <c r="C164" s="39">
        <f t="shared" si="69"/>
        <v>130</v>
      </c>
      <c r="D164" s="39">
        <f t="shared" si="69"/>
        <v>19</v>
      </c>
      <c r="E164" s="39">
        <f t="shared" si="69"/>
        <v>13</v>
      </c>
      <c r="F164" s="39">
        <f t="shared" si="69"/>
        <v>16</v>
      </c>
      <c r="G164" s="50">
        <f t="shared" si="49"/>
        <v>599</v>
      </c>
      <c r="H164" s="44">
        <f t="shared" ref="H164:L164" si="70">H58+H59+H60+H61</f>
        <v>0</v>
      </c>
      <c r="I164" s="39">
        <f t="shared" si="70"/>
        <v>0</v>
      </c>
      <c r="J164" s="39">
        <f t="shared" si="70"/>
        <v>0</v>
      </c>
      <c r="K164" s="45">
        <f t="shared" si="70"/>
        <v>0</v>
      </c>
      <c r="L164" s="144">
        <f t="shared" si="70"/>
        <v>0</v>
      </c>
      <c r="M164" s="50">
        <f t="shared" si="14"/>
        <v>0</v>
      </c>
      <c r="N164" s="40">
        <f t="shared" si="15"/>
        <v>599</v>
      </c>
      <c r="O164" s="43">
        <f t="shared" si="16"/>
        <v>625.5</v>
      </c>
    </row>
    <row r="165" spans="1:15" ht="22.95" customHeight="1" x14ac:dyDescent="0.3">
      <c r="A165" s="52" t="s">
        <v>73</v>
      </c>
      <c r="B165" s="44">
        <f t="shared" si="69"/>
        <v>433</v>
      </c>
      <c r="C165" s="39">
        <f t="shared" si="69"/>
        <v>117</v>
      </c>
      <c r="D165" s="39">
        <f t="shared" si="69"/>
        <v>15</v>
      </c>
      <c r="E165" s="39">
        <f t="shared" si="69"/>
        <v>16</v>
      </c>
      <c r="F165" s="39">
        <f t="shared" si="69"/>
        <v>22</v>
      </c>
      <c r="G165" s="50">
        <f t="shared" si="49"/>
        <v>603</v>
      </c>
      <c r="H165" s="44">
        <f t="shared" ref="H165:L165" si="71">H59+H60+H61+H62</f>
        <v>0</v>
      </c>
      <c r="I165" s="39">
        <f t="shared" si="71"/>
        <v>0</v>
      </c>
      <c r="J165" s="39">
        <f t="shared" si="71"/>
        <v>0</v>
      </c>
      <c r="K165" s="45">
        <f t="shared" si="71"/>
        <v>0</v>
      </c>
      <c r="L165" s="144">
        <f t="shared" si="71"/>
        <v>0</v>
      </c>
      <c r="M165" s="50">
        <f t="shared" si="14"/>
        <v>0</v>
      </c>
      <c r="N165" s="40">
        <f t="shared" si="15"/>
        <v>603</v>
      </c>
      <c r="O165" s="43">
        <f t="shared" si="16"/>
        <v>661</v>
      </c>
    </row>
    <row r="166" spans="1:15" ht="22.95" customHeight="1" x14ac:dyDescent="0.3">
      <c r="A166" s="52" t="s">
        <v>74</v>
      </c>
      <c r="B166" s="44">
        <f t="shared" si="69"/>
        <v>423</v>
      </c>
      <c r="C166" s="39">
        <f t="shared" si="69"/>
        <v>63</v>
      </c>
      <c r="D166" s="39">
        <f t="shared" si="69"/>
        <v>16</v>
      </c>
      <c r="E166" s="39">
        <f t="shared" si="69"/>
        <v>17</v>
      </c>
      <c r="F166" s="39">
        <f t="shared" si="69"/>
        <v>35</v>
      </c>
      <c r="G166" s="50">
        <f t="shared" si="49"/>
        <v>554</v>
      </c>
      <c r="H166" s="44">
        <f t="shared" ref="H166:L166" si="72">H60+H61+H62+H63</f>
        <v>0</v>
      </c>
      <c r="I166" s="39">
        <f t="shared" si="72"/>
        <v>0</v>
      </c>
      <c r="J166" s="39">
        <f t="shared" si="72"/>
        <v>0</v>
      </c>
      <c r="K166" s="45">
        <f t="shared" si="72"/>
        <v>0</v>
      </c>
      <c r="L166" s="144">
        <f t="shared" si="72"/>
        <v>0</v>
      </c>
      <c r="M166" s="50">
        <f t="shared" si="14"/>
        <v>0</v>
      </c>
      <c r="N166" s="40">
        <f t="shared" si="15"/>
        <v>554</v>
      </c>
      <c r="O166" s="43">
        <f t="shared" si="16"/>
        <v>687</v>
      </c>
    </row>
    <row r="167" spans="1:15" ht="22.95" customHeight="1" x14ac:dyDescent="0.3">
      <c r="A167" s="52" t="s">
        <v>262</v>
      </c>
      <c r="B167" s="44">
        <f t="shared" si="69"/>
        <v>393</v>
      </c>
      <c r="C167" s="39">
        <f t="shared" si="69"/>
        <v>61</v>
      </c>
      <c r="D167" s="39">
        <f t="shared" si="69"/>
        <v>19</v>
      </c>
      <c r="E167" s="39">
        <f t="shared" si="69"/>
        <v>14</v>
      </c>
      <c r="F167" s="39">
        <f t="shared" si="69"/>
        <v>31</v>
      </c>
      <c r="G167" s="50">
        <f t="shared" si="49"/>
        <v>518</v>
      </c>
      <c r="H167" s="44">
        <f t="shared" ref="H167:L167" si="73">H61+H62+H63+H64</f>
        <v>0</v>
      </c>
      <c r="I167" s="39">
        <f t="shared" si="73"/>
        <v>0</v>
      </c>
      <c r="J167" s="39">
        <f t="shared" si="73"/>
        <v>0</v>
      </c>
      <c r="K167" s="45">
        <f t="shared" si="73"/>
        <v>0</v>
      </c>
      <c r="L167" s="144">
        <f t="shared" si="73"/>
        <v>0</v>
      </c>
      <c r="M167" s="50">
        <f t="shared" si="14"/>
        <v>0</v>
      </c>
      <c r="N167" s="40">
        <f t="shared" si="15"/>
        <v>518</v>
      </c>
      <c r="O167" s="43">
        <f t="shared" si="16"/>
        <v>633.5</v>
      </c>
    </row>
    <row r="168" spans="1:15" ht="22.95" customHeight="1" x14ac:dyDescent="0.3">
      <c r="A168" s="52" t="s">
        <v>263</v>
      </c>
      <c r="B168" s="44">
        <f t="shared" si="69"/>
        <v>384</v>
      </c>
      <c r="C168" s="39">
        <f t="shared" si="69"/>
        <v>51</v>
      </c>
      <c r="D168" s="39">
        <f t="shared" si="69"/>
        <v>22</v>
      </c>
      <c r="E168" s="39">
        <f t="shared" si="69"/>
        <v>10</v>
      </c>
      <c r="F168" s="39">
        <f t="shared" si="69"/>
        <v>41</v>
      </c>
      <c r="G168" s="50">
        <f t="shared" si="49"/>
        <v>508</v>
      </c>
      <c r="H168" s="44">
        <f t="shared" ref="H168:L168" si="74">H62+H63+H64+H65</f>
        <v>0</v>
      </c>
      <c r="I168" s="39">
        <f t="shared" si="74"/>
        <v>0</v>
      </c>
      <c r="J168" s="39">
        <f t="shared" si="74"/>
        <v>0</v>
      </c>
      <c r="K168" s="45">
        <f t="shared" si="74"/>
        <v>0</v>
      </c>
      <c r="L168" s="144">
        <f t="shared" si="74"/>
        <v>0</v>
      </c>
      <c r="M168" s="50">
        <f t="shared" si="14"/>
        <v>0</v>
      </c>
      <c r="N168" s="40">
        <f t="shared" si="15"/>
        <v>508</v>
      </c>
      <c r="O168" s="43">
        <f t="shared" si="16"/>
        <v>657</v>
      </c>
    </row>
    <row r="169" spans="1:15" ht="22.95" customHeight="1" x14ac:dyDescent="0.3">
      <c r="A169" s="52" t="s">
        <v>264</v>
      </c>
      <c r="B169" s="44">
        <f t="shared" si="69"/>
        <v>357</v>
      </c>
      <c r="C169" s="39">
        <f t="shared" si="69"/>
        <v>77</v>
      </c>
      <c r="D169" s="39">
        <f t="shared" si="69"/>
        <v>26</v>
      </c>
      <c r="E169" s="39">
        <f t="shared" si="69"/>
        <v>6</v>
      </c>
      <c r="F169" s="39">
        <f t="shared" si="69"/>
        <v>38</v>
      </c>
      <c r="G169" s="50">
        <f t="shared" si="49"/>
        <v>504</v>
      </c>
      <c r="H169" s="44">
        <f t="shared" ref="H169:L169" si="75">H63+H64+H65+H66</f>
        <v>0</v>
      </c>
      <c r="I169" s="39">
        <f t="shared" si="75"/>
        <v>0</v>
      </c>
      <c r="J169" s="39">
        <f t="shared" si="75"/>
        <v>0</v>
      </c>
      <c r="K169" s="45">
        <f t="shared" si="75"/>
        <v>0</v>
      </c>
      <c r="L169" s="144">
        <f t="shared" si="75"/>
        <v>1</v>
      </c>
      <c r="M169" s="50">
        <f t="shared" si="14"/>
        <v>0</v>
      </c>
      <c r="N169" s="40">
        <f t="shared" si="15"/>
        <v>504</v>
      </c>
      <c r="O169" s="43">
        <f t="shared" si="16"/>
        <v>631.5</v>
      </c>
    </row>
    <row r="170" spans="1:15" ht="22.95" customHeight="1" x14ac:dyDescent="0.3">
      <c r="A170" s="52" t="s">
        <v>265</v>
      </c>
      <c r="B170" s="44">
        <f t="shared" si="69"/>
        <v>303</v>
      </c>
      <c r="C170" s="39">
        <f t="shared" si="69"/>
        <v>97</v>
      </c>
      <c r="D170" s="39">
        <f t="shared" si="69"/>
        <v>31</v>
      </c>
      <c r="E170" s="39">
        <f t="shared" si="69"/>
        <v>7</v>
      </c>
      <c r="F170" s="39">
        <f t="shared" si="69"/>
        <v>31</v>
      </c>
      <c r="G170" s="50">
        <f t="shared" si="49"/>
        <v>469</v>
      </c>
      <c r="H170" s="44">
        <f t="shared" ref="H170:L170" si="76">H64+H65+H66+H67</f>
        <v>0</v>
      </c>
      <c r="I170" s="39">
        <f t="shared" si="76"/>
        <v>0</v>
      </c>
      <c r="J170" s="39">
        <f t="shared" si="76"/>
        <v>0</v>
      </c>
      <c r="K170" s="45">
        <f t="shared" si="76"/>
        <v>0</v>
      </c>
      <c r="L170" s="144">
        <f t="shared" si="76"/>
        <v>1</v>
      </c>
      <c r="M170" s="50">
        <f t="shared" si="14"/>
        <v>0</v>
      </c>
      <c r="N170" s="40">
        <f t="shared" si="15"/>
        <v>469</v>
      </c>
      <c r="O170" s="43">
        <f t="shared" si="16"/>
        <v>566.5</v>
      </c>
    </row>
    <row r="171" spans="1:15" ht="22.95" customHeight="1" x14ac:dyDescent="0.3">
      <c r="A171" s="52" t="s">
        <v>266</v>
      </c>
      <c r="B171" s="44">
        <f t="shared" si="69"/>
        <v>274</v>
      </c>
      <c r="C171" s="39">
        <f t="shared" si="69"/>
        <v>95</v>
      </c>
      <c r="D171" s="39">
        <f t="shared" si="69"/>
        <v>33</v>
      </c>
      <c r="E171" s="39">
        <f t="shared" si="69"/>
        <v>5</v>
      </c>
      <c r="F171" s="39">
        <f t="shared" si="69"/>
        <v>37</v>
      </c>
      <c r="G171" s="50">
        <f t="shared" si="49"/>
        <v>444</v>
      </c>
      <c r="H171" s="44">
        <f t="shared" ref="H171:L171" si="77">H65+H66+H67+H68</f>
        <v>0</v>
      </c>
      <c r="I171" s="39">
        <f t="shared" si="77"/>
        <v>0</v>
      </c>
      <c r="J171" s="39">
        <f t="shared" si="77"/>
        <v>0</v>
      </c>
      <c r="K171" s="45">
        <f t="shared" si="77"/>
        <v>0</v>
      </c>
      <c r="L171" s="144">
        <f t="shared" si="77"/>
        <v>1</v>
      </c>
      <c r="M171" s="50">
        <f t="shared" si="14"/>
        <v>0</v>
      </c>
      <c r="N171" s="40">
        <f t="shared" si="15"/>
        <v>444</v>
      </c>
      <c r="O171" s="43">
        <f t="shared" si="16"/>
        <v>560.5</v>
      </c>
    </row>
    <row r="172" spans="1:15" ht="22.95" customHeight="1" x14ac:dyDescent="0.3">
      <c r="A172" s="52" t="s">
        <v>267</v>
      </c>
      <c r="B172" s="44">
        <f t="shared" si="69"/>
        <v>243</v>
      </c>
      <c r="C172" s="39">
        <f t="shared" si="69"/>
        <v>90</v>
      </c>
      <c r="D172" s="39">
        <f t="shared" si="69"/>
        <v>29</v>
      </c>
      <c r="E172" s="39">
        <f t="shared" si="69"/>
        <v>5</v>
      </c>
      <c r="F172" s="39">
        <f t="shared" si="69"/>
        <v>36</v>
      </c>
      <c r="G172" s="50">
        <f t="shared" si="49"/>
        <v>403</v>
      </c>
      <c r="H172" s="44">
        <f t="shared" ref="H172:L172" si="78">H66+H67+H68+H69</f>
        <v>0</v>
      </c>
      <c r="I172" s="39">
        <f t="shared" si="78"/>
        <v>0</v>
      </c>
      <c r="J172" s="39">
        <f t="shared" si="78"/>
        <v>0</v>
      </c>
      <c r="K172" s="45">
        <f t="shared" si="78"/>
        <v>0</v>
      </c>
      <c r="L172" s="144">
        <f t="shared" si="78"/>
        <v>1</v>
      </c>
      <c r="M172" s="50">
        <f t="shared" si="14"/>
        <v>0</v>
      </c>
      <c r="N172" s="40">
        <f t="shared" si="15"/>
        <v>403</v>
      </c>
      <c r="O172" s="43">
        <f t="shared" si="16"/>
        <v>516.5</v>
      </c>
    </row>
    <row r="173" spans="1:15" ht="22.95" customHeight="1" x14ac:dyDescent="0.3">
      <c r="A173" s="52" t="s">
        <v>268</v>
      </c>
      <c r="B173" s="44">
        <f t="shared" si="69"/>
        <v>190</v>
      </c>
      <c r="C173" s="39">
        <f t="shared" si="69"/>
        <v>61</v>
      </c>
      <c r="D173" s="39">
        <f t="shared" si="69"/>
        <v>30</v>
      </c>
      <c r="E173" s="39">
        <f t="shared" si="69"/>
        <v>6</v>
      </c>
      <c r="F173" s="39">
        <f t="shared" si="69"/>
        <v>40</v>
      </c>
      <c r="G173" s="50">
        <f t="shared" si="49"/>
        <v>327</v>
      </c>
      <c r="H173" s="44">
        <f t="shared" ref="H173:L173" si="79">H67+H68+H69+H70</f>
        <v>0</v>
      </c>
      <c r="I173" s="39">
        <f t="shared" si="79"/>
        <v>0</v>
      </c>
      <c r="J173" s="39">
        <f t="shared" si="79"/>
        <v>0</v>
      </c>
      <c r="K173" s="45">
        <f t="shared" si="79"/>
        <v>0</v>
      </c>
      <c r="L173" s="144">
        <f t="shared" si="79"/>
        <v>0</v>
      </c>
      <c r="M173" s="50">
        <f t="shared" si="14"/>
        <v>0</v>
      </c>
      <c r="N173" s="40">
        <f t="shared" si="15"/>
        <v>327</v>
      </c>
      <c r="O173" s="43">
        <f t="shared" si="16"/>
        <v>463.5</v>
      </c>
    </row>
    <row r="174" spans="1:15" ht="22.95" customHeight="1" x14ac:dyDescent="0.3">
      <c r="A174" s="52" t="s">
        <v>269</v>
      </c>
      <c r="B174" s="44">
        <f t="shared" si="69"/>
        <v>165</v>
      </c>
      <c r="C174" s="39">
        <f t="shared" si="69"/>
        <v>46</v>
      </c>
      <c r="D174" s="39">
        <f t="shared" si="69"/>
        <v>25</v>
      </c>
      <c r="E174" s="39">
        <f t="shared" si="69"/>
        <v>5</v>
      </c>
      <c r="F174" s="39">
        <f t="shared" si="69"/>
        <v>43</v>
      </c>
      <c r="G174" s="50">
        <f t="shared" si="49"/>
        <v>284</v>
      </c>
      <c r="H174" s="44">
        <f t="shared" ref="H174:L174" si="80">H68+H69+H70+H71</f>
        <v>0</v>
      </c>
      <c r="I174" s="39">
        <f t="shared" si="80"/>
        <v>0</v>
      </c>
      <c r="J174" s="39">
        <f t="shared" si="80"/>
        <v>0</v>
      </c>
      <c r="K174" s="45">
        <f t="shared" si="80"/>
        <v>0</v>
      </c>
      <c r="L174" s="144">
        <f t="shared" si="80"/>
        <v>0</v>
      </c>
      <c r="M174" s="50">
        <f t="shared" si="14"/>
        <v>0</v>
      </c>
      <c r="N174" s="40">
        <f t="shared" si="15"/>
        <v>284</v>
      </c>
      <c r="O174" s="43">
        <f t="shared" si="16"/>
        <v>434</v>
      </c>
    </row>
    <row r="175" spans="1:15" ht="22.95" customHeight="1" x14ac:dyDescent="0.3">
      <c r="A175" s="54" t="s">
        <v>241</v>
      </c>
      <c r="B175" s="44">
        <f t="shared" si="69"/>
        <v>125</v>
      </c>
      <c r="C175" s="39">
        <f t="shared" si="69"/>
        <v>39</v>
      </c>
      <c r="D175" s="39">
        <f t="shared" si="69"/>
        <v>22</v>
      </c>
      <c r="E175" s="39">
        <f t="shared" si="69"/>
        <v>5</v>
      </c>
      <c r="F175" s="39">
        <f t="shared" si="69"/>
        <v>47</v>
      </c>
      <c r="G175" s="50">
        <f t="shared" si="49"/>
        <v>238</v>
      </c>
      <c r="H175" s="44">
        <f t="shared" ref="H175:L175" si="81">H69+H70+H71+H72</f>
        <v>0</v>
      </c>
      <c r="I175" s="39">
        <f t="shared" si="81"/>
        <v>0</v>
      </c>
      <c r="J175" s="39">
        <f t="shared" si="81"/>
        <v>0</v>
      </c>
      <c r="K175" s="45">
        <f t="shared" si="81"/>
        <v>0</v>
      </c>
      <c r="L175" s="144">
        <f t="shared" si="81"/>
        <v>0</v>
      </c>
      <c r="M175" s="50">
        <f t="shared" si="14"/>
        <v>0</v>
      </c>
      <c r="N175" s="40">
        <f t="shared" si="15"/>
        <v>238</v>
      </c>
      <c r="O175" s="43">
        <f t="shared" si="16"/>
        <v>404</v>
      </c>
    </row>
    <row r="176" spans="1:15" ht="22.95" customHeight="1" x14ac:dyDescent="0.3">
      <c r="A176" s="52" t="s">
        <v>242</v>
      </c>
      <c r="B176" s="44">
        <f t="shared" si="69"/>
        <v>113</v>
      </c>
      <c r="C176" s="39">
        <f t="shared" si="69"/>
        <v>38</v>
      </c>
      <c r="D176" s="39">
        <f t="shared" si="69"/>
        <v>26</v>
      </c>
      <c r="E176" s="39">
        <f t="shared" si="69"/>
        <v>4</v>
      </c>
      <c r="F176" s="39">
        <f t="shared" si="69"/>
        <v>45</v>
      </c>
      <c r="G176" s="50">
        <f t="shared" si="49"/>
        <v>226</v>
      </c>
      <c r="H176" s="44">
        <f t="shared" ref="H176:L176" si="82">H70+H71+H72+H73</f>
        <v>0</v>
      </c>
      <c r="I176" s="39">
        <f t="shared" si="82"/>
        <v>0</v>
      </c>
      <c r="J176" s="39">
        <f t="shared" si="82"/>
        <v>0</v>
      </c>
      <c r="K176" s="45">
        <f t="shared" si="82"/>
        <v>0</v>
      </c>
      <c r="L176" s="144">
        <f t="shared" si="82"/>
        <v>0</v>
      </c>
      <c r="M176" s="50">
        <f t="shared" si="14"/>
        <v>0</v>
      </c>
      <c r="N176" s="40">
        <f t="shared" si="15"/>
        <v>226</v>
      </c>
      <c r="O176" s="43">
        <f t="shared" si="16"/>
        <v>385.5</v>
      </c>
    </row>
    <row r="177" spans="1:15" ht="22.95" customHeight="1" x14ac:dyDescent="0.3">
      <c r="A177" s="52" t="s">
        <v>243</v>
      </c>
      <c r="B177" s="44">
        <f t="shared" si="69"/>
        <v>107</v>
      </c>
      <c r="C177" s="39">
        <f t="shared" si="69"/>
        <v>40</v>
      </c>
      <c r="D177" s="39">
        <f t="shared" si="69"/>
        <v>31</v>
      </c>
      <c r="E177" s="39">
        <f t="shared" si="69"/>
        <v>6</v>
      </c>
      <c r="F177" s="39">
        <f t="shared" si="69"/>
        <v>43</v>
      </c>
      <c r="G177" s="50">
        <f t="shared" si="49"/>
        <v>227</v>
      </c>
      <c r="H177" s="44">
        <f t="shared" ref="H177:L177" si="83">H71+H72+H73+H74</f>
        <v>0</v>
      </c>
      <c r="I177" s="39">
        <f t="shared" si="83"/>
        <v>0</v>
      </c>
      <c r="J177" s="39">
        <f t="shared" si="83"/>
        <v>0</v>
      </c>
      <c r="K177" s="45">
        <f t="shared" si="83"/>
        <v>0</v>
      </c>
      <c r="L177" s="144">
        <f t="shared" si="83"/>
        <v>0</v>
      </c>
      <c r="M177" s="50">
        <f t="shared" si="14"/>
        <v>0</v>
      </c>
      <c r="N177" s="40">
        <f t="shared" si="15"/>
        <v>227</v>
      </c>
      <c r="O177" s="43">
        <f t="shared" si="16"/>
        <v>385</v>
      </c>
    </row>
    <row r="178" spans="1:15" ht="22.95" customHeight="1" x14ac:dyDescent="0.3">
      <c r="A178" s="52" t="s">
        <v>244</v>
      </c>
      <c r="B178" s="44">
        <f t="shared" si="69"/>
        <v>99</v>
      </c>
      <c r="C178" s="39">
        <f t="shared" si="69"/>
        <v>40</v>
      </c>
      <c r="D178" s="39">
        <f t="shared" si="69"/>
        <v>36</v>
      </c>
      <c r="E178" s="39">
        <f t="shared" si="69"/>
        <v>6</v>
      </c>
      <c r="F178" s="39">
        <f t="shared" si="69"/>
        <v>33</v>
      </c>
      <c r="G178" s="50">
        <f t="shared" ref="G178:G206" si="84">SUM(B178:F178)</f>
        <v>214</v>
      </c>
      <c r="H178" s="44">
        <f t="shared" ref="H178:L178" si="85">H72+H73+H74+H75</f>
        <v>0</v>
      </c>
      <c r="I178" s="39">
        <f t="shared" si="85"/>
        <v>0</v>
      </c>
      <c r="J178" s="39">
        <f t="shared" si="85"/>
        <v>0</v>
      </c>
      <c r="K178" s="45">
        <f t="shared" si="85"/>
        <v>0</v>
      </c>
      <c r="L178" s="144">
        <f t="shared" si="85"/>
        <v>0</v>
      </c>
      <c r="M178" s="50">
        <f t="shared" si="14"/>
        <v>0</v>
      </c>
      <c r="N178" s="40">
        <f t="shared" si="15"/>
        <v>214</v>
      </c>
      <c r="O178" s="43">
        <f t="shared" si="16"/>
        <v>339.5</v>
      </c>
    </row>
    <row r="179" spans="1:15" ht="22.95" customHeight="1" x14ac:dyDescent="0.3">
      <c r="A179" s="52" t="s">
        <v>245</v>
      </c>
      <c r="B179" s="44">
        <f t="shared" si="69"/>
        <v>113</v>
      </c>
      <c r="C179" s="39">
        <f t="shared" si="69"/>
        <v>28</v>
      </c>
      <c r="D179" s="39">
        <f t="shared" si="69"/>
        <v>31</v>
      </c>
      <c r="E179" s="39">
        <f t="shared" si="69"/>
        <v>9</v>
      </c>
      <c r="F179" s="39">
        <f t="shared" si="69"/>
        <v>24</v>
      </c>
      <c r="G179" s="50">
        <f t="shared" si="84"/>
        <v>205</v>
      </c>
      <c r="H179" s="44">
        <f t="shared" ref="H179:L179" si="86">H73+H74+H75+H76</f>
        <v>0</v>
      </c>
      <c r="I179" s="39">
        <f t="shared" si="86"/>
        <v>0</v>
      </c>
      <c r="J179" s="39">
        <f t="shared" si="86"/>
        <v>0</v>
      </c>
      <c r="K179" s="45">
        <f t="shared" si="86"/>
        <v>0</v>
      </c>
      <c r="L179" s="144">
        <f t="shared" si="86"/>
        <v>0</v>
      </c>
      <c r="M179" s="50">
        <f t="shared" ref="M179:M206" si="87">SUM(H179:K179)</f>
        <v>0</v>
      </c>
      <c r="N179" s="40">
        <f t="shared" ref="N179:N206" si="88">G179+M179</f>
        <v>205</v>
      </c>
      <c r="O179" s="43">
        <f t="shared" ref="O179:O206" si="89">B179*1+C179*0.5+D179*1.5+E179*3+F179*4.5+H179*0.5+I179*1.5+J179*3+K179*4+L179*8</f>
        <v>308.5</v>
      </c>
    </row>
    <row r="180" spans="1:15" ht="22.95" customHeight="1" x14ac:dyDescent="0.3">
      <c r="A180" s="52" t="s">
        <v>246</v>
      </c>
      <c r="B180" s="44">
        <f t="shared" ref="B180:F195" si="90">B74+B75+B76+B77</f>
        <v>97</v>
      </c>
      <c r="C180" s="39">
        <f t="shared" si="90"/>
        <v>20</v>
      </c>
      <c r="D180" s="39">
        <f t="shared" si="90"/>
        <v>38</v>
      </c>
      <c r="E180" s="39">
        <f t="shared" si="90"/>
        <v>10</v>
      </c>
      <c r="F180" s="39">
        <f t="shared" si="90"/>
        <v>17</v>
      </c>
      <c r="G180" s="50">
        <f t="shared" si="84"/>
        <v>182</v>
      </c>
      <c r="H180" s="44">
        <f t="shared" ref="H180:L180" si="91">H74+H75+H76+H77</f>
        <v>0</v>
      </c>
      <c r="I180" s="39">
        <f t="shared" si="91"/>
        <v>0</v>
      </c>
      <c r="J180" s="39">
        <f t="shared" si="91"/>
        <v>0</v>
      </c>
      <c r="K180" s="45">
        <f t="shared" si="91"/>
        <v>0</v>
      </c>
      <c r="L180" s="144">
        <f t="shared" si="91"/>
        <v>0</v>
      </c>
      <c r="M180" s="50">
        <f t="shared" si="87"/>
        <v>0</v>
      </c>
      <c r="N180" s="40">
        <f t="shared" si="88"/>
        <v>182</v>
      </c>
      <c r="O180" s="43">
        <f t="shared" si="89"/>
        <v>270.5</v>
      </c>
    </row>
    <row r="181" spans="1:15" ht="22.95" customHeight="1" x14ac:dyDescent="0.3">
      <c r="A181" s="52" t="s">
        <v>247</v>
      </c>
      <c r="B181" s="44">
        <f t="shared" si="90"/>
        <v>76</v>
      </c>
      <c r="C181" s="39">
        <f t="shared" si="90"/>
        <v>15</v>
      </c>
      <c r="D181" s="39">
        <f t="shared" si="90"/>
        <v>28</v>
      </c>
      <c r="E181" s="39">
        <f t="shared" si="90"/>
        <v>7</v>
      </c>
      <c r="F181" s="39">
        <f t="shared" si="90"/>
        <v>21</v>
      </c>
      <c r="G181" s="50">
        <f t="shared" si="84"/>
        <v>147</v>
      </c>
      <c r="H181" s="44">
        <f t="shared" ref="H181:L181" si="92">H75+H76+H77+H78</f>
        <v>0</v>
      </c>
      <c r="I181" s="39">
        <f t="shared" si="92"/>
        <v>0</v>
      </c>
      <c r="J181" s="39">
        <f t="shared" si="92"/>
        <v>0</v>
      </c>
      <c r="K181" s="45">
        <f t="shared" si="92"/>
        <v>0</v>
      </c>
      <c r="L181" s="144">
        <f t="shared" si="92"/>
        <v>0</v>
      </c>
      <c r="M181" s="50">
        <f t="shared" si="87"/>
        <v>0</v>
      </c>
      <c r="N181" s="40">
        <f t="shared" si="88"/>
        <v>147</v>
      </c>
      <c r="O181" s="43">
        <f t="shared" si="89"/>
        <v>241</v>
      </c>
    </row>
    <row r="182" spans="1:15" ht="22.95" customHeight="1" x14ac:dyDescent="0.3">
      <c r="A182" s="52" t="s">
        <v>248</v>
      </c>
      <c r="B182" s="44">
        <f t="shared" si="90"/>
        <v>58</v>
      </c>
      <c r="C182" s="39">
        <f t="shared" si="90"/>
        <v>8</v>
      </c>
      <c r="D182" s="39">
        <f t="shared" si="90"/>
        <v>18</v>
      </c>
      <c r="E182" s="39">
        <f t="shared" si="90"/>
        <v>8</v>
      </c>
      <c r="F182" s="39">
        <f t="shared" si="90"/>
        <v>34</v>
      </c>
      <c r="G182" s="50">
        <f t="shared" si="84"/>
        <v>126</v>
      </c>
      <c r="H182" s="44">
        <f t="shared" ref="H182:L182" si="93">H76+H77+H78+H79</f>
        <v>0</v>
      </c>
      <c r="I182" s="39">
        <f t="shared" si="93"/>
        <v>0</v>
      </c>
      <c r="J182" s="39">
        <f t="shared" si="93"/>
        <v>0</v>
      </c>
      <c r="K182" s="45">
        <f t="shared" si="93"/>
        <v>0</v>
      </c>
      <c r="L182" s="144">
        <f t="shared" si="93"/>
        <v>0</v>
      </c>
      <c r="M182" s="50">
        <f t="shared" si="87"/>
        <v>0</v>
      </c>
      <c r="N182" s="40">
        <f t="shared" si="88"/>
        <v>126</v>
      </c>
      <c r="O182" s="43">
        <f t="shared" si="89"/>
        <v>266</v>
      </c>
    </row>
    <row r="183" spans="1:15" ht="22.95" customHeight="1" x14ac:dyDescent="0.3">
      <c r="A183" s="52" t="s">
        <v>249</v>
      </c>
      <c r="B183" s="44">
        <f t="shared" si="90"/>
        <v>66</v>
      </c>
      <c r="C183" s="39">
        <f t="shared" si="90"/>
        <v>12</v>
      </c>
      <c r="D183" s="39">
        <f t="shared" si="90"/>
        <v>23</v>
      </c>
      <c r="E183" s="39">
        <f t="shared" si="90"/>
        <v>6</v>
      </c>
      <c r="F183" s="39">
        <f t="shared" si="90"/>
        <v>37</v>
      </c>
      <c r="G183" s="50">
        <f t="shared" si="84"/>
        <v>144</v>
      </c>
      <c r="H183" s="44">
        <f t="shared" ref="H183:L183" si="94">H77+H78+H79+H80</f>
        <v>0</v>
      </c>
      <c r="I183" s="39">
        <f t="shared" si="94"/>
        <v>0</v>
      </c>
      <c r="J183" s="39">
        <f t="shared" si="94"/>
        <v>0</v>
      </c>
      <c r="K183" s="45">
        <f t="shared" si="94"/>
        <v>0</v>
      </c>
      <c r="L183" s="144">
        <f t="shared" si="94"/>
        <v>0</v>
      </c>
      <c r="M183" s="50">
        <f t="shared" si="87"/>
        <v>0</v>
      </c>
      <c r="N183" s="40">
        <f t="shared" si="88"/>
        <v>144</v>
      </c>
      <c r="O183" s="43">
        <f t="shared" si="89"/>
        <v>291</v>
      </c>
    </row>
    <row r="184" spans="1:15" ht="22.95" customHeight="1" x14ac:dyDescent="0.3">
      <c r="A184" s="52" t="s">
        <v>250</v>
      </c>
      <c r="B184" s="44">
        <f t="shared" si="90"/>
        <v>67</v>
      </c>
      <c r="C184" s="39">
        <f t="shared" si="90"/>
        <v>10</v>
      </c>
      <c r="D184" s="39">
        <f t="shared" si="90"/>
        <v>10</v>
      </c>
      <c r="E184" s="39">
        <f t="shared" si="90"/>
        <v>6</v>
      </c>
      <c r="F184" s="39">
        <f t="shared" si="90"/>
        <v>42</v>
      </c>
      <c r="G184" s="50">
        <f t="shared" si="84"/>
        <v>135</v>
      </c>
      <c r="H184" s="44">
        <f t="shared" ref="H184:L184" si="95">H78+H79+H80+H81</f>
        <v>0</v>
      </c>
      <c r="I184" s="39">
        <f t="shared" si="95"/>
        <v>0</v>
      </c>
      <c r="J184" s="39">
        <f t="shared" si="95"/>
        <v>0</v>
      </c>
      <c r="K184" s="45">
        <f t="shared" si="95"/>
        <v>0</v>
      </c>
      <c r="L184" s="144">
        <f t="shared" si="95"/>
        <v>0</v>
      </c>
      <c r="M184" s="50">
        <f t="shared" si="87"/>
        <v>0</v>
      </c>
      <c r="N184" s="40">
        <f t="shared" si="88"/>
        <v>135</v>
      </c>
      <c r="O184" s="43">
        <f t="shared" si="89"/>
        <v>294</v>
      </c>
    </row>
    <row r="185" spans="1:15" ht="22.95" customHeight="1" x14ac:dyDescent="0.3">
      <c r="A185" s="52" t="s">
        <v>251</v>
      </c>
      <c r="B185" s="44">
        <f t="shared" si="90"/>
        <v>75</v>
      </c>
      <c r="C185" s="39">
        <f t="shared" si="90"/>
        <v>6</v>
      </c>
      <c r="D185" s="39">
        <f t="shared" si="90"/>
        <v>12</v>
      </c>
      <c r="E185" s="39">
        <f t="shared" si="90"/>
        <v>7</v>
      </c>
      <c r="F185" s="39">
        <f t="shared" si="90"/>
        <v>33</v>
      </c>
      <c r="G185" s="50">
        <f t="shared" si="84"/>
        <v>133</v>
      </c>
      <c r="H185" s="44">
        <f t="shared" ref="H185:L185" si="96">H79+H80+H81+H82</f>
        <v>0</v>
      </c>
      <c r="I185" s="39">
        <f t="shared" si="96"/>
        <v>0</v>
      </c>
      <c r="J185" s="39">
        <f t="shared" si="96"/>
        <v>0</v>
      </c>
      <c r="K185" s="45">
        <f t="shared" si="96"/>
        <v>0</v>
      </c>
      <c r="L185" s="144">
        <f t="shared" si="96"/>
        <v>0</v>
      </c>
      <c r="M185" s="50">
        <f t="shared" si="87"/>
        <v>0</v>
      </c>
      <c r="N185" s="40">
        <f t="shared" si="88"/>
        <v>133</v>
      </c>
      <c r="O185" s="43">
        <f t="shared" si="89"/>
        <v>265.5</v>
      </c>
    </row>
    <row r="186" spans="1:15" ht="22.95" customHeight="1" x14ac:dyDescent="0.3">
      <c r="A186" s="52" t="s">
        <v>252</v>
      </c>
      <c r="B186" s="44">
        <f t="shared" si="90"/>
        <v>78</v>
      </c>
      <c r="C186" s="39">
        <f t="shared" si="90"/>
        <v>7</v>
      </c>
      <c r="D186" s="39">
        <f t="shared" si="90"/>
        <v>13</v>
      </c>
      <c r="E186" s="39">
        <f t="shared" si="90"/>
        <v>5</v>
      </c>
      <c r="F186" s="39">
        <f t="shared" si="90"/>
        <v>24</v>
      </c>
      <c r="G186" s="50">
        <f t="shared" si="84"/>
        <v>127</v>
      </c>
      <c r="H186" s="44">
        <f t="shared" ref="H186:L186" si="97">H80+H81+H82+H83</f>
        <v>0</v>
      </c>
      <c r="I186" s="39">
        <f t="shared" si="97"/>
        <v>0</v>
      </c>
      <c r="J186" s="39">
        <f t="shared" si="97"/>
        <v>0</v>
      </c>
      <c r="K186" s="45">
        <f t="shared" si="97"/>
        <v>0</v>
      </c>
      <c r="L186" s="144">
        <f t="shared" si="97"/>
        <v>0</v>
      </c>
      <c r="M186" s="50">
        <f t="shared" si="87"/>
        <v>0</v>
      </c>
      <c r="N186" s="40">
        <f t="shared" si="88"/>
        <v>127</v>
      </c>
      <c r="O186" s="43">
        <f t="shared" si="89"/>
        <v>224</v>
      </c>
    </row>
    <row r="187" spans="1:15" ht="22.95" customHeight="1" x14ac:dyDescent="0.3">
      <c r="A187" s="52" t="s">
        <v>253</v>
      </c>
      <c r="B187" s="44">
        <f t="shared" si="90"/>
        <v>80</v>
      </c>
      <c r="C187" s="39">
        <f t="shared" si="90"/>
        <v>4</v>
      </c>
      <c r="D187" s="39">
        <f t="shared" si="90"/>
        <v>8</v>
      </c>
      <c r="E187" s="39">
        <f t="shared" si="90"/>
        <v>4</v>
      </c>
      <c r="F187" s="39">
        <f t="shared" si="90"/>
        <v>19</v>
      </c>
      <c r="G187" s="50">
        <f t="shared" si="84"/>
        <v>115</v>
      </c>
      <c r="H187" s="44">
        <f t="shared" ref="H187:L187" si="98">H81+H82+H83+H84</f>
        <v>0</v>
      </c>
      <c r="I187" s="39">
        <f t="shared" si="98"/>
        <v>0</v>
      </c>
      <c r="J187" s="39">
        <f t="shared" si="98"/>
        <v>0</v>
      </c>
      <c r="K187" s="45">
        <f t="shared" si="98"/>
        <v>0</v>
      </c>
      <c r="L187" s="144">
        <f t="shared" si="98"/>
        <v>0</v>
      </c>
      <c r="M187" s="50">
        <f t="shared" si="87"/>
        <v>0</v>
      </c>
      <c r="N187" s="40">
        <f t="shared" si="88"/>
        <v>115</v>
      </c>
      <c r="O187" s="43">
        <f t="shared" si="89"/>
        <v>191.5</v>
      </c>
    </row>
    <row r="188" spans="1:15" ht="22.95" customHeight="1" x14ac:dyDescent="0.3">
      <c r="A188" s="52" t="s">
        <v>254</v>
      </c>
      <c r="B188" s="44">
        <f t="shared" si="90"/>
        <v>79</v>
      </c>
      <c r="C188" s="39">
        <f t="shared" si="90"/>
        <v>6</v>
      </c>
      <c r="D188" s="39">
        <f t="shared" si="90"/>
        <v>10</v>
      </c>
      <c r="E188" s="39">
        <f t="shared" si="90"/>
        <v>2</v>
      </c>
      <c r="F188" s="39">
        <f t="shared" si="90"/>
        <v>16</v>
      </c>
      <c r="G188" s="50">
        <f t="shared" si="84"/>
        <v>113</v>
      </c>
      <c r="H188" s="44">
        <f t="shared" ref="H188:L188" si="99">H82+H83+H84+H85</f>
        <v>0</v>
      </c>
      <c r="I188" s="39">
        <f t="shared" si="99"/>
        <v>0</v>
      </c>
      <c r="J188" s="39">
        <f t="shared" si="99"/>
        <v>0</v>
      </c>
      <c r="K188" s="45">
        <f t="shared" si="99"/>
        <v>0</v>
      </c>
      <c r="L188" s="144">
        <f t="shared" si="99"/>
        <v>0</v>
      </c>
      <c r="M188" s="50">
        <f t="shared" si="87"/>
        <v>0</v>
      </c>
      <c r="N188" s="40">
        <f t="shared" si="88"/>
        <v>113</v>
      </c>
      <c r="O188" s="43">
        <f t="shared" si="89"/>
        <v>175</v>
      </c>
    </row>
    <row r="189" spans="1:15" ht="22.95" customHeight="1" x14ac:dyDescent="0.3">
      <c r="A189" s="52" t="s">
        <v>255</v>
      </c>
      <c r="B189" s="44">
        <f t="shared" si="90"/>
        <v>67</v>
      </c>
      <c r="C189" s="39">
        <f t="shared" si="90"/>
        <v>6</v>
      </c>
      <c r="D189" s="39">
        <f t="shared" si="90"/>
        <v>10</v>
      </c>
      <c r="E189" s="39">
        <f t="shared" si="90"/>
        <v>1</v>
      </c>
      <c r="F189" s="39">
        <f t="shared" si="90"/>
        <v>18</v>
      </c>
      <c r="G189" s="50">
        <f t="shared" si="84"/>
        <v>102</v>
      </c>
      <c r="H189" s="44">
        <f t="shared" ref="H189:L189" si="100">H83+H84+H85+H86</f>
        <v>0</v>
      </c>
      <c r="I189" s="39">
        <f t="shared" si="100"/>
        <v>0</v>
      </c>
      <c r="J189" s="39">
        <f t="shared" si="100"/>
        <v>0</v>
      </c>
      <c r="K189" s="45">
        <f t="shared" si="100"/>
        <v>0</v>
      </c>
      <c r="L189" s="144">
        <f t="shared" si="100"/>
        <v>0</v>
      </c>
      <c r="M189" s="50">
        <f t="shared" si="87"/>
        <v>0</v>
      </c>
      <c r="N189" s="40">
        <f t="shared" si="88"/>
        <v>102</v>
      </c>
      <c r="O189" s="43">
        <f t="shared" si="89"/>
        <v>169</v>
      </c>
    </row>
    <row r="190" spans="1:15" ht="22.95" customHeight="1" x14ac:dyDescent="0.3">
      <c r="A190" s="52" t="s">
        <v>256</v>
      </c>
      <c r="B190" s="44">
        <f t="shared" si="90"/>
        <v>62</v>
      </c>
      <c r="C190" s="39">
        <f t="shared" si="90"/>
        <v>6</v>
      </c>
      <c r="D190" s="39">
        <f t="shared" si="90"/>
        <v>10</v>
      </c>
      <c r="E190" s="39">
        <f t="shared" si="90"/>
        <v>4</v>
      </c>
      <c r="F190" s="39">
        <f t="shared" si="90"/>
        <v>23</v>
      </c>
      <c r="G190" s="50">
        <f t="shared" si="84"/>
        <v>105</v>
      </c>
      <c r="H190" s="44">
        <f t="shared" ref="H190:L190" si="101">H84+H85+H86+H87</f>
        <v>0</v>
      </c>
      <c r="I190" s="39">
        <f t="shared" si="101"/>
        <v>0</v>
      </c>
      <c r="J190" s="39">
        <f t="shared" si="101"/>
        <v>0</v>
      </c>
      <c r="K190" s="45">
        <f t="shared" si="101"/>
        <v>0</v>
      </c>
      <c r="L190" s="144">
        <f t="shared" si="101"/>
        <v>0</v>
      </c>
      <c r="M190" s="50">
        <f t="shared" si="87"/>
        <v>0</v>
      </c>
      <c r="N190" s="40">
        <f t="shared" si="88"/>
        <v>105</v>
      </c>
      <c r="O190" s="43">
        <f t="shared" si="89"/>
        <v>195.5</v>
      </c>
    </row>
    <row r="191" spans="1:15" ht="22.95" customHeight="1" x14ac:dyDescent="0.3">
      <c r="A191" s="52" t="s">
        <v>257</v>
      </c>
      <c r="B191" s="44">
        <f t="shared" si="90"/>
        <v>68</v>
      </c>
      <c r="C191" s="39">
        <f t="shared" si="90"/>
        <v>4</v>
      </c>
      <c r="D191" s="39">
        <f t="shared" si="90"/>
        <v>11</v>
      </c>
      <c r="E191" s="39">
        <f t="shared" si="90"/>
        <v>4</v>
      </c>
      <c r="F191" s="39">
        <f t="shared" si="90"/>
        <v>23</v>
      </c>
      <c r="G191" s="50">
        <f t="shared" si="84"/>
        <v>110</v>
      </c>
      <c r="H191" s="44">
        <f t="shared" ref="H191:L191" si="102">H85+H86+H87+H88</f>
        <v>0</v>
      </c>
      <c r="I191" s="39">
        <f t="shared" si="102"/>
        <v>0</v>
      </c>
      <c r="J191" s="39">
        <f t="shared" si="102"/>
        <v>0</v>
      </c>
      <c r="K191" s="45">
        <f t="shared" si="102"/>
        <v>0</v>
      </c>
      <c r="L191" s="144">
        <f t="shared" si="102"/>
        <v>0</v>
      </c>
      <c r="M191" s="50">
        <f t="shared" si="87"/>
        <v>0</v>
      </c>
      <c r="N191" s="40">
        <f t="shared" si="88"/>
        <v>110</v>
      </c>
      <c r="O191" s="43">
        <f t="shared" si="89"/>
        <v>202</v>
      </c>
    </row>
    <row r="192" spans="1:15" ht="22.95" customHeight="1" x14ac:dyDescent="0.3">
      <c r="A192" s="52" t="s">
        <v>258</v>
      </c>
      <c r="B192" s="44">
        <f t="shared" si="90"/>
        <v>84</v>
      </c>
      <c r="C192" s="39">
        <f t="shared" si="90"/>
        <v>2</v>
      </c>
      <c r="D192" s="39">
        <f t="shared" si="90"/>
        <v>11</v>
      </c>
      <c r="E192" s="39">
        <f t="shared" si="90"/>
        <v>4</v>
      </c>
      <c r="F192" s="39">
        <f t="shared" si="90"/>
        <v>26</v>
      </c>
      <c r="G192" s="50">
        <f t="shared" si="84"/>
        <v>127</v>
      </c>
      <c r="H192" s="44">
        <f t="shared" ref="H192:L192" si="103">H86+H87+H88+H89</f>
        <v>0</v>
      </c>
      <c r="I192" s="39">
        <f t="shared" si="103"/>
        <v>0</v>
      </c>
      <c r="J192" s="39">
        <f t="shared" si="103"/>
        <v>0</v>
      </c>
      <c r="K192" s="45">
        <f t="shared" si="103"/>
        <v>0</v>
      </c>
      <c r="L192" s="144">
        <f t="shared" si="103"/>
        <v>0</v>
      </c>
      <c r="M192" s="50">
        <f t="shared" si="87"/>
        <v>0</v>
      </c>
      <c r="N192" s="40">
        <f t="shared" si="88"/>
        <v>127</v>
      </c>
      <c r="O192" s="43">
        <f t="shared" si="89"/>
        <v>230.5</v>
      </c>
    </row>
    <row r="193" spans="1:15" ht="22.95" customHeight="1" x14ac:dyDescent="0.3">
      <c r="A193" s="52" t="s">
        <v>259</v>
      </c>
      <c r="B193" s="44">
        <f t="shared" si="90"/>
        <v>97</v>
      </c>
      <c r="C193" s="39">
        <f t="shared" si="90"/>
        <v>6</v>
      </c>
      <c r="D193" s="39">
        <f t="shared" si="90"/>
        <v>8</v>
      </c>
      <c r="E193" s="39">
        <f t="shared" si="90"/>
        <v>4</v>
      </c>
      <c r="F193" s="39">
        <f t="shared" si="90"/>
        <v>29</v>
      </c>
      <c r="G193" s="50">
        <f t="shared" si="84"/>
        <v>144</v>
      </c>
      <c r="H193" s="44">
        <f t="shared" ref="H193:L193" si="104">H87+H88+H89+H90</f>
        <v>0</v>
      </c>
      <c r="I193" s="39">
        <f t="shared" si="104"/>
        <v>0</v>
      </c>
      <c r="J193" s="39">
        <f t="shared" si="104"/>
        <v>0</v>
      </c>
      <c r="K193" s="45">
        <f t="shared" si="104"/>
        <v>0</v>
      </c>
      <c r="L193" s="144">
        <f t="shared" si="104"/>
        <v>0</v>
      </c>
      <c r="M193" s="50">
        <f t="shared" si="87"/>
        <v>0</v>
      </c>
      <c r="N193" s="40">
        <f t="shared" si="88"/>
        <v>144</v>
      </c>
      <c r="O193" s="43">
        <f t="shared" si="89"/>
        <v>254.5</v>
      </c>
    </row>
    <row r="194" spans="1:15" ht="22.95" customHeight="1" x14ac:dyDescent="0.3">
      <c r="A194" s="52" t="s">
        <v>260</v>
      </c>
      <c r="B194" s="44">
        <f t="shared" si="90"/>
        <v>103</v>
      </c>
      <c r="C194" s="39">
        <f t="shared" si="90"/>
        <v>7</v>
      </c>
      <c r="D194" s="39">
        <f t="shared" si="90"/>
        <v>8</v>
      </c>
      <c r="E194" s="39">
        <f t="shared" si="90"/>
        <v>2</v>
      </c>
      <c r="F194" s="39">
        <f t="shared" si="90"/>
        <v>25</v>
      </c>
      <c r="G194" s="50">
        <f t="shared" si="84"/>
        <v>145</v>
      </c>
      <c r="H194" s="44">
        <f t="shared" ref="H194:L194" si="105">H88+H89+H90+H91</f>
        <v>0</v>
      </c>
      <c r="I194" s="39">
        <f t="shared" si="105"/>
        <v>0</v>
      </c>
      <c r="J194" s="39">
        <f t="shared" si="105"/>
        <v>0</v>
      </c>
      <c r="K194" s="45">
        <f t="shared" si="105"/>
        <v>0</v>
      </c>
      <c r="L194" s="144">
        <f t="shared" si="105"/>
        <v>0</v>
      </c>
      <c r="M194" s="50">
        <f t="shared" si="87"/>
        <v>0</v>
      </c>
      <c r="N194" s="40">
        <f t="shared" si="88"/>
        <v>145</v>
      </c>
      <c r="O194" s="43">
        <f t="shared" si="89"/>
        <v>237</v>
      </c>
    </row>
    <row r="195" spans="1:15" ht="22.95" customHeight="1" x14ac:dyDescent="0.3">
      <c r="A195" s="52" t="s">
        <v>261</v>
      </c>
      <c r="B195" s="44">
        <f t="shared" si="90"/>
        <v>94</v>
      </c>
      <c r="C195" s="39">
        <f t="shared" si="90"/>
        <v>8</v>
      </c>
      <c r="D195" s="39">
        <f t="shared" si="90"/>
        <v>6</v>
      </c>
      <c r="E195" s="39">
        <f t="shared" si="90"/>
        <v>4</v>
      </c>
      <c r="F195" s="39">
        <f t="shared" si="90"/>
        <v>30</v>
      </c>
      <c r="G195" s="50">
        <f t="shared" si="84"/>
        <v>142</v>
      </c>
      <c r="H195" s="44">
        <f t="shared" ref="H195:L195" si="106">H89+H90+H91+H92</f>
        <v>0</v>
      </c>
      <c r="I195" s="39">
        <f t="shared" si="106"/>
        <v>0</v>
      </c>
      <c r="J195" s="39">
        <f t="shared" si="106"/>
        <v>0</v>
      </c>
      <c r="K195" s="45">
        <f t="shared" si="106"/>
        <v>0</v>
      </c>
      <c r="L195" s="144">
        <f t="shared" si="106"/>
        <v>0</v>
      </c>
      <c r="M195" s="50">
        <f t="shared" si="87"/>
        <v>0</v>
      </c>
      <c r="N195" s="40">
        <f t="shared" si="88"/>
        <v>142</v>
      </c>
      <c r="O195" s="43">
        <f t="shared" si="89"/>
        <v>254</v>
      </c>
    </row>
    <row r="196" spans="1:15" ht="22.95" customHeight="1" x14ac:dyDescent="0.3">
      <c r="A196" s="52" t="s">
        <v>270</v>
      </c>
      <c r="B196" s="44">
        <f t="shared" ref="B196:F206" si="107">B90+B91+B92+B93</f>
        <v>87</v>
      </c>
      <c r="C196" s="39">
        <f t="shared" si="107"/>
        <v>10</v>
      </c>
      <c r="D196" s="39">
        <f t="shared" si="107"/>
        <v>12</v>
      </c>
      <c r="E196" s="39">
        <f t="shared" si="107"/>
        <v>5</v>
      </c>
      <c r="F196" s="39">
        <f t="shared" si="107"/>
        <v>37</v>
      </c>
      <c r="G196" s="50">
        <f t="shared" si="84"/>
        <v>151</v>
      </c>
      <c r="H196" s="44">
        <f t="shared" ref="H196:L196" si="108">H90+H91+H92+H93</f>
        <v>0</v>
      </c>
      <c r="I196" s="39">
        <f t="shared" si="108"/>
        <v>0</v>
      </c>
      <c r="J196" s="39">
        <f t="shared" si="108"/>
        <v>0</v>
      </c>
      <c r="K196" s="45">
        <f t="shared" si="108"/>
        <v>0</v>
      </c>
      <c r="L196" s="144">
        <f t="shared" si="108"/>
        <v>0</v>
      </c>
      <c r="M196" s="50">
        <f t="shared" si="87"/>
        <v>0</v>
      </c>
      <c r="N196" s="40">
        <f t="shared" si="88"/>
        <v>151</v>
      </c>
      <c r="O196" s="43">
        <f t="shared" si="89"/>
        <v>291.5</v>
      </c>
    </row>
    <row r="197" spans="1:15" ht="22.95" customHeight="1" x14ac:dyDescent="0.3">
      <c r="A197" s="52" t="s">
        <v>271</v>
      </c>
      <c r="B197" s="44">
        <f t="shared" si="107"/>
        <v>114</v>
      </c>
      <c r="C197" s="39">
        <f t="shared" si="107"/>
        <v>19</v>
      </c>
      <c r="D197" s="39">
        <f t="shared" si="107"/>
        <v>19</v>
      </c>
      <c r="E197" s="39">
        <f t="shared" si="107"/>
        <v>6</v>
      </c>
      <c r="F197" s="39">
        <f t="shared" si="107"/>
        <v>38</v>
      </c>
      <c r="G197" s="50">
        <f t="shared" si="84"/>
        <v>196</v>
      </c>
      <c r="H197" s="44">
        <f t="shared" ref="H197:L197" si="109">H91+H92+H93+H94</f>
        <v>0</v>
      </c>
      <c r="I197" s="39">
        <f t="shared" si="109"/>
        <v>0</v>
      </c>
      <c r="J197" s="39">
        <f t="shared" si="109"/>
        <v>0</v>
      </c>
      <c r="K197" s="45">
        <f t="shared" si="109"/>
        <v>0</v>
      </c>
      <c r="L197" s="144">
        <f t="shared" si="109"/>
        <v>0</v>
      </c>
      <c r="M197" s="50">
        <f t="shared" si="87"/>
        <v>0</v>
      </c>
      <c r="N197" s="40">
        <f t="shared" si="88"/>
        <v>196</v>
      </c>
      <c r="O197" s="43">
        <f t="shared" si="89"/>
        <v>341</v>
      </c>
    </row>
    <row r="198" spans="1:15" ht="22.95" customHeight="1" x14ac:dyDescent="0.3">
      <c r="A198" s="52" t="s">
        <v>279</v>
      </c>
      <c r="B198" s="44">
        <f t="shared" si="107"/>
        <v>168</v>
      </c>
      <c r="C198" s="39">
        <f t="shared" si="107"/>
        <v>30</v>
      </c>
      <c r="D198" s="39">
        <f t="shared" si="107"/>
        <v>19</v>
      </c>
      <c r="E198" s="39">
        <f t="shared" si="107"/>
        <v>6</v>
      </c>
      <c r="F198" s="39">
        <f t="shared" si="107"/>
        <v>44</v>
      </c>
      <c r="G198" s="50">
        <f t="shared" si="84"/>
        <v>267</v>
      </c>
      <c r="H198" s="44">
        <f t="shared" ref="H198:L198" si="110">H92+H93+H94+H95</f>
        <v>0</v>
      </c>
      <c r="I198" s="39">
        <f t="shared" si="110"/>
        <v>0</v>
      </c>
      <c r="J198" s="39">
        <f t="shared" si="110"/>
        <v>0</v>
      </c>
      <c r="K198" s="45">
        <f t="shared" si="110"/>
        <v>0</v>
      </c>
      <c r="L198" s="144">
        <f t="shared" si="110"/>
        <v>0</v>
      </c>
      <c r="M198" s="50">
        <f t="shared" si="87"/>
        <v>0</v>
      </c>
      <c r="N198" s="40">
        <f t="shared" si="88"/>
        <v>267</v>
      </c>
      <c r="O198" s="43">
        <f t="shared" si="89"/>
        <v>427.5</v>
      </c>
    </row>
    <row r="199" spans="1:15" ht="22.95" customHeight="1" x14ac:dyDescent="0.3">
      <c r="A199" s="52" t="s">
        <v>62</v>
      </c>
      <c r="B199" s="44">
        <f t="shared" si="107"/>
        <v>203</v>
      </c>
      <c r="C199" s="39">
        <f t="shared" si="107"/>
        <v>67</v>
      </c>
      <c r="D199" s="39">
        <f t="shared" si="107"/>
        <v>23</v>
      </c>
      <c r="E199" s="39">
        <f t="shared" si="107"/>
        <v>6</v>
      </c>
      <c r="F199" s="39">
        <f t="shared" si="107"/>
        <v>48</v>
      </c>
      <c r="G199" s="50">
        <f t="shared" si="84"/>
        <v>347</v>
      </c>
      <c r="H199" s="44">
        <f t="shared" ref="H199:L199" si="111">H93+H94+H95+H96</f>
        <v>0</v>
      </c>
      <c r="I199" s="39">
        <f t="shared" si="111"/>
        <v>0</v>
      </c>
      <c r="J199" s="39">
        <f t="shared" si="111"/>
        <v>0</v>
      </c>
      <c r="K199" s="45">
        <f t="shared" si="111"/>
        <v>0</v>
      </c>
      <c r="L199" s="144">
        <f t="shared" si="111"/>
        <v>0</v>
      </c>
      <c r="M199" s="50">
        <f t="shared" si="87"/>
        <v>0</v>
      </c>
      <c r="N199" s="40">
        <f t="shared" si="88"/>
        <v>347</v>
      </c>
      <c r="O199" s="43">
        <f t="shared" si="89"/>
        <v>505</v>
      </c>
    </row>
    <row r="200" spans="1:15" ht="22.95" customHeight="1" x14ac:dyDescent="0.3">
      <c r="A200" s="52" t="s">
        <v>63</v>
      </c>
      <c r="B200" s="44">
        <f t="shared" si="107"/>
        <v>242</v>
      </c>
      <c r="C200" s="39">
        <f t="shared" si="107"/>
        <v>108</v>
      </c>
      <c r="D200" s="39">
        <f t="shared" si="107"/>
        <v>18</v>
      </c>
      <c r="E200" s="39">
        <f t="shared" si="107"/>
        <v>8</v>
      </c>
      <c r="F200" s="39">
        <f t="shared" si="107"/>
        <v>48</v>
      </c>
      <c r="G200" s="50">
        <f t="shared" si="84"/>
        <v>424</v>
      </c>
      <c r="H200" s="44">
        <f t="shared" ref="H200:L200" si="112">H94+H95+H96+H97</f>
        <v>0</v>
      </c>
      <c r="I200" s="39">
        <f t="shared" si="112"/>
        <v>0</v>
      </c>
      <c r="J200" s="39">
        <f t="shared" si="112"/>
        <v>0</v>
      </c>
      <c r="K200" s="45">
        <f t="shared" si="112"/>
        <v>0</v>
      </c>
      <c r="L200" s="144">
        <f t="shared" si="112"/>
        <v>0</v>
      </c>
      <c r="M200" s="50">
        <f t="shared" si="87"/>
        <v>0</v>
      </c>
      <c r="N200" s="40">
        <f t="shared" si="88"/>
        <v>424</v>
      </c>
      <c r="O200" s="43">
        <f t="shared" si="89"/>
        <v>563</v>
      </c>
    </row>
    <row r="201" spans="1:15" ht="22.95" customHeight="1" x14ac:dyDescent="0.3">
      <c r="A201" s="52" t="s">
        <v>64</v>
      </c>
      <c r="B201" s="44">
        <f t="shared" si="107"/>
        <v>287</v>
      </c>
      <c r="C201" s="39">
        <f t="shared" si="107"/>
        <v>140</v>
      </c>
      <c r="D201" s="39">
        <f t="shared" si="107"/>
        <v>17</v>
      </c>
      <c r="E201" s="39">
        <f t="shared" si="107"/>
        <v>11</v>
      </c>
      <c r="F201" s="39">
        <f t="shared" si="107"/>
        <v>44</v>
      </c>
      <c r="G201" s="50">
        <f t="shared" si="84"/>
        <v>499</v>
      </c>
      <c r="H201" s="44">
        <f t="shared" ref="H201:L201" si="113">H95+H96+H97+H98</f>
        <v>0</v>
      </c>
      <c r="I201" s="39">
        <f t="shared" si="113"/>
        <v>0</v>
      </c>
      <c r="J201" s="39">
        <f t="shared" si="113"/>
        <v>0</v>
      </c>
      <c r="K201" s="45">
        <f t="shared" si="113"/>
        <v>0</v>
      </c>
      <c r="L201" s="144">
        <f t="shared" si="113"/>
        <v>0</v>
      </c>
      <c r="M201" s="50">
        <f t="shared" si="87"/>
        <v>0</v>
      </c>
      <c r="N201" s="40">
        <f t="shared" si="88"/>
        <v>499</v>
      </c>
      <c r="O201" s="43">
        <f t="shared" si="89"/>
        <v>613.5</v>
      </c>
    </row>
    <row r="202" spans="1:15" ht="22.95" customHeight="1" x14ac:dyDescent="0.3">
      <c r="A202" s="52" t="s">
        <v>65</v>
      </c>
      <c r="B202" s="44">
        <f t="shared" si="107"/>
        <v>307</v>
      </c>
      <c r="C202" s="39">
        <f t="shared" si="107"/>
        <v>168</v>
      </c>
      <c r="D202" s="39">
        <f t="shared" si="107"/>
        <v>16</v>
      </c>
      <c r="E202" s="39">
        <f t="shared" si="107"/>
        <v>14</v>
      </c>
      <c r="F202" s="39">
        <f t="shared" si="107"/>
        <v>38</v>
      </c>
      <c r="G202" s="50">
        <f t="shared" si="84"/>
        <v>543</v>
      </c>
      <c r="H202" s="44">
        <f t="shared" ref="H202:L202" si="114">H96+H97+H98+H99</f>
        <v>0</v>
      </c>
      <c r="I202" s="39">
        <f t="shared" si="114"/>
        <v>0</v>
      </c>
      <c r="J202" s="39">
        <f t="shared" si="114"/>
        <v>0</v>
      </c>
      <c r="K202" s="45">
        <f t="shared" si="114"/>
        <v>0</v>
      </c>
      <c r="L202" s="144">
        <f t="shared" si="114"/>
        <v>0</v>
      </c>
      <c r="M202" s="50">
        <f t="shared" si="87"/>
        <v>0</v>
      </c>
      <c r="N202" s="40">
        <f t="shared" si="88"/>
        <v>543</v>
      </c>
      <c r="O202" s="43">
        <f t="shared" si="89"/>
        <v>628</v>
      </c>
    </row>
    <row r="203" spans="1:15" ht="22.95" customHeight="1" x14ac:dyDescent="0.3">
      <c r="A203" s="52" t="s">
        <v>66</v>
      </c>
      <c r="B203" s="44">
        <f t="shared" si="107"/>
        <v>333</v>
      </c>
      <c r="C203" s="39">
        <f t="shared" si="107"/>
        <v>166</v>
      </c>
      <c r="D203" s="39">
        <f t="shared" si="107"/>
        <v>16</v>
      </c>
      <c r="E203" s="39">
        <f t="shared" si="107"/>
        <v>17</v>
      </c>
      <c r="F203" s="39">
        <f t="shared" si="107"/>
        <v>35</v>
      </c>
      <c r="G203" s="50">
        <f t="shared" si="84"/>
        <v>567</v>
      </c>
      <c r="H203" s="44">
        <f t="shared" ref="H203:L203" si="115">H97+H98+H99+H100</f>
        <v>0</v>
      </c>
      <c r="I203" s="39">
        <f t="shared" si="115"/>
        <v>0</v>
      </c>
      <c r="J203" s="39">
        <f t="shared" si="115"/>
        <v>0</v>
      </c>
      <c r="K203" s="45">
        <f t="shared" si="115"/>
        <v>0</v>
      </c>
      <c r="L203" s="144">
        <f t="shared" si="115"/>
        <v>1</v>
      </c>
      <c r="M203" s="50">
        <f t="shared" si="87"/>
        <v>0</v>
      </c>
      <c r="N203" s="40">
        <f t="shared" si="88"/>
        <v>567</v>
      </c>
      <c r="O203" s="43">
        <f t="shared" si="89"/>
        <v>656.5</v>
      </c>
    </row>
    <row r="204" spans="1:15" ht="22.95" customHeight="1" x14ac:dyDescent="0.3">
      <c r="A204" s="52" t="s">
        <v>67</v>
      </c>
      <c r="B204" s="44">
        <f t="shared" si="107"/>
        <v>380</v>
      </c>
      <c r="C204" s="39">
        <f t="shared" si="107"/>
        <v>149</v>
      </c>
      <c r="D204" s="39">
        <f t="shared" si="107"/>
        <v>18</v>
      </c>
      <c r="E204" s="39">
        <f t="shared" si="107"/>
        <v>17</v>
      </c>
      <c r="F204" s="39">
        <f t="shared" si="107"/>
        <v>37</v>
      </c>
      <c r="G204" s="50">
        <f t="shared" si="84"/>
        <v>601</v>
      </c>
      <c r="H204" s="44">
        <f t="shared" ref="H204:L204" si="116">H98+H99+H100+H101</f>
        <v>0</v>
      </c>
      <c r="I204" s="39">
        <f t="shared" si="116"/>
        <v>0</v>
      </c>
      <c r="J204" s="39">
        <f t="shared" si="116"/>
        <v>0</v>
      </c>
      <c r="K204" s="45">
        <f t="shared" si="116"/>
        <v>0</v>
      </c>
      <c r="L204" s="144">
        <f t="shared" si="116"/>
        <v>1</v>
      </c>
      <c r="M204" s="50">
        <f t="shared" si="87"/>
        <v>0</v>
      </c>
      <c r="N204" s="40">
        <f t="shared" si="88"/>
        <v>601</v>
      </c>
      <c r="O204" s="43">
        <f t="shared" si="89"/>
        <v>707</v>
      </c>
    </row>
    <row r="205" spans="1:15" ht="22.95" customHeight="1" x14ac:dyDescent="0.3">
      <c r="A205" s="52" t="s">
        <v>68</v>
      </c>
      <c r="B205" s="44">
        <f t="shared" si="107"/>
        <v>394</v>
      </c>
      <c r="C205" s="39">
        <f t="shared" si="107"/>
        <v>131</v>
      </c>
      <c r="D205" s="39">
        <f t="shared" si="107"/>
        <v>17</v>
      </c>
      <c r="E205" s="39">
        <f t="shared" si="107"/>
        <v>14</v>
      </c>
      <c r="F205" s="39">
        <f t="shared" si="107"/>
        <v>46</v>
      </c>
      <c r="G205" s="50">
        <f t="shared" si="84"/>
        <v>602</v>
      </c>
      <c r="H205" s="44">
        <f t="shared" ref="H205:L205" si="117">H99+H100+H101+H102</f>
        <v>0</v>
      </c>
      <c r="I205" s="39">
        <f t="shared" si="117"/>
        <v>0</v>
      </c>
      <c r="J205" s="39">
        <f t="shared" si="117"/>
        <v>0</v>
      </c>
      <c r="K205" s="45">
        <f t="shared" si="117"/>
        <v>0</v>
      </c>
      <c r="L205" s="144">
        <f t="shared" si="117"/>
        <v>1</v>
      </c>
      <c r="M205" s="50">
        <f t="shared" si="87"/>
        <v>0</v>
      </c>
      <c r="N205" s="40">
        <f t="shared" si="88"/>
        <v>602</v>
      </c>
      <c r="O205" s="43">
        <f t="shared" si="89"/>
        <v>742</v>
      </c>
    </row>
    <row r="206" spans="1:15" ht="22.95" customHeight="1" thickBot="1" x14ac:dyDescent="0.35">
      <c r="A206" s="52" t="s">
        <v>69</v>
      </c>
      <c r="B206" s="46">
        <f t="shared" si="107"/>
        <v>413</v>
      </c>
      <c r="C206" s="47">
        <f t="shared" si="107"/>
        <v>117</v>
      </c>
      <c r="D206" s="47">
        <f t="shared" si="107"/>
        <v>23</v>
      </c>
      <c r="E206" s="47">
        <f t="shared" si="107"/>
        <v>11</v>
      </c>
      <c r="F206" s="47">
        <f t="shared" si="107"/>
        <v>52</v>
      </c>
      <c r="G206" s="50">
        <f t="shared" si="84"/>
        <v>616</v>
      </c>
      <c r="H206" s="44">
        <f t="shared" ref="H206:L206" si="118">H100+H101+H102+H103</f>
        <v>0</v>
      </c>
      <c r="I206" s="39">
        <f t="shared" si="118"/>
        <v>0</v>
      </c>
      <c r="J206" s="39">
        <f t="shared" si="118"/>
        <v>0</v>
      </c>
      <c r="K206" s="45">
        <f t="shared" si="118"/>
        <v>0</v>
      </c>
      <c r="L206" s="145">
        <f t="shared" si="118"/>
        <v>1</v>
      </c>
      <c r="M206" s="50">
        <f t="shared" si="87"/>
        <v>0</v>
      </c>
      <c r="N206" s="40">
        <f t="shared" si="88"/>
        <v>616</v>
      </c>
      <c r="O206" s="43">
        <f t="shared" si="89"/>
        <v>781</v>
      </c>
    </row>
  </sheetData>
  <mergeCells count="31">
    <mergeCell ref="A1:M1"/>
    <mergeCell ref="D6:D7"/>
    <mergeCell ref="E6:E7"/>
    <mergeCell ref="H6:H7"/>
    <mergeCell ref="I6:I7"/>
    <mergeCell ref="J6:J7"/>
    <mergeCell ref="K6:K7"/>
    <mergeCell ref="M6:M7"/>
    <mergeCell ref="A6:A7"/>
    <mergeCell ref="B6:B7"/>
    <mergeCell ref="F6:F7"/>
    <mergeCell ref="A112:A113"/>
    <mergeCell ref="C6:C7"/>
    <mergeCell ref="C112:C113"/>
    <mergeCell ref="D112:D113"/>
    <mergeCell ref="E112:E113"/>
    <mergeCell ref="B112:B113"/>
    <mergeCell ref="N6:N7"/>
    <mergeCell ref="O6:O7"/>
    <mergeCell ref="F112:F113"/>
    <mergeCell ref="G112:G113"/>
    <mergeCell ref="N112:N113"/>
    <mergeCell ref="O112:O113"/>
    <mergeCell ref="H112:H113"/>
    <mergeCell ref="I112:I113"/>
    <mergeCell ref="J112:J113"/>
    <mergeCell ref="K112:K113"/>
    <mergeCell ref="M112:M113"/>
    <mergeCell ref="L6:L7"/>
    <mergeCell ref="L112:L113"/>
    <mergeCell ref="G6:G7"/>
  </mergeCells>
  <pageMargins left="0.7" right="0.7" top="0.75" bottom="0.75" header="0.3" footer="0.3"/>
  <pageSetup paperSize="9" scale="29" orientation="portrait" r:id="rId1"/>
  <rowBreaks count="1" manualBreakCount="1">
    <brk id="106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9FFCC"/>
  </sheetPr>
  <dimension ref="A1:AC206"/>
  <sheetViews>
    <sheetView view="pageBreakPreview" topLeftCell="H1" zoomScale="40" zoomScaleNormal="70" zoomScaleSheetLayoutView="40" workbookViewId="0">
      <selection activeCell="AP23" sqref="AP23"/>
    </sheetView>
  </sheetViews>
  <sheetFormatPr defaultColWidth="9" defaultRowHeight="15.6" x14ac:dyDescent="0.3"/>
  <cols>
    <col min="1" max="1" width="17.59765625" customWidth="1"/>
    <col min="2" max="13" width="11.69921875" customWidth="1"/>
  </cols>
  <sheetData>
    <row r="1" spans="1:29" x14ac:dyDescent="0.3">
      <c r="A1" s="247" t="s">
        <v>99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</row>
    <row r="2" spans="1:29" s="4" customFormat="1" x14ac:dyDescent="0.3">
      <c r="A2" s="4" t="s">
        <v>103</v>
      </c>
      <c r="B2" s="4" t="str">
        <f>Summary!B2</f>
        <v>TMC-14 Number (D2)</v>
      </c>
    </row>
    <row r="3" spans="1:29" s="4" customFormat="1" x14ac:dyDescent="0.3">
      <c r="A3" s="4" t="s">
        <v>102</v>
      </c>
      <c r="B3" s="4" t="str">
        <f>Summary!B3</f>
        <v>D2</v>
      </c>
    </row>
    <row r="4" spans="1:29" s="4" customFormat="1" x14ac:dyDescent="0.3">
      <c r="A4" s="4" t="s">
        <v>104</v>
      </c>
      <c r="B4" s="4" t="str">
        <f>Summary!F11</f>
        <v>Mansarover</v>
      </c>
      <c r="D4" s="4" t="s">
        <v>1</v>
      </c>
      <c r="E4" s="4" t="str">
        <f>Summary!J11</f>
        <v>Delhi</v>
      </c>
      <c r="G4" s="229" t="s">
        <v>296</v>
      </c>
      <c r="H4" s="4" t="s">
        <v>300</v>
      </c>
    </row>
    <row r="5" spans="1:29" ht="16.2" thickBot="1" x14ac:dyDescent="0.35"/>
    <row r="6" spans="1:29" ht="25.2" customHeight="1" x14ac:dyDescent="0.3">
      <c r="A6" s="252" t="s">
        <v>95</v>
      </c>
      <c r="B6" s="258" t="s">
        <v>280</v>
      </c>
      <c r="C6" s="254" t="s">
        <v>281</v>
      </c>
      <c r="D6" s="250" t="s">
        <v>282</v>
      </c>
      <c r="E6" s="260" t="s">
        <v>283</v>
      </c>
      <c r="F6" s="256" t="s">
        <v>284</v>
      </c>
      <c r="G6" s="250" t="s">
        <v>129</v>
      </c>
      <c r="H6" s="248" t="s">
        <v>150</v>
      </c>
      <c r="I6" s="250" t="s">
        <v>151</v>
      </c>
      <c r="J6" s="250" t="s">
        <v>285</v>
      </c>
      <c r="K6" s="248" t="s">
        <v>286</v>
      </c>
      <c r="L6" s="250" t="s">
        <v>287</v>
      </c>
      <c r="M6" s="250" t="s">
        <v>78</v>
      </c>
      <c r="N6" s="250" t="s">
        <v>131</v>
      </c>
      <c r="O6" s="250" t="s">
        <v>132</v>
      </c>
    </row>
    <row r="7" spans="1:29" ht="43.5" customHeight="1" thickBot="1" x14ac:dyDescent="0.45">
      <c r="A7" s="262"/>
      <c r="B7" s="263"/>
      <c r="C7" s="264"/>
      <c r="D7" s="265"/>
      <c r="E7" s="266"/>
      <c r="F7" s="267"/>
      <c r="G7" s="259"/>
      <c r="H7" s="268"/>
      <c r="I7" s="265"/>
      <c r="J7" s="265"/>
      <c r="K7" s="268"/>
      <c r="L7" s="265"/>
      <c r="M7" s="265"/>
      <c r="N7" s="251"/>
      <c r="O7" s="251"/>
      <c r="R7" s="231" t="s">
        <v>298</v>
      </c>
    </row>
    <row r="8" spans="1:29" ht="22.5" customHeight="1" x14ac:dyDescent="0.3">
      <c r="A8" s="189" t="s">
        <v>177</v>
      </c>
      <c r="B8" s="192">
        <f>V_14!B8+V_11!R8</f>
        <v>100</v>
      </c>
      <c r="C8" s="157">
        <f>V_14!C8+V_11!S8</f>
        <v>113</v>
      </c>
      <c r="D8" s="157">
        <f>V_14!D8+V_11!T8</f>
        <v>9</v>
      </c>
      <c r="E8" s="157">
        <f>V_14!E8+V_11!U8</f>
        <v>10</v>
      </c>
      <c r="F8" s="193">
        <f>V_14!F8+V_11!V8</f>
        <v>30</v>
      </c>
      <c r="G8" s="198">
        <f t="shared" ref="G8:G39" si="0">SUM(B8:F8)</f>
        <v>262</v>
      </c>
      <c r="H8" s="200">
        <f>V_14!H8+V_11!X8</f>
        <v>4</v>
      </c>
      <c r="I8" s="201">
        <f>V_14!I8+V_11!Y8</f>
        <v>0</v>
      </c>
      <c r="J8" s="201">
        <f>V_14!J8+V_11!Z8</f>
        <v>0</v>
      </c>
      <c r="K8" s="201">
        <f>V_14!K8+V_11!AA8</f>
        <v>0</v>
      </c>
      <c r="L8" s="201">
        <f>V_14!L8+V_11!AB8</f>
        <v>5</v>
      </c>
      <c r="M8" s="202">
        <f>V_14!M8+V_11!AC8</f>
        <v>1</v>
      </c>
      <c r="N8" s="85">
        <f>G8+M8</f>
        <v>263</v>
      </c>
      <c r="O8" s="115">
        <f>B8*1+C8*0.5+D8*1.5+E8*3+F8*4.5+H8*0.5+I8*1.5+J8*3+K8*4+L8*8</f>
        <v>377</v>
      </c>
      <c r="R8" s="192">
        <v>4</v>
      </c>
      <c r="S8" s="157">
        <v>30</v>
      </c>
      <c r="T8" s="157">
        <v>0</v>
      </c>
      <c r="U8" s="157">
        <v>0</v>
      </c>
      <c r="V8" s="193">
        <v>0</v>
      </c>
      <c r="W8" s="198">
        <f t="shared" ref="W8:W71" si="1">SUM(R8:V8)</f>
        <v>34</v>
      </c>
      <c r="X8" s="200">
        <v>3</v>
      </c>
      <c r="Y8" s="201">
        <v>0</v>
      </c>
      <c r="Z8" s="201">
        <v>0</v>
      </c>
      <c r="AA8" s="201">
        <v>0</v>
      </c>
      <c r="AB8" s="201">
        <v>3</v>
      </c>
      <c r="AC8" s="202">
        <v>0</v>
      </c>
    </row>
    <row r="9" spans="1:29" ht="22.5" customHeight="1" x14ac:dyDescent="0.3">
      <c r="A9" s="190" t="s">
        <v>178</v>
      </c>
      <c r="B9" s="44">
        <f>V_14!B9+V_11!R9</f>
        <v>102</v>
      </c>
      <c r="C9" s="39">
        <f>V_14!C9+V_11!S9</f>
        <v>160</v>
      </c>
      <c r="D9" s="39">
        <f>V_14!D9+V_11!T9</f>
        <v>10</v>
      </c>
      <c r="E9" s="39">
        <f>V_14!E9+V_11!U9</f>
        <v>11</v>
      </c>
      <c r="F9" s="194">
        <f>V_14!F9+V_11!V9</f>
        <v>23</v>
      </c>
      <c r="G9" s="196">
        <f t="shared" si="0"/>
        <v>306</v>
      </c>
      <c r="H9" s="203">
        <f>V_14!H9+V_11!X9</f>
        <v>5</v>
      </c>
      <c r="I9" s="204">
        <f>V_14!I9+V_11!Y9</f>
        <v>0</v>
      </c>
      <c r="J9" s="204">
        <f>V_14!J9+V_11!Z9</f>
        <v>0</v>
      </c>
      <c r="K9" s="204">
        <f>V_14!K9+V_11!AA9</f>
        <v>0</v>
      </c>
      <c r="L9" s="204">
        <f>V_14!L9+V_11!AB9</f>
        <v>4</v>
      </c>
      <c r="M9" s="205">
        <f>V_14!M9+V_11!AC9</f>
        <v>0</v>
      </c>
      <c r="N9" s="85">
        <f t="shared" ref="N9:N72" si="2">G9+M9</f>
        <v>306</v>
      </c>
      <c r="O9" s="43">
        <f t="shared" ref="O9:O72" si="3">B9*1+C9*0.5+D9*1.5+E9*3+F9*4.5+H9*0.5+I9*1.5+J9*3+K9*4+L9*8</f>
        <v>368</v>
      </c>
      <c r="R9" s="44">
        <v>8</v>
      </c>
      <c r="S9" s="39">
        <v>38</v>
      </c>
      <c r="T9" s="39">
        <v>1</v>
      </c>
      <c r="U9" s="39">
        <v>0</v>
      </c>
      <c r="V9" s="194">
        <v>0</v>
      </c>
      <c r="W9" s="196">
        <f t="shared" si="1"/>
        <v>47</v>
      </c>
      <c r="X9" s="203">
        <v>4</v>
      </c>
      <c r="Y9" s="204">
        <v>0</v>
      </c>
      <c r="Z9" s="204">
        <v>0</v>
      </c>
      <c r="AA9" s="204">
        <v>0</v>
      </c>
      <c r="AB9" s="204">
        <v>3</v>
      </c>
      <c r="AC9" s="205">
        <v>0</v>
      </c>
    </row>
    <row r="10" spans="1:29" ht="22.5" customHeight="1" x14ac:dyDescent="0.3">
      <c r="A10" s="190" t="s">
        <v>179</v>
      </c>
      <c r="B10" s="44">
        <f>V_14!B10+V_11!R10</f>
        <v>111</v>
      </c>
      <c r="C10" s="39">
        <f>V_14!C10+V_11!S10</f>
        <v>209</v>
      </c>
      <c r="D10" s="39">
        <f>V_14!D10+V_11!T10</f>
        <v>7</v>
      </c>
      <c r="E10" s="39">
        <f>V_14!E10+V_11!U10</f>
        <v>12</v>
      </c>
      <c r="F10" s="194">
        <f>V_14!F10+V_11!V10</f>
        <v>18</v>
      </c>
      <c r="G10" s="196">
        <f t="shared" si="0"/>
        <v>357</v>
      </c>
      <c r="H10" s="203">
        <f>V_14!H10+V_11!X10</f>
        <v>6</v>
      </c>
      <c r="I10" s="204">
        <f>V_14!I10+V_11!Y10</f>
        <v>0</v>
      </c>
      <c r="J10" s="204">
        <f>V_14!J10+V_11!Z10</f>
        <v>0</v>
      </c>
      <c r="K10" s="204">
        <f>V_14!K10+V_11!AA10</f>
        <v>0</v>
      </c>
      <c r="L10" s="204">
        <f>V_14!L10+V_11!AB10</f>
        <v>3</v>
      </c>
      <c r="M10" s="205">
        <f>V_14!M10+V_11!AC10</f>
        <v>1</v>
      </c>
      <c r="N10" s="85">
        <f t="shared" si="2"/>
        <v>358</v>
      </c>
      <c r="O10" s="43">
        <f t="shared" si="3"/>
        <v>370</v>
      </c>
      <c r="R10" s="44">
        <v>12</v>
      </c>
      <c r="S10" s="39">
        <v>42</v>
      </c>
      <c r="T10" s="39">
        <v>1</v>
      </c>
      <c r="U10" s="39">
        <v>0</v>
      </c>
      <c r="V10" s="194">
        <v>0</v>
      </c>
      <c r="W10" s="196">
        <f t="shared" si="1"/>
        <v>55</v>
      </c>
      <c r="X10" s="203">
        <v>6</v>
      </c>
      <c r="Y10" s="204">
        <v>0</v>
      </c>
      <c r="Z10" s="204">
        <v>0</v>
      </c>
      <c r="AA10" s="204">
        <v>0</v>
      </c>
      <c r="AB10" s="204">
        <v>1</v>
      </c>
      <c r="AC10" s="205">
        <v>0</v>
      </c>
    </row>
    <row r="11" spans="1:29" ht="22.5" customHeight="1" x14ac:dyDescent="0.3">
      <c r="A11" s="190" t="s">
        <v>180</v>
      </c>
      <c r="B11" s="44">
        <f>V_14!B11+V_11!R11</f>
        <v>119</v>
      </c>
      <c r="C11" s="39">
        <f>V_14!C11+V_11!S11</f>
        <v>267</v>
      </c>
      <c r="D11" s="39">
        <f>V_14!D11+V_11!T11</f>
        <v>6</v>
      </c>
      <c r="E11" s="39">
        <f>V_14!E11+V_11!U11</f>
        <v>9</v>
      </c>
      <c r="F11" s="194">
        <f>V_14!F11+V_11!V11</f>
        <v>29</v>
      </c>
      <c r="G11" s="196">
        <f t="shared" si="0"/>
        <v>430</v>
      </c>
      <c r="H11" s="203">
        <f>V_14!H11+V_11!X11</f>
        <v>5</v>
      </c>
      <c r="I11" s="204">
        <f>V_14!I11+V_11!Y11</f>
        <v>0</v>
      </c>
      <c r="J11" s="204">
        <f>V_14!J11+V_11!Z11</f>
        <v>0</v>
      </c>
      <c r="K11" s="204">
        <f>V_14!K11+V_11!AA11</f>
        <v>0</v>
      </c>
      <c r="L11" s="204">
        <f>V_14!L11+V_11!AB11</f>
        <v>1</v>
      </c>
      <c r="M11" s="205">
        <f>V_14!M11+V_11!AC11</f>
        <v>0</v>
      </c>
      <c r="N11" s="85">
        <f t="shared" si="2"/>
        <v>430</v>
      </c>
      <c r="O11" s="43">
        <f t="shared" si="3"/>
        <v>429.5</v>
      </c>
      <c r="R11" s="44">
        <v>8</v>
      </c>
      <c r="S11" s="39">
        <v>51</v>
      </c>
      <c r="T11" s="39">
        <v>0</v>
      </c>
      <c r="U11" s="39">
        <v>0</v>
      </c>
      <c r="V11" s="194">
        <v>1</v>
      </c>
      <c r="W11" s="196">
        <f t="shared" si="1"/>
        <v>60</v>
      </c>
      <c r="X11" s="203">
        <v>5</v>
      </c>
      <c r="Y11" s="204">
        <v>0</v>
      </c>
      <c r="Z11" s="204">
        <v>0</v>
      </c>
      <c r="AA11" s="204">
        <v>0</v>
      </c>
      <c r="AB11" s="204">
        <v>0</v>
      </c>
      <c r="AC11" s="205">
        <v>0</v>
      </c>
    </row>
    <row r="12" spans="1:29" ht="22.5" customHeight="1" x14ac:dyDescent="0.3">
      <c r="A12" s="190" t="s">
        <v>181</v>
      </c>
      <c r="B12" s="44">
        <f>V_14!B12+V_11!R12</f>
        <v>155</v>
      </c>
      <c r="C12" s="39">
        <f>V_14!C12+V_11!S12</f>
        <v>250</v>
      </c>
      <c r="D12" s="39">
        <f>V_14!D12+V_11!T12</f>
        <v>12</v>
      </c>
      <c r="E12" s="39">
        <f>V_14!E12+V_11!U12</f>
        <v>11</v>
      </c>
      <c r="F12" s="194">
        <f>V_14!F12+V_11!V12</f>
        <v>32</v>
      </c>
      <c r="G12" s="196">
        <f t="shared" si="0"/>
        <v>460</v>
      </c>
      <c r="H12" s="203">
        <f>V_14!H12+V_11!X12</f>
        <v>5</v>
      </c>
      <c r="I12" s="204">
        <f>V_14!I12+V_11!Y12</f>
        <v>0</v>
      </c>
      <c r="J12" s="204">
        <f>V_14!J12+V_11!Z12</f>
        <v>0</v>
      </c>
      <c r="K12" s="204">
        <f>V_14!K12+V_11!AA12</f>
        <v>0</v>
      </c>
      <c r="L12" s="204">
        <f>V_14!L12+V_11!AB12</f>
        <v>6</v>
      </c>
      <c r="M12" s="205">
        <f>V_14!M12+V_11!AC12</f>
        <v>0</v>
      </c>
      <c r="N12" s="85">
        <f t="shared" si="2"/>
        <v>460</v>
      </c>
      <c r="O12" s="43">
        <f t="shared" si="3"/>
        <v>525.5</v>
      </c>
      <c r="R12" s="44">
        <v>6</v>
      </c>
      <c r="S12" s="39">
        <v>55</v>
      </c>
      <c r="T12" s="39">
        <v>0</v>
      </c>
      <c r="U12" s="39">
        <v>0</v>
      </c>
      <c r="V12" s="194">
        <v>0</v>
      </c>
      <c r="W12" s="196">
        <f t="shared" si="1"/>
        <v>61</v>
      </c>
      <c r="X12" s="203">
        <v>4</v>
      </c>
      <c r="Y12" s="204">
        <v>0</v>
      </c>
      <c r="Z12" s="204">
        <v>0</v>
      </c>
      <c r="AA12" s="204">
        <v>0</v>
      </c>
      <c r="AB12" s="204">
        <v>2</v>
      </c>
      <c r="AC12" s="205">
        <v>0</v>
      </c>
    </row>
    <row r="13" spans="1:29" ht="22.5" customHeight="1" x14ac:dyDescent="0.3">
      <c r="A13" s="190" t="s">
        <v>182</v>
      </c>
      <c r="B13" s="44">
        <f>V_14!B13+V_11!R13</f>
        <v>89</v>
      </c>
      <c r="C13" s="39">
        <f>V_14!C13+V_11!S13</f>
        <v>182</v>
      </c>
      <c r="D13" s="39">
        <f>V_14!D13+V_11!T13</f>
        <v>8</v>
      </c>
      <c r="E13" s="39">
        <f>V_14!E13+V_11!U13</f>
        <v>8</v>
      </c>
      <c r="F13" s="194">
        <f>V_14!F13+V_11!V13</f>
        <v>12</v>
      </c>
      <c r="G13" s="196">
        <f t="shared" si="0"/>
        <v>299</v>
      </c>
      <c r="H13" s="203">
        <f>V_14!H13+V_11!X13</f>
        <v>4</v>
      </c>
      <c r="I13" s="204">
        <f>V_14!I13+V_11!Y13</f>
        <v>0</v>
      </c>
      <c r="J13" s="204">
        <f>V_14!J13+V_11!Z13</f>
        <v>0</v>
      </c>
      <c r="K13" s="204">
        <f>V_14!K13+V_11!AA13</f>
        <v>0</v>
      </c>
      <c r="L13" s="204">
        <f>V_14!L13+V_11!AB13</f>
        <v>2</v>
      </c>
      <c r="M13" s="205">
        <f>V_14!M13+V_11!AC13</f>
        <v>0</v>
      </c>
      <c r="N13" s="85">
        <f t="shared" si="2"/>
        <v>299</v>
      </c>
      <c r="O13" s="43">
        <f t="shared" si="3"/>
        <v>288</v>
      </c>
      <c r="R13" s="44">
        <v>11</v>
      </c>
      <c r="S13" s="39">
        <v>46</v>
      </c>
      <c r="T13" s="39">
        <v>0</v>
      </c>
      <c r="U13" s="39">
        <v>0</v>
      </c>
      <c r="V13" s="194">
        <v>1</v>
      </c>
      <c r="W13" s="196">
        <f t="shared" si="1"/>
        <v>58</v>
      </c>
      <c r="X13" s="203">
        <v>4</v>
      </c>
      <c r="Y13" s="204">
        <v>0</v>
      </c>
      <c r="Z13" s="204">
        <v>0</v>
      </c>
      <c r="AA13" s="204">
        <v>0</v>
      </c>
      <c r="AB13" s="204">
        <v>1</v>
      </c>
      <c r="AC13" s="205">
        <v>0</v>
      </c>
    </row>
    <row r="14" spans="1:29" ht="22.5" customHeight="1" x14ac:dyDescent="0.3">
      <c r="A14" s="190" t="s">
        <v>183</v>
      </c>
      <c r="B14" s="44">
        <f>V_14!B14+V_11!R14</f>
        <v>127</v>
      </c>
      <c r="C14" s="39">
        <f>V_14!C14+V_11!S14</f>
        <v>224</v>
      </c>
      <c r="D14" s="39">
        <f>V_14!D14+V_11!T14</f>
        <v>12</v>
      </c>
      <c r="E14" s="39">
        <f>V_14!E14+V_11!U14</f>
        <v>7</v>
      </c>
      <c r="F14" s="194">
        <f>V_14!F14+V_11!V14</f>
        <v>26</v>
      </c>
      <c r="G14" s="196">
        <f t="shared" si="0"/>
        <v>396</v>
      </c>
      <c r="H14" s="203">
        <f>V_14!H14+V_11!X14</f>
        <v>3</v>
      </c>
      <c r="I14" s="204">
        <f>V_14!I14+V_11!Y14</f>
        <v>0</v>
      </c>
      <c r="J14" s="204">
        <f>V_14!J14+V_11!Z14</f>
        <v>0</v>
      </c>
      <c r="K14" s="204">
        <f>V_14!K14+V_11!AA14</f>
        <v>0</v>
      </c>
      <c r="L14" s="204">
        <f>V_14!L14+V_11!AB14</f>
        <v>2</v>
      </c>
      <c r="M14" s="205">
        <f>V_14!M14+V_11!AC14</f>
        <v>0</v>
      </c>
      <c r="N14" s="85">
        <f t="shared" si="2"/>
        <v>396</v>
      </c>
      <c r="O14" s="43">
        <f t="shared" si="3"/>
        <v>412.5</v>
      </c>
      <c r="R14" s="44">
        <v>13</v>
      </c>
      <c r="S14" s="39">
        <v>46</v>
      </c>
      <c r="T14" s="39">
        <v>2</v>
      </c>
      <c r="U14" s="39">
        <v>0</v>
      </c>
      <c r="V14" s="194">
        <v>3</v>
      </c>
      <c r="W14" s="196">
        <f t="shared" si="1"/>
        <v>64</v>
      </c>
      <c r="X14" s="203">
        <v>3</v>
      </c>
      <c r="Y14" s="204">
        <v>0</v>
      </c>
      <c r="Z14" s="204">
        <v>0</v>
      </c>
      <c r="AA14" s="204">
        <v>0</v>
      </c>
      <c r="AB14" s="204">
        <v>1</v>
      </c>
      <c r="AC14" s="205">
        <v>0</v>
      </c>
    </row>
    <row r="15" spans="1:29" ht="22.5" customHeight="1" x14ac:dyDescent="0.3">
      <c r="A15" s="190" t="s">
        <v>184</v>
      </c>
      <c r="B15" s="44">
        <f>V_14!B15+V_11!R15</f>
        <v>139</v>
      </c>
      <c r="C15" s="39">
        <f>V_14!C15+V_11!S15</f>
        <v>205</v>
      </c>
      <c r="D15" s="39">
        <f>V_14!D15+V_11!T15</f>
        <v>17</v>
      </c>
      <c r="E15" s="39">
        <f>V_14!E15+V_11!U15</f>
        <v>8</v>
      </c>
      <c r="F15" s="194">
        <f>V_14!F15+V_11!V15</f>
        <v>18</v>
      </c>
      <c r="G15" s="196">
        <f t="shared" si="0"/>
        <v>387</v>
      </c>
      <c r="H15" s="203">
        <f>V_14!H15+V_11!X15</f>
        <v>0</v>
      </c>
      <c r="I15" s="204">
        <f>V_14!I15+V_11!Y15</f>
        <v>0</v>
      </c>
      <c r="J15" s="204">
        <f>V_14!J15+V_11!Z15</f>
        <v>0</v>
      </c>
      <c r="K15" s="204">
        <f>V_14!K15+V_11!AA15</f>
        <v>0</v>
      </c>
      <c r="L15" s="204">
        <f>V_14!L15+V_11!AB15</f>
        <v>1</v>
      </c>
      <c r="M15" s="205">
        <f>V_14!M15+V_11!AC15</f>
        <v>0</v>
      </c>
      <c r="N15" s="85">
        <f t="shared" si="2"/>
        <v>387</v>
      </c>
      <c r="O15" s="43">
        <f t="shared" si="3"/>
        <v>380</v>
      </c>
      <c r="R15" s="44">
        <v>9</v>
      </c>
      <c r="S15" s="39">
        <v>42</v>
      </c>
      <c r="T15" s="39">
        <v>0</v>
      </c>
      <c r="U15" s="39">
        <v>0</v>
      </c>
      <c r="V15" s="194">
        <v>0</v>
      </c>
      <c r="W15" s="196">
        <f t="shared" si="1"/>
        <v>51</v>
      </c>
      <c r="X15" s="203">
        <v>0</v>
      </c>
      <c r="Y15" s="204">
        <v>0</v>
      </c>
      <c r="Z15" s="204">
        <v>0</v>
      </c>
      <c r="AA15" s="204">
        <v>0</v>
      </c>
      <c r="AB15" s="204">
        <v>1</v>
      </c>
      <c r="AC15" s="205">
        <v>0</v>
      </c>
    </row>
    <row r="16" spans="1:29" ht="22.5" customHeight="1" x14ac:dyDescent="0.3">
      <c r="A16" s="190" t="s">
        <v>185</v>
      </c>
      <c r="B16" s="44">
        <f>V_14!B16+V_11!R16</f>
        <v>124</v>
      </c>
      <c r="C16" s="39">
        <f>V_14!C16+V_11!S16</f>
        <v>169</v>
      </c>
      <c r="D16" s="39">
        <f>V_14!D16+V_11!T16</f>
        <v>9</v>
      </c>
      <c r="E16" s="39">
        <f>V_14!E16+V_11!U16</f>
        <v>5</v>
      </c>
      <c r="F16" s="194">
        <f>V_14!F16+V_11!V16</f>
        <v>25</v>
      </c>
      <c r="G16" s="196">
        <f t="shared" si="0"/>
        <v>332</v>
      </c>
      <c r="H16" s="203">
        <f>V_14!H16+V_11!X16</f>
        <v>3</v>
      </c>
      <c r="I16" s="204">
        <f>V_14!I16+V_11!Y16</f>
        <v>0</v>
      </c>
      <c r="J16" s="204">
        <f>V_14!J16+V_11!Z16</f>
        <v>0</v>
      </c>
      <c r="K16" s="204">
        <f>V_14!K16+V_11!AA16</f>
        <v>0</v>
      </c>
      <c r="L16" s="204">
        <f>V_14!L16+V_11!AB16</f>
        <v>0</v>
      </c>
      <c r="M16" s="205">
        <f>V_14!M16+V_11!AC16</f>
        <v>0</v>
      </c>
      <c r="N16" s="85">
        <f t="shared" si="2"/>
        <v>332</v>
      </c>
      <c r="O16" s="43">
        <f t="shared" si="3"/>
        <v>351</v>
      </c>
      <c r="R16" s="44">
        <v>14</v>
      </c>
      <c r="S16" s="39">
        <v>29</v>
      </c>
      <c r="T16" s="39">
        <v>1</v>
      </c>
      <c r="U16" s="39">
        <v>0</v>
      </c>
      <c r="V16" s="194">
        <v>0</v>
      </c>
      <c r="W16" s="196">
        <f t="shared" si="1"/>
        <v>44</v>
      </c>
      <c r="X16" s="203">
        <v>3</v>
      </c>
      <c r="Y16" s="204">
        <v>0</v>
      </c>
      <c r="Z16" s="204">
        <v>0</v>
      </c>
      <c r="AA16" s="204">
        <v>0</v>
      </c>
      <c r="AB16" s="204">
        <v>0</v>
      </c>
      <c r="AC16" s="205">
        <v>0</v>
      </c>
    </row>
    <row r="17" spans="1:29" ht="22.5" customHeight="1" x14ac:dyDescent="0.3">
      <c r="A17" s="190" t="s">
        <v>186</v>
      </c>
      <c r="B17" s="44">
        <f>V_14!B17+V_11!R17</f>
        <v>173</v>
      </c>
      <c r="C17" s="39">
        <f>V_14!C17+V_11!S17</f>
        <v>174</v>
      </c>
      <c r="D17" s="39">
        <f>V_14!D17+V_11!T17</f>
        <v>17</v>
      </c>
      <c r="E17" s="39">
        <f>V_14!E17+V_11!U17</f>
        <v>10</v>
      </c>
      <c r="F17" s="194">
        <f>V_14!F17+V_11!V17</f>
        <v>21</v>
      </c>
      <c r="G17" s="196">
        <f t="shared" si="0"/>
        <v>395</v>
      </c>
      <c r="H17" s="203">
        <f>V_14!H17+V_11!X17</f>
        <v>0</v>
      </c>
      <c r="I17" s="204">
        <f>V_14!I17+V_11!Y17</f>
        <v>0</v>
      </c>
      <c r="J17" s="204">
        <f>V_14!J17+V_11!Z17</f>
        <v>0</v>
      </c>
      <c r="K17" s="204">
        <f>V_14!K17+V_11!AA17</f>
        <v>0</v>
      </c>
      <c r="L17" s="204">
        <f>V_14!L17+V_11!AB17</f>
        <v>0</v>
      </c>
      <c r="M17" s="205">
        <f>V_14!M17+V_11!AC17</f>
        <v>0</v>
      </c>
      <c r="N17" s="85">
        <f t="shared" si="2"/>
        <v>395</v>
      </c>
      <c r="O17" s="43">
        <f t="shared" si="3"/>
        <v>410</v>
      </c>
      <c r="R17" s="44">
        <v>15</v>
      </c>
      <c r="S17" s="39">
        <v>48</v>
      </c>
      <c r="T17" s="39">
        <v>1</v>
      </c>
      <c r="U17" s="39">
        <v>0</v>
      </c>
      <c r="V17" s="194">
        <v>0</v>
      </c>
      <c r="W17" s="196">
        <f t="shared" si="1"/>
        <v>64</v>
      </c>
      <c r="X17" s="203">
        <v>0</v>
      </c>
      <c r="Y17" s="204">
        <v>0</v>
      </c>
      <c r="Z17" s="204">
        <v>0</v>
      </c>
      <c r="AA17" s="204">
        <v>0</v>
      </c>
      <c r="AB17" s="204">
        <v>0</v>
      </c>
      <c r="AC17" s="205">
        <v>0</v>
      </c>
    </row>
    <row r="18" spans="1:29" ht="22.5" customHeight="1" x14ac:dyDescent="0.3">
      <c r="A18" s="190" t="s">
        <v>187</v>
      </c>
      <c r="B18" s="44">
        <f>V_14!B18+V_11!R18</f>
        <v>173</v>
      </c>
      <c r="C18" s="39">
        <f>V_14!C18+V_11!S18</f>
        <v>146</v>
      </c>
      <c r="D18" s="39">
        <f>V_14!D18+V_11!T18</f>
        <v>14</v>
      </c>
      <c r="E18" s="39">
        <f>V_14!E18+V_11!U18</f>
        <v>11</v>
      </c>
      <c r="F18" s="194">
        <f>V_14!F18+V_11!V18</f>
        <v>15</v>
      </c>
      <c r="G18" s="196">
        <f t="shared" si="0"/>
        <v>359</v>
      </c>
      <c r="H18" s="203">
        <f>V_14!H18+V_11!X18</f>
        <v>1</v>
      </c>
      <c r="I18" s="204">
        <f>V_14!I18+V_11!Y18</f>
        <v>0</v>
      </c>
      <c r="J18" s="204">
        <f>V_14!J18+V_11!Z18</f>
        <v>0</v>
      </c>
      <c r="K18" s="204">
        <f>V_14!K18+V_11!AA18</f>
        <v>0</v>
      </c>
      <c r="L18" s="204">
        <f>V_14!L18+V_11!AB18</f>
        <v>1</v>
      </c>
      <c r="M18" s="205">
        <f>V_14!M18+V_11!AC18</f>
        <v>0</v>
      </c>
      <c r="N18" s="85">
        <f t="shared" si="2"/>
        <v>359</v>
      </c>
      <c r="O18" s="43">
        <f t="shared" si="3"/>
        <v>376</v>
      </c>
      <c r="R18" s="44">
        <v>16</v>
      </c>
      <c r="S18" s="39">
        <v>27</v>
      </c>
      <c r="T18" s="39">
        <v>0</v>
      </c>
      <c r="U18" s="39">
        <v>0</v>
      </c>
      <c r="V18" s="194">
        <v>0</v>
      </c>
      <c r="W18" s="196">
        <f t="shared" si="1"/>
        <v>43</v>
      </c>
      <c r="X18" s="203">
        <v>1</v>
      </c>
      <c r="Y18" s="204">
        <v>0</v>
      </c>
      <c r="Z18" s="204">
        <v>0</v>
      </c>
      <c r="AA18" s="204">
        <v>0</v>
      </c>
      <c r="AB18" s="204">
        <v>0</v>
      </c>
      <c r="AC18" s="205">
        <v>0</v>
      </c>
    </row>
    <row r="19" spans="1:29" ht="22.5" customHeight="1" x14ac:dyDescent="0.3">
      <c r="A19" s="190" t="s">
        <v>188</v>
      </c>
      <c r="B19" s="44">
        <f>V_14!B19+V_11!R19</f>
        <v>158</v>
      </c>
      <c r="C19" s="39">
        <f>V_14!C19+V_11!S19</f>
        <v>142</v>
      </c>
      <c r="D19" s="39">
        <f>V_14!D19+V_11!T19</f>
        <v>16</v>
      </c>
      <c r="E19" s="39">
        <f>V_14!E19+V_11!U19</f>
        <v>9</v>
      </c>
      <c r="F19" s="194">
        <f>V_14!F19+V_11!V19</f>
        <v>26</v>
      </c>
      <c r="G19" s="196">
        <f t="shared" si="0"/>
        <v>351</v>
      </c>
      <c r="H19" s="203">
        <f>V_14!H19+V_11!X19</f>
        <v>0</v>
      </c>
      <c r="I19" s="204">
        <f>V_14!I19+V_11!Y19</f>
        <v>0</v>
      </c>
      <c r="J19" s="204">
        <f>V_14!J19+V_11!Z19</f>
        <v>0</v>
      </c>
      <c r="K19" s="204">
        <f>V_14!K19+V_11!AA19</f>
        <v>0</v>
      </c>
      <c r="L19" s="204">
        <f>V_14!L19+V_11!AB19</f>
        <v>0</v>
      </c>
      <c r="M19" s="205">
        <f>V_14!M19+V_11!AC19</f>
        <v>0</v>
      </c>
      <c r="N19" s="85">
        <f t="shared" si="2"/>
        <v>351</v>
      </c>
      <c r="O19" s="43">
        <f t="shared" si="3"/>
        <v>397</v>
      </c>
      <c r="R19" s="44">
        <v>13</v>
      </c>
      <c r="S19" s="39">
        <v>47</v>
      </c>
      <c r="T19" s="39">
        <v>1</v>
      </c>
      <c r="U19" s="39">
        <v>0</v>
      </c>
      <c r="V19" s="194">
        <v>0</v>
      </c>
      <c r="W19" s="196">
        <f t="shared" si="1"/>
        <v>61</v>
      </c>
      <c r="X19" s="203">
        <v>0</v>
      </c>
      <c r="Y19" s="204">
        <v>0</v>
      </c>
      <c r="Z19" s="204">
        <v>0</v>
      </c>
      <c r="AA19" s="204">
        <v>0</v>
      </c>
      <c r="AB19" s="204">
        <v>0</v>
      </c>
      <c r="AC19" s="205">
        <v>0</v>
      </c>
    </row>
    <row r="20" spans="1:29" ht="22.5" customHeight="1" x14ac:dyDescent="0.3">
      <c r="A20" s="190" t="s">
        <v>189</v>
      </c>
      <c r="B20" s="44">
        <f>V_14!B20+V_11!R20</f>
        <v>135</v>
      </c>
      <c r="C20" s="39">
        <f>V_14!C20+V_11!S20</f>
        <v>129</v>
      </c>
      <c r="D20" s="39">
        <f>V_14!D20+V_11!T20</f>
        <v>9</v>
      </c>
      <c r="E20" s="39">
        <f>V_14!E20+V_11!U20</f>
        <v>8</v>
      </c>
      <c r="F20" s="194">
        <f>V_14!F20+V_11!V20</f>
        <v>26</v>
      </c>
      <c r="G20" s="196">
        <f t="shared" si="0"/>
        <v>307</v>
      </c>
      <c r="H20" s="203">
        <f>V_14!H20+V_11!X20</f>
        <v>0</v>
      </c>
      <c r="I20" s="204">
        <f>V_14!I20+V_11!Y20</f>
        <v>0</v>
      </c>
      <c r="J20" s="204">
        <f>V_14!J20+V_11!Z20</f>
        <v>0</v>
      </c>
      <c r="K20" s="204">
        <f>V_14!K20+V_11!AA20</f>
        <v>0</v>
      </c>
      <c r="L20" s="204">
        <f>V_14!L20+V_11!AB20</f>
        <v>0</v>
      </c>
      <c r="M20" s="205">
        <f>V_14!M20+V_11!AC20</f>
        <v>0</v>
      </c>
      <c r="N20" s="85">
        <f t="shared" si="2"/>
        <v>307</v>
      </c>
      <c r="O20" s="43">
        <f t="shared" si="3"/>
        <v>354</v>
      </c>
      <c r="R20" s="44">
        <v>18</v>
      </c>
      <c r="S20" s="39">
        <v>28</v>
      </c>
      <c r="T20" s="39">
        <v>0</v>
      </c>
      <c r="U20" s="39">
        <v>0</v>
      </c>
      <c r="V20" s="194">
        <v>0</v>
      </c>
      <c r="W20" s="196">
        <f t="shared" si="1"/>
        <v>46</v>
      </c>
      <c r="X20" s="203">
        <v>0</v>
      </c>
      <c r="Y20" s="204">
        <v>0</v>
      </c>
      <c r="Z20" s="204">
        <v>0</v>
      </c>
      <c r="AA20" s="204">
        <v>0</v>
      </c>
      <c r="AB20" s="204">
        <v>0</v>
      </c>
      <c r="AC20" s="205">
        <v>0</v>
      </c>
    </row>
    <row r="21" spans="1:29" ht="22.5" customHeight="1" x14ac:dyDescent="0.3">
      <c r="A21" s="190" t="s">
        <v>190</v>
      </c>
      <c r="B21" s="44">
        <f>V_14!B21+V_11!R21</f>
        <v>157</v>
      </c>
      <c r="C21" s="39">
        <f>V_14!C21+V_11!S21</f>
        <v>133</v>
      </c>
      <c r="D21" s="39">
        <f>V_14!D21+V_11!T21</f>
        <v>11</v>
      </c>
      <c r="E21" s="39">
        <f>V_14!E21+V_11!U21</f>
        <v>8</v>
      </c>
      <c r="F21" s="194">
        <f>V_14!F21+V_11!V21</f>
        <v>32</v>
      </c>
      <c r="G21" s="196">
        <f t="shared" si="0"/>
        <v>341</v>
      </c>
      <c r="H21" s="203">
        <f>V_14!H21+V_11!X21</f>
        <v>1</v>
      </c>
      <c r="I21" s="204">
        <f>V_14!I21+V_11!Y21</f>
        <v>0</v>
      </c>
      <c r="J21" s="204">
        <f>V_14!J21+V_11!Z21</f>
        <v>0</v>
      </c>
      <c r="K21" s="204">
        <f>V_14!K21+V_11!AA21</f>
        <v>0</v>
      </c>
      <c r="L21" s="204">
        <f>V_14!L21+V_11!AB21</f>
        <v>1</v>
      </c>
      <c r="M21" s="205">
        <f>V_14!M21+V_11!AC21</f>
        <v>0</v>
      </c>
      <c r="N21" s="85">
        <f t="shared" si="2"/>
        <v>341</v>
      </c>
      <c r="O21" s="43">
        <f t="shared" si="3"/>
        <v>416.5</v>
      </c>
      <c r="R21" s="44">
        <v>9</v>
      </c>
      <c r="S21" s="39">
        <v>27</v>
      </c>
      <c r="T21" s="39">
        <v>2</v>
      </c>
      <c r="U21" s="39">
        <v>0</v>
      </c>
      <c r="V21" s="194">
        <v>0</v>
      </c>
      <c r="W21" s="196">
        <f t="shared" si="1"/>
        <v>38</v>
      </c>
      <c r="X21" s="203">
        <v>1</v>
      </c>
      <c r="Y21" s="204">
        <v>0</v>
      </c>
      <c r="Z21" s="204">
        <v>0</v>
      </c>
      <c r="AA21" s="204">
        <v>0</v>
      </c>
      <c r="AB21" s="204">
        <v>1</v>
      </c>
      <c r="AC21" s="205">
        <v>0</v>
      </c>
    </row>
    <row r="22" spans="1:29" ht="22.5" customHeight="1" x14ac:dyDescent="0.3">
      <c r="A22" s="190" t="s">
        <v>191</v>
      </c>
      <c r="B22" s="44">
        <f>V_14!B22+V_11!R22</f>
        <v>140</v>
      </c>
      <c r="C22" s="39">
        <f>V_14!C22+V_11!S22</f>
        <v>101</v>
      </c>
      <c r="D22" s="39">
        <f>V_14!D22+V_11!T22</f>
        <v>12</v>
      </c>
      <c r="E22" s="39">
        <f>V_14!E22+V_11!U22</f>
        <v>7</v>
      </c>
      <c r="F22" s="194">
        <f>V_14!F22+V_11!V22</f>
        <v>25</v>
      </c>
      <c r="G22" s="196">
        <f t="shared" si="0"/>
        <v>285</v>
      </c>
      <c r="H22" s="203">
        <f>V_14!H22+V_11!X22</f>
        <v>0</v>
      </c>
      <c r="I22" s="204">
        <f>V_14!I22+V_11!Y22</f>
        <v>0</v>
      </c>
      <c r="J22" s="204">
        <f>V_14!J22+V_11!Z22</f>
        <v>0</v>
      </c>
      <c r="K22" s="204">
        <f>V_14!K22+V_11!AA22</f>
        <v>0</v>
      </c>
      <c r="L22" s="204">
        <f>V_14!L22+V_11!AB22</f>
        <v>2</v>
      </c>
      <c r="M22" s="205">
        <f>V_14!M22+V_11!AC22</f>
        <v>0</v>
      </c>
      <c r="N22" s="85">
        <f t="shared" si="2"/>
        <v>285</v>
      </c>
      <c r="O22" s="43">
        <f t="shared" si="3"/>
        <v>358</v>
      </c>
      <c r="R22" s="44">
        <v>11</v>
      </c>
      <c r="S22" s="39">
        <v>8</v>
      </c>
      <c r="T22" s="39">
        <v>0</v>
      </c>
      <c r="U22" s="39">
        <v>0</v>
      </c>
      <c r="V22" s="194">
        <v>0</v>
      </c>
      <c r="W22" s="196">
        <f t="shared" si="1"/>
        <v>19</v>
      </c>
      <c r="X22" s="203">
        <v>0</v>
      </c>
      <c r="Y22" s="204">
        <v>0</v>
      </c>
      <c r="Z22" s="204">
        <v>0</v>
      </c>
      <c r="AA22" s="204">
        <v>0</v>
      </c>
      <c r="AB22" s="204">
        <v>0</v>
      </c>
      <c r="AC22" s="205">
        <v>0</v>
      </c>
    </row>
    <row r="23" spans="1:29" ht="22.5" customHeight="1" x14ac:dyDescent="0.3">
      <c r="A23" s="190" t="s">
        <v>192</v>
      </c>
      <c r="B23" s="44">
        <f>V_14!B23+V_11!R23</f>
        <v>167</v>
      </c>
      <c r="C23" s="39">
        <f>V_14!C23+V_11!S23</f>
        <v>112</v>
      </c>
      <c r="D23" s="39">
        <f>V_14!D23+V_11!T23</f>
        <v>11</v>
      </c>
      <c r="E23" s="39">
        <f>V_14!E23+V_11!U23</f>
        <v>8</v>
      </c>
      <c r="F23" s="194">
        <f>V_14!F23+V_11!V23</f>
        <v>30</v>
      </c>
      <c r="G23" s="196">
        <f t="shared" si="0"/>
        <v>328</v>
      </c>
      <c r="H23" s="203">
        <f>V_14!H23+V_11!X23</f>
        <v>1</v>
      </c>
      <c r="I23" s="204">
        <f>V_14!I23+V_11!Y23</f>
        <v>0</v>
      </c>
      <c r="J23" s="204">
        <f>V_14!J23+V_11!Z23</f>
        <v>0</v>
      </c>
      <c r="K23" s="204">
        <f>V_14!K23+V_11!AA23</f>
        <v>0</v>
      </c>
      <c r="L23" s="204">
        <f>V_14!L23+V_11!AB23</f>
        <v>2</v>
      </c>
      <c r="M23" s="205">
        <f>V_14!M23+V_11!AC23</f>
        <v>0</v>
      </c>
      <c r="N23" s="85">
        <f t="shared" si="2"/>
        <v>328</v>
      </c>
      <c r="O23" s="43">
        <f t="shared" si="3"/>
        <v>415</v>
      </c>
      <c r="R23" s="44">
        <v>12</v>
      </c>
      <c r="S23" s="39">
        <v>19</v>
      </c>
      <c r="T23" s="39">
        <v>0</v>
      </c>
      <c r="U23" s="39">
        <v>0</v>
      </c>
      <c r="V23" s="194">
        <v>0</v>
      </c>
      <c r="W23" s="196">
        <f t="shared" si="1"/>
        <v>31</v>
      </c>
      <c r="X23" s="203">
        <v>1</v>
      </c>
      <c r="Y23" s="204">
        <v>0</v>
      </c>
      <c r="Z23" s="204">
        <v>0</v>
      </c>
      <c r="AA23" s="204">
        <v>0</v>
      </c>
      <c r="AB23" s="204">
        <v>2</v>
      </c>
      <c r="AC23" s="205">
        <v>0</v>
      </c>
    </row>
    <row r="24" spans="1:29" ht="22.5" customHeight="1" x14ac:dyDescent="0.3">
      <c r="A24" s="190" t="s">
        <v>193</v>
      </c>
      <c r="B24" s="44">
        <f>V_14!B24+V_11!R24</f>
        <v>122</v>
      </c>
      <c r="C24" s="39">
        <f>V_14!C24+V_11!S24</f>
        <v>108</v>
      </c>
      <c r="D24" s="39">
        <f>V_14!D24+V_11!T24</f>
        <v>17</v>
      </c>
      <c r="E24" s="39">
        <f>V_14!E24+V_11!U24</f>
        <v>8</v>
      </c>
      <c r="F24" s="194">
        <f>V_14!F24+V_11!V24</f>
        <v>20</v>
      </c>
      <c r="G24" s="196">
        <f t="shared" si="0"/>
        <v>275</v>
      </c>
      <c r="H24" s="203">
        <f>V_14!H24+V_11!X24</f>
        <v>0</v>
      </c>
      <c r="I24" s="204">
        <f>V_14!I24+V_11!Y24</f>
        <v>0</v>
      </c>
      <c r="J24" s="204">
        <f>V_14!J24+V_11!Z24</f>
        <v>0</v>
      </c>
      <c r="K24" s="204">
        <f>V_14!K24+V_11!AA24</f>
        <v>0</v>
      </c>
      <c r="L24" s="204">
        <f>V_14!L24+V_11!AB24</f>
        <v>1</v>
      </c>
      <c r="M24" s="205">
        <f>V_14!M24+V_11!AC24</f>
        <v>0</v>
      </c>
      <c r="N24" s="85">
        <f t="shared" si="2"/>
        <v>275</v>
      </c>
      <c r="O24" s="43">
        <f t="shared" si="3"/>
        <v>323.5</v>
      </c>
      <c r="R24" s="44">
        <v>9</v>
      </c>
      <c r="S24" s="39">
        <v>38</v>
      </c>
      <c r="T24" s="39">
        <v>0</v>
      </c>
      <c r="U24" s="39">
        <v>0</v>
      </c>
      <c r="V24" s="194">
        <v>0</v>
      </c>
      <c r="W24" s="196">
        <f t="shared" si="1"/>
        <v>47</v>
      </c>
      <c r="X24" s="203">
        <v>0</v>
      </c>
      <c r="Y24" s="204">
        <v>0</v>
      </c>
      <c r="Z24" s="204">
        <v>0</v>
      </c>
      <c r="AA24" s="204">
        <v>0</v>
      </c>
      <c r="AB24" s="204">
        <v>1</v>
      </c>
      <c r="AC24" s="205">
        <v>0</v>
      </c>
    </row>
    <row r="25" spans="1:29" ht="22.5" customHeight="1" x14ac:dyDescent="0.3">
      <c r="A25" s="190" t="s">
        <v>194</v>
      </c>
      <c r="B25" s="44">
        <f>V_14!B25+V_11!R25</f>
        <v>128</v>
      </c>
      <c r="C25" s="39">
        <f>V_14!C25+V_11!S25</f>
        <v>92</v>
      </c>
      <c r="D25" s="39">
        <f>V_14!D25+V_11!T25</f>
        <v>24</v>
      </c>
      <c r="E25" s="39">
        <f>V_14!E25+V_11!U25</f>
        <v>7</v>
      </c>
      <c r="F25" s="194">
        <f>V_14!F25+V_11!V25</f>
        <v>21</v>
      </c>
      <c r="G25" s="196">
        <f t="shared" si="0"/>
        <v>272</v>
      </c>
      <c r="H25" s="203">
        <f>V_14!H25+V_11!X25</f>
        <v>0</v>
      </c>
      <c r="I25" s="204">
        <f>V_14!I25+V_11!Y25</f>
        <v>0</v>
      </c>
      <c r="J25" s="204">
        <f>V_14!J25+V_11!Z25</f>
        <v>0</v>
      </c>
      <c r="K25" s="204">
        <f>V_14!K25+V_11!AA25</f>
        <v>0</v>
      </c>
      <c r="L25" s="204">
        <f>V_14!L25+V_11!AB25</f>
        <v>0</v>
      </c>
      <c r="M25" s="205">
        <f>V_14!M25+V_11!AC25</f>
        <v>0</v>
      </c>
      <c r="N25" s="85">
        <f t="shared" si="2"/>
        <v>272</v>
      </c>
      <c r="O25" s="43">
        <f t="shared" si="3"/>
        <v>325.5</v>
      </c>
      <c r="R25" s="44">
        <v>5</v>
      </c>
      <c r="S25" s="39">
        <v>15</v>
      </c>
      <c r="T25" s="39">
        <v>2</v>
      </c>
      <c r="U25" s="39">
        <v>0</v>
      </c>
      <c r="V25" s="194">
        <v>0</v>
      </c>
      <c r="W25" s="196">
        <f t="shared" si="1"/>
        <v>22</v>
      </c>
      <c r="X25" s="203">
        <v>0</v>
      </c>
      <c r="Y25" s="204">
        <v>0</v>
      </c>
      <c r="Z25" s="204">
        <v>0</v>
      </c>
      <c r="AA25" s="204">
        <v>0</v>
      </c>
      <c r="AB25" s="204">
        <v>0</v>
      </c>
      <c r="AC25" s="205">
        <v>0</v>
      </c>
    </row>
    <row r="26" spans="1:29" ht="22.5" customHeight="1" x14ac:dyDescent="0.3">
      <c r="A26" s="190" t="s">
        <v>195</v>
      </c>
      <c r="B26" s="44">
        <f>V_14!B26+V_11!R26</f>
        <v>125</v>
      </c>
      <c r="C26" s="39">
        <f>V_14!C26+V_11!S26</f>
        <v>100</v>
      </c>
      <c r="D26" s="39">
        <f>V_14!D26+V_11!T26</f>
        <v>15</v>
      </c>
      <c r="E26" s="39">
        <f>V_14!E26+V_11!U26</f>
        <v>14</v>
      </c>
      <c r="F26" s="194">
        <f>V_14!F26+V_11!V26</f>
        <v>26</v>
      </c>
      <c r="G26" s="196">
        <f t="shared" si="0"/>
        <v>280</v>
      </c>
      <c r="H26" s="203">
        <f>V_14!H26+V_11!X26</f>
        <v>0</v>
      </c>
      <c r="I26" s="204">
        <f>V_14!I26+V_11!Y26</f>
        <v>0</v>
      </c>
      <c r="J26" s="204">
        <f>V_14!J26+V_11!Z26</f>
        <v>1</v>
      </c>
      <c r="K26" s="204">
        <f>V_14!K26+V_11!AA26</f>
        <v>0</v>
      </c>
      <c r="L26" s="204">
        <f>V_14!L26+V_11!AB26</f>
        <v>2</v>
      </c>
      <c r="M26" s="205">
        <f>V_14!M26+V_11!AC26</f>
        <v>0</v>
      </c>
      <c r="N26" s="85">
        <f t="shared" si="2"/>
        <v>280</v>
      </c>
      <c r="O26" s="43">
        <f t="shared" si="3"/>
        <v>375.5</v>
      </c>
      <c r="R26" s="44">
        <v>4</v>
      </c>
      <c r="S26" s="39">
        <v>25</v>
      </c>
      <c r="T26" s="39">
        <v>0</v>
      </c>
      <c r="U26" s="39">
        <v>0</v>
      </c>
      <c r="V26" s="194">
        <v>0</v>
      </c>
      <c r="W26" s="196">
        <f t="shared" si="1"/>
        <v>29</v>
      </c>
      <c r="X26" s="203">
        <v>0</v>
      </c>
      <c r="Y26" s="204">
        <v>0</v>
      </c>
      <c r="Z26" s="204">
        <v>1</v>
      </c>
      <c r="AA26" s="204">
        <v>0</v>
      </c>
      <c r="AB26" s="204">
        <v>2</v>
      </c>
      <c r="AC26" s="205">
        <v>0</v>
      </c>
    </row>
    <row r="27" spans="1:29" ht="22.5" customHeight="1" x14ac:dyDescent="0.3">
      <c r="A27" s="190" t="s">
        <v>196</v>
      </c>
      <c r="B27" s="44">
        <f>V_14!B27+V_11!R27</f>
        <v>131</v>
      </c>
      <c r="C27" s="39">
        <f>V_14!C27+V_11!S27</f>
        <v>105</v>
      </c>
      <c r="D27" s="39">
        <f>V_14!D27+V_11!T27</f>
        <v>13</v>
      </c>
      <c r="E27" s="39">
        <f>V_14!E27+V_11!U27</f>
        <v>8</v>
      </c>
      <c r="F27" s="194">
        <f>V_14!F27+V_11!V27</f>
        <v>31</v>
      </c>
      <c r="G27" s="196">
        <f t="shared" si="0"/>
        <v>288</v>
      </c>
      <c r="H27" s="203">
        <f>V_14!H27+V_11!X27</f>
        <v>0</v>
      </c>
      <c r="I27" s="204">
        <f>V_14!I27+V_11!Y27</f>
        <v>0</v>
      </c>
      <c r="J27" s="204">
        <f>V_14!J27+V_11!Z27</f>
        <v>0</v>
      </c>
      <c r="K27" s="204">
        <f>V_14!K27+V_11!AA27</f>
        <v>0</v>
      </c>
      <c r="L27" s="204">
        <f>V_14!L27+V_11!AB27</f>
        <v>1</v>
      </c>
      <c r="M27" s="205">
        <f>V_14!M27+V_11!AC27</f>
        <v>0</v>
      </c>
      <c r="N27" s="85">
        <f t="shared" si="2"/>
        <v>288</v>
      </c>
      <c r="O27" s="43">
        <f t="shared" si="3"/>
        <v>374.5</v>
      </c>
      <c r="R27" s="44">
        <v>9</v>
      </c>
      <c r="S27" s="39">
        <v>32</v>
      </c>
      <c r="T27" s="39">
        <v>0</v>
      </c>
      <c r="U27" s="39">
        <v>0</v>
      </c>
      <c r="V27" s="194">
        <v>0</v>
      </c>
      <c r="W27" s="196">
        <f t="shared" si="1"/>
        <v>41</v>
      </c>
      <c r="X27" s="203">
        <v>0</v>
      </c>
      <c r="Y27" s="204">
        <v>0</v>
      </c>
      <c r="Z27" s="204">
        <v>0</v>
      </c>
      <c r="AA27" s="204">
        <v>0</v>
      </c>
      <c r="AB27" s="204">
        <v>1</v>
      </c>
      <c r="AC27" s="205">
        <v>0</v>
      </c>
    </row>
    <row r="28" spans="1:29" ht="22.5" customHeight="1" x14ac:dyDescent="0.3">
      <c r="A28" s="190" t="s">
        <v>197</v>
      </c>
      <c r="B28" s="44">
        <f>V_14!B28+V_11!R28</f>
        <v>117</v>
      </c>
      <c r="C28" s="39">
        <f>V_14!C28+V_11!S28</f>
        <v>83</v>
      </c>
      <c r="D28" s="39">
        <f>V_14!D28+V_11!T28</f>
        <v>20</v>
      </c>
      <c r="E28" s="39">
        <f>V_14!E28+V_11!U28</f>
        <v>9</v>
      </c>
      <c r="F28" s="194">
        <f>V_14!F28+V_11!V28</f>
        <v>28</v>
      </c>
      <c r="G28" s="196">
        <f t="shared" si="0"/>
        <v>257</v>
      </c>
      <c r="H28" s="203">
        <f>V_14!H28+V_11!X28</f>
        <v>0</v>
      </c>
      <c r="I28" s="204">
        <f>V_14!I28+V_11!Y28</f>
        <v>0</v>
      </c>
      <c r="J28" s="204">
        <f>V_14!J28+V_11!Z28</f>
        <v>0</v>
      </c>
      <c r="K28" s="204">
        <f>V_14!K28+V_11!AA28</f>
        <v>0</v>
      </c>
      <c r="L28" s="204">
        <f>V_14!L28+V_11!AB28</f>
        <v>0</v>
      </c>
      <c r="M28" s="205">
        <f>V_14!M28+V_11!AC28</f>
        <v>0</v>
      </c>
      <c r="N28" s="85">
        <f t="shared" si="2"/>
        <v>257</v>
      </c>
      <c r="O28" s="43">
        <f t="shared" si="3"/>
        <v>341.5</v>
      </c>
      <c r="R28" s="44">
        <v>9</v>
      </c>
      <c r="S28" s="39">
        <v>25</v>
      </c>
      <c r="T28" s="39">
        <v>1</v>
      </c>
      <c r="U28" s="39">
        <v>1</v>
      </c>
      <c r="V28" s="194">
        <v>0</v>
      </c>
      <c r="W28" s="196">
        <f t="shared" si="1"/>
        <v>36</v>
      </c>
      <c r="X28" s="203">
        <v>0</v>
      </c>
      <c r="Y28" s="204">
        <v>0</v>
      </c>
      <c r="Z28" s="204">
        <v>0</v>
      </c>
      <c r="AA28" s="204">
        <v>0</v>
      </c>
      <c r="AB28" s="204">
        <v>0</v>
      </c>
      <c r="AC28" s="205">
        <v>0</v>
      </c>
    </row>
    <row r="29" spans="1:29" ht="22.5" customHeight="1" x14ac:dyDescent="0.3">
      <c r="A29" s="190" t="s">
        <v>198</v>
      </c>
      <c r="B29" s="44">
        <f>V_14!B29+V_11!R29</f>
        <v>132</v>
      </c>
      <c r="C29" s="39">
        <f>V_14!C29+V_11!S29</f>
        <v>84</v>
      </c>
      <c r="D29" s="39">
        <f>V_14!D29+V_11!T29</f>
        <v>21</v>
      </c>
      <c r="E29" s="39">
        <f>V_14!E29+V_11!U29</f>
        <v>7</v>
      </c>
      <c r="F29" s="194">
        <f>V_14!F29+V_11!V29</f>
        <v>31</v>
      </c>
      <c r="G29" s="196">
        <f t="shared" si="0"/>
        <v>275</v>
      </c>
      <c r="H29" s="203">
        <f>V_14!H29+V_11!X29</f>
        <v>2</v>
      </c>
      <c r="I29" s="204">
        <f>V_14!I29+V_11!Y29</f>
        <v>0</v>
      </c>
      <c r="J29" s="204">
        <f>V_14!J29+V_11!Z29</f>
        <v>0</v>
      </c>
      <c r="K29" s="204">
        <f>V_14!K29+V_11!AA29</f>
        <v>0</v>
      </c>
      <c r="L29" s="204">
        <f>V_14!L29+V_11!AB29</f>
        <v>0</v>
      </c>
      <c r="M29" s="205">
        <f>V_14!M29+V_11!AC29</f>
        <v>0</v>
      </c>
      <c r="N29" s="85">
        <f t="shared" si="2"/>
        <v>275</v>
      </c>
      <c r="O29" s="43">
        <f t="shared" si="3"/>
        <v>367</v>
      </c>
      <c r="R29" s="44">
        <v>9</v>
      </c>
      <c r="S29" s="39">
        <v>23</v>
      </c>
      <c r="T29" s="39">
        <v>0</v>
      </c>
      <c r="U29" s="39">
        <v>0</v>
      </c>
      <c r="V29" s="194">
        <v>0</v>
      </c>
      <c r="W29" s="196">
        <f t="shared" si="1"/>
        <v>32</v>
      </c>
      <c r="X29" s="203">
        <v>2</v>
      </c>
      <c r="Y29" s="204">
        <v>0</v>
      </c>
      <c r="Z29" s="204">
        <v>0</v>
      </c>
      <c r="AA29" s="204">
        <v>0</v>
      </c>
      <c r="AB29" s="204">
        <v>0</v>
      </c>
      <c r="AC29" s="205">
        <v>0</v>
      </c>
    </row>
    <row r="30" spans="1:29" ht="22.5" customHeight="1" x14ac:dyDescent="0.3">
      <c r="A30" s="190" t="s">
        <v>199</v>
      </c>
      <c r="B30" s="44">
        <f>V_14!B30+V_11!R30</f>
        <v>132</v>
      </c>
      <c r="C30" s="39">
        <f>V_14!C30+V_11!S30</f>
        <v>92</v>
      </c>
      <c r="D30" s="39">
        <f>V_14!D30+V_11!T30</f>
        <v>21</v>
      </c>
      <c r="E30" s="39">
        <f>V_14!E30+V_11!U30</f>
        <v>8</v>
      </c>
      <c r="F30" s="194">
        <f>V_14!F30+V_11!V30</f>
        <v>32</v>
      </c>
      <c r="G30" s="196">
        <f t="shared" si="0"/>
        <v>285</v>
      </c>
      <c r="H30" s="203">
        <f>V_14!H30+V_11!X30</f>
        <v>2</v>
      </c>
      <c r="I30" s="204">
        <f>V_14!I30+V_11!Y30</f>
        <v>0</v>
      </c>
      <c r="J30" s="204">
        <f>V_14!J30+V_11!Z30</f>
        <v>0</v>
      </c>
      <c r="K30" s="204">
        <f>V_14!K30+V_11!AA30</f>
        <v>0</v>
      </c>
      <c r="L30" s="204">
        <f>V_14!L30+V_11!AB30</f>
        <v>1</v>
      </c>
      <c r="M30" s="205">
        <f>V_14!M30+V_11!AC30</f>
        <v>0</v>
      </c>
      <c r="N30" s="85">
        <f t="shared" si="2"/>
        <v>285</v>
      </c>
      <c r="O30" s="43">
        <f t="shared" si="3"/>
        <v>386.5</v>
      </c>
      <c r="R30" s="44">
        <v>8</v>
      </c>
      <c r="S30" s="39">
        <v>28</v>
      </c>
      <c r="T30" s="39">
        <v>0</v>
      </c>
      <c r="U30" s="39">
        <v>0</v>
      </c>
      <c r="V30" s="194">
        <v>0</v>
      </c>
      <c r="W30" s="196">
        <f t="shared" si="1"/>
        <v>36</v>
      </c>
      <c r="X30" s="203">
        <v>2</v>
      </c>
      <c r="Y30" s="204">
        <v>0</v>
      </c>
      <c r="Z30" s="204">
        <v>0</v>
      </c>
      <c r="AA30" s="204">
        <v>0</v>
      </c>
      <c r="AB30" s="204">
        <v>1</v>
      </c>
      <c r="AC30" s="205">
        <v>0</v>
      </c>
    </row>
    <row r="31" spans="1:29" ht="22.5" customHeight="1" x14ac:dyDescent="0.3">
      <c r="A31" s="190" t="s">
        <v>200</v>
      </c>
      <c r="B31" s="44">
        <f>V_14!B31+V_11!R31</f>
        <v>155</v>
      </c>
      <c r="C31" s="39">
        <f>V_14!C31+V_11!S31</f>
        <v>92</v>
      </c>
      <c r="D31" s="39">
        <f>V_14!D31+V_11!T31</f>
        <v>9</v>
      </c>
      <c r="E31" s="39">
        <f>V_14!E31+V_11!U31</f>
        <v>8</v>
      </c>
      <c r="F31" s="194">
        <f>V_14!F31+V_11!V31</f>
        <v>42</v>
      </c>
      <c r="G31" s="196">
        <f t="shared" si="0"/>
        <v>306</v>
      </c>
      <c r="H31" s="203">
        <f>V_14!H31+V_11!X31</f>
        <v>0</v>
      </c>
      <c r="I31" s="204">
        <f>V_14!I31+V_11!Y31</f>
        <v>0</v>
      </c>
      <c r="J31" s="204">
        <f>V_14!J31+V_11!Z31</f>
        <v>0</v>
      </c>
      <c r="K31" s="204">
        <f>V_14!K31+V_11!AA31</f>
        <v>0</v>
      </c>
      <c r="L31" s="204">
        <f>V_14!L31+V_11!AB31</f>
        <v>1</v>
      </c>
      <c r="M31" s="205">
        <f>V_14!M31+V_11!AC31</f>
        <v>0</v>
      </c>
      <c r="N31" s="85">
        <f t="shared" si="2"/>
        <v>306</v>
      </c>
      <c r="O31" s="43">
        <f t="shared" si="3"/>
        <v>435.5</v>
      </c>
      <c r="R31" s="44">
        <v>20</v>
      </c>
      <c r="S31" s="39">
        <v>19</v>
      </c>
      <c r="T31" s="39">
        <v>2</v>
      </c>
      <c r="U31" s="39">
        <v>0</v>
      </c>
      <c r="V31" s="194">
        <v>0</v>
      </c>
      <c r="W31" s="196">
        <f t="shared" si="1"/>
        <v>41</v>
      </c>
      <c r="X31" s="203">
        <v>0</v>
      </c>
      <c r="Y31" s="204">
        <v>0</v>
      </c>
      <c r="Z31" s="204">
        <v>0</v>
      </c>
      <c r="AA31" s="204">
        <v>0</v>
      </c>
      <c r="AB31" s="204">
        <v>1</v>
      </c>
      <c r="AC31" s="205">
        <v>0</v>
      </c>
    </row>
    <row r="32" spans="1:29" ht="22.5" customHeight="1" x14ac:dyDescent="0.3">
      <c r="A32" s="190" t="s">
        <v>201</v>
      </c>
      <c r="B32" s="44">
        <f>V_14!B32+V_11!R32</f>
        <v>133</v>
      </c>
      <c r="C32" s="39">
        <f>V_14!C32+V_11!S32</f>
        <v>74</v>
      </c>
      <c r="D32" s="39">
        <f>V_14!D32+V_11!T32</f>
        <v>24</v>
      </c>
      <c r="E32" s="39">
        <f>V_14!E32+V_11!U32</f>
        <v>11</v>
      </c>
      <c r="F32" s="194">
        <f>V_14!F32+V_11!V32</f>
        <v>38</v>
      </c>
      <c r="G32" s="196">
        <f t="shared" si="0"/>
        <v>280</v>
      </c>
      <c r="H32" s="203">
        <f>V_14!H32+V_11!X32</f>
        <v>0</v>
      </c>
      <c r="I32" s="204">
        <f>V_14!I32+V_11!Y32</f>
        <v>0</v>
      </c>
      <c r="J32" s="204">
        <f>V_14!J32+V_11!Z32</f>
        <v>0</v>
      </c>
      <c r="K32" s="204">
        <f>V_14!K32+V_11!AA32</f>
        <v>0</v>
      </c>
      <c r="L32" s="204">
        <f>V_14!L32+V_11!AB32</f>
        <v>0</v>
      </c>
      <c r="M32" s="205">
        <f>V_14!M32+V_11!AC32</f>
        <v>0</v>
      </c>
      <c r="N32" s="85">
        <f t="shared" si="2"/>
        <v>280</v>
      </c>
      <c r="O32" s="43">
        <f t="shared" si="3"/>
        <v>410</v>
      </c>
      <c r="R32" s="44">
        <v>12</v>
      </c>
      <c r="S32" s="39">
        <v>31</v>
      </c>
      <c r="T32" s="39">
        <v>1</v>
      </c>
      <c r="U32" s="39">
        <v>0</v>
      </c>
      <c r="V32" s="194">
        <v>0</v>
      </c>
      <c r="W32" s="196">
        <f t="shared" si="1"/>
        <v>44</v>
      </c>
      <c r="X32" s="203">
        <v>0</v>
      </c>
      <c r="Y32" s="204">
        <v>0</v>
      </c>
      <c r="Z32" s="204">
        <v>0</v>
      </c>
      <c r="AA32" s="204">
        <v>0</v>
      </c>
      <c r="AB32" s="204">
        <v>0</v>
      </c>
      <c r="AC32" s="205">
        <v>0</v>
      </c>
    </row>
    <row r="33" spans="1:29" ht="22.5" customHeight="1" x14ac:dyDescent="0.3">
      <c r="A33" s="190" t="s">
        <v>202</v>
      </c>
      <c r="B33" s="44">
        <f>V_14!B33+V_11!R33</f>
        <v>121</v>
      </c>
      <c r="C33" s="39">
        <f>V_14!C33+V_11!S33</f>
        <v>40</v>
      </c>
      <c r="D33" s="39">
        <f>V_14!D33+V_11!T33</f>
        <v>22</v>
      </c>
      <c r="E33" s="39">
        <f>V_14!E33+V_11!U33</f>
        <v>8</v>
      </c>
      <c r="F33" s="194">
        <f>V_14!F33+V_11!V33</f>
        <v>43</v>
      </c>
      <c r="G33" s="196">
        <f t="shared" si="0"/>
        <v>234</v>
      </c>
      <c r="H33" s="203">
        <f>V_14!H33+V_11!X33</f>
        <v>0</v>
      </c>
      <c r="I33" s="204">
        <f>V_14!I33+V_11!Y33</f>
        <v>0</v>
      </c>
      <c r="J33" s="204">
        <f>V_14!J33+V_11!Z33</f>
        <v>0</v>
      </c>
      <c r="K33" s="204">
        <f>V_14!K33+V_11!AA33</f>
        <v>0</v>
      </c>
      <c r="L33" s="204">
        <f>V_14!L33+V_11!AB33</f>
        <v>3</v>
      </c>
      <c r="M33" s="205">
        <f>V_14!M33+V_11!AC33</f>
        <v>0</v>
      </c>
      <c r="N33" s="85">
        <f t="shared" si="2"/>
        <v>234</v>
      </c>
      <c r="O33" s="43">
        <f t="shared" si="3"/>
        <v>415.5</v>
      </c>
      <c r="R33" s="44">
        <v>7</v>
      </c>
      <c r="S33" s="39">
        <v>19</v>
      </c>
      <c r="T33" s="39">
        <v>1</v>
      </c>
      <c r="U33" s="39">
        <v>0</v>
      </c>
      <c r="V33" s="194">
        <v>1</v>
      </c>
      <c r="W33" s="196">
        <f t="shared" si="1"/>
        <v>28</v>
      </c>
      <c r="X33" s="203">
        <v>0</v>
      </c>
      <c r="Y33" s="204">
        <v>0</v>
      </c>
      <c r="Z33" s="204">
        <v>0</v>
      </c>
      <c r="AA33" s="204">
        <v>0</v>
      </c>
      <c r="AB33" s="204">
        <v>3</v>
      </c>
      <c r="AC33" s="205">
        <v>0</v>
      </c>
    </row>
    <row r="34" spans="1:29" ht="22.5" customHeight="1" x14ac:dyDescent="0.3">
      <c r="A34" s="190" t="s">
        <v>203</v>
      </c>
      <c r="B34" s="44">
        <f>V_14!B34+V_11!R34</f>
        <v>110</v>
      </c>
      <c r="C34" s="39">
        <f>V_14!C34+V_11!S34</f>
        <v>38</v>
      </c>
      <c r="D34" s="39">
        <f>V_14!D34+V_11!T34</f>
        <v>19</v>
      </c>
      <c r="E34" s="39">
        <f>V_14!E34+V_11!U34</f>
        <v>9</v>
      </c>
      <c r="F34" s="194">
        <f>V_14!F34+V_11!V34</f>
        <v>40</v>
      </c>
      <c r="G34" s="196">
        <f t="shared" si="0"/>
        <v>216</v>
      </c>
      <c r="H34" s="203">
        <f>V_14!H34+V_11!X34</f>
        <v>0</v>
      </c>
      <c r="I34" s="204">
        <f>V_14!I34+V_11!Y34</f>
        <v>0</v>
      </c>
      <c r="J34" s="204">
        <f>V_14!J34+V_11!Z34</f>
        <v>1</v>
      </c>
      <c r="K34" s="204">
        <f>V_14!K34+V_11!AA34</f>
        <v>0</v>
      </c>
      <c r="L34" s="204">
        <f>V_14!L34+V_11!AB34</f>
        <v>1</v>
      </c>
      <c r="M34" s="205">
        <f>V_14!M34+V_11!AC34</f>
        <v>0</v>
      </c>
      <c r="N34" s="85">
        <f t="shared" si="2"/>
        <v>216</v>
      </c>
      <c r="O34" s="43">
        <f t="shared" si="3"/>
        <v>375.5</v>
      </c>
      <c r="R34" s="44">
        <v>9</v>
      </c>
      <c r="S34" s="39">
        <v>16</v>
      </c>
      <c r="T34" s="39">
        <v>0</v>
      </c>
      <c r="U34" s="39">
        <v>0</v>
      </c>
      <c r="V34" s="194">
        <v>0</v>
      </c>
      <c r="W34" s="196">
        <f t="shared" si="1"/>
        <v>25</v>
      </c>
      <c r="X34" s="203">
        <v>0</v>
      </c>
      <c r="Y34" s="204">
        <v>0</v>
      </c>
      <c r="Z34" s="204">
        <v>1</v>
      </c>
      <c r="AA34" s="204">
        <v>0</v>
      </c>
      <c r="AB34" s="204">
        <v>1</v>
      </c>
      <c r="AC34" s="205">
        <v>0</v>
      </c>
    </row>
    <row r="35" spans="1:29" ht="22.5" customHeight="1" x14ac:dyDescent="0.3">
      <c r="A35" s="190" t="s">
        <v>204</v>
      </c>
      <c r="B35" s="44">
        <f>V_14!B35+V_11!R35</f>
        <v>120</v>
      </c>
      <c r="C35" s="39">
        <f>V_14!C35+V_11!S35</f>
        <v>51</v>
      </c>
      <c r="D35" s="39">
        <f>V_14!D35+V_11!T35</f>
        <v>19</v>
      </c>
      <c r="E35" s="39">
        <f>V_14!E35+V_11!U35</f>
        <v>11</v>
      </c>
      <c r="F35" s="194">
        <f>V_14!F35+V_11!V35</f>
        <v>31</v>
      </c>
      <c r="G35" s="196">
        <f t="shared" si="0"/>
        <v>232</v>
      </c>
      <c r="H35" s="203">
        <f>V_14!H35+V_11!X35</f>
        <v>0</v>
      </c>
      <c r="I35" s="204">
        <f>V_14!I35+V_11!Y35</f>
        <v>0</v>
      </c>
      <c r="J35" s="204">
        <f>V_14!J35+V_11!Z35</f>
        <v>0</v>
      </c>
      <c r="K35" s="204">
        <f>V_14!K35+V_11!AA35</f>
        <v>0</v>
      </c>
      <c r="L35" s="204">
        <f>V_14!L35+V_11!AB35</f>
        <v>1</v>
      </c>
      <c r="M35" s="205">
        <f>V_14!M35+V_11!AC35</f>
        <v>0</v>
      </c>
      <c r="N35" s="85">
        <f t="shared" si="2"/>
        <v>232</v>
      </c>
      <c r="O35" s="43">
        <f t="shared" si="3"/>
        <v>354.5</v>
      </c>
      <c r="R35" s="44">
        <v>7</v>
      </c>
      <c r="S35" s="39">
        <v>20</v>
      </c>
      <c r="T35" s="39">
        <v>1</v>
      </c>
      <c r="U35" s="39">
        <v>0</v>
      </c>
      <c r="V35" s="194">
        <v>0</v>
      </c>
      <c r="W35" s="196">
        <f t="shared" si="1"/>
        <v>28</v>
      </c>
      <c r="X35" s="203">
        <v>0</v>
      </c>
      <c r="Y35" s="204">
        <v>0</v>
      </c>
      <c r="Z35" s="204">
        <v>0</v>
      </c>
      <c r="AA35" s="204">
        <v>0</v>
      </c>
      <c r="AB35" s="204">
        <v>1</v>
      </c>
      <c r="AC35" s="205">
        <v>0</v>
      </c>
    </row>
    <row r="36" spans="1:29" ht="22.5" customHeight="1" x14ac:dyDescent="0.3">
      <c r="A36" s="190" t="s">
        <v>205</v>
      </c>
      <c r="B36" s="44">
        <f>V_14!B36+V_11!R36</f>
        <v>125</v>
      </c>
      <c r="C36" s="39">
        <f>V_14!C36+V_11!S36</f>
        <v>33</v>
      </c>
      <c r="D36" s="39">
        <f>V_14!D36+V_11!T36</f>
        <v>10</v>
      </c>
      <c r="E36" s="39">
        <f>V_14!E36+V_11!U36</f>
        <v>12</v>
      </c>
      <c r="F36" s="194">
        <f>V_14!F36+V_11!V36</f>
        <v>57</v>
      </c>
      <c r="G36" s="196">
        <f t="shared" si="0"/>
        <v>237</v>
      </c>
      <c r="H36" s="203">
        <f>V_14!H36+V_11!X36</f>
        <v>0</v>
      </c>
      <c r="I36" s="204">
        <f>V_14!I36+V_11!Y36</f>
        <v>0</v>
      </c>
      <c r="J36" s="204">
        <f>V_14!J36+V_11!Z36</f>
        <v>2</v>
      </c>
      <c r="K36" s="204">
        <f>V_14!K36+V_11!AA36</f>
        <v>0</v>
      </c>
      <c r="L36" s="204">
        <f>V_14!L36+V_11!AB36</f>
        <v>0</v>
      </c>
      <c r="M36" s="205">
        <f>V_14!M36+V_11!AC36</f>
        <v>0</v>
      </c>
      <c r="N36" s="85">
        <f t="shared" si="2"/>
        <v>237</v>
      </c>
      <c r="O36" s="43">
        <f t="shared" si="3"/>
        <v>455</v>
      </c>
      <c r="R36" s="44">
        <v>13</v>
      </c>
      <c r="S36" s="39">
        <v>13</v>
      </c>
      <c r="T36" s="39">
        <v>1</v>
      </c>
      <c r="U36" s="39">
        <v>0</v>
      </c>
      <c r="V36" s="194">
        <v>0</v>
      </c>
      <c r="W36" s="196">
        <f t="shared" si="1"/>
        <v>27</v>
      </c>
      <c r="X36" s="203">
        <v>0</v>
      </c>
      <c r="Y36" s="204">
        <v>0</v>
      </c>
      <c r="Z36" s="204">
        <v>2</v>
      </c>
      <c r="AA36" s="204">
        <v>0</v>
      </c>
      <c r="AB36" s="204">
        <v>0</v>
      </c>
      <c r="AC36" s="205">
        <v>0</v>
      </c>
    </row>
    <row r="37" spans="1:29" ht="22.5" customHeight="1" x14ac:dyDescent="0.3">
      <c r="A37" s="190" t="s">
        <v>206</v>
      </c>
      <c r="B37" s="44">
        <f>V_14!B37+V_11!R37</f>
        <v>161</v>
      </c>
      <c r="C37" s="39">
        <f>V_14!C37+V_11!S37</f>
        <v>74</v>
      </c>
      <c r="D37" s="39">
        <f>V_14!D37+V_11!T37</f>
        <v>8</v>
      </c>
      <c r="E37" s="39">
        <f>V_14!E37+V_11!U37</f>
        <v>15</v>
      </c>
      <c r="F37" s="194">
        <f>V_14!F37+V_11!V37</f>
        <v>46</v>
      </c>
      <c r="G37" s="196">
        <f t="shared" si="0"/>
        <v>304</v>
      </c>
      <c r="H37" s="203">
        <f>V_14!H37+V_11!X37</f>
        <v>0</v>
      </c>
      <c r="I37" s="204">
        <f>V_14!I37+V_11!Y37</f>
        <v>0</v>
      </c>
      <c r="J37" s="204">
        <f>V_14!J37+V_11!Z37</f>
        <v>0</v>
      </c>
      <c r="K37" s="204">
        <f>V_14!K37+V_11!AA37</f>
        <v>0</v>
      </c>
      <c r="L37" s="204">
        <f>V_14!L37+V_11!AB37</f>
        <v>0</v>
      </c>
      <c r="M37" s="205">
        <f>V_14!M37+V_11!AC37</f>
        <v>0</v>
      </c>
      <c r="N37" s="85">
        <f t="shared" si="2"/>
        <v>304</v>
      </c>
      <c r="O37" s="43">
        <f t="shared" si="3"/>
        <v>462</v>
      </c>
      <c r="R37" s="44">
        <v>6</v>
      </c>
      <c r="S37" s="39">
        <v>12</v>
      </c>
      <c r="T37" s="39">
        <v>0</v>
      </c>
      <c r="U37" s="39">
        <v>0</v>
      </c>
      <c r="V37" s="194">
        <v>1</v>
      </c>
      <c r="W37" s="196">
        <f t="shared" si="1"/>
        <v>19</v>
      </c>
      <c r="X37" s="203">
        <v>0</v>
      </c>
      <c r="Y37" s="204">
        <v>0</v>
      </c>
      <c r="Z37" s="204">
        <v>0</v>
      </c>
      <c r="AA37" s="204">
        <v>0</v>
      </c>
      <c r="AB37" s="204">
        <v>0</v>
      </c>
      <c r="AC37" s="205">
        <v>0</v>
      </c>
    </row>
    <row r="38" spans="1:29" ht="22.5" customHeight="1" x14ac:dyDescent="0.3">
      <c r="A38" s="190" t="s">
        <v>207</v>
      </c>
      <c r="B38" s="44">
        <f>V_14!B38+V_11!R38</f>
        <v>130</v>
      </c>
      <c r="C38" s="39">
        <f>V_14!C38+V_11!S38</f>
        <v>53</v>
      </c>
      <c r="D38" s="39">
        <f>V_14!D38+V_11!T38</f>
        <v>14</v>
      </c>
      <c r="E38" s="39">
        <f>V_14!E38+V_11!U38</f>
        <v>16</v>
      </c>
      <c r="F38" s="194">
        <f>V_14!F38+V_11!V38</f>
        <v>44</v>
      </c>
      <c r="G38" s="196">
        <f t="shared" si="0"/>
        <v>257</v>
      </c>
      <c r="H38" s="203">
        <f>V_14!H38+V_11!X38</f>
        <v>0</v>
      </c>
      <c r="I38" s="204">
        <f>V_14!I38+V_11!Y38</f>
        <v>0</v>
      </c>
      <c r="J38" s="204">
        <f>V_14!J38+V_11!Z38</f>
        <v>0</v>
      </c>
      <c r="K38" s="204">
        <f>V_14!K38+V_11!AA38</f>
        <v>0</v>
      </c>
      <c r="L38" s="204">
        <f>V_14!L38+V_11!AB38</f>
        <v>0</v>
      </c>
      <c r="M38" s="205">
        <f>V_14!M38+V_11!AC38</f>
        <v>0</v>
      </c>
      <c r="N38" s="85">
        <f t="shared" si="2"/>
        <v>257</v>
      </c>
      <c r="O38" s="43">
        <f t="shared" si="3"/>
        <v>423.5</v>
      </c>
      <c r="R38" s="44">
        <v>12</v>
      </c>
      <c r="S38" s="39">
        <v>21</v>
      </c>
      <c r="T38" s="39">
        <v>1</v>
      </c>
      <c r="U38" s="39">
        <v>0</v>
      </c>
      <c r="V38" s="194">
        <v>0</v>
      </c>
      <c r="W38" s="196">
        <f t="shared" si="1"/>
        <v>34</v>
      </c>
      <c r="X38" s="203">
        <v>0</v>
      </c>
      <c r="Y38" s="204">
        <v>0</v>
      </c>
      <c r="Z38" s="204">
        <v>0</v>
      </c>
      <c r="AA38" s="204">
        <v>0</v>
      </c>
      <c r="AB38" s="204">
        <v>0</v>
      </c>
      <c r="AC38" s="205">
        <v>0</v>
      </c>
    </row>
    <row r="39" spans="1:29" ht="22.5" customHeight="1" x14ac:dyDescent="0.3">
      <c r="A39" s="190" t="s">
        <v>208</v>
      </c>
      <c r="B39" s="44">
        <f>V_14!B39+V_11!R39</f>
        <v>143</v>
      </c>
      <c r="C39" s="39">
        <f>V_14!C39+V_11!S39</f>
        <v>50</v>
      </c>
      <c r="D39" s="39">
        <f>V_14!D39+V_11!T39</f>
        <v>16</v>
      </c>
      <c r="E39" s="39">
        <f>V_14!E39+V_11!U39</f>
        <v>18</v>
      </c>
      <c r="F39" s="194">
        <f>V_14!F39+V_11!V39</f>
        <v>43</v>
      </c>
      <c r="G39" s="196">
        <f t="shared" si="0"/>
        <v>270</v>
      </c>
      <c r="H39" s="203">
        <f>V_14!H39+V_11!X39</f>
        <v>0</v>
      </c>
      <c r="I39" s="204">
        <f>V_14!I39+V_11!Y39</f>
        <v>0</v>
      </c>
      <c r="J39" s="204">
        <f>V_14!J39+V_11!Z39</f>
        <v>0</v>
      </c>
      <c r="K39" s="204">
        <f>V_14!K39+V_11!AA39</f>
        <v>0</v>
      </c>
      <c r="L39" s="204">
        <f>V_14!L39+V_11!AB39</f>
        <v>0</v>
      </c>
      <c r="M39" s="205">
        <f>V_14!M39+V_11!AC39</f>
        <v>0</v>
      </c>
      <c r="N39" s="85">
        <f t="shared" si="2"/>
        <v>270</v>
      </c>
      <c r="O39" s="43">
        <f t="shared" si="3"/>
        <v>439.5</v>
      </c>
      <c r="R39" s="44">
        <v>8</v>
      </c>
      <c r="S39" s="39">
        <v>15</v>
      </c>
      <c r="T39" s="39">
        <v>1</v>
      </c>
      <c r="U39" s="39">
        <v>0</v>
      </c>
      <c r="V39" s="194">
        <v>0</v>
      </c>
      <c r="W39" s="196">
        <f t="shared" si="1"/>
        <v>24</v>
      </c>
      <c r="X39" s="203">
        <v>0</v>
      </c>
      <c r="Y39" s="204">
        <v>0</v>
      </c>
      <c r="Z39" s="204">
        <v>0</v>
      </c>
      <c r="AA39" s="204">
        <v>0</v>
      </c>
      <c r="AB39" s="204">
        <v>0</v>
      </c>
      <c r="AC39" s="205">
        <v>0</v>
      </c>
    </row>
    <row r="40" spans="1:29" ht="22.5" customHeight="1" x14ac:dyDescent="0.3">
      <c r="A40" s="190" t="s">
        <v>209</v>
      </c>
      <c r="B40" s="44">
        <f>V_14!B40+V_11!R40</f>
        <v>114</v>
      </c>
      <c r="C40" s="39">
        <f>V_14!C40+V_11!S40</f>
        <v>73</v>
      </c>
      <c r="D40" s="39">
        <f>V_14!D40+V_11!T40</f>
        <v>15</v>
      </c>
      <c r="E40" s="39">
        <f>V_14!E40+V_11!U40</f>
        <v>5</v>
      </c>
      <c r="F40" s="194">
        <f>V_14!F40+V_11!V40</f>
        <v>54</v>
      </c>
      <c r="G40" s="196">
        <f t="shared" ref="G40:G71" si="4">SUM(B40:F40)</f>
        <v>261</v>
      </c>
      <c r="H40" s="203">
        <f>V_14!H40+V_11!X40</f>
        <v>1</v>
      </c>
      <c r="I40" s="204">
        <f>V_14!I40+V_11!Y40</f>
        <v>0</v>
      </c>
      <c r="J40" s="204">
        <f>V_14!J40+V_11!Z40</f>
        <v>0</v>
      </c>
      <c r="K40" s="204">
        <f>V_14!K40+V_11!AA40</f>
        <v>0</v>
      </c>
      <c r="L40" s="204">
        <f>V_14!L40+V_11!AB40</f>
        <v>1</v>
      </c>
      <c r="M40" s="205">
        <f>V_14!M40+V_11!AC40</f>
        <v>0</v>
      </c>
      <c r="N40" s="85">
        <f t="shared" si="2"/>
        <v>261</v>
      </c>
      <c r="O40" s="43">
        <f t="shared" si="3"/>
        <v>439.5</v>
      </c>
      <c r="R40" s="44">
        <v>8</v>
      </c>
      <c r="S40" s="39">
        <v>12</v>
      </c>
      <c r="T40" s="39">
        <v>0</v>
      </c>
      <c r="U40" s="39">
        <v>0</v>
      </c>
      <c r="V40" s="194">
        <v>0</v>
      </c>
      <c r="W40" s="196">
        <f t="shared" si="1"/>
        <v>20</v>
      </c>
      <c r="X40" s="203">
        <v>1</v>
      </c>
      <c r="Y40" s="204">
        <v>0</v>
      </c>
      <c r="Z40" s="204">
        <v>0</v>
      </c>
      <c r="AA40" s="204">
        <v>0</v>
      </c>
      <c r="AB40" s="204">
        <v>1</v>
      </c>
      <c r="AC40" s="205">
        <v>0</v>
      </c>
    </row>
    <row r="41" spans="1:29" ht="22.5" customHeight="1" x14ac:dyDescent="0.3">
      <c r="A41" s="190" t="s">
        <v>210</v>
      </c>
      <c r="B41" s="44">
        <f>V_14!B41+V_11!R41</f>
        <v>114</v>
      </c>
      <c r="C41" s="39">
        <f>V_14!C41+V_11!S41</f>
        <v>92</v>
      </c>
      <c r="D41" s="39">
        <f>V_14!D41+V_11!T41</f>
        <v>17</v>
      </c>
      <c r="E41" s="39">
        <f>V_14!E41+V_11!U41</f>
        <v>10</v>
      </c>
      <c r="F41" s="194">
        <f>V_14!F41+V_11!V41</f>
        <v>29</v>
      </c>
      <c r="G41" s="196">
        <f t="shared" si="4"/>
        <v>262</v>
      </c>
      <c r="H41" s="203">
        <f>V_14!H41+V_11!X41</f>
        <v>0</v>
      </c>
      <c r="I41" s="204">
        <f>V_14!I41+V_11!Y41</f>
        <v>0</v>
      </c>
      <c r="J41" s="204">
        <f>V_14!J41+V_11!Z41</f>
        <v>0</v>
      </c>
      <c r="K41" s="204">
        <f>V_14!K41+V_11!AA41</f>
        <v>0</v>
      </c>
      <c r="L41" s="204">
        <f>V_14!L41+V_11!AB41</f>
        <v>0</v>
      </c>
      <c r="M41" s="205">
        <f>V_14!M41+V_11!AC41</f>
        <v>0</v>
      </c>
      <c r="N41" s="85">
        <f t="shared" si="2"/>
        <v>262</v>
      </c>
      <c r="O41" s="43">
        <f t="shared" si="3"/>
        <v>346</v>
      </c>
      <c r="R41" s="44">
        <v>8</v>
      </c>
      <c r="S41" s="39">
        <v>20</v>
      </c>
      <c r="T41" s="39">
        <v>0</v>
      </c>
      <c r="U41" s="39">
        <v>0</v>
      </c>
      <c r="V41" s="194">
        <v>0</v>
      </c>
      <c r="W41" s="196">
        <f t="shared" si="1"/>
        <v>28</v>
      </c>
      <c r="X41" s="203">
        <v>0</v>
      </c>
      <c r="Y41" s="204">
        <v>0</v>
      </c>
      <c r="Z41" s="204">
        <v>0</v>
      </c>
      <c r="AA41" s="204">
        <v>0</v>
      </c>
      <c r="AB41" s="204">
        <v>0</v>
      </c>
      <c r="AC41" s="205">
        <v>0</v>
      </c>
    </row>
    <row r="42" spans="1:29" ht="22.5" customHeight="1" x14ac:dyDescent="0.3">
      <c r="A42" s="190" t="s">
        <v>211</v>
      </c>
      <c r="B42" s="44">
        <f>V_14!B42+V_11!R42</f>
        <v>152</v>
      </c>
      <c r="C42" s="39">
        <f>V_14!C42+V_11!S42</f>
        <v>99</v>
      </c>
      <c r="D42" s="39">
        <f>V_14!D42+V_11!T42</f>
        <v>18</v>
      </c>
      <c r="E42" s="39">
        <f>V_14!E42+V_11!U42</f>
        <v>11</v>
      </c>
      <c r="F42" s="194">
        <f>V_14!F42+V_11!V42</f>
        <v>46</v>
      </c>
      <c r="G42" s="196">
        <f t="shared" si="4"/>
        <v>326</v>
      </c>
      <c r="H42" s="203">
        <f>V_14!H42+V_11!X42</f>
        <v>0</v>
      </c>
      <c r="I42" s="204">
        <f>V_14!I42+V_11!Y42</f>
        <v>0</v>
      </c>
      <c r="J42" s="204">
        <f>V_14!J42+V_11!Z42</f>
        <v>0</v>
      </c>
      <c r="K42" s="204">
        <f>V_14!K42+V_11!AA42</f>
        <v>0</v>
      </c>
      <c r="L42" s="204">
        <f>V_14!L42+V_11!AB42</f>
        <v>0</v>
      </c>
      <c r="M42" s="205">
        <f>V_14!M42+V_11!AC42</f>
        <v>0</v>
      </c>
      <c r="N42" s="85">
        <f t="shared" si="2"/>
        <v>326</v>
      </c>
      <c r="O42" s="43">
        <f t="shared" si="3"/>
        <v>468.5</v>
      </c>
      <c r="R42" s="44">
        <v>9</v>
      </c>
      <c r="S42" s="39">
        <v>12</v>
      </c>
      <c r="T42" s="39">
        <v>1</v>
      </c>
      <c r="U42" s="39">
        <v>0</v>
      </c>
      <c r="V42" s="194">
        <v>0</v>
      </c>
      <c r="W42" s="196">
        <f t="shared" si="1"/>
        <v>22</v>
      </c>
      <c r="X42" s="203">
        <v>0</v>
      </c>
      <c r="Y42" s="204">
        <v>0</v>
      </c>
      <c r="Z42" s="204">
        <v>0</v>
      </c>
      <c r="AA42" s="204">
        <v>0</v>
      </c>
      <c r="AB42" s="204">
        <v>0</v>
      </c>
      <c r="AC42" s="205">
        <v>0</v>
      </c>
    </row>
    <row r="43" spans="1:29" ht="22.5" customHeight="1" x14ac:dyDescent="0.3">
      <c r="A43" s="190" t="s">
        <v>212</v>
      </c>
      <c r="B43" s="44">
        <f>V_14!B43+V_11!R43</f>
        <v>114</v>
      </c>
      <c r="C43" s="39">
        <f>V_14!C43+V_11!S43</f>
        <v>93</v>
      </c>
      <c r="D43" s="39">
        <f>V_14!D43+V_11!T43</f>
        <v>14</v>
      </c>
      <c r="E43" s="39">
        <f>V_14!E43+V_11!U43</f>
        <v>7</v>
      </c>
      <c r="F43" s="194">
        <f>V_14!F43+V_11!V43</f>
        <v>33</v>
      </c>
      <c r="G43" s="196">
        <f t="shared" si="4"/>
        <v>261</v>
      </c>
      <c r="H43" s="203">
        <f>V_14!H43+V_11!X43</f>
        <v>0</v>
      </c>
      <c r="I43" s="204">
        <f>V_14!I43+V_11!Y43</f>
        <v>0</v>
      </c>
      <c r="J43" s="204">
        <f>V_14!J43+V_11!Z43</f>
        <v>0</v>
      </c>
      <c r="K43" s="204">
        <f>V_14!K43+V_11!AA43</f>
        <v>0</v>
      </c>
      <c r="L43" s="204">
        <f>V_14!L43+V_11!AB43</f>
        <v>0</v>
      </c>
      <c r="M43" s="205">
        <f>V_14!M43+V_11!AC43</f>
        <v>0</v>
      </c>
      <c r="N43" s="85">
        <f t="shared" si="2"/>
        <v>261</v>
      </c>
      <c r="O43" s="43">
        <f t="shared" si="3"/>
        <v>351</v>
      </c>
      <c r="R43" s="44">
        <v>6</v>
      </c>
      <c r="S43" s="39">
        <v>21</v>
      </c>
      <c r="T43" s="39">
        <v>0</v>
      </c>
      <c r="U43" s="39">
        <v>0</v>
      </c>
      <c r="V43" s="194">
        <v>0</v>
      </c>
      <c r="W43" s="196">
        <f t="shared" si="1"/>
        <v>27</v>
      </c>
      <c r="X43" s="203">
        <v>0</v>
      </c>
      <c r="Y43" s="204">
        <v>0</v>
      </c>
      <c r="Z43" s="204">
        <v>0</v>
      </c>
      <c r="AA43" s="204">
        <v>0</v>
      </c>
      <c r="AB43" s="204">
        <v>0</v>
      </c>
      <c r="AC43" s="205">
        <v>0</v>
      </c>
    </row>
    <row r="44" spans="1:29" ht="22.5" customHeight="1" x14ac:dyDescent="0.3">
      <c r="A44" s="190" t="s">
        <v>213</v>
      </c>
      <c r="B44" s="44">
        <f>V_14!B44+V_11!R44</f>
        <v>105</v>
      </c>
      <c r="C44" s="39">
        <f>V_14!C44+V_11!S44</f>
        <v>94</v>
      </c>
      <c r="D44" s="39">
        <f>V_14!D44+V_11!T44</f>
        <v>18</v>
      </c>
      <c r="E44" s="39">
        <f>V_14!E44+V_11!U44</f>
        <v>4</v>
      </c>
      <c r="F44" s="194">
        <f>V_14!F44+V_11!V44</f>
        <v>44</v>
      </c>
      <c r="G44" s="196">
        <f t="shared" si="4"/>
        <v>265</v>
      </c>
      <c r="H44" s="203">
        <f>V_14!H44+V_11!X44</f>
        <v>0</v>
      </c>
      <c r="I44" s="204">
        <f>V_14!I44+V_11!Y44</f>
        <v>0</v>
      </c>
      <c r="J44" s="204">
        <f>V_14!J44+V_11!Z44</f>
        <v>0</v>
      </c>
      <c r="K44" s="204">
        <f>V_14!K44+V_11!AA44</f>
        <v>0</v>
      </c>
      <c r="L44" s="204">
        <f>V_14!L44+V_11!AB44</f>
        <v>0</v>
      </c>
      <c r="M44" s="205">
        <f>V_14!M44+V_11!AC44</f>
        <v>0</v>
      </c>
      <c r="N44" s="85">
        <f t="shared" si="2"/>
        <v>265</v>
      </c>
      <c r="O44" s="43">
        <f t="shared" si="3"/>
        <v>389</v>
      </c>
      <c r="R44" s="44">
        <v>14</v>
      </c>
      <c r="S44" s="39">
        <v>24</v>
      </c>
      <c r="T44" s="39">
        <v>0</v>
      </c>
      <c r="U44" s="39">
        <v>0</v>
      </c>
      <c r="V44" s="194">
        <v>1</v>
      </c>
      <c r="W44" s="196">
        <f t="shared" si="1"/>
        <v>39</v>
      </c>
      <c r="X44" s="203">
        <v>0</v>
      </c>
      <c r="Y44" s="204">
        <v>0</v>
      </c>
      <c r="Z44" s="204">
        <v>0</v>
      </c>
      <c r="AA44" s="204">
        <v>0</v>
      </c>
      <c r="AB44" s="204">
        <v>0</v>
      </c>
      <c r="AC44" s="205">
        <v>0</v>
      </c>
    </row>
    <row r="45" spans="1:29" ht="22.5" customHeight="1" x14ac:dyDescent="0.3">
      <c r="A45" s="190" t="s">
        <v>214</v>
      </c>
      <c r="B45" s="44">
        <f>V_14!B45+V_11!R45</f>
        <v>111</v>
      </c>
      <c r="C45" s="39">
        <f>V_14!C45+V_11!S45</f>
        <v>106</v>
      </c>
      <c r="D45" s="39">
        <f>V_14!D45+V_11!T45</f>
        <v>14</v>
      </c>
      <c r="E45" s="39">
        <f>V_14!E45+V_11!U45</f>
        <v>12</v>
      </c>
      <c r="F45" s="194">
        <f>V_14!F45+V_11!V45</f>
        <v>31</v>
      </c>
      <c r="G45" s="196">
        <f t="shared" si="4"/>
        <v>274</v>
      </c>
      <c r="H45" s="203">
        <f>V_14!H45+V_11!X45</f>
        <v>0</v>
      </c>
      <c r="I45" s="204">
        <f>V_14!I45+V_11!Y45</f>
        <v>0</v>
      </c>
      <c r="J45" s="204">
        <f>V_14!J45+V_11!Z45</f>
        <v>0</v>
      </c>
      <c r="K45" s="204">
        <f>V_14!K45+V_11!AA45</f>
        <v>0</v>
      </c>
      <c r="L45" s="204">
        <f>V_14!L45+V_11!AB45</f>
        <v>2</v>
      </c>
      <c r="M45" s="205">
        <f>V_14!M45+V_11!AC45</f>
        <v>0</v>
      </c>
      <c r="N45" s="85">
        <f t="shared" si="2"/>
        <v>274</v>
      </c>
      <c r="O45" s="43">
        <f t="shared" si="3"/>
        <v>376.5</v>
      </c>
      <c r="R45" s="44">
        <v>1</v>
      </c>
      <c r="S45" s="39">
        <v>28</v>
      </c>
      <c r="T45" s="39">
        <v>0</v>
      </c>
      <c r="U45" s="39">
        <v>0</v>
      </c>
      <c r="V45" s="194">
        <v>0</v>
      </c>
      <c r="W45" s="196">
        <f t="shared" si="1"/>
        <v>29</v>
      </c>
      <c r="X45" s="203">
        <v>0</v>
      </c>
      <c r="Y45" s="204">
        <v>0</v>
      </c>
      <c r="Z45" s="204">
        <v>0</v>
      </c>
      <c r="AA45" s="204">
        <v>0</v>
      </c>
      <c r="AB45" s="204">
        <v>0</v>
      </c>
      <c r="AC45" s="205">
        <v>0</v>
      </c>
    </row>
    <row r="46" spans="1:29" ht="22.5" customHeight="1" x14ac:dyDescent="0.3">
      <c r="A46" s="190" t="s">
        <v>215</v>
      </c>
      <c r="B46" s="44">
        <f>V_14!B46+V_11!R46</f>
        <v>125</v>
      </c>
      <c r="C46" s="39">
        <f>V_14!C46+V_11!S46</f>
        <v>95</v>
      </c>
      <c r="D46" s="39">
        <f>V_14!D46+V_11!T46</f>
        <v>16</v>
      </c>
      <c r="E46" s="39">
        <f>V_14!E46+V_11!U46</f>
        <v>7</v>
      </c>
      <c r="F46" s="194">
        <f>V_14!F46+V_11!V46</f>
        <v>35</v>
      </c>
      <c r="G46" s="196">
        <f t="shared" si="4"/>
        <v>278</v>
      </c>
      <c r="H46" s="203">
        <f>V_14!H46+V_11!X46</f>
        <v>1</v>
      </c>
      <c r="I46" s="204">
        <f>V_14!I46+V_11!Y46</f>
        <v>0</v>
      </c>
      <c r="J46" s="204">
        <f>V_14!J46+V_11!Z46</f>
        <v>0</v>
      </c>
      <c r="K46" s="204">
        <f>V_14!K46+V_11!AA46</f>
        <v>0</v>
      </c>
      <c r="L46" s="204">
        <f>V_14!L46+V_11!AB46</f>
        <v>0</v>
      </c>
      <c r="M46" s="205">
        <f>V_14!M46+V_11!AC46</f>
        <v>0</v>
      </c>
      <c r="N46" s="85">
        <f t="shared" si="2"/>
        <v>278</v>
      </c>
      <c r="O46" s="43">
        <f t="shared" si="3"/>
        <v>375.5</v>
      </c>
      <c r="R46" s="44">
        <v>13</v>
      </c>
      <c r="S46" s="39">
        <v>20</v>
      </c>
      <c r="T46" s="39">
        <v>0</v>
      </c>
      <c r="U46" s="39">
        <v>1</v>
      </c>
      <c r="V46" s="194">
        <v>1</v>
      </c>
      <c r="W46" s="196">
        <f t="shared" si="1"/>
        <v>35</v>
      </c>
      <c r="X46" s="203">
        <v>1</v>
      </c>
      <c r="Y46" s="204">
        <v>0</v>
      </c>
      <c r="Z46" s="204">
        <v>0</v>
      </c>
      <c r="AA46" s="204">
        <v>0</v>
      </c>
      <c r="AB46" s="204">
        <v>0</v>
      </c>
      <c r="AC46" s="205">
        <v>0</v>
      </c>
    </row>
    <row r="47" spans="1:29" ht="22.5" customHeight="1" x14ac:dyDescent="0.3">
      <c r="A47" s="190" t="s">
        <v>216</v>
      </c>
      <c r="B47" s="44">
        <f>V_14!B47+V_11!R47</f>
        <v>117</v>
      </c>
      <c r="C47" s="39">
        <f>V_14!C47+V_11!S47</f>
        <v>104</v>
      </c>
      <c r="D47" s="39">
        <f>V_14!D47+V_11!T47</f>
        <v>17</v>
      </c>
      <c r="E47" s="39">
        <f>V_14!E47+V_11!U47</f>
        <v>14</v>
      </c>
      <c r="F47" s="194">
        <f>V_14!F47+V_11!V47</f>
        <v>32</v>
      </c>
      <c r="G47" s="196">
        <f t="shared" si="4"/>
        <v>284</v>
      </c>
      <c r="H47" s="203">
        <f>V_14!H47+V_11!X47</f>
        <v>0</v>
      </c>
      <c r="I47" s="204">
        <f>V_14!I47+V_11!Y47</f>
        <v>0</v>
      </c>
      <c r="J47" s="204">
        <f>V_14!J47+V_11!Z47</f>
        <v>0</v>
      </c>
      <c r="K47" s="204">
        <f>V_14!K47+V_11!AA47</f>
        <v>0</v>
      </c>
      <c r="L47" s="204">
        <f>V_14!L47+V_11!AB47</f>
        <v>1</v>
      </c>
      <c r="M47" s="205">
        <f>V_14!M47+V_11!AC47</f>
        <v>0</v>
      </c>
      <c r="N47" s="85">
        <f t="shared" si="2"/>
        <v>284</v>
      </c>
      <c r="O47" s="43">
        <f t="shared" si="3"/>
        <v>388.5</v>
      </c>
      <c r="R47" s="44">
        <v>9</v>
      </c>
      <c r="S47" s="39">
        <v>10</v>
      </c>
      <c r="T47" s="39">
        <v>1</v>
      </c>
      <c r="U47" s="39">
        <v>0</v>
      </c>
      <c r="V47" s="194">
        <v>0</v>
      </c>
      <c r="W47" s="196">
        <f t="shared" si="1"/>
        <v>20</v>
      </c>
      <c r="X47" s="203">
        <v>0</v>
      </c>
      <c r="Y47" s="204">
        <v>0</v>
      </c>
      <c r="Z47" s="204">
        <v>0</v>
      </c>
      <c r="AA47" s="204">
        <v>0</v>
      </c>
      <c r="AB47" s="204">
        <v>1</v>
      </c>
      <c r="AC47" s="205">
        <v>0</v>
      </c>
    </row>
    <row r="48" spans="1:29" ht="22.5" customHeight="1" x14ac:dyDescent="0.3">
      <c r="A48" s="190" t="s">
        <v>217</v>
      </c>
      <c r="B48" s="44">
        <f>V_14!B48+V_11!R48</f>
        <v>110</v>
      </c>
      <c r="C48" s="39">
        <f>V_14!C48+V_11!S48</f>
        <v>102</v>
      </c>
      <c r="D48" s="39">
        <f>V_14!D48+V_11!T48</f>
        <v>19</v>
      </c>
      <c r="E48" s="39">
        <f>V_14!E48+V_11!U48</f>
        <v>10</v>
      </c>
      <c r="F48" s="194">
        <f>V_14!F48+V_11!V48</f>
        <v>34</v>
      </c>
      <c r="G48" s="196">
        <f t="shared" si="4"/>
        <v>275</v>
      </c>
      <c r="H48" s="203">
        <f>V_14!H48+V_11!X48</f>
        <v>2</v>
      </c>
      <c r="I48" s="204">
        <f>V_14!I48+V_11!Y48</f>
        <v>0</v>
      </c>
      <c r="J48" s="204">
        <f>V_14!J48+V_11!Z48</f>
        <v>0</v>
      </c>
      <c r="K48" s="204">
        <f>V_14!K48+V_11!AA48</f>
        <v>0</v>
      </c>
      <c r="L48" s="204">
        <f>V_14!L48+V_11!AB48</f>
        <v>1</v>
      </c>
      <c r="M48" s="205">
        <f>V_14!M48+V_11!AC48</f>
        <v>0</v>
      </c>
      <c r="N48" s="85">
        <f t="shared" si="2"/>
        <v>275</v>
      </c>
      <c r="O48" s="43">
        <f t="shared" si="3"/>
        <v>381.5</v>
      </c>
      <c r="R48" s="44">
        <v>7</v>
      </c>
      <c r="S48" s="39">
        <v>16</v>
      </c>
      <c r="T48" s="39">
        <v>0</v>
      </c>
      <c r="U48" s="39">
        <v>0</v>
      </c>
      <c r="V48" s="194">
        <v>0</v>
      </c>
      <c r="W48" s="196">
        <f t="shared" si="1"/>
        <v>23</v>
      </c>
      <c r="X48" s="203">
        <v>2</v>
      </c>
      <c r="Y48" s="204">
        <v>0</v>
      </c>
      <c r="Z48" s="204">
        <v>0</v>
      </c>
      <c r="AA48" s="204">
        <v>0</v>
      </c>
      <c r="AB48" s="204">
        <v>0</v>
      </c>
      <c r="AC48" s="205">
        <v>0</v>
      </c>
    </row>
    <row r="49" spans="1:29" ht="22.5" customHeight="1" x14ac:dyDescent="0.3">
      <c r="A49" s="190" t="s">
        <v>218</v>
      </c>
      <c r="B49" s="44">
        <f>V_14!B49+V_11!R49</f>
        <v>104</v>
      </c>
      <c r="C49" s="39">
        <f>V_14!C49+V_11!S49</f>
        <v>130</v>
      </c>
      <c r="D49" s="39">
        <f>V_14!D49+V_11!T49</f>
        <v>22</v>
      </c>
      <c r="E49" s="39">
        <f>V_14!E49+V_11!U49</f>
        <v>10</v>
      </c>
      <c r="F49" s="194">
        <f>V_14!F49+V_11!V49</f>
        <v>33</v>
      </c>
      <c r="G49" s="196">
        <f t="shared" si="4"/>
        <v>299</v>
      </c>
      <c r="H49" s="203">
        <f>V_14!H49+V_11!X49</f>
        <v>0</v>
      </c>
      <c r="I49" s="204">
        <f>V_14!I49+V_11!Y49</f>
        <v>0</v>
      </c>
      <c r="J49" s="204">
        <f>V_14!J49+V_11!Z49</f>
        <v>0</v>
      </c>
      <c r="K49" s="204">
        <f>V_14!K49+V_11!AA49</f>
        <v>0</v>
      </c>
      <c r="L49" s="204">
        <f>V_14!L49+V_11!AB49</f>
        <v>1</v>
      </c>
      <c r="M49" s="205">
        <f>V_14!M49+V_11!AC49</f>
        <v>0</v>
      </c>
      <c r="N49" s="85">
        <f t="shared" si="2"/>
        <v>299</v>
      </c>
      <c r="O49" s="43">
        <f t="shared" si="3"/>
        <v>388.5</v>
      </c>
      <c r="R49" s="44">
        <v>9</v>
      </c>
      <c r="S49" s="39">
        <v>21</v>
      </c>
      <c r="T49" s="39">
        <v>0</v>
      </c>
      <c r="U49" s="39">
        <v>0</v>
      </c>
      <c r="V49" s="194">
        <v>0</v>
      </c>
      <c r="W49" s="196">
        <f t="shared" si="1"/>
        <v>30</v>
      </c>
      <c r="X49" s="203">
        <v>0</v>
      </c>
      <c r="Y49" s="204">
        <v>0</v>
      </c>
      <c r="Z49" s="204">
        <v>0</v>
      </c>
      <c r="AA49" s="204">
        <v>0</v>
      </c>
      <c r="AB49" s="204">
        <v>1</v>
      </c>
      <c r="AC49" s="205">
        <v>0</v>
      </c>
    </row>
    <row r="50" spans="1:29" ht="22.5" customHeight="1" x14ac:dyDescent="0.3">
      <c r="A50" s="190" t="s">
        <v>219</v>
      </c>
      <c r="B50" s="44">
        <f>V_14!B50+V_11!R50</f>
        <v>127</v>
      </c>
      <c r="C50" s="39">
        <f>V_14!C50+V_11!S50</f>
        <v>155</v>
      </c>
      <c r="D50" s="39">
        <f>V_14!D50+V_11!T50</f>
        <v>19</v>
      </c>
      <c r="E50" s="39">
        <f>V_14!E50+V_11!U50</f>
        <v>11</v>
      </c>
      <c r="F50" s="194">
        <f>V_14!F50+V_11!V50</f>
        <v>30</v>
      </c>
      <c r="G50" s="196">
        <f t="shared" si="4"/>
        <v>342</v>
      </c>
      <c r="H50" s="203">
        <f>V_14!H50+V_11!X50</f>
        <v>1</v>
      </c>
      <c r="I50" s="204">
        <f>V_14!I50+V_11!Y50</f>
        <v>0</v>
      </c>
      <c r="J50" s="204">
        <f>V_14!J50+V_11!Z50</f>
        <v>0</v>
      </c>
      <c r="K50" s="204">
        <f>V_14!K50+V_11!AA50</f>
        <v>0</v>
      </c>
      <c r="L50" s="204">
        <f>V_14!L50+V_11!AB50</f>
        <v>3</v>
      </c>
      <c r="M50" s="205">
        <f>V_14!M50+V_11!AC50</f>
        <v>0</v>
      </c>
      <c r="N50" s="85">
        <f t="shared" si="2"/>
        <v>342</v>
      </c>
      <c r="O50" s="43">
        <f t="shared" si="3"/>
        <v>425.5</v>
      </c>
      <c r="R50" s="44">
        <v>4</v>
      </c>
      <c r="S50" s="39">
        <v>36</v>
      </c>
      <c r="T50" s="39">
        <v>0</v>
      </c>
      <c r="U50" s="39">
        <v>0</v>
      </c>
      <c r="V50" s="194">
        <v>0</v>
      </c>
      <c r="W50" s="196">
        <f t="shared" si="1"/>
        <v>40</v>
      </c>
      <c r="X50" s="203">
        <v>1</v>
      </c>
      <c r="Y50" s="204">
        <v>0</v>
      </c>
      <c r="Z50" s="204">
        <v>0</v>
      </c>
      <c r="AA50" s="204">
        <v>0</v>
      </c>
      <c r="AB50" s="204">
        <v>2</v>
      </c>
      <c r="AC50" s="205">
        <v>0</v>
      </c>
    </row>
    <row r="51" spans="1:29" ht="22.5" customHeight="1" x14ac:dyDescent="0.3">
      <c r="A51" s="190" t="s">
        <v>220</v>
      </c>
      <c r="B51" s="44">
        <f>V_14!B51+V_11!R51</f>
        <v>116</v>
      </c>
      <c r="C51" s="39">
        <f>V_14!C51+V_11!S51</f>
        <v>123</v>
      </c>
      <c r="D51" s="39">
        <f>V_14!D51+V_11!T51</f>
        <v>20</v>
      </c>
      <c r="E51" s="39">
        <f>V_14!E51+V_11!U51</f>
        <v>6</v>
      </c>
      <c r="F51" s="194">
        <f>V_14!F51+V_11!V51</f>
        <v>30</v>
      </c>
      <c r="G51" s="196">
        <f t="shared" si="4"/>
        <v>295</v>
      </c>
      <c r="H51" s="203">
        <f>V_14!H51+V_11!X51</f>
        <v>1</v>
      </c>
      <c r="I51" s="204">
        <f>V_14!I51+V_11!Y51</f>
        <v>0</v>
      </c>
      <c r="J51" s="204">
        <f>V_14!J51+V_11!Z51</f>
        <v>0</v>
      </c>
      <c r="K51" s="204">
        <f>V_14!K51+V_11!AA51</f>
        <v>0</v>
      </c>
      <c r="L51" s="204">
        <f>V_14!L51+V_11!AB51</f>
        <v>0</v>
      </c>
      <c r="M51" s="205">
        <f>V_14!M51+V_11!AC51</f>
        <v>0</v>
      </c>
      <c r="N51" s="85">
        <f t="shared" si="2"/>
        <v>295</v>
      </c>
      <c r="O51" s="43">
        <f t="shared" si="3"/>
        <v>361</v>
      </c>
      <c r="R51" s="44">
        <v>12</v>
      </c>
      <c r="S51" s="39">
        <v>32</v>
      </c>
      <c r="T51" s="39">
        <v>1</v>
      </c>
      <c r="U51" s="39">
        <v>0</v>
      </c>
      <c r="V51" s="194">
        <v>0</v>
      </c>
      <c r="W51" s="196">
        <f t="shared" si="1"/>
        <v>45</v>
      </c>
      <c r="X51" s="203">
        <v>1</v>
      </c>
      <c r="Y51" s="204">
        <v>0</v>
      </c>
      <c r="Z51" s="204">
        <v>0</v>
      </c>
      <c r="AA51" s="204">
        <v>0</v>
      </c>
      <c r="AB51" s="204">
        <v>0</v>
      </c>
      <c r="AC51" s="205">
        <v>0</v>
      </c>
    </row>
    <row r="52" spans="1:29" ht="22.5" customHeight="1" x14ac:dyDescent="0.3">
      <c r="A52" s="190" t="s">
        <v>221</v>
      </c>
      <c r="B52" s="44">
        <f>V_14!B52+V_11!R52</f>
        <v>89</v>
      </c>
      <c r="C52" s="39">
        <f>V_14!C52+V_11!S52</f>
        <v>88</v>
      </c>
      <c r="D52" s="39">
        <f>V_14!D52+V_11!T52</f>
        <v>24</v>
      </c>
      <c r="E52" s="39">
        <f>V_14!E52+V_11!U52</f>
        <v>7</v>
      </c>
      <c r="F52" s="194">
        <f>V_14!F52+V_11!V52</f>
        <v>27</v>
      </c>
      <c r="G52" s="196">
        <f t="shared" si="4"/>
        <v>235</v>
      </c>
      <c r="H52" s="203">
        <f>V_14!H52+V_11!X52</f>
        <v>1</v>
      </c>
      <c r="I52" s="204">
        <f>V_14!I52+V_11!Y52</f>
        <v>0</v>
      </c>
      <c r="J52" s="204">
        <f>V_14!J52+V_11!Z52</f>
        <v>0</v>
      </c>
      <c r="K52" s="204">
        <f>V_14!K52+V_11!AA52</f>
        <v>0</v>
      </c>
      <c r="L52" s="204">
        <f>V_14!L52+V_11!AB52</f>
        <v>0</v>
      </c>
      <c r="M52" s="205">
        <f>V_14!M52+V_11!AC52</f>
        <v>0</v>
      </c>
      <c r="N52" s="85">
        <f t="shared" si="2"/>
        <v>235</v>
      </c>
      <c r="O52" s="43">
        <f t="shared" si="3"/>
        <v>312</v>
      </c>
      <c r="R52" s="44">
        <v>5</v>
      </c>
      <c r="S52" s="39">
        <v>12</v>
      </c>
      <c r="T52" s="39">
        <v>2</v>
      </c>
      <c r="U52" s="39">
        <v>0</v>
      </c>
      <c r="V52" s="194">
        <v>1</v>
      </c>
      <c r="W52" s="196">
        <f t="shared" si="1"/>
        <v>20</v>
      </c>
      <c r="X52" s="203">
        <v>0</v>
      </c>
      <c r="Y52" s="204">
        <v>0</v>
      </c>
      <c r="Z52" s="204">
        <v>0</v>
      </c>
      <c r="AA52" s="204">
        <v>0</v>
      </c>
      <c r="AB52" s="204">
        <v>0</v>
      </c>
      <c r="AC52" s="205">
        <v>0</v>
      </c>
    </row>
    <row r="53" spans="1:29" ht="22.5" customHeight="1" x14ac:dyDescent="0.3">
      <c r="A53" s="190" t="s">
        <v>222</v>
      </c>
      <c r="B53" s="44">
        <f>V_14!B53+V_11!R53</f>
        <v>103</v>
      </c>
      <c r="C53" s="39">
        <f>V_14!C53+V_11!S53</f>
        <v>123</v>
      </c>
      <c r="D53" s="39">
        <f>V_14!D53+V_11!T53</f>
        <v>25</v>
      </c>
      <c r="E53" s="39">
        <f>V_14!E53+V_11!U53</f>
        <v>8</v>
      </c>
      <c r="F53" s="194">
        <f>V_14!F53+V_11!V53</f>
        <v>30</v>
      </c>
      <c r="G53" s="196">
        <f t="shared" si="4"/>
        <v>289</v>
      </c>
      <c r="H53" s="203">
        <f>V_14!H53+V_11!X53</f>
        <v>0</v>
      </c>
      <c r="I53" s="204">
        <f>V_14!I53+V_11!Y53</f>
        <v>0</v>
      </c>
      <c r="J53" s="204">
        <f>V_14!J53+V_11!Z53</f>
        <v>0</v>
      </c>
      <c r="K53" s="204">
        <f>V_14!K53+V_11!AA53</f>
        <v>0</v>
      </c>
      <c r="L53" s="204">
        <f>V_14!L53+V_11!AB53</f>
        <v>1</v>
      </c>
      <c r="M53" s="205">
        <f>V_14!M53+V_11!AC53</f>
        <v>0</v>
      </c>
      <c r="N53" s="85">
        <f t="shared" si="2"/>
        <v>289</v>
      </c>
      <c r="O53" s="43">
        <f t="shared" si="3"/>
        <v>369</v>
      </c>
      <c r="R53" s="44">
        <v>7</v>
      </c>
      <c r="S53" s="39">
        <v>41</v>
      </c>
      <c r="T53" s="39">
        <v>2</v>
      </c>
      <c r="U53" s="39">
        <v>0</v>
      </c>
      <c r="V53" s="194">
        <v>0</v>
      </c>
      <c r="W53" s="196">
        <f t="shared" si="1"/>
        <v>50</v>
      </c>
      <c r="X53" s="203">
        <v>0</v>
      </c>
      <c r="Y53" s="204">
        <v>0</v>
      </c>
      <c r="Z53" s="204">
        <v>0</v>
      </c>
      <c r="AA53" s="204">
        <v>0</v>
      </c>
      <c r="AB53" s="204">
        <v>1</v>
      </c>
      <c r="AC53" s="205">
        <v>0</v>
      </c>
    </row>
    <row r="54" spans="1:29" ht="22.5" customHeight="1" x14ac:dyDescent="0.3">
      <c r="A54" s="190" t="s">
        <v>223</v>
      </c>
      <c r="B54" s="44">
        <f>V_14!B54+V_11!R54</f>
        <v>116</v>
      </c>
      <c r="C54" s="39">
        <f>V_14!C54+V_11!S54</f>
        <v>93</v>
      </c>
      <c r="D54" s="39">
        <f>V_14!D54+V_11!T54</f>
        <v>21</v>
      </c>
      <c r="E54" s="39">
        <f>V_14!E54+V_11!U54</f>
        <v>10</v>
      </c>
      <c r="F54" s="194">
        <f>V_14!F54+V_11!V54</f>
        <v>49</v>
      </c>
      <c r="G54" s="196">
        <f t="shared" si="4"/>
        <v>289</v>
      </c>
      <c r="H54" s="203">
        <f>V_14!H54+V_11!X54</f>
        <v>3</v>
      </c>
      <c r="I54" s="204">
        <f>V_14!I54+V_11!Y54</f>
        <v>0</v>
      </c>
      <c r="J54" s="204">
        <f>V_14!J54+V_11!Z54</f>
        <v>0</v>
      </c>
      <c r="K54" s="204">
        <f>V_14!K54+V_11!AA54</f>
        <v>0</v>
      </c>
      <c r="L54" s="204">
        <f>V_14!L54+V_11!AB54</f>
        <v>2</v>
      </c>
      <c r="M54" s="205">
        <f>V_14!M54+V_11!AC54</f>
        <v>0</v>
      </c>
      <c r="N54" s="85">
        <f t="shared" si="2"/>
        <v>289</v>
      </c>
      <c r="O54" s="43">
        <f t="shared" si="3"/>
        <v>462</v>
      </c>
      <c r="R54" s="44">
        <v>5</v>
      </c>
      <c r="S54" s="39">
        <v>30</v>
      </c>
      <c r="T54" s="39">
        <v>0</v>
      </c>
      <c r="U54" s="39">
        <v>0</v>
      </c>
      <c r="V54" s="194">
        <v>0</v>
      </c>
      <c r="W54" s="196">
        <f t="shared" si="1"/>
        <v>35</v>
      </c>
      <c r="X54" s="203">
        <v>3</v>
      </c>
      <c r="Y54" s="204">
        <v>0</v>
      </c>
      <c r="Z54" s="204">
        <v>0</v>
      </c>
      <c r="AA54" s="204">
        <v>0</v>
      </c>
      <c r="AB54" s="204">
        <v>2</v>
      </c>
      <c r="AC54" s="205">
        <v>0</v>
      </c>
    </row>
    <row r="55" spans="1:29" ht="22.5" customHeight="1" x14ac:dyDescent="0.3">
      <c r="A55" s="190" t="s">
        <v>224</v>
      </c>
      <c r="B55" s="44">
        <f>V_14!B55+V_11!R55</f>
        <v>86</v>
      </c>
      <c r="C55" s="39">
        <f>V_14!C55+V_11!S55</f>
        <v>93</v>
      </c>
      <c r="D55" s="39">
        <f>V_14!D55+V_11!T55</f>
        <v>21</v>
      </c>
      <c r="E55" s="39">
        <f>V_14!E55+V_11!U55</f>
        <v>7</v>
      </c>
      <c r="F55" s="194">
        <f>V_14!F55+V_11!V55</f>
        <v>31</v>
      </c>
      <c r="G55" s="196">
        <f t="shared" si="4"/>
        <v>238</v>
      </c>
      <c r="H55" s="203">
        <f>V_14!H55+V_11!X55</f>
        <v>0</v>
      </c>
      <c r="I55" s="204">
        <f>V_14!I55+V_11!Y55</f>
        <v>0</v>
      </c>
      <c r="J55" s="204">
        <f>V_14!J55+V_11!Z55</f>
        <v>0</v>
      </c>
      <c r="K55" s="204">
        <f>V_14!K55+V_11!AA55</f>
        <v>0</v>
      </c>
      <c r="L55" s="204">
        <f>V_14!L55+V_11!AB55</f>
        <v>1</v>
      </c>
      <c r="M55" s="205">
        <f>V_14!M55+V_11!AC55</f>
        <v>0</v>
      </c>
      <c r="N55" s="85">
        <f t="shared" si="2"/>
        <v>238</v>
      </c>
      <c r="O55" s="43">
        <f t="shared" si="3"/>
        <v>332.5</v>
      </c>
      <c r="R55" s="44">
        <v>2</v>
      </c>
      <c r="S55" s="39">
        <v>21</v>
      </c>
      <c r="T55" s="39">
        <v>0</v>
      </c>
      <c r="U55" s="39">
        <v>0</v>
      </c>
      <c r="V55" s="194">
        <v>0</v>
      </c>
      <c r="W55" s="196">
        <f t="shared" si="1"/>
        <v>23</v>
      </c>
      <c r="X55" s="203">
        <v>0</v>
      </c>
      <c r="Y55" s="204">
        <v>0</v>
      </c>
      <c r="Z55" s="204">
        <v>0</v>
      </c>
      <c r="AA55" s="204">
        <v>0</v>
      </c>
      <c r="AB55" s="204">
        <v>1</v>
      </c>
      <c r="AC55" s="205">
        <v>0</v>
      </c>
    </row>
    <row r="56" spans="1:29" ht="22.5" customHeight="1" x14ac:dyDescent="0.3">
      <c r="A56" s="190" t="s">
        <v>225</v>
      </c>
      <c r="B56" s="44">
        <f>V_14!B56+V_11!R56</f>
        <v>75</v>
      </c>
      <c r="C56" s="39">
        <f>V_14!C56+V_11!S56</f>
        <v>114</v>
      </c>
      <c r="D56" s="39">
        <f>V_14!D56+V_11!T56</f>
        <v>14</v>
      </c>
      <c r="E56" s="39">
        <f>V_14!E56+V_11!U56</f>
        <v>6</v>
      </c>
      <c r="F56" s="194">
        <f>V_14!F56+V_11!V56</f>
        <v>20</v>
      </c>
      <c r="G56" s="196">
        <f t="shared" si="4"/>
        <v>229</v>
      </c>
      <c r="H56" s="203">
        <f>V_14!H56+V_11!X56</f>
        <v>0</v>
      </c>
      <c r="I56" s="204">
        <f>V_14!I56+V_11!Y56</f>
        <v>0</v>
      </c>
      <c r="J56" s="204">
        <f>V_14!J56+V_11!Z56</f>
        <v>0</v>
      </c>
      <c r="K56" s="204">
        <f>V_14!K56+V_11!AA56</f>
        <v>0</v>
      </c>
      <c r="L56" s="204">
        <f>V_14!L56+V_11!AB56</f>
        <v>2</v>
      </c>
      <c r="M56" s="205">
        <f>V_14!M56+V_11!AC56</f>
        <v>0</v>
      </c>
      <c r="N56" s="85">
        <f t="shared" si="2"/>
        <v>229</v>
      </c>
      <c r="O56" s="43">
        <f t="shared" si="3"/>
        <v>277</v>
      </c>
      <c r="R56" s="44">
        <v>4</v>
      </c>
      <c r="S56" s="39">
        <v>31</v>
      </c>
      <c r="T56" s="39">
        <v>0</v>
      </c>
      <c r="U56" s="39">
        <v>0</v>
      </c>
      <c r="V56" s="194">
        <v>0</v>
      </c>
      <c r="W56" s="196">
        <f t="shared" si="1"/>
        <v>35</v>
      </c>
      <c r="X56" s="203">
        <v>0</v>
      </c>
      <c r="Y56" s="204">
        <v>0</v>
      </c>
      <c r="Z56" s="204">
        <v>0</v>
      </c>
      <c r="AA56" s="204">
        <v>0</v>
      </c>
      <c r="AB56" s="204">
        <v>2</v>
      </c>
      <c r="AC56" s="205">
        <v>0</v>
      </c>
    </row>
    <row r="57" spans="1:29" ht="22.5" customHeight="1" x14ac:dyDescent="0.3">
      <c r="A57" s="190" t="s">
        <v>226</v>
      </c>
      <c r="B57" s="44">
        <f>V_14!B57+V_11!R57</f>
        <v>86</v>
      </c>
      <c r="C57" s="39">
        <f>V_14!C57+V_11!S57</f>
        <v>86</v>
      </c>
      <c r="D57" s="39">
        <f>V_14!D57+V_11!T57</f>
        <v>11</v>
      </c>
      <c r="E57" s="39">
        <f>V_14!E57+V_11!U57</f>
        <v>6</v>
      </c>
      <c r="F57" s="194">
        <f>V_14!F57+V_11!V57</f>
        <v>31</v>
      </c>
      <c r="G57" s="196">
        <f t="shared" si="4"/>
        <v>220</v>
      </c>
      <c r="H57" s="203">
        <f>V_14!H57+V_11!X57</f>
        <v>0</v>
      </c>
      <c r="I57" s="204">
        <f>V_14!I57+V_11!Y57</f>
        <v>0</v>
      </c>
      <c r="J57" s="204">
        <f>V_14!J57+V_11!Z57</f>
        <v>2</v>
      </c>
      <c r="K57" s="204">
        <f>V_14!K57+V_11!AA57</f>
        <v>0</v>
      </c>
      <c r="L57" s="204">
        <f>V_14!L57+V_11!AB57</f>
        <v>0</v>
      </c>
      <c r="M57" s="205">
        <f>V_14!M57+V_11!AC57</f>
        <v>0</v>
      </c>
      <c r="N57" s="85">
        <f t="shared" si="2"/>
        <v>220</v>
      </c>
      <c r="O57" s="43">
        <f t="shared" si="3"/>
        <v>309</v>
      </c>
      <c r="R57" s="44">
        <v>12</v>
      </c>
      <c r="S57" s="39">
        <v>23</v>
      </c>
      <c r="T57" s="39">
        <v>0</v>
      </c>
      <c r="U57" s="39">
        <v>0</v>
      </c>
      <c r="V57" s="194">
        <v>0</v>
      </c>
      <c r="W57" s="196">
        <f t="shared" si="1"/>
        <v>35</v>
      </c>
      <c r="X57" s="203">
        <v>0</v>
      </c>
      <c r="Y57" s="204">
        <v>0</v>
      </c>
      <c r="Z57" s="204">
        <v>2</v>
      </c>
      <c r="AA57" s="204">
        <v>0</v>
      </c>
      <c r="AB57" s="204">
        <v>0</v>
      </c>
      <c r="AC57" s="205">
        <v>0</v>
      </c>
    </row>
    <row r="58" spans="1:29" ht="22.5" customHeight="1" x14ac:dyDescent="0.3">
      <c r="A58" s="190" t="s">
        <v>227</v>
      </c>
      <c r="B58" s="44">
        <f>V_14!B58+V_11!R58</f>
        <v>92</v>
      </c>
      <c r="C58" s="39">
        <f>V_14!C58+V_11!S58</f>
        <v>71</v>
      </c>
      <c r="D58" s="39">
        <f>V_14!D58+V_11!T58</f>
        <v>11</v>
      </c>
      <c r="E58" s="39">
        <f>V_14!E58+V_11!U58</f>
        <v>7</v>
      </c>
      <c r="F58" s="194">
        <f>V_14!F58+V_11!V58</f>
        <v>43</v>
      </c>
      <c r="G58" s="196">
        <f t="shared" si="4"/>
        <v>224</v>
      </c>
      <c r="H58" s="203">
        <f>V_14!H58+V_11!X58</f>
        <v>0</v>
      </c>
      <c r="I58" s="204">
        <f>V_14!I58+V_11!Y58</f>
        <v>0</v>
      </c>
      <c r="J58" s="204">
        <f>V_14!J58+V_11!Z58</f>
        <v>0</v>
      </c>
      <c r="K58" s="204">
        <f>V_14!K58+V_11!AA58</f>
        <v>0</v>
      </c>
      <c r="L58" s="204">
        <f>V_14!L58+V_11!AB58</f>
        <v>0</v>
      </c>
      <c r="M58" s="205">
        <f>V_14!M58+V_11!AC58</f>
        <v>0</v>
      </c>
      <c r="N58" s="85">
        <f t="shared" si="2"/>
        <v>224</v>
      </c>
      <c r="O58" s="43">
        <f t="shared" si="3"/>
        <v>358.5</v>
      </c>
      <c r="R58" s="44">
        <v>9</v>
      </c>
      <c r="S58" s="39">
        <v>14</v>
      </c>
      <c r="T58" s="39">
        <v>0</v>
      </c>
      <c r="U58" s="39">
        <v>0</v>
      </c>
      <c r="V58" s="194">
        <v>0</v>
      </c>
      <c r="W58" s="196">
        <f t="shared" si="1"/>
        <v>23</v>
      </c>
      <c r="X58" s="203">
        <v>0</v>
      </c>
      <c r="Y58" s="204">
        <v>0</v>
      </c>
      <c r="Z58" s="204">
        <v>0</v>
      </c>
      <c r="AA58" s="204">
        <v>0</v>
      </c>
      <c r="AB58" s="204">
        <v>0</v>
      </c>
      <c r="AC58" s="205">
        <v>0</v>
      </c>
    </row>
    <row r="59" spans="1:29" ht="22.5" customHeight="1" x14ac:dyDescent="0.3">
      <c r="A59" s="190" t="s">
        <v>228</v>
      </c>
      <c r="B59" s="44">
        <f>V_14!B59+V_11!R59</f>
        <v>83</v>
      </c>
      <c r="C59" s="39">
        <f>V_14!C59+V_11!S59</f>
        <v>47</v>
      </c>
      <c r="D59" s="39">
        <f>V_14!D59+V_11!T59</f>
        <v>13</v>
      </c>
      <c r="E59" s="39">
        <f>V_14!E59+V_11!U59</f>
        <v>7</v>
      </c>
      <c r="F59" s="194">
        <f>V_14!F59+V_11!V59</f>
        <v>47</v>
      </c>
      <c r="G59" s="196">
        <f t="shared" si="4"/>
        <v>197</v>
      </c>
      <c r="H59" s="203">
        <f>V_14!H59+V_11!X59</f>
        <v>0</v>
      </c>
      <c r="I59" s="204">
        <f>V_14!I59+V_11!Y59</f>
        <v>0</v>
      </c>
      <c r="J59" s="204">
        <f>V_14!J59+V_11!Z59</f>
        <v>0</v>
      </c>
      <c r="K59" s="204">
        <f>V_14!K59+V_11!AA59</f>
        <v>0</v>
      </c>
      <c r="L59" s="204">
        <f>V_14!L59+V_11!AB59</f>
        <v>0</v>
      </c>
      <c r="M59" s="205">
        <f>V_14!M59+V_11!AC59</f>
        <v>0</v>
      </c>
      <c r="N59" s="85">
        <f t="shared" si="2"/>
        <v>197</v>
      </c>
      <c r="O59" s="43">
        <f t="shared" si="3"/>
        <v>358.5</v>
      </c>
      <c r="R59" s="44">
        <v>8</v>
      </c>
      <c r="S59" s="39">
        <v>15</v>
      </c>
      <c r="T59" s="39">
        <v>1</v>
      </c>
      <c r="U59" s="39">
        <v>0</v>
      </c>
      <c r="V59" s="194">
        <v>0</v>
      </c>
      <c r="W59" s="196">
        <f t="shared" si="1"/>
        <v>24</v>
      </c>
      <c r="X59" s="203">
        <v>0</v>
      </c>
      <c r="Y59" s="204">
        <v>0</v>
      </c>
      <c r="Z59" s="204">
        <v>0</v>
      </c>
      <c r="AA59" s="204">
        <v>0</v>
      </c>
      <c r="AB59" s="204">
        <v>0</v>
      </c>
      <c r="AC59" s="205">
        <v>0</v>
      </c>
    </row>
    <row r="60" spans="1:29" ht="22.5" customHeight="1" x14ac:dyDescent="0.3">
      <c r="A60" s="190" t="s">
        <v>229</v>
      </c>
      <c r="B60" s="44">
        <f>V_14!B60+V_11!R60</f>
        <v>89</v>
      </c>
      <c r="C60" s="39">
        <f>V_14!C60+V_11!S60</f>
        <v>66</v>
      </c>
      <c r="D60" s="39">
        <f>V_14!D60+V_11!T60</f>
        <v>10</v>
      </c>
      <c r="E60" s="39">
        <f>V_14!E60+V_11!U60</f>
        <v>7</v>
      </c>
      <c r="F60" s="194">
        <f>V_14!F60+V_11!V60</f>
        <v>44</v>
      </c>
      <c r="G60" s="196">
        <f t="shared" si="4"/>
        <v>216</v>
      </c>
      <c r="H60" s="203">
        <f>V_14!H60+V_11!X60</f>
        <v>0</v>
      </c>
      <c r="I60" s="204">
        <f>V_14!I60+V_11!Y60</f>
        <v>0</v>
      </c>
      <c r="J60" s="204">
        <f>V_14!J60+V_11!Z60</f>
        <v>0</v>
      </c>
      <c r="K60" s="204">
        <f>V_14!K60+V_11!AA60</f>
        <v>0</v>
      </c>
      <c r="L60" s="204">
        <f>V_14!L60+V_11!AB60</f>
        <v>0</v>
      </c>
      <c r="M60" s="205">
        <f>V_14!M60+V_11!AC60</f>
        <v>0</v>
      </c>
      <c r="N60" s="85">
        <f t="shared" si="2"/>
        <v>216</v>
      </c>
      <c r="O60" s="43">
        <f t="shared" si="3"/>
        <v>356</v>
      </c>
      <c r="R60" s="44">
        <v>12</v>
      </c>
      <c r="S60" s="39">
        <v>18</v>
      </c>
      <c r="T60" s="39">
        <v>0</v>
      </c>
      <c r="U60" s="39">
        <v>0</v>
      </c>
      <c r="V60" s="194">
        <v>0</v>
      </c>
      <c r="W60" s="196">
        <f t="shared" si="1"/>
        <v>30</v>
      </c>
      <c r="X60" s="203">
        <v>0</v>
      </c>
      <c r="Y60" s="204">
        <v>0</v>
      </c>
      <c r="Z60" s="204">
        <v>0</v>
      </c>
      <c r="AA60" s="204">
        <v>0</v>
      </c>
      <c r="AB60" s="204">
        <v>0</v>
      </c>
      <c r="AC60" s="205">
        <v>0</v>
      </c>
    </row>
    <row r="61" spans="1:29" ht="22.5" customHeight="1" x14ac:dyDescent="0.3">
      <c r="A61" s="190" t="s">
        <v>230</v>
      </c>
      <c r="B61" s="44">
        <f>V_14!B61+V_11!R61</f>
        <v>79</v>
      </c>
      <c r="C61" s="39">
        <f>V_14!C61+V_11!S61</f>
        <v>39</v>
      </c>
      <c r="D61" s="39">
        <f>V_14!D61+V_11!T61</f>
        <v>13</v>
      </c>
      <c r="E61" s="39">
        <f>V_14!E61+V_11!U61</f>
        <v>8</v>
      </c>
      <c r="F61" s="194">
        <f>V_14!F61+V_11!V61</f>
        <v>42</v>
      </c>
      <c r="G61" s="196">
        <f t="shared" si="4"/>
        <v>181</v>
      </c>
      <c r="H61" s="203">
        <f>V_14!H61+V_11!X61</f>
        <v>0</v>
      </c>
      <c r="I61" s="204">
        <f>V_14!I61+V_11!Y61</f>
        <v>0</v>
      </c>
      <c r="J61" s="204">
        <f>V_14!J61+V_11!Z61</f>
        <v>0</v>
      </c>
      <c r="K61" s="204">
        <f>V_14!K61+V_11!AA61</f>
        <v>0</v>
      </c>
      <c r="L61" s="204">
        <f>V_14!L61+V_11!AB61</f>
        <v>0</v>
      </c>
      <c r="M61" s="205">
        <f>V_14!M61+V_11!AC61</f>
        <v>0</v>
      </c>
      <c r="N61" s="85">
        <f t="shared" si="2"/>
        <v>181</v>
      </c>
      <c r="O61" s="43">
        <f t="shared" si="3"/>
        <v>331</v>
      </c>
      <c r="R61" s="44">
        <v>5</v>
      </c>
      <c r="S61" s="39">
        <v>7</v>
      </c>
      <c r="T61" s="39">
        <v>0</v>
      </c>
      <c r="U61" s="39">
        <v>0</v>
      </c>
      <c r="V61" s="194">
        <v>0</v>
      </c>
      <c r="W61" s="196">
        <f t="shared" si="1"/>
        <v>12</v>
      </c>
      <c r="X61" s="203">
        <v>0</v>
      </c>
      <c r="Y61" s="204">
        <v>0</v>
      </c>
      <c r="Z61" s="204">
        <v>0</v>
      </c>
      <c r="AA61" s="204">
        <v>0</v>
      </c>
      <c r="AB61" s="204">
        <v>0</v>
      </c>
      <c r="AC61" s="205">
        <v>0</v>
      </c>
    </row>
    <row r="62" spans="1:29" ht="22.5" customHeight="1" x14ac:dyDescent="0.3">
      <c r="A62" s="190" t="s">
        <v>231</v>
      </c>
      <c r="B62" s="44">
        <f>V_14!B62+V_11!R62</f>
        <v>54</v>
      </c>
      <c r="C62" s="39">
        <f>V_14!C62+V_11!S62</f>
        <v>42</v>
      </c>
      <c r="D62" s="39">
        <f>V_14!D62+V_11!T62</f>
        <v>3</v>
      </c>
      <c r="E62" s="39">
        <f>V_14!E62+V_11!U62</f>
        <v>8</v>
      </c>
      <c r="F62" s="194">
        <f>V_14!F62+V_11!V62</f>
        <v>43</v>
      </c>
      <c r="G62" s="196">
        <f t="shared" si="4"/>
        <v>150</v>
      </c>
      <c r="H62" s="203">
        <f>V_14!H62+V_11!X62</f>
        <v>0</v>
      </c>
      <c r="I62" s="204">
        <f>V_14!I62+V_11!Y62</f>
        <v>0</v>
      </c>
      <c r="J62" s="204">
        <f>V_14!J62+V_11!Z62</f>
        <v>0</v>
      </c>
      <c r="K62" s="204">
        <f>V_14!K62+V_11!AA62</f>
        <v>0</v>
      </c>
      <c r="L62" s="204">
        <f>V_14!L62+V_11!AB62</f>
        <v>0</v>
      </c>
      <c r="M62" s="205">
        <f>V_14!M62+V_11!AC62</f>
        <v>0</v>
      </c>
      <c r="N62" s="85">
        <f t="shared" si="2"/>
        <v>150</v>
      </c>
      <c r="O62" s="43">
        <f t="shared" si="3"/>
        <v>297</v>
      </c>
      <c r="R62" s="44">
        <v>2</v>
      </c>
      <c r="S62" s="39">
        <v>11</v>
      </c>
      <c r="T62" s="39">
        <v>0</v>
      </c>
      <c r="U62" s="39">
        <v>0</v>
      </c>
      <c r="V62" s="194">
        <v>0</v>
      </c>
      <c r="W62" s="196">
        <f t="shared" si="1"/>
        <v>13</v>
      </c>
      <c r="X62" s="203">
        <v>0</v>
      </c>
      <c r="Y62" s="204">
        <v>0</v>
      </c>
      <c r="Z62" s="204">
        <v>0</v>
      </c>
      <c r="AA62" s="204">
        <v>0</v>
      </c>
      <c r="AB62" s="204">
        <v>0</v>
      </c>
      <c r="AC62" s="205">
        <v>0</v>
      </c>
    </row>
    <row r="63" spans="1:29" ht="22.5" customHeight="1" x14ac:dyDescent="0.3">
      <c r="A63" s="190" t="s">
        <v>232</v>
      </c>
      <c r="B63" s="44">
        <f>V_14!B63+V_11!R63</f>
        <v>44</v>
      </c>
      <c r="C63" s="39">
        <f>V_14!C63+V_11!S63</f>
        <v>27</v>
      </c>
      <c r="D63" s="39">
        <f>V_14!D63+V_11!T63</f>
        <v>4</v>
      </c>
      <c r="E63" s="39">
        <f>V_14!E63+V_11!U63</f>
        <v>7</v>
      </c>
      <c r="F63" s="194">
        <f>V_14!F63+V_11!V63</f>
        <v>32</v>
      </c>
      <c r="G63" s="196">
        <f t="shared" si="4"/>
        <v>114</v>
      </c>
      <c r="H63" s="203">
        <f>V_14!H63+V_11!X63</f>
        <v>0</v>
      </c>
      <c r="I63" s="204">
        <f>V_14!I63+V_11!Y63</f>
        <v>0</v>
      </c>
      <c r="J63" s="204">
        <f>V_14!J63+V_11!Z63</f>
        <v>0</v>
      </c>
      <c r="K63" s="204">
        <f>V_14!K63+V_11!AA63</f>
        <v>0</v>
      </c>
      <c r="L63" s="204">
        <f>V_14!L63+V_11!AB63</f>
        <v>0</v>
      </c>
      <c r="M63" s="205">
        <f>V_14!M63+V_11!AC63</f>
        <v>0</v>
      </c>
      <c r="N63" s="85">
        <f t="shared" si="2"/>
        <v>114</v>
      </c>
      <c r="O63" s="43">
        <f t="shared" si="3"/>
        <v>228.5</v>
      </c>
      <c r="R63" s="44">
        <v>2</v>
      </c>
      <c r="S63" s="39">
        <v>9</v>
      </c>
      <c r="T63" s="39">
        <v>0</v>
      </c>
      <c r="U63" s="39">
        <v>0</v>
      </c>
      <c r="V63" s="194">
        <v>0</v>
      </c>
      <c r="W63" s="196">
        <f t="shared" si="1"/>
        <v>11</v>
      </c>
      <c r="X63" s="203">
        <v>0</v>
      </c>
      <c r="Y63" s="204">
        <v>0</v>
      </c>
      <c r="Z63" s="204">
        <v>0</v>
      </c>
      <c r="AA63" s="204">
        <v>0</v>
      </c>
      <c r="AB63" s="204">
        <v>0</v>
      </c>
      <c r="AC63" s="205">
        <v>0</v>
      </c>
    </row>
    <row r="64" spans="1:29" ht="22.5" customHeight="1" x14ac:dyDescent="0.3">
      <c r="A64" s="190" t="s">
        <v>233</v>
      </c>
      <c r="B64" s="44">
        <f>V_14!B64+V_11!R64</f>
        <v>48</v>
      </c>
      <c r="C64" s="39">
        <f>V_14!C64+V_11!S64</f>
        <v>28</v>
      </c>
      <c r="D64" s="39">
        <f>V_14!D64+V_11!T64</f>
        <v>8</v>
      </c>
      <c r="E64" s="39">
        <f>V_14!E64+V_11!U64</f>
        <v>7</v>
      </c>
      <c r="F64" s="194">
        <f>V_14!F64+V_11!V64</f>
        <v>31</v>
      </c>
      <c r="G64" s="196">
        <f t="shared" si="4"/>
        <v>122</v>
      </c>
      <c r="H64" s="203">
        <f>V_14!H64+V_11!X64</f>
        <v>0</v>
      </c>
      <c r="I64" s="204">
        <f>V_14!I64+V_11!Y64</f>
        <v>0</v>
      </c>
      <c r="J64" s="204">
        <f>V_14!J64+V_11!Z64</f>
        <v>0</v>
      </c>
      <c r="K64" s="204">
        <f>V_14!K64+V_11!AA64</f>
        <v>0</v>
      </c>
      <c r="L64" s="204">
        <f>V_14!L64+V_11!AB64</f>
        <v>0</v>
      </c>
      <c r="M64" s="205">
        <f>V_14!M64+V_11!AC64</f>
        <v>0</v>
      </c>
      <c r="N64" s="85">
        <f t="shared" si="2"/>
        <v>122</v>
      </c>
      <c r="O64" s="43">
        <f t="shared" si="3"/>
        <v>234.5</v>
      </c>
      <c r="R64" s="44">
        <v>3</v>
      </c>
      <c r="S64" s="39">
        <v>8</v>
      </c>
      <c r="T64" s="39">
        <v>1</v>
      </c>
      <c r="U64" s="39">
        <v>2</v>
      </c>
      <c r="V64" s="194">
        <v>0</v>
      </c>
      <c r="W64" s="196">
        <f t="shared" si="1"/>
        <v>14</v>
      </c>
      <c r="X64" s="203">
        <v>0</v>
      </c>
      <c r="Y64" s="204">
        <v>0</v>
      </c>
      <c r="Z64" s="204">
        <v>0</v>
      </c>
      <c r="AA64" s="204">
        <v>0</v>
      </c>
      <c r="AB64" s="204">
        <v>0</v>
      </c>
      <c r="AC64" s="205">
        <v>0</v>
      </c>
    </row>
    <row r="65" spans="1:29" ht="22.5" customHeight="1" x14ac:dyDescent="0.3">
      <c r="A65" s="190" t="s">
        <v>234</v>
      </c>
      <c r="B65" s="44">
        <f>V_14!B65+V_11!R65</f>
        <v>34</v>
      </c>
      <c r="C65" s="39">
        <f>V_14!C65+V_11!S65</f>
        <v>23</v>
      </c>
      <c r="D65" s="39">
        <f>V_14!D65+V_11!T65</f>
        <v>9</v>
      </c>
      <c r="E65" s="39">
        <f>V_14!E65+V_11!U65</f>
        <v>8</v>
      </c>
      <c r="F65" s="194">
        <f>V_14!F65+V_11!V65</f>
        <v>46</v>
      </c>
      <c r="G65" s="196">
        <f t="shared" si="4"/>
        <v>120</v>
      </c>
      <c r="H65" s="203">
        <f>V_14!H65+V_11!X65</f>
        <v>0</v>
      </c>
      <c r="I65" s="204">
        <f>V_14!I65+V_11!Y65</f>
        <v>0</v>
      </c>
      <c r="J65" s="204">
        <f>V_14!J65+V_11!Z65</f>
        <v>0</v>
      </c>
      <c r="K65" s="204">
        <f>V_14!K65+V_11!AA65</f>
        <v>0</v>
      </c>
      <c r="L65" s="204">
        <f>V_14!L65+V_11!AB65</f>
        <v>0</v>
      </c>
      <c r="M65" s="205">
        <f>V_14!M65+V_11!AC65</f>
        <v>0</v>
      </c>
      <c r="N65" s="85">
        <f t="shared" si="2"/>
        <v>120</v>
      </c>
      <c r="O65" s="43">
        <f t="shared" si="3"/>
        <v>290</v>
      </c>
      <c r="R65" s="44">
        <v>2</v>
      </c>
      <c r="S65" s="39">
        <v>6</v>
      </c>
      <c r="T65" s="39">
        <v>1</v>
      </c>
      <c r="U65" s="39">
        <v>0</v>
      </c>
      <c r="V65" s="194">
        <v>0</v>
      </c>
      <c r="W65" s="196">
        <f t="shared" si="1"/>
        <v>9</v>
      </c>
      <c r="X65" s="203">
        <v>0</v>
      </c>
      <c r="Y65" s="204">
        <v>0</v>
      </c>
      <c r="Z65" s="204">
        <v>0</v>
      </c>
      <c r="AA65" s="204">
        <v>0</v>
      </c>
      <c r="AB65" s="204">
        <v>0</v>
      </c>
      <c r="AC65" s="205">
        <v>0</v>
      </c>
    </row>
    <row r="66" spans="1:29" ht="22.5" customHeight="1" x14ac:dyDescent="0.3">
      <c r="A66" s="190" t="s">
        <v>235</v>
      </c>
      <c r="B66" s="44">
        <f>V_14!B66+V_11!R66</f>
        <v>30</v>
      </c>
      <c r="C66" s="39">
        <f>V_14!C66+V_11!S66</f>
        <v>21</v>
      </c>
      <c r="D66" s="39">
        <f>V_14!D66+V_11!T66</f>
        <v>6</v>
      </c>
      <c r="E66" s="39">
        <f>V_14!E66+V_11!U66</f>
        <v>6</v>
      </c>
      <c r="F66" s="194">
        <f>V_14!F66+V_11!V66</f>
        <v>51</v>
      </c>
      <c r="G66" s="196">
        <f t="shared" si="4"/>
        <v>114</v>
      </c>
      <c r="H66" s="203">
        <f>V_14!H66+V_11!X66</f>
        <v>0</v>
      </c>
      <c r="I66" s="204">
        <f>V_14!I66+V_11!Y66</f>
        <v>0</v>
      </c>
      <c r="J66" s="204">
        <f>V_14!J66+V_11!Z66</f>
        <v>0</v>
      </c>
      <c r="K66" s="204">
        <f>V_14!K66+V_11!AA66</f>
        <v>0</v>
      </c>
      <c r="L66" s="204">
        <f>V_14!L66+V_11!AB66</f>
        <v>0</v>
      </c>
      <c r="M66" s="205">
        <f>V_14!M66+V_11!AC66</f>
        <v>0</v>
      </c>
      <c r="N66" s="85">
        <f t="shared" si="2"/>
        <v>114</v>
      </c>
      <c r="O66" s="43">
        <f t="shared" si="3"/>
        <v>297</v>
      </c>
      <c r="R66" s="44">
        <v>7</v>
      </c>
      <c r="S66" s="39">
        <v>8</v>
      </c>
      <c r="T66" s="39">
        <v>1</v>
      </c>
      <c r="U66" s="39">
        <v>0</v>
      </c>
      <c r="V66" s="194">
        <v>0</v>
      </c>
      <c r="W66" s="196">
        <f t="shared" si="1"/>
        <v>16</v>
      </c>
      <c r="X66" s="203">
        <v>0</v>
      </c>
      <c r="Y66" s="204">
        <v>0</v>
      </c>
      <c r="Z66" s="204">
        <v>0</v>
      </c>
      <c r="AA66" s="204">
        <v>0</v>
      </c>
      <c r="AB66" s="204">
        <v>0</v>
      </c>
      <c r="AC66" s="205">
        <v>0</v>
      </c>
    </row>
    <row r="67" spans="1:29" ht="22.5" customHeight="1" x14ac:dyDescent="0.3">
      <c r="A67" s="190" t="s">
        <v>236</v>
      </c>
      <c r="B67" s="44">
        <f>V_14!B67+V_11!R67</f>
        <v>24</v>
      </c>
      <c r="C67" s="39">
        <f>V_14!C67+V_11!S67</f>
        <v>5</v>
      </c>
      <c r="D67" s="39">
        <f>V_14!D67+V_11!T67</f>
        <v>8</v>
      </c>
      <c r="E67" s="39">
        <f>V_14!E67+V_11!U67</f>
        <v>4</v>
      </c>
      <c r="F67" s="194">
        <f>V_14!F67+V_11!V67</f>
        <v>33</v>
      </c>
      <c r="G67" s="196">
        <f t="shared" si="4"/>
        <v>74</v>
      </c>
      <c r="H67" s="203">
        <f>V_14!H67+V_11!X67</f>
        <v>0</v>
      </c>
      <c r="I67" s="204">
        <f>V_14!I67+V_11!Y67</f>
        <v>0</v>
      </c>
      <c r="J67" s="204">
        <f>V_14!J67+V_11!Z67</f>
        <v>0</v>
      </c>
      <c r="K67" s="204">
        <f>V_14!K67+V_11!AA67</f>
        <v>0</v>
      </c>
      <c r="L67" s="204">
        <f>V_14!L67+V_11!AB67</f>
        <v>0</v>
      </c>
      <c r="M67" s="205">
        <f>V_14!M67+V_11!AC67</f>
        <v>0</v>
      </c>
      <c r="N67" s="85">
        <f t="shared" si="2"/>
        <v>74</v>
      </c>
      <c r="O67" s="43">
        <f t="shared" si="3"/>
        <v>199</v>
      </c>
      <c r="R67" s="44">
        <v>3</v>
      </c>
      <c r="S67" s="39">
        <v>1</v>
      </c>
      <c r="T67" s="39">
        <v>1</v>
      </c>
      <c r="U67" s="39">
        <v>0</v>
      </c>
      <c r="V67" s="194">
        <v>0</v>
      </c>
      <c r="W67" s="196">
        <f t="shared" si="1"/>
        <v>5</v>
      </c>
      <c r="X67" s="203">
        <v>0</v>
      </c>
      <c r="Y67" s="204">
        <v>0</v>
      </c>
      <c r="Z67" s="204">
        <v>0</v>
      </c>
      <c r="AA67" s="204">
        <v>0</v>
      </c>
      <c r="AB67" s="204">
        <v>0</v>
      </c>
      <c r="AC67" s="205">
        <v>0</v>
      </c>
    </row>
    <row r="68" spans="1:29" ht="22.5" customHeight="1" x14ac:dyDescent="0.3">
      <c r="A68" s="190" t="s">
        <v>237</v>
      </c>
      <c r="B68" s="44">
        <f>V_14!B68+V_11!R68</f>
        <v>28</v>
      </c>
      <c r="C68" s="39">
        <f>V_14!C68+V_11!S68</f>
        <v>7</v>
      </c>
      <c r="D68" s="39">
        <f>V_14!D68+V_11!T68</f>
        <v>12</v>
      </c>
      <c r="E68" s="39">
        <f>V_14!E68+V_11!U68</f>
        <v>16</v>
      </c>
      <c r="F68" s="194">
        <f>V_14!F68+V_11!V68</f>
        <v>30</v>
      </c>
      <c r="G68" s="196">
        <f t="shared" si="4"/>
        <v>93</v>
      </c>
      <c r="H68" s="203">
        <f>V_14!H68+V_11!X68</f>
        <v>0</v>
      </c>
      <c r="I68" s="204">
        <f>V_14!I68+V_11!Y68</f>
        <v>0</v>
      </c>
      <c r="J68" s="204">
        <f>V_14!J68+V_11!Z68</f>
        <v>0</v>
      </c>
      <c r="K68" s="204">
        <f>V_14!K68+V_11!AA68</f>
        <v>0</v>
      </c>
      <c r="L68" s="204">
        <f>V_14!L68+V_11!AB68</f>
        <v>0</v>
      </c>
      <c r="M68" s="205">
        <f>V_14!M68+V_11!AC68</f>
        <v>0</v>
      </c>
      <c r="N68" s="85">
        <f t="shared" si="2"/>
        <v>93</v>
      </c>
      <c r="O68" s="43">
        <f t="shared" si="3"/>
        <v>232.5</v>
      </c>
      <c r="R68" s="44">
        <v>4</v>
      </c>
      <c r="S68" s="39">
        <v>6</v>
      </c>
      <c r="T68" s="39">
        <v>1</v>
      </c>
      <c r="U68" s="39">
        <v>0</v>
      </c>
      <c r="V68" s="194">
        <v>0</v>
      </c>
      <c r="W68" s="196">
        <f t="shared" si="1"/>
        <v>11</v>
      </c>
      <c r="X68" s="203">
        <v>0</v>
      </c>
      <c r="Y68" s="204">
        <v>0</v>
      </c>
      <c r="Z68" s="204">
        <v>0</v>
      </c>
      <c r="AA68" s="204">
        <v>0</v>
      </c>
      <c r="AB68" s="204">
        <v>0</v>
      </c>
      <c r="AC68" s="205">
        <v>0</v>
      </c>
    </row>
    <row r="69" spans="1:29" ht="22.5" customHeight="1" x14ac:dyDescent="0.3">
      <c r="A69" s="190" t="s">
        <v>238</v>
      </c>
      <c r="B69" s="44">
        <f>V_14!B69+V_11!R69</f>
        <v>20</v>
      </c>
      <c r="C69" s="39">
        <f>V_14!C69+V_11!S69</f>
        <v>4</v>
      </c>
      <c r="D69" s="39">
        <f>V_14!D69+V_11!T69</f>
        <v>5</v>
      </c>
      <c r="E69" s="39">
        <f>V_14!E69+V_11!U69</f>
        <v>15</v>
      </c>
      <c r="F69" s="194">
        <f>V_14!F69+V_11!V69</f>
        <v>31</v>
      </c>
      <c r="G69" s="196">
        <f t="shared" si="4"/>
        <v>75</v>
      </c>
      <c r="H69" s="203">
        <f>V_14!H69+V_11!X69</f>
        <v>0</v>
      </c>
      <c r="I69" s="204">
        <f>V_14!I69+V_11!Y69</f>
        <v>0</v>
      </c>
      <c r="J69" s="204">
        <f>V_14!J69+V_11!Z69</f>
        <v>0</v>
      </c>
      <c r="K69" s="204">
        <f>V_14!K69+V_11!AA69</f>
        <v>0</v>
      </c>
      <c r="L69" s="204">
        <f>V_14!L69+V_11!AB69</f>
        <v>0</v>
      </c>
      <c r="M69" s="205">
        <f>V_14!M69+V_11!AC69</f>
        <v>0</v>
      </c>
      <c r="N69" s="85">
        <f t="shared" si="2"/>
        <v>75</v>
      </c>
      <c r="O69" s="43">
        <f t="shared" si="3"/>
        <v>214</v>
      </c>
      <c r="R69" s="44">
        <v>2</v>
      </c>
      <c r="S69" s="39">
        <v>2</v>
      </c>
      <c r="T69" s="39">
        <v>0</v>
      </c>
      <c r="U69" s="39">
        <v>0</v>
      </c>
      <c r="V69" s="194">
        <v>0</v>
      </c>
      <c r="W69" s="196">
        <f t="shared" si="1"/>
        <v>4</v>
      </c>
      <c r="X69" s="203">
        <v>0</v>
      </c>
      <c r="Y69" s="204">
        <v>0</v>
      </c>
      <c r="Z69" s="204">
        <v>0</v>
      </c>
      <c r="AA69" s="204">
        <v>0</v>
      </c>
      <c r="AB69" s="204">
        <v>0</v>
      </c>
      <c r="AC69" s="205">
        <v>0</v>
      </c>
    </row>
    <row r="70" spans="1:29" ht="22.5" customHeight="1" x14ac:dyDescent="0.3">
      <c r="A70" s="190" t="s">
        <v>239</v>
      </c>
      <c r="B70" s="44">
        <f>V_14!B70+V_11!R70</f>
        <v>19</v>
      </c>
      <c r="C70" s="39">
        <f>V_14!C70+V_11!S70</f>
        <v>11</v>
      </c>
      <c r="D70" s="39">
        <f>V_14!D70+V_11!T70</f>
        <v>6</v>
      </c>
      <c r="E70" s="39">
        <f>V_14!E70+V_11!U70</f>
        <v>17</v>
      </c>
      <c r="F70" s="194">
        <f>V_14!F70+V_11!V70</f>
        <v>44</v>
      </c>
      <c r="G70" s="196">
        <f t="shared" si="4"/>
        <v>97</v>
      </c>
      <c r="H70" s="203">
        <f>V_14!H70+V_11!X70</f>
        <v>0</v>
      </c>
      <c r="I70" s="204">
        <f>V_14!I70+V_11!Y70</f>
        <v>0</v>
      </c>
      <c r="J70" s="204">
        <f>V_14!J70+V_11!Z70</f>
        <v>0</v>
      </c>
      <c r="K70" s="204">
        <f>V_14!K70+V_11!AA70</f>
        <v>0</v>
      </c>
      <c r="L70" s="204">
        <f>V_14!L70+V_11!AB70</f>
        <v>0</v>
      </c>
      <c r="M70" s="205">
        <f>V_14!M70+V_11!AC70</f>
        <v>0</v>
      </c>
      <c r="N70" s="85">
        <f t="shared" si="2"/>
        <v>97</v>
      </c>
      <c r="O70" s="43">
        <f t="shared" si="3"/>
        <v>282.5</v>
      </c>
      <c r="R70" s="44">
        <v>1</v>
      </c>
      <c r="S70" s="39">
        <v>4</v>
      </c>
      <c r="T70" s="39">
        <v>0</v>
      </c>
      <c r="U70" s="39">
        <v>0</v>
      </c>
      <c r="V70" s="194">
        <v>0</v>
      </c>
      <c r="W70" s="196">
        <f t="shared" si="1"/>
        <v>5</v>
      </c>
      <c r="X70" s="203">
        <v>0</v>
      </c>
      <c r="Y70" s="204">
        <v>0</v>
      </c>
      <c r="Z70" s="204">
        <v>0</v>
      </c>
      <c r="AA70" s="204">
        <v>0</v>
      </c>
      <c r="AB70" s="204">
        <v>0</v>
      </c>
      <c r="AC70" s="205">
        <v>0</v>
      </c>
    </row>
    <row r="71" spans="1:29" ht="22.5" customHeight="1" x14ac:dyDescent="0.3">
      <c r="A71" s="190" t="s">
        <v>240</v>
      </c>
      <c r="B71" s="44">
        <f>V_14!B71+V_11!R71</f>
        <v>11</v>
      </c>
      <c r="C71" s="39">
        <f>V_14!C71+V_11!S71</f>
        <v>5</v>
      </c>
      <c r="D71" s="39">
        <f>V_14!D71+V_11!T71</f>
        <v>3</v>
      </c>
      <c r="E71" s="39">
        <f>V_14!E71+V_11!U71</f>
        <v>16</v>
      </c>
      <c r="F71" s="194">
        <f>V_14!F71+V_11!V71</f>
        <v>42</v>
      </c>
      <c r="G71" s="196">
        <f t="shared" si="4"/>
        <v>77</v>
      </c>
      <c r="H71" s="203">
        <f>V_14!H71+V_11!X71</f>
        <v>0</v>
      </c>
      <c r="I71" s="204">
        <f>V_14!I71+V_11!Y71</f>
        <v>0</v>
      </c>
      <c r="J71" s="204">
        <f>V_14!J71+V_11!Z71</f>
        <v>0</v>
      </c>
      <c r="K71" s="204">
        <f>V_14!K71+V_11!AA71</f>
        <v>0</v>
      </c>
      <c r="L71" s="204">
        <f>V_14!L71+V_11!AB71</f>
        <v>0</v>
      </c>
      <c r="M71" s="205">
        <f>V_14!M71+V_11!AC71</f>
        <v>0</v>
      </c>
      <c r="N71" s="85">
        <f t="shared" si="2"/>
        <v>77</v>
      </c>
      <c r="O71" s="43">
        <f t="shared" si="3"/>
        <v>255</v>
      </c>
      <c r="R71" s="44">
        <v>0</v>
      </c>
      <c r="S71" s="39">
        <v>3</v>
      </c>
      <c r="T71" s="39">
        <v>0</v>
      </c>
      <c r="U71" s="39">
        <v>0</v>
      </c>
      <c r="V71" s="194">
        <v>0</v>
      </c>
      <c r="W71" s="196">
        <f t="shared" si="1"/>
        <v>3</v>
      </c>
      <c r="X71" s="203">
        <v>0</v>
      </c>
      <c r="Y71" s="204">
        <v>0</v>
      </c>
      <c r="Z71" s="204">
        <v>0</v>
      </c>
      <c r="AA71" s="204">
        <v>0</v>
      </c>
      <c r="AB71" s="204">
        <v>0</v>
      </c>
      <c r="AC71" s="205">
        <v>0</v>
      </c>
    </row>
    <row r="72" spans="1:29" ht="22.5" customHeight="1" x14ac:dyDescent="0.3">
      <c r="A72" s="190" t="s">
        <v>153</v>
      </c>
      <c r="B72" s="44">
        <f>V_14!B72+V_11!R72</f>
        <v>18</v>
      </c>
      <c r="C72" s="39">
        <f>V_14!C72+V_11!S72</f>
        <v>3</v>
      </c>
      <c r="D72" s="39">
        <f>V_14!D72+V_11!T72</f>
        <v>23</v>
      </c>
      <c r="E72" s="39">
        <f>V_14!E72+V_11!U72</f>
        <v>3</v>
      </c>
      <c r="F72" s="194">
        <f>V_14!F72+V_11!V72</f>
        <v>25</v>
      </c>
      <c r="G72" s="196">
        <f t="shared" ref="G72:G103" si="5">SUM(B72:F72)</f>
        <v>72</v>
      </c>
      <c r="H72" s="203">
        <f>V_14!H72+V_11!X72</f>
        <v>0</v>
      </c>
      <c r="I72" s="204">
        <f>V_14!I72+V_11!Y72</f>
        <v>0</v>
      </c>
      <c r="J72" s="204">
        <f>V_14!J72+V_11!Z72</f>
        <v>0</v>
      </c>
      <c r="K72" s="204">
        <f>V_14!K72+V_11!AA72</f>
        <v>0</v>
      </c>
      <c r="L72" s="204">
        <f>V_14!L72+V_11!AB72</f>
        <v>0</v>
      </c>
      <c r="M72" s="205">
        <f>V_14!M72+V_11!AC72</f>
        <v>0</v>
      </c>
      <c r="N72" s="85">
        <f t="shared" si="2"/>
        <v>72</v>
      </c>
      <c r="O72" s="43">
        <f t="shared" si="3"/>
        <v>175.5</v>
      </c>
      <c r="R72" s="44">
        <v>2</v>
      </c>
      <c r="S72" s="39">
        <v>3</v>
      </c>
      <c r="T72" s="39">
        <v>0</v>
      </c>
      <c r="U72" s="39">
        <v>0</v>
      </c>
      <c r="V72" s="194">
        <v>0</v>
      </c>
      <c r="W72" s="196">
        <f t="shared" ref="W72:W103" si="6">SUM(R72:V72)</f>
        <v>5</v>
      </c>
      <c r="X72" s="203">
        <v>0</v>
      </c>
      <c r="Y72" s="204">
        <v>0</v>
      </c>
      <c r="Z72" s="204">
        <v>0</v>
      </c>
      <c r="AA72" s="204">
        <v>0</v>
      </c>
      <c r="AB72" s="204">
        <v>0</v>
      </c>
      <c r="AC72" s="205">
        <v>0</v>
      </c>
    </row>
    <row r="73" spans="1:29" ht="22.5" customHeight="1" x14ac:dyDescent="0.3">
      <c r="A73" s="190" t="s">
        <v>154</v>
      </c>
      <c r="B73" s="44">
        <f>V_14!B73+V_11!R73</f>
        <v>17</v>
      </c>
      <c r="C73" s="39">
        <f>V_14!C73+V_11!S73</f>
        <v>5</v>
      </c>
      <c r="D73" s="39">
        <f>V_14!D73+V_11!T73</f>
        <v>11</v>
      </c>
      <c r="E73" s="39">
        <f>V_14!E73+V_11!U73</f>
        <v>3</v>
      </c>
      <c r="F73" s="194">
        <f>V_14!F73+V_11!V73</f>
        <v>21</v>
      </c>
      <c r="G73" s="196">
        <f t="shared" si="5"/>
        <v>57</v>
      </c>
      <c r="H73" s="203">
        <f>V_14!H73+V_11!X73</f>
        <v>0</v>
      </c>
      <c r="I73" s="204">
        <f>V_14!I73+V_11!Y73</f>
        <v>0</v>
      </c>
      <c r="J73" s="204">
        <f>V_14!J73+V_11!Z73</f>
        <v>0</v>
      </c>
      <c r="K73" s="204">
        <f>V_14!K73+V_11!AA73</f>
        <v>0</v>
      </c>
      <c r="L73" s="204">
        <f>V_14!L73+V_11!AB73</f>
        <v>0</v>
      </c>
      <c r="M73" s="205">
        <f>V_14!M73+V_11!AC73</f>
        <v>0</v>
      </c>
      <c r="N73" s="85">
        <f t="shared" ref="N73:N103" si="7">G73+M73</f>
        <v>57</v>
      </c>
      <c r="O73" s="43">
        <f t="shared" ref="O73:O103" si="8">B73*1+C73*0.5+D73*1.5+E73*3+F73*4.5+H73*0.5+I73*1.5+J73*3+K73*4+L73*8</f>
        <v>139.5</v>
      </c>
      <c r="R73" s="44">
        <v>0</v>
      </c>
      <c r="S73" s="39">
        <v>2</v>
      </c>
      <c r="T73" s="39">
        <v>1</v>
      </c>
      <c r="U73" s="39">
        <v>0</v>
      </c>
      <c r="V73" s="194">
        <v>0</v>
      </c>
      <c r="W73" s="196">
        <f t="shared" si="6"/>
        <v>3</v>
      </c>
      <c r="X73" s="203">
        <v>0</v>
      </c>
      <c r="Y73" s="204">
        <v>0</v>
      </c>
      <c r="Z73" s="204">
        <v>0</v>
      </c>
      <c r="AA73" s="204">
        <v>0</v>
      </c>
      <c r="AB73" s="204">
        <v>0</v>
      </c>
      <c r="AC73" s="205">
        <v>0</v>
      </c>
    </row>
    <row r="74" spans="1:29" ht="22.5" customHeight="1" x14ac:dyDescent="0.3">
      <c r="A74" s="190" t="s">
        <v>155</v>
      </c>
      <c r="B74" s="44">
        <f>V_14!B74+V_11!R74</f>
        <v>16</v>
      </c>
      <c r="C74" s="39">
        <f>V_14!C74+V_11!S74</f>
        <v>2</v>
      </c>
      <c r="D74" s="39">
        <f>V_14!D74+V_11!T74</f>
        <v>15</v>
      </c>
      <c r="E74" s="39">
        <f>V_14!E74+V_11!U74</f>
        <v>11</v>
      </c>
      <c r="F74" s="194">
        <f>V_14!F74+V_11!V74</f>
        <v>27</v>
      </c>
      <c r="G74" s="196">
        <f t="shared" si="5"/>
        <v>71</v>
      </c>
      <c r="H74" s="203">
        <f>V_14!H74+V_11!X74</f>
        <v>0</v>
      </c>
      <c r="I74" s="204">
        <f>V_14!I74+V_11!Y74</f>
        <v>0</v>
      </c>
      <c r="J74" s="204">
        <f>V_14!J74+V_11!Z74</f>
        <v>0</v>
      </c>
      <c r="K74" s="204">
        <f>V_14!K74+V_11!AA74</f>
        <v>0</v>
      </c>
      <c r="L74" s="204">
        <f>V_14!L74+V_11!AB74</f>
        <v>0</v>
      </c>
      <c r="M74" s="205">
        <f>V_14!M74+V_11!AC74</f>
        <v>0</v>
      </c>
      <c r="N74" s="85">
        <f t="shared" si="7"/>
        <v>71</v>
      </c>
      <c r="O74" s="43">
        <f t="shared" si="8"/>
        <v>194</v>
      </c>
      <c r="R74" s="44">
        <v>1</v>
      </c>
      <c r="S74" s="39">
        <v>0</v>
      </c>
      <c r="T74" s="39">
        <v>0</v>
      </c>
      <c r="U74" s="39">
        <v>0</v>
      </c>
      <c r="V74" s="194">
        <v>0</v>
      </c>
      <c r="W74" s="196">
        <f t="shared" si="6"/>
        <v>1</v>
      </c>
      <c r="X74" s="203">
        <v>0</v>
      </c>
      <c r="Y74" s="204">
        <v>0</v>
      </c>
      <c r="Z74" s="204">
        <v>0</v>
      </c>
      <c r="AA74" s="204">
        <v>0</v>
      </c>
      <c r="AB74" s="204">
        <v>0</v>
      </c>
      <c r="AC74" s="205">
        <v>0</v>
      </c>
    </row>
    <row r="75" spans="1:29" ht="22.5" customHeight="1" x14ac:dyDescent="0.3">
      <c r="A75" s="190" t="s">
        <v>156</v>
      </c>
      <c r="B75" s="44">
        <f>V_14!B75+V_11!R75</f>
        <v>16</v>
      </c>
      <c r="C75" s="39">
        <f>V_14!C75+V_11!S75</f>
        <v>1</v>
      </c>
      <c r="D75" s="39">
        <f>V_14!D75+V_11!T75</f>
        <v>10</v>
      </c>
      <c r="E75" s="39">
        <f>V_14!E75+V_11!U75</f>
        <v>16</v>
      </c>
      <c r="F75" s="194">
        <f>V_14!F75+V_11!V75</f>
        <v>21</v>
      </c>
      <c r="G75" s="196">
        <f t="shared" si="5"/>
        <v>64</v>
      </c>
      <c r="H75" s="203">
        <f>V_14!H75+V_11!X75</f>
        <v>0</v>
      </c>
      <c r="I75" s="204">
        <f>V_14!I75+V_11!Y75</f>
        <v>0</v>
      </c>
      <c r="J75" s="204">
        <f>V_14!J75+V_11!Z75</f>
        <v>0</v>
      </c>
      <c r="K75" s="204">
        <f>V_14!K75+V_11!AA75</f>
        <v>0</v>
      </c>
      <c r="L75" s="204">
        <f>V_14!L75+V_11!AB75</f>
        <v>0</v>
      </c>
      <c r="M75" s="205">
        <f>V_14!M75+V_11!AC75</f>
        <v>0</v>
      </c>
      <c r="N75" s="85">
        <f t="shared" si="7"/>
        <v>64</v>
      </c>
      <c r="O75" s="43">
        <f t="shared" si="8"/>
        <v>174</v>
      </c>
      <c r="R75" s="44">
        <v>0</v>
      </c>
      <c r="S75" s="39">
        <v>1</v>
      </c>
      <c r="T75" s="39">
        <v>0</v>
      </c>
      <c r="U75" s="39">
        <v>0</v>
      </c>
      <c r="V75" s="194">
        <v>0</v>
      </c>
      <c r="W75" s="196">
        <f t="shared" si="6"/>
        <v>1</v>
      </c>
      <c r="X75" s="203">
        <v>0</v>
      </c>
      <c r="Y75" s="204">
        <v>0</v>
      </c>
      <c r="Z75" s="204">
        <v>0</v>
      </c>
      <c r="AA75" s="204">
        <v>0</v>
      </c>
      <c r="AB75" s="204">
        <v>0</v>
      </c>
      <c r="AC75" s="205">
        <v>0</v>
      </c>
    </row>
    <row r="76" spans="1:29" ht="22.5" customHeight="1" x14ac:dyDescent="0.3">
      <c r="A76" s="190" t="s">
        <v>157</v>
      </c>
      <c r="B76" s="44">
        <f>V_14!B76+V_11!R76</f>
        <v>17</v>
      </c>
      <c r="C76" s="39">
        <f>V_14!C76+V_11!S76</f>
        <v>2</v>
      </c>
      <c r="D76" s="39">
        <f>V_14!D76+V_11!T76</f>
        <v>16</v>
      </c>
      <c r="E76" s="39">
        <f>V_14!E76+V_11!U76</f>
        <v>5</v>
      </c>
      <c r="F76" s="194">
        <f>V_14!F76+V_11!V76</f>
        <v>13</v>
      </c>
      <c r="G76" s="196">
        <f t="shared" si="5"/>
        <v>53</v>
      </c>
      <c r="H76" s="203">
        <f>V_14!H76+V_11!X76</f>
        <v>0</v>
      </c>
      <c r="I76" s="204">
        <f>V_14!I76+V_11!Y76</f>
        <v>0</v>
      </c>
      <c r="J76" s="204">
        <f>V_14!J76+V_11!Z76</f>
        <v>0</v>
      </c>
      <c r="K76" s="204">
        <f>V_14!K76+V_11!AA76</f>
        <v>0</v>
      </c>
      <c r="L76" s="204">
        <f>V_14!L76+V_11!AB76</f>
        <v>0</v>
      </c>
      <c r="M76" s="205">
        <f>V_14!M76+V_11!AC76</f>
        <v>0</v>
      </c>
      <c r="N76" s="85">
        <f t="shared" si="7"/>
        <v>53</v>
      </c>
      <c r="O76" s="43">
        <f t="shared" si="8"/>
        <v>115.5</v>
      </c>
      <c r="R76" s="44">
        <v>0</v>
      </c>
      <c r="S76" s="39">
        <v>0</v>
      </c>
      <c r="T76" s="39">
        <v>2</v>
      </c>
      <c r="U76" s="39">
        <v>0</v>
      </c>
      <c r="V76" s="194">
        <v>0</v>
      </c>
      <c r="W76" s="196">
        <f t="shared" si="6"/>
        <v>2</v>
      </c>
      <c r="X76" s="203">
        <v>0</v>
      </c>
      <c r="Y76" s="204">
        <v>0</v>
      </c>
      <c r="Z76" s="204">
        <v>0</v>
      </c>
      <c r="AA76" s="204">
        <v>0</v>
      </c>
      <c r="AB76" s="204">
        <v>0</v>
      </c>
      <c r="AC76" s="205">
        <v>0</v>
      </c>
    </row>
    <row r="77" spans="1:29" ht="22.5" customHeight="1" x14ac:dyDescent="0.3">
      <c r="A77" s="190" t="s">
        <v>158</v>
      </c>
      <c r="B77" s="44">
        <f>V_14!B77+V_11!R77</f>
        <v>12</v>
      </c>
      <c r="C77" s="39">
        <f>V_14!C77+V_11!S77</f>
        <v>2</v>
      </c>
      <c r="D77" s="39">
        <f>V_14!D77+V_11!T77</f>
        <v>9</v>
      </c>
      <c r="E77" s="39">
        <f>V_14!E77+V_11!U77</f>
        <v>11</v>
      </c>
      <c r="F77" s="194">
        <f>V_14!F77+V_11!V77</f>
        <v>11</v>
      </c>
      <c r="G77" s="196">
        <f t="shared" si="5"/>
        <v>45</v>
      </c>
      <c r="H77" s="203">
        <f>V_14!H77+V_11!X77</f>
        <v>0</v>
      </c>
      <c r="I77" s="204">
        <f>V_14!I77+V_11!Y77</f>
        <v>0</v>
      </c>
      <c r="J77" s="204">
        <f>V_14!J77+V_11!Z77</f>
        <v>0</v>
      </c>
      <c r="K77" s="204">
        <f>V_14!K77+V_11!AA77</f>
        <v>0</v>
      </c>
      <c r="L77" s="204">
        <f>V_14!L77+V_11!AB77</f>
        <v>0</v>
      </c>
      <c r="M77" s="205">
        <f>V_14!M77+V_11!AC77</f>
        <v>0</v>
      </c>
      <c r="N77" s="85">
        <f t="shared" si="7"/>
        <v>45</v>
      </c>
      <c r="O77" s="43">
        <f t="shared" si="8"/>
        <v>109</v>
      </c>
      <c r="R77" s="44">
        <v>0</v>
      </c>
      <c r="S77" s="39">
        <v>0</v>
      </c>
      <c r="T77" s="39">
        <v>1</v>
      </c>
      <c r="U77" s="39">
        <v>0</v>
      </c>
      <c r="V77" s="194">
        <v>0</v>
      </c>
      <c r="W77" s="196">
        <f t="shared" si="6"/>
        <v>1</v>
      </c>
      <c r="X77" s="203">
        <v>0</v>
      </c>
      <c r="Y77" s="204">
        <v>0</v>
      </c>
      <c r="Z77" s="204">
        <v>0</v>
      </c>
      <c r="AA77" s="204">
        <v>0</v>
      </c>
      <c r="AB77" s="204">
        <v>0</v>
      </c>
      <c r="AC77" s="205">
        <v>0</v>
      </c>
    </row>
    <row r="78" spans="1:29" ht="22.5" customHeight="1" x14ac:dyDescent="0.3">
      <c r="A78" s="190" t="s">
        <v>159</v>
      </c>
      <c r="B78" s="44">
        <f>V_14!B78+V_11!R78</f>
        <v>12</v>
      </c>
      <c r="C78" s="39">
        <f>V_14!C78+V_11!S78</f>
        <v>2</v>
      </c>
      <c r="D78" s="39">
        <f>V_14!D78+V_11!T78</f>
        <v>4</v>
      </c>
      <c r="E78" s="39">
        <f>V_14!E78+V_11!U78</f>
        <v>12</v>
      </c>
      <c r="F78" s="194">
        <f>V_14!F78+V_11!V78</f>
        <v>10</v>
      </c>
      <c r="G78" s="196">
        <f t="shared" si="5"/>
        <v>40</v>
      </c>
      <c r="H78" s="203">
        <f>V_14!H78+V_11!X78</f>
        <v>0</v>
      </c>
      <c r="I78" s="204">
        <f>V_14!I78+V_11!Y78</f>
        <v>0</v>
      </c>
      <c r="J78" s="204">
        <f>V_14!J78+V_11!Z78</f>
        <v>0</v>
      </c>
      <c r="K78" s="204">
        <f>V_14!K78+V_11!AA78</f>
        <v>0</v>
      </c>
      <c r="L78" s="204">
        <f>V_14!L78+V_11!AB78</f>
        <v>0</v>
      </c>
      <c r="M78" s="205">
        <f>V_14!M78+V_11!AC78</f>
        <v>0</v>
      </c>
      <c r="N78" s="85">
        <f t="shared" si="7"/>
        <v>40</v>
      </c>
      <c r="O78" s="43">
        <f t="shared" si="8"/>
        <v>100</v>
      </c>
      <c r="R78" s="44">
        <v>1</v>
      </c>
      <c r="S78" s="39">
        <v>0</v>
      </c>
      <c r="T78" s="39">
        <v>0</v>
      </c>
      <c r="U78" s="39">
        <v>0</v>
      </c>
      <c r="V78" s="194">
        <v>0</v>
      </c>
      <c r="W78" s="196">
        <f t="shared" si="6"/>
        <v>1</v>
      </c>
      <c r="X78" s="203">
        <v>0</v>
      </c>
      <c r="Y78" s="204">
        <v>0</v>
      </c>
      <c r="Z78" s="204">
        <v>0</v>
      </c>
      <c r="AA78" s="204">
        <v>0</v>
      </c>
      <c r="AB78" s="204">
        <v>0</v>
      </c>
      <c r="AC78" s="205">
        <v>0</v>
      </c>
    </row>
    <row r="79" spans="1:29" ht="22.5" customHeight="1" x14ac:dyDescent="0.3">
      <c r="A79" s="190" t="s">
        <v>160</v>
      </c>
      <c r="B79" s="44">
        <f>V_14!B79+V_11!R79</f>
        <v>7</v>
      </c>
      <c r="C79" s="39">
        <f>V_14!C79+V_11!S79</f>
        <v>3</v>
      </c>
      <c r="D79" s="39">
        <f>V_14!D79+V_11!T79</f>
        <v>5</v>
      </c>
      <c r="E79" s="39">
        <f>V_14!E79+V_11!U79</f>
        <v>8</v>
      </c>
      <c r="F79" s="194">
        <f>V_14!F79+V_11!V79</f>
        <v>9</v>
      </c>
      <c r="G79" s="196">
        <f t="shared" si="5"/>
        <v>32</v>
      </c>
      <c r="H79" s="203">
        <f>V_14!H79+V_11!X79</f>
        <v>0</v>
      </c>
      <c r="I79" s="204">
        <f>V_14!I79+V_11!Y79</f>
        <v>0</v>
      </c>
      <c r="J79" s="204">
        <f>V_14!J79+V_11!Z79</f>
        <v>0</v>
      </c>
      <c r="K79" s="204">
        <f>V_14!K79+V_11!AA79</f>
        <v>0</v>
      </c>
      <c r="L79" s="204">
        <f>V_14!L79+V_11!AB79</f>
        <v>0</v>
      </c>
      <c r="M79" s="205">
        <f>V_14!M79+V_11!AC79</f>
        <v>0</v>
      </c>
      <c r="N79" s="85">
        <f t="shared" si="7"/>
        <v>32</v>
      </c>
      <c r="O79" s="43">
        <f t="shared" si="8"/>
        <v>80.5</v>
      </c>
      <c r="R79" s="44">
        <v>0</v>
      </c>
      <c r="S79" s="39">
        <v>1</v>
      </c>
      <c r="T79" s="39">
        <v>0</v>
      </c>
      <c r="U79" s="39">
        <v>0</v>
      </c>
      <c r="V79" s="194">
        <v>0</v>
      </c>
      <c r="W79" s="196">
        <f t="shared" si="6"/>
        <v>1</v>
      </c>
      <c r="X79" s="203">
        <v>0</v>
      </c>
      <c r="Y79" s="204">
        <v>0</v>
      </c>
      <c r="Z79" s="204">
        <v>0</v>
      </c>
      <c r="AA79" s="204">
        <v>0</v>
      </c>
      <c r="AB79" s="204">
        <v>0</v>
      </c>
      <c r="AC79" s="205">
        <v>0</v>
      </c>
    </row>
    <row r="80" spans="1:29" ht="22.5" customHeight="1" x14ac:dyDescent="0.3">
      <c r="A80" s="190" t="s">
        <v>161</v>
      </c>
      <c r="B80" s="44">
        <f>V_14!B80+V_11!R80</f>
        <v>13</v>
      </c>
      <c r="C80" s="39">
        <f>V_14!C80+V_11!S80</f>
        <v>0</v>
      </c>
      <c r="D80" s="39">
        <f>V_14!D80+V_11!T80</f>
        <v>10</v>
      </c>
      <c r="E80" s="39">
        <f>V_14!E80+V_11!U80</f>
        <v>6</v>
      </c>
      <c r="F80" s="194">
        <f>V_14!F80+V_11!V80</f>
        <v>16</v>
      </c>
      <c r="G80" s="196">
        <f t="shared" si="5"/>
        <v>45</v>
      </c>
      <c r="H80" s="203">
        <f>V_14!H80+V_11!X80</f>
        <v>0</v>
      </c>
      <c r="I80" s="204">
        <f>V_14!I80+V_11!Y80</f>
        <v>0</v>
      </c>
      <c r="J80" s="204">
        <f>V_14!J80+V_11!Z80</f>
        <v>0</v>
      </c>
      <c r="K80" s="204">
        <f>V_14!K80+V_11!AA80</f>
        <v>0</v>
      </c>
      <c r="L80" s="204">
        <f>V_14!L80+V_11!AB80</f>
        <v>0</v>
      </c>
      <c r="M80" s="205">
        <f>V_14!M80+V_11!AC80</f>
        <v>0</v>
      </c>
      <c r="N80" s="85">
        <f t="shared" si="7"/>
        <v>45</v>
      </c>
      <c r="O80" s="43">
        <f t="shared" si="8"/>
        <v>118</v>
      </c>
      <c r="R80" s="44">
        <v>2</v>
      </c>
      <c r="S80" s="39">
        <v>0</v>
      </c>
      <c r="T80" s="39">
        <v>0</v>
      </c>
      <c r="U80" s="39">
        <v>0</v>
      </c>
      <c r="V80" s="194">
        <v>0</v>
      </c>
      <c r="W80" s="196">
        <f t="shared" si="6"/>
        <v>2</v>
      </c>
      <c r="X80" s="203">
        <v>0</v>
      </c>
      <c r="Y80" s="204">
        <v>0</v>
      </c>
      <c r="Z80" s="204">
        <v>0</v>
      </c>
      <c r="AA80" s="204">
        <v>0</v>
      </c>
      <c r="AB80" s="204">
        <v>0</v>
      </c>
      <c r="AC80" s="205">
        <v>0</v>
      </c>
    </row>
    <row r="81" spans="1:29" ht="22.5" customHeight="1" x14ac:dyDescent="0.3">
      <c r="A81" s="190" t="s">
        <v>162</v>
      </c>
      <c r="B81" s="44">
        <f>V_14!B81+V_11!R81</f>
        <v>8</v>
      </c>
      <c r="C81" s="39">
        <f>V_14!C81+V_11!S81</f>
        <v>0</v>
      </c>
      <c r="D81" s="39">
        <f>V_14!D81+V_11!T81</f>
        <v>8</v>
      </c>
      <c r="E81" s="39">
        <f>V_14!E81+V_11!U81</f>
        <v>3</v>
      </c>
      <c r="F81" s="194">
        <f>V_14!F81+V_11!V81</f>
        <v>8</v>
      </c>
      <c r="G81" s="196">
        <f t="shared" si="5"/>
        <v>27</v>
      </c>
      <c r="H81" s="203">
        <f>V_14!H81+V_11!X81</f>
        <v>0</v>
      </c>
      <c r="I81" s="204">
        <f>V_14!I81+V_11!Y81</f>
        <v>0</v>
      </c>
      <c r="J81" s="204">
        <f>V_14!J81+V_11!Z81</f>
        <v>0</v>
      </c>
      <c r="K81" s="204">
        <f>V_14!K81+V_11!AA81</f>
        <v>0</v>
      </c>
      <c r="L81" s="204">
        <f>V_14!L81+V_11!AB81</f>
        <v>0</v>
      </c>
      <c r="M81" s="205">
        <f>V_14!M81+V_11!AC81</f>
        <v>0</v>
      </c>
      <c r="N81" s="85">
        <f t="shared" si="7"/>
        <v>27</v>
      </c>
      <c r="O81" s="43">
        <f t="shared" si="8"/>
        <v>65</v>
      </c>
      <c r="R81" s="44">
        <v>1</v>
      </c>
      <c r="S81" s="39">
        <v>0</v>
      </c>
      <c r="T81" s="39">
        <v>0</v>
      </c>
      <c r="U81" s="39">
        <v>0</v>
      </c>
      <c r="V81" s="194">
        <v>0</v>
      </c>
      <c r="W81" s="196">
        <f t="shared" si="6"/>
        <v>1</v>
      </c>
      <c r="X81" s="203">
        <v>0</v>
      </c>
      <c r="Y81" s="204">
        <v>0</v>
      </c>
      <c r="Z81" s="204">
        <v>0</v>
      </c>
      <c r="AA81" s="204">
        <v>0</v>
      </c>
      <c r="AB81" s="204">
        <v>0</v>
      </c>
      <c r="AC81" s="205">
        <v>0</v>
      </c>
    </row>
    <row r="82" spans="1:29" ht="22.5" customHeight="1" x14ac:dyDescent="0.3">
      <c r="A82" s="190" t="s">
        <v>163</v>
      </c>
      <c r="B82" s="44">
        <f>V_14!B82+V_11!R82</f>
        <v>8</v>
      </c>
      <c r="C82" s="39">
        <f>V_14!C82+V_11!S82</f>
        <v>2</v>
      </c>
      <c r="D82" s="39">
        <f>V_14!D82+V_11!T82</f>
        <v>13</v>
      </c>
      <c r="E82" s="39">
        <f>V_14!E82+V_11!U82</f>
        <v>4</v>
      </c>
      <c r="F82" s="194">
        <f>V_14!F82+V_11!V82</f>
        <v>9</v>
      </c>
      <c r="G82" s="196">
        <f t="shared" si="5"/>
        <v>36</v>
      </c>
      <c r="H82" s="203">
        <f>V_14!H82+V_11!X82</f>
        <v>0</v>
      </c>
      <c r="I82" s="204">
        <f>V_14!I82+V_11!Y82</f>
        <v>0</v>
      </c>
      <c r="J82" s="204">
        <f>V_14!J82+V_11!Z82</f>
        <v>0</v>
      </c>
      <c r="K82" s="204">
        <f>V_14!K82+V_11!AA82</f>
        <v>0</v>
      </c>
      <c r="L82" s="204">
        <f>V_14!L82+V_11!AB82</f>
        <v>0</v>
      </c>
      <c r="M82" s="205">
        <f>V_14!M82+V_11!AC82</f>
        <v>0</v>
      </c>
      <c r="N82" s="85">
        <f t="shared" si="7"/>
        <v>36</v>
      </c>
      <c r="O82" s="43">
        <f t="shared" si="8"/>
        <v>81</v>
      </c>
      <c r="R82" s="44">
        <v>0</v>
      </c>
      <c r="S82" s="39">
        <v>0</v>
      </c>
      <c r="T82" s="39">
        <v>0</v>
      </c>
      <c r="U82" s="39">
        <v>0</v>
      </c>
      <c r="V82" s="194">
        <v>0</v>
      </c>
      <c r="W82" s="196">
        <f t="shared" si="6"/>
        <v>0</v>
      </c>
      <c r="X82" s="203">
        <v>0</v>
      </c>
      <c r="Y82" s="204">
        <v>0</v>
      </c>
      <c r="Z82" s="204">
        <v>0</v>
      </c>
      <c r="AA82" s="204">
        <v>0</v>
      </c>
      <c r="AB82" s="204">
        <v>0</v>
      </c>
      <c r="AC82" s="205">
        <v>0</v>
      </c>
    </row>
    <row r="83" spans="1:29" ht="22.5" customHeight="1" x14ac:dyDescent="0.3">
      <c r="A83" s="190" t="s">
        <v>164</v>
      </c>
      <c r="B83" s="44">
        <f>V_14!B83+V_11!R83</f>
        <v>7</v>
      </c>
      <c r="C83" s="39">
        <f>V_14!C83+V_11!S83</f>
        <v>0</v>
      </c>
      <c r="D83" s="39">
        <f>V_14!D83+V_11!T83</f>
        <v>5</v>
      </c>
      <c r="E83" s="39">
        <f>V_14!E83+V_11!U83</f>
        <v>7</v>
      </c>
      <c r="F83" s="194">
        <f>V_14!F83+V_11!V83</f>
        <v>7</v>
      </c>
      <c r="G83" s="196">
        <f t="shared" si="5"/>
        <v>26</v>
      </c>
      <c r="H83" s="203">
        <f>V_14!H83+V_11!X83</f>
        <v>0</v>
      </c>
      <c r="I83" s="204">
        <f>V_14!I83+V_11!Y83</f>
        <v>0</v>
      </c>
      <c r="J83" s="204">
        <f>V_14!J83+V_11!Z83</f>
        <v>0</v>
      </c>
      <c r="K83" s="204">
        <f>V_14!K83+V_11!AA83</f>
        <v>0</v>
      </c>
      <c r="L83" s="204">
        <f>V_14!L83+V_11!AB83</f>
        <v>0</v>
      </c>
      <c r="M83" s="205">
        <f>V_14!M83+V_11!AC83</f>
        <v>0</v>
      </c>
      <c r="N83" s="85">
        <f t="shared" si="7"/>
        <v>26</v>
      </c>
      <c r="O83" s="43">
        <f t="shared" si="8"/>
        <v>67</v>
      </c>
      <c r="R83" s="44">
        <v>0</v>
      </c>
      <c r="S83" s="39">
        <v>0</v>
      </c>
      <c r="T83" s="39">
        <v>1</v>
      </c>
      <c r="U83" s="39">
        <v>0</v>
      </c>
      <c r="V83" s="194">
        <v>0</v>
      </c>
      <c r="W83" s="196">
        <f t="shared" si="6"/>
        <v>1</v>
      </c>
      <c r="X83" s="203">
        <v>0</v>
      </c>
      <c r="Y83" s="204">
        <v>0</v>
      </c>
      <c r="Z83" s="204">
        <v>0</v>
      </c>
      <c r="AA83" s="204">
        <v>0</v>
      </c>
      <c r="AB83" s="204">
        <v>0</v>
      </c>
      <c r="AC83" s="205">
        <v>0</v>
      </c>
    </row>
    <row r="84" spans="1:29" ht="22.5" customHeight="1" x14ac:dyDescent="0.3">
      <c r="A84" s="190" t="s">
        <v>165</v>
      </c>
      <c r="B84" s="44">
        <f>V_14!B84+V_11!R84</f>
        <v>9</v>
      </c>
      <c r="C84" s="39">
        <f>V_14!C84+V_11!S84</f>
        <v>0</v>
      </c>
      <c r="D84" s="39">
        <f>V_14!D84+V_11!T84</f>
        <v>3</v>
      </c>
      <c r="E84" s="39">
        <f>V_14!E84+V_11!U84</f>
        <v>8</v>
      </c>
      <c r="F84" s="194">
        <f>V_14!F84+V_11!V84</f>
        <v>11</v>
      </c>
      <c r="G84" s="196">
        <f t="shared" si="5"/>
        <v>31</v>
      </c>
      <c r="H84" s="203">
        <f>V_14!H84+V_11!X84</f>
        <v>0</v>
      </c>
      <c r="I84" s="204">
        <f>V_14!I84+V_11!Y84</f>
        <v>0</v>
      </c>
      <c r="J84" s="204">
        <f>V_14!J84+V_11!Z84</f>
        <v>0</v>
      </c>
      <c r="K84" s="204">
        <f>V_14!K84+V_11!AA84</f>
        <v>0</v>
      </c>
      <c r="L84" s="204">
        <f>V_14!L84+V_11!AB84</f>
        <v>0</v>
      </c>
      <c r="M84" s="205">
        <f>V_14!M84+V_11!AC84</f>
        <v>0</v>
      </c>
      <c r="N84" s="85">
        <f t="shared" si="7"/>
        <v>31</v>
      </c>
      <c r="O84" s="43">
        <f t="shared" si="8"/>
        <v>87</v>
      </c>
      <c r="R84" s="44">
        <v>0</v>
      </c>
      <c r="S84" s="39">
        <v>0</v>
      </c>
      <c r="T84" s="39">
        <v>0</v>
      </c>
      <c r="U84" s="39">
        <v>0</v>
      </c>
      <c r="V84" s="194">
        <v>0</v>
      </c>
      <c r="W84" s="196">
        <f t="shared" si="6"/>
        <v>0</v>
      </c>
      <c r="X84" s="203">
        <v>0</v>
      </c>
      <c r="Y84" s="204">
        <v>0</v>
      </c>
      <c r="Z84" s="204">
        <v>0</v>
      </c>
      <c r="AA84" s="204">
        <v>0</v>
      </c>
      <c r="AB84" s="204">
        <v>0</v>
      </c>
      <c r="AC84" s="205">
        <v>0</v>
      </c>
    </row>
    <row r="85" spans="1:29" ht="22.5" customHeight="1" x14ac:dyDescent="0.3">
      <c r="A85" s="190" t="s">
        <v>166</v>
      </c>
      <c r="B85" s="44">
        <f>V_14!B85+V_11!R85</f>
        <v>16</v>
      </c>
      <c r="C85" s="39">
        <f>V_14!C85+V_11!S85</f>
        <v>2</v>
      </c>
      <c r="D85" s="39">
        <f>V_14!D85+V_11!T85</f>
        <v>2</v>
      </c>
      <c r="E85" s="39">
        <f>V_14!E85+V_11!U85</f>
        <v>8</v>
      </c>
      <c r="F85" s="194">
        <f>V_14!F85+V_11!V85</f>
        <v>16</v>
      </c>
      <c r="G85" s="196">
        <f t="shared" si="5"/>
        <v>44</v>
      </c>
      <c r="H85" s="203">
        <f>V_14!H85+V_11!X85</f>
        <v>0</v>
      </c>
      <c r="I85" s="204">
        <f>V_14!I85+V_11!Y85</f>
        <v>0</v>
      </c>
      <c r="J85" s="204">
        <f>V_14!J85+V_11!Z85</f>
        <v>0</v>
      </c>
      <c r="K85" s="204">
        <f>V_14!K85+V_11!AA85</f>
        <v>0</v>
      </c>
      <c r="L85" s="204">
        <f>V_14!L85+V_11!AB85</f>
        <v>0</v>
      </c>
      <c r="M85" s="205">
        <f>V_14!M85+V_11!AC85</f>
        <v>0</v>
      </c>
      <c r="N85" s="85">
        <f t="shared" si="7"/>
        <v>44</v>
      </c>
      <c r="O85" s="43">
        <f t="shared" si="8"/>
        <v>116</v>
      </c>
      <c r="R85" s="44">
        <v>1</v>
      </c>
      <c r="S85" s="39">
        <v>1</v>
      </c>
      <c r="T85" s="39">
        <v>0</v>
      </c>
      <c r="U85" s="39">
        <v>0</v>
      </c>
      <c r="V85" s="194">
        <v>0</v>
      </c>
      <c r="W85" s="196">
        <f t="shared" si="6"/>
        <v>2</v>
      </c>
      <c r="X85" s="203">
        <v>0</v>
      </c>
      <c r="Y85" s="204">
        <v>0</v>
      </c>
      <c r="Z85" s="204">
        <v>0</v>
      </c>
      <c r="AA85" s="204">
        <v>0</v>
      </c>
      <c r="AB85" s="204">
        <v>0</v>
      </c>
      <c r="AC85" s="205">
        <v>0</v>
      </c>
    </row>
    <row r="86" spans="1:29" ht="22.5" customHeight="1" x14ac:dyDescent="0.3">
      <c r="A86" s="190" t="s">
        <v>167</v>
      </c>
      <c r="B86" s="44">
        <f>V_14!B86+V_11!R86</f>
        <v>16</v>
      </c>
      <c r="C86" s="39">
        <f>V_14!C86+V_11!S86</f>
        <v>4</v>
      </c>
      <c r="D86" s="39">
        <f>V_14!D86+V_11!T86</f>
        <v>4</v>
      </c>
      <c r="E86" s="39">
        <f>V_14!E86+V_11!U86</f>
        <v>7</v>
      </c>
      <c r="F86" s="194">
        <f>V_14!F86+V_11!V86</f>
        <v>16</v>
      </c>
      <c r="G86" s="196">
        <f t="shared" si="5"/>
        <v>47</v>
      </c>
      <c r="H86" s="203">
        <f>V_14!H86+V_11!X86</f>
        <v>0</v>
      </c>
      <c r="I86" s="204">
        <f>V_14!I86+V_11!Y86</f>
        <v>0</v>
      </c>
      <c r="J86" s="204">
        <f>V_14!J86+V_11!Z86</f>
        <v>0</v>
      </c>
      <c r="K86" s="204">
        <f>V_14!K86+V_11!AA86</f>
        <v>0</v>
      </c>
      <c r="L86" s="204">
        <f>V_14!L86+V_11!AB86</f>
        <v>0</v>
      </c>
      <c r="M86" s="205">
        <f>V_14!M86+V_11!AC86</f>
        <v>0</v>
      </c>
      <c r="N86" s="85">
        <f t="shared" si="7"/>
        <v>47</v>
      </c>
      <c r="O86" s="43">
        <f t="shared" si="8"/>
        <v>117</v>
      </c>
      <c r="R86" s="44">
        <v>0</v>
      </c>
      <c r="S86" s="39">
        <v>0</v>
      </c>
      <c r="T86" s="39">
        <v>0</v>
      </c>
      <c r="U86" s="39">
        <v>0</v>
      </c>
      <c r="V86" s="194">
        <v>0</v>
      </c>
      <c r="W86" s="196">
        <f t="shared" si="6"/>
        <v>0</v>
      </c>
      <c r="X86" s="203">
        <v>0</v>
      </c>
      <c r="Y86" s="204">
        <v>0</v>
      </c>
      <c r="Z86" s="204">
        <v>0</v>
      </c>
      <c r="AA86" s="204">
        <v>0</v>
      </c>
      <c r="AB86" s="204">
        <v>0</v>
      </c>
      <c r="AC86" s="205">
        <v>0</v>
      </c>
    </row>
    <row r="87" spans="1:29" ht="22.5" customHeight="1" x14ac:dyDescent="0.3">
      <c r="A87" s="190" t="s">
        <v>168</v>
      </c>
      <c r="B87" s="44">
        <f>V_14!B87+V_11!R87</f>
        <v>13</v>
      </c>
      <c r="C87" s="39">
        <f>V_14!C87+V_11!S87</f>
        <v>4</v>
      </c>
      <c r="D87" s="39">
        <f>V_14!D87+V_11!T87</f>
        <v>8</v>
      </c>
      <c r="E87" s="39">
        <f>V_14!E87+V_11!U87</f>
        <v>7</v>
      </c>
      <c r="F87" s="194">
        <f>V_14!F87+V_11!V87</f>
        <v>15</v>
      </c>
      <c r="G87" s="196">
        <f t="shared" si="5"/>
        <v>47</v>
      </c>
      <c r="H87" s="203">
        <f>V_14!H87+V_11!X87</f>
        <v>0</v>
      </c>
      <c r="I87" s="204">
        <f>V_14!I87+V_11!Y87</f>
        <v>0</v>
      </c>
      <c r="J87" s="204">
        <f>V_14!J87+V_11!Z87</f>
        <v>0</v>
      </c>
      <c r="K87" s="204">
        <f>V_14!K87+V_11!AA87</f>
        <v>0</v>
      </c>
      <c r="L87" s="204">
        <f>V_14!L87+V_11!AB87</f>
        <v>0</v>
      </c>
      <c r="M87" s="205">
        <f>V_14!M87+V_11!AC87</f>
        <v>0</v>
      </c>
      <c r="N87" s="85">
        <f t="shared" si="7"/>
        <v>47</v>
      </c>
      <c r="O87" s="43">
        <f t="shared" si="8"/>
        <v>115.5</v>
      </c>
      <c r="R87" s="44">
        <v>1</v>
      </c>
      <c r="S87" s="39">
        <v>0</v>
      </c>
      <c r="T87" s="39">
        <v>0</v>
      </c>
      <c r="U87" s="39">
        <v>0</v>
      </c>
      <c r="V87" s="194">
        <v>0</v>
      </c>
      <c r="W87" s="196">
        <f t="shared" si="6"/>
        <v>1</v>
      </c>
      <c r="X87" s="203">
        <v>0</v>
      </c>
      <c r="Y87" s="204">
        <v>0</v>
      </c>
      <c r="Z87" s="204">
        <v>0</v>
      </c>
      <c r="AA87" s="204">
        <v>0</v>
      </c>
      <c r="AB87" s="204">
        <v>0</v>
      </c>
      <c r="AC87" s="205">
        <v>0</v>
      </c>
    </row>
    <row r="88" spans="1:29" ht="22.5" customHeight="1" x14ac:dyDescent="0.3">
      <c r="A88" s="190" t="s">
        <v>169</v>
      </c>
      <c r="B88" s="44">
        <f>V_14!B88+V_11!R88</f>
        <v>18</v>
      </c>
      <c r="C88" s="39">
        <f>V_14!C88+V_11!S88</f>
        <v>3</v>
      </c>
      <c r="D88" s="39">
        <f>V_14!D88+V_11!T88</f>
        <v>9</v>
      </c>
      <c r="E88" s="39">
        <f>V_14!E88+V_11!U88</f>
        <v>8</v>
      </c>
      <c r="F88" s="194">
        <f>V_14!F88+V_11!V88</f>
        <v>23</v>
      </c>
      <c r="G88" s="196">
        <f t="shared" si="5"/>
        <v>61</v>
      </c>
      <c r="H88" s="203">
        <f>V_14!H88+V_11!X88</f>
        <v>0</v>
      </c>
      <c r="I88" s="204">
        <f>V_14!I88+V_11!Y88</f>
        <v>0</v>
      </c>
      <c r="J88" s="204">
        <f>V_14!J88+V_11!Z88</f>
        <v>0</v>
      </c>
      <c r="K88" s="204">
        <f>V_14!K88+V_11!AA88</f>
        <v>0</v>
      </c>
      <c r="L88" s="204">
        <f>V_14!L88+V_11!AB88</f>
        <v>0</v>
      </c>
      <c r="M88" s="205">
        <f>V_14!M88+V_11!AC88</f>
        <v>0</v>
      </c>
      <c r="N88" s="85">
        <f t="shared" si="7"/>
        <v>61</v>
      </c>
      <c r="O88" s="43">
        <f t="shared" si="8"/>
        <v>160.5</v>
      </c>
      <c r="R88" s="44">
        <v>0</v>
      </c>
      <c r="S88" s="39">
        <v>0</v>
      </c>
      <c r="T88" s="39">
        <v>0</v>
      </c>
      <c r="U88" s="39">
        <v>0</v>
      </c>
      <c r="V88" s="194">
        <v>0</v>
      </c>
      <c r="W88" s="196">
        <f t="shared" si="6"/>
        <v>0</v>
      </c>
      <c r="X88" s="203">
        <v>0</v>
      </c>
      <c r="Y88" s="204">
        <v>0</v>
      </c>
      <c r="Z88" s="204">
        <v>0</v>
      </c>
      <c r="AA88" s="204">
        <v>0</v>
      </c>
      <c r="AB88" s="204">
        <v>0</v>
      </c>
      <c r="AC88" s="205">
        <v>0</v>
      </c>
    </row>
    <row r="89" spans="1:29" ht="22.5" customHeight="1" x14ac:dyDescent="0.3">
      <c r="A89" s="190" t="s">
        <v>170</v>
      </c>
      <c r="B89" s="44">
        <f>V_14!B89+V_11!R89</f>
        <v>21</v>
      </c>
      <c r="C89" s="39">
        <f>V_14!C89+V_11!S89</f>
        <v>6</v>
      </c>
      <c r="D89" s="39">
        <f>V_14!D89+V_11!T89</f>
        <v>8</v>
      </c>
      <c r="E89" s="39">
        <f>V_14!E89+V_11!U89</f>
        <v>5</v>
      </c>
      <c r="F89" s="194">
        <f>V_14!F89+V_11!V89</f>
        <v>11</v>
      </c>
      <c r="G89" s="196">
        <f t="shared" si="5"/>
        <v>51</v>
      </c>
      <c r="H89" s="203">
        <f>V_14!H89+V_11!X89</f>
        <v>1</v>
      </c>
      <c r="I89" s="204">
        <f>V_14!I89+V_11!Y89</f>
        <v>0</v>
      </c>
      <c r="J89" s="204">
        <f>V_14!J89+V_11!Z89</f>
        <v>0</v>
      </c>
      <c r="K89" s="204">
        <f>V_14!K89+V_11!AA89</f>
        <v>0</v>
      </c>
      <c r="L89" s="204">
        <f>V_14!L89+V_11!AB89</f>
        <v>0</v>
      </c>
      <c r="M89" s="205">
        <f>V_14!M89+V_11!AC89</f>
        <v>0</v>
      </c>
      <c r="N89" s="85">
        <f t="shared" si="7"/>
        <v>51</v>
      </c>
      <c r="O89" s="43">
        <f t="shared" si="8"/>
        <v>101</v>
      </c>
      <c r="R89" s="44">
        <v>0</v>
      </c>
      <c r="S89" s="39">
        <v>1</v>
      </c>
      <c r="T89" s="39">
        <v>0</v>
      </c>
      <c r="U89" s="39">
        <v>0</v>
      </c>
      <c r="V89" s="194">
        <v>0</v>
      </c>
      <c r="W89" s="196">
        <f t="shared" si="6"/>
        <v>1</v>
      </c>
      <c r="X89" s="203">
        <v>1</v>
      </c>
      <c r="Y89" s="204">
        <v>0</v>
      </c>
      <c r="Z89" s="204">
        <v>0</v>
      </c>
      <c r="AA89" s="204">
        <v>0</v>
      </c>
      <c r="AB89" s="204">
        <v>0</v>
      </c>
      <c r="AC89" s="205">
        <v>0</v>
      </c>
    </row>
    <row r="90" spans="1:29" ht="22.5" customHeight="1" x14ac:dyDescent="0.3">
      <c r="A90" s="190" t="s">
        <v>171</v>
      </c>
      <c r="B90" s="44">
        <f>V_14!B90+V_11!R90</f>
        <v>21</v>
      </c>
      <c r="C90" s="39">
        <f>V_14!C90+V_11!S90</f>
        <v>7</v>
      </c>
      <c r="D90" s="39">
        <f>V_14!D90+V_11!T90</f>
        <v>2</v>
      </c>
      <c r="E90" s="39">
        <f>V_14!E90+V_11!U90</f>
        <v>3</v>
      </c>
      <c r="F90" s="194">
        <f>V_14!F90+V_11!V90</f>
        <v>15</v>
      </c>
      <c r="G90" s="196">
        <f t="shared" si="5"/>
        <v>48</v>
      </c>
      <c r="H90" s="203">
        <f>V_14!H90+V_11!X90</f>
        <v>0</v>
      </c>
      <c r="I90" s="204">
        <f>V_14!I90+V_11!Y90</f>
        <v>0</v>
      </c>
      <c r="J90" s="204">
        <f>V_14!J90+V_11!Z90</f>
        <v>0</v>
      </c>
      <c r="K90" s="204">
        <f>V_14!K90+V_11!AA90</f>
        <v>0</v>
      </c>
      <c r="L90" s="204">
        <f>V_14!L90+V_11!AB90</f>
        <v>0</v>
      </c>
      <c r="M90" s="205">
        <f>V_14!M90+V_11!AC90</f>
        <v>0</v>
      </c>
      <c r="N90" s="85">
        <f t="shared" si="7"/>
        <v>48</v>
      </c>
      <c r="O90" s="43">
        <f t="shared" si="8"/>
        <v>104</v>
      </c>
      <c r="R90" s="44">
        <v>0</v>
      </c>
      <c r="S90" s="39">
        <v>2</v>
      </c>
      <c r="T90" s="39">
        <v>0</v>
      </c>
      <c r="U90" s="39">
        <v>0</v>
      </c>
      <c r="V90" s="194">
        <v>0</v>
      </c>
      <c r="W90" s="196">
        <f t="shared" si="6"/>
        <v>2</v>
      </c>
      <c r="X90" s="203">
        <v>0</v>
      </c>
      <c r="Y90" s="204">
        <v>0</v>
      </c>
      <c r="Z90" s="204">
        <v>0</v>
      </c>
      <c r="AA90" s="204">
        <v>0</v>
      </c>
      <c r="AB90" s="204">
        <v>0</v>
      </c>
      <c r="AC90" s="205">
        <v>0</v>
      </c>
    </row>
    <row r="91" spans="1:29" ht="22.5" customHeight="1" x14ac:dyDescent="0.3">
      <c r="A91" s="190" t="s">
        <v>172</v>
      </c>
      <c r="B91" s="44">
        <f>V_14!B91+V_11!R91</f>
        <v>21</v>
      </c>
      <c r="C91" s="39">
        <f>V_14!C91+V_11!S91</f>
        <v>11</v>
      </c>
      <c r="D91" s="39">
        <f>V_14!D91+V_11!T91</f>
        <v>1</v>
      </c>
      <c r="E91" s="39">
        <f>V_14!E91+V_11!U91</f>
        <v>2</v>
      </c>
      <c r="F91" s="194">
        <f>V_14!F91+V_11!V91</f>
        <v>16</v>
      </c>
      <c r="G91" s="196">
        <f t="shared" si="5"/>
        <v>51</v>
      </c>
      <c r="H91" s="203">
        <f>V_14!H91+V_11!X91</f>
        <v>0</v>
      </c>
      <c r="I91" s="204">
        <f>V_14!I91+V_11!Y91</f>
        <v>0</v>
      </c>
      <c r="J91" s="204">
        <f>V_14!J91+V_11!Z91</f>
        <v>0</v>
      </c>
      <c r="K91" s="204">
        <f>V_14!K91+V_11!AA91</f>
        <v>0</v>
      </c>
      <c r="L91" s="204">
        <f>V_14!L91+V_11!AB91</f>
        <v>0</v>
      </c>
      <c r="M91" s="205">
        <f>V_14!M91+V_11!AC91</f>
        <v>0</v>
      </c>
      <c r="N91" s="85">
        <f t="shared" si="7"/>
        <v>51</v>
      </c>
      <c r="O91" s="43">
        <f t="shared" si="8"/>
        <v>106</v>
      </c>
      <c r="R91" s="44">
        <v>0</v>
      </c>
      <c r="S91" s="39">
        <v>0</v>
      </c>
      <c r="T91" s="39">
        <v>0</v>
      </c>
      <c r="U91" s="39">
        <v>0</v>
      </c>
      <c r="V91" s="194">
        <v>0</v>
      </c>
      <c r="W91" s="196">
        <f t="shared" si="6"/>
        <v>0</v>
      </c>
      <c r="X91" s="203">
        <v>0</v>
      </c>
      <c r="Y91" s="204">
        <v>0</v>
      </c>
      <c r="Z91" s="204">
        <v>0</v>
      </c>
      <c r="AA91" s="204">
        <v>0</v>
      </c>
      <c r="AB91" s="204">
        <v>0</v>
      </c>
      <c r="AC91" s="205">
        <v>0</v>
      </c>
    </row>
    <row r="92" spans="1:29" ht="22.5" customHeight="1" x14ac:dyDescent="0.3">
      <c r="A92" s="190" t="s">
        <v>173</v>
      </c>
      <c r="B92" s="44">
        <f>V_14!B92+V_11!R92</f>
        <v>19</v>
      </c>
      <c r="C92" s="39">
        <f>V_14!C92+V_11!S92</f>
        <v>9</v>
      </c>
      <c r="D92" s="39">
        <f>V_14!D92+V_11!T92</f>
        <v>2</v>
      </c>
      <c r="E92" s="39">
        <f>V_14!E92+V_11!U92</f>
        <v>4</v>
      </c>
      <c r="F92" s="194">
        <f>V_14!F92+V_11!V92</f>
        <v>16</v>
      </c>
      <c r="G92" s="196">
        <f t="shared" si="5"/>
        <v>50</v>
      </c>
      <c r="H92" s="203">
        <f>V_14!H92+V_11!X92</f>
        <v>0</v>
      </c>
      <c r="I92" s="204">
        <f>V_14!I92+V_11!Y92</f>
        <v>0</v>
      </c>
      <c r="J92" s="204">
        <f>V_14!J92+V_11!Z92</f>
        <v>0</v>
      </c>
      <c r="K92" s="204">
        <f>V_14!K92+V_11!AA92</f>
        <v>0</v>
      </c>
      <c r="L92" s="204">
        <f>V_14!L92+V_11!AB92</f>
        <v>0</v>
      </c>
      <c r="M92" s="205">
        <f>V_14!M92+V_11!AC92</f>
        <v>0</v>
      </c>
      <c r="N92" s="85">
        <f t="shared" si="7"/>
        <v>50</v>
      </c>
      <c r="O92" s="43">
        <f t="shared" si="8"/>
        <v>110.5</v>
      </c>
      <c r="R92" s="44">
        <v>0</v>
      </c>
      <c r="S92" s="39">
        <v>1</v>
      </c>
      <c r="T92" s="39">
        <v>0</v>
      </c>
      <c r="U92" s="39">
        <v>0</v>
      </c>
      <c r="V92" s="194">
        <v>0</v>
      </c>
      <c r="W92" s="196">
        <f t="shared" si="6"/>
        <v>1</v>
      </c>
      <c r="X92" s="203">
        <v>0</v>
      </c>
      <c r="Y92" s="204">
        <v>0</v>
      </c>
      <c r="Z92" s="204">
        <v>0</v>
      </c>
      <c r="AA92" s="204">
        <v>0</v>
      </c>
      <c r="AB92" s="204">
        <v>0</v>
      </c>
      <c r="AC92" s="205">
        <v>0</v>
      </c>
    </row>
    <row r="93" spans="1:29" ht="22.5" customHeight="1" x14ac:dyDescent="0.3">
      <c r="A93" s="190" t="s">
        <v>174</v>
      </c>
      <c r="B93" s="44">
        <f>V_14!B93+V_11!R93</f>
        <v>21</v>
      </c>
      <c r="C93" s="39">
        <f>V_14!C93+V_11!S93</f>
        <v>11</v>
      </c>
      <c r="D93" s="39">
        <f>V_14!D93+V_11!T93</f>
        <v>4</v>
      </c>
      <c r="E93" s="39">
        <f>V_14!E93+V_11!U93</f>
        <v>3</v>
      </c>
      <c r="F93" s="194">
        <f>V_14!F93+V_11!V93</f>
        <v>15</v>
      </c>
      <c r="G93" s="196">
        <f t="shared" si="5"/>
        <v>54</v>
      </c>
      <c r="H93" s="203">
        <f>V_14!H93+V_11!X93</f>
        <v>1</v>
      </c>
      <c r="I93" s="204">
        <f>V_14!I93+V_11!Y93</f>
        <v>0</v>
      </c>
      <c r="J93" s="204">
        <f>V_14!J93+V_11!Z93</f>
        <v>0</v>
      </c>
      <c r="K93" s="204">
        <f>V_14!K93+V_11!AA93</f>
        <v>0</v>
      </c>
      <c r="L93" s="204">
        <f>V_14!L93+V_11!AB93</f>
        <v>0</v>
      </c>
      <c r="M93" s="205">
        <f>V_14!M93+V_11!AC93</f>
        <v>0</v>
      </c>
      <c r="N93" s="85">
        <f t="shared" si="7"/>
        <v>54</v>
      </c>
      <c r="O93" s="43">
        <f t="shared" si="8"/>
        <v>109.5</v>
      </c>
      <c r="R93" s="44">
        <v>1</v>
      </c>
      <c r="S93" s="39">
        <v>2</v>
      </c>
      <c r="T93" s="39">
        <v>0</v>
      </c>
      <c r="U93" s="39">
        <v>0</v>
      </c>
      <c r="V93" s="194">
        <v>0</v>
      </c>
      <c r="W93" s="196">
        <f t="shared" si="6"/>
        <v>3</v>
      </c>
      <c r="X93" s="203">
        <v>1</v>
      </c>
      <c r="Y93" s="204">
        <v>0</v>
      </c>
      <c r="Z93" s="204">
        <v>0</v>
      </c>
      <c r="AA93" s="204">
        <v>0</v>
      </c>
      <c r="AB93" s="204">
        <v>0</v>
      </c>
      <c r="AC93" s="205">
        <v>0</v>
      </c>
    </row>
    <row r="94" spans="1:29" ht="22.5" customHeight="1" x14ac:dyDescent="0.3">
      <c r="A94" s="190" t="s">
        <v>175</v>
      </c>
      <c r="B94" s="44">
        <f>V_14!B94+V_11!R94</f>
        <v>41</v>
      </c>
      <c r="C94" s="39">
        <f>V_14!C94+V_11!S94</f>
        <v>14</v>
      </c>
      <c r="D94" s="39">
        <f>V_14!D94+V_11!T94</f>
        <v>6</v>
      </c>
      <c r="E94" s="39">
        <f>V_14!E94+V_11!U94</f>
        <v>15</v>
      </c>
      <c r="F94" s="194">
        <f>V_14!F94+V_11!V94</f>
        <v>24</v>
      </c>
      <c r="G94" s="196">
        <f t="shared" si="5"/>
        <v>100</v>
      </c>
      <c r="H94" s="203">
        <f>V_14!H94+V_11!X94</f>
        <v>2</v>
      </c>
      <c r="I94" s="204">
        <f>V_14!I94+V_11!Y94</f>
        <v>0</v>
      </c>
      <c r="J94" s="204">
        <f>V_14!J94+V_11!Z94</f>
        <v>0</v>
      </c>
      <c r="K94" s="204">
        <f>V_14!K94+V_11!AA94</f>
        <v>0</v>
      </c>
      <c r="L94" s="204">
        <f>V_14!L94+V_11!AB94</f>
        <v>0</v>
      </c>
      <c r="M94" s="205">
        <f>V_14!M94+V_11!AC94</f>
        <v>0</v>
      </c>
      <c r="N94" s="85">
        <f t="shared" si="7"/>
        <v>100</v>
      </c>
      <c r="O94" s="43">
        <f t="shared" si="8"/>
        <v>211</v>
      </c>
      <c r="R94" s="44">
        <v>2</v>
      </c>
      <c r="S94" s="39">
        <v>3</v>
      </c>
      <c r="T94" s="39">
        <v>0</v>
      </c>
      <c r="U94" s="39">
        <v>0</v>
      </c>
      <c r="V94" s="194">
        <v>0</v>
      </c>
      <c r="W94" s="196">
        <f t="shared" si="6"/>
        <v>5</v>
      </c>
      <c r="X94" s="203">
        <v>2</v>
      </c>
      <c r="Y94" s="204">
        <v>0</v>
      </c>
      <c r="Z94" s="204">
        <v>0</v>
      </c>
      <c r="AA94" s="204">
        <v>0</v>
      </c>
      <c r="AB94" s="204">
        <v>0</v>
      </c>
      <c r="AC94" s="205">
        <v>0</v>
      </c>
    </row>
    <row r="95" spans="1:29" ht="22.5" customHeight="1" x14ac:dyDescent="0.3">
      <c r="A95" s="190" t="s">
        <v>176</v>
      </c>
      <c r="B95" s="44">
        <f>V_14!B95+V_11!R95</f>
        <v>42</v>
      </c>
      <c r="C95" s="39">
        <f>V_14!C95+V_11!S95</f>
        <v>14</v>
      </c>
      <c r="D95" s="39">
        <f>V_14!D95+V_11!T95</f>
        <v>7</v>
      </c>
      <c r="E95" s="39">
        <f>V_14!E95+V_11!U95</f>
        <v>11</v>
      </c>
      <c r="F95" s="194">
        <f>V_14!F95+V_11!V95</f>
        <v>25</v>
      </c>
      <c r="G95" s="196">
        <f t="shared" si="5"/>
        <v>99</v>
      </c>
      <c r="H95" s="203">
        <f>V_14!H95+V_11!X95</f>
        <v>0</v>
      </c>
      <c r="I95" s="204">
        <f>V_14!I95+V_11!Y95</f>
        <v>0</v>
      </c>
      <c r="J95" s="204">
        <f>V_14!J95+V_11!Z95</f>
        <v>0</v>
      </c>
      <c r="K95" s="204">
        <f>V_14!K95+V_11!AA95</f>
        <v>0</v>
      </c>
      <c r="L95" s="204">
        <f>V_14!L95+V_11!AB95</f>
        <v>1</v>
      </c>
      <c r="M95" s="205">
        <f>V_14!M95+V_11!AC95</f>
        <v>0</v>
      </c>
      <c r="N95" s="85">
        <f t="shared" si="7"/>
        <v>99</v>
      </c>
      <c r="O95" s="43">
        <f t="shared" si="8"/>
        <v>213</v>
      </c>
      <c r="R95" s="44">
        <v>0</v>
      </c>
      <c r="S95" s="39">
        <v>2</v>
      </c>
      <c r="T95" s="39">
        <v>0</v>
      </c>
      <c r="U95" s="39">
        <v>0</v>
      </c>
      <c r="V95" s="194">
        <v>0</v>
      </c>
      <c r="W95" s="196">
        <f t="shared" si="6"/>
        <v>2</v>
      </c>
      <c r="X95" s="203">
        <v>0</v>
      </c>
      <c r="Y95" s="204">
        <v>0</v>
      </c>
      <c r="Z95" s="204">
        <v>0</v>
      </c>
      <c r="AA95" s="204">
        <v>0</v>
      </c>
      <c r="AB95" s="204">
        <v>0</v>
      </c>
      <c r="AC95" s="205">
        <v>0</v>
      </c>
    </row>
    <row r="96" spans="1:29" ht="22.5" customHeight="1" x14ac:dyDescent="0.3">
      <c r="A96" s="190" t="s">
        <v>135</v>
      </c>
      <c r="B96" s="44">
        <f>V_14!B96+V_11!R96</f>
        <v>28</v>
      </c>
      <c r="C96" s="39">
        <f>V_14!C96+V_11!S96</f>
        <v>25</v>
      </c>
      <c r="D96" s="39">
        <f>V_14!D96+V_11!T96</f>
        <v>15</v>
      </c>
      <c r="E96" s="39">
        <f>V_14!E96+V_11!U96</f>
        <v>10</v>
      </c>
      <c r="F96" s="194">
        <f>V_14!F96+V_11!V96</f>
        <v>23</v>
      </c>
      <c r="G96" s="196">
        <f t="shared" si="5"/>
        <v>101</v>
      </c>
      <c r="H96" s="203">
        <f>V_14!H96+V_11!X96</f>
        <v>1</v>
      </c>
      <c r="I96" s="204">
        <f>V_14!I96+V_11!Y96</f>
        <v>0</v>
      </c>
      <c r="J96" s="204">
        <f>V_14!J96+V_11!Z96</f>
        <v>0</v>
      </c>
      <c r="K96" s="204">
        <f>V_14!K96+V_11!AA96</f>
        <v>0</v>
      </c>
      <c r="L96" s="204">
        <f>V_14!L96+V_11!AB96</f>
        <v>0</v>
      </c>
      <c r="M96" s="205">
        <f>V_14!M96+V_11!AC96</f>
        <v>0</v>
      </c>
      <c r="N96" s="85">
        <f t="shared" si="7"/>
        <v>101</v>
      </c>
      <c r="O96" s="43">
        <f t="shared" si="8"/>
        <v>197</v>
      </c>
      <c r="R96" s="44">
        <v>1</v>
      </c>
      <c r="S96" s="39">
        <v>6</v>
      </c>
      <c r="T96" s="39">
        <v>0</v>
      </c>
      <c r="U96" s="39">
        <v>0</v>
      </c>
      <c r="V96" s="194">
        <v>0</v>
      </c>
      <c r="W96" s="196">
        <f t="shared" si="6"/>
        <v>7</v>
      </c>
      <c r="X96" s="203">
        <v>1</v>
      </c>
      <c r="Y96" s="204">
        <v>0</v>
      </c>
      <c r="Z96" s="204">
        <v>0</v>
      </c>
      <c r="AA96" s="204">
        <v>0</v>
      </c>
      <c r="AB96" s="204">
        <v>0</v>
      </c>
      <c r="AC96" s="205">
        <v>0</v>
      </c>
    </row>
    <row r="97" spans="1:29" ht="22.5" customHeight="1" x14ac:dyDescent="0.3">
      <c r="A97" s="190" t="s">
        <v>136</v>
      </c>
      <c r="B97" s="44">
        <f>V_14!B97+V_11!R97</f>
        <v>35</v>
      </c>
      <c r="C97" s="39">
        <f>V_14!C97+V_11!S97</f>
        <v>22</v>
      </c>
      <c r="D97" s="39">
        <f>V_14!D97+V_11!T97</f>
        <v>12</v>
      </c>
      <c r="E97" s="39">
        <f>V_14!E97+V_11!U97</f>
        <v>8</v>
      </c>
      <c r="F97" s="194">
        <f>V_14!F97+V_11!V97</f>
        <v>21</v>
      </c>
      <c r="G97" s="196">
        <f t="shared" si="5"/>
        <v>98</v>
      </c>
      <c r="H97" s="203">
        <f>V_14!H97+V_11!X97</f>
        <v>2</v>
      </c>
      <c r="I97" s="204">
        <f>V_14!I97+V_11!Y97</f>
        <v>0</v>
      </c>
      <c r="J97" s="204">
        <f>V_14!J97+V_11!Z97</f>
        <v>0</v>
      </c>
      <c r="K97" s="204">
        <f>V_14!K97+V_11!AA97</f>
        <v>0</v>
      </c>
      <c r="L97" s="204">
        <f>V_14!L97+V_11!AB97</f>
        <v>0</v>
      </c>
      <c r="M97" s="205">
        <f>V_14!M97+V_11!AC97</f>
        <v>0</v>
      </c>
      <c r="N97" s="85">
        <f t="shared" si="7"/>
        <v>98</v>
      </c>
      <c r="O97" s="43">
        <f t="shared" si="8"/>
        <v>183.5</v>
      </c>
      <c r="R97" s="44">
        <v>2</v>
      </c>
      <c r="S97" s="39">
        <v>4</v>
      </c>
      <c r="T97" s="39">
        <v>0</v>
      </c>
      <c r="U97" s="39">
        <v>0</v>
      </c>
      <c r="V97" s="194">
        <v>0</v>
      </c>
      <c r="W97" s="196">
        <f t="shared" si="6"/>
        <v>6</v>
      </c>
      <c r="X97" s="203">
        <v>2</v>
      </c>
      <c r="Y97" s="204">
        <v>0</v>
      </c>
      <c r="Z97" s="204">
        <v>0</v>
      </c>
      <c r="AA97" s="204">
        <v>0</v>
      </c>
      <c r="AB97" s="204">
        <v>0</v>
      </c>
      <c r="AC97" s="205">
        <v>0</v>
      </c>
    </row>
    <row r="98" spans="1:29" ht="22.5" customHeight="1" x14ac:dyDescent="0.3">
      <c r="A98" s="190" t="s">
        <v>137</v>
      </c>
      <c r="B98" s="44">
        <f>V_14!B98+V_11!R98</f>
        <v>33</v>
      </c>
      <c r="C98" s="39">
        <f>V_14!C98+V_11!S98</f>
        <v>26</v>
      </c>
      <c r="D98" s="39">
        <f>V_14!D98+V_11!T98</f>
        <v>11</v>
      </c>
      <c r="E98" s="39">
        <f>V_14!E98+V_11!U98</f>
        <v>5</v>
      </c>
      <c r="F98" s="194">
        <f>V_14!F98+V_11!V98</f>
        <v>35</v>
      </c>
      <c r="G98" s="196">
        <f t="shared" si="5"/>
        <v>110</v>
      </c>
      <c r="H98" s="203">
        <f>V_14!H98+V_11!X98</f>
        <v>3</v>
      </c>
      <c r="I98" s="204">
        <f>V_14!I98+V_11!Y98</f>
        <v>0</v>
      </c>
      <c r="J98" s="204">
        <f>V_14!J98+V_11!Z98</f>
        <v>0</v>
      </c>
      <c r="K98" s="204">
        <f>V_14!K98+V_11!AA98</f>
        <v>0</v>
      </c>
      <c r="L98" s="204">
        <f>V_14!L98+V_11!AB98</f>
        <v>1</v>
      </c>
      <c r="M98" s="205">
        <f>V_14!M98+V_11!AC98</f>
        <v>0</v>
      </c>
      <c r="N98" s="85">
        <f t="shared" si="7"/>
        <v>110</v>
      </c>
      <c r="O98" s="43">
        <f t="shared" si="8"/>
        <v>244.5</v>
      </c>
      <c r="R98" s="44">
        <v>0</v>
      </c>
      <c r="S98" s="39">
        <v>5</v>
      </c>
      <c r="T98" s="39">
        <v>0</v>
      </c>
      <c r="U98" s="39">
        <v>0</v>
      </c>
      <c r="V98" s="194">
        <v>0</v>
      </c>
      <c r="W98" s="196">
        <f t="shared" si="6"/>
        <v>5</v>
      </c>
      <c r="X98" s="203">
        <v>3</v>
      </c>
      <c r="Y98" s="204">
        <v>0</v>
      </c>
      <c r="Z98" s="204">
        <v>0</v>
      </c>
      <c r="AA98" s="204">
        <v>0</v>
      </c>
      <c r="AB98" s="204">
        <v>0</v>
      </c>
      <c r="AC98" s="205">
        <v>0</v>
      </c>
    </row>
    <row r="99" spans="1:29" ht="22.5" customHeight="1" x14ac:dyDescent="0.3">
      <c r="A99" s="190" t="s">
        <v>138</v>
      </c>
      <c r="B99" s="44">
        <f>V_14!B99+V_11!R99</f>
        <v>44</v>
      </c>
      <c r="C99" s="39">
        <f>V_14!C99+V_11!S99</f>
        <v>41</v>
      </c>
      <c r="D99" s="39">
        <f>V_14!D99+V_11!T99</f>
        <v>12</v>
      </c>
      <c r="E99" s="39">
        <f>V_14!E99+V_11!U99</f>
        <v>14</v>
      </c>
      <c r="F99" s="194">
        <f>V_14!F99+V_11!V99</f>
        <v>28</v>
      </c>
      <c r="G99" s="196">
        <f t="shared" si="5"/>
        <v>139</v>
      </c>
      <c r="H99" s="203">
        <f>V_14!H99+V_11!X99</f>
        <v>1</v>
      </c>
      <c r="I99" s="204">
        <f>V_14!I99+V_11!Y99</f>
        <v>0</v>
      </c>
      <c r="J99" s="204">
        <f>V_14!J99+V_11!Z99</f>
        <v>0</v>
      </c>
      <c r="K99" s="204">
        <f>V_14!K99+V_11!AA99</f>
        <v>0</v>
      </c>
      <c r="L99" s="204">
        <f>V_14!L99+V_11!AB99</f>
        <v>1</v>
      </c>
      <c r="M99" s="205">
        <f>V_14!M99+V_11!AC99</f>
        <v>0</v>
      </c>
      <c r="N99" s="85">
        <f t="shared" si="7"/>
        <v>139</v>
      </c>
      <c r="O99" s="43">
        <f t="shared" si="8"/>
        <v>259</v>
      </c>
      <c r="R99" s="44">
        <v>1</v>
      </c>
      <c r="S99" s="39">
        <v>10</v>
      </c>
      <c r="T99" s="39">
        <v>0</v>
      </c>
      <c r="U99" s="39">
        <v>0</v>
      </c>
      <c r="V99" s="194">
        <v>0</v>
      </c>
      <c r="W99" s="196">
        <f t="shared" si="6"/>
        <v>11</v>
      </c>
      <c r="X99" s="203">
        <v>1</v>
      </c>
      <c r="Y99" s="204">
        <v>0</v>
      </c>
      <c r="Z99" s="204">
        <v>0</v>
      </c>
      <c r="AA99" s="204">
        <v>0</v>
      </c>
      <c r="AB99" s="204">
        <v>1</v>
      </c>
      <c r="AC99" s="205">
        <v>0</v>
      </c>
    </row>
    <row r="100" spans="1:29" ht="22.5" customHeight="1" x14ac:dyDescent="0.3">
      <c r="A100" s="190" t="s">
        <v>139</v>
      </c>
      <c r="B100" s="44">
        <f>V_14!B100+V_11!R100</f>
        <v>44</v>
      </c>
      <c r="C100" s="39">
        <f>V_14!C100+V_11!S100</f>
        <v>64</v>
      </c>
      <c r="D100" s="39">
        <f>V_14!D100+V_11!T100</f>
        <v>13</v>
      </c>
      <c r="E100" s="39">
        <f>V_14!E100+V_11!U100</f>
        <v>14</v>
      </c>
      <c r="F100" s="194">
        <f>V_14!F100+V_11!V100</f>
        <v>20</v>
      </c>
      <c r="G100" s="196">
        <f t="shared" si="5"/>
        <v>155</v>
      </c>
      <c r="H100" s="203">
        <f>V_14!H100+V_11!X100</f>
        <v>2</v>
      </c>
      <c r="I100" s="204">
        <f>V_14!I100+V_11!Y100</f>
        <v>0</v>
      </c>
      <c r="J100" s="204">
        <f>V_14!J100+V_11!Z100</f>
        <v>0</v>
      </c>
      <c r="K100" s="204">
        <f>V_14!K100+V_11!AA100</f>
        <v>0</v>
      </c>
      <c r="L100" s="204">
        <f>V_14!L100+V_11!AB100</f>
        <v>0</v>
      </c>
      <c r="M100" s="205">
        <f>V_14!M100+V_11!AC100</f>
        <v>0</v>
      </c>
      <c r="N100" s="85">
        <f t="shared" si="7"/>
        <v>155</v>
      </c>
      <c r="O100" s="43">
        <f t="shared" si="8"/>
        <v>228.5</v>
      </c>
      <c r="R100" s="44">
        <v>2</v>
      </c>
      <c r="S100" s="39">
        <v>12</v>
      </c>
      <c r="T100" s="39">
        <v>1</v>
      </c>
      <c r="U100" s="39">
        <v>0</v>
      </c>
      <c r="V100" s="194">
        <v>0</v>
      </c>
      <c r="W100" s="196">
        <f t="shared" si="6"/>
        <v>15</v>
      </c>
      <c r="X100" s="203">
        <v>2</v>
      </c>
      <c r="Y100" s="204">
        <v>0</v>
      </c>
      <c r="Z100" s="204">
        <v>0</v>
      </c>
      <c r="AA100" s="204">
        <v>0</v>
      </c>
      <c r="AB100" s="204">
        <v>0</v>
      </c>
      <c r="AC100" s="205">
        <v>0</v>
      </c>
    </row>
    <row r="101" spans="1:29" ht="22.5" customHeight="1" x14ac:dyDescent="0.3">
      <c r="A101" s="190" t="s">
        <v>140</v>
      </c>
      <c r="B101" s="44">
        <f>V_14!B101+V_11!R101</f>
        <v>54</v>
      </c>
      <c r="C101" s="39">
        <f>V_14!C101+V_11!S101</f>
        <v>57</v>
      </c>
      <c r="D101" s="39">
        <f>V_14!D101+V_11!T101</f>
        <v>10</v>
      </c>
      <c r="E101" s="39">
        <f>V_14!E101+V_11!U101</f>
        <v>11</v>
      </c>
      <c r="F101" s="194">
        <f>V_14!F101+V_11!V101</f>
        <v>21</v>
      </c>
      <c r="G101" s="196">
        <f t="shared" si="5"/>
        <v>153</v>
      </c>
      <c r="H101" s="203">
        <f>V_14!H101+V_11!X101</f>
        <v>4</v>
      </c>
      <c r="I101" s="204">
        <f>V_14!I101+V_11!Y101</f>
        <v>0</v>
      </c>
      <c r="J101" s="204">
        <f>V_14!J101+V_11!Z101</f>
        <v>0</v>
      </c>
      <c r="K101" s="204">
        <f>V_14!K101+V_11!AA101</f>
        <v>0</v>
      </c>
      <c r="L101" s="204">
        <f>V_14!L101+V_11!AB101</f>
        <v>1</v>
      </c>
      <c r="M101" s="205">
        <f>V_14!M101+V_11!AC101</f>
        <v>0</v>
      </c>
      <c r="N101" s="85">
        <f t="shared" si="7"/>
        <v>153</v>
      </c>
      <c r="O101" s="43">
        <f t="shared" si="8"/>
        <v>235</v>
      </c>
      <c r="R101" s="44">
        <v>5</v>
      </c>
      <c r="S101" s="39">
        <v>15</v>
      </c>
      <c r="T101" s="39">
        <v>0</v>
      </c>
      <c r="U101" s="39">
        <v>0</v>
      </c>
      <c r="V101" s="194">
        <v>0</v>
      </c>
      <c r="W101" s="196">
        <f t="shared" si="6"/>
        <v>20</v>
      </c>
      <c r="X101" s="203">
        <v>4</v>
      </c>
      <c r="Y101" s="204">
        <v>0</v>
      </c>
      <c r="Z101" s="204">
        <v>0</v>
      </c>
      <c r="AA101" s="204">
        <v>0</v>
      </c>
      <c r="AB101" s="204">
        <v>1</v>
      </c>
      <c r="AC101" s="205">
        <v>0</v>
      </c>
    </row>
    <row r="102" spans="1:29" ht="22.5" customHeight="1" x14ac:dyDescent="0.3">
      <c r="A102" s="190" t="s">
        <v>141</v>
      </c>
      <c r="B102" s="44">
        <f>V_14!B102+V_11!R102</f>
        <v>60</v>
      </c>
      <c r="C102" s="39">
        <f>V_14!C102+V_11!S102</f>
        <v>68</v>
      </c>
      <c r="D102" s="39">
        <f>V_14!D102+V_11!T102</f>
        <v>12</v>
      </c>
      <c r="E102" s="39">
        <f>V_14!E102+V_11!U102</f>
        <v>10</v>
      </c>
      <c r="F102" s="194">
        <f>V_14!F102+V_11!V102</f>
        <v>27</v>
      </c>
      <c r="G102" s="196">
        <f t="shared" si="5"/>
        <v>177</v>
      </c>
      <c r="H102" s="203">
        <f>V_14!H102+V_11!X102</f>
        <v>5</v>
      </c>
      <c r="I102" s="204">
        <f>V_14!I102+V_11!Y102</f>
        <v>0</v>
      </c>
      <c r="J102" s="204">
        <f>V_14!J102+V_11!Z102</f>
        <v>0</v>
      </c>
      <c r="K102" s="204">
        <f>V_14!K102+V_11!AA102</f>
        <v>0</v>
      </c>
      <c r="L102" s="204">
        <f>V_14!L102+V_11!AB102</f>
        <v>2</v>
      </c>
      <c r="M102" s="205">
        <f>V_14!M102+V_11!AC102</f>
        <v>0</v>
      </c>
      <c r="N102" s="85">
        <f t="shared" si="7"/>
        <v>177</v>
      </c>
      <c r="O102" s="43">
        <f t="shared" si="8"/>
        <v>282</v>
      </c>
      <c r="R102" s="44">
        <v>6</v>
      </c>
      <c r="S102" s="39">
        <v>16</v>
      </c>
      <c r="T102" s="39">
        <v>2</v>
      </c>
      <c r="U102" s="39">
        <v>0</v>
      </c>
      <c r="V102" s="194">
        <v>0</v>
      </c>
      <c r="W102" s="196">
        <f t="shared" si="6"/>
        <v>24</v>
      </c>
      <c r="X102" s="203">
        <v>5</v>
      </c>
      <c r="Y102" s="204">
        <v>0</v>
      </c>
      <c r="Z102" s="204">
        <v>0</v>
      </c>
      <c r="AA102" s="204">
        <v>0</v>
      </c>
      <c r="AB102" s="204">
        <v>2</v>
      </c>
      <c r="AC102" s="205">
        <v>0</v>
      </c>
    </row>
    <row r="103" spans="1:29" ht="22.5" customHeight="1" thickBot="1" x14ac:dyDescent="0.35">
      <c r="A103" s="191" t="s">
        <v>142</v>
      </c>
      <c r="B103" s="46">
        <f>V_14!B103+V_11!R103</f>
        <v>64</v>
      </c>
      <c r="C103" s="47">
        <f>V_14!C103+V_11!S103</f>
        <v>74</v>
      </c>
      <c r="D103" s="47">
        <f>V_14!D103+V_11!T103</f>
        <v>16</v>
      </c>
      <c r="E103" s="47">
        <f>V_14!E103+V_11!U103</f>
        <v>9</v>
      </c>
      <c r="F103" s="195">
        <f>V_14!F103+V_11!V103</f>
        <v>15</v>
      </c>
      <c r="G103" s="197">
        <f t="shared" si="5"/>
        <v>178</v>
      </c>
      <c r="H103" s="206">
        <f>V_14!H103+V_11!X103</f>
        <v>5</v>
      </c>
      <c r="I103" s="207">
        <f>V_14!I103+V_11!Y103</f>
        <v>0</v>
      </c>
      <c r="J103" s="207">
        <f>V_14!J103+V_11!Z103</f>
        <v>0</v>
      </c>
      <c r="K103" s="207">
        <f>V_14!K103+V_11!AA103</f>
        <v>0</v>
      </c>
      <c r="L103" s="207">
        <f>V_14!L103+V_11!AB103</f>
        <v>0</v>
      </c>
      <c r="M103" s="208">
        <f>V_14!M103+V_11!AC103</f>
        <v>0</v>
      </c>
      <c r="N103" s="116">
        <f t="shared" si="7"/>
        <v>178</v>
      </c>
      <c r="O103" s="84">
        <f t="shared" si="8"/>
        <v>222</v>
      </c>
      <c r="R103" s="46">
        <v>3</v>
      </c>
      <c r="S103" s="47">
        <v>25</v>
      </c>
      <c r="T103" s="47">
        <v>1</v>
      </c>
      <c r="U103" s="47">
        <v>0</v>
      </c>
      <c r="V103" s="195">
        <v>0</v>
      </c>
      <c r="W103" s="197">
        <f t="shared" si="6"/>
        <v>29</v>
      </c>
      <c r="X103" s="206">
        <v>5</v>
      </c>
      <c r="Y103" s="207">
        <v>0</v>
      </c>
      <c r="Z103" s="207">
        <v>0</v>
      </c>
      <c r="AA103" s="207">
        <v>0</v>
      </c>
      <c r="AB103" s="207">
        <v>0</v>
      </c>
      <c r="AC103" s="208">
        <v>0</v>
      </c>
    </row>
    <row r="104" spans="1:29" ht="22.5" customHeight="1" thickBot="1" x14ac:dyDescent="0.35">
      <c r="A104" s="86" t="s">
        <v>11</v>
      </c>
      <c r="B104" s="117">
        <f t="shared" ref="B104:N104" si="9">SUM(B8:B103)</f>
        <v>7644</v>
      </c>
      <c r="C104" s="117">
        <f t="shared" si="9"/>
        <v>6628</v>
      </c>
      <c r="D104" s="117">
        <f t="shared" si="9"/>
        <v>1174</v>
      </c>
      <c r="E104" s="118">
        <f t="shared" si="9"/>
        <v>846</v>
      </c>
      <c r="F104" s="118">
        <f t="shared" si="9"/>
        <v>2709</v>
      </c>
      <c r="G104" s="94">
        <f t="shared" si="9"/>
        <v>19001</v>
      </c>
      <c r="H104" s="117">
        <f t="shared" si="9"/>
        <v>79</v>
      </c>
      <c r="I104" s="117">
        <f t="shared" si="9"/>
        <v>0</v>
      </c>
      <c r="J104" s="117">
        <f t="shared" si="9"/>
        <v>6</v>
      </c>
      <c r="K104" s="118">
        <f t="shared" si="9"/>
        <v>0</v>
      </c>
      <c r="L104" s="118">
        <f t="shared" si="9"/>
        <v>62</v>
      </c>
      <c r="M104" s="199">
        <f>SUM(M8:M103)</f>
        <v>2</v>
      </c>
      <c r="N104" s="95">
        <f t="shared" si="9"/>
        <v>19003</v>
      </c>
      <c r="O104" s="142">
        <f>SUM(O8:O103)</f>
        <v>28001</v>
      </c>
    </row>
    <row r="105" spans="1:29" ht="22.5" customHeight="1" thickBot="1" x14ac:dyDescent="0.35">
      <c r="A105" s="41" t="s">
        <v>143</v>
      </c>
      <c r="B105" s="88">
        <f>+B104*1</f>
        <v>7644</v>
      </c>
      <c r="C105" s="88">
        <f>+C104*0.5</f>
        <v>3314</v>
      </c>
      <c r="D105" s="88">
        <f>+D104*1.5</f>
        <v>1761</v>
      </c>
      <c r="E105" s="88">
        <f>+E104*3</f>
        <v>2538</v>
      </c>
      <c r="F105" s="89">
        <f>+F104*4.5</f>
        <v>12190.5</v>
      </c>
      <c r="G105" s="90">
        <f>SUM(B105:F105)</f>
        <v>27447.5</v>
      </c>
      <c r="H105" s="88">
        <f>+H104*0.5</f>
        <v>39.5</v>
      </c>
      <c r="I105" s="89">
        <f>+I104*1.5</f>
        <v>0</v>
      </c>
      <c r="J105" s="89">
        <f>+J104*3</f>
        <v>18</v>
      </c>
      <c r="K105" s="96">
        <f>+K104*4</f>
        <v>0</v>
      </c>
      <c r="L105" s="96">
        <f>+L104*8</f>
        <v>496</v>
      </c>
      <c r="M105" s="147">
        <f>SUM(H105:L105)</f>
        <v>553.5</v>
      </c>
      <c r="N105" s="91"/>
      <c r="O105" s="92">
        <f>G105+M105</f>
        <v>28001</v>
      </c>
    </row>
    <row r="106" spans="1:29" ht="22.5" customHeight="1" thickBot="1" x14ac:dyDescent="0.35">
      <c r="A106" s="42" t="s">
        <v>12</v>
      </c>
      <c r="B106" s="93">
        <f t="shared" ref="B106:N106" si="10">B104/$N$104</f>
        <v>0.40225227595642793</v>
      </c>
      <c r="C106" s="93">
        <f t="shared" si="10"/>
        <v>0.34878703362626956</v>
      </c>
      <c r="D106" s="93">
        <f t="shared" si="10"/>
        <v>6.1779718991738147E-2</v>
      </c>
      <c r="E106" s="93">
        <f t="shared" si="10"/>
        <v>4.4519286428458663E-2</v>
      </c>
      <c r="F106" s="93">
        <f t="shared" si="10"/>
        <v>0.14255643845708571</v>
      </c>
      <c r="G106" s="98">
        <f t="shared" si="10"/>
        <v>0.99989475345998002</v>
      </c>
      <c r="H106" s="93">
        <f t="shared" si="10"/>
        <v>4.1572383307898753E-3</v>
      </c>
      <c r="I106" s="93">
        <f t="shared" si="10"/>
        <v>0</v>
      </c>
      <c r="J106" s="93">
        <f t="shared" si="10"/>
        <v>3.1573962005999054E-4</v>
      </c>
      <c r="K106" s="97">
        <f t="shared" si="10"/>
        <v>0</v>
      </c>
      <c r="L106" s="97">
        <f t="shared" si="10"/>
        <v>3.2626427406199023E-3</v>
      </c>
      <c r="M106" s="98">
        <f t="shared" si="10"/>
        <v>1.0524654001999685E-4</v>
      </c>
      <c r="N106" s="99">
        <f t="shared" si="10"/>
        <v>1</v>
      </c>
      <c r="O106" s="94"/>
    </row>
    <row r="108" spans="1:29" s="4" customFormat="1" x14ac:dyDescent="0.3">
      <c r="A108" s="4" t="s">
        <v>103</v>
      </c>
      <c r="B108" s="4" t="str">
        <f>B2</f>
        <v>TMC-14 Number (D2)</v>
      </c>
    </row>
    <row r="109" spans="1:29" s="4" customFormat="1" x14ac:dyDescent="0.3">
      <c r="A109" s="4" t="s">
        <v>102</v>
      </c>
      <c r="B109" s="4" t="str">
        <f>B3</f>
        <v>D2</v>
      </c>
    </row>
    <row r="110" spans="1:29" s="4" customFormat="1" x14ac:dyDescent="0.3">
      <c r="A110" s="4" t="s">
        <v>104</v>
      </c>
      <c r="B110" s="4" t="str">
        <f>B4</f>
        <v>Mansarover</v>
      </c>
      <c r="D110" s="4" t="str">
        <f>D4</f>
        <v>To:</v>
      </c>
    </row>
    <row r="111" spans="1:29" ht="16.2" thickBot="1" x14ac:dyDescent="0.35"/>
    <row r="112" spans="1:29" ht="25.2" customHeight="1" x14ac:dyDescent="0.3">
      <c r="A112" s="252" t="s">
        <v>95</v>
      </c>
      <c r="B112" s="258" t="s">
        <v>280</v>
      </c>
      <c r="C112" s="254" t="s">
        <v>281</v>
      </c>
      <c r="D112" s="250" t="s">
        <v>282</v>
      </c>
      <c r="E112" s="260" t="s">
        <v>283</v>
      </c>
      <c r="F112" s="256" t="s">
        <v>284</v>
      </c>
      <c r="G112" s="250" t="s">
        <v>129</v>
      </c>
      <c r="H112" s="248" t="s">
        <v>150</v>
      </c>
      <c r="I112" s="250" t="s">
        <v>151</v>
      </c>
      <c r="J112" s="250" t="s">
        <v>285</v>
      </c>
      <c r="K112" s="248" t="s">
        <v>286</v>
      </c>
      <c r="L112" s="250" t="s">
        <v>287</v>
      </c>
      <c r="M112" s="250" t="s">
        <v>78</v>
      </c>
      <c r="N112" s="250" t="s">
        <v>131</v>
      </c>
      <c r="O112" s="250" t="s">
        <v>132</v>
      </c>
    </row>
    <row r="113" spans="1:15" ht="43.5" customHeight="1" thickBot="1" x14ac:dyDescent="0.35">
      <c r="A113" s="253"/>
      <c r="B113" s="259"/>
      <c r="C113" s="255"/>
      <c r="D113" s="251"/>
      <c r="E113" s="261"/>
      <c r="F113" s="257"/>
      <c r="G113" s="259"/>
      <c r="H113" s="249"/>
      <c r="I113" s="251"/>
      <c r="J113" s="251"/>
      <c r="K113" s="249"/>
      <c r="L113" s="251"/>
      <c r="M113" s="251"/>
      <c r="N113" s="251"/>
      <c r="O113" s="251"/>
    </row>
    <row r="114" spans="1:15" ht="22.95" customHeight="1" x14ac:dyDescent="0.3">
      <c r="A114" s="52" t="s">
        <v>15</v>
      </c>
      <c r="B114" s="112">
        <f>B8+B9+B10+B11</f>
        <v>432</v>
      </c>
      <c r="C114" s="113">
        <f t="shared" ref="C114:F115" si="11">C8+C9+C10+C11</f>
        <v>749</v>
      </c>
      <c r="D114" s="113">
        <f t="shared" si="11"/>
        <v>32</v>
      </c>
      <c r="E114" s="113">
        <f t="shared" si="11"/>
        <v>42</v>
      </c>
      <c r="F114" s="113">
        <f t="shared" si="11"/>
        <v>100</v>
      </c>
      <c r="G114" s="49">
        <f t="shared" ref="G114:G145" si="12">SUM(B114:F114)</f>
        <v>1355</v>
      </c>
      <c r="H114" s="112">
        <f t="shared" ref="H114" si="13">H8+H9+H10+H11</f>
        <v>20</v>
      </c>
      <c r="I114" s="113">
        <f t="shared" ref="I114:L114" si="14">I8+I9+I10+I11</f>
        <v>0</v>
      </c>
      <c r="J114" s="113">
        <f t="shared" si="14"/>
        <v>0</v>
      </c>
      <c r="K114" s="114">
        <f t="shared" si="14"/>
        <v>0</v>
      </c>
      <c r="L114" s="143">
        <f t="shared" si="14"/>
        <v>13</v>
      </c>
      <c r="M114" s="49">
        <f>SUM(H114:K114)</f>
        <v>20</v>
      </c>
      <c r="N114" s="40">
        <f>G114+M114</f>
        <v>1375</v>
      </c>
      <c r="O114" s="115">
        <f>B114*1+C114*0.5+D114*1.5+E114*3+F114*4.5+H114*0.5+I114*1.5+J114*3+K114*4+L114*8</f>
        <v>1544.5</v>
      </c>
    </row>
    <row r="115" spans="1:15" ht="22.95" customHeight="1" x14ac:dyDescent="0.3">
      <c r="A115" s="52" t="s">
        <v>16</v>
      </c>
      <c r="B115" s="44">
        <f>B9+B10+B11+B12</f>
        <v>487</v>
      </c>
      <c r="C115" s="39">
        <f t="shared" si="11"/>
        <v>886</v>
      </c>
      <c r="D115" s="39">
        <f t="shared" si="11"/>
        <v>35</v>
      </c>
      <c r="E115" s="39">
        <f t="shared" si="11"/>
        <v>43</v>
      </c>
      <c r="F115" s="39">
        <f t="shared" si="11"/>
        <v>102</v>
      </c>
      <c r="G115" s="50">
        <f t="shared" si="12"/>
        <v>1553</v>
      </c>
      <c r="H115" s="44">
        <f t="shared" ref="H115:L115" si="15">H9+H10+H11+H12</f>
        <v>21</v>
      </c>
      <c r="I115" s="39">
        <f t="shared" si="15"/>
        <v>0</v>
      </c>
      <c r="J115" s="39">
        <f t="shared" si="15"/>
        <v>0</v>
      </c>
      <c r="K115" s="45">
        <f t="shared" si="15"/>
        <v>0</v>
      </c>
      <c r="L115" s="144">
        <f t="shared" si="15"/>
        <v>14</v>
      </c>
      <c r="M115" s="50">
        <f t="shared" ref="M115:M178" si="16">SUM(H115:K115)</f>
        <v>21</v>
      </c>
      <c r="N115" s="40">
        <f t="shared" ref="N115:N178" si="17">G115+M115</f>
        <v>1574</v>
      </c>
      <c r="O115" s="43">
        <f t="shared" ref="O115:O178" si="18">B115*1+C115*0.5+D115*1.5+E115*3+F115*4.5+H115*0.5+I115*1.5+J115*3+K115*4+L115*8</f>
        <v>1693</v>
      </c>
    </row>
    <row r="116" spans="1:15" ht="22.95" customHeight="1" x14ac:dyDescent="0.3">
      <c r="A116" s="52" t="s">
        <v>17</v>
      </c>
      <c r="B116" s="44">
        <f t="shared" ref="B116:F131" si="19">B10+B11+B12+B13</f>
        <v>474</v>
      </c>
      <c r="C116" s="39">
        <f t="shared" si="19"/>
        <v>908</v>
      </c>
      <c r="D116" s="39">
        <f t="shared" si="19"/>
        <v>33</v>
      </c>
      <c r="E116" s="39">
        <f t="shared" si="19"/>
        <v>40</v>
      </c>
      <c r="F116" s="39">
        <f t="shared" si="19"/>
        <v>91</v>
      </c>
      <c r="G116" s="50">
        <f t="shared" si="12"/>
        <v>1546</v>
      </c>
      <c r="H116" s="44">
        <f t="shared" ref="H116:L116" si="20">H10+H11+H12+H13</f>
        <v>20</v>
      </c>
      <c r="I116" s="39">
        <f t="shared" si="20"/>
        <v>0</v>
      </c>
      <c r="J116" s="39">
        <f t="shared" si="20"/>
        <v>0</v>
      </c>
      <c r="K116" s="45">
        <f t="shared" si="20"/>
        <v>0</v>
      </c>
      <c r="L116" s="144">
        <f t="shared" si="20"/>
        <v>12</v>
      </c>
      <c r="M116" s="50">
        <f t="shared" si="16"/>
        <v>20</v>
      </c>
      <c r="N116" s="40">
        <f t="shared" si="17"/>
        <v>1566</v>
      </c>
      <c r="O116" s="43">
        <f t="shared" si="18"/>
        <v>1613</v>
      </c>
    </row>
    <row r="117" spans="1:15" ht="22.95" customHeight="1" x14ac:dyDescent="0.3">
      <c r="A117" s="52" t="s">
        <v>18</v>
      </c>
      <c r="B117" s="44">
        <f t="shared" si="19"/>
        <v>490</v>
      </c>
      <c r="C117" s="39">
        <f t="shared" si="19"/>
        <v>923</v>
      </c>
      <c r="D117" s="39">
        <f t="shared" si="19"/>
        <v>38</v>
      </c>
      <c r="E117" s="39">
        <f t="shared" si="19"/>
        <v>35</v>
      </c>
      <c r="F117" s="39">
        <f t="shared" si="19"/>
        <v>99</v>
      </c>
      <c r="G117" s="50">
        <f t="shared" si="12"/>
        <v>1585</v>
      </c>
      <c r="H117" s="44">
        <f t="shared" ref="H117:L117" si="21">H11+H12+H13+H14</f>
        <v>17</v>
      </c>
      <c r="I117" s="39">
        <f t="shared" si="21"/>
        <v>0</v>
      </c>
      <c r="J117" s="39">
        <f t="shared" si="21"/>
        <v>0</v>
      </c>
      <c r="K117" s="45">
        <f t="shared" si="21"/>
        <v>0</v>
      </c>
      <c r="L117" s="144">
        <f t="shared" si="21"/>
        <v>11</v>
      </c>
      <c r="M117" s="50">
        <f t="shared" si="16"/>
        <v>17</v>
      </c>
      <c r="N117" s="40">
        <f t="shared" si="17"/>
        <v>1602</v>
      </c>
      <c r="O117" s="43">
        <f t="shared" si="18"/>
        <v>1655.5</v>
      </c>
    </row>
    <row r="118" spans="1:15" ht="22.95" customHeight="1" x14ac:dyDescent="0.3">
      <c r="A118" s="52" t="s">
        <v>19</v>
      </c>
      <c r="B118" s="44">
        <f t="shared" si="19"/>
        <v>510</v>
      </c>
      <c r="C118" s="39">
        <f t="shared" si="19"/>
        <v>861</v>
      </c>
      <c r="D118" s="39">
        <f t="shared" si="19"/>
        <v>49</v>
      </c>
      <c r="E118" s="39">
        <f t="shared" si="19"/>
        <v>34</v>
      </c>
      <c r="F118" s="39">
        <f t="shared" si="19"/>
        <v>88</v>
      </c>
      <c r="G118" s="50">
        <f t="shared" si="12"/>
        <v>1542</v>
      </c>
      <c r="H118" s="44">
        <f t="shared" ref="H118:L118" si="22">H12+H13+H14+H15</f>
        <v>12</v>
      </c>
      <c r="I118" s="39">
        <f t="shared" si="22"/>
        <v>0</v>
      </c>
      <c r="J118" s="39">
        <f t="shared" si="22"/>
        <v>0</v>
      </c>
      <c r="K118" s="45">
        <f t="shared" si="22"/>
        <v>0</v>
      </c>
      <c r="L118" s="144">
        <f t="shared" si="22"/>
        <v>11</v>
      </c>
      <c r="M118" s="50">
        <f t="shared" si="16"/>
        <v>12</v>
      </c>
      <c r="N118" s="40">
        <f t="shared" si="17"/>
        <v>1554</v>
      </c>
      <c r="O118" s="43">
        <f t="shared" si="18"/>
        <v>1606</v>
      </c>
    </row>
    <row r="119" spans="1:15" ht="22.95" customHeight="1" x14ac:dyDescent="0.3">
      <c r="A119" s="52" t="s">
        <v>20</v>
      </c>
      <c r="B119" s="44">
        <f t="shared" si="19"/>
        <v>479</v>
      </c>
      <c r="C119" s="39">
        <f t="shared" si="19"/>
        <v>780</v>
      </c>
      <c r="D119" s="39">
        <f t="shared" si="19"/>
        <v>46</v>
      </c>
      <c r="E119" s="39">
        <f t="shared" si="19"/>
        <v>28</v>
      </c>
      <c r="F119" s="39">
        <f t="shared" si="19"/>
        <v>81</v>
      </c>
      <c r="G119" s="50">
        <f t="shared" si="12"/>
        <v>1414</v>
      </c>
      <c r="H119" s="44">
        <f t="shared" ref="H119:L119" si="23">H13+H14+H15+H16</f>
        <v>10</v>
      </c>
      <c r="I119" s="39">
        <f t="shared" si="23"/>
        <v>0</v>
      </c>
      <c r="J119" s="39">
        <f t="shared" si="23"/>
        <v>0</v>
      </c>
      <c r="K119" s="45">
        <f t="shared" si="23"/>
        <v>0</v>
      </c>
      <c r="L119" s="144">
        <f t="shared" si="23"/>
        <v>5</v>
      </c>
      <c r="M119" s="50">
        <f t="shared" si="16"/>
        <v>10</v>
      </c>
      <c r="N119" s="40">
        <f t="shared" si="17"/>
        <v>1424</v>
      </c>
      <c r="O119" s="43">
        <f t="shared" si="18"/>
        <v>1431.5</v>
      </c>
    </row>
    <row r="120" spans="1:15" ht="22.95" customHeight="1" x14ac:dyDescent="0.3">
      <c r="A120" s="52" t="s">
        <v>21</v>
      </c>
      <c r="B120" s="44">
        <f t="shared" si="19"/>
        <v>563</v>
      </c>
      <c r="C120" s="39">
        <f t="shared" si="19"/>
        <v>772</v>
      </c>
      <c r="D120" s="39">
        <f t="shared" si="19"/>
        <v>55</v>
      </c>
      <c r="E120" s="39">
        <f t="shared" si="19"/>
        <v>30</v>
      </c>
      <c r="F120" s="39">
        <f t="shared" si="19"/>
        <v>90</v>
      </c>
      <c r="G120" s="50">
        <f t="shared" si="12"/>
        <v>1510</v>
      </c>
      <c r="H120" s="44">
        <f t="shared" ref="H120:L120" si="24">H14+H15+H16+H17</f>
        <v>6</v>
      </c>
      <c r="I120" s="39">
        <f t="shared" si="24"/>
        <v>0</v>
      </c>
      <c r="J120" s="39">
        <f t="shared" si="24"/>
        <v>0</v>
      </c>
      <c r="K120" s="45">
        <f t="shared" si="24"/>
        <v>0</v>
      </c>
      <c r="L120" s="144">
        <f t="shared" si="24"/>
        <v>3</v>
      </c>
      <c r="M120" s="50">
        <f t="shared" si="16"/>
        <v>6</v>
      </c>
      <c r="N120" s="40">
        <f t="shared" si="17"/>
        <v>1516</v>
      </c>
      <c r="O120" s="43">
        <f t="shared" si="18"/>
        <v>1553.5</v>
      </c>
    </row>
    <row r="121" spans="1:15" ht="22.95" customHeight="1" x14ac:dyDescent="0.3">
      <c r="A121" s="52" t="s">
        <v>22</v>
      </c>
      <c r="B121" s="44">
        <f t="shared" si="19"/>
        <v>609</v>
      </c>
      <c r="C121" s="39">
        <f t="shared" si="19"/>
        <v>694</v>
      </c>
      <c r="D121" s="39">
        <f t="shared" si="19"/>
        <v>57</v>
      </c>
      <c r="E121" s="39">
        <f t="shared" si="19"/>
        <v>34</v>
      </c>
      <c r="F121" s="39">
        <f t="shared" si="19"/>
        <v>79</v>
      </c>
      <c r="G121" s="50">
        <f t="shared" si="12"/>
        <v>1473</v>
      </c>
      <c r="H121" s="44">
        <f t="shared" ref="H121:L121" si="25">H15+H16+H17+H18</f>
        <v>4</v>
      </c>
      <c r="I121" s="39">
        <f t="shared" si="25"/>
        <v>0</v>
      </c>
      <c r="J121" s="39">
        <f t="shared" si="25"/>
        <v>0</v>
      </c>
      <c r="K121" s="45">
        <f t="shared" si="25"/>
        <v>0</v>
      </c>
      <c r="L121" s="144">
        <f t="shared" si="25"/>
        <v>2</v>
      </c>
      <c r="M121" s="50">
        <f t="shared" si="16"/>
        <v>4</v>
      </c>
      <c r="N121" s="40">
        <f t="shared" si="17"/>
        <v>1477</v>
      </c>
      <c r="O121" s="43">
        <f t="shared" si="18"/>
        <v>1517</v>
      </c>
    </row>
    <row r="122" spans="1:15" ht="22.95" customHeight="1" x14ac:dyDescent="0.3">
      <c r="A122" s="52" t="s">
        <v>23</v>
      </c>
      <c r="B122" s="44">
        <f t="shared" si="19"/>
        <v>628</v>
      </c>
      <c r="C122" s="39">
        <f t="shared" si="19"/>
        <v>631</v>
      </c>
      <c r="D122" s="39">
        <f t="shared" si="19"/>
        <v>56</v>
      </c>
      <c r="E122" s="39">
        <f t="shared" si="19"/>
        <v>35</v>
      </c>
      <c r="F122" s="39">
        <f t="shared" si="19"/>
        <v>87</v>
      </c>
      <c r="G122" s="50">
        <f t="shared" si="12"/>
        <v>1437</v>
      </c>
      <c r="H122" s="44">
        <f t="shared" ref="H122:L122" si="26">H16+H17+H18+H19</f>
        <v>4</v>
      </c>
      <c r="I122" s="39">
        <f t="shared" si="26"/>
        <v>0</v>
      </c>
      <c r="J122" s="39">
        <f t="shared" si="26"/>
        <v>0</v>
      </c>
      <c r="K122" s="45">
        <f t="shared" si="26"/>
        <v>0</v>
      </c>
      <c r="L122" s="144">
        <f t="shared" si="26"/>
        <v>1</v>
      </c>
      <c r="M122" s="50">
        <f t="shared" si="16"/>
        <v>4</v>
      </c>
      <c r="N122" s="40">
        <f t="shared" si="17"/>
        <v>1441</v>
      </c>
      <c r="O122" s="43">
        <f t="shared" si="18"/>
        <v>1534</v>
      </c>
    </row>
    <row r="123" spans="1:15" ht="22.95" customHeight="1" x14ac:dyDescent="0.3">
      <c r="A123" s="52" t="s">
        <v>24</v>
      </c>
      <c r="B123" s="44">
        <f t="shared" si="19"/>
        <v>639</v>
      </c>
      <c r="C123" s="39">
        <f t="shared" si="19"/>
        <v>591</v>
      </c>
      <c r="D123" s="39">
        <f t="shared" si="19"/>
        <v>56</v>
      </c>
      <c r="E123" s="39">
        <f t="shared" si="19"/>
        <v>38</v>
      </c>
      <c r="F123" s="39">
        <f t="shared" si="19"/>
        <v>88</v>
      </c>
      <c r="G123" s="50">
        <f t="shared" si="12"/>
        <v>1412</v>
      </c>
      <c r="H123" s="44">
        <f t="shared" ref="H123:L123" si="27">H17+H18+H19+H20</f>
        <v>1</v>
      </c>
      <c r="I123" s="39">
        <f t="shared" si="27"/>
        <v>0</v>
      </c>
      <c r="J123" s="39">
        <f t="shared" si="27"/>
        <v>0</v>
      </c>
      <c r="K123" s="45">
        <f t="shared" si="27"/>
        <v>0</v>
      </c>
      <c r="L123" s="144">
        <f t="shared" si="27"/>
        <v>1</v>
      </c>
      <c r="M123" s="50">
        <f t="shared" si="16"/>
        <v>1</v>
      </c>
      <c r="N123" s="40">
        <f t="shared" si="17"/>
        <v>1413</v>
      </c>
      <c r="O123" s="43">
        <f t="shared" si="18"/>
        <v>1537</v>
      </c>
    </row>
    <row r="124" spans="1:15" ht="22.95" customHeight="1" x14ac:dyDescent="0.3">
      <c r="A124" s="52" t="s">
        <v>25</v>
      </c>
      <c r="B124" s="44">
        <f t="shared" si="19"/>
        <v>623</v>
      </c>
      <c r="C124" s="39">
        <f t="shared" si="19"/>
        <v>550</v>
      </c>
      <c r="D124" s="39">
        <f t="shared" si="19"/>
        <v>50</v>
      </c>
      <c r="E124" s="39">
        <f t="shared" si="19"/>
        <v>36</v>
      </c>
      <c r="F124" s="39">
        <f t="shared" si="19"/>
        <v>99</v>
      </c>
      <c r="G124" s="50">
        <f t="shared" si="12"/>
        <v>1358</v>
      </c>
      <c r="H124" s="44">
        <f t="shared" ref="H124:L124" si="28">H18+H19+H20+H21</f>
        <v>2</v>
      </c>
      <c r="I124" s="39">
        <f t="shared" si="28"/>
        <v>0</v>
      </c>
      <c r="J124" s="39">
        <f t="shared" si="28"/>
        <v>0</v>
      </c>
      <c r="K124" s="45">
        <f t="shared" si="28"/>
        <v>0</v>
      </c>
      <c r="L124" s="144">
        <f t="shared" si="28"/>
        <v>2</v>
      </c>
      <c r="M124" s="50">
        <f t="shared" si="16"/>
        <v>2</v>
      </c>
      <c r="N124" s="40">
        <f t="shared" si="17"/>
        <v>1360</v>
      </c>
      <c r="O124" s="43">
        <f t="shared" si="18"/>
        <v>1543.5</v>
      </c>
    </row>
    <row r="125" spans="1:15" ht="22.95" customHeight="1" x14ac:dyDescent="0.3">
      <c r="A125" s="52" t="s">
        <v>26</v>
      </c>
      <c r="B125" s="44">
        <f t="shared" si="19"/>
        <v>590</v>
      </c>
      <c r="C125" s="39">
        <f t="shared" si="19"/>
        <v>505</v>
      </c>
      <c r="D125" s="39">
        <f t="shared" si="19"/>
        <v>48</v>
      </c>
      <c r="E125" s="39">
        <f t="shared" si="19"/>
        <v>32</v>
      </c>
      <c r="F125" s="39">
        <f t="shared" si="19"/>
        <v>109</v>
      </c>
      <c r="G125" s="50">
        <f t="shared" si="12"/>
        <v>1284</v>
      </c>
      <c r="H125" s="44">
        <f t="shared" ref="H125:L125" si="29">H19+H20+H21+H22</f>
        <v>1</v>
      </c>
      <c r="I125" s="39">
        <f t="shared" si="29"/>
        <v>0</v>
      </c>
      <c r="J125" s="39">
        <f t="shared" si="29"/>
        <v>0</v>
      </c>
      <c r="K125" s="45">
        <f t="shared" si="29"/>
        <v>0</v>
      </c>
      <c r="L125" s="144">
        <f t="shared" si="29"/>
        <v>3</v>
      </c>
      <c r="M125" s="50">
        <f t="shared" si="16"/>
        <v>1</v>
      </c>
      <c r="N125" s="40">
        <f t="shared" si="17"/>
        <v>1285</v>
      </c>
      <c r="O125" s="43">
        <f t="shared" si="18"/>
        <v>1525.5</v>
      </c>
    </row>
    <row r="126" spans="1:15" ht="22.95" customHeight="1" x14ac:dyDescent="0.3">
      <c r="A126" s="52" t="s">
        <v>27</v>
      </c>
      <c r="B126" s="44">
        <f t="shared" si="19"/>
        <v>599</v>
      </c>
      <c r="C126" s="39">
        <f t="shared" si="19"/>
        <v>475</v>
      </c>
      <c r="D126" s="39">
        <f t="shared" si="19"/>
        <v>43</v>
      </c>
      <c r="E126" s="39">
        <f t="shared" si="19"/>
        <v>31</v>
      </c>
      <c r="F126" s="39">
        <f t="shared" si="19"/>
        <v>113</v>
      </c>
      <c r="G126" s="50">
        <f t="shared" si="12"/>
        <v>1261</v>
      </c>
      <c r="H126" s="44">
        <f t="shared" ref="H126:L126" si="30">H20+H21+H22+H23</f>
        <v>2</v>
      </c>
      <c r="I126" s="39">
        <f t="shared" si="30"/>
        <v>0</v>
      </c>
      <c r="J126" s="39">
        <f t="shared" si="30"/>
        <v>0</v>
      </c>
      <c r="K126" s="45">
        <f t="shared" si="30"/>
        <v>0</v>
      </c>
      <c r="L126" s="144">
        <f t="shared" si="30"/>
        <v>5</v>
      </c>
      <c r="M126" s="50">
        <f t="shared" si="16"/>
        <v>2</v>
      </c>
      <c r="N126" s="40">
        <f t="shared" si="17"/>
        <v>1263</v>
      </c>
      <c r="O126" s="43">
        <f t="shared" si="18"/>
        <v>1543.5</v>
      </c>
    </row>
    <row r="127" spans="1:15" ht="22.95" customHeight="1" x14ac:dyDescent="0.3">
      <c r="A127" s="52" t="s">
        <v>28</v>
      </c>
      <c r="B127" s="44">
        <f t="shared" si="19"/>
        <v>586</v>
      </c>
      <c r="C127" s="39">
        <f t="shared" si="19"/>
        <v>454</v>
      </c>
      <c r="D127" s="39">
        <f t="shared" si="19"/>
        <v>51</v>
      </c>
      <c r="E127" s="39">
        <f t="shared" si="19"/>
        <v>31</v>
      </c>
      <c r="F127" s="39">
        <f t="shared" si="19"/>
        <v>107</v>
      </c>
      <c r="G127" s="50">
        <f t="shared" si="12"/>
        <v>1229</v>
      </c>
      <c r="H127" s="44">
        <f t="shared" ref="H127:L127" si="31">H21+H22+H23+H24</f>
        <v>2</v>
      </c>
      <c r="I127" s="39">
        <f t="shared" si="31"/>
        <v>0</v>
      </c>
      <c r="J127" s="39">
        <f t="shared" si="31"/>
        <v>0</v>
      </c>
      <c r="K127" s="45">
        <f t="shared" si="31"/>
        <v>0</v>
      </c>
      <c r="L127" s="144">
        <f t="shared" si="31"/>
        <v>6</v>
      </c>
      <c r="M127" s="50">
        <f t="shared" si="16"/>
        <v>2</v>
      </c>
      <c r="N127" s="40">
        <f t="shared" si="17"/>
        <v>1231</v>
      </c>
      <c r="O127" s="43">
        <f t="shared" si="18"/>
        <v>1513</v>
      </c>
    </row>
    <row r="128" spans="1:15" ht="22.95" customHeight="1" x14ac:dyDescent="0.3">
      <c r="A128" s="52" t="s">
        <v>29</v>
      </c>
      <c r="B128" s="44">
        <f t="shared" si="19"/>
        <v>557</v>
      </c>
      <c r="C128" s="39">
        <f t="shared" si="19"/>
        <v>413</v>
      </c>
      <c r="D128" s="39">
        <f t="shared" si="19"/>
        <v>64</v>
      </c>
      <c r="E128" s="39">
        <f t="shared" si="19"/>
        <v>30</v>
      </c>
      <c r="F128" s="39">
        <f t="shared" si="19"/>
        <v>96</v>
      </c>
      <c r="G128" s="50">
        <f t="shared" si="12"/>
        <v>1160</v>
      </c>
      <c r="H128" s="44">
        <f t="shared" ref="H128:L128" si="32">H22+H23+H24+H25</f>
        <v>1</v>
      </c>
      <c r="I128" s="39">
        <f t="shared" si="32"/>
        <v>0</v>
      </c>
      <c r="J128" s="39">
        <f t="shared" si="32"/>
        <v>0</v>
      </c>
      <c r="K128" s="45">
        <f t="shared" si="32"/>
        <v>0</v>
      </c>
      <c r="L128" s="144">
        <f t="shared" si="32"/>
        <v>5</v>
      </c>
      <c r="M128" s="50">
        <f t="shared" si="16"/>
        <v>1</v>
      </c>
      <c r="N128" s="40">
        <f t="shared" si="17"/>
        <v>1161</v>
      </c>
      <c r="O128" s="43">
        <f t="shared" si="18"/>
        <v>1422</v>
      </c>
    </row>
    <row r="129" spans="1:15" ht="22.95" customHeight="1" x14ac:dyDescent="0.3">
      <c r="A129" s="52" t="s">
        <v>30</v>
      </c>
      <c r="B129" s="44">
        <f t="shared" si="19"/>
        <v>542</v>
      </c>
      <c r="C129" s="39">
        <f t="shared" si="19"/>
        <v>412</v>
      </c>
      <c r="D129" s="39">
        <f t="shared" si="19"/>
        <v>67</v>
      </c>
      <c r="E129" s="39">
        <f t="shared" si="19"/>
        <v>37</v>
      </c>
      <c r="F129" s="39">
        <f t="shared" si="19"/>
        <v>97</v>
      </c>
      <c r="G129" s="50">
        <f t="shared" si="12"/>
        <v>1155</v>
      </c>
      <c r="H129" s="44">
        <f t="shared" ref="H129:L129" si="33">H23+H24+H25+H26</f>
        <v>1</v>
      </c>
      <c r="I129" s="39">
        <f t="shared" si="33"/>
        <v>0</v>
      </c>
      <c r="J129" s="39">
        <f t="shared" si="33"/>
        <v>1</v>
      </c>
      <c r="K129" s="45">
        <f t="shared" si="33"/>
        <v>0</v>
      </c>
      <c r="L129" s="144">
        <f t="shared" si="33"/>
        <v>5</v>
      </c>
      <c r="M129" s="50">
        <f t="shared" si="16"/>
        <v>2</v>
      </c>
      <c r="N129" s="40">
        <f t="shared" si="17"/>
        <v>1157</v>
      </c>
      <c r="O129" s="43">
        <f t="shared" si="18"/>
        <v>1439.5</v>
      </c>
    </row>
    <row r="130" spans="1:15" ht="22.95" customHeight="1" x14ac:dyDescent="0.3">
      <c r="A130" s="52" t="s">
        <v>31</v>
      </c>
      <c r="B130" s="44">
        <f t="shared" si="19"/>
        <v>506</v>
      </c>
      <c r="C130" s="39">
        <f t="shared" si="19"/>
        <v>405</v>
      </c>
      <c r="D130" s="39">
        <f t="shared" si="19"/>
        <v>69</v>
      </c>
      <c r="E130" s="39">
        <f t="shared" si="19"/>
        <v>37</v>
      </c>
      <c r="F130" s="39">
        <f t="shared" si="19"/>
        <v>98</v>
      </c>
      <c r="G130" s="50">
        <f t="shared" si="12"/>
        <v>1115</v>
      </c>
      <c r="H130" s="44">
        <f t="shared" ref="H130:L130" si="34">H24+H25+H26+H27</f>
        <v>0</v>
      </c>
      <c r="I130" s="39">
        <f t="shared" si="34"/>
        <v>0</v>
      </c>
      <c r="J130" s="39">
        <f t="shared" si="34"/>
        <v>1</v>
      </c>
      <c r="K130" s="45">
        <f t="shared" si="34"/>
        <v>0</v>
      </c>
      <c r="L130" s="144">
        <f t="shared" si="34"/>
        <v>4</v>
      </c>
      <c r="M130" s="50">
        <f t="shared" si="16"/>
        <v>1</v>
      </c>
      <c r="N130" s="40">
        <f t="shared" si="17"/>
        <v>1116</v>
      </c>
      <c r="O130" s="43">
        <f t="shared" si="18"/>
        <v>1399</v>
      </c>
    </row>
    <row r="131" spans="1:15" ht="22.95" customHeight="1" x14ac:dyDescent="0.3">
      <c r="A131" s="52" t="s">
        <v>32</v>
      </c>
      <c r="B131" s="44">
        <f t="shared" si="19"/>
        <v>501</v>
      </c>
      <c r="C131" s="39">
        <f t="shared" si="19"/>
        <v>380</v>
      </c>
      <c r="D131" s="39">
        <f t="shared" si="19"/>
        <v>72</v>
      </c>
      <c r="E131" s="39">
        <f t="shared" si="19"/>
        <v>38</v>
      </c>
      <c r="F131" s="39">
        <f t="shared" si="19"/>
        <v>106</v>
      </c>
      <c r="G131" s="50">
        <f t="shared" si="12"/>
        <v>1097</v>
      </c>
      <c r="H131" s="44">
        <f t="shared" ref="H131:L131" si="35">H25+H26+H27+H28</f>
        <v>0</v>
      </c>
      <c r="I131" s="39">
        <f t="shared" si="35"/>
        <v>0</v>
      </c>
      <c r="J131" s="39">
        <f t="shared" si="35"/>
        <v>1</v>
      </c>
      <c r="K131" s="45">
        <f t="shared" si="35"/>
        <v>0</v>
      </c>
      <c r="L131" s="144">
        <f t="shared" si="35"/>
        <v>3</v>
      </c>
      <c r="M131" s="50">
        <f t="shared" si="16"/>
        <v>1</v>
      </c>
      <c r="N131" s="40">
        <f t="shared" si="17"/>
        <v>1098</v>
      </c>
      <c r="O131" s="43">
        <f t="shared" si="18"/>
        <v>1417</v>
      </c>
    </row>
    <row r="132" spans="1:15" ht="22.95" customHeight="1" x14ac:dyDescent="0.3">
      <c r="A132" s="52" t="s">
        <v>33</v>
      </c>
      <c r="B132" s="44">
        <f t="shared" ref="B132:F147" si="36">B26+B27+B28+B29</f>
        <v>505</v>
      </c>
      <c r="C132" s="39">
        <f t="shared" si="36"/>
        <v>372</v>
      </c>
      <c r="D132" s="39">
        <f t="shared" si="36"/>
        <v>69</v>
      </c>
      <c r="E132" s="39">
        <f t="shared" si="36"/>
        <v>38</v>
      </c>
      <c r="F132" s="39">
        <f t="shared" si="36"/>
        <v>116</v>
      </c>
      <c r="G132" s="50">
        <f t="shared" si="12"/>
        <v>1100</v>
      </c>
      <c r="H132" s="44">
        <f t="shared" ref="H132:L132" si="37">H26+H27+H28+H29</f>
        <v>2</v>
      </c>
      <c r="I132" s="39">
        <f t="shared" si="37"/>
        <v>0</v>
      </c>
      <c r="J132" s="39">
        <f t="shared" si="37"/>
        <v>1</v>
      </c>
      <c r="K132" s="45">
        <f t="shared" si="37"/>
        <v>0</v>
      </c>
      <c r="L132" s="144">
        <f t="shared" si="37"/>
        <v>3</v>
      </c>
      <c r="M132" s="50">
        <f t="shared" si="16"/>
        <v>3</v>
      </c>
      <c r="N132" s="40">
        <f t="shared" si="17"/>
        <v>1103</v>
      </c>
      <c r="O132" s="43">
        <f t="shared" si="18"/>
        <v>1458.5</v>
      </c>
    </row>
    <row r="133" spans="1:15" ht="22.95" customHeight="1" x14ac:dyDescent="0.3">
      <c r="A133" s="52" t="s">
        <v>34</v>
      </c>
      <c r="B133" s="44">
        <f t="shared" si="36"/>
        <v>512</v>
      </c>
      <c r="C133" s="39">
        <f t="shared" si="36"/>
        <v>364</v>
      </c>
      <c r="D133" s="39">
        <f t="shared" si="36"/>
        <v>75</v>
      </c>
      <c r="E133" s="39">
        <f t="shared" si="36"/>
        <v>32</v>
      </c>
      <c r="F133" s="39">
        <f t="shared" si="36"/>
        <v>122</v>
      </c>
      <c r="G133" s="50">
        <f t="shared" si="12"/>
        <v>1105</v>
      </c>
      <c r="H133" s="44">
        <f t="shared" ref="H133:L133" si="38">H27+H28+H29+H30</f>
        <v>4</v>
      </c>
      <c r="I133" s="39">
        <f t="shared" si="38"/>
        <v>0</v>
      </c>
      <c r="J133" s="39">
        <f t="shared" si="38"/>
        <v>0</v>
      </c>
      <c r="K133" s="45">
        <f t="shared" si="38"/>
        <v>0</v>
      </c>
      <c r="L133" s="144">
        <f t="shared" si="38"/>
        <v>2</v>
      </c>
      <c r="M133" s="50">
        <f t="shared" si="16"/>
        <v>4</v>
      </c>
      <c r="N133" s="40">
        <f t="shared" si="17"/>
        <v>1109</v>
      </c>
      <c r="O133" s="43">
        <f t="shared" si="18"/>
        <v>1469.5</v>
      </c>
    </row>
    <row r="134" spans="1:15" ht="22.95" customHeight="1" x14ac:dyDescent="0.3">
      <c r="A134" s="52" t="s">
        <v>35</v>
      </c>
      <c r="B134" s="44">
        <f t="shared" si="36"/>
        <v>536</v>
      </c>
      <c r="C134" s="39">
        <f t="shared" si="36"/>
        <v>351</v>
      </c>
      <c r="D134" s="39">
        <f t="shared" si="36"/>
        <v>71</v>
      </c>
      <c r="E134" s="39">
        <f t="shared" si="36"/>
        <v>32</v>
      </c>
      <c r="F134" s="39">
        <f t="shared" si="36"/>
        <v>133</v>
      </c>
      <c r="G134" s="50">
        <f t="shared" si="12"/>
        <v>1123</v>
      </c>
      <c r="H134" s="44">
        <f t="shared" ref="H134:L134" si="39">H28+H29+H30+H31</f>
        <v>4</v>
      </c>
      <c r="I134" s="39">
        <f t="shared" si="39"/>
        <v>0</v>
      </c>
      <c r="J134" s="39">
        <f t="shared" si="39"/>
        <v>0</v>
      </c>
      <c r="K134" s="45">
        <f t="shared" si="39"/>
        <v>0</v>
      </c>
      <c r="L134" s="144">
        <f t="shared" si="39"/>
        <v>2</v>
      </c>
      <c r="M134" s="50">
        <f t="shared" si="16"/>
        <v>4</v>
      </c>
      <c r="N134" s="40">
        <f t="shared" si="17"/>
        <v>1127</v>
      </c>
      <c r="O134" s="43">
        <f t="shared" si="18"/>
        <v>1530.5</v>
      </c>
    </row>
    <row r="135" spans="1:15" ht="22.95" customHeight="1" x14ac:dyDescent="0.3">
      <c r="A135" s="52" t="s">
        <v>36</v>
      </c>
      <c r="B135" s="44">
        <f t="shared" si="36"/>
        <v>552</v>
      </c>
      <c r="C135" s="39">
        <f t="shared" si="36"/>
        <v>342</v>
      </c>
      <c r="D135" s="39">
        <f t="shared" si="36"/>
        <v>75</v>
      </c>
      <c r="E135" s="39">
        <f t="shared" si="36"/>
        <v>34</v>
      </c>
      <c r="F135" s="39">
        <f t="shared" si="36"/>
        <v>143</v>
      </c>
      <c r="G135" s="50">
        <f t="shared" si="12"/>
        <v>1146</v>
      </c>
      <c r="H135" s="44">
        <f t="shared" ref="H135:L135" si="40">H29+H30+H31+H32</f>
        <v>4</v>
      </c>
      <c r="I135" s="39">
        <f t="shared" si="40"/>
        <v>0</v>
      </c>
      <c r="J135" s="39">
        <f t="shared" si="40"/>
        <v>0</v>
      </c>
      <c r="K135" s="45">
        <f t="shared" si="40"/>
        <v>0</v>
      </c>
      <c r="L135" s="144">
        <f t="shared" si="40"/>
        <v>2</v>
      </c>
      <c r="M135" s="50">
        <f t="shared" si="16"/>
        <v>4</v>
      </c>
      <c r="N135" s="40">
        <f t="shared" si="17"/>
        <v>1150</v>
      </c>
      <c r="O135" s="43">
        <f t="shared" si="18"/>
        <v>1599</v>
      </c>
    </row>
    <row r="136" spans="1:15" ht="22.95" customHeight="1" x14ac:dyDescent="0.3">
      <c r="A136" s="52" t="s">
        <v>37</v>
      </c>
      <c r="B136" s="44">
        <f t="shared" si="36"/>
        <v>541</v>
      </c>
      <c r="C136" s="39">
        <f t="shared" si="36"/>
        <v>298</v>
      </c>
      <c r="D136" s="39">
        <f t="shared" si="36"/>
        <v>76</v>
      </c>
      <c r="E136" s="39">
        <f t="shared" si="36"/>
        <v>35</v>
      </c>
      <c r="F136" s="39">
        <f t="shared" si="36"/>
        <v>155</v>
      </c>
      <c r="G136" s="50">
        <f t="shared" si="12"/>
        <v>1105</v>
      </c>
      <c r="H136" s="44">
        <f t="shared" ref="H136:L136" si="41">H30+H31+H32+H33</f>
        <v>2</v>
      </c>
      <c r="I136" s="39">
        <f t="shared" si="41"/>
        <v>0</v>
      </c>
      <c r="J136" s="39">
        <f t="shared" si="41"/>
        <v>0</v>
      </c>
      <c r="K136" s="45">
        <f t="shared" si="41"/>
        <v>0</v>
      </c>
      <c r="L136" s="144">
        <f t="shared" si="41"/>
        <v>5</v>
      </c>
      <c r="M136" s="50">
        <f t="shared" si="16"/>
        <v>2</v>
      </c>
      <c r="N136" s="40">
        <f t="shared" si="17"/>
        <v>1107</v>
      </c>
      <c r="O136" s="43">
        <f t="shared" si="18"/>
        <v>1647.5</v>
      </c>
    </row>
    <row r="137" spans="1:15" ht="22.95" customHeight="1" x14ac:dyDescent="0.3">
      <c r="A137" s="52" t="s">
        <v>38</v>
      </c>
      <c r="B137" s="44">
        <f t="shared" si="36"/>
        <v>519</v>
      </c>
      <c r="C137" s="39">
        <f t="shared" si="36"/>
        <v>244</v>
      </c>
      <c r="D137" s="39">
        <f t="shared" si="36"/>
        <v>74</v>
      </c>
      <c r="E137" s="39">
        <f t="shared" si="36"/>
        <v>36</v>
      </c>
      <c r="F137" s="39">
        <f t="shared" si="36"/>
        <v>163</v>
      </c>
      <c r="G137" s="50">
        <f t="shared" si="12"/>
        <v>1036</v>
      </c>
      <c r="H137" s="44">
        <f t="shared" ref="H137:L137" si="42">H31+H32+H33+H34</f>
        <v>0</v>
      </c>
      <c r="I137" s="39">
        <f t="shared" si="42"/>
        <v>0</v>
      </c>
      <c r="J137" s="39">
        <f t="shared" si="42"/>
        <v>1</v>
      </c>
      <c r="K137" s="45">
        <f t="shared" si="42"/>
        <v>0</v>
      </c>
      <c r="L137" s="144">
        <f t="shared" si="42"/>
        <v>5</v>
      </c>
      <c r="M137" s="50">
        <f t="shared" si="16"/>
        <v>1</v>
      </c>
      <c r="N137" s="40">
        <f t="shared" si="17"/>
        <v>1037</v>
      </c>
      <c r="O137" s="43">
        <f t="shared" si="18"/>
        <v>1636.5</v>
      </c>
    </row>
    <row r="138" spans="1:15" ht="22.95" customHeight="1" x14ac:dyDescent="0.3">
      <c r="A138" s="52" t="s">
        <v>39</v>
      </c>
      <c r="B138" s="44">
        <f t="shared" si="36"/>
        <v>484</v>
      </c>
      <c r="C138" s="39">
        <f t="shared" si="36"/>
        <v>203</v>
      </c>
      <c r="D138" s="39">
        <f t="shared" si="36"/>
        <v>84</v>
      </c>
      <c r="E138" s="39">
        <f t="shared" si="36"/>
        <v>39</v>
      </c>
      <c r="F138" s="39">
        <f t="shared" si="36"/>
        <v>152</v>
      </c>
      <c r="G138" s="50">
        <f t="shared" si="12"/>
        <v>962</v>
      </c>
      <c r="H138" s="44">
        <f t="shared" ref="H138:L138" si="43">H32+H33+H34+H35</f>
        <v>0</v>
      </c>
      <c r="I138" s="39">
        <f t="shared" si="43"/>
        <v>0</v>
      </c>
      <c r="J138" s="39">
        <f t="shared" si="43"/>
        <v>1</v>
      </c>
      <c r="K138" s="45">
        <f t="shared" si="43"/>
        <v>0</v>
      </c>
      <c r="L138" s="144">
        <f t="shared" si="43"/>
        <v>5</v>
      </c>
      <c r="M138" s="50">
        <f t="shared" si="16"/>
        <v>1</v>
      </c>
      <c r="N138" s="40">
        <f t="shared" si="17"/>
        <v>963</v>
      </c>
      <c r="O138" s="43">
        <f t="shared" si="18"/>
        <v>1555.5</v>
      </c>
    </row>
    <row r="139" spans="1:15" ht="22.95" customHeight="1" x14ac:dyDescent="0.3">
      <c r="A139" s="52" t="s">
        <v>40</v>
      </c>
      <c r="B139" s="44">
        <f t="shared" si="36"/>
        <v>476</v>
      </c>
      <c r="C139" s="39">
        <f t="shared" si="36"/>
        <v>162</v>
      </c>
      <c r="D139" s="39">
        <f t="shared" si="36"/>
        <v>70</v>
      </c>
      <c r="E139" s="39">
        <f t="shared" si="36"/>
        <v>40</v>
      </c>
      <c r="F139" s="39">
        <f t="shared" si="36"/>
        <v>171</v>
      </c>
      <c r="G139" s="50">
        <f t="shared" si="12"/>
        <v>919</v>
      </c>
      <c r="H139" s="44">
        <f t="shared" ref="H139:L139" si="44">H33+H34+H35+H36</f>
        <v>0</v>
      </c>
      <c r="I139" s="39">
        <f t="shared" si="44"/>
        <v>0</v>
      </c>
      <c r="J139" s="39">
        <f t="shared" si="44"/>
        <v>3</v>
      </c>
      <c r="K139" s="45">
        <f t="shared" si="44"/>
        <v>0</v>
      </c>
      <c r="L139" s="144">
        <f t="shared" si="44"/>
        <v>5</v>
      </c>
      <c r="M139" s="50">
        <f t="shared" si="16"/>
        <v>3</v>
      </c>
      <c r="N139" s="40">
        <f t="shared" si="17"/>
        <v>922</v>
      </c>
      <c r="O139" s="43">
        <f t="shared" si="18"/>
        <v>1600.5</v>
      </c>
    </row>
    <row r="140" spans="1:15" ht="22.95" customHeight="1" x14ac:dyDescent="0.3">
      <c r="A140" s="52" t="s">
        <v>41</v>
      </c>
      <c r="B140" s="44">
        <f t="shared" si="36"/>
        <v>516</v>
      </c>
      <c r="C140" s="39">
        <f t="shared" si="36"/>
        <v>196</v>
      </c>
      <c r="D140" s="39">
        <f t="shared" si="36"/>
        <v>56</v>
      </c>
      <c r="E140" s="39">
        <f t="shared" si="36"/>
        <v>47</v>
      </c>
      <c r="F140" s="39">
        <f t="shared" si="36"/>
        <v>174</v>
      </c>
      <c r="G140" s="50">
        <f t="shared" si="12"/>
        <v>989</v>
      </c>
      <c r="H140" s="44">
        <f t="shared" ref="H140:L140" si="45">H34+H35+H36+H37</f>
        <v>0</v>
      </c>
      <c r="I140" s="39">
        <f t="shared" si="45"/>
        <v>0</v>
      </c>
      <c r="J140" s="39">
        <f t="shared" si="45"/>
        <v>3</v>
      </c>
      <c r="K140" s="45">
        <f t="shared" si="45"/>
        <v>0</v>
      </c>
      <c r="L140" s="144">
        <f t="shared" si="45"/>
        <v>2</v>
      </c>
      <c r="M140" s="50">
        <f t="shared" si="16"/>
        <v>3</v>
      </c>
      <c r="N140" s="40">
        <f t="shared" si="17"/>
        <v>992</v>
      </c>
      <c r="O140" s="43">
        <f t="shared" si="18"/>
        <v>1647</v>
      </c>
    </row>
    <row r="141" spans="1:15" ht="22.95" customHeight="1" x14ac:dyDescent="0.3">
      <c r="A141" s="52" t="s">
        <v>42</v>
      </c>
      <c r="B141" s="44">
        <f t="shared" si="36"/>
        <v>536</v>
      </c>
      <c r="C141" s="39">
        <f t="shared" si="36"/>
        <v>211</v>
      </c>
      <c r="D141" s="39">
        <f t="shared" si="36"/>
        <v>51</v>
      </c>
      <c r="E141" s="39">
        <f t="shared" si="36"/>
        <v>54</v>
      </c>
      <c r="F141" s="39">
        <f t="shared" si="36"/>
        <v>178</v>
      </c>
      <c r="G141" s="50">
        <f t="shared" si="12"/>
        <v>1030</v>
      </c>
      <c r="H141" s="44">
        <f t="shared" ref="H141:L141" si="46">H35+H36+H37+H38</f>
        <v>0</v>
      </c>
      <c r="I141" s="39">
        <f t="shared" si="46"/>
        <v>0</v>
      </c>
      <c r="J141" s="39">
        <f t="shared" si="46"/>
        <v>2</v>
      </c>
      <c r="K141" s="45">
        <f t="shared" si="46"/>
        <v>0</v>
      </c>
      <c r="L141" s="144">
        <f t="shared" si="46"/>
        <v>1</v>
      </c>
      <c r="M141" s="50">
        <f t="shared" si="16"/>
        <v>2</v>
      </c>
      <c r="N141" s="40">
        <f t="shared" si="17"/>
        <v>1032</v>
      </c>
      <c r="O141" s="43">
        <f t="shared" si="18"/>
        <v>1695</v>
      </c>
    </row>
    <row r="142" spans="1:15" ht="22.95" customHeight="1" x14ac:dyDescent="0.3">
      <c r="A142" s="52" t="s">
        <v>43</v>
      </c>
      <c r="B142" s="44">
        <f t="shared" si="36"/>
        <v>559</v>
      </c>
      <c r="C142" s="39">
        <f t="shared" si="36"/>
        <v>210</v>
      </c>
      <c r="D142" s="39">
        <f t="shared" si="36"/>
        <v>48</v>
      </c>
      <c r="E142" s="39">
        <f t="shared" si="36"/>
        <v>61</v>
      </c>
      <c r="F142" s="39">
        <f t="shared" si="36"/>
        <v>190</v>
      </c>
      <c r="G142" s="50">
        <f t="shared" si="12"/>
        <v>1068</v>
      </c>
      <c r="H142" s="44">
        <f t="shared" ref="H142:L142" si="47">H36+H37+H38+H39</f>
        <v>0</v>
      </c>
      <c r="I142" s="39">
        <f t="shared" si="47"/>
        <v>0</v>
      </c>
      <c r="J142" s="39">
        <f t="shared" si="47"/>
        <v>2</v>
      </c>
      <c r="K142" s="45">
        <f t="shared" si="47"/>
        <v>0</v>
      </c>
      <c r="L142" s="144">
        <f t="shared" si="47"/>
        <v>0</v>
      </c>
      <c r="M142" s="50">
        <f t="shared" si="16"/>
        <v>2</v>
      </c>
      <c r="N142" s="40">
        <f t="shared" si="17"/>
        <v>1070</v>
      </c>
      <c r="O142" s="43">
        <f t="shared" si="18"/>
        <v>1780</v>
      </c>
    </row>
    <row r="143" spans="1:15" ht="22.95" customHeight="1" x14ac:dyDescent="0.3">
      <c r="A143" s="52" t="s">
        <v>44</v>
      </c>
      <c r="B143" s="44">
        <f t="shared" si="36"/>
        <v>548</v>
      </c>
      <c r="C143" s="39">
        <f t="shared" si="36"/>
        <v>250</v>
      </c>
      <c r="D143" s="39">
        <f t="shared" si="36"/>
        <v>53</v>
      </c>
      <c r="E143" s="39">
        <f t="shared" si="36"/>
        <v>54</v>
      </c>
      <c r="F143" s="39">
        <f t="shared" si="36"/>
        <v>187</v>
      </c>
      <c r="G143" s="50">
        <f t="shared" si="12"/>
        <v>1092</v>
      </c>
      <c r="H143" s="44">
        <f t="shared" ref="H143:L143" si="48">H37+H38+H39+H40</f>
        <v>1</v>
      </c>
      <c r="I143" s="39">
        <f t="shared" si="48"/>
        <v>0</v>
      </c>
      <c r="J143" s="39">
        <f t="shared" si="48"/>
        <v>0</v>
      </c>
      <c r="K143" s="45">
        <f t="shared" si="48"/>
        <v>0</v>
      </c>
      <c r="L143" s="144">
        <f t="shared" si="48"/>
        <v>1</v>
      </c>
      <c r="M143" s="50">
        <f t="shared" si="16"/>
        <v>1</v>
      </c>
      <c r="N143" s="40">
        <f t="shared" si="17"/>
        <v>1093</v>
      </c>
      <c r="O143" s="43">
        <f t="shared" si="18"/>
        <v>1764.5</v>
      </c>
    </row>
    <row r="144" spans="1:15" ht="22.95" customHeight="1" x14ac:dyDescent="0.3">
      <c r="A144" s="52" t="s">
        <v>45</v>
      </c>
      <c r="B144" s="44">
        <f t="shared" si="36"/>
        <v>501</v>
      </c>
      <c r="C144" s="39">
        <f t="shared" si="36"/>
        <v>268</v>
      </c>
      <c r="D144" s="39">
        <f t="shared" si="36"/>
        <v>62</v>
      </c>
      <c r="E144" s="39">
        <f t="shared" si="36"/>
        <v>49</v>
      </c>
      <c r="F144" s="39">
        <f t="shared" si="36"/>
        <v>170</v>
      </c>
      <c r="G144" s="50">
        <f t="shared" si="12"/>
        <v>1050</v>
      </c>
      <c r="H144" s="44">
        <f t="shared" ref="H144:L144" si="49">H38+H39+H40+H41</f>
        <v>1</v>
      </c>
      <c r="I144" s="39">
        <f t="shared" si="49"/>
        <v>0</v>
      </c>
      <c r="J144" s="39">
        <f t="shared" si="49"/>
        <v>0</v>
      </c>
      <c r="K144" s="45">
        <f t="shared" si="49"/>
        <v>0</v>
      </c>
      <c r="L144" s="144">
        <f t="shared" si="49"/>
        <v>1</v>
      </c>
      <c r="M144" s="50">
        <f t="shared" si="16"/>
        <v>1</v>
      </c>
      <c r="N144" s="40">
        <f t="shared" si="17"/>
        <v>1051</v>
      </c>
      <c r="O144" s="43">
        <f t="shared" si="18"/>
        <v>1648.5</v>
      </c>
    </row>
    <row r="145" spans="1:15" ht="22.95" customHeight="1" x14ac:dyDescent="0.3">
      <c r="A145" s="52" t="s">
        <v>46</v>
      </c>
      <c r="B145" s="44">
        <f t="shared" si="36"/>
        <v>523</v>
      </c>
      <c r="C145" s="39">
        <f t="shared" si="36"/>
        <v>314</v>
      </c>
      <c r="D145" s="39">
        <f t="shared" si="36"/>
        <v>66</v>
      </c>
      <c r="E145" s="39">
        <f t="shared" si="36"/>
        <v>44</v>
      </c>
      <c r="F145" s="39">
        <f t="shared" si="36"/>
        <v>172</v>
      </c>
      <c r="G145" s="50">
        <f t="shared" si="12"/>
        <v>1119</v>
      </c>
      <c r="H145" s="44">
        <f t="shared" ref="H145:L145" si="50">H39+H40+H41+H42</f>
        <v>1</v>
      </c>
      <c r="I145" s="39">
        <f t="shared" si="50"/>
        <v>0</v>
      </c>
      <c r="J145" s="39">
        <f t="shared" si="50"/>
        <v>0</v>
      </c>
      <c r="K145" s="45">
        <f t="shared" si="50"/>
        <v>0</v>
      </c>
      <c r="L145" s="144">
        <f t="shared" si="50"/>
        <v>1</v>
      </c>
      <c r="M145" s="50">
        <f t="shared" si="16"/>
        <v>1</v>
      </c>
      <c r="N145" s="40">
        <f t="shared" si="17"/>
        <v>1120</v>
      </c>
      <c r="O145" s="43">
        <f t="shared" si="18"/>
        <v>1693.5</v>
      </c>
    </row>
    <row r="146" spans="1:15" ht="22.95" customHeight="1" x14ac:dyDescent="0.3">
      <c r="A146" s="52" t="s">
        <v>47</v>
      </c>
      <c r="B146" s="44">
        <f t="shared" si="36"/>
        <v>494</v>
      </c>
      <c r="C146" s="39">
        <f t="shared" si="36"/>
        <v>357</v>
      </c>
      <c r="D146" s="39">
        <f t="shared" si="36"/>
        <v>64</v>
      </c>
      <c r="E146" s="39">
        <f t="shared" si="36"/>
        <v>33</v>
      </c>
      <c r="F146" s="39">
        <f t="shared" si="36"/>
        <v>162</v>
      </c>
      <c r="G146" s="50">
        <f t="shared" ref="G146:G177" si="51">SUM(B146:F146)</f>
        <v>1110</v>
      </c>
      <c r="H146" s="44">
        <f t="shared" ref="H146:L146" si="52">H40+H41+H42+H43</f>
        <v>1</v>
      </c>
      <c r="I146" s="39">
        <f t="shared" si="52"/>
        <v>0</v>
      </c>
      <c r="J146" s="39">
        <f t="shared" si="52"/>
        <v>0</v>
      </c>
      <c r="K146" s="45">
        <f t="shared" si="52"/>
        <v>0</v>
      </c>
      <c r="L146" s="144">
        <f t="shared" si="52"/>
        <v>1</v>
      </c>
      <c r="M146" s="50">
        <f t="shared" si="16"/>
        <v>1</v>
      </c>
      <c r="N146" s="40">
        <f t="shared" si="17"/>
        <v>1111</v>
      </c>
      <c r="O146" s="43">
        <f t="shared" si="18"/>
        <v>1605</v>
      </c>
    </row>
    <row r="147" spans="1:15" ht="22.95" customHeight="1" x14ac:dyDescent="0.3">
      <c r="A147" s="52" t="s">
        <v>48</v>
      </c>
      <c r="B147" s="44">
        <f t="shared" si="36"/>
        <v>485</v>
      </c>
      <c r="C147" s="39">
        <f t="shared" si="36"/>
        <v>378</v>
      </c>
      <c r="D147" s="39">
        <f t="shared" si="36"/>
        <v>67</v>
      </c>
      <c r="E147" s="39">
        <f t="shared" si="36"/>
        <v>32</v>
      </c>
      <c r="F147" s="39">
        <f t="shared" si="36"/>
        <v>152</v>
      </c>
      <c r="G147" s="50">
        <f t="shared" si="51"/>
        <v>1114</v>
      </c>
      <c r="H147" s="44">
        <f t="shared" ref="H147:L147" si="53">H41+H42+H43+H44</f>
        <v>0</v>
      </c>
      <c r="I147" s="39">
        <f t="shared" si="53"/>
        <v>0</v>
      </c>
      <c r="J147" s="39">
        <f t="shared" si="53"/>
        <v>0</v>
      </c>
      <c r="K147" s="45">
        <f t="shared" si="53"/>
        <v>0</v>
      </c>
      <c r="L147" s="144">
        <f t="shared" si="53"/>
        <v>0</v>
      </c>
      <c r="M147" s="50">
        <f t="shared" si="16"/>
        <v>0</v>
      </c>
      <c r="N147" s="40">
        <f t="shared" si="17"/>
        <v>1114</v>
      </c>
      <c r="O147" s="43">
        <f t="shared" si="18"/>
        <v>1554.5</v>
      </c>
    </row>
    <row r="148" spans="1:15" ht="22.95" customHeight="1" x14ac:dyDescent="0.3">
      <c r="A148" s="52" t="s">
        <v>49</v>
      </c>
      <c r="B148" s="44">
        <f t="shared" ref="B148:F163" si="54">B42+B43+B44+B45</f>
        <v>482</v>
      </c>
      <c r="C148" s="39">
        <f t="shared" si="54"/>
        <v>392</v>
      </c>
      <c r="D148" s="39">
        <f t="shared" si="54"/>
        <v>64</v>
      </c>
      <c r="E148" s="39">
        <f t="shared" si="54"/>
        <v>34</v>
      </c>
      <c r="F148" s="39">
        <f t="shared" si="54"/>
        <v>154</v>
      </c>
      <c r="G148" s="50">
        <f t="shared" si="51"/>
        <v>1126</v>
      </c>
      <c r="H148" s="44">
        <f t="shared" ref="H148:L148" si="55">H42+H43+H44+H45</f>
        <v>0</v>
      </c>
      <c r="I148" s="39">
        <f t="shared" si="55"/>
        <v>0</v>
      </c>
      <c r="J148" s="39">
        <f t="shared" si="55"/>
        <v>0</v>
      </c>
      <c r="K148" s="45">
        <f t="shared" si="55"/>
        <v>0</v>
      </c>
      <c r="L148" s="144">
        <f t="shared" si="55"/>
        <v>2</v>
      </c>
      <c r="M148" s="50">
        <f t="shared" si="16"/>
        <v>0</v>
      </c>
      <c r="N148" s="40">
        <f t="shared" si="17"/>
        <v>1126</v>
      </c>
      <c r="O148" s="43">
        <f t="shared" si="18"/>
        <v>1585</v>
      </c>
    </row>
    <row r="149" spans="1:15" ht="22.95" customHeight="1" x14ac:dyDescent="0.3">
      <c r="A149" s="52" t="s">
        <v>50</v>
      </c>
      <c r="B149" s="44">
        <f t="shared" si="54"/>
        <v>455</v>
      </c>
      <c r="C149" s="39">
        <f t="shared" si="54"/>
        <v>388</v>
      </c>
      <c r="D149" s="39">
        <f t="shared" si="54"/>
        <v>62</v>
      </c>
      <c r="E149" s="39">
        <f t="shared" si="54"/>
        <v>30</v>
      </c>
      <c r="F149" s="39">
        <f t="shared" si="54"/>
        <v>143</v>
      </c>
      <c r="G149" s="50">
        <f t="shared" si="51"/>
        <v>1078</v>
      </c>
      <c r="H149" s="44">
        <f t="shared" ref="H149:L149" si="56">H43+H44+H45+H46</f>
        <v>1</v>
      </c>
      <c r="I149" s="39">
        <f t="shared" si="56"/>
        <v>0</v>
      </c>
      <c r="J149" s="39">
        <f t="shared" si="56"/>
        <v>0</v>
      </c>
      <c r="K149" s="45">
        <f t="shared" si="56"/>
        <v>0</v>
      </c>
      <c r="L149" s="144">
        <f t="shared" si="56"/>
        <v>2</v>
      </c>
      <c r="M149" s="50">
        <f t="shared" si="16"/>
        <v>1</v>
      </c>
      <c r="N149" s="40">
        <f t="shared" si="17"/>
        <v>1079</v>
      </c>
      <c r="O149" s="43">
        <f t="shared" si="18"/>
        <v>1492</v>
      </c>
    </row>
    <row r="150" spans="1:15" ht="22.95" customHeight="1" x14ac:dyDescent="0.3">
      <c r="A150" s="52" t="s">
        <v>51</v>
      </c>
      <c r="B150" s="44">
        <f t="shared" si="54"/>
        <v>458</v>
      </c>
      <c r="C150" s="39">
        <f t="shared" si="54"/>
        <v>399</v>
      </c>
      <c r="D150" s="39">
        <f t="shared" si="54"/>
        <v>65</v>
      </c>
      <c r="E150" s="39">
        <f t="shared" si="54"/>
        <v>37</v>
      </c>
      <c r="F150" s="39">
        <f t="shared" si="54"/>
        <v>142</v>
      </c>
      <c r="G150" s="50">
        <f t="shared" si="51"/>
        <v>1101</v>
      </c>
      <c r="H150" s="44">
        <f t="shared" ref="H150:L150" si="57">H44+H45+H46+H47</f>
        <v>1</v>
      </c>
      <c r="I150" s="39">
        <f t="shared" si="57"/>
        <v>0</v>
      </c>
      <c r="J150" s="39">
        <f t="shared" si="57"/>
        <v>0</v>
      </c>
      <c r="K150" s="45">
        <f t="shared" si="57"/>
        <v>0</v>
      </c>
      <c r="L150" s="144">
        <f t="shared" si="57"/>
        <v>3</v>
      </c>
      <c r="M150" s="50">
        <f t="shared" si="16"/>
        <v>1</v>
      </c>
      <c r="N150" s="40">
        <f t="shared" si="17"/>
        <v>1102</v>
      </c>
      <c r="O150" s="43">
        <f t="shared" si="18"/>
        <v>1529.5</v>
      </c>
    </row>
    <row r="151" spans="1:15" ht="22.95" customHeight="1" x14ac:dyDescent="0.3">
      <c r="A151" s="52" t="s">
        <v>52</v>
      </c>
      <c r="B151" s="44">
        <f t="shared" si="54"/>
        <v>463</v>
      </c>
      <c r="C151" s="39">
        <f t="shared" si="54"/>
        <v>407</v>
      </c>
      <c r="D151" s="39">
        <f t="shared" si="54"/>
        <v>66</v>
      </c>
      <c r="E151" s="39">
        <f t="shared" si="54"/>
        <v>43</v>
      </c>
      <c r="F151" s="39">
        <f t="shared" si="54"/>
        <v>132</v>
      </c>
      <c r="G151" s="50">
        <f t="shared" si="51"/>
        <v>1111</v>
      </c>
      <c r="H151" s="44">
        <f t="shared" ref="H151:L151" si="58">H45+H46+H47+H48</f>
        <v>3</v>
      </c>
      <c r="I151" s="39">
        <f t="shared" si="58"/>
        <v>0</v>
      </c>
      <c r="J151" s="39">
        <f t="shared" si="58"/>
        <v>0</v>
      </c>
      <c r="K151" s="45">
        <f t="shared" si="58"/>
        <v>0</v>
      </c>
      <c r="L151" s="144">
        <f t="shared" si="58"/>
        <v>4</v>
      </c>
      <c r="M151" s="50">
        <f t="shared" si="16"/>
        <v>3</v>
      </c>
      <c r="N151" s="40">
        <f t="shared" si="17"/>
        <v>1114</v>
      </c>
      <c r="O151" s="43">
        <f t="shared" si="18"/>
        <v>1522</v>
      </c>
    </row>
    <row r="152" spans="1:15" ht="22.95" customHeight="1" x14ac:dyDescent="0.3">
      <c r="A152" s="52" t="s">
        <v>53</v>
      </c>
      <c r="B152" s="44">
        <f t="shared" si="54"/>
        <v>456</v>
      </c>
      <c r="C152" s="39">
        <f t="shared" si="54"/>
        <v>431</v>
      </c>
      <c r="D152" s="39">
        <f t="shared" si="54"/>
        <v>74</v>
      </c>
      <c r="E152" s="39">
        <f t="shared" si="54"/>
        <v>41</v>
      </c>
      <c r="F152" s="39">
        <f t="shared" si="54"/>
        <v>134</v>
      </c>
      <c r="G152" s="50">
        <f t="shared" si="51"/>
        <v>1136</v>
      </c>
      <c r="H152" s="44">
        <f t="shared" ref="H152:L152" si="59">H46+H47+H48+H49</f>
        <v>3</v>
      </c>
      <c r="I152" s="39">
        <f t="shared" si="59"/>
        <v>0</v>
      </c>
      <c r="J152" s="39">
        <f t="shared" si="59"/>
        <v>0</v>
      </c>
      <c r="K152" s="45">
        <f t="shared" si="59"/>
        <v>0</v>
      </c>
      <c r="L152" s="144">
        <f t="shared" si="59"/>
        <v>3</v>
      </c>
      <c r="M152" s="50">
        <f t="shared" si="16"/>
        <v>3</v>
      </c>
      <c r="N152" s="40">
        <f t="shared" si="17"/>
        <v>1139</v>
      </c>
      <c r="O152" s="43">
        <f t="shared" si="18"/>
        <v>1534</v>
      </c>
    </row>
    <row r="153" spans="1:15" ht="22.95" customHeight="1" x14ac:dyDescent="0.3">
      <c r="A153" s="52" t="s">
        <v>54</v>
      </c>
      <c r="B153" s="44">
        <f t="shared" si="54"/>
        <v>458</v>
      </c>
      <c r="C153" s="39">
        <f t="shared" si="54"/>
        <v>491</v>
      </c>
      <c r="D153" s="39">
        <f t="shared" si="54"/>
        <v>77</v>
      </c>
      <c r="E153" s="39">
        <f t="shared" si="54"/>
        <v>45</v>
      </c>
      <c r="F153" s="39">
        <f t="shared" si="54"/>
        <v>129</v>
      </c>
      <c r="G153" s="50">
        <f t="shared" si="51"/>
        <v>1200</v>
      </c>
      <c r="H153" s="44">
        <f t="shared" ref="H153:L153" si="60">H47+H48+H49+H50</f>
        <v>3</v>
      </c>
      <c r="I153" s="39">
        <f t="shared" si="60"/>
        <v>0</v>
      </c>
      <c r="J153" s="39">
        <f t="shared" si="60"/>
        <v>0</v>
      </c>
      <c r="K153" s="45">
        <f t="shared" si="60"/>
        <v>0</v>
      </c>
      <c r="L153" s="144">
        <f t="shared" si="60"/>
        <v>6</v>
      </c>
      <c r="M153" s="50">
        <f t="shared" si="16"/>
        <v>3</v>
      </c>
      <c r="N153" s="40">
        <f t="shared" si="17"/>
        <v>1203</v>
      </c>
      <c r="O153" s="43">
        <f t="shared" si="18"/>
        <v>1584</v>
      </c>
    </row>
    <row r="154" spans="1:15" ht="22.95" customHeight="1" x14ac:dyDescent="0.3">
      <c r="A154" s="52" t="s">
        <v>55</v>
      </c>
      <c r="B154" s="44">
        <f t="shared" si="54"/>
        <v>457</v>
      </c>
      <c r="C154" s="39">
        <f t="shared" si="54"/>
        <v>510</v>
      </c>
      <c r="D154" s="39">
        <f t="shared" si="54"/>
        <v>80</v>
      </c>
      <c r="E154" s="39">
        <f t="shared" si="54"/>
        <v>37</v>
      </c>
      <c r="F154" s="39">
        <f t="shared" si="54"/>
        <v>127</v>
      </c>
      <c r="G154" s="50">
        <f t="shared" si="51"/>
        <v>1211</v>
      </c>
      <c r="H154" s="44">
        <f t="shared" ref="H154:L154" si="61">H48+H49+H50+H51</f>
        <v>4</v>
      </c>
      <c r="I154" s="39">
        <f t="shared" si="61"/>
        <v>0</v>
      </c>
      <c r="J154" s="39">
        <f t="shared" si="61"/>
        <v>0</v>
      </c>
      <c r="K154" s="45">
        <f t="shared" si="61"/>
        <v>0</v>
      </c>
      <c r="L154" s="144">
        <f t="shared" si="61"/>
        <v>5</v>
      </c>
      <c r="M154" s="50">
        <f t="shared" si="16"/>
        <v>4</v>
      </c>
      <c r="N154" s="40">
        <f t="shared" si="17"/>
        <v>1215</v>
      </c>
      <c r="O154" s="43">
        <f t="shared" si="18"/>
        <v>1556.5</v>
      </c>
    </row>
    <row r="155" spans="1:15" ht="22.95" customHeight="1" x14ac:dyDescent="0.3">
      <c r="A155" s="52" t="s">
        <v>56</v>
      </c>
      <c r="B155" s="44">
        <f t="shared" si="54"/>
        <v>436</v>
      </c>
      <c r="C155" s="39">
        <f t="shared" si="54"/>
        <v>496</v>
      </c>
      <c r="D155" s="39">
        <f t="shared" si="54"/>
        <v>85</v>
      </c>
      <c r="E155" s="39">
        <f t="shared" si="54"/>
        <v>34</v>
      </c>
      <c r="F155" s="39">
        <f t="shared" si="54"/>
        <v>120</v>
      </c>
      <c r="G155" s="50">
        <f t="shared" si="51"/>
        <v>1171</v>
      </c>
      <c r="H155" s="44">
        <f t="shared" ref="H155:L155" si="62">H49+H50+H51+H52</f>
        <v>3</v>
      </c>
      <c r="I155" s="39">
        <f t="shared" si="62"/>
        <v>0</v>
      </c>
      <c r="J155" s="39">
        <f t="shared" si="62"/>
        <v>0</v>
      </c>
      <c r="K155" s="45">
        <f t="shared" si="62"/>
        <v>0</v>
      </c>
      <c r="L155" s="144">
        <f t="shared" si="62"/>
        <v>4</v>
      </c>
      <c r="M155" s="50">
        <f t="shared" si="16"/>
        <v>3</v>
      </c>
      <c r="N155" s="40">
        <f t="shared" si="17"/>
        <v>1174</v>
      </c>
      <c r="O155" s="43">
        <f t="shared" si="18"/>
        <v>1487</v>
      </c>
    </row>
    <row r="156" spans="1:15" ht="22.95" customHeight="1" x14ac:dyDescent="0.3">
      <c r="A156" s="52" t="s">
        <v>57</v>
      </c>
      <c r="B156" s="44">
        <f t="shared" si="54"/>
        <v>435</v>
      </c>
      <c r="C156" s="39">
        <f t="shared" si="54"/>
        <v>489</v>
      </c>
      <c r="D156" s="39">
        <f t="shared" si="54"/>
        <v>88</v>
      </c>
      <c r="E156" s="39">
        <f t="shared" si="54"/>
        <v>32</v>
      </c>
      <c r="F156" s="39">
        <f t="shared" si="54"/>
        <v>117</v>
      </c>
      <c r="G156" s="50">
        <f t="shared" si="51"/>
        <v>1161</v>
      </c>
      <c r="H156" s="44">
        <f t="shared" ref="H156:L156" si="63">H50+H51+H52+H53</f>
        <v>3</v>
      </c>
      <c r="I156" s="39">
        <f t="shared" si="63"/>
        <v>0</v>
      </c>
      <c r="J156" s="39">
        <f t="shared" si="63"/>
        <v>0</v>
      </c>
      <c r="K156" s="45">
        <f t="shared" si="63"/>
        <v>0</v>
      </c>
      <c r="L156" s="144">
        <f t="shared" si="63"/>
        <v>4</v>
      </c>
      <c r="M156" s="50">
        <f t="shared" si="16"/>
        <v>3</v>
      </c>
      <c r="N156" s="40">
        <f t="shared" si="17"/>
        <v>1164</v>
      </c>
      <c r="O156" s="43">
        <f t="shared" si="18"/>
        <v>1467.5</v>
      </c>
    </row>
    <row r="157" spans="1:15" ht="22.95" customHeight="1" x14ac:dyDescent="0.3">
      <c r="A157" s="52" t="s">
        <v>58</v>
      </c>
      <c r="B157" s="44">
        <f t="shared" si="54"/>
        <v>424</v>
      </c>
      <c r="C157" s="39">
        <f t="shared" si="54"/>
        <v>427</v>
      </c>
      <c r="D157" s="39">
        <f t="shared" si="54"/>
        <v>90</v>
      </c>
      <c r="E157" s="39">
        <f t="shared" si="54"/>
        <v>31</v>
      </c>
      <c r="F157" s="39">
        <f t="shared" si="54"/>
        <v>136</v>
      </c>
      <c r="G157" s="50">
        <f t="shared" si="51"/>
        <v>1108</v>
      </c>
      <c r="H157" s="44">
        <f t="shared" ref="H157:L157" si="64">H51+H52+H53+H54</f>
        <v>5</v>
      </c>
      <c r="I157" s="39">
        <f t="shared" si="64"/>
        <v>0</v>
      </c>
      <c r="J157" s="39">
        <f t="shared" si="64"/>
        <v>0</v>
      </c>
      <c r="K157" s="45">
        <f t="shared" si="64"/>
        <v>0</v>
      </c>
      <c r="L157" s="144">
        <f t="shared" si="64"/>
        <v>3</v>
      </c>
      <c r="M157" s="50">
        <f t="shared" si="16"/>
        <v>5</v>
      </c>
      <c r="N157" s="40">
        <f t="shared" si="17"/>
        <v>1113</v>
      </c>
      <c r="O157" s="43">
        <f t="shared" si="18"/>
        <v>1504</v>
      </c>
    </row>
    <row r="158" spans="1:15" ht="22.95" customHeight="1" x14ac:dyDescent="0.3">
      <c r="A158" s="52" t="s">
        <v>59</v>
      </c>
      <c r="B158" s="44">
        <f t="shared" si="54"/>
        <v>394</v>
      </c>
      <c r="C158" s="39">
        <f t="shared" si="54"/>
        <v>397</v>
      </c>
      <c r="D158" s="39">
        <f t="shared" si="54"/>
        <v>91</v>
      </c>
      <c r="E158" s="39">
        <f t="shared" si="54"/>
        <v>32</v>
      </c>
      <c r="F158" s="39">
        <f t="shared" si="54"/>
        <v>137</v>
      </c>
      <c r="G158" s="50">
        <f t="shared" si="51"/>
        <v>1051</v>
      </c>
      <c r="H158" s="44">
        <f t="shared" ref="H158:L158" si="65">H52+H53+H54+H55</f>
        <v>4</v>
      </c>
      <c r="I158" s="39">
        <f t="shared" si="65"/>
        <v>0</v>
      </c>
      <c r="J158" s="39">
        <f t="shared" si="65"/>
        <v>0</v>
      </c>
      <c r="K158" s="45">
        <f t="shared" si="65"/>
        <v>0</v>
      </c>
      <c r="L158" s="144">
        <f t="shared" si="65"/>
        <v>4</v>
      </c>
      <c r="M158" s="50">
        <f t="shared" si="16"/>
        <v>4</v>
      </c>
      <c r="N158" s="40">
        <f t="shared" si="17"/>
        <v>1055</v>
      </c>
      <c r="O158" s="43">
        <f t="shared" si="18"/>
        <v>1475.5</v>
      </c>
    </row>
    <row r="159" spans="1:15" ht="22.95" customHeight="1" x14ac:dyDescent="0.3">
      <c r="A159" s="52" t="s">
        <v>77</v>
      </c>
      <c r="B159" s="44">
        <f t="shared" si="54"/>
        <v>380</v>
      </c>
      <c r="C159" s="39">
        <f t="shared" si="54"/>
        <v>423</v>
      </c>
      <c r="D159" s="39">
        <f t="shared" si="54"/>
        <v>81</v>
      </c>
      <c r="E159" s="39">
        <f t="shared" si="54"/>
        <v>31</v>
      </c>
      <c r="F159" s="39">
        <f t="shared" si="54"/>
        <v>130</v>
      </c>
      <c r="G159" s="50">
        <f t="shared" si="51"/>
        <v>1045</v>
      </c>
      <c r="H159" s="44">
        <f t="shared" ref="H159:L159" si="66">H53+H54+H55+H56</f>
        <v>3</v>
      </c>
      <c r="I159" s="39">
        <f t="shared" si="66"/>
        <v>0</v>
      </c>
      <c r="J159" s="39">
        <f t="shared" si="66"/>
        <v>0</v>
      </c>
      <c r="K159" s="45">
        <f t="shared" si="66"/>
        <v>0</v>
      </c>
      <c r="L159" s="144">
        <f t="shared" si="66"/>
        <v>6</v>
      </c>
      <c r="M159" s="50">
        <f t="shared" si="16"/>
        <v>3</v>
      </c>
      <c r="N159" s="40">
        <f t="shared" si="17"/>
        <v>1048</v>
      </c>
      <c r="O159" s="43">
        <f t="shared" si="18"/>
        <v>1440.5</v>
      </c>
    </row>
    <row r="160" spans="1:15" ht="22.95" customHeight="1" x14ac:dyDescent="0.3">
      <c r="A160" s="52" t="s">
        <v>75</v>
      </c>
      <c r="B160" s="44">
        <f t="shared" si="54"/>
        <v>363</v>
      </c>
      <c r="C160" s="39">
        <f t="shared" si="54"/>
        <v>386</v>
      </c>
      <c r="D160" s="39">
        <f t="shared" si="54"/>
        <v>67</v>
      </c>
      <c r="E160" s="39">
        <f t="shared" si="54"/>
        <v>29</v>
      </c>
      <c r="F160" s="39">
        <f t="shared" si="54"/>
        <v>131</v>
      </c>
      <c r="G160" s="50">
        <f t="shared" si="51"/>
        <v>976</v>
      </c>
      <c r="H160" s="44">
        <f t="shared" ref="H160:L160" si="67">H54+H55+H56+H57</f>
        <v>3</v>
      </c>
      <c r="I160" s="39">
        <f t="shared" si="67"/>
        <v>0</v>
      </c>
      <c r="J160" s="39">
        <f t="shared" si="67"/>
        <v>2</v>
      </c>
      <c r="K160" s="45">
        <f t="shared" si="67"/>
        <v>0</v>
      </c>
      <c r="L160" s="144">
        <f t="shared" si="67"/>
        <v>5</v>
      </c>
      <c r="M160" s="50">
        <f t="shared" si="16"/>
        <v>5</v>
      </c>
      <c r="N160" s="40">
        <f t="shared" si="17"/>
        <v>981</v>
      </c>
      <c r="O160" s="43">
        <f t="shared" si="18"/>
        <v>1380.5</v>
      </c>
    </row>
    <row r="161" spans="1:15" ht="22.95" customHeight="1" x14ac:dyDescent="0.3">
      <c r="A161" s="52" t="s">
        <v>76</v>
      </c>
      <c r="B161" s="44">
        <f t="shared" si="54"/>
        <v>339</v>
      </c>
      <c r="C161" s="39">
        <f t="shared" si="54"/>
        <v>364</v>
      </c>
      <c r="D161" s="39">
        <f t="shared" si="54"/>
        <v>57</v>
      </c>
      <c r="E161" s="39">
        <f t="shared" si="54"/>
        <v>26</v>
      </c>
      <c r="F161" s="39">
        <f t="shared" si="54"/>
        <v>125</v>
      </c>
      <c r="G161" s="50">
        <f t="shared" si="51"/>
        <v>911</v>
      </c>
      <c r="H161" s="44">
        <f t="shared" ref="H161:L161" si="68">H55+H56+H57+H58</f>
        <v>0</v>
      </c>
      <c r="I161" s="39">
        <f t="shared" si="68"/>
        <v>0</v>
      </c>
      <c r="J161" s="39">
        <f t="shared" si="68"/>
        <v>2</v>
      </c>
      <c r="K161" s="45">
        <f t="shared" si="68"/>
        <v>0</v>
      </c>
      <c r="L161" s="144">
        <f t="shared" si="68"/>
        <v>3</v>
      </c>
      <c r="M161" s="50">
        <f t="shared" si="16"/>
        <v>2</v>
      </c>
      <c r="N161" s="40">
        <f t="shared" si="17"/>
        <v>913</v>
      </c>
      <c r="O161" s="43">
        <f t="shared" si="18"/>
        <v>1277</v>
      </c>
    </row>
    <row r="162" spans="1:15" ht="22.95" customHeight="1" x14ac:dyDescent="0.3">
      <c r="A162" s="52" t="s">
        <v>70</v>
      </c>
      <c r="B162" s="44">
        <f t="shared" si="54"/>
        <v>336</v>
      </c>
      <c r="C162" s="39">
        <f t="shared" si="54"/>
        <v>318</v>
      </c>
      <c r="D162" s="39">
        <f t="shared" si="54"/>
        <v>49</v>
      </c>
      <c r="E162" s="39">
        <f t="shared" si="54"/>
        <v>26</v>
      </c>
      <c r="F162" s="39">
        <f t="shared" si="54"/>
        <v>141</v>
      </c>
      <c r="G162" s="50">
        <f t="shared" si="51"/>
        <v>870</v>
      </c>
      <c r="H162" s="44">
        <f t="shared" ref="H162:L162" si="69">H56+H57+H58+H59</f>
        <v>0</v>
      </c>
      <c r="I162" s="39">
        <f t="shared" si="69"/>
        <v>0</v>
      </c>
      <c r="J162" s="39">
        <f t="shared" si="69"/>
        <v>2</v>
      </c>
      <c r="K162" s="45">
        <f t="shared" si="69"/>
        <v>0</v>
      </c>
      <c r="L162" s="144">
        <f t="shared" si="69"/>
        <v>2</v>
      </c>
      <c r="M162" s="50">
        <f t="shared" si="16"/>
        <v>2</v>
      </c>
      <c r="N162" s="40">
        <f t="shared" si="17"/>
        <v>872</v>
      </c>
      <c r="O162" s="43">
        <f t="shared" si="18"/>
        <v>1303</v>
      </c>
    </row>
    <row r="163" spans="1:15" ht="22.95" customHeight="1" x14ac:dyDescent="0.3">
      <c r="A163" s="52" t="s">
        <v>71</v>
      </c>
      <c r="B163" s="44">
        <f t="shared" si="54"/>
        <v>350</v>
      </c>
      <c r="C163" s="39">
        <f t="shared" si="54"/>
        <v>270</v>
      </c>
      <c r="D163" s="39">
        <f t="shared" si="54"/>
        <v>45</v>
      </c>
      <c r="E163" s="39">
        <f t="shared" si="54"/>
        <v>27</v>
      </c>
      <c r="F163" s="39">
        <f t="shared" si="54"/>
        <v>165</v>
      </c>
      <c r="G163" s="50">
        <f t="shared" si="51"/>
        <v>857</v>
      </c>
      <c r="H163" s="44">
        <f t="shared" ref="H163:L163" si="70">H57+H58+H59+H60</f>
        <v>0</v>
      </c>
      <c r="I163" s="39">
        <f t="shared" si="70"/>
        <v>0</v>
      </c>
      <c r="J163" s="39">
        <f t="shared" si="70"/>
        <v>2</v>
      </c>
      <c r="K163" s="45">
        <f t="shared" si="70"/>
        <v>0</v>
      </c>
      <c r="L163" s="144">
        <f t="shared" si="70"/>
        <v>0</v>
      </c>
      <c r="M163" s="50">
        <f t="shared" si="16"/>
        <v>2</v>
      </c>
      <c r="N163" s="40">
        <f t="shared" si="17"/>
        <v>859</v>
      </c>
      <c r="O163" s="43">
        <f t="shared" si="18"/>
        <v>1382</v>
      </c>
    </row>
    <row r="164" spans="1:15" ht="22.95" customHeight="1" x14ac:dyDescent="0.3">
      <c r="A164" s="52" t="s">
        <v>72</v>
      </c>
      <c r="B164" s="44">
        <f t="shared" ref="B164:F179" si="71">B58+B59+B60+B61</f>
        <v>343</v>
      </c>
      <c r="C164" s="39">
        <f t="shared" si="71"/>
        <v>223</v>
      </c>
      <c r="D164" s="39">
        <f t="shared" si="71"/>
        <v>47</v>
      </c>
      <c r="E164" s="39">
        <f t="shared" si="71"/>
        <v>29</v>
      </c>
      <c r="F164" s="39">
        <f t="shared" si="71"/>
        <v>176</v>
      </c>
      <c r="G164" s="50">
        <f t="shared" si="51"/>
        <v>818</v>
      </c>
      <c r="H164" s="44">
        <f t="shared" ref="H164:L164" si="72">H58+H59+H60+H61</f>
        <v>0</v>
      </c>
      <c r="I164" s="39">
        <f t="shared" si="72"/>
        <v>0</v>
      </c>
      <c r="J164" s="39">
        <f t="shared" si="72"/>
        <v>0</v>
      </c>
      <c r="K164" s="45">
        <f t="shared" si="72"/>
        <v>0</v>
      </c>
      <c r="L164" s="144">
        <f t="shared" si="72"/>
        <v>0</v>
      </c>
      <c r="M164" s="50">
        <f t="shared" si="16"/>
        <v>0</v>
      </c>
      <c r="N164" s="40">
        <f t="shared" si="17"/>
        <v>818</v>
      </c>
      <c r="O164" s="43">
        <f t="shared" si="18"/>
        <v>1404</v>
      </c>
    </row>
    <row r="165" spans="1:15" ht="22.95" customHeight="1" x14ac:dyDescent="0.3">
      <c r="A165" s="52" t="s">
        <v>73</v>
      </c>
      <c r="B165" s="44">
        <f t="shared" si="71"/>
        <v>305</v>
      </c>
      <c r="C165" s="39">
        <f t="shared" si="71"/>
        <v>194</v>
      </c>
      <c r="D165" s="39">
        <f t="shared" si="71"/>
        <v>39</v>
      </c>
      <c r="E165" s="39">
        <f t="shared" si="71"/>
        <v>30</v>
      </c>
      <c r="F165" s="39">
        <f t="shared" si="71"/>
        <v>176</v>
      </c>
      <c r="G165" s="50">
        <f t="shared" si="51"/>
        <v>744</v>
      </c>
      <c r="H165" s="44">
        <f t="shared" ref="H165:L165" si="73">H59+H60+H61+H62</f>
        <v>0</v>
      </c>
      <c r="I165" s="39">
        <f t="shared" si="73"/>
        <v>0</v>
      </c>
      <c r="J165" s="39">
        <f t="shared" si="73"/>
        <v>0</v>
      </c>
      <c r="K165" s="45">
        <f t="shared" si="73"/>
        <v>0</v>
      </c>
      <c r="L165" s="144">
        <f t="shared" si="73"/>
        <v>0</v>
      </c>
      <c r="M165" s="50">
        <f t="shared" si="16"/>
        <v>0</v>
      </c>
      <c r="N165" s="40">
        <f t="shared" si="17"/>
        <v>744</v>
      </c>
      <c r="O165" s="43">
        <f t="shared" si="18"/>
        <v>1342.5</v>
      </c>
    </row>
    <row r="166" spans="1:15" ht="22.95" customHeight="1" x14ac:dyDescent="0.3">
      <c r="A166" s="52" t="s">
        <v>74</v>
      </c>
      <c r="B166" s="44">
        <f t="shared" si="71"/>
        <v>266</v>
      </c>
      <c r="C166" s="39">
        <f t="shared" si="71"/>
        <v>174</v>
      </c>
      <c r="D166" s="39">
        <f t="shared" si="71"/>
        <v>30</v>
      </c>
      <c r="E166" s="39">
        <f t="shared" si="71"/>
        <v>30</v>
      </c>
      <c r="F166" s="39">
        <f t="shared" si="71"/>
        <v>161</v>
      </c>
      <c r="G166" s="50">
        <f t="shared" si="51"/>
        <v>661</v>
      </c>
      <c r="H166" s="44">
        <f t="shared" ref="H166:L166" si="74">H60+H61+H62+H63</f>
        <v>0</v>
      </c>
      <c r="I166" s="39">
        <f t="shared" si="74"/>
        <v>0</v>
      </c>
      <c r="J166" s="39">
        <f t="shared" si="74"/>
        <v>0</v>
      </c>
      <c r="K166" s="45">
        <f t="shared" si="74"/>
        <v>0</v>
      </c>
      <c r="L166" s="144">
        <f t="shared" si="74"/>
        <v>0</v>
      </c>
      <c r="M166" s="50">
        <f t="shared" si="16"/>
        <v>0</v>
      </c>
      <c r="N166" s="40">
        <f t="shared" si="17"/>
        <v>661</v>
      </c>
      <c r="O166" s="43">
        <f t="shared" si="18"/>
        <v>1212.5</v>
      </c>
    </row>
    <row r="167" spans="1:15" ht="22.95" customHeight="1" x14ac:dyDescent="0.3">
      <c r="A167" s="52" t="s">
        <v>262</v>
      </c>
      <c r="B167" s="44">
        <f t="shared" si="71"/>
        <v>225</v>
      </c>
      <c r="C167" s="39">
        <f t="shared" si="71"/>
        <v>136</v>
      </c>
      <c r="D167" s="39">
        <f t="shared" si="71"/>
        <v>28</v>
      </c>
      <c r="E167" s="39">
        <f t="shared" si="71"/>
        <v>30</v>
      </c>
      <c r="F167" s="39">
        <f t="shared" si="71"/>
        <v>148</v>
      </c>
      <c r="G167" s="50">
        <f t="shared" si="51"/>
        <v>567</v>
      </c>
      <c r="H167" s="44">
        <f t="shared" ref="H167:L167" si="75">H61+H62+H63+H64</f>
        <v>0</v>
      </c>
      <c r="I167" s="39">
        <f t="shared" si="75"/>
        <v>0</v>
      </c>
      <c r="J167" s="39">
        <f t="shared" si="75"/>
        <v>0</v>
      </c>
      <c r="K167" s="45">
        <f t="shared" si="75"/>
        <v>0</v>
      </c>
      <c r="L167" s="144">
        <f t="shared" si="75"/>
        <v>0</v>
      </c>
      <c r="M167" s="50">
        <f t="shared" si="16"/>
        <v>0</v>
      </c>
      <c r="N167" s="40">
        <f t="shared" si="17"/>
        <v>567</v>
      </c>
      <c r="O167" s="43">
        <f t="shared" si="18"/>
        <v>1091</v>
      </c>
    </row>
    <row r="168" spans="1:15" ht="22.95" customHeight="1" x14ac:dyDescent="0.3">
      <c r="A168" s="52" t="s">
        <v>263</v>
      </c>
      <c r="B168" s="44">
        <f t="shared" si="71"/>
        <v>180</v>
      </c>
      <c r="C168" s="39">
        <f t="shared" si="71"/>
        <v>120</v>
      </c>
      <c r="D168" s="39">
        <f t="shared" si="71"/>
        <v>24</v>
      </c>
      <c r="E168" s="39">
        <f t="shared" si="71"/>
        <v>30</v>
      </c>
      <c r="F168" s="39">
        <f t="shared" si="71"/>
        <v>152</v>
      </c>
      <c r="G168" s="50">
        <f t="shared" si="51"/>
        <v>506</v>
      </c>
      <c r="H168" s="44">
        <f t="shared" ref="H168:L168" si="76">H62+H63+H64+H65</f>
        <v>0</v>
      </c>
      <c r="I168" s="39">
        <f t="shared" si="76"/>
        <v>0</v>
      </c>
      <c r="J168" s="39">
        <f t="shared" si="76"/>
        <v>0</v>
      </c>
      <c r="K168" s="45">
        <f t="shared" si="76"/>
        <v>0</v>
      </c>
      <c r="L168" s="144">
        <f t="shared" si="76"/>
        <v>0</v>
      </c>
      <c r="M168" s="50">
        <f t="shared" si="16"/>
        <v>0</v>
      </c>
      <c r="N168" s="40">
        <f t="shared" si="17"/>
        <v>506</v>
      </c>
      <c r="O168" s="43">
        <f t="shared" si="18"/>
        <v>1050</v>
      </c>
    </row>
    <row r="169" spans="1:15" ht="22.95" customHeight="1" x14ac:dyDescent="0.3">
      <c r="A169" s="52" t="s">
        <v>264</v>
      </c>
      <c r="B169" s="44">
        <f t="shared" si="71"/>
        <v>156</v>
      </c>
      <c r="C169" s="39">
        <f t="shared" si="71"/>
        <v>99</v>
      </c>
      <c r="D169" s="39">
        <f t="shared" si="71"/>
        <v>27</v>
      </c>
      <c r="E169" s="39">
        <f t="shared" si="71"/>
        <v>28</v>
      </c>
      <c r="F169" s="39">
        <f t="shared" si="71"/>
        <v>160</v>
      </c>
      <c r="G169" s="50">
        <f t="shared" si="51"/>
        <v>470</v>
      </c>
      <c r="H169" s="44">
        <f t="shared" ref="H169:L169" si="77">H63+H64+H65+H66</f>
        <v>0</v>
      </c>
      <c r="I169" s="39">
        <f t="shared" si="77"/>
        <v>0</v>
      </c>
      <c r="J169" s="39">
        <f t="shared" si="77"/>
        <v>0</v>
      </c>
      <c r="K169" s="45">
        <f t="shared" si="77"/>
        <v>0</v>
      </c>
      <c r="L169" s="144">
        <f t="shared" si="77"/>
        <v>0</v>
      </c>
      <c r="M169" s="50">
        <f t="shared" si="16"/>
        <v>0</v>
      </c>
      <c r="N169" s="40">
        <f t="shared" si="17"/>
        <v>470</v>
      </c>
      <c r="O169" s="43">
        <f t="shared" si="18"/>
        <v>1050</v>
      </c>
    </row>
    <row r="170" spans="1:15" ht="22.95" customHeight="1" x14ac:dyDescent="0.3">
      <c r="A170" s="52" t="s">
        <v>265</v>
      </c>
      <c r="B170" s="44">
        <f t="shared" si="71"/>
        <v>136</v>
      </c>
      <c r="C170" s="39">
        <f t="shared" si="71"/>
        <v>77</v>
      </c>
      <c r="D170" s="39">
        <f t="shared" si="71"/>
        <v>31</v>
      </c>
      <c r="E170" s="39">
        <f t="shared" si="71"/>
        <v>25</v>
      </c>
      <c r="F170" s="39">
        <f t="shared" si="71"/>
        <v>161</v>
      </c>
      <c r="G170" s="50">
        <f t="shared" si="51"/>
        <v>430</v>
      </c>
      <c r="H170" s="44">
        <f t="shared" ref="H170:L170" si="78">H64+H65+H66+H67</f>
        <v>0</v>
      </c>
      <c r="I170" s="39">
        <f t="shared" si="78"/>
        <v>0</v>
      </c>
      <c r="J170" s="39">
        <f t="shared" si="78"/>
        <v>0</v>
      </c>
      <c r="K170" s="45">
        <f t="shared" si="78"/>
        <v>0</v>
      </c>
      <c r="L170" s="144">
        <f t="shared" si="78"/>
        <v>0</v>
      </c>
      <c r="M170" s="50">
        <f t="shared" si="16"/>
        <v>0</v>
      </c>
      <c r="N170" s="40">
        <f t="shared" si="17"/>
        <v>430</v>
      </c>
      <c r="O170" s="43">
        <f t="shared" si="18"/>
        <v>1020.5</v>
      </c>
    </row>
    <row r="171" spans="1:15" ht="22.95" customHeight="1" x14ac:dyDescent="0.3">
      <c r="A171" s="52" t="s">
        <v>266</v>
      </c>
      <c r="B171" s="44">
        <f t="shared" si="71"/>
        <v>116</v>
      </c>
      <c r="C171" s="39">
        <f t="shared" si="71"/>
        <v>56</v>
      </c>
      <c r="D171" s="39">
        <f t="shared" si="71"/>
        <v>35</v>
      </c>
      <c r="E171" s="39">
        <f t="shared" si="71"/>
        <v>34</v>
      </c>
      <c r="F171" s="39">
        <f t="shared" si="71"/>
        <v>160</v>
      </c>
      <c r="G171" s="50">
        <f t="shared" si="51"/>
        <v>401</v>
      </c>
      <c r="H171" s="44">
        <f t="shared" ref="H171:L171" si="79">H65+H66+H67+H68</f>
        <v>0</v>
      </c>
      <c r="I171" s="39">
        <f t="shared" si="79"/>
        <v>0</v>
      </c>
      <c r="J171" s="39">
        <f t="shared" si="79"/>
        <v>0</v>
      </c>
      <c r="K171" s="45">
        <f t="shared" si="79"/>
        <v>0</v>
      </c>
      <c r="L171" s="144">
        <f t="shared" si="79"/>
        <v>0</v>
      </c>
      <c r="M171" s="50">
        <f t="shared" si="16"/>
        <v>0</v>
      </c>
      <c r="N171" s="40">
        <f t="shared" si="17"/>
        <v>401</v>
      </c>
      <c r="O171" s="43">
        <f t="shared" si="18"/>
        <v>1018.5</v>
      </c>
    </row>
    <row r="172" spans="1:15" ht="22.95" customHeight="1" x14ac:dyDescent="0.3">
      <c r="A172" s="52" t="s">
        <v>267</v>
      </c>
      <c r="B172" s="44">
        <f t="shared" si="71"/>
        <v>102</v>
      </c>
      <c r="C172" s="39">
        <f t="shared" si="71"/>
        <v>37</v>
      </c>
      <c r="D172" s="39">
        <f t="shared" si="71"/>
        <v>31</v>
      </c>
      <c r="E172" s="39">
        <f t="shared" si="71"/>
        <v>41</v>
      </c>
      <c r="F172" s="39">
        <f t="shared" si="71"/>
        <v>145</v>
      </c>
      <c r="G172" s="50">
        <f t="shared" si="51"/>
        <v>356</v>
      </c>
      <c r="H172" s="44">
        <f t="shared" ref="H172:L172" si="80">H66+H67+H68+H69</f>
        <v>0</v>
      </c>
      <c r="I172" s="39">
        <f t="shared" si="80"/>
        <v>0</v>
      </c>
      <c r="J172" s="39">
        <f t="shared" si="80"/>
        <v>0</v>
      </c>
      <c r="K172" s="45">
        <f t="shared" si="80"/>
        <v>0</v>
      </c>
      <c r="L172" s="144">
        <f t="shared" si="80"/>
        <v>0</v>
      </c>
      <c r="M172" s="50">
        <f t="shared" si="16"/>
        <v>0</v>
      </c>
      <c r="N172" s="40">
        <f t="shared" si="17"/>
        <v>356</v>
      </c>
      <c r="O172" s="43">
        <f t="shared" si="18"/>
        <v>942.5</v>
      </c>
    </row>
    <row r="173" spans="1:15" ht="22.95" customHeight="1" x14ac:dyDescent="0.3">
      <c r="A173" s="52" t="s">
        <v>268</v>
      </c>
      <c r="B173" s="44">
        <f t="shared" si="71"/>
        <v>91</v>
      </c>
      <c r="C173" s="39">
        <f t="shared" si="71"/>
        <v>27</v>
      </c>
      <c r="D173" s="39">
        <f t="shared" si="71"/>
        <v>31</v>
      </c>
      <c r="E173" s="39">
        <f t="shared" si="71"/>
        <v>52</v>
      </c>
      <c r="F173" s="39">
        <f t="shared" si="71"/>
        <v>138</v>
      </c>
      <c r="G173" s="50">
        <f t="shared" si="51"/>
        <v>339</v>
      </c>
      <c r="H173" s="44">
        <f t="shared" ref="H173:L173" si="81">H67+H68+H69+H70</f>
        <v>0</v>
      </c>
      <c r="I173" s="39">
        <f t="shared" si="81"/>
        <v>0</v>
      </c>
      <c r="J173" s="39">
        <f t="shared" si="81"/>
        <v>0</v>
      </c>
      <c r="K173" s="45">
        <f t="shared" si="81"/>
        <v>0</v>
      </c>
      <c r="L173" s="144">
        <f t="shared" si="81"/>
        <v>0</v>
      </c>
      <c r="M173" s="50">
        <f t="shared" si="16"/>
        <v>0</v>
      </c>
      <c r="N173" s="40">
        <f t="shared" si="17"/>
        <v>339</v>
      </c>
      <c r="O173" s="43">
        <f t="shared" si="18"/>
        <v>928</v>
      </c>
    </row>
    <row r="174" spans="1:15" ht="22.95" customHeight="1" x14ac:dyDescent="0.3">
      <c r="A174" s="52" t="s">
        <v>269</v>
      </c>
      <c r="B174" s="44">
        <f t="shared" si="71"/>
        <v>78</v>
      </c>
      <c r="C174" s="39">
        <f t="shared" si="71"/>
        <v>27</v>
      </c>
      <c r="D174" s="39">
        <f t="shared" si="71"/>
        <v>26</v>
      </c>
      <c r="E174" s="39">
        <f t="shared" si="71"/>
        <v>64</v>
      </c>
      <c r="F174" s="39">
        <f t="shared" si="71"/>
        <v>147</v>
      </c>
      <c r="G174" s="50">
        <f t="shared" si="51"/>
        <v>342</v>
      </c>
      <c r="H174" s="44">
        <f t="shared" ref="H174:L174" si="82">H68+H69+H70+H71</f>
        <v>0</v>
      </c>
      <c r="I174" s="39">
        <f t="shared" si="82"/>
        <v>0</v>
      </c>
      <c r="J174" s="39">
        <f t="shared" si="82"/>
        <v>0</v>
      </c>
      <c r="K174" s="45">
        <f t="shared" si="82"/>
        <v>0</v>
      </c>
      <c r="L174" s="144">
        <f t="shared" si="82"/>
        <v>0</v>
      </c>
      <c r="M174" s="50">
        <f t="shared" si="16"/>
        <v>0</v>
      </c>
      <c r="N174" s="40">
        <f t="shared" si="17"/>
        <v>342</v>
      </c>
      <c r="O174" s="43">
        <f t="shared" si="18"/>
        <v>984</v>
      </c>
    </row>
    <row r="175" spans="1:15" ht="22.95" customHeight="1" x14ac:dyDescent="0.3">
      <c r="A175" s="54" t="s">
        <v>241</v>
      </c>
      <c r="B175" s="44">
        <f t="shared" si="71"/>
        <v>68</v>
      </c>
      <c r="C175" s="39">
        <f t="shared" si="71"/>
        <v>23</v>
      </c>
      <c r="D175" s="39">
        <f t="shared" si="71"/>
        <v>37</v>
      </c>
      <c r="E175" s="39">
        <f t="shared" si="71"/>
        <v>51</v>
      </c>
      <c r="F175" s="39">
        <f t="shared" si="71"/>
        <v>142</v>
      </c>
      <c r="G175" s="50">
        <f t="shared" si="51"/>
        <v>321</v>
      </c>
      <c r="H175" s="44">
        <f t="shared" ref="H175:L175" si="83">H69+H70+H71+H72</f>
        <v>0</v>
      </c>
      <c r="I175" s="39">
        <f t="shared" si="83"/>
        <v>0</v>
      </c>
      <c r="J175" s="39">
        <f t="shared" si="83"/>
        <v>0</v>
      </c>
      <c r="K175" s="45">
        <f t="shared" si="83"/>
        <v>0</v>
      </c>
      <c r="L175" s="144">
        <f t="shared" si="83"/>
        <v>0</v>
      </c>
      <c r="M175" s="50">
        <f t="shared" si="16"/>
        <v>0</v>
      </c>
      <c r="N175" s="40">
        <f t="shared" si="17"/>
        <v>321</v>
      </c>
      <c r="O175" s="43">
        <f t="shared" si="18"/>
        <v>927</v>
      </c>
    </row>
    <row r="176" spans="1:15" ht="22.95" customHeight="1" x14ac:dyDescent="0.3">
      <c r="A176" s="52" t="s">
        <v>242</v>
      </c>
      <c r="B176" s="44">
        <f t="shared" si="71"/>
        <v>65</v>
      </c>
      <c r="C176" s="39">
        <f t="shared" si="71"/>
        <v>24</v>
      </c>
      <c r="D176" s="39">
        <f t="shared" si="71"/>
        <v>43</v>
      </c>
      <c r="E176" s="39">
        <f t="shared" si="71"/>
        <v>39</v>
      </c>
      <c r="F176" s="39">
        <f t="shared" si="71"/>
        <v>132</v>
      </c>
      <c r="G176" s="50">
        <f t="shared" si="51"/>
        <v>303</v>
      </c>
      <c r="H176" s="44">
        <f t="shared" ref="H176:L176" si="84">H70+H71+H72+H73</f>
        <v>0</v>
      </c>
      <c r="I176" s="39">
        <f t="shared" si="84"/>
        <v>0</v>
      </c>
      <c r="J176" s="39">
        <f t="shared" si="84"/>
        <v>0</v>
      </c>
      <c r="K176" s="45">
        <f t="shared" si="84"/>
        <v>0</v>
      </c>
      <c r="L176" s="144">
        <f t="shared" si="84"/>
        <v>0</v>
      </c>
      <c r="M176" s="50">
        <f t="shared" si="16"/>
        <v>0</v>
      </c>
      <c r="N176" s="40">
        <f t="shared" si="17"/>
        <v>303</v>
      </c>
      <c r="O176" s="43">
        <f t="shared" si="18"/>
        <v>852.5</v>
      </c>
    </row>
    <row r="177" spans="1:15" ht="22.95" customHeight="1" x14ac:dyDescent="0.3">
      <c r="A177" s="52" t="s">
        <v>243</v>
      </c>
      <c r="B177" s="44">
        <f t="shared" si="71"/>
        <v>62</v>
      </c>
      <c r="C177" s="39">
        <f t="shared" si="71"/>
        <v>15</v>
      </c>
      <c r="D177" s="39">
        <f t="shared" si="71"/>
        <v>52</v>
      </c>
      <c r="E177" s="39">
        <f t="shared" si="71"/>
        <v>33</v>
      </c>
      <c r="F177" s="39">
        <f t="shared" si="71"/>
        <v>115</v>
      </c>
      <c r="G177" s="50">
        <f t="shared" si="51"/>
        <v>277</v>
      </c>
      <c r="H177" s="44">
        <f t="shared" ref="H177:L177" si="85">H71+H72+H73+H74</f>
        <v>0</v>
      </c>
      <c r="I177" s="39">
        <f t="shared" si="85"/>
        <v>0</v>
      </c>
      <c r="J177" s="39">
        <f t="shared" si="85"/>
        <v>0</v>
      </c>
      <c r="K177" s="45">
        <f t="shared" si="85"/>
        <v>0</v>
      </c>
      <c r="L177" s="144">
        <f t="shared" si="85"/>
        <v>0</v>
      </c>
      <c r="M177" s="50">
        <f t="shared" si="16"/>
        <v>0</v>
      </c>
      <c r="N177" s="40">
        <f t="shared" si="17"/>
        <v>277</v>
      </c>
      <c r="O177" s="43">
        <f t="shared" si="18"/>
        <v>764</v>
      </c>
    </row>
    <row r="178" spans="1:15" ht="22.95" customHeight="1" x14ac:dyDescent="0.3">
      <c r="A178" s="52" t="s">
        <v>244</v>
      </c>
      <c r="B178" s="44">
        <f t="shared" si="71"/>
        <v>67</v>
      </c>
      <c r="C178" s="39">
        <f t="shared" si="71"/>
        <v>11</v>
      </c>
      <c r="D178" s="39">
        <f t="shared" si="71"/>
        <v>59</v>
      </c>
      <c r="E178" s="39">
        <f t="shared" si="71"/>
        <v>33</v>
      </c>
      <c r="F178" s="39">
        <f t="shared" si="71"/>
        <v>94</v>
      </c>
      <c r="G178" s="50">
        <f t="shared" ref="G178:G206" si="86">SUM(B178:F178)</f>
        <v>264</v>
      </c>
      <c r="H178" s="44">
        <f t="shared" ref="H178:L178" si="87">H72+H73+H74+H75</f>
        <v>0</v>
      </c>
      <c r="I178" s="39">
        <f t="shared" si="87"/>
        <v>0</v>
      </c>
      <c r="J178" s="39">
        <f t="shared" si="87"/>
        <v>0</v>
      </c>
      <c r="K178" s="45">
        <f t="shared" si="87"/>
        <v>0</v>
      </c>
      <c r="L178" s="144">
        <f t="shared" si="87"/>
        <v>0</v>
      </c>
      <c r="M178" s="50">
        <f t="shared" si="16"/>
        <v>0</v>
      </c>
      <c r="N178" s="40">
        <f t="shared" si="17"/>
        <v>264</v>
      </c>
      <c r="O178" s="43">
        <f t="shared" si="18"/>
        <v>683</v>
      </c>
    </row>
    <row r="179" spans="1:15" ht="22.95" customHeight="1" x14ac:dyDescent="0.3">
      <c r="A179" s="52" t="s">
        <v>245</v>
      </c>
      <c r="B179" s="44">
        <f t="shared" si="71"/>
        <v>66</v>
      </c>
      <c r="C179" s="39">
        <f t="shared" si="71"/>
        <v>10</v>
      </c>
      <c r="D179" s="39">
        <f t="shared" si="71"/>
        <v>52</v>
      </c>
      <c r="E179" s="39">
        <f t="shared" si="71"/>
        <v>35</v>
      </c>
      <c r="F179" s="39">
        <f t="shared" si="71"/>
        <v>82</v>
      </c>
      <c r="G179" s="50">
        <f t="shared" si="86"/>
        <v>245</v>
      </c>
      <c r="H179" s="44">
        <f t="shared" ref="H179:L179" si="88">H73+H74+H75+H76</f>
        <v>0</v>
      </c>
      <c r="I179" s="39">
        <f t="shared" si="88"/>
        <v>0</v>
      </c>
      <c r="J179" s="39">
        <f t="shared" si="88"/>
        <v>0</v>
      </c>
      <c r="K179" s="45">
        <f t="shared" si="88"/>
        <v>0</v>
      </c>
      <c r="L179" s="144">
        <f t="shared" si="88"/>
        <v>0</v>
      </c>
      <c r="M179" s="50">
        <f t="shared" ref="M179:M206" si="89">SUM(H179:K179)</f>
        <v>0</v>
      </c>
      <c r="N179" s="40">
        <f t="shared" ref="N179:N206" si="90">G179+M179</f>
        <v>245</v>
      </c>
      <c r="O179" s="43">
        <f t="shared" ref="O179:O206" si="91">B179*1+C179*0.5+D179*1.5+E179*3+F179*4.5+H179*0.5+I179*1.5+J179*3+K179*4+L179*8</f>
        <v>623</v>
      </c>
    </row>
    <row r="180" spans="1:15" ht="22.95" customHeight="1" x14ac:dyDescent="0.3">
      <c r="A180" s="52" t="s">
        <v>246</v>
      </c>
      <c r="B180" s="44">
        <f t="shared" ref="B180:F195" si="92">B74+B75+B76+B77</f>
        <v>61</v>
      </c>
      <c r="C180" s="39">
        <f t="shared" si="92"/>
        <v>7</v>
      </c>
      <c r="D180" s="39">
        <f t="shared" si="92"/>
        <v>50</v>
      </c>
      <c r="E180" s="39">
        <f t="shared" si="92"/>
        <v>43</v>
      </c>
      <c r="F180" s="39">
        <f t="shared" si="92"/>
        <v>72</v>
      </c>
      <c r="G180" s="50">
        <f t="shared" si="86"/>
        <v>233</v>
      </c>
      <c r="H180" s="44">
        <f t="shared" ref="H180:L180" si="93">H74+H75+H76+H77</f>
        <v>0</v>
      </c>
      <c r="I180" s="39">
        <f t="shared" si="93"/>
        <v>0</v>
      </c>
      <c r="J180" s="39">
        <f t="shared" si="93"/>
        <v>0</v>
      </c>
      <c r="K180" s="45">
        <f t="shared" si="93"/>
        <v>0</v>
      </c>
      <c r="L180" s="144">
        <f t="shared" si="93"/>
        <v>0</v>
      </c>
      <c r="M180" s="50">
        <f t="shared" si="89"/>
        <v>0</v>
      </c>
      <c r="N180" s="40">
        <f t="shared" si="90"/>
        <v>233</v>
      </c>
      <c r="O180" s="43">
        <f t="shared" si="91"/>
        <v>592.5</v>
      </c>
    </row>
    <row r="181" spans="1:15" ht="22.95" customHeight="1" x14ac:dyDescent="0.3">
      <c r="A181" s="52" t="s">
        <v>247</v>
      </c>
      <c r="B181" s="44">
        <f t="shared" si="92"/>
        <v>57</v>
      </c>
      <c r="C181" s="39">
        <f t="shared" si="92"/>
        <v>7</v>
      </c>
      <c r="D181" s="39">
        <f t="shared" si="92"/>
        <v>39</v>
      </c>
      <c r="E181" s="39">
        <f t="shared" si="92"/>
        <v>44</v>
      </c>
      <c r="F181" s="39">
        <f t="shared" si="92"/>
        <v>55</v>
      </c>
      <c r="G181" s="50">
        <f t="shared" si="86"/>
        <v>202</v>
      </c>
      <c r="H181" s="44">
        <f t="shared" ref="H181:L181" si="94">H75+H76+H77+H78</f>
        <v>0</v>
      </c>
      <c r="I181" s="39">
        <f t="shared" si="94"/>
        <v>0</v>
      </c>
      <c r="J181" s="39">
        <f t="shared" si="94"/>
        <v>0</v>
      </c>
      <c r="K181" s="45">
        <f t="shared" si="94"/>
        <v>0</v>
      </c>
      <c r="L181" s="144">
        <f t="shared" si="94"/>
        <v>0</v>
      </c>
      <c r="M181" s="50">
        <f t="shared" si="89"/>
        <v>0</v>
      </c>
      <c r="N181" s="40">
        <f t="shared" si="90"/>
        <v>202</v>
      </c>
      <c r="O181" s="43">
        <f t="shared" si="91"/>
        <v>498.5</v>
      </c>
    </row>
    <row r="182" spans="1:15" ht="22.95" customHeight="1" x14ac:dyDescent="0.3">
      <c r="A182" s="52" t="s">
        <v>248</v>
      </c>
      <c r="B182" s="44">
        <f t="shared" si="92"/>
        <v>48</v>
      </c>
      <c r="C182" s="39">
        <f t="shared" si="92"/>
        <v>9</v>
      </c>
      <c r="D182" s="39">
        <f t="shared" si="92"/>
        <v>34</v>
      </c>
      <c r="E182" s="39">
        <f t="shared" si="92"/>
        <v>36</v>
      </c>
      <c r="F182" s="39">
        <f t="shared" si="92"/>
        <v>43</v>
      </c>
      <c r="G182" s="50">
        <f t="shared" si="86"/>
        <v>170</v>
      </c>
      <c r="H182" s="44">
        <f t="shared" ref="H182:L182" si="95">H76+H77+H78+H79</f>
        <v>0</v>
      </c>
      <c r="I182" s="39">
        <f t="shared" si="95"/>
        <v>0</v>
      </c>
      <c r="J182" s="39">
        <f t="shared" si="95"/>
        <v>0</v>
      </c>
      <c r="K182" s="45">
        <f t="shared" si="95"/>
        <v>0</v>
      </c>
      <c r="L182" s="144">
        <f t="shared" si="95"/>
        <v>0</v>
      </c>
      <c r="M182" s="50">
        <f t="shared" si="89"/>
        <v>0</v>
      </c>
      <c r="N182" s="40">
        <f t="shared" si="90"/>
        <v>170</v>
      </c>
      <c r="O182" s="43">
        <f t="shared" si="91"/>
        <v>405</v>
      </c>
    </row>
    <row r="183" spans="1:15" ht="22.95" customHeight="1" x14ac:dyDescent="0.3">
      <c r="A183" s="52" t="s">
        <v>249</v>
      </c>
      <c r="B183" s="44">
        <f t="shared" si="92"/>
        <v>44</v>
      </c>
      <c r="C183" s="39">
        <f t="shared" si="92"/>
        <v>7</v>
      </c>
      <c r="D183" s="39">
        <f t="shared" si="92"/>
        <v>28</v>
      </c>
      <c r="E183" s="39">
        <f t="shared" si="92"/>
        <v>37</v>
      </c>
      <c r="F183" s="39">
        <f t="shared" si="92"/>
        <v>46</v>
      </c>
      <c r="G183" s="50">
        <f t="shared" si="86"/>
        <v>162</v>
      </c>
      <c r="H183" s="44">
        <f t="shared" ref="H183:L183" si="96">H77+H78+H79+H80</f>
        <v>0</v>
      </c>
      <c r="I183" s="39">
        <f t="shared" si="96"/>
        <v>0</v>
      </c>
      <c r="J183" s="39">
        <f t="shared" si="96"/>
        <v>0</v>
      </c>
      <c r="K183" s="45">
        <f t="shared" si="96"/>
        <v>0</v>
      </c>
      <c r="L183" s="144">
        <f t="shared" si="96"/>
        <v>0</v>
      </c>
      <c r="M183" s="50">
        <f t="shared" si="89"/>
        <v>0</v>
      </c>
      <c r="N183" s="40">
        <f t="shared" si="90"/>
        <v>162</v>
      </c>
      <c r="O183" s="43">
        <f t="shared" si="91"/>
        <v>407.5</v>
      </c>
    </row>
    <row r="184" spans="1:15" ht="22.95" customHeight="1" x14ac:dyDescent="0.3">
      <c r="A184" s="52" t="s">
        <v>250</v>
      </c>
      <c r="B184" s="44">
        <f t="shared" si="92"/>
        <v>40</v>
      </c>
      <c r="C184" s="39">
        <f t="shared" si="92"/>
        <v>5</v>
      </c>
      <c r="D184" s="39">
        <f t="shared" si="92"/>
        <v>27</v>
      </c>
      <c r="E184" s="39">
        <f t="shared" si="92"/>
        <v>29</v>
      </c>
      <c r="F184" s="39">
        <f t="shared" si="92"/>
        <v>43</v>
      </c>
      <c r="G184" s="50">
        <f t="shared" si="86"/>
        <v>144</v>
      </c>
      <c r="H184" s="44">
        <f t="shared" ref="H184:L184" si="97">H78+H79+H80+H81</f>
        <v>0</v>
      </c>
      <c r="I184" s="39">
        <f t="shared" si="97"/>
        <v>0</v>
      </c>
      <c r="J184" s="39">
        <f t="shared" si="97"/>
        <v>0</v>
      </c>
      <c r="K184" s="45">
        <f t="shared" si="97"/>
        <v>0</v>
      </c>
      <c r="L184" s="144">
        <f t="shared" si="97"/>
        <v>0</v>
      </c>
      <c r="M184" s="50">
        <f t="shared" si="89"/>
        <v>0</v>
      </c>
      <c r="N184" s="40">
        <f t="shared" si="90"/>
        <v>144</v>
      </c>
      <c r="O184" s="43">
        <f t="shared" si="91"/>
        <v>363.5</v>
      </c>
    </row>
    <row r="185" spans="1:15" ht="22.95" customHeight="1" x14ac:dyDescent="0.3">
      <c r="A185" s="52" t="s">
        <v>251</v>
      </c>
      <c r="B185" s="44">
        <f t="shared" si="92"/>
        <v>36</v>
      </c>
      <c r="C185" s="39">
        <f t="shared" si="92"/>
        <v>5</v>
      </c>
      <c r="D185" s="39">
        <f t="shared" si="92"/>
        <v>36</v>
      </c>
      <c r="E185" s="39">
        <f t="shared" si="92"/>
        <v>21</v>
      </c>
      <c r="F185" s="39">
        <f t="shared" si="92"/>
        <v>42</v>
      </c>
      <c r="G185" s="50">
        <f t="shared" si="86"/>
        <v>140</v>
      </c>
      <c r="H185" s="44">
        <f t="shared" ref="H185:L185" si="98">H79+H80+H81+H82</f>
        <v>0</v>
      </c>
      <c r="I185" s="39">
        <f t="shared" si="98"/>
        <v>0</v>
      </c>
      <c r="J185" s="39">
        <f t="shared" si="98"/>
        <v>0</v>
      </c>
      <c r="K185" s="45">
        <f t="shared" si="98"/>
        <v>0</v>
      </c>
      <c r="L185" s="144">
        <f t="shared" si="98"/>
        <v>0</v>
      </c>
      <c r="M185" s="50">
        <f t="shared" si="89"/>
        <v>0</v>
      </c>
      <c r="N185" s="40">
        <f t="shared" si="90"/>
        <v>140</v>
      </c>
      <c r="O185" s="43">
        <f t="shared" si="91"/>
        <v>344.5</v>
      </c>
    </row>
    <row r="186" spans="1:15" ht="22.95" customHeight="1" x14ac:dyDescent="0.3">
      <c r="A186" s="52" t="s">
        <v>252</v>
      </c>
      <c r="B186" s="44">
        <f t="shared" si="92"/>
        <v>36</v>
      </c>
      <c r="C186" s="39">
        <f t="shared" si="92"/>
        <v>2</v>
      </c>
      <c r="D186" s="39">
        <f t="shared" si="92"/>
        <v>36</v>
      </c>
      <c r="E186" s="39">
        <f t="shared" si="92"/>
        <v>20</v>
      </c>
      <c r="F186" s="39">
        <f t="shared" si="92"/>
        <v>40</v>
      </c>
      <c r="G186" s="50">
        <f t="shared" si="86"/>
        <v>134</v>
      </c>
      <c r="H186" s="44">
        <f t="shared" ref="H186:L186" si="99">H80+H81+H82+H83</f>
        <v>0</v>
      </c>
      <c r="I186" s="39">
        <f t="shared" si="99"/>
        <v>0</v>
      </c>
      <c r="J186" s="39">
        <f t="shared" si="99"/>
        <v>0</v>
      </c>
      <c r="K186" s="45">
        <f t="shared" si="99"/>
        <v>0</v>
      </c>
      <c r="L186" s="144">
        <f t="shared" si="99"/>
        <v>0</v>
      </c>
      <c r="M186" s="50">
        <f t="shared" si="89"/>
        <v>0</v>
      </c>
      <c r="N186" s="40">
        <f t="shared" si="90"/>
        <v>134</v>
      </c>
      <c r="O186" s="43">
        <f t="shared" si="91"/>
        <v>331</v>
      </c>
    </row>
    <row r="187" spans="1:15" ht="22.95" customHeight="1" x14ac:dyDescent="0.3">
      <c r="A187" s="52" t="s">
        <v>253</v>
      </c>
      <c r="B187" s="44">
        <f t="shared" si="92"/>
        <v>32</v>
      </c>
      <c r="C187" s="39">
        <f t="shared" si="92"/>
        <v>2</v>
      </c>
      <c r="D187" s="39">
        <f t="shared" si="92"/>
        <v>29</v>
      </c>
      <c r="E187" s="39">
        <f t="shared" si="92"/>
        <v>22</v>
      </c>
      <c r="F187" s="39">
        <f t="shared" si="92"/>
        <v>35</v>
      </c>
      <c r="G187" s="50">
        <f t="shared" si="86"/>
        <v>120</v>
      </c>
      <c r="H187" s="44">
        <f t="shared" ref="H187:L187" si="100">H81+H82+H83+H84</f>
        <v>0</v>
      </c>
      <c r="I187" s="39">
        <f t="shared" si="100"/>
        <v>0</v>
      </c>
      <c r="J187" s="39">
        <f t="shared" si="100"/>
        <v>0</v>
      </c>
      <c r="K187" s="45">
        <f t="shared" si="100"/>
        <v>0</v>
      </c>
      <c r="L187" s="144">
        <f t="shared" si="100"/>
        <v>0</v>
      </c>
      <c r="M187" s="50">
        <f t="shared" si="89"/>
        <v>0</v>
      </c>
      <c r="N187" s="40">
        <f t="shared" si="90"/>
        <v>120</v>
      </c>
      <c r="O187" s="43">
        <f t="shared" si="91"/>
        <v>300</v>
      </c>
    </row>
    <row r="188" spans="1:15" ht="22.95" customHeight="1" x14ac:dyDescent="0.3">
      <c r="A188" s="52" t="s">
        <v>254</v>
      </c>
      <c r="B188" s="44">
        <f t="shared" si="92"/>
        <v>40</v>
      </c>
      <c r="C188" s="39">
        <f t="shared" si="92"/>
        <v>4</v>
      </c>
      <c r="D188" s="39">
        <f t="shared" si="92"/>
        <v>23</v>
      </c>
      <c r="E188" s="39">
        <f t="shared" si="92"/>
        <v>27</v>
      </c>
      <c r="F188" s="39">
        <f t="shared" si="92"/>
        <v>43</v>
      </c>
      <c r="G188" s="50">
        <f t="shared" si="86"/>
        <v>137</v>
      </c>
      <c r="H188" s="44">
        <f t="shared" ref="H188:L188" si="101">H82+H83+H84+H85</f>
        <v>0</v>
      </c>
      <c r="I188" s="39">
        <f t="shared" si="101"/>
        <v>0</v>
      </c>
      <c r="J188" s="39">
        <f t="shared" si="101"/>
        <v>0</v>
      </c>
      <c r="K188" s="45">
        <f t="shared" si="101"/>
        <v>0</v>
      </c>
      <c r="L188" s="144">
        <f t="shared" si="101"/>
        <v>0</v>
      </c>
      <c r="M188" s="50">
        <f t="shared" si="89"/>
        <v>0</v>
      </c>
      <c r="N188" s="40">
        <f t="shared" si="90"/>
        <v>137</v>
      </c>
      <c r="O188" s="43">
        <f t="shared" si="91"/>
        <v>351</v>
      </c>
    </row>
    <row r="189" spans="1:15" ht="22.95" customHeight="1" x14ac:dyDescent="0.3">
      <c r="A189" s="52" t="s">
        <v>255</v>
      </c>
      <c r="B189" s="44">
        <f t="shared" si="92"/>
        <v>48</v>
      </c>
      <c r="C189" s="39">
        <f t="shared" si="92"/>
        <v>6</v>
      </c>
      <c r="D189" s="39">
        <f t="shared" si="92"/>
        <v>14</v>
      </c>
      <c r="E189" s="39">
        <f t="shared" si="92"/>
        <v>30</v>
      </c>
      <c r="F189" s="39">
        <f t="shared" si="92"/>
        <v>50</v>
      </c>
      <c r="G189" s="50">
        <f t="shared" si="86"/>
        <v>148</v>
      </c>
      <c r="H189" s="44">
        <f t="shared" ref="H189:L189" si="102">H83+H84+H85+H86</f>
        <v>0</v>
      </c>
      <c r="I189" s="39">
        <f t="shared" si="102"/>
        <v>0</v>
      </c>
      <c r="J189" s="39">
        <f t="shared" si="102"/>
        <v>0</v>
      </c>
      <c r="K189" s="45">
        <f t="shared" si="102"/>
        <v>0</v>
      </c>
      <c r="L189" s="144">
        <f t="shared" si="102"/>
        <v>0</v>
      </c>
      <c r="M189" s="50">
        <f t="shared" si="89"/>
        <v>0</v>
      </c>
      <c r="N189" s="40">
        <f t="shared" si="90"/>
        <v>148</v>
      </c>
      <c r="O189" s="43">
        <f t="shared" si="91"/>
        <v>387</v>
      </c>
    </row>
    <row r="190" spans="1:15" ht="22.95" customHeight="1" x14ac:dyDescent="0.3">
      <c r="A190" s="52" t="s">
        <v>256</v>
      </c>
      <c r="B190" s="44">
        <f t="shared" si="92"/>
        <v>54</v>
      </c>
      <c r="C190" s="39">
        <f t="shared" si="92"/>
        <v>10</v>
      </c>
      <c r="D190" s="39">
        <f t="shared" si="92"/>
        <v>17</v>
      </c>
      <c r="E190" s="39">
        <f t="shared" si="92"/>
        <v>30</v>
      </c>
      <c r="F190" s="39">
        <f t="shared" si="92"/>
        <v>58</v>
      </c>
      <c r="G190" s="50">
        <f t="shared" si="86"/>
        <v>169</v>
      </c>
      <c r="H190" s="44">
        <f t="shared" ref="H190:L190" si="103">H84+H85+H86+H87</f>
        <v>0</v>
      </c>
      <c r="I190" s="39">
        <f t="shared" si="103"/>
        <v>0</v>
      </c>
      <c r="J190" s="39">
        <f t="shared" si="103"/>
        <v>0</v>
      </c>
      <c r="K190" s="45">
        <f t="shared" si="103"/>
        <v>0</v>
      </c>
      <c r="L190" s="144">
        <f t="shared" si="103"/>
        <v>0</v>
      </c>
      <c r="M190" s="50">
        <f t="shared" si="89"/>
        <v>0</v>
      </c>
      <c r="N190" s="40">
        <f t="shared" si="90"/>
        <v>169</v>
      </c>
      <c r="O190" s="43">
        <f t="shared" si="91"/>
        <v>435.5</v>
      </c>
    </row>
    <row r="191" spans="1:15" ht="22.95" customHeight="1" x14ac:dyDescent="0.3">
      <c r="A191" s="52" t="s">
        <v>257</v>
      </c>
      <c r="B191" s="44">
        <f t="shared" si="92"/>
        <v>63</v>
      </c>
      <c r="C191" s="39">
        <f t="shared" si="92"/>
        <v>13</v>
      </c>
      <c r="D191" s="39">
        <f t="shared" si="92"/>
        <v>23</v>
      </c>
      <c r="E191" s="39">
        <f t="shared" si="92"/>
        <v>30</v>
      </c>
      <c r="F191" s="39">
        <f t="shared" si="92"/>
        <v>70</v>
      </c>
      <c r="G191" s="50">
        <f t="shared" si="86"/>
        <v>199</v>
      </c>
      <c r="H191" s="44">
        <f t="shared" ref="H191:L191" si="104">H85+H86+H87+H88</f>
        <v>0</v>
      </c>
      <c r="I191" s="39">
        <f t="shared" si="104"/>
        <v>0</v>
      </c>
      <c r="J191" s="39">
        <f t="shared" si="104"/>
        <v>0</v>
      </c>
      <c r="K191" s="45">
        <f t="shared" si="104"/>
        <v>0</v>
      </c>
      <c r="L191" s="144">
        <f t="shared" si="104"/>
        <v>0</v>
      </c>
      <c r="M191" s="50">
        <f t="shared" si="89"/>
        <v>0</v>
      </c>
      <c r="N191" s="40">
        <f t="shared" si="90"/>
        <v>199</v>
      </c>
      <c r="O191" s="43">
        <f t="shared" si="91"/>
        <v>509</v>
      </c>
    </row>
    <row r="192" spans="1:15" ht="22.95" customHeight="1" x14ac:dyDescent="0.3">
      <c r="A192" s="52" t="s">
        <v>258</v>
      </c>
      <c r="B192" s="44">
        <f t="shared" si="92"/>
        <v>68</v>
      </c>
      <c r="C192" s="39">
        <f t="shared" si="92"/>
        <v>17</v>
      </c>
      <c r="D192" s="39">
        <f t="shared" si="92"/>
        <v>29</v>
      </c>
      <c r="E192" s="39">
        <f t="shared" si="92"/>
        <v>27</v>
      </c>
      <c r="F192" s="39">
        <f t="shared" si="92"/>
        <v>65</v>
      </c>
      <c r="G192" s="50">
        <f t="shared" si="86"/>
        <v>206</v>
      </c>
      <c r="H192" s="44">
        <f t="shared" ref="H192:L192" si="105">H86+H87+H88+H89</f>
        <v>1</v>
      </c>
      <c r="I192" s="39">
        <f t="shared" si="105"/>
        <v>0</v>
      </c>
      <c r="J192" s="39">
        <f t="shared" si="105"/>
        <v>0</v>
      </c>
      <c r="K192" s="45">
        <f t="shared" si="105"/>
        <v>0</v>
      </c>
      <c r="L192" s="144">
        <f t="shared" si="105"/>
        <v>0</v>
      </c>
      <c r="M192" s="50">
        <f t="shared" si="89"/>
        <v>1</v>
      </c>
      <c r="N192" s="40">
        <f t="shared" si="90"/>
        <v>207</v>
      </c>
      <c r="O192" s="43">
        <f t="shared" si="91"/>
        <v>494</v>
      </c>
    </row>
    <row r="193" spans="1:15" ht="22.95" customHeight="1" x14ac:dyDescent="0.3">
      <c r="A193" s="52" t="s">
        <v>259</v>
      </c>
      <c r="B193" s="44">
        <f t="shared" si="92"/>
        <v>73</v>
      </c>
      <c r="C193" s="39">
        <f t="shared" si="92"/>
        <v>20</v>
      </c>
      <c r="D193" s="39">
        <f t="shared" si="92"/>
        <v>27</v>
      </c>
      <c r="E193" s="39">
        <f t="shared" si="92"/>
        <v>23</v>
      </c>
      <c r="F193" s="39">
        <f t="shared" si="92"/>
        <v>64</v>
      </c>
      <c r="G193" s="50">
        <f t="shared" si="86"/>
        <v>207</v>
      </c>
      <c r="H193" s="44">
        <f t="shared" ref="H193:L193" si="106">H87+H88+H89+H90</f>
        <v>1</v>
      </c>
      <c r="I193" s="39">
        <f t="shared" si="106"/>
        <v>0</v>
      </c>
      <c r="J193" s="39">
        <f t="shared" si="106"/>
        <v>0</v>
      </c>
      <c r="K193" s="45">
        <f t="shared" si="106"/>
        <v>0</v>
      </c>
      <c r="L193" s="144">
        <f t="shared" si="106"/>
        <v>0</v>
      </c>
      <c r="M193" s="50">
        <f t="shared" si="89"/>
        <v>1</v>
      </c>
      <c r="N193" s="40">
        <f t="shared" si="90"/>
        <v>208</v>
      </c>
      <c r="O193" s="43">
        <f t="shared" si="91"/>
        <v>481</v>
      </c>
    </row>
    <row r="194" spans="1:15" ht="22.95" customHeight="1" x14ac:dyDescent="0.3">
      <c r="A194" s="52" t="s">
        <v>260</v>
      </c>
      <c r="B194" s="44">
        <f t="shared" si="92"/>
        <v>81</v>
      </c>
      <c r="C194" s="39">
        <f t="shared" si="92"/>
        <v>27</v>
      </c>
      <c r="D194" s="39">
        <f t="shared" si="92"/>
        <v>20</v>
      </c>
      <c r="E194" s="39">
        <f t="shared" si="92"/>
        <v>18</v>
      </c>
      <c r="F194" s="39">
        <f t="shared" si="92"/>
        <v>65</v>
      </c>
      <c r="G194" s="50">
        <f t="shared" si="86"/>
        <v>211</v>
      </c>
      <c r="H194" s="44">
        <f t="shared" ref="H194:L194" si="107">H88+H89+H90+H91</f>
        <v>1</v>
      </c>
      <c r="I194" s="39">
        <f t="shared" si="107"/>
        <v>0</v>
      </c>
      <c r="J194" s="39">
        <f t="shared" si="107"/>
        <v>0</v>
      </c>
      <c r="K194" s="45">
        <f t="shared" si="107"/>
        <v>0</v>
      </c>
      <c r="L194" s="144">
        <f t="shared" si="107"/>
        <v>0</v>
      </c>
      <c r="M194" s="50">
        <f t="shared" si="89"/>
        <v>1</v>
      </c>
      <c r="N194" s="40">
        <f t="shared" si="90"/>
        <v>212</v>
      </c>
      <c r="O194" s="43">
        <f t="shared" si="91"/>
        <v>471.5</v>
      </c>
    </row>
    <row r="195" spans="1:15" ht="22.95" customHeight="1" x14ac:dyDescent="0.3">
      <c r="A195" s="52" t="s">
        <v>261</v>
      </c>
      <c r="B195" s="44">
        <f t="shared" si="92"/>
        <v>82</v>
      </c>
      <c r="C195" s="39">
        <f t="shared" si="92"/>
        <v>33</v>
      </c>
      <c r="D195" s="39">
        <f t="shared" si="92"/>
        <v>13</v>
      </c>
      <c r="E195" s="39">
        <f t="shared" si="92"/>
        <v>14</v>
      </c>
      <c r="F195" s="39">
        <f t="shared" si="92"/>
        <v>58</v>
      </c>
      <c r="G195" s="50">
        <f t="shared" si="86"/>
        <v>200</v>
      </c>
      <c r="H195" s="44">
        <f t="shared" ref="H195:L195" si="108">H89+H90+H91+H92</f>
        <v>1</v>
      </c>
      <c r="I195" s="39">
        <f t="shared" si="108"/>
        <v>0</v>
      </c>
      <c r="J195" s="39">
        <f t="shared" si="108"/>
        <v>0</v>
      </c>
      <c r="K195" s="45">
        <f t="shared" si="108"/>
        <v>0</v>
      </c>
      <c r="L195" s="144">
        <f t="shared" si="108"/>
        <v>0</v>
      </c>
      <c r="M195" s="50">
        <f t="shared" si="89"/>
        <v>1</v>
      </c>
      <c r="N195" s="40">
        <f t="shared" si="90"/>
        <v>201</v>
      </c>
      <c r="O195" s="43">
        <f t="shared" si="91"/>
        <v>421.5</v>
      </c>
    </row>
    <row r="196" spans="1:15" ht="22.95" customHeight="1" x14ac:dyDescent="0.3">
      <c r="A196" s="52" t="s">
        <v>270</v>
      </c>
      <c r="B196" s="44">
        <f t="shared" ref="B196:F206" si="109">B90+B91+B92+B93</f>
        <v>82</v>
      </c>
      <c r="C196" s="39">
        <f t="shared" si="109"/>
        <v>38</v>
      </c>
      <c r="D196" s="39">
        <f t="shared" si="109"/>
        <v>9</v>
      </c>
      <c r="E196" s="39">
        <f t="shared" si="109"/>
        <v>12</v>
      </c>
      <c r="F196" s="39">
        <f t="shared" si="109"/>
        <v>62</v>
      </c>
      <c r="G196" s="50">
        <f t="shared" si="86"/>
        <v>203</v>
      </c>
      <c r="H196" s="44">
        <f t="shared" ref="H196:L196" si="110">H90+H91+H92+H93</f>
        <v>1</v>
      </c>
      <c r="I196" s="39">
        <f t="shared" si="110"/>
        <v>0</v>
      </c>
      <c r="J196" s="39">
        <f t="shared" si="110"/>
        <v>0</v>
      </c>
      <c r="K196" s="45">
        <f t="shared" si="110"/>
        <v>0</v>
      </c>
      <c r="L196" s="144">
        <f t="shared" si="110"/>
        <v>0</v>
      </c>
      <c r="M196" s="50">
        <f t="shared" si="89"/>
        <v>1</v>
      </c>
      <c r="N196" s="40">
        <f t="shared" si="90"/>
        <v>204</v>
      </c>
      <c r="O196" s="43">
        <f t="shared" si="91"/>
        <v>430</v>
      </c>
    </row>
    <row r="197" spans="1:15" ht="22.95" customHeight="1" x14ac:dyDescent="0.3">
      <c r="A197" s="52" t="s">
        <v>271</v>
      </c>
      <c r="B197" s="44">
        <f t="shared" si="109"/>
        <v>102</v>
      </c>
      <c r="C197" s="39">
        <f t="shared" si="109"/>
        <v>45</v>
      </c>
      <c r="D197" s="39">
        <f t="shared" si="109"/>
        <v>13</v>
      </c>
      <c r="E197" s="39">
        <f t="shared" si="109"/>
        <v>24</v>
      </c>
      <c r="F197" s="39">
        <f t="shared" si="109"/>
        <v>71</v>
      </c>
      <c r="G197" s="50">
        <f t="shared" si="86"/>
        <v>255</v>
      </c>
      <c r="H197" s="44">
        <f t="shared" ref="H197:L197" si="111">H91+H92+H93+H94</f>
        <v>3</v>
      </c>
      <c r="I197" s="39">
        <f t="shared" si="111"/>
        <v>0</v>
      </c>
      <c r="J197" s="39">
        <f t="shared" si="111"/>
        <v>0</v>
      </c>
      <c r="K197" s="45">
        <f t="shared" si="111"/>
        <v>0</v>
      </c>
      <c r="L197" s="144">
        <f t="shared" si="111"/>
        <v>0</v>
      </c>
      <c r="M197" s="50">
        <f t="shared" si="89"/>
        <v>3</v>
      </c>
      <c r="N197" s="40">
        <f t="shared" si="90"/>
        <v>258</v>
      </c>
      <c r="O197" s="43">
        <f t="shared" si="91"/>
        <v>537</v>
      </c>
    </row>
    <row r="198" spans="1:15" ht="22.95" customHeight="1" x14ac:dyDescent="0.3">
      <c r="A198" s="52" t="s">
        <v>279</v>
      </c>
      <c r="B198" s="44">
        <f t="shared" si="109"/>
        <v>123</v>
      </c>
      <c r="C198" s="39">
        <f t="shared" si="109"/>
        <v>48</v>
      </c>
      <c r="D198" s="39">
        <f t="shared" si="109"/>
        <v>19</v>
      </c>
      <c r="E198" s="39">
        <f t="shared" si="109"/>
        <v>33</v>
      </c>
      <c r="F198" s="39">
        <f t="shared" si="109"/>
        <v>80</v>
      </c>
      <c r="G198" s="50">
        <f t="shared" si="86"/>
        <v>303</v>
      </c>
      <c r="H198" s="44">
        <f t="shared" ref="H198:L198" si="112">H92+H93+H94+H95</f>
        <v>3</v>
      </c>
      <c r="I198" s="39">
        <f t="shared" si="112"/>
        <v>0</v>
      </c>
      <c r="J198" s="39">
        <f t="shared" si="112"/>
        <v>0</v>
      </c>
      <c r="K198" s="45">
        <f t="shared" si="112"/>
        <v>0</v>
      </c>
      <c r="L198" s="144">
        <f t="shared" si="112"/>
        <v>1</v>
      </c>
      <c r="M198" s="50">
        <f t="shared" si="89"/>
        <v>3</v>
      </c>
      <c r="N198" s="40">
        <f t="shared" si="90"/>
        <v>306</v>
      </c>
      <c r="O198" s="43">
        <f t="shared" si="91"/>
        <v>644</v>
      </c>
    </row>
    <row r="199" spans="1:15" ht="22.95" customHeight="1" x14ac:dyDescent="0.3">
      <c r="A199" s="52" t="s">
        <v>62</v>
      </c>
      <c r="B199" s="44">
        <f t="shared" si="109"/>
        <v>132</v>
      </c>
      <c r="C199" s="39">
        <f t="shared" si="109"/>
        <v>64</v>
      </c>
      <c r="D199" s="39">
        <f t="shared" si="109"/>
        <v>32</v>
      </c>
      <c r="E199" s="39">
        <f t="shared" si="109"/>
        <v>39</v>
      </c>
      <c r="F199" s="39">
        <f t="shared" si="109"/>
        <v>87</v>
      </c>
      <c r="G199" s="50">
        <f t="shared" si="86"/>
        <v>354</v>
      </c>
      <c r="H199" s="44">
        <f t="shared" ref="H199:L199" si="113">H93+H94+H95+H96</f>
        <v>4</v>
      </c>
      <c r="I199" s="39">
        <f t="shared" si="113"/>
        <v>0</v>
      </c>
      <c r="J199" s="39">
        <f t="shared" si="113"/>
        <v>0</v>
      </c>
      <c r="K199" s="45">
        <f t="shared" si="113"/>
        <v>0</v>
      </c>
      <c r="L199" s="144">
        <f t="shared" si="113"/>
        <v>1</v>
      </c>
      <c r="M199" s="50">
        <f t="shared" si="89"/>
        <v>4</v>
      </c>
      <c r="N199" s="40">
        <f t="shared" si="90"/>
        <v>358</v>
      </c>
      <c r="O199" s="43">
        <f t="shared" si="91"/>
        <v>730.5</v>
      </c>
    </row>
    <row r="200" spans="1:15" ht="22.95" customHeight="1" x14ac:dyDescent="0.3">
      <c r="A200" s="52" t="s">
        <v>63</v>
      </c>
      <c r="B200" s="44">
        <f t="shared" si="109"/>
        <v>146</v>
      </c>
      <c r="C200" s="39">
        <f t="shared" si="109"/>
        <v>75</v>
      </c>
      <c r="D200" s="39">
        <f t="shared" si="109"/>
        <v>40</v>
      </c>
      <c r="E200" s="39">
        <f t="shared" si="109"/>
        <v>44</v>
      </c>
      <c r="F200" s="39">
        <f t="shared" si="109"/>
        <v>93</v>
      </c>
      <c r="G200" s="50">
        <f t="shared" si="86"/>
        <v>398</v>
      </c>
      <c r="H200" s="44">
        <f t="shared" ref="H200:L200" si="114">H94+H95+H96+H97</f>
        <v>5</v>
      </c>
      <c r="I200" s="39">
        <f t="shared" si="114"/>
        <v>0</v>
      </c>
      <c r="J200" s="39">
        <f t="shared" si="114"/>
        <v>0</v>
      </c>
      <c r="K200" s="45">
        <f t="shared" si="114"/>
        <v>0</v>
      </c>
      <c r="L200" s="144">
        <f t="shared" si="114"/>
        <v>1</v>
      </c>
      <c r="M200" s="50">
        <f t="shared" si="89"/>
        <v>5</v>
      </c>
      <c r="N200" s="40">
        <f t="shared" si="90"/>
        <v>403</v>
      </c>
      <c r="O200" s="43">
        <f t="shared" si="91"/>
        <v>804.5</v>
      </c>
    </row>
    <row r="201" spans="1:15" ht="22.95" customHeight="1" x14ac:dyDescent="0.3">
      <c r="A201" s="52" t="s">
        <v>64</v>
      </c>
      <c r="B201" s="44">
        <f t="shared" si="109"/>
        <v>138</v>
      </c>
      <c r="C201" s="39">
        <f t="shared" si="109"/>
        <v>87</v>
      </c>
      <c r="D201" s="39">
        <f t="shared" si="109"/>
        <v>45</v>
      </c>
      <c r="E201" s="39">
        <f t="shared" si="109"/>
        <v>34</v>
      </c>
      <c r="F201" s="39">
        <f t="shared" si="109"/>
        <v>104</v>
      </c>
      <c r="G201" s="50">
        <f t="shared" si="86"/>
        <v>408</v>
      </c>
      <c r="H201" s="44">
        <f t="shared" ref="H201:L201" si="115">H95+H96+H97+H98</f>
        <v>6</v>
      </c>
      <c r="I201" s="39">
        <f t="shared" si="115"/>
        <v>0</v>
      </c>
      <c r="J201" s="39">
        <f t="shared" si="115"/>
        <v>0</v>
      </c>
      <c r="K201" s="45">
        <f t="shared" si="115"/>
        <v>0</v>
      </c>
      <c r="L201" s="144">
        <f t="shared" si="115"/>
        <v>2</v>
      </c>
      <c r="M201" s="50">
        <f t="shared" si="89"/>
        <v>6</v>
      </c>
      <c r="N201" s="40">
        <f t="shared" si="90"/>
        <v>414</v>
      </c>
      <c r="O201" s="43">
        <f t="shared" si="91"/>
        <v>838</v>
      </c>
    </row>
    <row r="202" spans="1:15" ht="22.95" customHeight="1" x14ac:dyDescent="0.3">
      <c r="A202" s="52" t="s">
        <v>65</v>
      </c>
      <c r="B202" s="44">
        <f t="shared" si="109"/>
        <v>140</v>
      </c>
      <c r="C202" s="39">
        <f t="shared" si="109"/>
        <v>114</v>
      </c>
      <c r="D202" s="39">
        <f t="shared" si="109"/>
        <v>50</v>
      </c>
      <c r="E202" s="39">
        <f t="shared" si="109"/>
        <v>37</v>
      </c>
      <c r="F202" s="39">
        <f t="shared" si="109"/>
        <v>107</v>
      </c>
      <c r="G202" s="50">
        <f t="shared" si="86"/>
        <v>448</v>
      </c>
      <c r="H202" s="44">
        <f t="shared" ref="H202:L202" si="116">H96+H97+H98+H99</f>
        <v>7</v>
      </c>
      <c r="I202" s="39">
        <f t="shared" si="116"/>
        <v>0</v>
      </c>
      <c r="J202" s="39">
        <f t="shared" si="116"/>
        <v>0</v>
      </c>
      <c r="K202" s="45">
        <f t="shared" si="116"/>
        <v>0</v>
      </c>
      <c r="L202" s="144">
        <f t="shared" si="116"/>
        <v>2</v>
      </c>
      <c r="M202" s="50">
        <f t="shared" si="89"/>
        <v>7</v>
      </c>
      <c r="N202" s="40">
        <f t="shared" si="90"/>
        <v>455</v>
      </c>
      <c r="O202" s="43">
        <f t="shared" si="91"/>
        <v>884</v>
      </c>
    </row>
    <row r="203" spans="1:15" ht="22.95" customHeight="1" x14ac:dyDescent="0.3">
      <c r="A203" s="52" t="s">
        <v>66</v>
      </c>
      <c r="B203" s="44">
        <f t="shared" si="109"/>
        <v>156</v>
      </c>
      <c r="C203" s="39">
        <f t="shared" si="109"/>
        <v>153</v>
      </c>
      <c r="D203" s="39">
        <f t="shared" si="109"/>
        <v>48</v>
      </c>
      <c r="E203" s="39">
        <f t="shared" si="109"/>
        <v>41</v>
      </c>
      <c r="F203" s="39">
        <f t="shared" si="109"/>
        <v>104</v>
      </c>
      <c r="G203" s="50">
        <f t="shared" si="86"/>
        <v>502</v>
      </c>
      <c r="H203" s="44">
        <f t="shared" ref="H203:L203" si="117">H97+H98+H99+H100</f>
        <v>8</v>
      </c>
      <c r="I203" s="39">
        <f t="shared" si="117"/>
        <v>0</v>
      </c>
      <c r="J203" s="39">
        <f t="shared" si="117"/>
        <v>0</v>
      </c>
      <c r="K203" s="45">
        <f t="shared" si="117"/>
        <v>0</v>
      </c>
      <c r="L203" s="144">
        <f t="shared" si="117"/>
        <v>2</v>
      </c>
      <c r="M203" s="50">
        <f t="shared" si="89"/>
        <v>8</v>
      </c>
      <c r="N203" s="40">
        <f t="shared" si="90"/>
        <v>510</v>
      </c>
      <c r="O203" s="43">
        <f t="shared" si="91"/>
        <v>915.5</v>
      </c>
    </row>
    <row r="204" spans="1:15" ht="22.95" customHeight="1" x14ac:dyDescent="0.3">
      <c r="A204" s="52" t="s">
        <v>67</v>
      </c>
      <c r="B204" s="44">
        <f t="shared" si="109"/>
        <v>175</v>
      </c>
      <c r="C204" s="39">
        <f t="shared" si="109"/>
        <v>188</v>
      </c>
      <c r="D204" s="39">
        <f t="shared" si="109"/>
        <v>46</v>
      </c>
      <c r="E204" s="39">
        <f t="shared" si="109"/>
        <v>44</v>
      </c>
      <c r="F204" s="39">
        <f t="shared" si="109"/>
        <v>104</v>
      </c>
      <c r="G204" s="50">
        <f t="shared" si="86"/>
        <v>557</v>
      </c>
      <c r="H204" s="44">
        <f t="shared" ref="H204:L204" si="118">H98+H99+H100+H101</f>
        <v>10</v>
      </c>
      <c r="I204" s="39">
        <f t="shared" si="118"/>
        <v>0</v>
      </c>
      <c r="J204" s="39">
        <f t="shared" si="118"/>
        <v>0</v>
      </c>
      <c r="K204" s="45">
        <f t="shared" si="118"/>
        <v>0</v>
      </c>
      <c r="L204" s="144">
        <f t="shared" si="118"/>
        <v>3</v>
      </c>
      <c r="M204" s="50">
        <f t="shared" si="89"/>
        <v>10</v>
      </c>
      <c r="N204" s="40">
        <f t="shared" si="90"/>
        <v>567</v>
      </c>
      <c r="O204" s="43">
        <f t="shared" si="91"/>
        <v>967</v>
      </c>
    </row>
    <row r="205" spans="1:15" ht="22.95" customHeight="1" x14ac:dyDescent="0.3">
      <c r="A205" s="52" t="s">
        <v>68</v>
      </c>
      <c r="B205" s="44">
        <f t="shared" si="109"/>
        <v>202</v>
      </c>
      <c r="C205" s="39">
        <f t="shared" si="109"/>
        <v>230</v>
      </c>
      <c r="D205" s="39">
        <f t="shared" si="109"/>
        <v>47</v>
      </c>
      <c r="E205" s="39">
        <f t="shared" si="109"/>
        <v>49</v>
      </c>
      <c r="F205" s="39">
        <f t="shared" si="109"/>
        <v>96</v>
      </c>
      <c r="G205" s="50">
        <f t="shared" si="86"/>
        <v>624</v>
      </c>
      <c r="H205" s="44">
        <f t="shared" ref="H205:L205" si="119">H99+H100+H101+H102</f>
        <v>12</v>
      </c>
      <c r="I205" s="39">
        <f t="shared" si="119"/>
        <v>0</v>
      </c>
      <c r="J205" s="39">
        <f t="shared" si="119"/>
        <v>0</v>
      </c>
      <c r="K205" s="45">
        <f t="shared" si="119"/>
        <v>0</v>
      </c>
      <c r="L205" s="144">
        <f t="shared" si="119"/>
        <v>4</v>
      </c>
      <c r="M205" s="50">
        <f t="shared" si="89"/>
        <v>12</v>
      </c>
      <c r="N205" s="40">
        <f t="shared" si="90"/>
        <v>636</v>
      </c>
      <c r="O205" s="43">
        <f t="shared" si="91"/>
        <v>1004.5</v>
      </c>
    </row>
    <row r="206" spans="1:15" ht="22.95" customHeight="1" thickBot="1" x14ac:dyDescent="0.35">
      <c r="A206" s="52" t="s">
        <v>69</v>
      </c>
      <c r="B206" s="46">
        <f t="shared" si="109"/>
        <v>222</v>
      </c>
      <c r="C206" s="47">
        <f t="shared" si="109"/>
        <v>263</v>
      </c>
      <c r="D206" s="47">
        <f t="shared" si="109"/>
        <v>51</v>
      </c>
      <c r="E206" s="47">
        <f t="shared" si="109"/>
        <v>44</v>
      </c>
      <c r="F206" s="47">
        <f t="shared" si="109"/>
        <v>83</v>
      </c>
      <c r="G206" s="50">
        <f t="shared" si="86"/>
        <v>663</v>
      </c>
      <c r="H206" s="44">
        <f t="shared" ref="H206:L206" si="120">H100+H101+H102+H103</f>
        <v>16</v>
      </c>
      <c r="I206" s="39">
        <f t="shared" si="120"/>
        <v>0</v>
      </c>
      <c r="J206" s="39">
        <f t="shared" si="120"/>
        <v>0</v>
      </c>
      <c r="K206" s="45">
        <f t="shared" si="120"/>
        <v>0</v>
      </c>
      <c r="L206" s="145">
        <f t="shared" si="120"/>
        <v>3</v>
      </c>
      <c r="M206" s="50">
        <f t="shared" si="89"/>
        <v>16</v>
      </c>
      <c r="N206" s="40">
        <f t="shared" si="90"/>
        <v>679</v>
      </c>
      <c r="O206" s="43">
        <f t="shared" si="91"/>
        <v>967.5</v>
      </c>
    </row>
  </sheetData>
  <mergeCells count="31">
    <mergeCell ref="A1:M1"/>
    <mergeCell ref="D6:D7"/>
    <mergeCell ref="E6:E7"/>
    <mergeCell ref="H6:H7"/>
    <mergeCell ref="I6:I7"/>
    <mergeCell ref="J6:J7"/>
    <mergeCell ref="K6:K7"/>
    <mergeCell ref="M6:M7"/>
    <mergeCell ref="A6:A7"/>
    <mergeCell ref="B6:B7"/>
    <mergeCell ref="F6:F7"/>
    <mergeCell ref="A112:A113"/>
    <mergeCell ref="C6:C7"/>
    <mergeCell ref="C112:C113"/>
    <mergeCell ref="D112:D113"/>
    <mergeCell ref="E112:E113"/>
    <mergeCell ref="B112:B113"/>
    <mergeCell ref="N6:N7"/>
    <mergeCell ref="O6:O7"/>
    <mergeCell ref="F112:F113"/>
    <mergeCell ref="G112:G113"/>
    <mergeCell ref="N112:N113"/>
    <mergeCell ref="O112:O113"/>
    <mergeCell ref="H112:H113"/>
    <mergeCell ref="I112:I113"/>
    <mergeCell ref="J112:J113"/>
    <mergeCell ref="K112:K113"/>
    <mergeCell ref="M112:M113"/>
    <mergeCell ref="L6:L7"/>
    <mergeCell ref="L112:L113"/>
    <mergeCell ref="G6:G7"/>
  </mergeCells>
  <pageMargins left="0.7" right="0.7" top="0.75" bottom="0.75" header="0.3" footer="0.3"/>
  <pageSetup paperSize="9" scale="27" orientation="portrait" r:id="rId1"/>
  <rowBreaks count="1" manualBreakCount="1">
    <brk id="106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9FFCC"/>
  </sheetPr>
  <dimension ref="A1:O206"/>
  <sheetViews>
    <sheetView view="pageBreakPreview" topLeftCell="A4" zoomScale="40" zoomScaleNormal="70" zoomScaleSheetLayoutView="40" workbookViewId="0">
      <selection activeCell="R21" sqref="R21"/>
    </sheetView>
  </sheetViews>
  <sheetFormatPr defaultColWidth="9" defaultRowHeight="15.6" x14ac:dyDescent="0.3"/>
  <cols>
    <col min="1" max="1" width="17.19921875" customWidth="1"/>
    <col min="2" max="13" width="11.69921875" customWidth="1"/>
  </cols>
  <sheetData>
    <row r="1" spans="1:15" x14ac:dyDescent="0.3">
      <c r="A1" s="247" t="s">
        <v>99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</row>
    <row r="2" spans="1:15" s="4" customFormat="1" x14ac:dyDescent="0.3">
      <c r="A2" s="4" t="s">
        <v>103</v>
      </c>
      <c r="B2" s="4" t="str">
        <f>Summary!B2</f>
        <v>TMC-14 Number (D2)</v>
      </c>
    </row>
    <row r="3" spans="1:15" s="4" customFormat="1" x14ac:dyDescent="0.3">
      <c r="A3" s="4" t="s">
        <v>102</v>
      </c>
      <c r="B3" s="4" t="str">
        <f>Summary!B3</f>
        <v>D2</v>
      </c>
    </row>
    <row r="4" spans="1:15" s="4" customFormat="1" x14ac:dyDescent="0.3">
      <c r="A4" s="4" t="s">
        <v>104</v>
      </c>
      <c r="B4" s="4" t="str">
        <f>Summary!F11</f>
        <v>Mansarover</v>
      </c>
      <c r="D4" s="4" t="s">
        <v>1</v>
      </c>
      <c r="E4" s="4" t="str">
        <f>Summary!H16</f>
        <v>Chomu Pulia</v>
      </c>
    </row>
    <row r="5" spans="1:15" ht="16.2" thickBot="1" x14ac:dyDescent="0.35"/>
    <row r="6" spans="1:15" ht="25.2" customHeight="1" x14ac:dyDescent="0.3">
      <c r="A6" s="252" t="s">
        <v>95</v>
      </c>
      <c r="B6" s="258" t="s">
        <v>280</v>
      </c>
      <c r="C6" s="254" t="s">
        <v>281</v>
      </c>
      <c r="D6" s="250" t="s">
        <v>282</v>
      </c>
      <c r="E6" s="260" t="s">
        <v>283</v>
      </c>
      <c r="F6" s="256" t="s">
        <v>284</v>
      </c>
      <c r="G6" s="250" t="s">
        <v>129</v>
      </c>
      <c r="H6" s="248" t="s">
        <v>150</v>
      </c>
      <c r="I6" s="250" t="s">
        <v>151</v>
      </c>
      <c r="J6" s="250" t="s">
        <v>285</v>
      </c>
      <c r="K6" s="248" t="s">
        <v>286</v>
      </c>
      <c r="L6" s="250" t="s">
        <v>287</v>
      </c>
      <c r="M6" s="250" t="s">
        <v>78</v>
      </c>
      <c r="N6" s="250" t="s">
        <v>131</v>
      </c>
      <c r="O6" s="250" t="s">
        <v>132</v>
      </c>
    </row>
    <row r="7" spans="1:15" ht="43.5" customHeight="1" thickBot="1" x14ac:dyDescent="0.35">
      <c r="A7" s="262"/>
      <c r="B7" s="263"/>
      <c r="C7" s="264"/>
      <c r="D7" s="265"/>
      <c r="E7" s="266"/>
      <c r="F7" s="267"/>
      <c r="G7" s="259"/>
      <c r="H7" s="268"/>
      <c r="I7" s="265"/>
      <c r="J7" s="265"/>
      <c r="K7" s="268"/>
      <c r="L7" s="265"/>
      <c r="M7" s="265"/>
      <c r="N7" s="251"/>
      <c r="O7" s="251"/>
    </row>
    <row r="8" spans="1:15" ht="22.5" customHeight="1" x14ac:dyDescent="0.3">
      <c r="A8" s="189" t="s">
        <v>177</v>
      </c>
      <c r="B8" s="192">
        <v>88</v>
      </c>
      <c r="C8" s="157">
        <v>81</v>
      </c>
      <c r="D8" s="157">
        <v>0</v>
      </c>
      <c r="E8" s="157">
        <v>1</v>
      </c>
      <c r="F8" s="193">
        <v>3</v>
      </c>
      <c r="G8" s="198">
        <f t="shared" ref="G8:G39" si="0">SUM(B8:F8)</f>
        <v>173</v>
      </c>
      <c r="H8" s="200">
        <v>0</v>
      </c>
      <c r="I8" s="201">
        <v>0</v>
      </c>
      <c r="J8" s="201">
        <v>0</v>
      </c>
      <c r="K8" s="201">
        <v>0</v>
      </c>
      <c r="L8" s="201">
        <v>2</v>
      </c>
      <c r="M8" s="202">
        <v>0</v>
      </c>
      <c r="N8" s="85">
        <f>G8+M8</f>
        <v>173</v>
      </c>
      <c r="O8" s="115">
        <f>B8*1+C8*0.5+D8*1.5+E8*3+F8*4.5+H8*0.5+I8*1.5+J8*3+K8*4+L8*8</f>
        <v>161</v>
      </c>
    </row>
    <row r="9" spans="1:15" ht="22.5" customHeight="1" x14ac:dyDescent="0.3">
      <c r="A9" s="190" t="s">
        <v>178</v>
      </c>
      <c r="B9" s="44">
        <v>77</v>
      </c>
      <c r="C9" s="39">
        <v>56</v>
      </c>
      <c r="D9" s="39">
        <v>0</v>
      </c>
      <c r="E9" s="39">
        <v>1</v>
      </c>
      <c r="F9" s="194">
        <v>3</v>
      </c>
      <c r="G9" s="196">
        <f t="shared" si="0"/>
        <v>137</v>
      </c>
      <c r="H9" s="203">
        <v>1</v>
      </c>
      <c r="I9" s="204">
        <v>0</v>
      </c>
      <c r="J9" s="204">
        <v>0</v>
      </c>
      <c r="K9" s="204">
        <v>0</v>
      </c>
      <c r="L9" s="204">
        <v>5</v>
      </c>
      <c r="M9" s="205">
        <v>0</v>
      </c>
      <c r="N9" s="85">
        <f t="shared" ref="N9:N72" si="1">G9+M9</f>
        <v>137</v>
      </c>
      <c r="O9" s="43">
        <f t="shared" ref="O9:O72" si="2">B9*1+C9*0.5+D9*1.5+E9*3+F9*4.5+H9*0.5+I9*1.5+J9*3+K9*4+L9*8</f>
        <v>162</v>
      </c>
    </row>
    <row r="10" spans="1:15" ht="22.5" customHeight="1" x14ac:dyDescent="0.3">
      <c r="A10" s="190" t="s">
        <v>179</v>
      </c>
      <c r="B10" s="44">
        <v>69</v>
      </c>
      <c r="C10" s="39">
        <v>89</v>
      </c>
      <c r="D10" s="39">
        <v>7</v>
      </c>
      <c r="E10" s="39">
        <v>1</v>
      </c>
      <c r="F10" s="194">
        <v>8</v>
      </c>
      <c r="G10" s="196">
        <f t="shared" si="0"/>
        <v>174</v>
      </c>
      <c r="H10" s="203">
        <v>1</v>
      </c>
      <c r="I10" s="204">
        <v>0</v>
      </c>
      <c r="J10" s="204">
        <v>0</v>
      </c>
      <c r="K10" s="204">
        <v>0</v>
      </c>
      <c r="L10" s="204">
        <v>5</v>
      </c>
      <c r="M10" s="205">
        <v>0</v>
      </c>
      <c r="N10" s="85">
        <f t="shared" si="1"/>
        <v>174</v>
      </c>
      <c r="O10" s="43">
        <f t="shared" si="2"/>
        <v>203.5</v>
      </c>
    </row>
    <row r="11" spans="1:15" ht="22.5" customHeight="1" x14ac:dyDescent="0.3">
      <c r="A11" s="190" t="s">
        <v>180</v>
      </c>
      <c r="B11" s="44">
        <v>106</v>
      </c>
      <c r="C11" s="39">
        <v>106</v>
      </c>
      <c r="D11" s="39">
        <v>4</v>
      </c>
      <c r="E11" s="39">
        <v>1</v>
      </c>
      <c r="F11" s="194">
        <v>4</v>
      </c>
      <c r="G11" s="196">
        <f t="shared" si="0"/>
        <v>221</v>
      </c>
      <c r="H11" s="203">
        <v>0</v>
      </c>
      <c r="I11" s="204">
        <v>0</v>
      </c>
      <c r="J11" s="204">
        <v>0</v>
      </c>
      <c r="K11" s="204">
        <v>0</v>
      </c>
      <c r="L11" s="204">
        <v>8</v>
      </c>
      <c r="M11" s="205">
        <v>0</v>
      </c>
      <c r="N11" s="85">
        <f t="shared" si="1"/>
        <v>221</v>
      </c>
      <c r="O11" s="43">
        <f t="shared" si="2"/>
        <v>250</v>
      </c>
    </row>
    <row r="12" spans="1:15" ht="22.5" customHeight="1" x14ac:dyDescent="0.3">
      <c r="A12" s="190" t="s">
        <v>181</v>
      </c>
      <c r="B12" s="44">
        <v>139</v>
      </c>
      <c r="C12" s="39">
        <v>111</v>
      </c>
      <c r="D12" s="39">
        <v>2</v>
      </c>
      <c r="E12" s="39">
        <v>0</v>
      </c>
      <c r="F12" s="194">
        <v>3</v>
      </c>
      <c r="G12" s="196">
        <f t="shared" si="0"/>
        <v>255</v>
      </c>
      <c r="H12" s="203">
        <v>0</v>
      </c>
      <c r="I12" s="204">
        <v>0</v>
      </c>
      <c r="J12" s="204">
        <v>0</v>
      </c>
      <c r="K12" s="204">
        <v>0</v>
      </c>
      <c r="L12" s="204">
        <v>8</v>
      </c>
      <c r="M12" s="205">
        <v>0</v>
      </c>
      <c r="N12" s="85">
        <f t="shared" si="1"/>
        <v>255</v>
      </c>
      <c r="O12" s="43">
        <f t="shared" si="2"/>
        <v>275</v>
      </c>
    </row>
    <row r="13" spans="1:15" ht="22.5" customHeight="1" x14ac:dyDescent="0.3">
      <c r="A13" s="190" t="s">
        <v>182</v>
      </c>
      <c r="B13" s="44">
        <v>141</v>
      </c>
      <c r="C13" s="39">
        <v>161</v>
      </c>
      <c r="D13" s="39">
        <v>3</v>
      </c>
      <c r="E13" s="39">
        <v>1</v>
      </c>
      <c r="F13" s="194">
        <v>4</v>
      </c>
      <c r="G13" s="196">
        <f t="shared" si="0"/>
        <v>310</v>
      </c>
      <c r="H13" s="203">
        <v>0</v>
      </c>
      <c r="I13" s="204">
        <v>0</v>
      </c>
      <c r="J13" s="204">
        <v>0</v>
      </c>
      <c r="K13" s="204">
        <v>0</v>
      </c>
      <c r="L13" s="204">
        <v>10</v>
      </c>
      <c r="M13" s="205">
        <v>0</v>
      </c>
      <c r="N13" s="85">
        <f t="shared" si="1"/>
        <v>310</v>
      </c>
      <c r="O13" s="43">
        <f t="shared" si="2"/>
        <v>327</v>
      </c>
    </row>
    <row r="14" spans="1:15" ht="22.5" customHeight="1" x14ac:dyDescent="0.3">
      <c r="A14" s="190" t="s">
        <v>183</v>
      </c>
      <c r="B14" s="44">
        <v>239</v>
      </c>
      <c r="C14" s="39">
        <v>229</v>
      </c>
      <c r="D14" s="39">
        <v>5</v>
      </c>
      <c r="E14" s="39">
        <v>0</v>
      </c>
      <c r="F14" s="194">
        <v>6</v>
      </c>
      <c r="G14" s="196">
        <f t="shared" si="0"/>
        <v>479</v>
      </c>
      <c r="H14" s="203">
        <v>2</v>
      </c>
      <c r="I14" s="204">
        <v>0</v>
      </c>
      <c r="J14" s="204">
        <v>0</v>
      </c>
      <c r="K14" s="204">
        <v>0</v>
      </c>
      <c r="L14" s="204">
        <v>4</v>
      </c>
      <c r="M14" s="205">
        <v>0</v>
      </c>
      <c r="N14" s="85">
        <f t="shared" si="1"/>
        <v>479</v>
      </c>
      <c r="O14" s="43">
        <f t="shared" si="2"/>
        <v>421</v>
      </c>
    </row>
    <row r="15" spans="1:15" ht="22.5" customHeight="1" x14ac:dyDescent="0.3">
      <c r="A15" s="190" t="s">
        <v>184</v>
      </c>
      <c r="B15" s="44">
        <v>218</v>
      </c>
      <c r="C15" s="39">
        <v>170</v>
      </c>
      <c r="D15" s="39">
        <v>6</v>
      </c>
      <c r="E15" s="39">
        <v>1</v>
      </c>
      <c r="F15" s="194">
        <v>1</v>
      </c>
      <c r="G15" s="196">
        <f t="shared" si="0"/>
        <v>396</v>
      </c>
      <c r="H15" s="203">
        <v>0</v>
      </c>
      <c r="I15" s="204">
        <v>0</v>
      </c>
      <c r="J15" s="204">
        <v>0</v>
      </c>
      <c r="K15" s="204">
        <v>0</v>
      </c>
      <c r="L15" s="204">
        <v>0</v>
      </c>
      <c r="M15" s="205">
        <v>0</v>
      </c>
      <c r="N15" s="85">
        <f t="shared" si="1"/>
        <v>396</v>
      </c>
      <c r="O15" s="43">
        <f t="shared" si="2"/>
        <v>319.5</v>
      </c>
    </row>
    <row r="16" spans="1:15" ht="22.5" customHeight="1" x14ac:dyDescent="0.3">
      <c r="A16" s="190" t="s">
        <v>185</v>
      </c>
      <c r="B16" s="44">
        <v>220</v>
      </c>
      <c r="C16" s="39">
        <v>196</v>
      </c>
      <c r="D16" s="39">
        <v>3</v>
      </c>
      <c r="E16" s="39">
        <v>1</v>
      </c>
      <c r="F16" s="194">
        <v>4</v>
      </c>
      <c r="G16" s="196">
        <f t="shared" si="0"/>
        <v>424</v>
      </c>
      <c r="H16" s="203">
        <v>0</v>
      </c>
      <c r="I16" s="204">
        <v>0</v>
      </c>
      <c r="J16" s="204">
        <v>0</v>
      </c>
      <c r="K16" s="204">
        <v>0</v>
      </c>
      <c r="L16" s="204">
        <v>2</v>
      </c>
      <c r="M16" s="205">
        <v>0</v>
      </c>
      <c r="N16" s="85">
        <f t="shared" si="1"/>
        <v>424</v>
      </c>
      <c r="O16" s="43">
        <f t="shared" si="2"/>
        <v>359.5</v>
      </c>
    </row>
    <row r="17" spans="1:15" ht="22.5" customHeight="1" x14ac:dyDescent="0.3">
      <c r="A17" s="190" t="s">
        <v>186</v>
      </c>
      <c r="B17" s="44">
        <v>169</v>
      </c>
      <c r="C17" s="39">
        <v>136</v>
      </c>
      <c r="D17" s="39">
        <v>2</v>
      </c>
      <c r="E17" s="39">
        <v>2</v>
      </c>
      <c r="F17" s="194">
        <v>5</v>
      </c>
      <c r="G17" s="196">
        <f t="shared" si="0"/>
        <v>314</v>
      </c>
      <c r="H17" s="203">
        <v>0</v>
      </c>
      <c r="I17" s="204">
        <v>0</v>
      </c>
      <c r="J17" s="204">
        <v>0</v>
      </c>
      <c r="K17" s="204">
        <v>0</v>
      </c>
      <c r="L17" s="204">
        <v>2</v>
      </c>
      <c r="M17" s="205">
        <v>0</v>
      </c>
      <c r="N17" s="85">
        <f t="shared" si="1"/>
        <v>314</v>
      </c>
      <c r="O17" s="43">
        <f t="shared" si="2"/>
        <v>284.5</v>
      </c>
    </row>
    <row r="18" spans="1:15" ht="22.5" customHeight="1" x14ac:dyDescent="0.3">
      <c r="A18" s="190" t="s">
        <v>187</v>
      </c>
      <c r="B18" s="44">
        <v>165</v>
      </c>
      <c r="C18" s="39">
        <v>153</v>
      </c>
      <c r="D18" s="39">
        <v>4</v>
      </c>
      <c r="E18" s="39">
        <v>1</v>
      </c>
      <c r="F18" s="194">
        <v>6</v>
      </c>
      <c r="G18" s="196">
        <f t="shared" si="0"/>
        <v>329</v>
      </c>
      <c r="H18" s="203">
        <v>0</v>
      </c>
      <c r="I18" s="204">
        <v>0</v>
      </c>
      <c r="J18" s="204">
        <v>0</v>
      </c>
      <c r="K18" s="204">
        <v>0</v>
      </c>
      <c r="L18" s="204">
        <v>1</v>
      </c>
      <c r="M18" s="205">
        <v>0</v>
      </c>
      <c r="N18" s="85">
        <f t="shared" si="1"/>
        <v>329</v>
      </c>
      <c r="O18" s="43">
        <f t="shared" si="2"/>
        <v>285.5</v>
      </c>
    </row>
    <row r="19" spans="1:15" ht="22.5" customHeight="1" x14ac:dyDescent="0.3">
      <c r="A19" s="190" t="s">
        <v>188</v>
      </c>
      <c r="B19" s="44">
        <v>148</v>
      </c>
      <c r="C19" s="39">
        <v>134</v>
      </c>
      <c r="D19" s="39">
        <v>5</v>
      </c>
      <c r="E19" s="39">
        <v>0</v>
      </c>
      <c r="F19" s="194">
        <v>5</v>
      </c>
      <c r="G19" s="196">
        <f t="shared" si="0"/>
        <v>292</v>
      </c>
      <c r="H19" s="203">
        <v>0</v>
      </c>
      <c r="I19" s="204">
        <v>0</v>
      </c>
      <c r="J19" s="204">
        <v>0</v>
      </c>
      <c r="K19" s="204">
        <v>0</v>
      </c>
      <c r="L19" s="204">
        <v>3</v>
      </c>
      <c r="M19" s="205">
        <v>0</v>
      </c>
      <c r="N19" s="85">
        <f t="shared" si="1"/>
        <v>292</v>
      </c>
      <c r="O19" s="43">
        <f t="shared" si="2"/>
        <v>269</v>
      </c>
    </row>
    <row r="20" spans="1:15" ht="22.5" customHeight="1" x14ac:dyDescent="0.3">
      <c r="A20" s="190" t="s">
        <v>189</v>
      </c>
      <c r="B20" s="44">
        <v>122</v>
      </c>
      <c r="C20" s="39">
        <v>81</v>
      </c>
      <c r="D20" s="39">
        <v>2</v>
      </c>
      <c r="E20" s="39">
        <v>0</v>
      </c>
      <c r="F20" s="194">
        <v>6</v>
      </c>
      <c r="G20" s="196">
        <f t="shared" si="0"/>
        <v>211</v>
      </c>
      <c r="H20" s="203">
        <v>0</v>
      </c>
      <c r="I20" s="204">
        <v>0</v>
      </c>
      <c r="J20" s="204">
        <v>0</v>
      </c>
      <c r="K20" s="204">
        <v>0</v>
      </c>
      <c r="L20" s="204">
        <v>3</v>
      </c>
      <c r="M20" s="205">
        <v>0</v>
      </c>
      <c r="N20" s="85">
        <f t="shared" si="1"/>
        <v>211</v>
      </c>
      <c r="O20" s="43">
        <f t="shared" si="2"/>
        <v>216.5</v>
      </c>
    </row>
    <row r="21" spans="1:15" ht="22.5" customHeight="1" x14ac:dyDescent="0.3">
      <c r="A21" s="190" t="s">
        <v>190</v>
      </c>
      <c r="B21" s="44">
        <v>177</v>
      </c>
      <c r="C21" s="39">
        <v>126</v>
      </c>
      <c r="D21" s="39">
        <v>2</v>
      </c>
      <c r="E21" s="39">
        <v>1</v>
      </c>
      <c r="F21" s="194">
        <v>4</v>
      </c>
      <c r="G21" s="196">
        <f t="shared" si="0"/>
        <v>310</v>
      </c>
      <c r="H21" s="203">
        <v>1</v>
      </c>
      <c r="I21" s="204">
        <v>0</v>
      </c>
      <c r="J21" s="204">
        <v>0</v>
      </c>
      <c r="K21" s="204">
        <v>0</v>
      </c>
      <c r="L21" s="204">
        <v>3</v>
      </c>
      <c r="M21" s="205">
        <v>0</v>
      </c>
      <c r="N21" s="85">
        <f t="shared" si="1"/>
        <v>310</v>
      </c>
      <c r="O21" s="43">
        <f t="shared" si="2"/>
        <v>288.5</v>
      </c>
    </row>
    <row r="22" spans="1:15" ht="22.5" customHeight="1" x14ac:dyDescent="0.3">
      <c r="A22" s="190" t="s">
        <v>191</v>
      </c>
      <c r="B22" s="44">
        <v>112</v>
      </c>
      <c r="C22" s="39">
        <v>88</v>
      </c>
      <c r="D22" s="39">
        <v>5</v>
      </c>
      <c r="E22" s="39">
        <v>1</v>
      </c>
      <c r="F22" s="194">
        <v>3</v>
      </c>
      <c r="G22" s="196">
        <f t="shared" si="0"/>
        <v>209</v>
      </c>
      <c r="H22" s="203">
        <v>0</v>
      </c>
      <c r="I22" s="204">
        <v>0</v>
      </c>
      <c r="J22" s="204">
        <v>0</v>
      </c>
      <c r="K22" s="204">
        <v>0</v>
      </c>
      <c r="L22" s="204">
        <v>4</v>
      </c>
      <c r="M22" s="205">
        <v>0</v>
      </c>
      <c r="N22" s="85">
        <f t="shared" si="1"/>
        <v>209</v>
      </c>
      <c r="O22" s="43">
        <f t="shared" si="2"/>
        <v>212</v>
      </c>
    </row>
    <row r="23" spans="1:15" ht="22.5" customHeight="1" x14ac:dyDescent="0.3">
      <c r="A23" s="190" t="s">
        <v>192</v>
      </c>
      <c r="B23" s="44">
        <v>183</v>
      </c>
      <c r="C23" s="39">
        <v>68</v>
      </c>
      <c r="D23" s="39">
        <v>5</v>
      </c>
      <c r="E23" s="39">
        <v>0</v>
      </c>
      <c r="F23" s="194">
        <v>7</v>
      </c>
      <c r="G23" s="196">
        <f t="shared" si="0"/>
        <v>263</v>
      </c>
      <c r="H23" s="203">
        <v>0</v>
      </c>
      <c r="I23" s="204">
        <v>0</v>
      </c>
      <c r="J23" s="204">
        <v>0</v>
      </c>
      <c r="K23" s="204">
        <v>0</v>
      </c>
      <c r="L23" s="204">
        <v>1</v>
      </c>
      <c r="M23" s="205">
        <v>1</v>
      </c>
      <c r="N23" s="85">
        <f t="shared" si="1"/>
        <v>264</v>
      </c>
      <c r="O23" s="43">
        <f t="shared" si="2"/>
        <v>264</v>
      </c>
    </row>
    <row r="24" spans="1:15" ht="22.5" customHeight="1" x14ac:dyDescent="0.3">
      <c r="A24" s="190" t="s">
        <v>193</v>
      </c>
      <c r="B24" s="44">
        <v>141</v>
      </c>
      <c r="C24" s="39">
        <v>100</v>
      </c>
      <c r="D24" s="39">
        <v>4</v>
      </c>
      <c r="E24" s="39">
        <v>1</v>
      </c>
      <c r="F24" s="194">
        <v>11</v>
      </c>
      <c r="G24" s="196">
        <f t="shared" si="0"/>
        <v>257</v>
      </c>
      <c r="H24" s="203">
        <v>0</v>
      </c>
      <c r="I24" s="204">
        <v>0</v>
      </c>
      <c r="J24" s="204">
        <v>0</v>
      </c>
      <c r="K24" s="204">
        <v>0</v>
      </c>
      <c r="L24" s="204">
        <v>2</v>
      </c>
      <c r="M24" s="205">
        <v>0</v>
      </c>
      <c r="N24" s="85">
        <f t="shared" si="1"/>
        <v>257</v>
      </c>
      <c r="O24" s="43">
        <f t="shared" si="2"/>
        <v>265.5</v>
      </c>
    </row>
    <row r="25" spans="1:15" ht="22.5" customHeight="1" x14ac:dyDescent="0.3">
      <c r="A25" s="190" t="s">
        <v>194</v>
      </c>
      <c r="B25" s="44">
        <v>146</v>
      </c>
      <c r="C25" s="39">
        <v>50</v>
      </c>
      <c r="D25" s="39">
        <v>3</v>
      </c>
      <c r="E25" s="39">
        <v>1</v>
      </c>
      <c r="F25" s="194">
        <v>11</v>
      </c>
      <c r="G25" s="196">
        <f t="shared" si="0"/>
        <v>211</v>
      </c>
      <c r="H25" s="203">
        <v>0</v>
      </c>
      <c r="I25" s="204">
        <v>0</v>
      </c>
      <c r="J25" s="204">
        <v>0</v>
      </c>
      <c r="K25" s="204">
        <v>0</v>
      </c>
      <c r="L25" s="204">
        <v>0</v>
      </c>
      <c r="M25" s="205">
        <v>0</v>
      </c>
      <c r="N25" s="85">
        <f t="shared" si="1"/>
        <v>211</v>
      </c>
      <c r="O25" s="43">
        <f t="shared" si="2"/>
        <v>228</v>
      </c>
    </row>
    <row r="26" spans="1:15" ht="22.5" customHeight="1" x14ac:dyDescent="0.3">
      <c r="A26" s="190" t="s">
        <v>195</v>
      </c>
      <c r="B26" s="44">
        <v>106</v>
      </c>
      <c r="C26" s="39">
        <v>51</v>
      </c>
      <c r="D26" s="39">
        <v>11</v>
      </c>
      <c r="E26" s="39">
        <v>5</v>
      </c>
      <c r="F26" s="194">
        <v>3</v>
      </c>
      <c r="G26" s="196">
        <f t="shared" si="0"/>
        <v>176</v>
      </c>
      <c r="H26" s="203">
        <v>0</v>
      </c>
      <c r="I26" s="204">
        <v>0</v>
      </c>
      <c r="J26" s="204">
        <v>0</v>
      </c>
      <c r="K26" s="204">
        <v>0</v>
      </c>
      <c r="L26" s="204">
        <v>2</v>
      </c>
      <c r="M26" s="205">
        <v>0</v>
      </c>
      <c r="N26" s="85">
        <f t="shared" si="1"/>
        <v>176</v>
      </c>
      <c r="O26" s="43">
        <f t="shared" si="2"/>
        <v>192.5</v>
      </c>
    </row>
    <row r="27" spans="1:15" ht="22.5" customHeight="1" x14ac:dyDescent="0.3">
      <c r="A27" s="190" t="s">
        <v>196</v>
      </c>
      <c r="B27" s="44">
        <v>103</v>
      </c>
      <c r="C27" s="39">
        <v>67</v>
      </c>
      <c r="D27" s="39">
        <v>12</v>
      </c>
      <c r="E27" s="39">
        <v>2</v>
      </c>
      <c r="F27" s="194">
        <v>10</v>
      </c>
      <c r="G27" s="196">
        <f t="shared" si="0"/>
        <v>194</v>
      </c>
      <c r="H27" s="203">
        <v>0</v>
      </c>
      <c r="I27" s="204">
        <v>0</v>
      </c>
      <c r="J27" s="204">
        <v>0</v>
      </c>
      <c r="K27" s="204">
        <v>0</v>
      </c>
      <c r="L27" s="204">
        <v>2</v>
      </c>
      <c r="M27" s="205">
        <v>0</v>
      </c>
      <c r="N27" s="85">
        <f t="shared" si="1"/>
        <v>194</v>
      </c>
      <c r="O27" s="43">
        <f t="shared" si="2"/>
        <v>221.5</v>
      </c>
    </row>
    <row r="28" spans="1:15" ht="22.5" customHeight="1" x14ac:dyDescent="0.3">
      <c r="A28" s="190" t="s">
        <v>197</v>
      </c>
      <c r="B28" s="44">
        <v>133</v>
      </c>
      <c r="C28" s="39">
        <v>64</v>
      </c>
      <c r="D28" s="39">
        <v>9</v>
      </c>
      <c r="E28" s="39">
        <v>4</v>
      </c>
      <c r="F28" s="194">
        <v>10</v>
      </c>
      <c r="G28" s="196">
        <f t="shared" si="0"/>
        <v>220</v>
      </c>
      <c r="H28" s="203">
        <v>0</v>
      </c>
      <c r="I28" s="204">
        <v>0</v>
      </c>
      <c r="J28" s="204">
        <v>0</v>
      </c>
      <c r="K28" s="204">
        <v>0</v>
      </c>
      <c r="L28" s="204">
        <v>0</v>
      </c>
      <c r="M28" s="205">
        <v>0</v>
      </c>
      <c r="N28" s="85">
        <f t="shared" si="1"/>
        <v>220</v>
      </c>
      <c r="O28" s="43">
        <f t="shared" si="2"/>
        <v>235.5</v>
      </c>
    </row>
    <row r="29" spans="1:15" ht="22.5" customHeight="1" x14ac:dyDescent="0.3">
      <c r="A29" s="190" t="s">
        <v>198</v>
      </c>
      <c r="B29" s="44">
        <v>139</v>
      </c>
      <c r="C29" s="39">
        <v>69</v>
      </c>
      <c r="D29" s="39">
        <v>6</v>
      </c>
      <c r="E29" s="39">
        <v>0</v>
      </c>
      <c r="F29" s="194">
        <v>9</v>
      </c>
      <c r="G29" s="196">
        <f t="shared" si="0"/>
        <v>223</v>
      </c>
      <c r="H29" s="203">
        <v>0</v>
      </c>
      <c r="I29" s="204">
        <v>0</v>
      </c>
      <c r="J29" s="204">
        <v>0</v>
      </c>
      <c r="K29" s="204">
        <v>0</v>
      </c>
      <c r="L29" s="204">
        <v>0</v>
      </c>
      <c r="M29" s="205">
        <v>0</v>
      </c>
      <c r="N29" s="85">
        <f t="shared" si="1"/>
        <v>223</v>
      </c>
      <c r="O29" s="43">
        <f t="shared" si="2"/>
        <v>223</v>
      </c>
    </row>
    <row r="30" spans="1:15" ht="22.5" customHeight="1" x14ac:dyDescent="0.3">
      <c r="A30" s="190" t="s">
        <v>199</v>
      </c>
      <c r="B30" s="44">
        <v>112</v>
      </c>
      <c r="C30" s="39">
        <v>64</v>
      </c>
      <c r="D30" s="39">
        <v>9</v>
      </c>
      <c r="E30" s="39">
        <v>0</v>
      </c>
      <c r="F30" s="194">
        <v>5</v>
      </c>
      <c r="G30" s="196">
        <f t="shared" si="0"/>
        <v>190</v>
      </c>
      <c r="H30" s="203">
        <v>0</v>
      </c>
      <c r="I30" s="204">
        <v>0</v>
      </c>
      <c r="J30" s="204">
        <v>0</v>
      </c>
      <c r="K30" s="204">
        <v>0</v>
      </c>
      <c r="L30" s="204">
        <v>2</v>
      </c>
      <c r="M30" s="205">
        <v>0</v>
      </c>
      <c r="N30" s="85">
        <f t="shared" si="1"/>
        <v>190</v>
      </c>
      <c r="O30" s="43">
        <f t="shared" si="2"/>
        <v>196</v>
      </c>
    </row>
    <row r="31" spans="1:15" ht="22.5" customHeight="1" x14ac:dyDescent="0.3">
      <c r="A31" s="190" t="s">
        <v>200</v>
      </c>
      <c r="B31" s="44">
        <v>126</v>
      </c>
      <c r="C31" s="39">
        <v>64</v>
      </c>
      <c r="D31" s="39">
        <v>8</v>
      </c>
      <c r="E31" s="39">
        <v>0</v>
      </c>
      <c r="F31" s="194">
        <v>10</v>
      </c>
      <c r="G31" s="196">
        <f t="shared" si="0"/>
        <v>208</v>
      </c>
      <c r="H31" s="203">
        <v>0</v>
      </c>
      <c r="I31" s="204">
        <v>0</v>
      </c>
      <c r="J31" s="204">
        <v>0</v>
      </c>
      <c r="K31" s="204">
        <v>0</v>
      </c>
      <c r="L31" s="204">
        <v>0</v>
      </c>
      <c r="M31" s="205">
        <v>0</v>
      </c>
      <c r="N31" s="85">
        <f t="shared" si="1"/>
        <v>208</v>
      </c>
      <c r="O31" s="43">
        <f t="shared" si="2"/>
        <v>215</v>
      </c>
    </row>
    <row r="32" spans="1:15" ht="22.5" customHeight="1" x14ac:dyDescent="0.3">
      <c r="A32" s="190" t="s">
        <v>201</v>
      </c>
      <c r="B32" s="44">
        <v>90</v>
      </c>
      <c r="C32" s="39">
        <v>41</v>
      </c>
      <c r="D32" s="39">
        <v>7</v>
      </c>
      <c r="E32" s="39">
        <v>2</v>
      </c>
      <c r="F32" s="194">
        <v>5</v>
      </c>
      <c r="G32" s="196">
        <f t="shared" si="0"/>
        <v>145</v>
      </c>
      <c r="H32" s="203">
        <v>0</v>
      </c>
      <c r="I32" s="204">
        <v>0</v>
      </c>
      <c r="J32" s="204">
        <v>0</v>
      </c>
      <c r="K32" s="204">
        <v>0</v>
      </c>
      <c r="L32" s="204">
        <v>2</v>
      </c>
      <c r="M32" s="205">
        <v>0</v>
      </c>
      <c r="N32" s="85">
        <f t="shared" si="1"/>
        <v>145</v>
      </c>
      <c r="O32" s="43">
        <f t="shared" si="2"/>
        <v>165.5</v>
      </c>
    </row>
    <row r="33" spans="1:15" ht="22.5" customHeight="1" x14ac:dyDescent="0.3">
      <c r="A33" s="190" t="s">
        <v>202</v>
      </c>
      <c r="B33" s="44">
        <v>82</v>
      </c>
      <c r="C33" s="39">
        <v>47</v>
      </c>
      <c r="D33" s="39">
        <v>8</v>
      </c>
      <c r="E33" s="39">
        <v>4</v>
      </c>
      <c r="F33" s="194">
        <v>3</v>
      </c>
      <c r="G33" s="196">
        <f t="shared" si="0"/>
        <v>144</v>
      </c>
      <c r="H33" s="203">
        <v>0</v>
      </c>
      <c r="I33" s="204">
        <v>0</v>
      </c>
      <c r="J33" s="204">
        <v>0</v>
      </c>
      <c r="K33" s="204">
        <v>0</v>
      </c>
      <c r="L33" s="204">
        <v>1</v>
      </c>
      <c r="M33" s="205">
        <v>0</v>
      </c>
      <c r="N33" s="85">
        <f t="shared" si="1"/>
        <v>144</v>
      </c>
      <c r="O33" s="43">
        <f t="shared" si="2"/>
        <v>151</v>
      </c>
    </row>
    <row r="34" spans="1:15" ht="22.5" customHeight="1" x14ac:dyDescent="0.3">
      <c r="A34" s="190" t="s">
        <v>203</v>
      </c>
      <c r="B34" s="44">
        <v>124</v>
      </c>
      <c r="C34" s="39">
        <v>61</v>
      </c>
      <c r="D34" s="39">
        <v>10</v>
      </c>
      <c r="E34" s="39">
        <v>2</v>
      </c>
      <c r="F34" s="194">
        <v>9</v>
      </c>
      <c r="G34" s="196">
        <f t="shared" si="0"/>
        <v>206</v>
      </c>
      <c r="H34" s="203">
        <v>0</v>
      </c>
      <c r="I34" s="204">
        <v>0</v>
      </c>
      <c r="J34" s="204">
        <v>0</v>
      </c>
      <c r="K34" s="204">
        <v>0</v>
      </c>
      <c r="L34" s="204">
        <v>0</v>
      </c>
      <c r="M34" s="205">
        <v>0</v>
      </c>
      <c r="N34" s="85">
        <f t="shared" si="1"/>
        <v>206</v>
      </c>
      <c r="O34" s="43">
        <f t="shared" si="2"/>
        <v>216</v>
      </c>
    </row>
    <row r="35" spans="1:15" ht="22.5" customHeight="1" x14ac:dyDescent="0.3">
      <c r="A35" s="190" t="s">
        <v>204</v>
      </c>
      <c r="B35" s="44">
        <v>108</v>
      </c>
      <c r="C35" s="39">
        <v>62</v>
      </c>
      <c r="D35" s="39">
        <v>8</v>
      </c>
      <c r="E35" s="39">
        <v>1</v>
      </c>
      <c r="F35" s="194">
        <v>2</v>
      </c>
      <c r="G35" s="196">
        <f t="shared" si="0"/>
        <v>181</v>
      </c>
      <c r="H35" s="203">
        <v>0</v>
      </c>
      <c r="I35" s="204">
        <v>0</v>
      </c>
      <c r="J35" s="204">
        <v>0</v>
      </c>
      <c r="K35" s="204">
        <v>0</v>
      </c>
      <c r="L35" s="204">
        <v>1</v>
      </c>
      <c r="M35" s="205">
        <v>0</v>
      </c>
      <c r="N35" s="85">
        <f t="shared" si="1"/>
        <v>181</v>
      </c>
      <c r="O35" s="43">
        <f t="shared" si="2"/>
        <v>171</v>
      </c>
    </row>
    <row r="36" spans="1:15" ht="22.5" customHeight="1" x14ac:dyDescent="0.3">
      <c r="A36" s="190" t="s">
        <v>205</v>
      </c>
      <c r="B36" s="44">
        <v>110</v>
      </c>
      <c r="C36" s="39">
        <v>52</v>
      </c>
      <c r="D36" s="39">
        <v>11</v>
      </c>
      <c r="E36" s="39">
        <v>1</v>
      </c>
      <c r="F36" s="194">
        <v>4</v>
      </c>
      <c r="G36" s="196">
        <f t="shared" si="0"/>
        <v>178</v>
      </c>
      <c r="H36" s="203">
        <v>0</v>
      </c>
      <c r="I36" s="204">
        <v>0</v>
      </c>
      <c r="J36" s="204">
        <v>0</v>
      </c>
      <c r="K36" s="204">
        <v>0</v>
      </c>
      <c r="L36" s="204">
        <v>2</v>
      </c>
      <c r="M36" s="205">
        <v>1</v>
      </c>
      <c r="N36" s="85">
        <f t="shared" si="1"/>
        <v>179</v>
      </c>
      <c r="O36" s="43">
        <f t="shared" si="2"/>
        <v>189.5</v>
      </c>
    </row>
    <row r="37" spans="1:15" ht="22.5" customHeight="1" x14ac:dyDescent="0.3">
      <c r="A37" s="190" t="s">
        <v>206</v>
      </c>
      <c r="B37" s="44">
        <v>135</v>
      </c>
      <c r="C37" s="39">
        <v>57</v>
      </c>
      <c r="D37" s="39">
        <v>8</v>
      </c>
      <c r="E37" s="39">
        <v>2</v>
      </c>
      <c r="F37" s="194">
        <v>3</v>
      </c>
      <c r="G37" s="196">
        <f t="shared" si="0"/>
        <v>205</v>
      </c>
      <c r="H37" s="203">
        <v>0</v>
      </c>
      <c r="I37" s="204">
        <v>0</v>
      </c>
      <c r="J37" s="204">
        <v>0</v>
      </c>
      <c r="K37" s="204">
        <v>0</v>
      </c>
      <c r="L37" s="204">
        <v>1</v>
      </c>
      <c r="M37" s="205">
        <v>0</v>
      </c>
      <c r="N37" s="85">
        <f t="shared" si="1"/>
        <v>205</v>
      </c>
      <c r="O37" s="43">
        <f t="shared" si="2"/>
        <v>203</v>
      </c>
    </row>
    <row r="38" spans="1:15" ht="22.5" customHeight="1" x14ac:dyDescent="0.3">
      <c r="A38" s="190" t="s">
        <v>207</v>
      </c>
      <c r="B38" s="44">
        <v>151</v>
      </c>
      <c r="C38" s="39">
        <v>41</v>
      </c>
      <c r="D38" s="39">
        <v>7</v>
      </c>
      <c r="E38" s="39">
        <v>0</v>
      </c>
      <c r="F38" s="194">
        <v>5</v>
      </c>
      <c r="G38" s="196">
        <f t="shared" si="0"/>
        <v>204</v>
      </c>
      <c r="H38" s="203">
        <v>0</v>
      </c>
      <c r="I38" s="204">
        <v>0</v>
      </c>
      <c r="J38" s="204">
        <v>0</v>
      </c>
      <c r="K38" s="204">
        <v>0</v>
      </c>
      <c r="L38" s="204">
        <v>3</v>
      </c>
      <c r="M38" s="205">
        <v>2</v>
      </c>
      <c r="N38" s="85">
        <f t="shared" si="1"/>
        <v>206</v>
      </c>
      <c r="O38" s="43">
        <f t="shared" si="2"/>
        <v>228.5</v>
      </c>
    </row>
    <row r="39" spans="1:15" ht="22.5" customHeight="1" x14ac:dyDescent="0.3">
      <c r="A39" s="190" t="s">
        <v>208</v>
      </c>
      <c r="B39" s="44">
        <v>126</v>
      </c>
      <c r="C39" s="39">
        <v>49</v>
      </c>
      <c r="D39" s="39">
        <v>8</v>
      </c>
      <c r="E39" s="39">
        <v>1</v>
      </c>
      <c r="F39" s="194">
        <v>2</v>
      </c>
      <c r="G39" s="196">
        <f t="shared" si="0"/>
        <v>186</v>
      </c>
      <c r="H39" s="203">
        <v>0</v>
      </c>
      <c r="I39" s="204">
        <v>0</v>
      </c>
      <c r="J39" s="204">
        <v>0</v>
      </c>
      <c r="K39" s="204">
        <v>0</v>
      </c>
      <c r="L39" s="204">
        <v>0</v>
      </c>
      <c r="M39" s="205">
        <v>0</v>
      </c>
      <c r="N39" s="85">
        <f t="shared" si="1"/>
        <v>186</v>
      </c>
      <c r="O39" s="43">
        <f t="shared" si="2"/>
        <v>174.5</v>
      </c>
    </row>
    <row r="40" spans="1:15" ht="22.5" customHeight="1" x14ac:dyDescent="0.3">
      <c r="A40" s="190" t="s">
        <v>209</v>
      </c>
      <c r="B40" s="44">
        <v>122</v>
      </c>
      <c r="C40" s="39">
        <v>43</v>
      </c>
      <c r="D40" s="39">
        <v>3</v>
      </c>
      <c r="E40" s="39">
        <v>0</v>
      </c>
      <c r="F40" s="194">
        <v>6</v>
      </c>
      <c r="G40" s="196">
        <f t="shared" ref="G40:G71" si="3">SUM(B40:F40)</f>
        <v>174</v>
      </c>
      <c r="H40" s="203">
        <v>0</v>
      </c>
      <c r="I40" s="204">
        <v>0</v>
      </c>
      <c r="J40" s="204">
        <v>1</v>
      </c>
      <c r="K40" s="204">
        <v>0</v>
      </c>
      <c r="L40" s="204">
        <v>1</v>
      </c>
      <c r="M40" s="205">
        <v>0</v>
      </c>
      <c r="N40" s="85">
        <f t="shared" si="1"/>
        <v>174</v>
      </c>
      <c r="O40" s="43">
        <f t="shared" si="2"/>
        <v>186</v>
      </c>
    </row>
    <row r="41" spans="1:15" ht="22.5" customHeight="1" x14ac:dyDescent="0.3">
      <c r="A41" s="190" t="s">
        <v>210</v>
      </c>
      <c r="B41" s="44">
        <v>106</v>
      </c>
      <c r="C41" s="39">
        <v>38</v>
      </c>
      <c r="D41" s="39">
        <v>3</v>
      </c>
      <c r="E41" s="39">
        <v>2</v>
      </c>
      <c r="F41" s="194">
        <v>6</v>
      </c>
      <c r="G41" s="196">
        <f t="shared" si="3"/>
        <v>155</v>
      </c>
      <c r="H41" s="203">
        <v>0</v>
      </c>
      <c r="I41" s="204">
        <v>0</v>
      </c>
      <c r="J41" s="204">
        <v>2</v>
      </c>
      <c r="K41" s="204">
        <v>0</v>
      </c>
      <c r="L41" s="204">
        <v>4</v>
      </c>
      <c r="M41" s="205">
        <v>0</v>
      </c>
      <c r="N41" s="85">
        <f t="shared" si="1"/>
        <v>155</v>
      </c>
      <c r="O41" s="43">
        <f t="shared" si="2"/>
        <v>200.5</v>
      </c>
    </row>
    <row r="42" spans="1:15" ht="22.5" customHeight="1" x14ac:dyDescent="0.3">
      <c r="A42" s="190" t="s">
        <v>211</v>
      </c>
      <c r="B42" s="44">
        <v>105</v>
      </c>
      <c r="C42" s="39">
        <v>42</v>
      </c>
      <c r="D42" s="39">
        <v>2</v>
      </c>
      <c r="E42" s="39">
        <v>3</v>
      </c>
      <c r="F42" s="194">
        <v>5</v>
      </c>
      <c r="G42" s="196">
        <f t="shared" si="3"/>
        <v>157</v>
      </c>
      <c r="H42" s="203">
        <v>0</v>
      </c>
      <c r="I42" s="204">
        <v>0</v>
      </c>
      <c r="J42" s="204">
        <v>0</v>
      </c>
      <c r="K42" s="204">
        <v>0</v>
      </c>
      <c r="L42" s="204">
        <v>2</v>
      </c>
      <c r="M42" s="205">
        <v>0</v>
      </c>
      <c r="N42" s="85">
        <f t="shared" si="1"/>
        <v>157</v>
      </c>
      <c r="O42" s="43">
        <f t="shared" si="2"/>
        <v>176.5</v>
      </c>
    </row>
    <row r="43" spans="1:15" ht="22.5" customHeight="1" x14ac:dyDescent="0.3">
      <c r="A43" s="190" t="s">
        <v>212</v>
      </c>
      <c r="B43" s="44">
        <v>96</v>
      </c>
      <c r="C43" s="39">
        <v>41</v>
      </c>
      <c r="D43" s="39">
        <v>4</v>
      </c>
      <c r="E43" s="39">
        <v>0</v>
      </c>
      <c r="F43" s="194">
        <v>5</v>
      </c>
      <c r="G43" s="196">
        <f t="shared" si="3"/>
        <v>146</v>
      </c>
      <c r="H43" s="203">
        <v>0</v>
      </c>
      <c r="I43" s="204">
        <v>0</v>
      </c>
      <c r="J43" s="204">
        <v>0</v>
      </c>
      <c r="K43" s="204">
        <v>0</v>
      </c>
      <c r="L43" s="204">
        <v>5</v>
      </c>
      <c r="M43" s="205">
        <v>0</v>
      </c>
      <c r="N43" s="85">
        <f t="shared" si="1"/>
        <v>146</v>
      </c>
      <c r="O43" s="43">
        <f t="shared" si="2"/>
        <v>185</v>
      </c>
    </row>
    <row r="44" spans="1:15" ht="22.5" customHeight="1" x14ac:dyDescent="0.3">
      <c r="A44" s="190" t="s">
        <v>213</v>
      </c>
      <c r="B44" s="44">
        <v>155</v>
      </c>
      <c r="C44" s="39">
        <v>55</v>
      </c>
      <c r="D44" s="39">
        <v>8</v>
      </c>
      <c r="E44" s="39">
        <v>1</v>
      </c>
      <c r="F44" s="194">
        <v>3</v>
      </c>
      <c r="G44" s="196">
        <f t="shared" si="3"/>
        <v>222</v>
      </c>
      <c r="H44" s="203">
        <v>0</v>
      </c>
      <c r="I44" s="204">
        <v>0</v>
      </c>
      <c r="J44" s="204">
        <v>0</v>
      </c>
      <c r="K44" s="204">
        <v>0</v>
      </c>
      <c r="L44" s="204">
        <v>4</v>
      </c>
      <c r="M44" s="205">
        <v>0</v>
      </c>
      <c r="N44" s="85">
        <f t="shared" si="1"/>
        <v>222</v>
      </c>
      <c r="O44" s="43">
        <f t="shared" si="2"/>
        <v>243</v>
      </c>
    </row>
    <row r="45" spans="1:15" ht="22.5" customHeight="1" x14ac:dyDescent="0.3">
      <c r="A45" s="190" t="s">
        <v>214</v>
      </c>
      <c r="B45" s="44">
        <v>160</v>
      </c>
      <c r="C45" s="39">
        <v>76</v>
      </c>
      <c r="D45" s="39">
        <v>9</v>
      </c>
      <c r="E45" s="39">
        <v>0</v>
      </c>
      <c r="F45" s="194">
        <v>0</v>
      </c>
      <c r="G45" s="196">
        <f t="shared" si="3"/>
        <v>245</v>
      </c>
      <c r="H45" s="203">
        <v>0</v>
      </c>
      <c r="I45" s="204">
        <v>0</v>
      </c>
      <c r="J45" s="204">
        <v>0</v>
      </c>
      <c r="K45" s="204">
        <v>0</v>
      </c>
      <c r="L45" s="204">
        <v>5</v>
      </c>
      <c r="M45" s="205">
        <v>0</v>
      </c>
      <c r="N45" s="85">
        <f t="shared" si="1"/>
        <v>245</v>
      </c>
      <c r="O45" s="43">
        <f t="shared" si="2"/>
        <v>251.5</v>
      </c>
    </row>
    <row r="46" spans="1:15" ht="22.5" customHeight="1" x14ac:dyDescent="0.3">
      <c r="A46" s="190" t="s">
        <v>215</v>
      </c>
      <c r="B46" s="44">
        <v>134</v>
      </c>
      <c r="C46" s="39">
        <v>66</v>
      </c>
      <c r="D46" s="39">
        <v>4</v>
      </c>
      <c r="E46" s="39">
        <v>2</v>
      </c>
      <c r="F46" s="194">
        <v>4</v>
      </c>
      <c r="G46" s="196">
        <f t="shared" si="3"/>
        <v>210</v>
      </c>
      <c r="H46" s="203">
        <v>0</v>
      </c>
      <c r="I46" s="204">
        <v>0</v>
      </c>
      <c r="J46" s="204">
        <v>0</v>
      </c>
      <c r="K46" s="204">
        <v>0</v>
      </c>
      <c r="L46" s="204">
        <v>6</v>
      </c>
      <c r="M46" s="205">
        <v>0</v>
      </c>
      <c r="N46" s="85">
        <f t="shared" si="1"/>
        <v>210</v>
      </c>
      <c r="O46" s="43">
        <f t="shared" si="2"/>
        <v>245</v>
      </c>
    </row>
    <row r="47" spans="1:15" ht="22.5" customHeight="1" x14ac:dyDescent="0.3">
      <c r="A47" s="190" t="s">
        <v>216</v>
      </c>
      <c r="B47" s="44">
        <v>129</v>
      </c>
      <c r="C47" s="39">
        <v>70</v>
      </c>
      <c r="D47" s="39">
        <v>0</v>
      </c>
      <c r="E47" s="39">
        <v>1</v>
      </c>
      <c r="F47" s="194">
        <v>2</v>
      </c>
      <c r="G47" s="196">
        <f t="shared" si="3"/>
        <v>202</v>
      </c>
      <c r="H47" s="203">
        <v>0</v>
      </c>
      <c r="I47" s="204">
        <v>0</v>
      </c>
      <c r="J47" s="204">
        <v>0</v>
      </c>
      <c r="K47" s="204">
        <v>0</v>
      </c>
      <c r="L47" s="204">
        <v>3</v>
      </c>
      <c r="M47" s="205">
        <v>0</v>
      </c>
      <c r="N47" s="85">
        <f t="shared" si="1"/>
        <v>202</v>
      </c>
      <c r="O47" s="43">
        <f t="shared" si="2"/>
        <v>200</v>
      </c>
    </row>
    <row r="48" spans="1:15" ht="22.5" customHeight="1" x14ac:dyDescent="0.3">
      <c r="A48" s="190" t="s">
        <v>217</v>
      </c>
      <c r="B48" s="44">
        <v>124</v>
      </c>
      <c r="C48" s="39">
        <v>61</v>
      </c>
      <c r="D48" s="39">
        <v>4</v>
      </c>
      <c r="E48" s="39">
        <v>1</v>
      </c>
      <c r="F48" s="194">
        <v>4</v>
      </c>
      <c r="G48" s="196">
        <f t="shared" si="3"/>
        <v>194</v>
      </c>
      <c r="H48" s="203">
        <v>0</v>
      </c>
      <c r="I48" s="204">
        <v>0</v>
      </c>
      <c r="J48" s="204">
        <v>0</v>
      </c>
      <c r="K48" s="204">
        <v>0</v>
      </c>
      <c r="L48" s="204">
        <v>2</v>
      </c>
      <c r="M48" s="205">
        <v>0</v>
      </c>
      <c r="N48" s="85">
        <f t="shared" si="1"/>
        <v>194</v>
      </c>
      <c r="O48" s="43">
        <f t="shared" si="2"/>
        <v>197.5</v>
      </c>
    </row>
    <row r="49" spans="1:15" ht="22.5" customHeight="1" x14ac:dyDescent="0.3">
      <c r="A49" s="190" t="s">
        <v>218</v>
      </c>
      <c r="B49" s="44">
        <v>157</v>
      </c>
      <c r="C49" s="39">
        <v>71</v>
      </c>
      <c r="D49" s="39">
        <v>2</v>
      </c>
      <c r="E49" s="39">
        <v>1</v>
      </c>
      <c r="F49" s="194">
        <v>2</v>
      </c>
      <c r="G49" s="196">
        <f t="shared" si="3"/>
        <v>233</v>
      </c>
      <c r="H49" s="203">
        <v>0</v>
      </c>
      <c r="I49" s="204">
        <v>0</v>
      </c>
      <c r="J49" s="204">
        <v>0</v>
      </c>
      <c r="K49" s="204">
        <v>0</v>
      </c>
      <c r="L49" s="204">
        <v>6</v>
      </c>
      <c r="M49" s="205">
        <v>0</v>
      </c>
      <c r="N49" s="85">
        <f t="shared" si="1"/>
        <v>233</v>
      </c>
      <c r="O49" s="43">
        <f t="shared" si="2"/>
        <v>255.5</v>
      </c>
    </row>
    <row r="50" spans="1:15" ht="22.5" customHeight="1" x14ac:dyDescent="0.3">
      <c r="A50" s="190" t="s">
        <v>219</v>
      </c>
      <c r="B50" s="44">
        <v>155</v>
      </c>
      <c r="C50" s="39">
        <v>81</v>
      </c>
      <c r="D50" s="39">
        <v>6</v>
      </c>
      <c r="E50" s="39">
        <v>3</v>
      </c>
      <c r="F50" s="194">
        <v>3</v>
      </c>
      <c r="G50" s="196">
        <f t="shared" si="3"/>
        <v>248</v>
      </c>
      <c r="H50" s="203">
        <v>0</v>
      </c>
      <c r="I50" s="204">
        <v>0</v>
      </c>
      <c r="J50" s="204">
        <v>0</v>
      </c>
      <c r="K50" s="204">
        <v>0</v>
      </c>
      <c r="L50" s="204">
        <v>5</v>
      </c>
      <c r="M50" s="205">
        <v>0</v>
      </c>
      <c r="N50" s="85">
        <f t="shared" si="1"/>
        <v>248</v>
      </c>
      <c r="O50" s="43">
        <f t="shared" si="2"/>
        <v>267</v>
      </c>
    </row>
    <row r="51" spans="1:15" ht="22.5" customHeight="1" x14ac:dyDescent="0.3">
      <c r="A51" s="190" t="s">
        <v>220</v>
      </c>
      <c r="B51" s="44">
        <v>118</v>
      </c>
      <c r="C51" s="39">
        <v>61</v>
      </c>
      <c r="D51" s="39">
        <v>8</v>
      </c>
      <c r="E51" s="39">
        <v>2</v>
      </c>
      <c r="F51" s="194">
        <v>7</v>
      </c>
      <c r="G51" s="196">
        <f t="shared" si="3"/>
        <v>196</v>
      </c>
      <c r="H51" s="203">
        <v>0</v>
      </c>
      <c r="I51" s="204">
        <v>0</v>
      </c>
      <c r="J51" s="204">
        <v>0</v>
      </c>
      <c r="K51" s="204">
        <v>0</v>
      </c>
      <c r="L51" s="204">
        <v>2</v>
      </c>
      <c r="M51" s="205">
        <v>0</v>
      </c>
      <c r="N51" s="85">
        <f t="shared" si="1"/>
        <v>196</v>
      </c>
      <c r="O51" s="43">
        <f t="shared" si="2"/>
        <v>214</v>
      </c>
    </row>
    <row r="52" spans="1:15" ht="22.5" customHeight="1" x14ac:dyDescent="0.3">
      <c r="A52" s="190" t="s">
        <v>221</v>
      </c>
      <c r="B52" s="44">
        <v>96</v>
      </c>
      <c r="C52" s="39">
        <v>36</v>
      </c>
      <c r="D52" s="39">
        <v>2</v>
      </c>
      <c r="E52" s="39">
        <v>2</v>
      </c>
      <c r="F52" s="194">
        <v>3</v>
      </c>
      <c r="G52" s="196">
        <f t="shared" si="3"/>
        <v>139</v>
      </c>
      <c r="H52" s="203">
        <v>0</v>
      </c>
      <c r="I52" s="204">
        <v>0</v>
      </c>
      <c r="J52" s="204">
        <v>0</v>
      </c>
      <c r="K52" s="204">
        <v>0</v>
      </c>
      <c r="L52" s="204">
        <v>1</v>
      </c>
      <c r="M52" s="205">
        <v>0</v>
      </c>
      <c r="N52" s="85">
        <f t="shared" si="1"/>
        <v>139</v>
      </c>
      <c r="O52" s="43">
        <f t="shared" si="2"/>
        <v>144.5</v>
      </c>
    </row>
    <row r="53" spans="1:15" ht="22.5" customHeight="1" x14ac:dyDescent="0.3">
      <c r="A53" s="190" t="s">
        <v>222</v>
      </c>
      <c r="B53" s="44">
        <v>68</v>
      </c>
      <c r="C53" s="39">
        <v>29</v>
      </c>
      <c r="D53" s="39">
        <v>2</v>
      </c>
      <c r="E53" s="39">
        <v>2</v>
      </c>
      <c r="F53" s="194">
        <v>1</v>
      </c>
      <c r="G53" s="196">
        <f t="shared" si="3"/>
        <v>102</v>
      </c>
      <c r="H53" s="203">
        <v>0</v>
      </c>
      <c r="I53" s="204">
        <v>0</v>
      </c>
      <c r="J53" s="204">
        <v>0</v>
      </c>
      <c r="K53" s="204">
        <v>0</v>
      </c>
      <c r="L53" s="204">
        <v>4</v>
      </c>
      <c r="M53" s="205">
        <v>0</v>
      </c>
      <c r="N53" s="85">
        <f t="shared" si="1"/>
        <v>102</v>
      </c>
      <c r="O53" s="43">
        <f t="shared" si="2"/>
        <v>128</v>
      </c>
    </row>
    <row r="54" spans="1:15" ht="22.5" customHeight="1" x14ac:dyDescent="0.3">
      <c r="A54" s="190" t="s">
        <v>223</v>
      </c>
      <c r="B54" s="44">
        <v>94</v>
      </c>
      <c r="C54" s="39">
        <v>34</v>
      </c>
      <c r="D54" s="39">
        <v>6</v>
      </c>
      <c r="E54" s="39">
        <v>0</v>
      </c>
      <c r="F54" s="194">
        <v>8</v>
      </c>
      <c r="G54" s="196">
        <f t="shared" si="3"/>
        <v>142</v>
      </c>
      <c r="H54" s="203">
        <v>0</v>
      </c>
      <c r="I54" s="204">
        <v>0</v>
      </c>
      <c r="J54" s="204">
        <v>0</v>
      </c>
      <c r="K54" s="204">
        <v>0</v>
      </c>
      <c r="L54" s="204">
        <v>4</v>
      </c>
      <c r="M54" s="205">
        <v>0</v>
      </c>
      <c r="N54" s="85">
        <f t="shared" si="1"/>
        <v>142</v>
      </c>
      <c r="O54" s="43">
        <f t="shared" si="2"/>
        <v>188</v>
      </c>
    </row>
    <row r="55" spans="1:15" ht="22.5" customHeight="1" x14ac:dyDescent="0.3">
      <c r="A55" s="190" t="s">
        <v>224</v>
      </c>
      <c r="B55" s="44">
        <v>92</v>
      </c>
      <c r="C55" s="39">
        <v>43</v>
      </c>
      <c r="D55" s="39">
        <v>2</v>
      </c>
      <c r="E55" s="39">
        <v>1</v>
      </c>
      <c r="F55" s="194">
        <v>2</v>
      </c>
      <c r="G55" s="196">
        <f t="shared" si="3"/>
        <v>140</v>
      </c>
      <c r="H55" s="203">
        <v>0</v>
      </c>
      <c r="I55" s="204">
        <v>0</v>
      </c>
      <c r="J55" s="204">
        <v>0</v>
      </c>
      <c r="K55" s="204">
        <v>0</v>
      </c>
      <c r="L55" s="204">
        <v>3</v>
      </c>
      <c r="M55" s="205">
        <v>0</v>
      </c>
      <c r="N55" s="85">
        <f t="shared" si="1"/>
        <v>140</v>
      </c>
      <c r="O55" s="43">
        <f t="shared" si="2"/>
        <v>152.5</v>
      </c>
    </row>
    <row r="56" spans="1:15" ht="22.5" customHeight="1" x14ac:dyDescent="0.3">
      <c r="A56" s="190" t="s">
        <v>225</v>
      </c>
      <c r="B56" s="44">
        <v>66</v>
      </c>
      <c r="C56" s="39">
        <v>19</v>
      </c>
      <c r="D56" s="39">
        <v>6</v>
      </c>
      <c r="E56" s="39">
        <v>0</v>
      </c>
      <c r="F56" s="194">
        <v>1</v>
      </c>
      <c r="G56" s="196">
        <f t="shared" si="3"/>
        <v>92</v>
      </c>
      <c r="H56" s="203">
        <v>0</v>
      </c>
      <c r="I56" s="204">
        <v>0</v>
      </c>
      <c r="J56" s="204">
        <v>0</v>
      </c>
      <c r="K56" s="204">
        <v>0</v>
      </c>
      <c r="L56" s="204">
        <v>2</v>
      </c>
      <c r="M56" s="205">
        <v>0</v>
      </c>
      <c r="N56" s="85">
        <f t="shared" si="1"/>
        <v>92</v>
      </c>
      <c r="O56" s="43">
        <f t="shared" si="2"/>
        <v>105</v>
      </c>
    </row>
    <row r="57" spans="1:15" ht="22.5" customHeight="1" x14ac:dyDescent="0.3">
      <c r="A57" s="190" t="s">
        <v>226</v>
      </c>
      <c r="B57" s="44">
        <v>52</v>
      </c>
      <c r="C57" s="39">
        <v>15</v>
      </c>
      <c r="D57" s="39">
        <v>3</v>
      </c>
      <c r="E57" s="39">
        <v>0</v>
      </c>
      <c r="F57" s="194">
        <v>0</v>
      </c>
      <c r="G57" s="196">
        <f t="shared" si="3"/>
        <v>70</v>
      </c>
      <c r="H57" s="203">
        <v>0</v>
      </c>
      <c r="I57" s="204">
        <v>0</v>
      </c>
      <c r="J57" s="204">
        <v>0</v>
      </c>
      <c r="K57" s="204">
        <v>0</v>
      </c>
      <c r="L57" s="204">
        <v>1</v>
      </c>
      <c r="M57" s="205">
        <v>0</v>
      </c>
      <c r="N57" s="85">
        <f t="shared" si="1"/>
        <v>70</v>
      </c>
      <c r="O57" s="43">
        <f t="shared" si="2"/>
        <v>72</v>
      </c>
    </row>
    <row r="58" spans="1:15" ht="22.5" customHeight="1" x14ac:dyDescent="0.3">
      <c r="A58" s="190" t="s">
        <v>227</v>
      </c>
      <c r="B58" s="44">
        <v>74</v>
      </c>
      <c r="C58" s="39">
        <v>17</v>
      </c>
      <c r="D58" s="39">
        <v>4</v>
      </c>
      <c r="E58" s="39">
        <v>1</v>
      </c>
      <c r="F58" s="194">
        <v>1</v>
      </c>
      <c r="G58" s="196">
        <f t="shared" si="3"/>
        <v>97</v>
      </c>
      <c r="H58" s="203">
        <v>0</v>
      </c>
      <c r="I58" s="204">
        <v>0</v>
      </c>
      <c r="J58" s="204">
        <v>0</v>
      </c>
      <c r="K58" s="204">
        <v>0</v>
      </c>
      <c r="L58" s="204">
        <v>0</v>
      </c>
      <c r="M58" s="205">
        <v>0</v>
      </c>
      <c r="N58" s="85">
        <f t="shared" si="1"/>
        <v>97</v>
      </c>
      <c r="O58" s="43">
        <f t="shared" si="2"/>
        <v>96</v>
      </c>
    </row>
    <row r="59" spans="1:15" ht="22.5" customHeight="1" x14ac:dyDescent="0.3">
      <c r="A59" s="190" t="s">
        <v>228</v>
      </c>
      <c r="B59" s="44">
        <v>73</v>
      </c>
      <c r="C59" s="39">
        <v>29</v>
      </c>
      <c r="D59" s="39">
        <v>2</v>
      </c>
      <c r="E59" s="39">
        <v>0</v>
      </c>
      <c r="F59" s="194">
        <v>0</v>
      </c>
      <c r="G59" s="196">
        <f t="shared" si="3"/>
        <v>104</v>
      </c>
      <c r="H59" s="203">
        <v>0</v>
      </c>
      <c r="I59" s="204">
        <v>0</v>
      </c>
      <c r="J59" s="204">
        <v>0</v>
      </c>
      <c r="K59" s="204">
        <v>0</v>
      </c>
      <c r="L59" s="204">
        <v>0</v>
      </c>
      <c r="M59" s="205">
        <v>0</v>
      </c>
      <c r="N59" s="85">
        <f t="shared" si="1"/>
        <v>104</v>
      </c>
      <c r="O59" s="43">
        <f t="shared" si="2"/>
        <v>90.5</v>
      </c>
    </row>
    <row r="60" spans="1:15" ht="22.5" customHeight="1" x14ac:dyDescent="0.3">
      <c r="A60" s="190" t="s">
        <v>229</v>
      </c>
      <c r="B60" s="44">
        <v>42</v>
      </c>
      <c r="C60" s="39">
        <v>12</v>
      </c>
      <c r="D60" s="39">
        <v>5</v>
      </c>
      <c r="E60" s="39">
        <v>0</v>
      </c>
      <c r="F60" s="194">
        <v>0</v>
      </c>
      <c r="G60" s="196">
        <f t="shared" si="3"/>
        <v>59</v>
      </c>
      <c r="H60" s="203">
        <v>0</v>
      </c>
      <c r="I60" s="204">
        <v>0</v>
      </c>
      <c r="J60" s="204">
        <v>0</v>
      </c>
      <c r="K60" s="204">
        <v>0</v>
      </c>
      <c r="L60" s="204">
        <v>2</v>
      </c>
      <c r="M60" s="205">
        <v>0</v>
      </c>
      <c r="N60" s="85">
        <f t="shared" si="1"/>
        <v>59</v>
      </c>
      <c r="O60" s="43">
        <f t="shared" si="2"/>
        <v>71.5</v>
      </c>
    </row>
    <row r="61" spans="1:15" ht="22.5" customHeight="1" x14ac:dyDescent="0.3">
      <c r="A61" s="190" t="s">
        <v>230</v>
      </c>
      <c r="B61" s="44">
        <v>52</v>
      </c>
      <c r="C61" s="39">
        <v>20</v>
      </c>
      <c r="D61" s="39">
        <v>6</v>
      </c>
      <c r="E61" s="39">
        <v>1</v>
      </c>
      <c r="F61" s="194">
        <v>1</v>
      </c>
      <c r="G61" s="196">
        <f t="shared" si="3"/>
        <v>80</v>
      </c>
      <c r="H61" s="203">
        <v>0</v>
      </c>
      <c r="I61" s="204">
        <v>0</v>
      </c>
      <c r="J61" s="204">
        <v>0</v>
      </c>
      <c r="K61" s="204">
        <v>0</v>
      </c>
      <c r="L61" s="204">
        <v>4</v>
      </c>
      <c r="M61" s="205">
        <v>0</v>
      </c>
      <c r="N61" s="85">
        <f t="shared" si="1"/>
        <v>80</v>
      </c>
      <c r="O61" s="43">
        <f t="shared" si="2"/>
        <v>110.5</v>
      </c>
    </row>
    <row r="62" spans="1:15" ht="22.5" customHeight="1" x14ac:dyDescent="0.3">
      <c r="A62" s="190" t="s">
        <v>231</v>
      </c>
      <c r="B62" s="44">
        <v>61</v>
      </c>
      <c r="C62" s="39">
        <v>22</v>
      </c>
      <c r="D62" s="39">
        <v>3</v>
      </c>
      <c r="E62" s="39">
        <v>1</v>
      </c>
      <c r="F62" s="194">
        <v>0</v>
      </c>
      <c r="G62" s="196">
        <f t="shared" si="3"/>
        <v>87</v>
      </c>
      <c r="H62" s="203">
        <v>0</v>
      </c>
      <c r="I62" s="204">
        <v>0</v>
      </c>
      <c r="J62" s="204">
        <v>0</v>
      </c>
      <c r="K62" s="204">
        <v>0</v>
      </c>
      <c r="L62" s="204">
        <v>2</v>
      </c>
      <c r="M62" s="205">
        <v>0</v>
      </c>
      <c r="N62" s="85">
        <f t="shared" si="1"/>
        <v>87</v>
      </c>
      <c r="O62" s="43">
        <f t="shared" si="2"/>
        <v>95.5</v>
      </c>
    </row>
    <row r="63" spans="1:15" ht="22.5" customHeight="1" x14ac:dyDescent="0.3">
      <c r="A63" s="190" t="s">
        <v>232</v>
      </c>
      <c r="B63" s="44">
        <v>46</v>
      </c>
      <c r="C63" s="39">
        <v>11</v>
      </c>
      <c r="D63" s="39">
        <v>1</v>
      </c>
      <c r="E63" s="39">
        <v>2</v>
      </c>
      <c r="F63" s="194">
        <v>0</v>
      </c>
      <c r="G63" s="196">
        <f t="shared" si="3"/>
        <v>60</v>
      </c>
      <c r="H63" s="203">
        <v>0</v>
      </c>
      <c r="I63" s="204">
        <v>0</v>
      </c>
      <c r="J63" s="204">
        <v>0</v>
      </c>
      <c r="K63" s="204">
        <v>0</v>
      </c>
      <c r="L63" s="204">
        <v>1</v>
      </c>
      <c r="M63" s="205">
        <v>0</v>
      </c>
      <c r="N63" s="85">
        <f t="shared" si="1"/>
        <v>60</v>
      </c>
      <c r="O63" s="43">
        <f t="shared" si="2"/>
        <v>67</v>
      </c>
    </row>
    <row r="64" spans="1:15" ht="22.5" customHeight="1" x14ac:dyDescent="0.3">
      <c r="A64" s="190" t="s">
        <v>233</v>
      </c>
      <c r="B64" s="44">
        <v>36</v>
      </c>
      <c r="C64" s="39">
        <v>9</v>
      </c>
      <c r="D64" s="39">
        <v>4</v>
      </c>
      <c r="E64" s="39">
        <v>2</v>
      </c>
      <c r="F64" s="194">
        <v>6</v>
      </c>
      <c r="G64" s="196">
        <f t="shared" si="3"/>
        <v>57</v>
      </c>
      <c r="H64" s="203">
        <v>0</v>
      </c>
      <c r="I64" s="204">
        <v>0</v>
      </c>
      <c r="J64" s="204">
        <v>0</v>
      </c>
      <c r="K64" s="204">
        <v>0</v>
      </c>
      <c r="L64" s="204">
        <v>0</v>
      </c>
      <c r="M64" s="205">
        <v>0</v>
      </c>
      <c r="N64" s="85">
        <f t="shared" si="1"/>
        <v>57</v>
      </c>
      <c r="O64" s="43">
        <f t="shared" si="2"/>
        <v>79.5</v>
      </c>
    </row>
    <row r="65" spans="1:15" ht="22.5" customHeight="1" x14ac:dyDescent="0.3">
      <c r="A65" s="190" t="s">
        <v>234</v>
      </c>
      <c r="B65" s="44">
        <v>52</v>
      </c>
      <c r="C65" s="39">
        <v>12</v>
      </c>
      <c r="D65" s="39">
        <v>1</v>
      </c>
      <c r="E65" s="39">
        <v>2</v>
      </c>
      <c r="F65" s="194">
        <v>3</v>
      </c>
      <c r="G65" s="196">
        <f t="shared" si="3"/>
        <v>70</v>
      </c>
      <c r="H65" s="203">
        <v>0</v>
      </c>
      <c r="I65" s="204">
        <v>0</v>
      </c>
      <c r="J65" s="204">
        <v>0</v>
      </c>
      <c r="K65" s="204">
        <v>0</v>
      </c>
      <c r="L65" s="204">
        <v>0</v>
      </c>
      <c r="M65" s="205">
        <v>0</v>
      </c>
      <c r="N65" s="85">
        <f t="shared" si="1"/>
        <v>70</v>
      </c>
      <c r="O65" s="43">
        <f t="shared" si="2"/>
        <v>79</v>
      </c>
    </row>
    <row r="66" spans="1:15" ht="22.5" customHeight="1" x14ac:dyDescent="0.3">
      <c r="A66" s="190" t="s">
        <v>235</v>
      </c>
      <c r="B66" s="44">
        <v>20</v>
      </c>
      <c r="C66" s="39">
        <v>7</v>
      </c>
      <c r="D66" s="39">
        <v>2</v>
      </c>
      <c r="E66" s="39">
        <v>4</v>
      </c>
      <c r="F66" s="194">
        <v>4</v>
      </c>
      <c r="G66" s="196">
        <f t="shared" si="3"/>
        <v>37</v>
      </c>
      <c r="H66" s="203">
        <v>0</v>
      </c>
      <c r="I66" s="204">
        <v>0</v>
      </c>
      <c r="J66" s="204">
        <v>0</v>
      </c>
      <c r="K66" s="204">
        <v>0</v>
      </c>
      <c r="L66" s="204">
        <v>0</v>
      </c>
      <c r="M66" s="205">
        <v>0</v>
      </c>
      <c r="N66" s="85">
        <f t="shared" si="1"/>
        <v>37</v>
      </c>
      <c r="O66" s="43">
        <f t="shared" si="2"/>
        <v>56.5</v>
      </c>
    </row>
    <row r="67" spans="1:15" ht="22.5" customHeight="1" x14ac:dyDescent="0.3">
      <c r="A67" s="190" t="s">
        <v>236</v>
      </c>
      <c r="B67" s="44">
        <v>3</v>
      </c>
      <c r="C67" s="39">
        <v>2</v>
      </c>
      <c r="D67" s="39">
        <v>1</v>
      </c>
      <c r="E67" s="39">
        <v>1</v>
      </c>
      <c r="F67" s="194">
        <v>2</v>
      </c>
      <c r="G67" s="196">
        <f t="shared" si="3"/>
        <v>9</v>
      </c>
      <c r="H67" s="203">
        <v>0</v>
      </c>
      <c r="I67" s="204">
        <v>0</v>
      </c>
      <c r="J67" s="204">
        <v>0</v>
      </c>
      <c r="K67" s="204">
        <v>0</v>
      </c>
      <c r="L67" s="204">
        <v>0</v>
      </c>
      <c r="M67" s="205">
        <v>0</v>
      </c>
      <c r="N67" s="85">
        <f t="shared" si="1"/>
        <v>9</v>
      </c>
      <c r="O67" s="43">
        <f t="shared" si="2"/>
        <v>17.5</v>
      </c>
    </row>
    <row r="68" spans="1:15" ht="22.5" customHeight="1" x14ac:dyDescent="0.3">
      <c r="A68" s="190" t="s">
        <v>237</v>
      </c>
      <c r="B68" s="44">
        <v>17</v>
      </c>
      <c r="C68" s="39">
        <v>7</v>
      </c>
      <c r="D68" s="39">
        <v>2</v>
      </c>
      <c r="E68" s="39">
        <v>1</v>
      </c>
      <c r="F68" s="194">
        <v>3</v>
      </c>
      <c r="G68" s="196">
        <f t="shared" si="3"/>
        <v>30</v>
      </c>
      <c r="H68" s="203">
        <v>0</v>
      </c>
      <c r="I68" s="204">
        <v>0</v>
      </c>
      <c r="J68" s="204">
        <v>0</v>
      </c>
      <c r="K68" s="204">
        <v>0</v>
      </c>
      <c r="L68" s="204">
        <v>0</v>
      </c>
      <c r="M68" s="205">
        <v>0</v>
      </c>
      <c r="N68" s="85">
        <f t="shared" si="1"/>
        <v>30</v>
      </c>
      <c r="O68" s="43">
        <f t="shared" si="2"/>
        <v>40</v>
      </c>
    </row>
    <row r="69" spans="1:15" ht="22.5" customHeight="1" x14ac:dyDescent="0.3">
      <c r="A69" s="190" t="s">
        <v>238</v>
      </c>
      <c r="B69" s="44">
        <v>19</v>
      </c>
      <c r="C69" s="39">
        <v>10</v>
      </c>
      <c r="D69" s="39">
        <v>2</v>
      </c>
      <c r="E69" s="39">
        <v>2</v>
      </c>
      <c r="F69" s="194">
        <v>3</v>
      </c>
      <c r="G69" s="196">
        <f t="shared" si="3"/>
        <v>36</v>
      </c>
      <c r="H69" s="203">
        <v>0</v>
      </c>
      <c r="I69" s="204">
        <v>0</v>
      </c>
      <c r="J69" s="204">
        <v>0</v>
      </c>
      <c r="K69" s="204">
        <v>0</v>
      </c>
      <c r="L69" s="204">
        <v>0</v>
      </c>
      <c r="M69" s="205">
        <v>0</v>
      </c>
      <c r="N69" s="85">
        <f t="shared" si="1"/>
        <v>36</v>
      </c>
      <c r="O69" s="43">
        <f t="shared" si="2"/>
        <v>46.5</v>
      </c>
    </row>
    <row r="70" spans="1:15" ht="22.5" customHeight="1" x14ac:dyDescent="0.3">
      <c r="A70" s="190" t="s">
        <v>239</v>
      </c>
      <c r="B70" s="44">
        <v>20</v>
      </c>
      <c r="C70" s="39">
        <v>7</v>
      </c>
      <c r="D70" s="39">
        <v>2</v>
      </c>
      <c r="E70" s="39">
        <v>4</v>
      </c>
      <c r="F70" s="194">
        <v>4</v>
      </c>
      <c r="G70" s="196">
        <f t="shared" si="3"/>
        <v>37</v>
      </c>
      <c r="H70" s="203">
        <v>0</v>
      </c>
      <c r="I70" s="204">
        <v>0</v>
      </c>
      <c r="J70" s="204">
        <v>0</v>
      </c>
      <c r="K70" s="204">
        <v>0</v>
      </c>
      <c r="L70" s="204">
        <v>0</v>
      </c>
      <c r="M70" s="205">
        <v>0</v>
      </c>
      <c r="N70" s="85">
        <f t="shared" si="1"/>
        <v>37</v>
      </c>
      <c r="O70" s="43">
        <f t="shared" si="2"/>
        <v>56.5</v>
      </c>
    </row>
    <row r="71" spans="1:15" ht="22.5" customHeight="1" x14ac:dyDescent="0.3">
      <c r="A71" s="190" t="s">
        <v>240</v>
      </c>
      <c r="B71" s="44">
        <v>19</v>
      </c>
      <c r="C71" s="39">
        <v>4</v>
      </c>
      <c r="D71" s="39">
        <v>1</v>
      </c>
      <c r="E71" s="39">
        <v>3</v>
      </c>
      <c r="F71" s="194">
        <v>2</v>
      </c>
      <c r="G71" s="196">
        <f t="shared" si="3"/>
        <v>29</v>
      </c>
      <c r="H71" s="203">
        <v>0</v>
      </c>
      <c r="I71" s="204">
        <v>0</v>
      </c>
      <c r="J71" s="204">
        <v>0</v>
      </c>
      <c r="K71" s="204">
        <v>0</v>
      </c>
      <c r="L71" s="204">
        <v>0</v>
      </c>
      <c r="M71" s="205">
        <v>0</v>
      </c>
      <c r="N71" s="85">
        <f t="shared" si="1"/>
        <v>29</v>
      </c>
      <c r="O71" s="43">
        <f t="shared" si="2"/>
        <v>40.5</v>
      </c>
    </row>
    <row r="72" spans="1:15" ht="22.5" customHeight="1" x14ac:dyDescent="0.3">
      <c r="A72" s="190" t="s">
        <v>153</v>
      </c>
      <c r="B72" s="44">
        <v>2</v>
      </c>
      <c r="C72" s="39">
        <v>1</v>
      </c>
      <c r="D72" s="39">
        <v>2</v>
      </c>
      <c r="E72" s="39">
        <v>0</v>
      </c>
      <c r="F72" s="194">
        <v>1</v>
      </c>
      <c r="G72" s="196">
        <f t="shared" ref="G72:G103" si="4">SUM(B72:F72)</f>
        <v>6</v>
      </c>
      <c r="H72" s="203">
        <v>0</v>
      </c>
      <c r="I72" s="204">
        <v>0</v>
      </c>
      <c r="J72" s="204">
        <v>0</v>
      </c>
      <c r="K72" s="204">
        <v>0</v>
      </c>
      <c r="L72" s="204">
        <v>0</v>
      </c>
      <c r="M72" s="205">
        <v>0</v>
      </c>
      <c r="N72" s="85">
        <f t="shared" si="1"/>
        <v>6</v>
      </c>
      <c r="O72" s="43">
        <f t="shared" si="2"/>
        <v>10</v>
      </c>
    </row>
    <row r="73" spans="1:15" ht="22.5" customHeight="1" x14ac:dyDescent="0.3">
      <c r="A73" s="190" t="s">
        <v>154</v>
      </c>
      <c r="B73" s="44">
        <v>1</v>
      </c>
      <c r="C73" s="39">
        <v>0</v>
      </c>
      <c r="D73" s="39">
        <v>2</v>
      </c>
      <c r="E73" s="39">
        <v>1</v>
      </c>
      <c r="F73" s="194">
        <v>1</v>
      </c>
      <c r="G73" s="196">
        <f t="shared" si="4"/>
        <v>5</v>
      </c>
      <c r="H73" s="203">
        <v>0</v>
      </c>
      <c r="I73" s="204">
        <v>0</v>
      </c>
      <c r="J73" s="204">
        <v>0</v>
      </c>
      <c r="K73" s="204">
        <v>0</v>
      </c>
      <c r="L73" s="204">
        <v>0</v>
      </c>
      <c r="M73" s="205">
        <v>0</v>
      </c>
      <c r="N73" s="85">
        <f t="shared" ref="N73:N103" si="5">G73+M73</f>
        <v>5</v>
      </c>
      <c r="O73" s="43">
        <f t="shared" ref="O73:O103" si="6">B73*1+C73*0.5+D73*1.5+E73*3+F73*4.5+H73*0.5+I73*1.5+J73*3+K73*4+L73*8</f>
        <v>11.5</v>
      </c>
    </row>
    <row r="74" spans="1:15" ht="22.5" customHeight="1" x14ac:dyDescent="0.3">
      <c r="A74" s="190" t="s">
        <v>155</v>
      </c>
      <c r="B74" s="44">
        <v>9</v>
      </c>
      <c r="C74" s="39">
        <v>1</v>
      </c>
      <c r="D74" s="39">
        <v>1</v>
      </c>
      <c r="E74" s="39">
        <v>1</v>
      </c>
      <c r="F74" s="194">
        <v>1</v>
      </c>
      <c r="G74" s="196">
        <f t="shared" si="4"/>
        <v>13</v>
      </c>
      <c r="H74" s="203">
        <v>0</v>
      </c>
      <c r="I74" s="204">
        <v>0</v>
      </c>
      <c r="J74" s="204">
        <v>0</v>
      </c>
      <c r="K74" s="204">
        <v>0</v>
      </c>
      <c r="L74" s="204">
        <v>0</v>
      </c>
      <c r="M74" s="205">
        <v>0</v>
      </c>
      <c r="N74" s="85">
        <f t="shared" si="5"/>
        <v>13</v>
      </c>
      <c r="O74" s="43">
        <f t="shared" si="6"/>
        <v>18.5</v>
      </c>
    </row>
    <row r="75" spans="1:15" ht="22.5" customHeight="1" x14ac:dyDescent="0.3">
      <c r="A75" s="190" t="s">
        <v>156</v>
      </c>
      <c r="B75" s="44">
        <v>6</v>
      </c>
      <c r="C75" s="39">
        <v>2</v>
      </c>
      <c r="D75" s="39">
        <v>2</v>
      </c>
      <c r="E75" s="39">
        <v>1</v>
      </c>
      <c r="F75" s="194">
        <v>1</v>
      </c>
      <c r="G75" s="196">
        <f t="shared" si="4"/>
        <v>12</v>
      </c>
      <c r="H75" s="203">
        <v>0</v>
      </c>
      <c r="I75" s="204">
        <v>0</v>
      </c>
      <c r="J75" s="204">
        <v>0</v>
      </c>
      <c r="K75" s="204">
        <v>0</v>
      </c>
      <c r="L75" s="204">
        <v>0</v>
      </c>
      <c r="M75" s="205">
        <v>0</v>
      </c>
      <c r="N75" s="85">
        <f t="shared" si="5"/>
        <v>12</v>
      </c>
      <c r="O75" s="43">
        <f t="shared" si="6"/>
        <v>17.5</v>
      </c>
    </row>
    <row r="76" spans="1:15" ht="22.5" customHeight="1" x14ac:dyDescent="0.3">
      <c r="A76" s="190" t="s">
        <v>157</v>
      </c>
      <c r="B76" s="44">
        <v>6</v>
      </c>
      <c r="C76" s="39">
        <v>1</v>
      </c>
      <c r="D76" s="39">
        <v>1</v>
      </c>
      <c r="E76" s="39">
        <v>1</v>
      </c>
      <c r="F76" s="194">
        <v>1</v>
      </c>
      <c r="G76" s="196">
        <f t="shared" si="4"/>
        <v>10</v>
      </c>
      <c r="H76" s="203">
        <v>0</v>
      </c>
      <c r="I76" s="204">
        <v>0</v>
      </c>
      <c r="J76" s="204">
        <v>0</v>
      </c>
      <c r="K76" s="204">
        <v>0</v>
      </c>
      <c r="L76" s="204">
        <v>0</v>
      </c>
      <c r="M76" s="205">
        <v>0</v>
      </c>
      <c r="N76" s="85">
        <f t="shared" si="5"/>
        <v>10</v>
      </c>
      <c r="O76" s="43">
        <f t="shared" si="6"/>
        <v>15.5</v>
      </c>
    </row>
    <row r="77" spans="1:15" ht="22.5" customHeight="1" x14ac:dyDescent="0.3">
      <c r="A77" s="190" t="s">
        <v>158</v>
      </c>
      <c r="B77" s="44">
        <v>6</v>
      </c>
      <c r="C77" s="39">
        <v>2</v>
      </c>
      <c r="D77" s="39">
        <v>1</v>
      </c>
      <c r="E77" s="39">
        <v>2</v>
      </c>
      <c r="F77" s="194">
        <v>0</v>
      </c>
      <c r="G77" s="196">
        <f t="shared" si="4"/>
        <v>11</v>
      </c>
      <c r="H77" s="203">
        <v>0</v>
      </c>
      <c r="I77" s="204">
        <v>0</v>
      </c>
      <c r="J77" s="204">
        <v>0</v>
      </c>
      <c r="K77" s="204">
        <v>0</v>
      </c>
      <c r="L77" s="204">
        <v>0</v>
      </c>
      <c r="M77" s="205">
        <v>0</v>
      </c>
      <c r="N77" s="85">
        <f t="shared" si="5"/>
        <v>11</v>
      </c>
      <c r="O77" s="43">
        <f t="shared" si="6"/>
        <v>14.5</v>
      </c>
    </row>
    <row r="78" spans="1:15" ht="22.5" customHeight="1" x14ac:dyDescent="0.3">
      <c r="A78" s="190" t="s">
        <v>159</v>
      </c>
      <c r="B78" s="44">
        <v>7</v>
      </c>
      <c r="C78" s="39">
        <v>2</v>
      </c>
      <c r="D78" s="39">
        <v>1</v>
      </c>
      <c r="E78" s="39">
        <v>3</v>
      </c>
      <c r="F78" s="194">
        <v>3</v>
      </c>
      <c r="G78" s="196">
        <f t="shared" si="4"/>
        <v>16</v>
      </c>
      <c r="H78" s="203">
        <v>0</v>
      </c>
      <c r="I78" s="204">
        <v>0</v>
      </c>
      <c r="J78" s="204">
        <v>0</v>
      </c>
      <c r="K78" s="204">
        <v>0</v>
      </c>
      <c r="L78" s="204">
        <v>0</v>
      </c>
      <c r="M78" s="205">
        <v>0</v>
      </c>
      <c r="N78" s="85">
        <f t="shared" si="5"/>
        <v>16</v>
      </c>
      <c r="O78" s="43">
        <f t="shared" si="6"/>
        <v>32</v>
      </c>
    </row>
    <row r="79" spans="1:15" ht="22.5" customHeight="1" x14ac:dyDescent="0.3">
      <c r="A79" s="190" t="s">
        <v>160</v>
      </c>
      <c r="B79" s="44">
        <v>6</v>
      </c>
      <c r="C79" s="39">
        <v>2</v>
      </c>
      <c r="D79" s="39">
        <v>2</v>
      </c>
      <c r="E79" s="39">
        <v>1</v>
      </c>
      <c r="F79" s="194">
        <v>3</v>
      </c>
      <c r="G79" s="196">
        <f t="shared" si="4"/>
        <v>14</v>
      </c>
      <c r="H79" s="203">
        <v>0</v>
      </c>
      <c r="I79" s="204">
        <v>0</v>
      </c>
      <c r="J79" s="204">
        <v>0</v>
      </c>
      <c r="K79" s="204">
        <v>0</v>
      </c>
      <c r="L79" s="204">
        <v>0</v>
      </c>
      <c r="M79" s="205">
        <v>0</v>
      </c>
      <c r="N79" s="85">
        <f t="shared" si="5"/>
        <v>14</v>
      </c>
      <c r="O79" s="43">
        <f t="shared" si="6"/>
        <v>26.5</v>
      </c>
    </row>
    <row r="80" spans="1:15" ht="22.5" customHeight="1" x14ac:dyDescent="0.3">
      <c r="A80" s="190" t="s">
        <v>161</v>
      </c>
      <c r="B80" s="44">
        <v>0</v>
      </c>
      <c r="C80" s="39">
        <v>3</v>
      </c>
      <c r="D80" s="39">
        <v>2</v>
      </c>
      <c r="E80" s="39">
        <v>0</v>
      </c>
      <c r="F80" s="194">
        <v>2</v>
      </c>
      <c r="G80" s="196">
        <f t="shared" si="4"/>
        <v>7</v>
      </c>
      <c r="H80" s="203">
        <v>0</v>
      </c>
      <c r="I80" s="204">
        <v>0</v>
      </c>
      <c r="J80" s="204">
        <v>0</v>
      </c>
      <c r="K80" s="204">
        <v>0</v>
      </c>
      <c r="L80" s="204">
        <v>0</v>
      </c>
      <c r="M80" s="205">
        <v>0</v>
      </c>
      <c r="N80" s="85">
        <f t="shared" si="5"/>
        <v>7</v>
      </c>
      <c r="O80" s="43">
        <f t="shared" si="6"/>
        <v>13.5</v>
      </c>
    </row>
    <row r="81" spans="1:15" ht="22.5" customHeight="1" x14ac:dyDescent="0.3">
      <c r="A81" s="190" t="s">
        <v>162</v>
      </c>
      <c r="B81" s="44">
        <v>2</v>
      </c>
      <c r="C81" s="39">
        <v>1</v>
      </c>
      <c r="D81" s="39">
        <v>1</v>
      </c>
      <c r="E81" s="39">
        <v>2</v>
      </c>
      <c r="F81" s="194">
        <v>1</v>
      </c>
      <c r="G81" s="196">
        <f t="shared" si="4"/>
        <v>7</v>
      </c>
      <c r="H81" s="203">
        <v>0</v>
      </c>
      <c r="I81" s="204">
        <v>0</v>
      </c>
      <c r="J81" s="204">
        <v>0</v>
      </c>
      <c r="K81" s="204">
        <v>0</v>
      </c>
      <c r="L81" s="204">
        <v>0</v>
      </c>
      <c r="M81" s="205">
        <v>0</v>
      </c>
      <c r="N81" s="85">
        <f t="shared" si="5"/>
        <v>7</v>
      </c>
      <c r="O81" s="43">
        <f t="shared" si="6"/>
        <v>14.5</v>
      </c>
    </row>
    <row r="82" spans="1:15" ht="22.5" customHeight="1" x14ac:dyDescent="0.3">
      <c r="A82" s="190" t="s">
        <v>163</v>
      </c>
      <c r="B82" s="44">
        <v>2</v>
      </c>
      <c r="C82" s="39">
        <v>1</v>
      </c>
      <c r="D82" s="39">
        <v>2</v>
      </c>
      <c r="E82" s="39">
        <v>2</v>
      </c>
      <c r="F82" s="194">
        <v>5</v>
      </c>
      <c r="G82" s="196">
        <f t="shared" si="4"/>
        <v>12</v>
      </c>
      <c r="H82" s="203">
        <v>0</v>
      </c>
      <c r="I82" s="204">
        <v>0</v>
      </c>
      <c r="J82" s="204">
        <v>0</v>
      </c>
      <c r="K82" s="204">
        <v>0</v>
      </c>
      <c r="L82" s="204">
        <v>0</v>
      </c>
      <c r="M82" s="205">
        <v>0</v>
      </c>
      <c r="N82" s="85">
        <f t="shared" si="5"/>
        <v>12</v>
      </c>
      <c r="O82" s="43">
        <f t="shared" si="6"/>
        <v>34</v>
      </c>
    </row>
    <row r="83" spans="1:15" ht="22.5" customHeight="1" x14ac:dyDescent="0.3">
      <c r="A83" s="190" t="s">
        <v>164</v>
      </c>
      <c r="B83" s="44">
        <v>1</v>
      </c>
      <c r="C83" s="39">
        <v>1</v>
      </c>
      <c r="D83" s="39">
        <v>1</v>
      </c>
      <c r="E83" s="39">
        <v>2</v>
      </c>
      <c r="F83" s="194">
        <v>3</v>
      </c>
      <c r="G83" s="196">
        <f t="shared" si="4"/>
        <v>8</v>
      </c>
      <c r="H83" s="203">
        <v>0</v>
      </c>
      <c r="I83" s="204">
        <v>0</v>
      </c>
      <c r="J83" s="204">
        <v>0</v>
      </c>
      <c r="K83" s="204">
        <v>0</v>
      </c>
      <c r="L83" s="204">
        <v>0</v>
      </c>
      <c r="M83" s="205">
        <v>0</v>
      </c>
      <c r="N83" s="85">
        <f t="shared" si="5"/>
        <v>8</v>
      </c>
      <c r="O83" s="43">
        <f t="shared" si="6"/>
        <v>22.5</v>
      </c>
    </row>
    <row r="84" spans="1:15" ht="22.5" customHeight="1" x14ac:dyDescent="0.3">
      <c r="A84" s="190" t="s">
        <v>165</v>
      </c>
      <c r="B84" s="44">
        <v>1</v>
      </c>
      <c r="C84" s="39">
        <v>2</v>
      </c>
      <c r="D84" s="39">
        <v>0</v>
      </c>
      <c r="E84" s="39">
        <v>2</v>
      </c>
      <c r="F84" s="194">
        <v>4</v>
      </c>
      <c r="G84" s="196">
        <f t="shared" si="4"/>
        <v>9</v>
      </c>
      <c r="H84" s="203">
        <v>0</v>
      </c>
      <c r="I84" s="204">
        <v>0</v>
      </c>
      <c r="J84" s="204">
        <v>0</v>
      </c>
      <c r="K84" s="204">
        <v>0</v>
      </c>
      <c r="L84" s="204">
        <v>0</v>
      </c>
      <c r="M84" s="205">
        <v>0</v>
      </c>
      <c r="N84" s="85">
        <f t="shared" si="5"/>
        <v>9</v>
      </c>
      <c r="O84" s="43">
        <f t="shared" si="6"/>
        <v>26</v>
      </c>
    </row>
    <row r="85" spans="1:15" ht="22.5" customHeight="1" x14ac:dyDescent="0.3">
      <c r="A85" s="190" t="s">
        <v>166</v>
      </c>
      <c r="B85" s="44">
        <v>2</v>
      </c>
      <c r="C85" s="39">
        <v>0</v>
      </c>
      <c r="D85" s="39">
        <v>0</v>
      </c>
      <c r="E85" s="39">
        <v>2</v>
      </c>
      <c r="F85" s="194">
        <v>0</v>
      </c>
      <c r="G85" s="196">
        <f t="shared" si="4"/>
        <v>4</v>
      </c>
      <c r="H85" s="203">
        <v>0</v>
      </c>
      <c r="I85" s="204">
        <v>0</v>
      </c>
      <c r="J85" s="204">
        <v>0</v>
      </c>
      <c r="K85" s="204">
        <v>0</v>
      </c>
      <c r="L85" s="204">
        <v>0</v>
      </c>
      <c r="M85" s="205">
        <v>0</v>
      </c>
      <c r="N85" s="85">
        <f t="shared" si="5"/>
        <v>4</v>
      </c>
      <c r="O85" s="43">
        <f t="shared" si="6"/>
        <v>8</v>
      </c>
    </row>
    <row r="86" spans="1:15" ht="22.5" customHeight="1" x14ac:dyDescent="0.3">
      <c r="A86" s="190" t="s">
        <v>167</v>
      </c>
      <c r="B86" s="44">
        <v>7</v>
      </c>
      <c r="C86" s="39">
        <v>0</v>
      </c>
      <c r="D86" s="39">
        <v>0</v>
      </c>
      <c r="E86" s="39">
        <v>0</v>
      </c>
      <c r="F86" s="194">
        <v>1</v>
      </c>
      <c r="G86" s="196">
        <f t="shared" si="4"/>
        <v>8</v>
      </c>
      <c r="H86" s="203">
        <v>0</v>
      </c>
      <c r="I86" s="204">
        <v>0</v>
      </c>
      <c r="J86" s="204">
        <v>0</v>
      </c>
      <c r="K86" s="204">
        <v>0</v>
      </c>
      <c r="L86" s="204">
        <v>0</v>
      </c>
      <c r="M86" s="205">
        <v>0</v>
      </c>
      <c r="N86" s="85">
        <f t="shared" si="5"/>
        <v>8</v>
      </c>
      <c r="O86" s="43">
        <f t="shared" si="6"/>
        <v>11.5</v>
      </c>
    </row>
    <row r="87" spans="1:15" ht="22.5" customHeight="1" x14ac:dyDescent="0.3">
      <c r="A87" s="190" t="s">
        <v>168</v>
      </c>
      <c r="B87" s="44">
        <v>6</v>
      </c>
      <c r="C87" s="39">
        <v>2</v>
      </c>
      <c r="D87" s="39">
        <v>0</v>
      </c>
      <c r="E87" s="39">
        <v>3</v>
      </c>
      <c r="F87" s="194">
        <v>1</v>
      </c>
      <c r="G87" s="196">
        <f t="shared" si="4"/>
        <v>12</v>
      </c>
      <c r="H87" s="203">
        <v>0</v>
      </c>
      <c r="I87" s="204">
        <v>0</v>
      </c>
      <c r="J87" s="204">
        <v>0</v>
      </c>
      <c r="K87" s="204">
        <v>0</v>
      </c>
      <c r="L87" s="204">
        <v>0</v>
      </c>
      <c r="M87" s="205">
        <v>0</v>
      </c>
      <c r="N87" s="85">
        <f t="shared" si="5"/>
        <v>12</v>
      </c>
      <c r="O87" s="43">
        <f t="shared" si="6"/>
        <v>20.5</v>
      </c>
    </row>
    <row r="88" spans="1:15" ht="22.5" customHeight="1" x14ac:dyDescent="0.3">
      <c r="A88" s="190" t="s">
        <v>169</v>
      </c>
      <c r="B88" s="44">
        <v>7</v>
      </c>
      <c r="C88" s="39">
        <v>1</v>
      </c>
      <c r="D88" s="39">
        <v>3</v>
      </c>
      <c r="E88" s="39">
        <v>0</v>
      </c>
      <c r="F88" s="194">
        <v>0</v>
      </c>
      <c r="G88" s="196">
        <f t="shared" si="4"/>
        <v>11</v>
      </c>
      <c r="H88" s="203">
        <v>0</v>
      </c>
      <c r="I88" s="204">
        <v>0</v>
      </c>
      <c r="J88" s="204">
        <v>0</v>
      </c>
      <c r="K88" s="204">
        <v>0</v>
      </c>
      <c r="L88" s="204">
        <v>0</v>
      </c>
      <c r="M88" s="205">
        <v>0</v>
      </c>
      <c r="N88" s="85">
        <f t="shared" si="5"/>
        <v>11</v>
      </c>
      <c r="O88" s="43">
        <f t="shared" si="6"/>
        <v>12</v>
      </c>
    </row>
    <row r="89" spans="1:15" ht="22.5" customHeight="1" x14ac:dyDescent="0.3">
      <c r="A89" s="190" t="s">
        <v>170</v>
      </c>
      <c r="B89" s="44">
        <v>1</v>
      </c>
      <c r="C89" s="39">
        <v>3</v>
      </c>
      <c r="D89" s="39">
        <v>2</v>
      </c>
      <c r="E89" s="39">
        <v>1</v>
      </c>
      <c r="F89" s="194">
        <v>3</v>
      </c>
      <c r="G89" s="196">
        <f t="shared" si="4"/>
        <v>10</v>
      </c>
      <c r="H89" s="203">
        <v>0</v>
      </c>
      <c r="I89" s="204">
        <v>0</v>
      </c>
      <c r="J89" s="204">
        <v>0</v>
      </c>
      <c r="K89" s="204">
        <v>0</v>
      </c>
      <c r="L89" s="204">
        <v>0</v>
      </c>
      <c r="M89" s="205">
        <v>0</v>
      </c>
      <c r="N89" s="85">
        <f t="shared" si="5"/>
        <v>10</v>
      </c>
      <c r="O89" s="43">
        <f t="shared" si="6"/>
        <v>22</v>
      </c>
    </row>
    <row r="90" spans="1:15" ht="22.5" customHeight="1" x14ac:dyDescent="0.3">
      <c r="A90" s="190" t="s">
        <v>171</v>
      </c>
      <c r="B90" s="44">
        <v>4</v>
      </c>
      <c r="C90" s="39">
        <v>4</v>
      </c>
      <c r="D90" s="39">
        <v>4</v>
      </c>
      <c r="E90" s="39">
        <v>1</v>
      </c>
      <c r="F90" s="194">
        <v>5</v>
      </c>
      <c r="G90" s="196">
        <f t="shared" si="4"/>
        <v>18</v>
      </c>
      <c r="H90" s="203">
        <v>0</v>
      </c>
      <c r="I90" s="204">
        <v>0</v>
      </c>
      <c r="J90" s="204">
        <v>0</v>
      </c>
      <c r="K90" s="204">
        <v>0</v>
      </c>
      <c r="L90" s="204">
        <v>0</v>
      </c>
      <c r="M90" s="205">
        <v>0</v>
      </c>
      <c r="N90" s="85">
        <f t="shared" si="5"/>
        <v>18</v>
      </c>
      <c r="O90" s="43">
        <f t="shared" si="6"/>
        <v>37.5</v>
      </c>
    </row>
    <row r="91" spans="1:15" ht="22.5" customHeight="1" x14ac:dyDescent="0.3">
      <c r="A91" s="190" t="s">
        <v>172</v>
      </c>
      <c r="B91" s="44">
        <v>6</v>
      </c>
      <c r="C91" s="39">
        <v>2</v>
      </c>
      <c r="D91" s="39">
        <v>2</v>
      </c>
      <c r="E91" s="39">
        <v>0</v>
      </c>
      <c r="F91" s="194">
        <v>2</v>
      </c>
      <c r="G91" s="196">
        <f t="shared" si="4"/>
        <v>12</v>
      </c>
      <c r="H91" s="203">
        <v>0</v>
      </c>
      <c r="I91" s="204">
        <v>0</v>
      </c>
      <c r="J91" s="204">
        <v>0</v>
      </c>
      <c r="K91" s="204">
        <v>0</v>
      </c>
      <c r="L91" s="204">
        <v>0</v>
      </c>
      <c r="M91" s="205">
        <v>0</v>
      </c>
      <c r="N91" s="85">
        <f t="shared" si="5"/>
        <v>12</v>
      </c>
      <c r="O91" s="43">
        <f t="shared" si="6"/>
        <v>19</v>
      </c>
    </row>
    <row r="92" spans="1:15" ht="22.5" customHeight="1" x14ac:dyDescent="0.3">
      <c r="A92" s="190" t="s">
        <v>173</v>
      </c>
      <c r="B92" s="44">
        <v>8</v>
      </c>
      <c r="C92" s="39">
        <v>6</v>
      </c>
      <c r="D92" s="39">
        <v>1</v>
      </c>
      <c r="E92" s="39">
        <v>0</v>
      </c>
      <c r="F92" s="194">
        <v>5</v>
      </c>
      <c r="G92" s="196">
        <f t="shared" si="4"/>
        <v>20</v>
      </c>
      <c r="H92" s="203">
        <v>0</v>
      </c>
      <c r="I92" s="204">
        <v>0</v>
      </c>
      <c r="J92" s="204">
        <v>0</v>
      </c>
      <c r="K92" s="204">
        <v>0</v>
      </c>
      <c r="L92" s="204">
        <v>0</v>
      </c>
      <c r="M92" s="205">
        <v>0</v>
      </c>
      <c r="N92" s="85">
        <f t="shared" si="5"/>
        <v>20</v>
      </c>
      <c r="O92" s="43">
        <f t="shared" si="6"/>
        <v>35</v>
      </c>
    </row>
    <row r="93" spans="1:15" ht="22.5" customHeight="1" x14ac:dyDescent="0.3">
      <c r="A93" s="190" t="s">
        <v>174</v>
      </c>
      <c r="B93" s="44">
        <v>3</v>
      </c>
      <c r="C93" s="39">
        <v>2</v>
      </c>
      <c r="D93" s="39">
        <v>1</v>
      </c>
      <c r="E93" s="39">
        <v>1</v>
      </c>
      <c r="F93" s="194">
        <v>0</v>
      </c>
      <c r="G93" s="196">
        <f t="shared" si="4"/>
        <v>7</v>
      </c>
      <c r="H93" s="203">
        <v>0</v>
      </c>
      <c r="I93" s="204">
        <v>0</v>
      </c>
      <c r="J93" s="204">
        <v>0</v>
      </c>
      <c r="K93" s="204">
        <v>0</v>
      </c>
      <c r="L93" s="204">
        <v>0</v>
      </c>
      <c r="M93" s="205">
        <v>0</v>
      </c>
      <c r="N93" s="85">
        <f t="shared" si="5"/>
        <v>7</v>
      </c>
      <c r="O93" s="43">
        <f t="shared" si="6"/>
        <v>8.5</v>
      </c>
    </row>
    <row r="94" spans="1:15" ht="22.5" customHeight="1" x14ac:dyDescent="0.3">
      <c r="A94" s="190" t="s">
        <v>175</v>
      </c>
      <c r="B94" s="44">
        <v>16</v>
      </c>
      <c r="C94" s="39">
        <v>8</v>
      </c>
      <c r="D94" s="39">
        <v>4</v>
      </c>
      <c r="E94" s="39">
        <v>2</v>
      </c>
      <c r="F94" s="194">
        <v>8</v>
      </c>
      <c r="G94" s="196">
        <f t="shared" si="4"/>
        <v>38</v>
      </c>
      <c r="H94" s="203">
        <v>0</v>
      </c>
      <c r="I94" s="204">
        <v>0</v>
      </c>
      <c r="J94" s="204">
        <v>0</v>
      </c>
      <c r="K94" s="204">
        <v>0</v>
      </c>
      <c r="L94" s="204">
        <v>0</v>
      </c>
      <c r="M94" s="205">
        <v>0</v>
      </c>
      <c r="N94" s="85">
        <f t="shared" si="5"/>
        <v>38</v>
      </c>
      <c r="O94" s="43">
        <f t="shared" si="6"/>
        <v>68</v>
      </c>
    </row>
    <row r="95" spans="1:15" ht="22.5" customHeight="1" x14ac:dyDescent="0.3">
      <c r="A95" s="190" t="s">
        <v>176</v>
      </c>
      <c r="B95" s="44">
        <v>24</v>
      </c>
      <c r="C95" s="39">
        <v>12</v>
      </c>
      <c r="D95" s="39">
        <v>2</v>
      </c>
      <c r="E95" s="39">
        <v>1</v>
      </c>
      <c r="F95" s="194">
        <v>10</v>
      </c>
      <c r="G95" s="196">
        <f t="shared" si="4"/>
        <v>49</v>
      </c>
      <c r="H95" s="203">
        <v>0</v>
      </c>
      <c r="I95" s="204">
        <v>0</v>
      </c>
      <c r="J95" s="204">
        <v>0</v>
      </c>
      <c r="K95" s="204">
        <v>0</v>
      </c>
      <c r="L95" s="204">
        <v>0</v>
      </c>
      <c r="M95" s="205">
        <v>0</v>
      </c>
      <c r="N95" s="85">
        <f t="shared" si="5"/>
        <v>49</v>
      </c>
      <c r="O95" s="43">
        <f t="shared" si="6"/>
        <v>81</v>
      </c>
    </row>
    <row r="96" spans="1:15" ht="22.5" customHeight="1" x14ac:dyDescent="0.3">
      <c r="A96" s="190" t="s">
        <v>135</v>
      </c>
      <c r="B96" s="44">
        <v>16</v>
      </c>
      <c r="C96" s="39">
        <v>8</v>
      </c>
      <c r="D96" s="39">
        <v>1</v>
      </c>
      <c r="E96" s="39">
        <v>1</v>
      </c>
      <c r="F96" s="194">
        <v>9</v>
      </c>
      <c r="G96" s="196">
        <f t="shared" si="4"/>
        <v>35</v>
      </c>
      <c r="H96" s="203">
        <v>0</v>
      </c>
      <c r="I96" s="204">
        <v>0</v>
      </c>
      <c r="J96" s="204">
        <v>0</v>
      </c>
      <c r="K96" s="204">
        <v>0</v>
      </c>
      <c r="L96" s="204">
        <v>0</v>
      </c>
      <c r="M96" s="205">
        <v>0</v>
      </c>
      <c r="N96" s="85">
        <f t="shared" si="5"/>
        <v>35</v>
      </c>
      <c r="O96" s="43">
        <f t="shared" si="6"/>
        <v>65</v>
      </c>
    </row>
    <row r="97" spans="1:15" ht="22.5" customHeight="1" x14ac:dyDescent="0.3">
      <c r="A97" s="190" t="s">
        <v>136</v>
      </c>
      <c r="B97" s="44">
        <v>16</v>
      </c>
      <c r="C97" s="39">
        <v>17</v>
      </c>
      <c r="D97" s="39">
        <v>2</v>
      </c>
      <c r="E97" s="39">
        <v>2</v>
      </c>
      <c r="F97" s="194">
        <v>5</v>
      </c>
      <c r="G97" s="196">
        <f t="shared" si="4"/>
        <v>42</v>
      </c>
      <c r="H97" s="203">
        <v>0</v>
      </c>
      <c r="I97" s="204">
        <v>0</v>
      </c>
      <c r="J97" s="204">
        <v>0</v>
      </c>
      <c r="K97" s="204">
        <v>0</v>
      </c>
      <c r="L97" s="204">
        <v>0</v>
      </c>
      <c r="M97" s="205">
        <v>0</v>
      </c>
      <c r="N97" s="85">
        <f t="shared" si="5"/>
        <v>42</v>
      </c>
      <c r="O97" s="43">
        <f t="shared" si="6"/>
        <v>56</v>
      </c>
    </row>
    <row r="98" spans="1:15" ht="22.5" customHeight="1" x14ac:dyDescent="0.3">
      <c r="A98" s="190" t="s">
        <v>137</v>
      </c>
      <c r="B98" s="44">
        <v>16</v>
      </c>
      <c r="C98" s="39">
        <v>13</v>
      </c>
      <c r="D98" s="39">
        <v>5</v>
      </c>
      <c r="E98" s="39">
        <v>3</v>
      </c>
      <c r="F98" s="194">
        <v>7</v>
      </c>
      <c r="G98" s="196">
        <f t="shared" si="4"/>
        <v>44</v>
      </c>
      <c r="H98" s="203">
        <v>0</v>
      </c>
      <c r="I98" s="204">
        <v>0</v>
      </c>
      <c r="J98" s="204">
        <v>0</v>
      </c>
      <c r="K98" s="204">
        <v>0</v>
      </c>
      <c r="L98" s="204">
        <v>0</v>
      </c>
      <c r="M98" s="205">
        <v>0</v>
      </c>
      <c r="N98" s="85">
        <f t="shared" si="5"/>
        <v>44</v>
      </c>
      <c r="O98" s="43">
        <f t="shared" si="6"/>
        <v>70.5</v>
      </c>
    </row>
    <row r="99" spans="1:15" ht="22.5" customHeight="1" x14ac:dyDescent="0.3">
      <c r="A99" s="190" t="s">
        <v>138</v>
      </c>
      <c r="B99" s="44">
        <v>24</v>
      </c>
      <c r="C99" s="39">
        <v>25</v>
      </c>
      <c r="D99" s="39">
        <v>4</v>
      </c>
      <c r="E99" s="39">
        <v>2</v>
      </c>
      <c r="F99" s="194">
        <v>3</v>
      </c>
      <c r="G99" s="196">
        <f t="shared" si="4"/>
        <v>58</v>
      </c>
      <c r="H99" s="203">
        <v>0</v>
      </c>
      <c r="I99" s="204">
        <v>0</v>
      </c>
      <c r="J99" s="204">
        <v>0</v>
      </c>
      <c r="K99" s="204">
        <v>0</v>
      </c>
      <c r="L99" s="204">
        <v>0</v>
      </c>
      <c r="M99" s="205">
        <v>0</v>
      </c>
      <c r="N99" s="85">
        <f t="shared" si="5"/>
        <v>58</v>
      </c>
      <c r="O99" s="43">
        <f t="shared" si="6"/>
        <v>62</v>
      </c>
    </row>
    <row r="100" spans="1:15" ht="22.5" customHeight="1" x14ac:dyDescent="0.3">
      <c r="A100" s="190" t="s">
        <v>139</v>
      </c>
      <c r="B100" s="44">
        <v>19</v>
      </c>
      <c r="C100" s="39">
        <v>27</v>
      </c>
      <c r="D100" s="39">
        <v>6</v>
      </c>
      <c r="E100" s="39">
        <v>4</v>
      </c>
      <c r="F100" s="194">
        <v>4</v>
      </c>
      <c r="G100" s="196">
        <f t="shared" si="4"/>
        <v>60</v>
      </c>
      <c r="H100" s="203">
        <v>0</v>
      </c>
      <c r="I100" s="204">
        <v>0</v>
      </c>
      <c r="J100" s="204">
        <v>0</v>
      </c>
      <c r="K100" s="204">
        <v>0</v>
      </c>
      <c r="L100" s="204">
        <v>2</v>
      </c>
      <c r="M100" s="205">
        <v>0</v>
      </c>
      <c r="N100" s="85">
        <f t="shared" si="5"/>
        <v>60</v>
      </c>
      <c r="O100" s="43">
        <f t="shared" si="6"/>
        <v>87.5</v>
      </c>
    </row>
    <row r="101" spans="1:15" ht="22.5" customHeight="1" x14ac:dyDescent="0.3">
      <c r="A101" s="190" t="s">
        <v>140</v>
      </c>
      <c r="B101" s="44">
        <v>28</v>
      </c>
      <c r="C101" s="39">
        <v>24</v>
      </c>
      <c r="D101" s="39">
        <v>1</v>
      </c>
      <c r="E101" s="39">
        <v>2</v>
      </c>
      <c r="F101" s="194">
        <v>3</v>
      </c>
      <c r="G101" s="196">
        <f t="shared" si="4"/>
        <v>58</v>
      </c>
      <c r="H101" s="203">
        <v>0</v>
      </c>
      <c r="I101" s="204">
        <v>0</v>
      </c>
      <c r="J101" s="204">
        <v>0</v>
      </c>
      <c r="K101" s="204">
        <v>0</v>
      </c>
      <c r="L101" s="204">
        <v>3</v>
      </c>
      <c r="M101" s="205">
        <v>0</v>
      </c>
      <c r="N101" s="85">
        <f t="shared" si="5"/>
        <v>58</v>
      </c>
      <c r="O101" s="43">
        <f t="shared" si="6"/>
        <v>85</v>
      </c>
    </row>
    <row r="102" spans="1:15" ht="22.5" customHeight="1" x14ac:dyDescent="0.3">
      <c r="A102" s="190" t="s">
        <v>141</v>
      </c>
      <c r="B102" s="44">
        <v>34</v>
      </c>
      <c r="C102" s="39">
        <v>28</v>
      </c>
      <c r="D102" s="39">
        <v>6</v>
      </c>
      <c r="E102" s="39">
        <v>4</v>
      </c>
      <c r="F102" s="194">
        <v>7</v>
      </c>
      <c r="G102" s="196">
        <f t="shared" si="4"/>
        <v>79</v>
      </c>
      <c r="H102" s="203">
        <v>1</v>
      </c>
      <c r="I102" s="204">
        <v>0</v>
      </c>
      <c r="J102" s="204">
        <v>0</v>
      </c>
      <c r="K102" s="204">
        <v>0</v>
      </c>
      <c r="L102" s="204">
        <v>4</v>
      </c>
      <c r="M102" s="205">
        <v>0</v>
      </c>
      <c r="N102" s="85">
        <f t="shared" si="5"/>
        <v>79</v>
      </c>
      <c r="O102" s="43">
        <f t="shared" si="6"/>
        <v>133</v>
      </c>
    </row>
    <row r="103" spans="1:15" ht="22.5" customHeight="1" thickBot="1" x14ac:dyDescent="0.35">
      <c r="A103" s="191" t="s">
        <v>142</v>
      </c>
      <c r="B103" s="46">
        <v>36</v>
      </c>
      <c r="C103" s="47">
        <v>37</v>
      </c>
      <c r="D103" s="47">
        <v>2</v>
      </c>
      <c r="E103" s="47">
        <v>3</v>
      </c>
      <c r="F103" s="195">
        <v>1</v>
      </c>
      <c r="G103" s="197">
        <f t="shared" si="4"/>
        <v>79</v>
      </c>
      <c r="H103" s="206">
        <v>0</v>
      </c>
      <c r="I103" s="207">
        <v>0</v>
      </c>
      <c r="J103" s="207">
        <v>0</v>
      </c>
      <c r="K103" s="207">
        <v>0</v>
      </c>
      <c r="L103" s="207">
        <v>2</v>
      </c>
      <c r="M103" s="208">
        <v>0</v>
      </c>
      <c r="N103" s="116">
        <f t="shared" si="5"/>
        <v>79</v>
      </c>
      <c r="O103" s="84">
        <f t="shared" si="6"/>
        <v>87</v>
      </c>
    </row>
    <row r="104" spans="1:15" ht="22.5" customHeight="1" thickBot="1" x14ac:dyDescent="0.35">
      <c r="A104" s="86" t="s">
        <v>11</v>
      </c>
      <c r="B104" s="117">
        <f t="shared" ref="B104:N104" si="7">SUM(B8:B103)</f>
        <v>7190</v>
      </c>
      <c r="C104" s="117">
        <f t="shared" si="7"/>
        <v>4212</v>
      </c>
      <c r="D104" s="117">
        <f t="shared" si="7"/>
        <v>358</v>
      </c>
      <c r="E104" s="118">
        <f t="shared" si="7"/>
        <v>133</v>
      </c>
      <c r="F104" s="118">
        <f t="shared" si="7"/>
        <v>365</v>
      </c>
      <c r="G104" s="94">
        <f t="shared" si="7"/>
        <v>12258</v>
      </c>
      <c r="H104" s="117">
        <f t="shared" si="7"/>
        <v>6</v>
      </c>
      <c r="I104" s="117">
        <f t="shared" si="7"/>
        <v>0</v>
      </c>
      <c r="J104" s="117">
        <f t="shared" si="7"/>
        <v>3</v>
      </c>
      <c r="K104" s="118">
        <f t="shared" si="7"/>
        <v>0</v>
      </c>
      <c r="L104" s="118">
        <f t="shared" si="7"/>
        <v>159</v>
      </c>
      <c r="M104" s="199">
        <f>SUM(M8:M103)</f>
        <v>4</v>
      </c>
      <c r="N104" s="95">
        <f t="shared" si="7"/>
        <v>12262</v>
      </c>
      <c r="O104" s="142">
        <f>SUM(O8:O103)</f>
        <v>13158.5</v>
      </c>
    </row>
    <row r="105" spans="1:15" ht="22.5" customHeight="1" thickBot="1" x14ac:dyDescent="0.35">
      <c r="A105" s="41" t="s">
        <v>143</v>
      </c>
      <c r="B105" s="88">
        <f>+B104*1</f>
        <v>7190</v>
      </c>
      <c r="C105" s="88">
        <f>+C104*0.5</f>
        <v>2106</v>
      </c>
      <c r="D105" s="88">
        <f>+D104*1.5</f>
        <v>537</v>
      </c>
      <c r="E105" s="88">
        <f>+E104*3</f>
        <v>399</v>
      </c>
      <c r="F105" s="89">
        <f>+F104*4.5</f>
        <v>1642.5</v>
      </c>
      <c r="G105" s="90">
        <f>SUM(B105:F105)</f>
        <v>11874.5</v>
      </c>
      <c r="H105" s="88">
        <f>+H104*0.5</f>
        <v>3</v>
      </c>
      <c r="I105" s="89">
        <f>+I104*1.5</f>
        <v>0</v>
      </c>
      <c r="J105" s="89">
        <f>+J104*3</f>
        <v>9</v>
      </c>
      <c r="K105" s="96">
        <f>+K104*4</f>
        <v>0</v>
      </c>
      <c r="L105" s="96">
        <f>+L104*8</f>
        <v>1272</v>
      </c>
      <c r="M105" s="147">
        <f>SUM(H105:L105)</f>
        <v>1284</v>
      </c>
      <c r="N105" s="91"/>
      <c r="O105" s="92">
        <f>G105+M105</f>
        <v>13158.5</v>
      </c>
    </row>
    <row r="106" spans="1:15" ht="22.5" customHeight="1" thickBot="1" x14ac:dyDescent="0.35">
      <c r="A106" s="42" t="s">
        <v>12</v>
      </c>
      <c r="B106" s="93">
        <f t="shared" ref="B106:N106" si="8">B104/$N$104</f>
        <v>0.5863643777524058</v>
      </c>
      <c r="C106" s="93">
        <f t="shared" si="8"/>
        <v>0.34350024465829393</v>
      </c>
      <c r="D106" s="93">
        <f t="shared" si="8"/>
        <v>2.9195889740662208E-2</v>
      </c>
      <c r="E106" s="93">
        <f t="shared" si="8"/>
        <v>1.0846517696949927E-2</v>
      </c>
      <c r="F106" s="93">
        <f t="shared" si="8"/>
        <v>2.9766759093133258E-2</v>
      </c>
      <c r="G106" s="98">
        <f t="shared" si="8"/>
        <v>0.9996737889414451</v>
      </c>
      <c r="H106" s="93">
        <f t="shared" si="8"/>
        <v>4.8931658783232747E-4</v>
      </c>
      <c r="I106" s="93">
        <f t="shared" si="8"/>
        <v>0</v>
      </c>
      <c r="J106" s="93">
        <f t="shared" si="8"/>
        <v>2.4465829391616373E-4</v>
      </c>
      <c r="K106" s="97">
        <f t="shared" si="8"/>
        <v>0</v>
      </c>
      <c r="L106" s="97">
        <f t="shared" si="8"/>
        <v>1.2966889577556678E-2</v>
      </c>
      <c r="M106" s="98">
        <f t="shared" si="8"/>
        <v>3.2621105855488503E-4</v>
      </c>
      <c r="N106" s="99">
        <f t="shared" si="8"/>
        <v>1</v>
      </c>
      <c r="O106" s="94"/>
    </row>
    <row r="108" spans="1:15" s="4" customFormat="1" x14ac:dyDescent="0.3">
      <c r="A108" s="4" t="s">
        <v>103</v>
      </c>
      <c r="B108" s="4" t="str">
        <f>B2</f>
        <v>TMC-14 Number (D2)</v>
      </c>
    </row>
    <row r="109" spans="1:15" s="4" customFormat="1" x14ac:dyDescent="0.3">
      <c r="A109" s="4" t="s">
        <v>102</v>
      </c>
      <c r="B109" s="4" t="str">
        <f>B3</f>
        <v>D2</v>
      </c>
    </row>
    <row r="110" spans="1:15" s="4" customFormat="1" x14ac:dyDescent="0.3">
      <c r="A110" s="4" t="s">
        <v>104</v>
      </c>
      <c r="B110" s="4" t="str">
        <f>B4</f>
        <v>Mansarover</v>
      </c>
      <c r="D110" s="4" t="str">
        <f>D4</f>
        <v>To:</v>
      </c>
    </row>
    <row r="111" spans="1:15" ht="16.2" thickBot="1" x14ac:dyDescent="0.35"/>
    <row r="112" spans="1:15" ht="25.2" customHeight="1" x14ac:dyDescent="0.3">
      <c r="A112" s="252" t="s">
        <v>95</v>
      </c>
      <c r="B112" s="258" t="s">
        <v>280</v>
      </c>
      <c r="C112" s="254" t="s">
        <v>281</v>
      </c>
      <c r="D112" s="250" t="s">
        <v>282</v>
      </c>
      <c r="E112" s="260" t="s">
        <v>283</v>
      </c>
      <c r="F112" s="256" t="s">
        <v>284</v>
      </c>
      <c r="G112" s="250" t="s">
        <v>129</v>
      </c>
      <c r="H112" s="248" t="s">
        <v>150</v>
      </c>
      <c r="I112" s="250" t="s">
        <v>151</v>
      </c>
      <c r="J112" s="250" t="s">
        <v>285</v>
      </c>
      <c r="K112" s="248" t="s">
        <v>286</v>
      </c>
      <c r="L112" s="250" t="s">
        <v>287</v>
      </c>
      <c r="M112" s="250" t="s">
        <v>78</v>
      </c>
      <c r="N112" s="250" t="s">
        <v>131</v>
      </c>
      <c r="O112" s="250" t="s">
        <v>132</v>
      </c>
    </row>
    <row r="113" spans="1:15" ht="43.5" customHeight="1" thickBot="1" x14ac:dyDescent="0.35">
      <c r="A113" s="253"/>
      <c r="B113" s="259"/>
      <c r="C113" s="255"/>
      <c r="D113" s="251"/>
      <c r="E113" s="261"/>
      <c r="F113" s="257"/>
      <c r="G113" s="259"/>
      <c r="H113" s="249"/>
      <c r="I113" s="251"/>
      <c r="J113" s="251"/>
      <c r="K113" s="249"/>
      <c r="L113" s="251"/>
      <c r="M113" s="251"/>
      <c r="N113" s="251"/>
      <c r="O113" s="251"/>
    </row>
    <row r="114" spans="1:15" ht="22.95" customHeight="1" x14ac:dyDescent="0.3">
      <c r="A114" s="52" t="s">
        <v>15</v>
      </c>
      <c r="B114" s="112">
        <f>B8+B9+B10+B11</f>
        <v>340</v>
      </c>
      <c r="C114" s="113">
        <f t="shared" ref="C114:F115" si="9">C8+C9+C10+C11</f>
        <v>332</v>
      </c>
      <c r="D114" s="113">
        <f t="shared" si="9"/>
        <v>11</v>
      </c>
      <c r="E114" s="113">
        <f t="shared" si="9"/>
        <v>4</v>
      </c>
      <c r="F114" s="113">
        <f t="shared" si="9"/>
        <v>18</v>
      </c>
      <c r="G114" s="49">
        <f t="shared" ref="G114:G145" si="10">SUM(B114:F114)</f>
        <v>705</v>
      </c>
      <c r="H114" s="112">
        <f t="shared" ref="H114" si="11">H8+H9+H10+H11</f>
        <v>2</v>
      </c>
      <c r="I114" s="113">
        <f t="shared" ref="I114:L114" si="12">I8+I9+I10+I11</f>
        <v>0</v>
      </c>
      <c r="J114" s="113">
        <f t="shared" si="12"/>
        <v>0</v>
      </c>
      <c r="K114" s="114">
        <f t="shared" si="12"/>
        <v>0</v>
      </c>
      <c r="L114" s="143">
        <f t="shared" si="12"/>
        <v>20</v>
      </c>
      <c r="M114" s="49">
        <f>SUM(H114:K114)</f>
        <v>2</v>
      </c>
      <c r="N114" s="40">
        <f>G114+M114</f>
        <v>707</v>
      </c>
      <c r="O114" s="115">
        <f>B114*1+C114*0.5+D114*1.5+E114*3+F114*4.5+H114*0.5+I114*1.5+J114*3+K114*4+L114*8</f>
        <v>776.5</v>
      </c>
    </row>
    <row r="115" spans="1:15" ht="22.95" customHeight="1" x14ac:dyDescent="0.3">
      <c r="A115" s="52" t="s">
        <v>16</v>
      </c>
      <c r="B115" s="44">
        <f>B9+B10+B11+B12</f>
        <v>391</v>
      </c>
      <c r="C115" s="39">
        <f t="shared" si="9"/>
        <v>362</v>
      </c>
      <c r="D115" s="39">
        <f t="shared" si="9"/>
        <v>13</v>
      </c>
      <c r="E115" s="39">
        <f t="shared" si="9"/>
        <v>3</v>
      </c>
      <c r="F115" s="39">
        <f t="shared" si="9"/>
        <v>18</v>
      </c>
      <c r="G115" s="50">
        <f t="shared" si="10"/>
        <v>787</v>
      </c>
      <c r="H115" s="44">
        <f t="shared" ref="H115:L115" si="13">H9+H10+H11+H12</f>
        <v>2</v>
      </c>
      <c r="I115" s="39">
        <f t="shared" si="13"/>
        <v>0</v>
      </c>
      <c r="J115" s="39">
        <f t="shared" si="13"/>
        <v>0</v>
      </c>
      <c r="K115" s="45">
        <f t="shared" si="13"/>
        <v>0</v>
      </c>
      <c r="L115" s="144">
        <f t="shared" si="13"/>
        <v>26</v>
      </c>
      <c r="M115" s="50">
        <f t="shared" ref="M115:M178" si="14">SUM(H115:K115)</f>
        <v>2</v>
      </c>
      <c r="N115" s="40">
        <f t="shared" ref="N115:N178" si="15">G115+M115</f>
        <v>789</v>
      </c>
      <c r="O115" s="43">
        <f t="shared" ref="O115:O178" si="16">B115*1+C115*0.5+D115*1.5+E115*3+F115*4.5+H115*0.5+I115*1.5+J115*3+K115*4+L115*8</f>
        <v>890.5</v>
      </c>
    </row>
    <row r="116" spans="1:15" ht="22.95" customHeight="1" x14ac:dyDescent="0.3">
      <c r="A116" s="52" t="s">
        <v>17</v>
      </c>
      <c r="B116" s="44">
        <f t="shared" ref="B116:F131" si="17">B10+B11+B12+B13</f>
        <v>455</v>
      </c>
      <c r="C116" s="39">
        <f t="shared" si="17"/>
        <v>467</v>
      </c>
      <c r="D116" s="39">
        <f t="shared" si="17"/>
        <v>16</v>
      </c>
      <c r="E116" s="39">
        <f t="shared" si="17"/>
        <v>3</v>
      </c>
      <c r="F116" s="39">
        <f t="shared" si="17"/>
        <v>19</v>
      </c>
      <c r="G116" s="50">
        <f t="shared" si="10"/>
        <v>960</v>
      </c>
      <c r="H116" s="44">
        <f t="shared" ref="H116:L116" si="18">H10+H11+H12+H13</f>
        <v>1</v>
      </c>
      <c r="I116" s="39">
        <f t="shared" si="18"/>
        <v>0</v>
      </c>
      <c r="J116" s="39">
        <f t="shared" si="18"/>
        <v>0</v>
      </c>
      <c r="K116" s="45">
        <f t="shared" si="18"/>
        <v>0</v>
      </c>
      <c r="L116" s="144">
        <f t="shared" si="18"/>
        <v>31</v>
      </c>
      <c r="M116" s="50">
        <f t="shared" si="14"/>
        <v>1</v>
      </c>
      <c r="N116" s="40">
        <f t="shared" si="15"/>
        <v>961</v>
      </c>
      <c r="O116" s="43">
        <f t="shared" si="16"/>
        <v>1055.5</v>
      </c>
    </row>
    <row r="117" spans="1:15" ht="22.95" customHeight="1" x14ac:dyDescent="0.3">
      <c r="A117" s="52" t="s">
        <v>18</v>
      </c>
      <c r="B117" s="44">
        <f t="shared" si="17"/>
        <v>625</v>
      </c>
      <c r="C117" s="39">
        <f t="shared" si="17"/>
        <v>607</v>
      </c>
      <c r="D117" s="39">
        <f t="shared" si="17"/>
        <v>14</v>
      </c>
      <c r="E117" s="39">
        <f t="shared" si="17"/>
        <v>2</v>
      </c>
      <c r="F117" s="39">
        <f t="shared" si="17"/>
        <v>17</v>
      </c>
      <c r="G117" s="50">
        <f t="shared" si="10"/>
        <v>1265</v>
      </c>
      <c r="H117" s="44">
        <f t="shared" ref="H117:L117" si="19">H11+H12+H13+H14</f>
        <v>2</v>
      </c>
      <c r="I117" s="39">
        <f t="shared" si="19"/>
        <v>0</v>
      </c>
      <c r="J117" s="39">
        <f t="shared" si="19"/>
        <v>0</v>
      </c>
      <c r="K117" s="45">
        <f t="shared" si="19"/>
        <v>0</v>
      </c>
      <c r="L117" s="144">
        <f t="shared" si="19"/>
        <v>30</v>
      </c>
      <c r="M117" s="50">
        <f t="shared" si="14"/>
        <v>2</v>
      </c>
      <c r="N117" s="40">
        <f t="shared" si="15"/>
        <v>1267</v>
      </c>
      <c r="O117" s="43">
        <f t="shared" si="16"/>
        <v>1273</v>
      </c>
    </row>
    <row r="118" spans="1:15" ht="22.95" customHeight="1" x14ac:dyDescent="0.3">
      <c r="A118" s="52" t="s">
        <v>19</v>
      </c>
      <c r="B118" s="44">
        <f t="shared" si="17"/>
        <v>737</v>
      </c>
      <c r="C118" s="39">
        <f t="shared" si="17"/>
        <v>671</v>
      </c>
      <c r="D118" s="39">
        <f t="shared" si="17"/>
        <v>16</v>
      </c>
      <c r="E118" s="39">
        <f t="shared" si="17"/>
        <v>2</v>
      </c>
      <c r="F118" s="39">
        <f t="shared" si="17"/>
        <v>14</v>
      </c>
      <c r="G118" s="50">
        <f t="shared" si="10"/>
        <v>1440</v>
      </c>
      <c r="H118" s="44">
        <f t="shared" ref="H118:L118" si="20">H12+H13+H14+H15</f>
        <v>2</v>
      </c>
      <c r="I118" s="39">
        <f t="shared" si="20"/>
        <v>0</v>
      </c>
      <c r="J118" s="39">
        <f t="shared" si="20"/>
        <v>0</v>
      </c>
      <c r="K118" s="45">
        <f t="shared" si="20"/>
        <v>0</v>
      </c>
      <c r="L118" s="144">
        <f t="shared" si="20"/>
        <v>22</v>
      </c>
      <c r="M118" s="50">
        <f t="shared" si="14"/>
        <v>2</v>
      </c>
      <c r="N118" s="40">
        <f t="shared" si="15"/>
        <v>1442</v>
      </c>
      <c r="O118" s="43">
        <f t="shared" si="16"/>
        <v>1342.5</v>
      </c>
    </row>
    <row r="119" spans="1:15" ht="22.95" customHeight="1" x14ac:dyDescent="0.3">
      <c r="A119" s="52" t="s">
        <v>20</v>
      </c>
      <c r="B119" s="44">
        <f t="shared" si="17"/>
        <v>818</v>
      </c>
      <c r="C119" s="39">
        <f t="shared" si="17"/>
        <v>756</v>
      </c>
      <c r="D119" s="39">
        <f t="shared" si="17"/>
        <v>17</v>
      </c>
      <c r="E119" s="39">
        <f t="shared" si="17"/>
        <v>3</v>
      </c>
      <c r="F119" s="39">
        <f t="shared" si="17"/>
        <v>15</v>
      </c>
      <c r="G119" s="50">
        <f t="shared" si="10"/>
        <v>1609</v>
      </c>
      <c r="H119" s="44">
        <f t="shared" ref="H119:L119" si="21">H13+H14+H15+H16</f>
        <v>2</v>
      </c>
      <c r="I119" s="39">
        <f t="shared" si="21"/>
        <v>0</v>
      </c>
      <c r="J119" s="39">
        <f t="shared" si="21"/>
        <v>0</v>
      </c>
      <c r="K119" s="45">
        <f t="shared" si="21"/>
        <v>0</v>
      </c>
      <c r="L119" s="144">
        <f t="shared" si="21"/>
        <v>16</v>
      </c>
      <c r="M119" s="50">
        <f t="shared" si="14"/>
        <v>2</v>
      </c>
      <c r="N119" s="40">
        <f t="shared" si="15"/>
        <v>1611</v>
      </c>
      <c r="O119" s="43">
        <f t="shared" si="16"/>
        <v>1427</v>
      </c>
    </row>
    <row r="120" spans="1:15" ht="22.95" customHeight="1" x14ac:dyDescent="0.3">
      <c r="A120" s="52" t="s">
        <v>21</v>
      </c>
      <c r="B120" s="44">
        <f t="shared" si="17"/>
        <v>846</v>
      </c>
      <c r="C120" s="39">
        <f t="shared" si="17"/>
        <v>731</v>
      </c>
      <c r="D120" s="39">
        <f t="shared" si="17"/>
        <v>16</v>
      </c>
      <c r="E120" s="39">
        <f t="shared" si="17"/>
        <v>4</v>
      </c>
      <c r="F120" s="39">
        <f t="shared" si="17"/>
        <v>16</v>
      </c>
      <c r="G120" s="50">
        <f t="shared" si="10"/>
        <v>1613</v>
      </c>
      <c r="H120" s="44">
        <f t="shared" ref="H120:L120" si="22">H14+H15+H16+H17</f>
        <v>2</v>
      </c>
      <c r="I120" s="39">
        <f t="shared" si="22"/>
        <v>0</v>
      </c>
      <c r="J120" s="39">
        <f t="shared" si="22"/>
        <v>0</v>
      </c>
      <c r="K120" s="45">
        <f t="shared" si="22"/>
        <v>0</v>
      </c>
      <c r="L120" s="144">
        <f t="shared" si="22"/>
        <v>8</v>
      </c>
      <c r="M120" s="50">
        <f t="shared" si="14"/>
        <v>2</v>
      </c>
      <c r="N120" s="40">
        <f t="shared" si="15"/>
        <v>1615</v>
      </c>
      <c r="O120" s="43">
        <f t="shared" si="16"/>
        <v>1384.5</v>
      </c>
    </row>
    <row r="121" spans="1:15" ht="22.95" customHeight="1" x14ac:dyDescent="0.3">
      <c r="A121" s="52" t="s">
        <v>22</v>
      </c>
      <c r="B121" s="44">
        <f t="shared" si="17"/>
        <v>772</v>
      </c>
      <c r="C121" s="39">
        <f t="shared" si="17"/>
        <v>655</v>
      </c>
      <c r="D121" s="39">
        <f t="shared" si="17"/>
        <v>15</v>
      </c>
      <c r="E121" s="39">
        <f t="shared" si="17"/>
        <v>5</v>
      </c>
      <c r="F121" s="39">
        <f t="shared" si="17"/>
        <v>16</v>
      </c>
      <c r="G121" s="50">
        <f t="shared" si="10"/>
        <v>1463</v>
      </c>
      <c r="H121" s="44">
        <f t="shared" ref="H121:L121" si="23">H15+H16+H17+H18</f>
        <v>0</v>
      </c>
      <c r="I121" s="39">
        <f t="shared" si="23"/>
        <v>0</v>
      </c>
      <c r="J121" s="39">
        <f t="shared" si="23"/>
        <v>0</v>
      </c>
      <c r="K121" s="45">
        <f t="shared" si="23"/>
        <v>0</v>
      </c>
      <c r="L121" s="144">
        <f t="shared" si="23"/>
        <v>5</v>
      </c>
      <c r="M121" s="50">
        <f t="shared" si="14"/>
        <v>0</v>
      </c>
      <c r="N121" s="40">
        <f t="shared" si="15"/>
        <v>1463</v>
      </c>
      <c r="O121" s="43">
        <f t="shared" si="16"/>
        <v>1249</v>
      </c>
    </row>
    <row r="122" spans="1:15" ht="22.95" customHeight="1" x14ac:dyDescent="0.3">
      <c r="A122" s="52" t="s">
        <v>23</v>
      </c>
      <c r="B122" s="44">
        <f t="shared" si="17"/>
        <v>702</v>
      </c>
      <c r="C122" s="39">
        <f t="shared" si="17"/>
        <v>619</v>
      </c>
      <c r="D122" s="39">
        <f t="shared" si="17"/>
        <v>14</v>
      </c>
      <c r="E122" s="39">
        <f t="shared" si="17"/>
        <v>4</v>
      </c>
      <c r="F122" s="39">
        <f t="shared" si="17"/>
        <v>20</v>
      </c>
      <c r="G122" s="50">
        <f t="shared" si="10"/>
        <v>1359</v>
      </c>
      <c r="H122" s="44">
        <f t="shared" ref="H122:L122" si="24">H16+H17+H18+H19</f>
        <v>0</v>
      </c>
      <c r="I122" s="39">
        <f t="shared" si="24"/>
        <v>0</v>
      </c>
      <c r="J122" s="39">
        <f t="shared" si="24"/>
        <v>0</v>
      </c>
      <c r="K122" s="45">
        <f t="shared" si="24"/>
        <v>0</v>
      </c>
      <c r="L122" s="144">
        <f t="shared" si="24"/>
        <v>8</v>
      </c>
      <c r="M122" s="50">
        <f t="shared" si="14"/>
        <v>0</v>
      </c>
      <c r="N122" s="40">
        <f t="shared" si="15"/>
        <v>1359</v>
      </c>
      <c r="O122" s="43">
        <f t="shared" si="16"/>
        <v>1198.5</v>
      </c>
    </row>
    <row r="123" spans="1:15" ht="22.95" customHeight="1" x14ac:dyDescent="0.3">
      <c r="A123" s="52" t="s">
        <v>24</v>
      </c>
      <c r="B123" s="44">
        <f t="shared" si="17"/>
        <v>604</v>
      </c>
      <c r="C123" s="39">
        <f t="shared" si="17"/>
        <v>504</v>
      </c>
      <c r="D123" s="39">
        <f t="shared" si="17"/>
        <v>13</v>
      </c>
      <c r="E123" s="39">
        <f t="shared" si="17"/>
        <v>3</v>
      </c>
      <c r="F123" s="39">
        <f t="shared" si="17"/>
        <v>22</v>
      </c>
      <c r="G123" s="50">
        <f t="shared" si="10"/>
        <v>1146</v>
      </c>
      <c r="H123" s="44">
        <f t="shared" ref="H123:L123" si="25">H17+H18+H19+H20</f>
        <v>0</v>
      </c>
      <c r="I123" s="39">
        <f t="shared" si="25"/>
        <v>0</v>
      </c>
      <c r="J123" s="39">
        <f t="shared" si="25"/>
        <v>0</v>
      </c>
      <c r="K123" s="45">
        <f t="shared" si="25"/>
        <v>0</v>
      </c>
      <c r="L123" s="144">
        <f t="shared" si="25"/>
        <v>9</v>
      </c>
      <c r="M123" s="50">
        <f t="shared" si="14"/>
        <v>0</v>
      </c>
      <c r="N123" s="40">
        <f t="shared" si="15"/>
        <v>1146</v>
      </c>
      <c r="O123" s="43">
        <f t="shared" si="16"/>
        <v>1055.5</v>
      </c>
    </row>
    <row r="124" spans="1:15" ht="22.95" customHeight="1" x14ac:dyDescent="0.3">
      <c r="A124" s="52" t="s">
        <v>25</v>
      </c>
      <c r="B124" s="44">
        <f t="shared" si="17"/>
        <v>612</v>
      </c>
      <c r="C124" s="39">
        <f t="shared" si="17"/>
        <v>494</v>
      </c>
      <c r="D124" s="39">
        <f t="shared" si="17"/>
        <v>13</v>
      </c>
      <c r="E124" s="39">
        <f t="shared" si="17"/>
        <v>2</v>
      </c>
      <c r="F124" s="39">
        <f t="shared" si="17"/>
        <v>21</v>
      </c>
      <c r="G124" s="50">
        <f t="shared" si="10"/>
        <v>1142</v>
      </c>
      <c r="H124" s="44">
        <f t="shared" ref="H124:L124" si="26">H18+H19+H20+H21</f>
        <v>1</v>
      </c>
      <c r="I124" s="39">
        <f t="shared" si="26"/>
        <v>0</v>
      </c>
      <c r="J124" s="39">
        <f t="shared" si="26"/>
        <v>0</v>
      </c>
      <c r="K124" s="45">
        <f t="shared" si="26"/>
        <v>0</v>
      </c>
      <c r="L124" s="144">
        <f t="shared" si="26"/>
        <v>10</v>
      </c>
      <c r="M124" s="50">
        <f t="shared" si="14"/>
        <v>1</v>
      </c>
      <c r="N124" s="40">
        <f t="shared" si="15"/>
        <v>1143</v>
      </c>
      <c r="O124" s="43">
        <f t="shared" si="16"/>
        <v>1059.5</v>
      </c>
    </row>
    <row r="125" spans="1:15" ht="22.95" customHeight="1" x14ac:dyDescent="0.3">
      <c r="A125" s="52" t="s">
        <v>26</v>
      </c>
      <c r="B125" s="44">
        <f t="shared" si="17"/>
        <v>559</v>
      </c>
      <c r="C125" s="39">
        <f t="shared" si="17"/>
        <v>429</v>
      </c>
      <c r="D125" s="39">
        <f t="shared" si="17"/>
        <v>14</v>
      </c>
      <c r="E125" s="39">
        <f t="shared" si="17"/>
        <v>2</v>
      </c>
      <c r="F125" s="39">
        <f t="shared" si="17"/>
        <v>18</v>
      </c>
      <c r="G125" s="50">
        <f t="shared" si="10"/>
        <v>1022</v>
      </c>
      <c r="H125" s="44">
        <f t="shared" ref="H125:L125" si="27">H19+H20+H21+H22</f>
        <v>1</v>
      </c>
      <c r="I125" s="39">
        <f t="shared" si="27"/>
        <v>0</v>
      </c>
      <c r="J125" s="39">
        <f t="shared" si="27"/>
        <v>0</v>
      </c>
      <c r="K125" s="45">
        <f t="shared" si="27"/>
        <v>0</v>
      </c>
      <c r="L125" s="144">
        <f t="shared" si="27"/>
        <v>13</v>
      </c>
      <c r="M125" s="50">
        <f t="shared" si="14"/>
        <v>1</v>
      </c>
      <c r="N125" s="40">
        <f t="shared" si="15"/>
        <v>1023</v>
      </c>
      <c r="O125" s="43">
        <f t="shared" si="16"/>
        <v>986</v>
      </c>
    </row>
    <row r="126" spans="1:15" ht="22.95" customHeight="1" x14ac:dyDescent="0.3">
      <c r="A126" s="52" t="s">
        <v>27</v>
      </c>
      <c r="B126" s="44">
        <f t="shared" si="17"/>
        <v>594</v>
      </c>
      <c r="C126" s="39">
        <f t="shared" si="17"/>
        <v>363</v>
      </c>
      <c r="D126" s="39">
        <f t="shared" si="17"/>
        <v>14</v>
      </c>
      <c r="E126" s="39">
        <f t="shared" si="17"/>
        <v>2</v>
      </c>
      <c r="F126" s="39">
        <f t="shared" si="17"/>
        <v>20</v>
      </c>
      <c r="G126" s="50">
        <f t="shared" si="10"/>
        <v>993</v>
      </c>
      <c r="H126" s="44">
        <f t="shared" ref="H126:L126" si="28">H20+H21+H22+H23</f>
        <v>1</v>
      </c>
      <c r="I126" s="39">
        <f t="shared" si="28"/>
        <v>0</v>
      </c>
      <c r="J126" s="39">
        <f t="shared" si="28"/>
        <v>0</v>
      </c>
      <c r="K126" s="45">
        <f t="shared" si="28"/>
        <v>0</v>
      </c>
      <c r="L126" s="144">
        <f t="shared" si="28"/>
        <v>11</v>
      </c>
      <c r="M126" s="50">
        <f t="shared" si="14"/>
        <v>1</v>
      </c>
      <c r="N126" s="40">
        <f t="shared" si="15"/>
        <v>994</v>
      </c>
      <c r="O126" s="43">
        <f t="shared" si="16"/>
        <v>981</v>
      </c>
    </row>
    <row r="127" spans="1:15" ht="22.95" customHeight="1" x14ac:dyDescent="0.3">
      <c r="A127" s="52" t="s">
        <v>28</v>
      </c>
      <c r="B127" s="44">
        <f t="shared" si="17"/>
        <v>613</v>
      </c>
      <c r="C127" s="39">
        <f t="shared" si="17"/>
        <v>382</v>
      </c>
      <c r="D127" s="39">
        <f t="shared" si="17"/>
        <v>16</v>
      </c>
      <c r="E127" s="39">
        <f t="shared" si="17"/>
        <v>3</v>
      </c>
      <c r="F127" s="39">
        <f t="shared" si="17"/>
        <v>25</v>
      </c>
      <c r="G127" s="50">
        <f t="shared" si="10"/>
        <v>1039</v>
      </c>
      <c r="H127" s="44">
        <f t="shared" ref="H127:L127" si="29">H21+H22+H23+H24</f>
        <v>1</v>
      </c>
      <c r="I127" s="39">
        <f t="shared" si="29"/>
        <v>0</v>
      </c>
      <c r="J127" s="39">
        <f t="shared" si="29"/>
        <v>0</v>
      </c>
      <c r="K127" s="45">
        <f t="shared" si="29"/>
        <v>0</v>
      </c>
      <c r="L127" s="144">
        <f t="shared" si="29"/>
        <v>10</v>
      </c>
      <c r="M127" s="50">
        <f t="shared" si="14"/>
        <v>1</v>
      </c>
      <c r="N127" s="40">
        <f t="shared" si="15"/>
        <v>1040</v>
      </c>
      <c r="O127" s="43">
        <f t="shared" si="16"/>
        <v>1030</v>
      </c>
    </row>
    <row r="128" spans="1:15" ht="22.95" customHeight="1" x14ac:dyDescent="0.3">
      <c r="A128" s="52" t="s">
        <v>29</v>
      </c>
      <c r="B128" s="44">
        <f t="shared" si="17"/>
        <v>582</v>
      </c>
      <c r="C128" s="39">
        <f t="shared" si="17"/>
        <v>306</v>
      </c>
      <c r="D128" s="39">
        <f t="shared" si="17"/>
        <v>17</v>
      </c>
      <c r="E128" s="39">
        <f t="shared" si="17"/>
        <v>3</v>
      </c>
      <c r="F128" s="39">
        <f t="shared" si="17"/>
        <v>32</v>
      </c>
      <c r="G128" s="50">
        <f t="shared" si="10"/>
        <v>940</v>
      </c>
      <c r="H128" s="44">
        <f t="shared" ref="H128:L128" si="30">H22+H23+H24+H25</f>
        <v>0</v>
      </c>
      <c r="I128" s="39">
        <f t="shared" si="30"/>
        <v>0</v>
      </c>
      <c r="J128" s="39">
        <f t="shared" si="30"/>
        <v>0</v>
      </c>
      <c r="K128" s="45">
        <f t="shared" si="30"/>
        <v>0</v>
      </c>
      <c r="L128" s="144">
        <f t="shared" si="30"/>
        <v>7</v>
      </c>
      <c r="M128" s="50">
        <f t="shared" si="14"/>
        <v>0</v>
      </c>
      <c r="N128" s="40">
        <f t="shared" si="15"/>
        <v>940</v>
      </c>
      <c r="O128" s="43">
        <f t="shared" si="16"/>
        <v>969.5</v>
      </c>
    </row>
    <row r="129" spans="1:15" ht="22.95" customHeight="1" x14ac:dyDescent="0.3">
      <c r="A129" s="52" t="s">
        <v>30</v>
      </c>
      <c r="B129" s="44">
        <f t="shared" si="17"/>
        <v>576</v>
      </c>
      <c r="C129" s="39">
        <f t="shared" si="17"/>
        <v>269</v>
      </c>
      <c r="D129" s="39">
        <f t="shared" si="17"/>
        <v>23</v>
      </c>
      <c r="E129" s="39">
        <f t="shared" si="17"/>
        <v>7</v>
      </c>
      <c r="F129" s="39">
        <f t="shared" si="17"/>
        <v>32</v>
      </c>
      <c r="G129" s="50">
        <f t="shared" si="10"/>
        <v>907</v>
      </c>
      <c r="H129" s="44">
        <f t="shared" ref="H129:L129" si="31">H23+H24+H25+H26</f>
        <v>0</v>
      </c>
      <c r="I129" s="39">
        <f t="shared" si="31"/>
        <v>0</v>
      </c>
      <c r="J129" s="39">
        <f t="shared" si="31"/>
        <v>0</v>
      </c>
      <c r="K129" s="45">
        <f t="shared" si="31"/>
        <v>0</v>
      </c>
      <c r="L129" s="144">
        <f t="shared" si="31"/>
        <v>5</v>
      </c>
      <c r="M129" s="50">
        <f t="shared" si="14"/>
        <v>0</v>
      </c>
      <c r="N129" s="40">
        <f t="shared" si="15"/>
        <v>907</v>
      </c>
      <c r="O129" s="43">
        <f t="shared" si="16"/>
        <v>950</v>
      </c>
    </row>
    <row r="130" spans="1:15" ht="22.95" customHeight="1" x14ac:dyDescent="0.3">
      <c r="A130" s="52" t="s">
        <v>31</v>
      </c>
      <c r="B130" s="44">
        <f t="shared" si="17"/>
        <v>496</v>
      </c>
      <c r="C130" s="39">
        <f t="shared" si="17"/>
        <v>268</v>
      </c>
      <c r="D130" s="39">
        <f t="shared" si="17"/>
        <v>30</v>
      </c>
      <c r="E130" s="39">
        <f t="shared" si="17"/>
        <v>9</v>
      </c>
      <c r="F130" s="39">
        <f t="shared" si="17"/>
        <v>35</v>
      </c>
      <c r="G130" s="50">
        <f t="shared" si="10"/>
        <v>838</v>
      </c>
      <c r="H130" s="44">
        <f t="shared" ref="H130:L130" si="32">H24+H25+H26+H27</f>
        <v>0</v>
      </c>
      <c r="I130" s="39">
        <f t="shared" si="32"/>
        <v>0</v>
      </c>
      <c r="J130" s="39">
        <f t="shared" si="32"/>
        <v>0</v>
      </c>
      <c r="K130" s="45">
        <f t="shared" si="32"/>
        <v>0</v>
      </c>
      <c r="L130" s="144">
        <f t="shared" si="32"/>
        <v>6</v>
      </c>
      <c r="M130" s="50">
        <f t="shared" si="14"/>
        <v>0</v>
      </c>
      <c r="N130" s="40">
        <f t="shared" si="15"/>
        <v>838</v>
      </c>
      <c r="O130" s="43">
        <f t="shared" si="16"/>
        <v>907.5</v>
      </c>
    </row>
    <row r="131" spans="1:15" ht="22.95" customHeight="1" x14ac:dyDescent="0.3">
      <c r="A131" s="52" t="s">
        <v>32</v>
      </c>
      <c r="B131" s="44">
        <f t="shared" si="17"/>
        <v>488</v>
      </c>
      <c r="C131" s="39">
        <f t="shared" si="17"/>
        <v>232</v>
      </c>
      <c r="D131" s="39">
        <f t="shared" si="17"/>
        <v>35</v>
      </c>
      <c r="E131" s="39">
        <f t="shared" si="17"/>
        <v>12</v>
      </c>
      <c r="F131" s="39">
        <f t="shared" si="17"/>
        <v>34</v>
      </c>
      <c r="G131" s="50">
        <f t="shared" si="10"/>
        <v>801</v>
      </c>
      <c r="H131" s="44">
        <f t="shared" ref="H131:L131" si="33">H25+H26+H27+H28</f>
        <v>0</v>
      </c>
      <c r="I131" s="39">
        <f t="shared" si="33"/>
        <v>0</v>
      </c>
      <c r="J131" s="39">
        <f t="shared" si="33"/>
        <v>0</v>
      </c>
      <c r="K131" s="45">
        <f t="shared" si="33"/>
        <v>0</v>
      </c>
      <c r="L131" s="144">
        <f t="shared" si="33"/>
        <v>4</v>
      </c>
      <c r="M131" s="50">
        <f t="shared" si="14"/>
        <v>0</v>
      </c>
      <c r="N131" s="40">
        <f t="shared" si="15"/>
        <v>801</v>
      </c>
      <c r="O131" s="43">
        <f t="shared" si="16"/>
        <v>877.5</v>
      </c>
    </row>
    <row r="132" spans="1:15" ht="22.95" customHeight="1" x14ac:dyDescent="0.3">
      <c r="A132" s="52" t="s">
        <v>33</v>
      </c>
      <c r="B132" s="44">
        <f t="shared" ref="B132:F147" si="34">B26+B27+B28+B29</f>
        <v>481</v>
      </c>
      <c r="C132" s="39">
        <f t="shared" si="34"/>
        <v>251</v>
      </c>
      <c r="D132" s="39">
        <f t="shared" si="34"/>
        <v>38</v>
      </c>
      <c r="E132" s="39">
        <f t="shared" si="34"/>
        <v>11</v>
      </c>
      <c r="F132" s="39">
        <f t="shared" si="34"/>
        <v>32</v>
      </c>
      <c r="G132" s="50">
        <f t="shared" si="10"/>
        <v>813</v>
      </c>
      <c r="H132" s="44">
        <f t="shared" ref="H132:L132" si="35">H26+H27+H28+H29</f>
        <v>0</v>
      </c>
      <c r="I132" s="39">
        <f t="shared" si="35"/>
        <v>0</v>
      </c>
      <c r="J132" s="39">
        <f t="shared" si="35"/>
        <v>0</v>
      </c>
      <c r="K132" s="45">
        <f t="shared" si="35"/>
        <v>0</v>
      </c>
      <c r="L132" s="144">
        <f t="shared" si="35"/>
        <v>4</v>
      </c>
      <c r="M132" s="50">
        <f t="shared" si="14"/>
        <v>0</v>
      </c>
      <c r="N132" s="40">
        <f t="shared" si="15"/>
        <v>813</v>
      </c>
      <c r="O132" s="43">
        <f t="shared" si="16"/>
        <v>872.5</v>
      </c>
    </row>
    <row r="133" spans="1:15" ht="22.95" customHeight="1" x14ac:dyDescent="0.3">
      <c r="A133" s="52" t="s">
        <v>34</v>
      </c>
      <c r="B133" s="44">
        <f t="shared" si="34"/>
        <v>487</v>
      </c>
      <c r="C133" s="39">
        <f t="shared" si="34"/>
        <v>264</v>
      </c>
      <c r="D133" s="39">
        <f t="shared" si="34"/>
        <v>36</v>
      </c>
      <c r="E133" s="39">
        <f t="shared" si="34"/>
        <v>6</v>
      </c>
      <c r="F133" s="39">
        <f t="shared" si="34"/>
        <v>34</v>
      </c>
      <c r="G133" s="50">
        <f t="shared" si="10"/>
        <v>827</v>
      </c>
      <c r="H133" s="44">
        <f t="shared" ref="H133:L133" si="36">H27+H28+H29+H30</f>
        <v>0</v>
      </c>
      <c r="I133" s="39">
        <f t="shared" si="36"/>
        <v>0</v>
      </c>
      <c r="J133" s="39">
        <f t="shared" si="36"/>
        <v>0</v>
      </c>
      <c r="K133" s="45">
        <f t="shared" si="36"/>
        <v>0</v>
      </c>
      <c r="L133" s="144">
        <f t="shared" si="36"/>
        <v>4</v>
      </c>
      <c r="M133" s="50">
        <f t="shared" si="14"/>
        <v>0</v>
      </c>
      <c r="N133" s="40">
        <f t="shared" si="15"/>
        <v>827</v>
      </c>
      <c r="O133" s="43">
        <f t="shared" si="16"/>
        <v>876</v>
      </c>
    </row>
    <row r="134" spans="1:15" ht="22.95" customHeight="1" x14ac:dyDescent="0.3">
      <c r="A134" s="52" t="s">
        <v>35</v>
      </c>
      <c r="B134" s="44">
        <f t="shared" si="34"/>
        <v>510</v>
      </c>
      <c r="C134" s="39">
        <f t="shared" si="34"/>
        <v>261</v>
      </c>
      <c r="D134" s="39">
        <f t="shared" si="34"/>
        <v>32</v>
      </c>
      <c r="E134" s="39">
        <f t="shared" si="34"/>
        <v>4</v>
      </c>
      <c r="F134" s="39">
        <f t="shared" si="34"/>
        <v>34</v>
      </c>
      <c r="G134" s="50">
        <f t="shared" si="10"/>
        <v>841</v>
      </c>
      <c r="H134" s="44">
        <f t="shared" ref="H134:L134" si="37">H28+H29+H30+H31</f>
        <v>0</v>
      </c>
      <c r="I134" s="39">
        <f t="shared" si="37"/>
        <v>0</v>
      </c>
      <c r="J134" s="39">
        <f t="shared" si="37"/>
        <v>0</v>
      </c>
      <c r="K134" s="45">
        <f t="shared" si="37"/>
        <v>0</v>
      </c>
      <c r="L134" s="144">
        <f t="shared" si="37"/>
        <v>2</v>
      </c>
      <c r="M134" s="50">
        <f t="shared" si="14"/>
        <v>0</v>
      </c>
      <c r="N134" s="40">
        <f t="shared" si="15"/>
        <v>841</v>
      </c>
      <c r="O134" s="43">
        <f t="shared" si="16"/>
        <v>869.5</v>
      </c>
    </row>
    <row r="135" spans="1:15" ht="22.95" customHeight="1" x14ac:dyDescent="0.3">
      <c r="A135" s="52" t="s">
        <v>36</v>
      </c>
      <c r="B135" s="44">
        <f t="shared" si="34"/>
        <v>467</v>
      </c>
      <c r="C135" s="39">
        <f t="shared" si="34"/>
        <v>238</v>
      </c>
      <c r="D135" s="39">
        <f t="shared" si="34"/>
        <v>30</v>
      </c>
      <c r="E135" s="39">
        <f t="shared" si="34"/>
        <v>2</v>
      </c>
      <c r="F135" s="39">
        <f t="shared" si="34"/>
        <v>29</v>
      </c>
      <c r="G135" s="50">
        <f t="shared" si="10"/>
        <v>766</v>
      </c>
      <c r="H135" s="44">
        <f t="shared" ref="H135:L135" si="38">H29+H30+H31+H32</f>
        <v>0</v>
      </c>
      <c r="I135" s="39">
        <f t="shared" si="38"/>
        <v>0</v>
      </c>
      <c r="J135" s="39">
        <f t="shared" si="38"/>
        <v>0</v>
      </c>
      <c r="K135" s="45">
        <f t="shared" si="38"/>
        <v>0</v>
      </c>
      <c r="L135" s="144">
        <f t="shared" si="38"/>
        <v>4</v>
      </c>
      <c r="M135" s="50">
        <f t="shared" si="14"/>
        <v>0</v>
      </c>
      <c r="N135" s="40">
        <f t="shared" si="15"/>
        <v>766</v>
      </c>
      <c r="O135" s="43">
        <f t="shared" si="16"/>
        <v>799.5</v>
      </c>
    </row>
    <row r="136" spans="1:15" ht="22.95" customHeight="1" x14ac:dyDescent="0.3">
      <c r="A136" s="52" t="s">
        <v>37</v>
      </c>
      <c r="B136" s="44">
        <f t="shared" si="34"/>
        <v>410</v>
      </c>
      <c r="C136" s="39">
        <f t="shared" si="34"/>
        <v>216</v>
      </c>
      <c r="D136" s="39">
        <f t="shared" si="34"/>
        <v>32</v>
      </c>
      <c r="E136" s="39">
        <f t="shared" si="34"/>
        <v>6</v>
      </c>
      <c r="F136" s="39">
        <f t="shared" si="34"/>
        <v>23</v>
      </c>
      <c r="G136" s="50">
        <f t="shared" si="10"/>
        <v>687</v>
      </c>
      <c r="H136" s="44">
        <f t="shared" ref="H136:L136" si="39">H30+H31+H32+H33</f>
        <v>0</v>
      </c>
      <c r="I136" s="39">
        <f t="shared" si="39"/>
        <v>0</v>
      </c>
      <c r="J136" s="39">
        <f t="shared" si="39"/>
        <v>0</v>
      </c>
      <c r="K136" s="45">
        <f t="shared" si="39"/>
        <v>0</v>
      </c>
      <c r="L136" s="144">
        <f t="shared" si="39"/>
        <v>5</v>
      </c>
      <c r="M136" s="50">
        <f t="shared" si="14"/>
        <v>0</v>
      </c>
      <c r="N136" s="40">
        <f t="shared" si="15"/>
        <v>687</v>
      </c>
      <c r="O136" s="43">
        <f t="shared" si="16"/>
        <v>727.5</v>
      </c>
    </row>
    <row r="137" spans="1:15" ht="22.95" customHeight="1" x14ac:dyDescent="0.3">
      <c r="A137" s="52" t="s">
        <v>38</v>
      </c>
      <c r="B137" s="44">
        <f t="shared" si="34"/>
        <v>422</v>
      </c>
      <c r="C137" s="39">
        <f t="shared" si="34"/>
        <v>213</v>
      </c>
      <c r="D137" s="39">
        <f t="shared" si="34"/>
        <v>33</v>
      </c>
      <c r="E137" s="39">
        <f t="shared" si="34"/>
        <v>8</v>
      </c>
      <c r="F137" s="39">
        <f t="shared" si="34"/>
        <v>27</v>
      </c>
      <c r="G137" s="50">
        <f t="shared" si="10"/>
        <v>703</v>
      </c>
      <c r="H137" s="44">
        <f t="shared" ref="H137:L137" si="40">H31+H32+H33+H34</f>
        <v>0</v>
      </c>
      <c r="I137" s="39">
        <f t="shared" si="40"/>
        <v>0</v>
      </c>
      <c r="J137" s="39">
        <f t="shared" si="40"/>
        <v>0</v>
      </c>
      <c r="K137" s="45">
        <f t="shared" si="40"/>
        <v>0</v>
      </c>
      <c r="L137" s="144">
        <f t="shared" si="40"/>
        <v>3</v>
      </c>
      <c r="M137" s="50">
        <f t="shared" si="14"/>
        <v>0</v>
      </c>
      <c r="N137" s="40">
        <f t="shared" si="15"/>
        <v>703</v>
      </c>
      <c r="O137" s="43">
        <f t="shared" si="16"/>
        <v>747.5</v>
      </c>
    </row>
    <row r="138" spans="1:15" ht="22.95" customHeight="1" x14ac:dyDescent="0.3">
      <c r="A138" s="52" t="s">
        <v>39</v>
      </c>
      <c r="B138" s="44">
        <f t="shared" si="34"/>
        <v>404</v>
      </c>
      <c r="C138" s="39">
        <f t="shared" si="34"/>
        <v>211</v>
      </c>
      <c r="D138" s="39">
        <f t="shared" si="34"/>
        <v>33</v>
      </c>
      <c r="E138" s="39">
        <f t="shared" si="34"/>
        <v>9</v>
      </c>
      <c r="F138" s="39">
        <f t="shared" si="34"/>
        <v>19</v>
      </c>
      <c r="G138" s="50">
        <f t="shared" si="10"/>
        <v>676</v>
      </c>
      <c r="H138" s="44">
        <f t="shared" ref="H138:L138" si="41">H32+H33+H34+H35</f>
        <v>0</v>
      </c>
      <c r="I138" s="39">
        <f t="shared" si="41"/>
        <v>0</v>
      </c>
      <c r="J138" s="39">
        <f t="shared" si="41"/>
        <v>0</v>
      </c>
      <c r="K138" s="45">
        <f t="shared" si="41"/>
        <v>0</v>
      </c>
      <c r="L138" s="144">
        <f t="shared" si="41"/>
        <v>4</v>
      </c>
      <c r="M138" s="50">
        <f t="shared" si="14"/>
        <v>0</v>
      </c>
      <c r="N138" s="40">
        <f t="shared" si="15"/>
        <v>676</v>
      </c>
      <c r="O138" s="43">
        <f t="shared" si="16"/>
        <v>703.5</v>
      </c>
    </row>
    <row r="139" spans="1:15" ht="22.95" customHeight="1" x14ac:dyDescent="0.3">
      <c r="A139" s="52" t="s">
        <v>40</v>
      </c>
      <c r="B139" s="44">
        <f t="shared" si="34"/>
        <v>424</v>
      </c>
      <c r="C139" s="39">
        <f t="shared" si="34"/>
        <v>222</v>
      </c>
      <c r="D139" s="39">
        <f t="shared" si="34"/>
        <v>37</v>
      </c>
      <c r="E139" s="39">
        <f t="shared" si="34"/>
        <v>8</v>
      </c>
      <c r="F139" s="39">
        <f t="shared" si="34"/>
        <v>18</v>
      </c>
      <c r="G139" s="50">
        <f t="shared" si="10"/>
        <v>709</v>
      </c>
      <c r="H139" s="44">
        <f t="shared" ref="H139:L139" si="42">H33+H34+H35+H36</f>
        <v>0</v>
      </c>
      <c r="I139" s="39">
        <f t="shared" si="42"/>
        <v>0</v>
      </c>
      <c r="J139" s="39">
        <f t="shared" si="42"/>
        <v>0</v>
      </c>
      <c r="K139" s="45">
        <f t="shared" si="42"/>
        <v>0</v>
      </c>
      <c r="L139" s="144">
        <f t="shared" si="42"/>
        <v>4</v>
      </c>
      <c r="M139" s="50">
        <f t="shared" si="14"/>
        <v>0</v>
      </c>
      <c r="N139" s="40">
        <f t="shared" si="15"/>
        <v>709</v>
      </c>
      <c r="O139" s="43">
        <f t="shared" si="16"/>
        <v>727.5</v>
      </c>
    </row>
    <row r="140" spans="1:15" ht="22.95" customHeight="1" x14ac:dyDescent="0.3">
      <c r="A140" s="52" t="s">
        <v>41</v>
      </c>
      <c r="B140" s="44">
        <f t="shared" si="34"/>
        <v>477</v>
      </c>
      <c r="C140" s="39">
        <f t="shared" si="34"/>
        <v>232</v>
      </c>
      <c r="D140" s="39">
        <f t="shared" si="34"/>
        <v>37</v>
      </c>
      <c r="E140" s="39">
        <f t="shared" si="34"/>
        <v>6</v>
      </c>
      <c r="F140" s="39">
        <f t="shared" si="34"/>
        <v>18</v>
      </c>
      <c r="G140" s="50">
        <f t="shared" si="10"/>
        <v>770</v>
      </c>
      <c r="H140" s="44">
        <f t="shared" ref="H140:L140" si="43">H34+H35+H36+H37</f>
        <v>0</v>
      </c>
      <c r="I140" s="39">
        <f t="shared" si="43"/>
        <v>0</v>
      </c>
      <c r="J140" s="39">
        <f t="shared" si="43"/>
        <v>0</v>
      </c>
      <c r="K140" s="45">
        <f t="shared" si="43"/>
        <v>0</v>
      </c>
      <c r="L140" s="144">
        <f t="shared" si="43"/>
        <v>4</v>
      </c>
      <c r="M140" s="50">
        <f t="shared" si="14"/>
        <v>0</v>
      </c>
      <c r="N140" s="40">
        <f t="shared" si="15"/>
        <v>770</v>
      </c>
      <c r="O140" s="43">
        <f t="shared" si="16"/>
        <v>779.5</v>
      </c>
    </row>
    <row r="141" spans="1:15" ht="22.95" customHeight="1" x14ac:dyDescent="0.3">
      <c r="A141" s="52" t="s">
        <v>42</v>
      </c>
      <c r="B141" s="44">
        <f t="shared" si="34"/>
        <v>504</v>
      </c>
      <c r="C141" s="39">
        <f t="shared" si="34"/>
        <v>212</v>
      </c>
      <c r="D141" s="39">
        <f t="shared" si="34"/>
        <v>34</v>
      </c>
      <c r="E141" s="39">
        <f t="shared" si="34"/>
        <v>4</v>
      </c>
      <c r="F141" s="39">
        <f t="shared" si="34"/>
        <v>14</v>
      </c>
      <c r="G141" s="50">
        <f t="shared" si="10"/>
        <v>768</v>
      </c>
      <c r="H141" s="44">
        <f t="shared" ref="H141:L141" si="44">H35+H36+H37+H38</f>
        <v>0</v>
      </c>
      <c r="I141" s="39">
        <f t="shared" si="44"/>
        <v>0</v>
      </c>
      <c r="J141" s="39">
        <f t="shared" si="44"/>
        <v>0</v>
      </c>
      <c r="K141" s="45">
        <f t="shared" si="44"/>
        <v>0</v>
      </c>
      <c r="L141" s="144">
        <f t="shared" si="44"/>
        <v>7</v>
      </c>
      <c r="M141" s="50">
        <f t="shared" si="14"/>
        <v>0</v>
      </c>
      <c r="N141" s="40">
        <f t="shared" si="15"/>
        <v>768</v>
      </c>
      <c r="O141" s="43">
        <f t="shared" si="16"/>
        <v>792</v>
      </c>
    </row>
    <row r="142" spans="1:15" ht="22.95" customHeight="1" x14ac:dyDescent="0.3">
      <c r="A142" s="52" t="s">
        <v>43</v>
      </c>
      <c r="B142" s="44">
        <f t="shared" si="34"/>
        <v>522</v>
      </c>
      <c r="C142" s="39">
        <f t="shared" si="34"/>
        <v>199</v>
      </c>
      <c r="D142" s="39">
        <f t="shared" si="34"/>
        <v>34</v>
      </c>
      <c r="E142" s="39">
        <f t="shared" si="34"/>
        <v>4</v>
      </c>
      <c r="F142" s="39">
        <f t="shared" si="34"/>
        <v>14</v>
      </c>
      <c r="G142" s="50">
        <f t="shared" si="10"/>
        <v>773</v>
      </c>
      <c r="H142" s="44">
        <f t="shared" ref="H142:L142" si="45">H36+H37+H38+H39</f>
        <v>0</v>
      </c>
      <c r="I142" s="39">
        <f t="shared" si="45"/>
        <v>0</v>
      </c>
      <c r="J142" s="39">
        <f t="shared" si="45"/>
        <v>0</v>
      </c>
      <c r="K142" s="45">
        <f t="shared" si="45"/>
        <v>0</v>
      </c>
      <c r="L142" s="144">
        <f t="shared" si="45"/>
        <v>6</v>
      </c>
      <c r="M142" s="50">
        <f t="shared" si="14"/>
        <v>0</v>
      </c>
      <c r="N142" s="40">
        <f t="shared" si="15"/>
        <v>773</v>
      </c>
      <c r="O142" s="43">
        <f t="shared" si="16"/>
        <v>795.5</v>
      </c>
    </row>
    <row r="143" spans="1:15" ht="22.95" customHeight="1" x14ac:dyDescent="0.3">
      <c r="A143" s="52" t="s">
        <v>44</v>
      </c>
      <c r="B143" s="44">
        <f t="shared" si="34"/>
        <v>534</v>
      </c>
      <c r="C143" s="39">
        <f t="shared" si="34"/>
        <v>190</v>
      </c>
      <c r="D143" s="39">
        <f t="shared" si="34"/>
        <v>26</v>
      </c>
      <c r="E143" s="39">
        <f t="shared" si="34"/>
        <v>3</v>
      </c>
      <c r="F143" s="39">
        <f t="shared" si="34"/>
        <v>16</v>
      </c>
      <c r="G143" s="50">
        <f t="shared" si="10"/>
        <v>769</v>
      </c>
      <c r="H143" s="44">
        <f t="shared" ref="H143:L143" si="46">H37+H38+H39+H40</f>
        <v>0</v>
      </c>
      <c r="I143" s="39">
        <f t="shared" si="46"/>
        <v>0</v>
      </c>
      <c r="J143" s="39">
        <f t="shared" si="46"/>
        <v>1</v>
      </c>
      <c r="K143" s="45">
        <f t="shared" si="46"/>
        <v>0</v>
      </c>
      <c r="L143" s="144">
        <f t="shared" si="46"/>
        <v>5</v>
      </c>
      <c r="M143" s="50">
        <f t="shared" si="14"/>
        <v>1</v>
      </c>
      <c r="N143" s="40">
        <f t="shared" si="15"/>
        <v>770</v>
      </c>
      <c r="O143" s="43">
        <f t="shared" si="16"/>
        <v>792</v>
      </c>
    </row>
    <row r="144" spans="1:15" ht="22.95" customHeight="1" x14ac:dyDescent="0.3">
      <c r="A144" s="52" t="s">
        <v>45</v>
      </c>
      <c r="B144" s="44">
        <f t="shared" si="34"/>
        <v>505</v>
      </c>
      <c r="C144" s="39">
        <f t="shared" si="34"/>
        <v>171</v>
      </c>
      <c r="D144" s="39">
        <f t="shared" si="34"/>
        <v>21</v>
      </c>
      <c r="E144" s="39">
        <f t="shared" si="34"/>
        <v>3</v>
      </c>
      <c r="F144" s="39">
        <f t="shared" si="34"/>
        <v>19</v>
      </c>
      <c r="G144" s="50">
        <f t="shared" si="10"/>
        <v>719</v>
      </c>
      <c r="H144" s="44">
        <f t="shared" ref="H144:L144" si="47">H38+H39+H40+H41</f>
        <v>0</v>
      </c>
      <c r="I144" s="39">
        <f t="shared" si="47"/>
        <v>0</v>
      </c>
      <c r="J144" s="39">
        <f t="shared" si="47"/>
        <v>3</v>
      </c>
      <c r="K144" s="45">
        <f t="shared" si="47"/>
        <v>0</v>
      </c>
      <c r="L144" s="144">
        <f t="shared" si="47"/>
        <v>8</v>
      </c>
      <c r="M144" s="50">
        <f t="shared" si="14"/>
        <v>3</v>
      </c>
      <c r="N144" s="40">
        <f t="shared" si="15"/>
        <v>722</v>
      </c>
      <c r="O144" s="43">
        <f t="shared" si="16"/>
        <v>789.5</v>
      </c>
    </row>
    <row r="145" spans="1:15" ht="22.95" customHeight="1" x14ac:dyDescent="0.3">
      <c r="A145" s="52" t="s">
        <v>46</v>
      </c>
      <c r="B145" s="44">
        <f t="shared" si="34"/>
        <v>459</v>
      </c>
      <c r="C145" s="39">
        <f t="shared" si="34"/>
        <v>172</v>
      </c>
      <c r="D145" s="39">
        <f t="shared" si="34"/>
        <v>16</v>
      </c>
      <c r="E145" s="39">
        <f t="shared" si="34"/>
        <v>6</v>
      </c>
      <c r="F145" s="39">
        <f t="shared" si="34"/>
        <v>19</v>
      </c>
      <c r="G145" s="50">
        <f t="shared" si="10"/>
        <v>672</v>
      </c>
      <c r="H145" s="44">
        <f t="shared" ref="H145:L145" si="48">H39+H40+H41+H42</f>
        <v>0</v>
      </c>
      <c r="I145" s="39">
        <f t="shared" si="48"/>
        <v>0</v>
      </c>
      <c r="J145" s="39">
        <f t="shared" si="48"/>
        <v>3</v>
      </c>
      <c r="K145" s="45">
        <f t="shared" si="48"/>
        <v>0</v>
      </c>
      <c r="L145" s="144">
        <f t="shared" si="48"/>
        <v>7</v>
      </c>
      <c r="M145" s="50">
        <f t="shared" si="14"/>
        <v>3</v>
      </c>
      <c r="N145" s="40">
        <f t="shared" si="15"/>
        <v>675</v>
      </c>
      <c r="O145" s="43">
        <f t="shared" si="16"/>
        <v>737.5</v>
      </c>
    </row>
    <row r="146" spans="1:15" ht="22.95" customHeight="1" x14ac:dyDescent="0.3">
      <c r="A146" s="52" t="s">
        <v>47</v>
      </c>
      <c r="B146" s="44">
        <f t="shared" si="34"/>
        <v>429</v>
      </c>
      <c r="C146" s="39">
        <f t="shared" si="34"/>
        <v>164</v>
      </c>
      <c r="D146" s="39">
        <f t="shared" si="34"/>
        <v>12</v>
      </c>
      <c r="E146" s="39">
        <f t="shared" si="34"/>
        <v>5</v>
      </c>
      <c r="F146" s="39">
        <f t="shared" si="34"/>
        <v>22</v>
      </c>
      <c r="G146" s="50">
        <f t="shared" ref="G146:G177" si="49">SUM(B146:F146)</f>
        <v>632</v>
      </c>
      <c r="H146" s="44">
        <f t="shared" ref="H146:L146" si="50">H40+H41+H42+H43</f>
        <v>0</v>
      </c>
      <c r="I146" s="39">
        <f t="shared" si="50"/>
        <v>0</v>
      </c>
      <c r="J146" s="39">
        <f t="shared" si="50"/>
        <v>3</v>
      </c>
      <c r="K146" s="45">
        <f t="shared" si="50"/>
        <v>0</v>
      </c>
      <c r="L146" s="144">
        <f t="shared" si="50"/>
        <v>12</v>
      </c>
      <c r="M146" s="50">
        <f t="shared" si="14"/>
        <v>3</v>
      </c>
      <c r="N146" s="40">
        <f t="shared" si="15"/>
        <v>635</v>
      </c>
      <c r="O146" s="43">
        <f t="shared" si="16"/>
        <v>748</v>
      </c>
    </row>
    <row r="147" spans="1:15" ht="22.95" customHeight="1" x14ac:dyDescent="0.3">
      <c r="A147" s="52" t="s">
        <v>48</v>
      </c>
      <c r="B147" s="44">
        <f t="shared" si="34"/>
        <v>462</v>
      </c>
      <c r="C147" s="39">
        <f t="shared" si="34"/>
        <v>176</v>
      </c>
      <c r="D147" s="39">
        <f t="shared" si="34"/>
        <v>17</v>
      </c>
      <c r="E147" s="39">
        <f t="shared" si="34"/>
        <v>6</v>
      </c>
      <c r="F147" s="39">
        <f t="shared" si="34"/>
        <v>19</v>
      </c>
      <c r="G147" s="50">
        <f t="shared" si="49"/>
        <v>680</v>
      </c>
      <c r="H147" s="44">
        <f t="shared" ref="H147:L147" si="51">H41+H42+H43+H44</f>
        <v>0</v>
      </c>
      <c r="I147" s="39">
        <f t="shared" si="51"/>
        <v>0</v>
      </c>
      <c r="J147" s="39">
        <f t="shared" si="51"/>
        <v>2</v>
      </c>
      <c r="K147" s="45">
        <f t="shared" si="51"/>
        <v>0</v>
      </c>
      <c r="L147" s="144">
        <f t="shared" si="51"/>
        <v>15</v>
      </c>
      <c r="M147" s="50">
        <f t="shared" si="14"/>
        <v>2</v>
      </c>
      <c r="N147" s="40">
        <f t="shared" si="15"/>
        <v>682</v>
      </c>
      <c r="O147" s="43">
        <f t="shared" si="16"/>
        <v>805</v>
      </c>
    </row>
    <row r="148" spans="1:15" ht="22.95" customHeight="1" x14ac:dyDescent="0.3">
      <c r="A148" s="52" t="s">
        <v>49</v>
      </c>
      <c r="B148" s="44">
        <f t="shared" ref="B148:F163" si="52">B42+B43+B44+B45</f>
        <v>516</v>
      </c>
      <c r="C148" s="39">
        <f t="shared" si="52"/>
        <v>214</v>
      </c>
      <c r="D148" s="39">
        <f t="shared" si="52"/>
        <v>23</v>
      </c>
      <c r="E148" s="39">
        <f t="shared" si="52"/>
        <v>4</v>
      </c>
      <c r="F148" s="39">
        <f t="shared" si="52"/>
        <v>13</v>
      </c>
      <c r="G148" s="50">
        <f t="shared" si="49"/>
        <v>770</v>
      </c>
      <c r="H148" s="44">
        <f t="shared" ref="H148:L148" si="53">H42+H43+H44+H45</f>
        <v>0</v>
      </c>
      <c r="I148" s="39">
        <f t="shared" si="53"/>
        <v>0</v>
      </c>
      <c r="J148" s="39">
        <f t="shared" si="53"/>
        <v>0</v>
      </c>
      <c r="K148" s="45">
        <f t="shared" si="53"/>
        <v>0</v>
      </c>
      <c r="L148" s="144">
        <f t="shared" si="53"/>
        <v>16</v>
      </c>
      <c r="M148" s="50">
        <f t="shared" si="14"/>
        <v>0</v>
      </c>
      <c r="N148" s="40">
        <f t="shared" si="15"/>
        <v>770</v>
      </c>
      <c r="O148" s="43">
        <f t="shared" si="16"/>
        <v>856</v>
      </c>
    </row>
    <row r="149" spans="1:15" ht="22.95" customHeight="1" x14ac:dyDescent="0.3">
      <c r="A149" s="52" t="s">
        <v>50</v>
      </c>
      <c r="B149" s="44">
        <f t="shared" si="52"/>
        <v>545</v>
      </c>
      <c r="C149" s="39">
        <f t="shared" si="52"/>
        <v>238</v>
      </c>
      <c r="D149" s="39">
        <f t="shared" si="52"/>
        <v>25</v>
      </c>
      <c r="E149" s="39">
        <f t="shared" si="52"/>
        <v>3</v>
      </c>
      <c r="F149" s="39">
        <f t="shared" si="52"/>
        <v>12</v>
      </c>
      <c r="G149" s="50">
        <f t="shared" si="49"/>
        <v>823</v>
      </c>
      <c r="H149" s="44">
        <f t="shared" ref="H149:L149" si="54">H43+H44+H45+H46</f>
        <v>0</v>
      </c>
      <c r="I149" s="39">
        <f t="shared" si="54"/>
        <v>0</v>
      </c>
      <c r="J149" s="39">
        <f t="shared" si="54"/>
        <v>0</v>
      </c>
      <c r="K149" s="45">
        <f t="shared" si="54"/>
        <v>0</v>
      </c>
      <c r="L149" s="144">
        <f t="shared" si="54"/>
        <v>20</v>
      </c>
      <c r="M149" s="50">
        <f t="shared" si="14"/>
        <v>0</v>
      </c>
      <c r="N149" s="40">
        <f t="shared" si="15"/>
        <v>823</v>
      </c>
      <c r="O149" s="43">
        <f t="shared" si="16"/>
        <v>924.5</v>
      </c>
    </row>
    <row r="150" spans="1:15" ht="22.95" customHeight="1" x14ac:dyDescent="0.3">
      <c r="A150" s="52" t="s">
        <v>51</v>
      </c>
      <c r="B150" s="44">
        <f t="shared" si="52"/>
        <v>578</v>
      </c>
      <c r="C150" s="39">
        <f t="shared" si="52"/>
        <v>267</v>
      </c>
      <c r="D150" s="39">
        <f t="shared" si="52"/>
        <v>21</v>
      </c>
      <c r="E150" s="39">
        <f t="shared" si="52"/>
        <v>4</v>
      </c>
      <c r="F150" s="39">
        <f t="shared" si="52"/>
        <v>9</v>
      </c>
      <c r="G150" s="50">
        <f t="shared" si="49"/>
        <v>879</v>
      </c>
      <c r="H150" s="44">
        <f t="shared" ref="H150:L150" si="55">H44+H45+H46+H47</f>
        <v>0</v>
      </c>
      <c r="I150" s="39">
        <f t="shared" si="55"/>
        <v>0</v>
      </c>
      <c r="J150" s="39">
        <f t="shared" si="55"/>
        <v>0</v>
      </c>
      <c r="K150" s="45">
        <f t="shared" si="55"/>
        <v>0</v>
      </c>
      <c r="L150" s="144">
        <f t="shared" si="55"/>
        <v>18</v>
      </c>
      <c r="M150" s="50">
        <f t="shared" si="14"/>
        <v>0</v>
      </c>
      <c r="N150" s="40">
        <f t="shared" si="15"/>
        <v>879</v>
      </c>
      <c r="O150" s="43">
        <f t="shared" si="16"/>
        <v>939.5</v>
      </c>
    </row>
    <row r="151" spans="1:15" ht="22.95" customHeight="1" x14ac:dyDescent="0.3">
      <c r="A151" s="52" t="s">
        <v>52</v>
      </c>
      <c r="B151" s="44">
        <f t="shared" si="52"/>
        <v>547</v>
      </c>
      <c r="C151" s="39">
        <f t="shared" si="52"/>
        <v>273</v>
      </c>
      <c r="D151" s="39">
        <f t="shared" si="52"/>
        <v>17</v>
      </c>
      <c r="E151" s="39">
        <f t="shared" si="52"/>
        <v>4</v>
      </c>
      <c r="F151" s="39">
        <f t="shared" si="52"/>
        <v>10</v>
      </c>
      <c r="G151" s="50">
        <f t="shared" si="49"/>
        <v>851</v>
      </c>
      <c r="H151" s="44">
        <f t="shared" ref="H151:L151" si="56">H45+H46+H47+H48</f>
        <v>0</v>
      </c>
      <c r="I151" s="39">
        <f t="shared" si="56"/>
        <v>0</v>
      </c>
      <c r="J151" s="39">
        <f t="shared" si="56"/>
        <v>0</v>
      </c>
      <c r="K151" s="45">
        <f t="shared" si="56"/>
        <v>0</v>
      </c>
      <c r="L151" s="144">
        <f t="shared" si="56"/>
        <v>16</v>
      </c>
      <c r="M151" s="50">
        <f t="shared" si="14"/>
        <v>0</v>
      </c>
      <c r="N151" s="40">
        <f t="shared" si="15"/>
        <v>851</v>
      </c>
      <c r="O151" s="43">
        <f t="shared" si="16"/>
        <v>894</v>
      </c>
    </row>
    <row r="152" spans="1:15" ht="22.95" customHeight="1" x14ac:dyDescent="0.3">
      <c r="A152" s="52" t="s">
        <v>53</v>
      </c>
      <c r="B152" s="44">
        <f t="shared" si="52"/>
        <v>544</v>
      </c>
      <c r="C152" s="39">
        <f t="shared" si="52"/>
        <v>268</v>
      </c>
      <c r="D152" s="39">
        <f t="shared" si="52"/>
        <v>10</v>
      </c>
      <c r="E152" s="39">
        <f t="shared" si="52"/>
        <v>5</v>
      </c>
      <c r="F152" s="39">
        <f t="shared" si="52"/>
        <v>12</v>
      </c>
      <c r="G152" s="50">
        <f t="shared" si="49"/>
        <v>839</v>
      </c>
      <c r="H152" s="44">
        <f t="shared" ref="H152:L152" si="57">H46+H47+H48+H49</f>
        <v>0</v>
      </c>
      <c r="I152" s="39">
        <f t="shared" si="57"/>
        <v>0</v>
      </c>
      <c r="J152" s="39">
        <f t="shared" si="57"/>
        <v>0</v>
      </c>
      <c r="K152" s="45">
        <f t="shared" si="57"/>
        <v>0</v>
      </c>
      <c r="L152" s="144">
        <f t="shared" si="57"/>
        <v>17</v>
      </c>
      <c r="M152" s="50">
        <f t="shared" si="14"/>
        <v>0</v>
      </c>
      <c r="N152" s="40">
        <f t="shared" si="15"/>
        <v>839</v>
      </c>
      <c r="O152" s="43">
        <f t="shared" si="16"/>
        <v>898</v>
      </c>
    </row>
    <row r="153" spans="1:15" ht="22.95" customHeight="1" x14ac:dyDescent="0.3">
      <c r="A153" s="52" t="s">
        <v>54</v>
      </c>
      <c r="B153" s="44">
        <f t="shared" si="52"/>
        <v>565</v>
      </c>
      <c r="C153" s="39">
        <f t="shared" si="52"/>
        <v>283</v>
      </c>
      <c r="D153" s="39">
        <f t="shared" si="52"/>
        <v>12</v>
      </c>
      <c r="E153" s="39">
        <f t="shared" si="52"/>
        <v>6</v>
      </c>
      <c r="F153" s="39">
        <f t="shared" si="52"/>
        <v>11</v>
      </c>
      <c r="G153" s="50">
        <f t="shared" si="49"/>
        <v>877</v>
      </c>
      <c r="H153" s="44">
        <f t="shared" ref="H153:L153" si="58">H47+H48+H49+H50</f>
        <v>0</v>
      </c>
      <c r="I153" s="39">
        <f t="shared" si="58"/>
        <v>0</v>
      </c>
      <c r="J153" s="39">
        <f t="shared" si="58"/>
        <v>0</v>
      </c>
      <c r="K153" s="45">
        <f t="shared" si="58"/>
        <v>0</v>
      </c>
      <c r="L153" s="144">
        <f t="shared" si="58"/>
        <v>16</v>
      </c>
      <c r="M153" s="50">
        <f t="shared" si="14"/>
        <v>0</v>
      </c>
      <c r="N153" s="40">
        <f t="shared" si="15"/>
        <v>877</v>
      </c>
      <c r="O153" s="43">
        <f t="shared" si="16"/>
        <v>920</v>
      </c>
    </row>
    <row r="154" spans="1:15" ht="22.95" customHeight="1" x14ac:dyDescent="0.3">
      <c r="A154" s="52" t="s">
        <v>55</v>
      </c>
      <c r="B154" s="44">
        <f t="shared" si="52"/>
        <v>554</v>
      </c>
      <c r="C154" s="39">
        <f t="shared" si="52"/>
        <v>274</v>
      </c>
      <c r="D154" s="39">
        <f t="shared" si="52"/>
        <v>20</v>
      </c>
      <c r="E154" s="39">
        <f t="shared" si="52"/>
        <v>7</v>
      </c>
      <c r="F154" s="39">
        <f t="shared" si="52"/>
        <v>16</v>
      </c>
      <c r="G154" s="50">
        <f t="shared" si="49"/>
        <v>871</v>
      </c>
      <c r="H154" s="44">
        <f t="shared" ref="H154:L154" si="59">H48+H49+H50+H51</f>
        <v>0</v>
      </c>
      <c r="I154" s="39">
        <f t="shared" si="59"/>
        <v>0</v>
      </c>
      <c r="J154" s="39">
        <f t="shared" si="59"/>
        <v>0</v>
      </c>
      <c r="K154" s="45">
        <f t="shared" si="59"/>
        <v>0</v>
      </c>
      <c r="L154" s="144">
        <f t="shared" si="59"/>
        <v>15</v>
      </c>
      <c r="M154" s="50">
        <f t="shared" si="14"/>
        <v>0</v>
      </c>
      <c r="N154" s="40">
        <f t="shared" si="15"/>
        <v>871</v>
      </c>
      <c r="O154" s="43">
        <f t="shared" si="16"/>
        <v>934</v>
      </c>
    </row>
    <row r="155" spans="1:15" ht="22.95" customHeight="1" x14ac:dyDescent="0.3">
      <c r="A155" s="52" t="s">
        <v>56</v>
      </c>
      <c r="B155" s="44">
        <f t="shared" si="52"/>
        <v>526</v>
      </c>
      <c r="C155" s="39">
        <f t="shared" si="52"/>
        <v>249</v>
      </c>
      <c r="D155" s="39">
        <f t="shared" si="52"/>
        <v>18</v>
      </c>
      <c r="E155" s="39">
        <f t="shared" si="52"/>
        <v>8</v>
      </c>
      <c r="F155" s="39">
        <f t="shared" si="52"/>
        <v>15</v>
      </c>
      <c r="G155" s="50">
        <f t="shared" si="49"/>
        <v>816</v>
      </c>
      <c r="H155" s="44">
        <f t="shared" ref="H155:L155" si="60">H49+H50+H51+H52</f>
        <v>0</v>
      </c>
      <c r="I155" s="39">
        <f t="shared" si="60"/>
        <v>0</v>
      </c>
      <c r="J155" s="39">
        <f t="shared" si="60"/>
        <v>0</v>
      </c>
      <c r="K155" s="45">
        <f t="shared" si="60"/>
        <v>0</v>
      </c>
      <c r="L155" s="144">
        <f t="shared" si="60"/>
        <v>14</v>
      </c>
      <c r="M155" s="50">
        <f t="shared" si="14"/>
        <v>0</v>
      </c>
      <c r="N155" s="40">
        <f t="shared" si="15"/>
        <v>816</v>
      </c>
      <c r="O155" s="43">
        <f t="shared" si="16"/>
        <v>881</v>
      </c>
    </row>
    <row r="156" spans="1:15" ht="22.95" customHeight="1" x14ac:dyDescent="0.3">
      <c r="A156" s="52" t="s">
        <v>57</v>
      </c>
      <c r="B156" s="44">
        <f t="shared" si="52"/>
        <v>437</v>
      </c>
      <c r="C156" s="39">
        <f t="shared" si="52"/>
        <v>207</v>
      </c>
      <c r="D156" s="39">
        <f t="shared" si="52"/>
        <v>18</v>
      </c>
      <c r="E156" s="39">
        <f t="shared" si="52"/>
        <v>9</v>
      </c>
      <c r="F156" s="39">
        <f t="shared" si="52"/>
        <v>14</v>
      </c>
      <c r="G156" s="50">
        <f t="shared" si="49"/>
        <v>685</v>
      </c>
      <c r="H156" s="44">
        <f t="shared" ref="H156:L156" si="61">H50+H51+H52+H53</f>
        <v>0</v>
      </c>
      <c r="I156" s="39">
        <f t="shared" si="61"/>
        <v>0</v>
      </c>
      <c r="J156" s="39">
        <f t="shared" si="61"/>
        <v>0</v>
      </c>
      <c r="K156" s="45">
        <f t="shared" si="61"/>
        <v>0</v>
      </c>
      <c r="L156" s="144">
        <f t="shared" si="61"/>
        <v>12</v>
      </c>
      <c r="M156" s="50">
        <f t="shared" si="14"/>
        <v>0</v>
      </c>
      <c r="N156" s="40">
        <f t="shared" si="15"/>
        <v>685</v>
      </c>
      <c r="O156" s="43">
        <f t="shared" si="16"/>
        <v>753.5</v>
      </c>
    </row>
    <row r="157" spans="1:15" ht="22.95" customHeight="1" x14ac:dyDescent="0.3">
      <c r="A157" s="52" t="s">
        <v>58</v>
      </c>
      <c r="B157" s="44">
        <f t="shared" si="52"/>
        <v>376</v>
      </c>
      <c r="C157" s="39">
        <f t="shared" si="52"/>
        <v>160</v>
      </c>
      <c r="D157" s="39">
        <f t="shared" si="52"/>
        <v>18</v>
      </c>
      <c r="E157" s="39">
        <f t="shared" si="52"/>
        <v>6</v>
      </c>
      <c r="F157" s="39">
        <f t="shared" si="52"/>
        <v>19</v>
      </c>
      <c r="G157" s="50">
        <f t="shared" si="49"/>
        <v>579</v>
      </c>
      <c r="H157" s="44">
        <f t="shared" ref="H157:L157" si="62">H51+H52+H53+H54</f>
        <v>0</v>
      </c>
      <c r="I157" s="39">
        <f t="shared" si="62"/>
        <v>0</v>
      </c>
      <c r="J157" s="39">
        <f t="shared" si="62"/>
        <v>0</v>
      </c>
      <c r="K157" s="45">
        <f t="shared" si="62"/>
        <v>0</v>
      </c>
      <c r="L157" s="144">
        <f t="shared" si="62"/>
        <v>11</v>
      </c>
      <c r="M157" s="50">
        <f t="shared" si="14"/>
        <v>0</v>
      </c>
      <c r="N157" s="40">
        <f t="shared" si="15"/>
        <v>579</v>
      </c>
      <c r="O157" s="43">
        <f t="shared" si="16"/>
        <v>674.5</v>
      </c>
    </row>
    <row r="158" spans="1:15" ht="22.95" customHeight="1" x14ac:dyDescent="0.3">
      <c r="A158" s="52" t="s">
        <v>59</v>
      </c>
      <c r="B158" s="44">
        <f t="shared" si="52"/>
        <v>350</v>
      </c>
      <c r="C158" s="39">
        <f t="shared" si="52"/>
        <v>142</v>
      </c>
      <c r="D158" s="39">
        <f t="shared" si="52"/>
        <v>12</v>
      </c>
      <c r="E158" s="39">
        <f t="shared" si="52"/>
        <v>5</v>
      </c>
      <c r="F158" s="39">
        <f t="shared" si="52"/>
        <v>14</v>
      </c>
      <c r="G158" s="50">
        <f t="shared" si="49"/>
        <v>523</v>
      </c>
      <c r="H158" s="44">
        <f t="shared" ref="H158:L158" si="63">H52+H53+H54+H55</f>
        <v>0</v>
      </c>
      <c r="I158" s="39">
        <f t="shared" si="63"/>
        <v>0</v>
      </c>
      <c r="J158" s="39">
        <f t="shared" si="63"/>
        <v>0</v>
      </c>
      <c r="K158" s="45">
        <f t="shared" si="63"/>
        <v>0</v>
      </c>
      <c r="L158" s="144">
        <f t="shared" si="63"/>
        <v>12</v>
      </c>
      <c r="M158" s="50">
        <f t="shared" si="14"/>
        <v>0</v>
      </c>
      <c r="N158" s="40">
        <f t="shared" si="15"/>
        <v>523</v>
      </c>
      <c r="O158" s="43">
        <f t="shared" si="16"/>
        <v>613</v>
      </c>
    </row>
    <row r="159" spans="1:15" ht="22.95" customHeight="1" x14ac:dyDescent="0.3">
      <c r="A159" s="52" t="s">
        <v>77</v>
      </c>
      <c r="B159" s="44">
        <f t="shared" si="52"/>
        <v>320</v>
      </c>
      <c r="C159" s="39">
        <f t="shared" si="52"/>
        <v>125</v>
      </c>
      <c r="D159" s="39">
        <f t="shared" si="52"/>
        <v>16</v>
      </c>
      <c r="E159" s="39">
        <f t="shared" si="52"/>
        <v>3</v>
      </c>
      <c r="F159" s="39">
        <f t="shared" si="52"/>
        <v>12</v>
      </c>
      <c r="G159" s="50">
        <f t="shared" si="49"/>
        <v>476</v>
      </c>
      <c r="H159" s="44">
        <f t="shared" ref="H159:L159" si="64">H53+H54+H55+H56</f>
        <v>0</v>
      </c>
      <c r="I159" s="39">
        <f t="shared" si="64"/>
        <v>0</v>
      </c>
      <c r="J159" s="39">
        <f t="shared" si="64"/>
        <v>0</v>
      </c>
      <c r="K159" s="45">
        <f t="shared" si="64"/>
        <v>0</v>
      </c>
      <c r="L159" s="144">
        <f t="shared" si="64"/>
        <v>13</v>
      </c>
      <c r="M159" s="50">
        <f t="shared" si="14"/>
        <v>0</v>
      </c>
      <c r="N159" s="40">
        <f t="shared" si="15"/>
        <v>476</v>
      </c>
      <c r="O159" s="43">
        <f t="shared" si="16"/>
        <v>573.5</v>
      </c>
    </row>
    <row r="160" spans="1:15" ht="22.95" customHeight="1" x14ac:dyDescent="0.3">
      <c r="A160" s="52" t="s">
        <v>75</v>
      </c>
      <c r="B160" s="44">
        <f t="shared" si="52"/>
        <v>304</v>
      </c>
      <c r="C160" s="39">
        <f t="shared" si="52"/>
        <v>111</v>
      </c>
      <c r="D160" s="39">
        <f t="shared" si="52"/>
        <v>17</v>
      </c>
      <c r="E160" s="39">
        <f t="shared" si="52"/>
        <v>1</v>
      </c>
      <c r="F160" s="39">
        <f t="shared" si="52"/>
        <v>11</v>
      </c>
      <c r="G160" s="50">
        <f t="shared" si="49"/>
        <v>444</v>
      </c>
      <c r="H160" s="44">
        <f t="shared" ref="H160:L160" si="65">H54+H55+H56+H57</f>
        <v>0</v>
      </c>
      <c r="I160" s="39">
        <f t="shared" si="65"/>
        <v>0</v>
      </c>
      <c r="J160" s="39">
        <f t="shared" si="65"/>
        <v>0</v>
      </c>
      <c r="K160" s="45">
        <f t="shared" si="65"/>
        <v>0</v>
      </c>
      <c r="L160" s="144">
        <f t="shared" si="65"/>
        <v>10</v>
      </c>
      <c r="M160" s="50">
        <f t="shared" si="14"/>
        <v>0</v>
      </c>
      <c r="N160" s="40">
        <f t="shared" si="15"/>
        <v>444</v>
      </c>
      <c r="O160" s="43">
        <f t="shared" si="16"/>
        <v>517.5</v>
      </c>
    </row>
    <row r="161" spans="1:15" ht="22.95" customHeight="1" x14ac:dyDescent="0.3">
      <c r="A161" s="52" t="s">
        <v>76</v>
      </c>
      <c r="B161" s="44">
        <f t="shared" si="52"/>
        <v>284</v>
      </c>
      <c r="C161" s="39">
        <f t="shared" si="52"/>
        <v>94</v>
      </c>
      <c r="D161" s="39">
        <f t="shared" si="52"/>
        <v>15</v>
      </c>
      <c r="E161" s="39">
        <f t="shared" si="52"/>
        <v>2</v>
      </c>
      <c r="F161" s="39">
        <f t="shared" si="52"/>
        <v>4</v>
      </c>
      <c r="G161" s="50">
        <f t="shared" si="49"/>
        <v>399</v>
      </c>
      <c r="H161" s="44">
        <f t="shared" ref="H161:L161" si="66">H55+H56+H57+H58</f>
        <v>0</v>
      </c>
      <c r="I161" s="39">
        <f t="shared" si="66"/>
        <v>0</v>
      </c>
      <c r="J161" s="39">
        <f t="shared" si="66"/>
        <v>0</v>
      </c>
      <c r="K161" s="45">
        <f t="shared" si="66"/>
        <v>0</v>
      </c>
      <c r="L161" s="144">
        <f t="shared" si="66"/>
        <v>6</v>
      </c>
      <c r="M161" s="50">
        <f t="shared" si="14"/>
        <v>0</v>
      </c>
      <c r="N161" s="40">
        <f t="shared" si="15"/>
        <v>399</v>
      </c>
      <c r="O161" s="43">
        <f t="shared" si="16"/>
        <v>425.5</v>
      </c>
    </row>
    <row r="162" spans="1:15" ht="22.95" customHeight="1" x14ac:dyDescent="0.3">
      <c r="A162" s="52" t="s">
        <v>70</v>
      </c>
      <c r="B162" s="44">
        <f t="shared" si="52"/>
        <v>265</v>
      </c>
      <c r="C162" s="39">
        <f t="shared" si="52"/>
        <v>80</v>
      </c>
      <c r="D162" s="39">
        <f t="shared" si="52"/>
        <v>15</v>
      </c>
      <c r="E162" s="39">
        <f t="shared" si="52"/>
        <v>1</v>
      </c>
      <c r="F162" s="39">
        <f t="shared" si="52"/>
        <v>2</v>
      </c>
      <c r="G162" s="50">
        <f t="shared" si="49"/>
        <v>363</v>
      </c>
      <c r="H162" s="44">
        <f t="shared" ref="H162:L162" si="67">H56+H57+H58+H59</f>
        <v>0</v>
      </c>
      <c r="I162" s="39">
        <f t="shared" si="67"/>
        <v>0</v>
      </c>
      <c r="J162" s="39">
        <f t="shared" si="67"/>
        <v>0</v>
      </c>
      <c r="K162" s="45">
        <f t="shared" si="67"/>
        <v>0</v>
      </c>
      <c r="L162" s="144">
        <f t="shared" si="67"/>
        <v>3</v>
      </c>
      <c r="M162" s="50">
        <f t="shared" si="14"/>
        <v>0</v>
      </c>
      <c r="N162" s="40">
        <f t="shared" si="15"/>
        <v>363</v>
      </c>
      <c r="O162" s="43">
        <f t="shared" si="16"/>
        <v>363.5</v>
      </c>
    </row>
    <row r="163" spans="1:15" ht="22.95" customHeight="1" x14ac:dyDescent="0.3">
      <c r="A163" s="52" t="s">
        <v>71</v>
      </c>
      <c r="B163" s="44">
        <f t="shared" si="52"/>
        <v>241</v>
      </c>
      <c r="C163" s="39">
        <f t="shared" si="52"/>
        <v>73</v>
      </c>
      <c r="D163" s="39">
        <f t="shared" si="52"/>
        <v>14</v>
      </c>
      <c r="E163" s="39">
        <f t="shared" si="52"/>
        <v>1</v>
      </c>
      <c r="F163" s="39">
        <f t="shared" si="52"/>
        <v>1</v>
      </c>
      <c r="G163" s="50">
        <f t="shared" si="49"/>
        <v>330</v>
      </c>
      <c r="H163" s="44">
        <f t="shared" ref="H163:L163" si="68">H57+H58+H59+H60</f>
        <v>0</v>
      </c>
      <c r="I163" s="39">
        <f t="shared" si="68"/>
        <v>0</v>
      </c>
      <c r="J163" s="39">
        <f t="shared" si="68"/>
        <v>0</v>
      </c>
      <c r="K163" s="45">
        <f t="shared" si="68"/>
        <v>0</v>
      </c>
      <c r="L163" s="144">
        <f t="shared" si="68"/>
        <v>3</v>
      </c>
      <c r="M163" s="50">
        <f t="shared" si="14"/>
        <v>0</v>
      </c>
      <c r="N163" s="40">
        <f t="shared" si="15"/>
        <v>330</v>
      </c>
      <c r="O163" s="43">
        <f t="shared" si="16"/>
        <v>330</v>
      </c>
    </row>
    <row r="164" spans="1:15" ht="22.95" customHeight="1" x14ac:dyDescent="0.3">
      <c r="A164" s="52" t="s">
        <v>72</v>
      </c>
      <c r="B164" s="44">
        <f t="shared" ref="B164:F179" si="69">B58+B59+B60+B61</f>
        <v>241</v>
      </c>
      <c r="C164" s="39">
        <f t="shared" si="69"/>
        <v>78</v>
      </c>
      <c r="D164" s="39">
        <f t="shared" si="69"/>
        <v>17</v>
      </c>
      <c r="E164" s="39">
        <f t="shared" si="69"/>
        <v>2</v>
      </c>
      <c r="F164" s="39">
        <f t="shared" si="69"/>
        <v>2</v>
      </c>
      <c r="G164" s="50">
        <f t="shared" si="49"/>
        <v>340</v>
      </c>
      <c r="H164" s="44">
        <f t="shared" ref="H164:L164" si="70">H58+H59+H60+H61</f>
        <v>0</v>
      </c>
      <c r="I164" s="39">
        <f t="shared" si="70"/>
        <v>0</v>
      </c>
      <c r="J164" s="39">
        <f t="shared" si="70"/>
        <v>0</v>
      </c>
      <c r="K164" s="45">
        <f t="shared" si="70"/>
        <v>0</v>
      </c>
      <c r="L164" s="144">
        <f t="shared" si="70"/>
        <v>6</v>
      </c>
      <c r="M164" s="50">
        <f t="shared" si="14"/>
        <v>0</v>
      </c>
      <c r="N164" s="40">
        <f t="shared" si="15"/>
        <v>340</v>
      </c>
      <c r="O164" s="43">
        <f t="shared" si="16"/>
        <v>368.5</v>
      </c>
    </row>
    <row r="165" spans="1:15" ht="22.95" customHeight="1" x14ac:dyDescent="0.3">
      <c r="A165" s="52" t="s">
        <v>73</v>
      </c>
      <c r="B165" s="44">
        <f t="shared" si="69"/>
        <v>228</v>
      </c>
      <c r="C165" s="39">
        <f t="shared" si="69"/>
        <v>83</v>
      </c>
      <c r="D165" s="39">
        <f t="shared" si="69"/>
        <v>16</v>
      </c>
      <c r="E165" s="39">
        <f t="shared" si="69"/>
        <v>2</v>
      </c>
      <c r="F165" s="39">
        <f t="shared" si="69"/>
        <v>1</v>
      </c>
      <c r="G165" s="50">
        <f t="shared" si="49"/>
        <v>330</v>
      </c>
      <c r="H165" s="44">
        <f t="shared" ref="H165:L165" si="71">H59+H60+H61+H62</f>
        <v>0</v>
      </c>
      <c r="I165" s="39">
        <f t="shared" si="71"/>
        <v>0</v>
      </c>
      <c r="J165" s="39">
        <f t="shared" si="71"/>
        <v>0</v>
      </c>
      <c r="K165" s="45">
        <f t="shared" si="71"/>
        <v>0</v>
      </c>
      <c r="L165" s="144">
        <f t="shared" si="71"/>
        <v>8</v>
      </c>
      <c r="M165" s="50">
        <f t="shared" si="14"/>
        <v>0</v>
      </c>
      <c r="N165" s="40">
        <f t="shared" si="15"/>
        <v>330</v>
      </c>
      <c r="O165" s="43">
        <f t="shared" si="16"/>
        <v>368</v>
      </c>
    </row>
    <row r="166" spans="1:15" ht="22.95" customHeight="1" x14ac:dyDescent="0.3">
      <c r="A166" s="52" t="s">
        <v>74</v>
      </c>
      <c r="B166" s="44">
        <f t="shared" si="69"/>
        <v>201</v>
      </c>
      <c r="C166" s="39">
        <f t="shared" si="69"/>
        <v>65</v>
      </c>
      <c r="D166" s="39">
        <f t="shared" si="69"/>
        <v>15</v>
      </c>
      <c r="E166" s="39">
        <f t="shared" si="69"/>
        <v>4</v>
      </c>
      <c r="F166" s="39">
        <f t="shared" si="69"/>
        <v>1</v>
      </c>
      <c r="G166" s="50">
        <f t="shared" si="49"/>
        <v>286</v>
      </c>
      <c r="H166" s="44">
        <f t="shared" ref="H166:L166" si="72">H60+H61+H62+H63</f>
        <v>0</v>
      </c>
      <c r="I166" s="39">
        <f t="shared" si="72"/>
        <v>0</v>
      </c>
      <c r="J166" s="39">
        <f t="shared" si="72"/>
        <v>0</v>
      </c>
      <c r="K166" s="45">
        <f t="shared" si="72"/>
        <v>0</v>
      </c>
      <c r="L166" s="144">
        <f t="shared" si="72"/>
        <v>9</v>
      </c>
      <c r="M166" s="50">
        <f t="shared" si="14"/>
        <v>0</v>
      </c>
      <c r="N166" s="40">
        <f t="shared" si="15"/>
        <v>286</v>
      </c>
      <c r="O166" s="43">
        <f t="shared" si="16"/>
        <v>344.5</v>
      </c>
    </row>
    <row r="167" spans="1:15" ht="22.95" customHeight="1" x14ac:dyDescent="0.3">
      <c r="A167" s="52" t="s">
        <v>262</v>
      </c>
      <c r="B167" s="44">
        <f t="shared" si="69"/>
        <v>195</v>
      </c>
      <c r="C167" s="39">
        <f t="shared" si="69"/>
        <v>62</v>
      </c>
      <c r="D167" s="39">
        <f t="shared" si="69"/>
        <v>14</v>
      </c>
      <c r="E167" s="39">
        <f t="shared" si="69"/>
        <v>6</v>
      </c>
      <c r="F167" s="39">
        <f t="shared" si="69"/>
        <v>7</v>
      </c>
      <c r="G167" s="50">
        <f t="shared" si="49"/>
        <v>284</v>
      </c>
      <c r="H167" s="44">
        <f t="shared" ref="H167:L167" si="73">H61+H62+H63+H64</f>
        <v>0</v>
      </c>
      <c r="I167" s="39">
        <f t="shared" si="73"/>
        <v>0</v>
      </c>
      <c r="J167" s="39">
        <f t="shared" si="73"/>
        <v>0</v>
      </c>
      <c r="K167" s="45">
        <f t="shared" si="73"/>
        <v>0</v>
      </c>
      <c r="L167" s="144">
        <f t="shared" si="73"/>
        <v>7</v>
      </c>
      <c r="M167" s="50">
        <f t="shared" si="14"/>
        <v>0</v>
      </c>
      <c r="N167" s="40">
        <f t="shared" si="15"/>
        <v>284</v>
      </c>
      <c r="O167" s="43">
        <f t="shared" si="16"/>
        <v>352.5</v>
      </c>
    </row>
    <row r="168" spans="1:15" ht="22.95" customHeight="1" x14ac:dyDescent="0.3">
      <c r="A168" s="52" t="s">
        <v>263</v>
      </c>
      <c r="B168" s="44">
        <f t="shared" si="69"/>
        <v>195</v>
      </c>
      <c r="C168" s="39">
        <f t="shared" si="69"/>
        <v>54</v>
      </c>
      <c r="D168" s="39">
        <f t="shared" si="69"/>
        <v>9</v>
      </c>
      <c r="E168" s="39">
        <f t="shared" si="69"/>
        <v>7</v>
      </c>
      <c r="F168" s="39">
        <f t="shared" si="69"/>
        <v>9</v>
      </c>
      <c r="G168" s="50">
        <f t="shared" si="49"/>
        <v>274</v>
      </c>
      <c r="H168" s="44">
        <f t="shared" ref="H168:L168" si="74">H62+H63+H64+H65</f>
        <v>0</v>
      </c>
      <c r="I168" s="39">
        <f t="shared" si="74"/>
        <v>0</v>
      </c>
      <c r="J168" s="39">
        <f t="shared" si="74"/>
        <v>0</v>
      </c>
      <c r="K168" s="45">
        <f t="shared" si="74"/>
        <v>0</v>
      </c>
      <c r="L168" s="144">
        <f t="shared" si="74"/>
        <v>3</v>
      </c>
      <c r="M168" s="50">
        <f t="shared" si="14"/>
        <v>0</v>
      </c>
      <c r="N168" s="40">
        <f t="shared" si="15"/>
        <v>274</v>
      </c>
      <c r="O168" s="43">
        <f t="shared" si="16"/>
        <v>321</v>
      </c>
    </row>
    <row r="169" spans="1:15" ht="22.95" customHeight="1" x14ac:dyDescent="0.3">
      <c r="A169" s="52" t="s">
        <v>264</v>
      </c>
      <c r="B169" s="44">
        <f t="shared" si="69"/>
        <v>154</v>
      </c>
      <c r="C169" s="39">
        <f t="shared" si="69"/>
        <v>39</v>
      </c>
      <c r="D169" s="39">
        <f t="shared" si="69"/>
        <v>8</v>
      </c>
      <c r="E169" s="39">
        <f t="shared" si="69"/>
        <v>10</v>
      </c>
      <c r="F169" s="39">
        <f t="shared" si="69"/>
        <v>13</v>
      </c>
      <c r="G169" s="50">
        <f t="shared" si="49"/>
        <v>224</v>
      </c>
      <c r="H169" s="44">
        <f t="shared" ref="H169:L169" si="75">H63+H64+H65+H66</f>
        <v>0</v>
      </c>
      <c r="I169" s="39">
        <f t="shared" si="75"/>
        <v>0</v>
      </c>
      <c r="J169" s="39">
        <f t="shared" si="75"/>
        <v>0</v>
      </c>
      <c r="K169" s="45">
        <f t="shared" si="75"/>
        <v>0</v>
      </c>
      <c r="L169" s="144">
        <f t="shared" si="75"/>
        <v>1</v>
      </c>
      <c r="M169" s="50">
        <f t="shared" si="14"/>
        <v>0</v>
      </c>
      <c r="N169" s="40">
        <f t="shared" si="15"/>
        <v>224</v>
      </c>
      <c r="O169" s="43">
        <f t="shared" si="16"/>
        <v>282</v>
      </c>
    </row>
    <row r="170" spans="1:15" ht="22.95" customHeight="1" x14ac:dyDescent="0.3">
      <c r="A170" s="52" t="s">
        <v>265</v>
      </c>
      <c r="B170" s="44">
        <f t="shared" si="69"/>
        <v>111</v>
      </c>
      <c r="C170" s="39">
        <f t="shared" si="69"/>
        <v>30</v>
      </c>
      <c r="D170" s="39">
        <f t="shared" si="69"/>
        <v>8</v>
      </c>
      <c r="E170" s="39">
        <f t="shared" si="69"/>
        <v>9</v>
      </c>
      <c r="F170" s="39">
        <f t="shared" si="69"/>
        <v>15</v>
      </c>
      <c r="G170" s="50">
        <f t="shared" si="49"/>
        <v>173</v>
      </c>
      <c r="H170" s="44">
        <f t="shared" ref="H170:L170" si="76">H64+H65+H66+H67</f>
        <v>0</v>
      </c>
      <c r="I170" s="39">
        <f t="shared" si="76"/>
        <v>0</v>
      </c>
      <c r="J170" s="39">
        <f t="shared" si="76"/>
        <v>0</v>
      </c>
      <c r="K170" s="45">
        <f t="shared" si="76"/>
        <v>0</v>
      </c>
      <c r="L170" s="144">
        <f t="shared" si="76"/>
        <v>0</v>
      </c>
      <c r="M170" s="50">
        <f t="shared" si="14"/>
        <v>0</v>
      </c>
      <c r="N170" s="40">
        <f t="shared" si="15"/>
        <v>173</v>
      </c>
      <c r="O170" s="43">
        <f t="shared" si="16"/>
        <v>232.5</v>
      </c>
    </row>
    <row r="171" spans="1:15" ht="22.95" customHeight="1" x14ac:dyDescent="0.3">
      <c r="A171" s="52" t="s">
        <v>266</v>
      </c>
      <c r="B171" s="44">
        <f t="shared" si="69"/>
        <v>92</v>
      </c>
      <c r="C171" s="39">
        <f t="shared" si="69"/>
        <v>28</v>
      </c>
      <c r="D171" s="39">
        <f t="shared" si="69"/>
        <v>6</v>
      </c>
      <c r="E171" s="39">
        <f t="shared" si="69"/>
        <v>8</v>
      </c>
      <c r="F171" s="39">
        <f t="shared" si="69"/>
        <v>12</v>
      </c>
      <c r="G171" s="50">
        <f t="shared" si="49"/>
        <v>146</v>
      </c>
      <c r="H171" s="44">
        <f t="shared" ref="H171:L171" si="77">H65+H66+H67+H68</f>
        <v>0</v>
      </c>
      <c r="I171" s="39">
        <f t="shared" si="77"/>
        <v>0</v>
      </c>
      <c r="J171" s="39">
        <f t="shared" si="77"/>
        <v>0</v>
      </c>
      <c r="K171" s="45">
        <f t="shared" si="77"/>
        <v>0</v>
      </c>
      <c r="L171" s="144">
        <f t="shared" si="77"/>
        <v>0</v>
      </c>
      <c r="M171" s="50">
        <f t="shared" si="14"/>
        <v>0</v>
      </c>
      <c r="N171" s="40">
        <f t="shared" si="15"/>
        <v>146</v>
      </c>
      <c r="O171" s="43">
        <f t="shared" si="16"/>
        <v>193</v>
      </c>
    </row>
    <row r="172" spans="1:15" ht="22.95" customHeight="1" x14ac:dyDescent="0.3">
      <c r="A172" s="52" t="s">
        <v>267</v>
      </c>
      <c r="B172" s="44">
        <f t="shared" si="69"/>
        <v>59</v>
      </c>
      <c r="C172" s="39">
        <f t="shared" si="69"/>
        <v>26</v>
      </c>
      <c r="D172" s="39">
        <f t="shared" si="69"/>
        <v>7</v>
      </c>
      <c r="E172" s="39">
        <f t="shared" si="69"/>
        <v>8</v>
      </c>
      <c r="F172" s="39">
        <f t="shared" si="69"/>
        <v>12</v>
      </c>
      <c r="G172" s="50">
        <f t="shared" si="49"/>
        <v>112</v>
      </c>
      <c r="H172" s="44">
        <f t="shared" ref="H172:L172" si="78">H66+H67+H68+H69</f>
        <v>0</v>
      </c>
      <c r="I172" s="39">
        <f t="shared" si="78"/>
        <v>0</v>
      </c>
      <c r="J172" s="39">
        <f t="shared" si="78"/>
        <v>0</v>
      </c>
      <c r="K172" s="45">
        <f t="shared" si="78"/>
        <v>0</v>
      </c>
      <c r="L172" s="144">
        <f t="shared" si="78"/>
        <v>0</v>
      </c>
      <c r="M172" s="50">
        <f t="shared" si="14"/>
        <v>0</v>
      </c>
      <c r="N172" s="40">
        <f t="shared" si="15"/>
        <v>112</v>
      </c>
      <c r="O172" s="43">
        <f t="shared" si="16"/>
        <v>160.5</v>
      </c>
    </row>
    <row r="173" spans="1:15" ht="22.95" customHeight="1" x14ac:dyDescent="0.3">
      <c r="A173" s="52" t="s">
        <v>268</v>
      </c>
      <c r="B173" s="44">
        <f t="shared" si="69"/>
        <v>59</v>
      </c>
      <c r="C173" s="39">
        <f t="shared" si="69"/>
        <v>26</v>
      </c>
      <c r="D173" s="39">
        <f t="shared" si="69"/>
        <v>7</v>
      </c>
      <c r="E173" s="39">
        <f t="shared" si="69"/>
        <v>8</v>
      </c>
      <c r="F173" s="39">
        <f t="shared" si="69"/>
        <v>12</v>
      </c>
      <c r="G173" s="50">
        <f t="shared" si="49"/>
        <v>112</v>
      </c>
      <c r="H173" s="44">
        <f t="shared" ref="H173:L173" si="79">H67+H68+H69+H70</f>
        <v>0</v>
      </c>
      <c r="I173" s="39">
        <f t="shared" si="79"/>
        <v>0</v>
      </c>
      <c r="J173" s="39">
        <f t="shared" si="79"/>
        <v>0</v>
      </c>
      <c r="K173" s="45">
        <f t="shared" si="79"/>
        <v>0</v>
      </c>
      <c r="L173" s="144">
        <f t="shared" si="79"/>
        <v>0</v>
      </c>
      <c r="M173" s="50">
        <f t="shared" si="14"/>
        <v>0</v>
      </c>
      <c r="N173" s="40">
        <f t="shared" si="15"/>
        <v>112</v>
      </c>
      <c r="O173" s="43">
        <f t="shared" si="16"/>
        <v>160.5</v>
      </c>
    </row>
    <row r="174" spans="1:15" ht="22.95" customHeight="1" x14ac:dyDescent="0.3">
      <c r="A174" s="52" t="s">
        <v>269</v>
      </c>
      <c r="B174" s="44">
        <f t="shared" si="69"/>
        <v>75</v>
      </c>
      <c r="C174" s="39">
        <f t="shared" si="69"/>
        <v>28</v>
      </c>
      <c r="D174" s="39">
        <f t="shared" si="69"/>
        <v>7</v>
      </c>
      <c r="E174" s="39">
        <f t="shared" si="69"/>
        <v>10</v>
      </c>
      <c r="F174" s="39">
        <f t="shared" si="69"/>
        <v>12</v>
      </c>
      <c r="G174" s="50">
        <f t="shared" si="49"/>
        <v>132</v>
      </c>
      <c r="H174" s="44">
        <f t="shared" ref="H174:L174" si="80">H68+H69+H70+H71</f>
        <v>0</v>
      </c>
      <c r="I174" s="39">
        <f t="shared" si="80"/>
        <v>0</v>
      </c>
      <c r="J174" s="39">
        <f t="shared" si="80"/>
        <v>0</v>
      </c>
      <c r="K174" s="45">
        <f t="shared" si="80"/>
        <v>0</v>
      </c>
      <c r="L174" s="144">
        <f t="shared" si="80"/>
        <v>0</v>
      </c>
      <c r="M174" s="50">
        <f t="shared" si="14"/>
        <v>0</v>
      </c>
      <c r="N174" s="40">
        <f t="shared" si="15"/>
        <v>132</v>
      </c>
      <c r="O174" s="43">
        <f t="shared" si="16"/>
        <v>183.5</v>
      </c>
    </row>
    <row r="175" spans="1:15" ht="22.95" customHeight="1" x14ac:dyDescent="0.3">
      <c r="A175" s="54" t="s">
        <v>241</v>
      </c>
      <c r="B175" s="44">
        <f t="shared" si="69"/>
        <v>60</v>
      </c>
      <c r="C175" s="39">
        <f t="shared" si="69"/>
        <v>22</v>
      </c>
      <c r="D175" s="39">
        <f t="shared" si="69"/>
        <v>7</v>
      </c>
      <c r="E175" s="39">
        <f t="shared" si="69"/>
        <v>9</v>
      </c>
      <c r="F175" s="39">
        <f t="shared" si="69"/>
        <v>10</v>
      </c>
      <c r="G175" s="50">
        <f t="shared" si="49"/>
        <v>108</v>
      </c>
      <c r="H175" s="44">
        <f t="shared" ref="H175:L175" si="81">H69+H70+H71+H72</f>
        <v>0</v>
      </c>
      <c r="I175" s="39">
        <f t="shared" si="81"/>
        <v>0</v>
      </c>
      <c r="J175" s="39">
        <f t="shared" si="81"/>
        <v>0</v>
      </c>
      <c r="K175" s="45">
        <f t="shared" si="81"/>
        <v>0</v>
      </c>
      <c r="L175" s="144">
        <f t="shared" si="81"/>
        <v>0</v>
      </c>
      <c r="M175" s="50">
        <f t="shared" si="14"/>
        <v>0</v>
      </c>
      <c r="N175" s="40">
        <f t="shared" si="15"/>
        <v>108</v>
      </c>
      <c r="O175" s="43">
        <f t="shared" si="16"/>
        <v>153.5</v>
      </c>
    </row>
    <row r="176" spans="1:15" ht="22.95" customHeight="1" x14ac:dyDescent="0.3">
      <c r="A176" s="52" t="s">
        <v>242</v>
      </c>
      <c r="B176" s="44">
        <f t="shared" si="69"/>
        <v>42</v>
      </c>
      <c r="C176" s="39">
        <f t="shared" si="69"/>
        <v>12</v>
      </c>
      <c r="D176" s="39">
        <f t="shared" si="69"/>
        <v>7</v>
      </c>
      <c r="E176" s="39">
        <f t="shared" si="69"/>
        <v>8</v>
      </c>
      <c r="F176" s="39">
        <f t="shared" si="69"/>
        <v>8</v>
      </c>
      <c r="G176" s="50">
        <f t="shared" si="49"/>
        <v>77</v>
      </c>
      <c r="H176" s="44">
        <f t="shared" ref="H176:L176" si="82">H70+H71+H72+H73</f>
        <v>0</v>
      </c>
      <c r="I176" s="39">
        <f t="shared" si="82"/>
        <v>0</v>
      </c>
      <c r="J176" s="39">
        <f t="shared" si="82"/>
        <v>0</v>
      </c>
      <c r="K176" s="45">
        <f t="shared" si="82"/>
        <v>0</v>
      </c>
      <c r="L176" s="144">
        <f t="shared" si="82"/>
        <v>0</v>
      </c>
      <c r="M176" s="50">
        <f t="shared" si="14"/>
        <v>0</v>
      </c>
      <c r="N176" s="40">
        <f t="shared" si="15"/>
        <v>77</v>
      </c>
      <c r="O176" s="43">
        <f t="shared" si="16"/>
        <v>118.5</v>
      </c>
    </row>
    <row r="177" spans="1:15" ht="22.95" customHeight="1" x14ac:dyDescent="0.3">
      <c r="A177" s="52" t="s">
        <v>243</v>
      </c>
      <c r="B177" s="44">
        <f t="shared" si="69"/>
        <v>31</v>
      </c>
      <c r="C177" s="39">
        <f t="shared" si="69"/>
        <v>6</v>
      </c>
      <c r="D177" s="39">
        <f t="shared" si="69"/>
        <v>6</v>
      </c>
      <c r="E177" s="39">
        <f t="shared" si="69"/>
        <v>5</v>
      </c>
      <c r="F177" s="39">
        <f t="shared" si="69"/>
        <v>5</v>
      </c>
      <c r="G177" s="50">
        <f t="shared" si="49"/>
        <v>53</v>
      </c>
      <c r="H177" s="44">
        <f t="shared" ref="H177:L177" si="83">H71+H72+H73+H74</f>
        <v>0</v>
      </c>
      <c r="I177" s="39">
        <f t="shared" si="83"/>
        <v>0</v>
      </c>
      <c r="J177" s="39">
        <f t="shared" si="83"/>
        <v>0</v>
      </c>
      <c r="K177" s="45">
        <f t="shared" si="83"/>
        <v>0</v>
      </c>
      <c r="L177" s="144">
        <f t="shared" si="83"/>
        <v>0</v>
      </c>
      <c r="M177" s="50">
        <f t="shared" si="14"/>
        <v>0</v>
      </c>
      <c r="N177" s="40">
        <f t="shared" si="15"/>
        <v>53</v>
      </c>
      <c r="O177" s="43">
        <f t="shared" si="16"/>
        <v>80.5</v>
      </c>
    </row>
    <row r="178" spans="1:15" ht="22.95" customHeight="1" x14ac:dyDescent="0.3">
      <c r="A178" s="52" t="s">
        <v>244</v>
      </c>
      <c r="B178" s="44">
        <f t="shared" si="69"/>
        <v>18</v>
      </c>
      <c r="C178" s="39">
        <f t="shared" si="69"/>
        <v>4</v>
      </c>
      <c r="D178" s="39">
        <f t="shared" si="69"/>
        <v>7</v>
      </c>
      <c r="E178" s="39">
        <f t="shared" si="69"/>
        <v>3</v>
      </c>
      <c r="F178" s="39">
        <f t="shared" si="69"/>
        <v>4</v>
      </c>
      <c r="G178" s="50">
        <f t="shared" ref="G178:G206" si="84">SUM(B178:F178)</f>
        <v>36</v>
      </c>
      <c r="H178" s="44">
        <f t="shared" ref="H178:L178" si="85">H72+H73+H74+H75</f>
        <v>0</v>
      </c>
      <c r="I178" s="39">
        <f t="shared" si="85"/>
        <v>0</v>
      </c>
      <c r="J178" s="39">
        <f t="shared" si="85"/>
        <v>0</v>
      </c>
      <c r="K178" s="45">
        <f t="shared" si="85"/>
        <v>0</v>
      </c>
      <c r="L178" s="144">
        <f t="shared" si="85"/>
        <v>0</v>
      </c>
      <c r="M178" s="50">
        <f t="shared" si="14"/>
        <v>0</v>
      </c>
      <c r="N178" s="40">
        <f t="shared" si="15"/>
        <v>36</v>
      </c>
      <c r="O178" s="43">
        <f t="shared" si="16"/>
        <v>57.5</v>
      </c>
    </row>
    <row r="179" spans="1:15" ht="22.95" customHeight="1" x14ac:dyDescent="0.3">
      <c r="A179" s="52" t="s">
        <v>245</v>
      </c>
      <c r="B179" s="44">
        <f t="shared" si="69"/>
        <v>22</v>
      </c>
      <c r="C179" s="39">
        <f t="shared" si="69"/>
        <v>4</v>
      </c>
      <c r="D179" s="39">
        <f t="shared" si="69"/>
        <v>6</v>
      </c>
      <c r="E179" s="39">
        <f t="shared" si="69"/>
        <v>4</v>
      </c>
      <c r="F179" s="39">
        <f t="shared" si="69"/>
        <v>4</v>
      </c>
      <c r="G179" s="50">
        <f t="shared" si="84"/>
        <v>40</v>
      </c>
      <c r="H179" s="44">
        <f t="shared" ref="H179:L179" si="86">H73+H74+H75+H76</f>
        <v>0</v>
      </c>
      <c r="I179" s="39">
        <f t="shared" si="86"/>
        <v>0</v>
      </c>
      <c r="J179" s="39">
        <f t="shared" si="86"/>
        <v>0</v>
      </c>
      <c r="K179" s="45">
        <f t="shared" si="86"/>
        <v>0</v>
      </c>
      <c r="L179" s="144">
        <f t="shared" si="86"/>
        <v>0</v>
      </c>
      <c r="M179" s="50">
        <f t="shared" ref="M179:M206" si="87">SUM(H179:K179)</f>
        <v>0</v>
      </c>
      <c r="N179" s="40">
        <f t="shared" ref="N179:N206" si="88">G179+M179</f>
        <v>40</v>
      </c>
      <c r="O179" s="43">
        <f t="shared" ref="O179:O206" si="89">B179*1+C179*0.5+D179*1.5+E179*3+F179*4.5+H179*0.5+I179*1.5+J179*3+K179*4+L179*8</f>
        <v>63</v>
      </c>
    </row>
    <row r="180" spans="1:15" ht="22.95" customHeight="1" x14ac:dyDescent="0.3">
      <c r="A180" s="52" t="s">
        <v>246</v>
      </c>
      <c r="B180" s="44">
        <f t="shared" ref="B180:F195" si="90">B74+B75+B76+B77</f>
        <v>27</v>
      </c>
      <c r="C180" s="39">
        <f t="shared" si="90"/>
        <v>6</v>
      </c>
      <c r="D180" s="39">
        <f t="shared" si="90"/>
        <v>5</v>
      </c>
      <c r="E180" s="39">
        <f t="shared" si="90"/>
        <v>5</v>
      </c>
      <c r="F180" s="39">
        <f t="shared" si="90"/>
        <v>3</v>
      </c>
      <c r="G180" s="50">
        <f t="shared" si="84"/>
        <v>46</v>
      </c>
      <c r="H180" s="44">
        <f t="shared" ref="H180:L180" si="91">H74+H75+H76+H77</f>
        <v>0</v>
      </c>
      <c r="I180" s="39">
        <f t="shared" si="91"/>
        <v>0</v>
      </c>
      <c r="J180" s="39">
        <f t="shared" si="91"/>
        <v>0</v>
      </c>
      <c r="K180" s="45">
        <f t="shared" si="91"/>
        <v>0</v>
      </c>
      <c r="L180" s="144">
        <f t="shared" si="91"/>
        <v>0</v>
      </c>
      <c r="M180" s="50">
        <f t="shared" si="87"/>
        <v>0</v>
      </c>
      <c r="N180" s="40">
        <f t="shared" si="88"/>
        <v>46</v>
      </c>
      <c r="O180" s="43">
        <f t="shared" si="89"/>
        <v>66</v>
      </c>
    </row>
    <row r="181" spans="1:15" ht="22.95" customHeight="1" x14ac:dyDescent="0.3">
      <c r="A181" s="52" t="s">
        <v>247</v>
      </c>
      <c r="B181" s="44">
        <f t="shared" si="90"/>
        <v>25</v>
      </c>
      <c r="C181" s="39">
        <f t="shared" si="90"/>
        <v>7</v>
      </c>
      <c r="D181" s="39">
        <f t="shared" si="90"/>
        <v>5</v>
      </c>
      <c r="E181" s="39">
        <f t="shared" si="90"/>
        <v>7</v>
      </c>
      <c r="F181" s="39">
        <f t="shared" si="90"/>
        <v>5</v>
      </c>
      <c r="G181" s="50">
        <f t="shared" si="84"/>
        <v>49</v>
      </c>
      <c r="H181" s="44">
        <f t="shared" ref="H181:L181" si="92">H75+H76+H77+H78</f>
        <v>0</v>
      </c>
      <c r="I181" s="39">
        <f t="shared" si="92"/>
        <v>0</v>
      </c>
      <c r="J181" s="39">
        <f t="shared" si="92"/>
        <v>0</v>
      </c>
      <c r="K181" s="45">
        <f t="shared" si="92"/>
        <v>0</v>
      </c>
      <c r="L181" s="144">
        <f t="shared" si="92"/>
        <v>0</v>
      </c>
      <c r="M181" s="50">
        <f t="shared" si="87"/>
        <v>0</v>
      </c>
      <c r="N181" s="40">
        <f t="shared" si="88"/>
        <v>49</v>
      </c>
      <c r="O181" s="43">
        <f t="shared" si="89"/>
        <v>79.5</v>
      </c>
    </row>
    <row r="182" spans="1:15" ht="22.95" customHeight="1" x14ac:dyDescent="0.3">
      <c r="A182" s="52" t="s">
        <v>248</v>
      </c>
      <c r="B182" s="44">
        <f t="shared" si="90"/>
        <v>25</v>
      </c>
      <c r="C182" s="39">
        <f t="shared" si="90"/>
        <v>7</v>
      </c>
      <c r="D182" s="39">
        <f t="shared" si="90"/>
        <v>5</v>
      </c>
      <c r="E182" s="39">
        <f t="shared" si="90"/>
        <v>7</v>
      </c>
      <c r="F182" s="39">
        <f t="shared" si="90"/>
        <v>7</v>
      </c>
      <c r="G182" s="50">
        <f t="shared" si="84"/>
        <v>51</v>
      </c>
      <c r="H182" s="44">
        <f t="shared" ref="H182:L182" si="93">H76+H77+H78+H79</f>
        <v>0</v>
      </c>
      <c r="I182" s="39">
        <f t="shared" si="93"/>
        <v>0</v>
      </c>
      <c r="J182" s="39">
        <f t="shared" si="93"/>
        <v>0</v>
      </c>
      <c r="K182" s="45">
        <f t="shared" si="93"/>
        <v>0</v>
      </c>
      <c r="L182" s="144">
        <f t="shared" si="93"/>
        <v>0</v>
      </c>
      <c r="M182" s="50">
        <f t="shared" si="87"/>
        <v>0</v>
      </c>
      <c r="N182" s="40">
        <f t="shared" si="88"/>
        <v>51</v>
      </c>
      <c r="O182" s="43">
        <f t="shared" si="89"/>
        <v>88.5</v>
      </c>
    </row>
    <row r="183" spans="1:15" ht="22.95" customHeight="1" x14ac:dyDescent="0.3">
      <c r="A183" s="52" t="s">
        <v>249</v>
      </c>
      <c r="B183" s="44">
        <f t="shared" si="90"/>
        <v>19</v>
      </c>
      <c r="C183" s="39">
        <f t="shared" si="90"/>
        <v>9</v>
      </c>
      <c r="D183" s="39">
        <f t="shared" si="90"/>
        <v>6</v>
      </c>
      <c r="E183" s="39">
        <f t="shared" si="90"/>
        <v>6</v>
      </c>
      <c r="F183" s="39">
        <f t="shared" si="90"/>
        <v>8</v>
      </c>
      <c r="G183" s="50">
        <f t="shared" si="84"/>
        <v>48</v>
      </c>
      <c r="H183" s="44">
        <f t="shared" ref="H183:L183" si="94">H77+H78+H79+H80</f>
        <v>0</v>
      </c>
      <c r="I183" s="39">
        <f t="shared" si="94"/>
        <v>0</v>
      </c>
      <c r="J183" s="39">
        <f t="shared" si="94"/>
        <v>0</v>
      </c>
      <c r="K183" s="45">
        <f t="shared" si="94"/>
        <v>0</v>
      </c>
      <c r="L183" s="144">
        <f t="shared" si="94"/>
        <v>0</v>
      </c>
      <c r="M183" s="50">
        <f t="shared" si="87"/>
        <v>0</v>
      </c>
      <c r="N183" s="40">
        <f t="shared" si="88"/>
        <v>48</v>
      </c>
      <c r="O183" s="43">
        <f t="shared" si="89"/>
        <v>86.5</v>
      </c>
    </row>
    <row r="184" spans="1:15" ht="22.95" customHeight="1" x14ac:dyDescent="0.3">
      <c r="A184" s="52" t="s">
        <v>250</v>
      </c>
      <c r="B184" s="44">
        <f t="shared" si="90"/>
        <v>15</v>
      </c>
      <c r="C184" s="39">
        <f t="shared" si="90"/>
        <v>8</v>
      </c>
      <c r="D184" s="39">
        <f t="shared" si="90"/>
        <v>6</v>
      </c>
      <c r="E184" s="39">
        <f t="shared" si="90"/>
        <v>6</v>
      </c>
      <c r="F184" s="39">
        <f t="shared" si="90"/>
        <v>9</v>
      </c>
      <c r="G184" s="50">
        <f t="shared" si="84"/>
        <v>44</v>
      </c>
      <c r="H184" s="44">
        <f t="shared" ref="H184:L184" si="95">H78+H79+H80+H81</f>
        <v>0</v>
      </c>
      <c r="I184" s="39">
        <f t="shared" si="95"/>
        <v>0</v>
      </c>
      <c r="J184" s="39">
        <f t="shared" si="95"/>
        <v>0</v>
      </c>
      <c r="K184" s="45">
        <f t="shared" si="95"/>
        <v>0</v>
      </c>
      <c r="L184" s="144">
        <f t="shared" si="95"/>
        <v>0</v>
      </c>
      <c r="M184" s="50">
        <f t="shared" si="87"/>
        <v>0</v>
      </c>
      <c r="N184" s="40">
        <f t="shared" si="88"/>
        <v>44</v>
      </c>
      <c r="O184" s="43">
        <f t="shared" si="89"/>
        <v>86.5</v>
      </c>
    </row>
    <row r="185" spans="1:15" ht="22.95" customHeight="1" x14ac:dyDescent="0.3">
      <c r="A185" s="52" t="s">
        <v>251</v>
      </c>
      <c r="B185" s="44">
        <f t="shared" si="90"/>
        <v>10</v>
      </c>
      <c r="C185" s="39">
        <f t="shared" si="90"/>
        <v>7</v>
      </c>
      <c r="D185" s="39">
        <f t="shared" si="90"/>
        <v>7</v>
      </c>
      <c r="E185" s="39">
        <f t="shared" si="90"/>
        <v>5</v>
      </c>
      <c r="F185" s="39">
        <f t="shared" si="90"/>
        <v>11</v>
      </c>
      <c r="G185" s="50">
        <f t="shared" si="84"/>
        <v>40</v>
      </c>
      <c r="H185" s="44">
        <f t="shared" ref="H185:L185" si="96">H79+H80+H81+H82</f>
        <v>0</v>
      </c>
      <c r="I185" s="39">
        <f t="shared" si="96"/>
        <v>0</v>
      </c>
      <c r="J185" s="39">
        <f t="shared" si="96"/>
        <v>0</v>
      </c>
      <c r="K185" s="45">
        <f t="shared" si="96"/>
        <v>0</v>
      </c>
      <c r="L185" s="144">
        <f t="shared" si="96"/>
        <v>0</v>
      </c>
      <c r="M185" s="50">
        <f t="shared" si="87"/>
        <v>0</v>
      </c>
      <c r="N185" s="40">
        <f t="shared" si="88"/>
        <v>40</v>
      </c>
      <c r="O185" s="43">
        <f t="shared" si="89"/>
        <v>88.5</v>
      </c>
    </row>
    <row r="186" spans="1:15" ht="22.95" customHeight="1" x14ac:dyDescent="0.3">
      <c r="A186" s="52" t="s">
        <v>252</v>
      </c>
      <c r="B186" s="44">
        <f t="shared" si="90"/>
        <v>5</v>
      </c>
      <c r="C186" s="39">
        <f t="shared" si="90"/>
        <v>6</v>
      </c>
      <c r="D186" s="39">
        <f t="shared" si="90"/>
        <v>6</v>
      </c>
      <c r="E186" s="39">
        <f t="shared" si="90"/>
        <v>6</v>
      </c>
      <c r="F186" s="39">
        <f t="shared" si="90"/>
        <v>11</v>
      </c>
      <c r="G186" s="50">
        <f t="shared" si="84"/>
        <v>34</v>
      </c>
      <c r="H186" s="44">
        <f t="shared" ref="H186:L186" si="97">H80+H81+H82+H83</f>
        <v>0</v>
      </c>
      <c r="I186" s="39">
        <f t="shared" si="97"/>
        <v>0</v>
      </c>
      <c r="J186" s="39">
        <f t="shared" si="97"/>
        <v>0</v>
      </c>
      <c r="K186" s="45">
        <f t="shared" si="97"/>
        <v>0</v>
      </c>
      <c r="L186" s="144">
        <f t="shared" si="97"/>
        <v>0</v>
      </c>
      <c r="M186" s="50">
        <f t="shared" si="87"/>
        <v>0</v>
      </c>
      <c r="N186" s="40">
        <f t="shared" si="88"/>
        <v>34</v>
      </c>
      <c r="O186" s="43">
        <f t="shared" si="89"/>
        <v>84.5</v>
      </c>
    </row>
    <row r="187" spans="1:15" ht="22.95" customHeight="1" x14ac:dyDescent="0.3">
      <c r="A187" s="52" t="s">
        <v>253</v>
      </c>
      <c r="B187" s="44">
        <f t="shared" si="90"/>
        <v>6</v>
      </c>
      <c r="C187" s="39">
        <f t="shared" si="90"/>
        <v>5</v>
      </c>
      <c r="D187" s="39">
        <f t="shared" si="90"/>
        <v>4</v>
      </c>
      <c r="E187" s="39">
        <f t="shared" si="90"/>
        <v>8</v>
      </c>
      <c r="F187" s="39">
        <f t="shared" si="90"/>
        <v>13</v>
      </c>
      <c r="G187" s="50">
        <f t="shared" si="84"/>
        <v>36</v>
      </c>
      <c r="H187" s="44">
        <f t="shared" ref="H187:L187" si="98">H81+H82+H83+H84</f>
        <v>0</v>
      </c>
      <c r="I187" s="39">
        <f t="shared" si="98"/>
        <v>0</v>
      </c>
      <c r="J187" s="39">
        <f t="shared" si="98"/>
        <v>0</v>
      </c>
      <c r="K187" s="45">
        <f t="shared" si="98"/>
        <v>0</v>
      </c>
      <c r="L187" s="144">
        <f t="shared" si="98"/>
        <v>0</v>
      </c>
      <c r="M187" s="50">
        <f t="shared" si="87"/>
        <v>0</v>
      </c>
      <c r="N187" s="40">
        <f t="shared" si="88"/>
        <v>36</v>
      </c>
      <c r="O187" s="43">
        <f t="shared" si="89"/>
        <v>97</v>
      </c>
    </row>
    <row r="188" spans="1:15" ht="22.95" customHeight="1" x14ac:dyDescent="0.3">
      <c r="A188" s="52" t="s">
        <v>254</v>
      </c>
      <c r="B188" s="44">
        <f t="shared" si="90"/>
        <v>6</v>
      </c>
      <c r="C188" s="39">
        <f t="shared" si="90"/>
        <v>4</v>
      </c>
      <c r="D188" s="39">
        <f t="shared" si="90"/>
        <v>3</v>
      </c>
      <c r="E188" s="39">
        <f t="shared" si="90"/>
        <v>8</v>
      </c>
      <c r="F188" s="39">
        <f t="shared" si="90"/>
        <v>12</v>
      </c>
      <c r="G188" s="50">
        <f t="shared" si="84"/>
        <v>33</v>
      </c>
      <c r="H188" s="44">
        <f t="shared" ref="H188:L188" si="99">H82+H83+H84+H85</f>
        <v>0</v>
      </c>
      <c r="I188" s="39">
        <f t="shared" si="99"/>
        <v>0</v>
      </c>
      <c r="J188" s="39">
        <f t="shared" si="99"/>
        <v>0</v>
      </c>
      <c r="K188" s="45">
        <f t="shared" si="99"/>
        <v>0</v>
      </c>
      <c r="L188" s="144">
        <f t="shared" si="99"/>
        <v>0</v>
      </c>
      <c r="M188" s="50">
        <f t="shared" si="87"/>
        <v>0</v>
      </c>
      <c r="N188" s="40">
        <f t="shared" si="88"/>
        <v>33</v>
      </c>
      <c r="O188" s="43">
        <f t="shared" si="89"/>
        <v>90.5</v>
      </c>
    </row>
    <row r="189" spans="1:15" ht="22.95" customHeight="1" x14ac:dyDescent="0.3">
      <c r="A189" s="52" t="s">
        <v>255</v>
      </c>
      <c r="B189" s="44">
        <f t="shared" si="90"/>
        <v>11</v>
      </c>
      <c r="C189" s="39">
        <f t="shared" si="90"/>
        <v>3</v>
      </c>
      <c r="D189" s="39">
        <f t="shared" si="90"/>
        <v>1</v>
      </c>
      <c r="E189" s="39">
        <f t="shared" si="90"/>
        <v>6</v>
      </c>
      <c r="F189" s="39">
        <f t="shared" si="90"/>
        <v>8</v>
      </c>
      <c r="G189" s="50">
        <f t="shared" si="84"/>
        <v>29</v>
      </c>
      <c r="H189" s="44">
        <f t="shared" ref="H189:L189" si="100">H83+H84+H85+H86</f>
        <v>0</v>
      </c>
      <c r="I189" s="39">
        <f t="shared" si="100"/>
        <v>0</v>
      </c>
      <c r="J189" s="39">
        <f t="shared" si="100"/>
        <v>0</v>
      </c>
      <c r="K189" s="45">
        <f t="shared" si="100"/>
        <v>0</v>
      </c>
      <c r="L189" s="144">
        <f t="shared" si="100"/>
        <v>0</v>
      </c>
      <c r="M189" s="50">
        <f t="shared" si="87"/>
        <v>0</v>
      </c>
      <c r="N189" s="40">
        <f t="shared" si="88"/>
        <v>29</v>
      </c>
      <c r="O189" s="43">
        <f t="shared" si="89"/>
        <v>68</v>
      </c>
    </row>
    <row r="190" spans="1:15" ht="22.95" customHeight="1" x14ac:dyDescent="0.3">
      <c r="A190" s="52" t="s">
        <v>256</v>
      </c>
      <c r="B190" s="44">
        <f t="shared" si="90"/>
        <v>16</v>
      </c>
      <c r="C190" s="39">
        <f t="shared" si="90"/>
        <v>4</v>
      </c>
      <c r="D190" s="39">
        <f t="shared" si="90"/>
        <v>0</v>
      </c>
      <c r="E190" s="39">
        <f t="shared" si="90"/>
        <v>7</v>
      </c>
      <c r="F190" s="39">
        <f t="shared" si="90"/>
        <v>6</v>
      </c>
      <c r="G190" s="50">
        <f t="shared" si="84"/>
        <v>33</v>
      </c>
      <c r="H190" s="44">
        <f t="shared" ref="H190:L190" si="101">H84+H85+H86+H87</f>
        <v>0</v>
      </c>
      <c r="I190" s="39">
        <f t="shared" si="101"/>
        <v>0</v>
      </c>
      <c r="J190" s="39">
        <f t="shared" si="101"/>
        <v>0</v>
      </c>
      <c r="K190" s="45">
        <f t="shared" si="101"/>
        <v>0</v>
      </c>
      <c r="L190" s="144">
        <f t="shared" si="101"/>
        <v>0</v>
      </c>
      <c r="M190" s="50">
        <f t="shared" si="87"/>
        <v>0</v>
      </c>
      <c r="N190" s="40">
        <f t="shared" si="88"/>
        <v>33</v>
      </c>
      <c r="O190" s="43">
        <f t="shared" si="89"/>
        <v>66</v>
      </c>
    </row>
    <row r="191" spans="1:15" ht="22.95" customHeight="1" x14ac:dyDescent="0.3">
      <c r="A191" s="52" t="s">
        <v>257</v>
      </c>
      <c r="B191" s="44">
        <f t="shared" si="90"/>
        <v>22</v>
      </c>
      <c r="C191" s="39">
        <f t="shared" si="90"/>
        <v>3</v>
      </c>
      <c r="D191" s="39">
        <f t="shared" si="90"/>
        <v>3</v>
      </c>
      <c r="E191" s="39">
        <f t="shared" si="90"/>
        <v>5</v>
      </c>
      <c r="F191" s="39">
        <f t="shared" si="90"/>
        <v>2</v>
      </c>
      <c r="G191" s="50">
        <f t="shared" si="84"/>
        <v>35</v>
      </c>
      <c r="H191" s="44">
        <f t="shared" ref="H191:L191" si="102">H85+H86+H87+H88</f>
        <v>0</v>
      </c>
      <c r="I191" s="39">
        <f t="shared" si="102"/>
        <v>0</v>
      </c>
      <c r="J191" s="39">
        <f t="shared" si="102"/>
        <v>0</v>
      </c>
      <c r="K191" s="45">
        <f t="shared" si="102"/>
        <v>0</v>
      </c>
      <c r="L191" s="144">
        <f t="shared" si="102"/>
        <v>0</v>
      </c>
      <c r="M191" s="50">
        <f t="shared" si="87"/>
        <v>0</v>
      </c>
      <c r="N191" s="40">
        <f t="shared" si="88"/>
        <v>35</v>
      </c>
      <c r="O191" s="43">
        <f t="shared" si="89"/>
        <v>52</v>
      </c>
    </row>
    <row r="192" spans="1:15" ht="22.95" customHeight="1" x14ac:dyDescent="0.3">
      <c r="A192" s="52" t="s">
        <v>258</v>
      </c>
      <c r="B192" s="44">
        <f t="shared" si="90"/>
        <v>21</v>
      </c>
      <c r="C192" s="39">
        <f t="shared" si="90"/>
        <v>6</v>
      </c>
      <c r="D192" s="39">
        <f t="shared" si="90"/>
        <v>5</v>
      </c>
      <c r="E192" s="39">
        <f t="shared" si="90"/>
        <v>4</v>
      </c>
      <c r="F192" s="39">
        <f t="shared" si="90"/>
        <v>5</v>
      </c>
      <c r="G192" s="50">
        <f t="shared" si="84"/>
        <v>41</v>
      </c>
      <c r="H192" s="44">
        <f t="shared" ref="H192:L192" si="103">H86+H87+H88+H89</f>
        <v>0</v>
      </c>
      <c r="I192" s="39">
        <f t="shared" si="103"/>
        <v>0</v>
      </c>
      <c r="J192" s="39">
        <f t="shared" si="103"/>
        <v>0</v>
      </c>
      <c r="K192" s="45">
        <f t="shared" si="103"/>
        <v>0</v>
      </c>
      <c r="L192" s="144">
        <f t="shared" si="103"/>
        <v>0</v>
      </c>
      <c r="M192" s="50">
        <f t="shared" si="87"/>
        <v>0</v>
      </c>
      <c r="N192" s="40">
        <f t="shared" si="88"/>
        <v>41</v>
      </c>
      <c r="O192" s="43">
        <f t="shared" si="89"/>
        <v>66</v>
      </c>
    </row>
    <row r="193" spans="1:15" ht="22.95" customHeight="1" x14ac:dyDescent="0.3">
      <c r="A193" s="52" t="s">
        <v>259</v>
      </c>
      <c r="B193" s="44">
        <f t="shared" si="90"/>
        <v>18</v>
      </c>
      <c r="C193" s="39">
        <f t="shared" si="90"/>
        <v>10</v>
      </c>
      <c r="D193" s="39">
        <f t="shared" si="90"/>
        <v>9</v>
      </c>
      <c r="E193" s="39">
        <f t="shared" si="90"/>
        <v>5</v>
      </c>
      <c r="F193" s="39">
        <f t="shared" si="90"/>
        <v>9</v>
      </c>
      <c r="G193" s="50">
        <f t="shared" si="84"/>
        <v>51</v>
      </c>
      <c r="H193" s="44">
        <f t="shared" ref="H193:L193" si="104">H87+H88+H89+H90</f>
        <v>0</v>
      </c>
      <c r="I193" s="39">
        <f t="shared" si="104"/>
        <v>0</v>
      </c>
      <c r="J193" s="39">
        <f t="shared" si="104"/>
        <v>0</v>
      </c>
      <c r="K193" s="45">
        <f t="shared" si="104"/>
        <v>0</v>
      </c>
      <c r="L193" s="144">
        <f t="shared" si="104"/>
        <v>0</v>
      </c>
      <c r="M193" s="50">
        <f t="shared" si="87"/>
        <v>0</v>
      </c>
      <c r="N193" s="40">
        <f t="shared" si="88"/>
        <v>51</v>
      </c>
      <c r="O193" s="43">
        <f t="shared" si="89"/>
        <v>92</v>
      </c>
    </row>
    <row r="194" spans="1:15" ht="22.95" customHeight="1" x14ac:dyDescent="0.3">
      <c r="A194" s="52" t="s">
        <v>260</v>
      </c>
      <c r="B194" s="44">
        <f t="shared" si="90"/>
        <v>18</v>
      </c>
      <c r="C194" s="39">
        <f t="shared" si="90"/>
        <v>10</v>
      </c>
      <c r="D194" s="39">
        <f t="shared" si="90"/>
        <v>11</v>
      </c>
      <c r="E194" s="39">
        <f t="shared" si="90"/>
        <v>2</v>
      </c>
      <c r="F194" s="39">
        <f t="shared" si="90"/>
        <v>10</v>
      </c>
      <c r="G194" s="50">
        <f t="shared" si="84"/>
        <v>51</v>
      </c>
      <c r="H194" s="44">
        <f t="shared" ref="H194:L194" si="105">H88+H89+H90+H91</f>
        <v>0</v>
      </c>
      <c r="I194" s="39">
        <f t="shared" si="105"/>
        <v>0</v>
      </c>
      <c r="J194" s="39">
        <f t="shared" si="105"/>
        <v>0</v>
      </c>
      <c r="K194" s="45">
        <f t="shared" si="105"/>
        <v>0</v>
      </c>
      <c r="L194" s="144">
        <f t="shared" si="105"/>
        <v>0</v>
      </c>
      <c r="M194" s="50">
        <f t="shared" si="87"/>
        <v>0</v>
      </c>
      <c r="N194" s="40">
        <f t="shared" si="88"/>
        <v>51</v>
      </c>
      <c r="O194" s="43">
        <f t="shared" si="89"/>
        <v>90.5</v>
      </c>
    </row>
    <row r="195" spans="1:15" ht="22.95" customHeight="1" x14ac:dyDescent="0.3">
      <c r="A195" s="52" t="s">
        <v>261</v>
      </c>
      <c r="B195" s="44">
        <f t="shared" si="90"/>
        <v>19</v>
      </c>
      <c r="C195" s="39">
        <f t="shared" si="90"/>
        <v>15</v>
      </c>
      <c r="D195" s="39">
        <f t="shared" si="90"/>
        <v>9</v>
      </c>
      <c r="E195" s="39">
        <f t="shared" si="90"/>
        <v>2</v>
      </c>
      <c r="F195" s="39">
        <f t="shared" si="90"/>
        <v>15</v>
      </c>
      <c r="G195" s="50">
        <f t="shared" si="84"/>
        <v>60</v>
      </c>
      <c r="H195" s="44">
        <f t="shared" ref="H195:L195" si="106">H89+H90+H91+H92</f>
        <v>0</v>
      </c>
      <c r="I195" s="39">
        <f t="shared" si="106"/>
        <v>0</v>
      </c>
      <c r="J195" s="39">
        <f t="shared" si="106"/>
        <v>0</v>
      </c>
      <c r="K195" s="45">
        <f t="shared" si="106"/>
        <v>0</v>
      </c>
      <c r="L195" s="144">
        <f t="shared" si="106"/>
        <v>0</v>
      </c>
      <c r="M195" s="50">
        <f t="shared" si="87"/>
        <v>0</v>
      </c>
      <c r="N195" s="40">
        <f t="shared" si="88"/>
        <v>60</v>
      </c>
      <c r="O195" s="43">
        <f t="shared" si="89"/>
        <v>113.5</v>
      </c>
    </row>
    <row r="196" spans="1:15" ht="22.95" customHeight="1" x14ac:dyDescent="0.3">
      <c r="A196" s="52" t="s">
        <v>270</v>
      </c>
      <c r="B196" s="44">
        <f t="shared" ref="B196:F206" si="107">B90+B91+B92+B93</f>
        <v>21</v>
      </c>
      <c r="C196" s="39">
        <f t="shared" si="107"/>
        <v>14</v>
      </c>
      <c r="D196" s="39">
        <f t="shared" si="107"/>
        <v>8</v>
      </c>
      <c r="E196" s="39">
        <f t="shared" si="107"/>
        <v>2</v>
      </c>
      <c r="F196" s="39">
        <f t="shared" si="107"/>
        <v>12</v>
      </c>
      <c r="G196" s="50">
        <f t="shared" si="84"/>
        <v>57</v>
      </c>
      <c r="H196" s="44">
        <f t="shared" ref="H196:L196" si="108">H90+H91+H92+H93</f>
        <v>0</v>
      </c>
      <c r="I196" s="39">
        <f t="shared" si="108"/>
        <v>0</v>
      </c>
      <c r="J196" s="39">
        <f t="shared" si="108"/>
        <v>0</v>
      </c>
      <c r="K196" s="45">
        <f t="shared" si="108"/>
        <v>0</v>
      </c>
      <c r="L196" s="144">
        <f t="shared" si="108"/>
        <v>0</v>
      </c>
      <c r="M196" s="50">
        <f t="shared" si="87"/>
        <v>0</v>
      </c>
      <c r="N196" s="40">
        <f t="shared" si="88"/>
        <v>57</v>
      </c>
      <c r="O196" s="43">
        <f t="shared" si="89"/>
        <v>100</v>
      </c>
    </row>
    <row r="197" spans="1:15" ht="22.95" customHeight="1" x14ac:dyDescent="0.3">
      <c r="A197" s="52" t="s">
        <v>271</v>
      </c>
      <c r="B197" s="44">
        <f t="shared" si="107"/>
        <v>33</v>
      </c>
      <c r="C197" s="39">
        <f t="shared" si="107"/>
        <v>18</v>
      </c>
      <c r="D197" s="39">
        <f t="shared" si="107"/>
        <v>8</v>
      </c>
      <c r="E197" s="39">
        <f t="shared" si="107"/>
        <v>3</v>
      </c>
      <c r="F197" s="39">
        <f t="shared" si="107"/>
        <v>15</v>
      </c>
      <c r="G197" s="50">
        <f t="shared" si="84"/>
        <v>77</v>
      </c>
      <c r="H197" s="44">
        <f t="shared" ref="H197:L197" si="109">H91+H92+H93+H94</f>
        <v>0</v>
      </c>
      <c r="I197" s="39">
        <f t="shared" si="109"/>
        <v>0</v>
      </c>
      <c r="J197" s="39">
        <f t="shared" si="109"/>
        <v>0</v>
      </c>
      <c r="K197" s="45">
        <f t="shared" si="109"/>
        <v>0</v>
      </c>
      <c r="L197" s="144">
        <f t="shared" si="109"/>
        <v>0</v>
      </c>
      <c r="M197" s="50">
        <f t="shared" si="87"/>
        <v>0</v>
      </c>
      <c r="N197" s="40">
        <f t="shared" si="88"/>
        <v>77</v>
      </c>
      <c r="O197" s="43">
        <f t="shared" si="89"/>
        <v>130.5</v>
      </c>
    </row>
    <row r="198" spans="1:15" ht="22.95" customHeight="1" x14ac:dyDescent="0.3">
      <c r="A198" s="52" t="s">
        <v>279</v>
      </c>
      <c r="B198" s="44">
        <f t="shared" si="107"/>
        <v>51</v>
      </c>
      <c r="C198" s="39">
        <f t="shared" si="107"/>
        <v>28</v>
      </c>
      <c r="D198" s="39">
        <f t="shared" si="107"/>
        <v>8</v>
      </c>
      <c r="E198" s="39">
        <f t="shared" si="107"/>
        <v>4</v>
      </c>
      <c r="F198" s="39">
        <f t="shared" si="107"/>
        <v>23</v>
      </c>
      <c r="G198" s="50">
        <f t="shared" si="84"/>
        <v>114</v>
      </c>
      <c r="H198" s="44">
        <f t="shared" ref="H198:L198" si="110">H92+H93+H94+H95</f>
        <v>0</v>
      </c>
      <c r="I198" s="39">
        <f t="shared" si="110"/>
        <v>0</v>
      </c>
      <c r="J198" s="39">
        <f t="shared" si="110"/>
        <v>0</v>
      </c>
      <c r="K198" s="45">
        <f t="shared" si="110"/>
        <v>0</v>
      </c>
      <c r="L198" s="144">
        <f t="shared" si="110"/>
        <v>0</v>
      </c>
      <c r="M198" s="50">
        <f t="shared" si="87"/>
        <v>0</v>
      </c>
      <c r="N198" s="40">
        <f t="shared" si="88"/>
        <v>114</v>
      </c>
      <c r="O198" s="43">
        <f t="shared" si="89"/>
        <v>192.5</v>
      </c>
    </row>
    <row r="199" spans="1:15" ht="22.95" customHeight="1" x14ac:dyDescent="0.3">
      <c r="A199" s="52" t="s">
        <v>62</v>
      </c>
      <c r="B199" s="44">
        <f t="shared" si="107"/>
        <v>59</v>
      </c>
      <c r="C199" s="39">
        <f t="shared" si="107"/>
        <v>30</v>
      </c>
      <c r="D199" s="39">
        <f t="shared" si="107"/>
        <v>8</v>
      </c>
      <c r="E199" s="39">
        <f t="shared" si="107"/>
        <v>5</v>
      </c>
      <c r="F199" s="39">
        <f t="shared" si="107"/>
        <v>27</v>
      </c>
      <c r="G199" s="50">
        <f t="shared" si="84"/>
        <v>129</v>
      </c>
      <c r="H199" s="44">
        <f t="shared" ref="H199:L199" si="111">H93+H94+H95+H96</f>
        <v>0</v>
      </c>
      <c r="I199" s="39">
        <f t="shared" si="111"/>
        <v>0</v>
      </c>
      <c r="J199" s="39">
        <f t="shared" si="111"/>
        <v>0</v>
      </c>
      <c r="K199" s="45">
        <f t="shared" si="111"/>
        <v>0</v>
      </c>
      <c r="L199" s="144">
        <f t="shared" si="111"/>
        <v>0</v>
      </c>
      <c r="M199" s="50">
        <f t="shared" si="87"/>
        <v>0</v>
      </c>
      <c r="N199" s="40">
        <f t="shared" si="88"/>
        <v>129</v>
      </c>
      <c r="O199" s="43">
        <f t="shared" si="89"/>
        <v>222.5</v>
      </c>
    </row>
    <row r="200" spans="1:15" ht="22.95" customHeight="1" x14ac:dyDescent="0.3">
      <c r="A200" s="52" t="s">
        <v>63</v>
      </c>
      <c r="B200" s="44">
        <f t="shared" si="107"/>
        <v>72</v>
      </c>
      <c r="C200" s="39">
        <f t="shared" si="107"/>
        <v>45</v>
      </c>
      <c r="D200" s="39">
        <f t="shared" si="107"/>
        <v>9</v>
      </c>
      <c r="E200" s="39">
        <f t="shared" si="107"/>
        <v>6</v>
      </c>
      <c r="F200" s="39">
        <f t="shared" si="107"/>
        <v>32</v>
      </c>
      <c r="G200" s="50">
        <f t="shared" si="84"/>
        <v>164</v>
      </c>
      <c r="H200" s="44">
        <f t="shared" ref="H200:L200" si="112">H94+H95+H96+H97</f>
        <v>0</v>
      </c>
      <c r="I200" s="39">
        <f t="shared" si="112"/>
        <v>0</v>
      </c>
      <c r="J200" s="39">
        <f t="shared" si="112"/>
        <v>0</v>
      </c>
      <c r="K200" s="45">
        <f t="shared" si="112"/>
        <v>0</v>
      </c>
      <c r="L200" s="144">
        <f t="shared" si="112"/>
        <v>0</v>
      </c>
      <c r="M200" s="50">
        <f t="shared" si="87"/>
        <v>0</v>
      </c>
      <c r="N200" s="40">
        <f t="shared" si="88"/>
        <v>164</v>
      </c>
      <c r="O200" s="43">
        <f t="shared" si="89"/>
        <v>270</v>
      </c>
    </row>
    <row r="201" spans="1:15" ht="22.95" customHeight="1" x14ac:dyDescent="0.3">
      <c r="A201" s="52" t="s">
        <v>64</v>
      </c>
      <c r="B201" s="44">
        <f t="shared" si="107"/>
        <v>72</v>
      </c>
      <c r="C201" s="39">
        <f t="shared" si="107"/>
        <v>50</v>
      </c>
      <c r="D201" s="39">
        <f t="shared" si="107"/>
        <v>10</v>
      </c>
      <c r="E201" s="39">
        <f t="shared" si="107"/>
        <v>7</v>
      </c>
      <c r="F201" s="39">
        <f t="shared" si="107"/>
        <v>31</v>
      </c>
      <c r="G201" s="50">
        <f t="shared" si="84"/>
        <v>170</v>
      </c>
      <c r="H201" s="44">
        <f t="shared" ref="H201:L201" si="113">H95+H96+H97+H98</f>
        <v>0</v>
      </c>
      <c r="I201" s="39">
        <f t="shared" si="113"/>
        <v>0</v>
      </c>
      <c r="J201" s="39">
        <f t="shared" si="113"/>
        <v>0</v>
      </c>
      <c r="K201" s="45">
        <f t="shared" si="113"/>
        <v>0</v>
      </c>
      <c r="L201" s="144">
        <f t="shared" si="113"/>
        <v>0</v>
      </c>
      <c r="M201" s="50">
        <f t="shared" si="87"/>
        <v>0</v>
      </c>
      <c r="N201" s="40">
        <f t="shared" si="88"/>
        <v>170</v>
      </c>
      <c r="O201" s="43">
        <f t="shared" si="89"/>
        <v>272.5</v>
      </c>
    </row>
    <row r="202" spans="1:15" ht="22.95" customHeight="1" x14ac:dyDescent="0.3">
      <c r="A202" s="52" t="s">
        <v>65</v>
      </c>
      <c r="B202" s="44">
        <f t="shared" si="107"/>
        <v>72</v>
      </c>
      <c r="C202" s="39">
        <f t="shared" si="107"/>
        <v>63</v>
      </c>
      <c r="D202" s="39">
        <f t="shared" si="107"/>
        <v>12</v>
      </c>
      <c r="E202" s="39">
        <f t="shared" si="107"/>
        <v>8</v>
      </c>
      <c r="F202" s="39">
        <f t="shared" si="107"/>
        <v>24</v>
      </c>
      <c r="G202" s="50">
        <f t="shared" si="84"/>
        <v>179</v>
      </c>
      <c r="H202" s="44">
        <f t="shared" ref="H202:L202" si="114">H96+H97+H98+H99</f>
        <v>0</v>
      </c>
      <c r="I202" s="39">
        <f t="shared" si="114"/>
        <v>0</v>
      </c>
      <c r="J202" s="39">
        <f t="shared" si="114"/>
        <v>0</v>
      </c>
      <c r="K202" s="45">
        <f t="shared" si="114"/>
        <v>0</v>
      </c>
      <c r="L202" s="144">
        <f t="shared" si="114"/>
        <v>0</v>
      </c>
      <c r="M202" s="50">
        <f t="shared" si="87"/>
        <v>0</v>
      </c>
      <c r="N202" s="40">
        <f t="shared" si="88"/>
        <v>179</v>
      </c>
      <c r="O202" s="43">
        <f t="shared" si="89"/>
        <v>253.5</v>
      </c>
    </row>
    <row r="203" spans="1:15" ht="22.95" customHeight="1" x14ac:dyDescent="0.3">
      <c r="A203" s="52" t="s">
        <v>66</v>
      </c>
      <c r="B203" s="44">
        <f t="shared" si="107"/>
        <v>75</v>
      </c>
      <c r="C203" s="39">
        <f t="shared" si="107"/>
        <v>82</v>
      </c>
      <c r="D203" s="39">
        <f t="shared" si="107"/>
        <v>17</v>
      </c>
      <c r="E203" s="39">
        <f t="shared" si="107"/>
        <v>11</v>
      </c>
      <c r="F203" s="39">
        <f t="shared" si="107"/>
        <v>19</v>
      </c>
      <c r="G203" s="50">
        <f t="shared" si="84"/>
        <v>204</v>
      </c>
      <c r="H203" s="44">
        <f t="shared" ref="H203:L203" si="115">H97+H98+H99+H100</f>
        <v>0</v>
      </c>
      <c r="I203" s="39">
        <f t="shared" si="115"/>
        <v>0</v>
      </c>
      <c r="J203" s="39">
        <f t="shared" si="115"/>
        <v>0</v>
      </c>
      <c r="K203" s="45">
        <f t="shared" si="115"/>
        <v>0</v>
      </c>
      <c r="L203" s="144">
        <f t="shared" si="115"/>
        <v>2</v>
      </c>
      <c r="M203" s="50">
        <f t="shared" si="87"/>
        <v>0</v>
      </c>
      <c r="N203" s="40">
        <f t="shared" si="88"/>
        <v>204</v>
      </c>
      <c r="O203" s="43">
        <f t="shared" si="89"/>
        <v>276</v>
      </c>
    </row>
    <row r="204" spans="1:15" ht="22.95" customHeight="1" x14ac:dyDescent="0.3">
      <c r="A204" s="52" t="s">
        <v>67</v>
      </c>
      <c r="B204" s="44">
        <f t="shared" si="107"/>
        <v>87</v>
      </c>
      <c r="C204" s="39">
        <f t="shared" si="107"/>
        <v>89</v>
      </c>
      <c r="D204" s="39">
        <f t="shared" si="107"/>
        <v>16</v>
      </c>
      <c r="E204" s="39">
        <f t="shared" si="107"/>
        <v>11</v>
      </c>
      <c r="F204" s="39">
        <f t="shared" si="107"/>
        <v>17</v>
      </c>
      <c r="G204" s="50">
        <f t="shared" si="84"/>
        <v>220</v>
      </c>
      <c r="H204" s="44">
        <f t="shared" ref="H204:L204" si="116">H98+H99+H100+H101</f>
        <v>0</v>
      </c>
      <c r="I204" s="39">
        <f t="shared" si="116"/>
        <v>0</v>
      </c>
      <c r="J204" s="39">
        <f t="shared" si="116"/>
        <v>0</v>
      </c>
      <c r="K204" s="45">
        <f t="shared" si="116"/>
        <v>0</v>
      </c>
      <c r="L204" s="144">
        <f t="shared" si="116"/>
        <v>5</v>
      </c>
      <c r="M204" s="50">
        <f t="shared" si="87"/>
        <v>0</v>
      </c>
      <c r="N204" s="40">
        <f t="shared" si="88"/>
        <v>220</v>
      </c>
      <c r="O204" s="43">
        <f t="shared" si="89"/>
        <v>305</v>
      </c>
    </row>
    <row r="205" spans="1:15" ht="22.95" customHeight="1" x14ac:dyDescent="0.3">
      <c r="A205" s="52" t="s">
        <v>68</v>
      </c>
      <c r="B205" s="44">
        <f t="shared" si="107"/>
        <v>105</v>
      </c>
      <c r="C205" s="39">
        <f t="shared" si="107"/>
        <v>104</v>
      </c>
      <c r="D205" s="39">
        <f t="shared" si="107"/>
        <v>17</v>
      </c>
      <c r="E205" s="39">
        <f t="shared" si="107"/>
        <v>12</v>
      </c>
      <c r="F205" s="39">
        <f t="shared" si="107"/>
        <v>17</v>
      </c>
      <c r="G205" s="50">
        <f t="shared" si="84"/>
        <v>255</v>
      </c>
      <c r="H205" s="44">
        <f t="shared" ref="H205:L205" si="117">H99+H100+H101+H102</f>
        <v>1</v>
      </c>
      <c r="I205" s="39">
        <f t="shared" si="117"/>
        <v>0</v>
      </c>
      <c r="J205" s="39">
        <f t="shared" si="117"/>
        <v>0</v>
      </c>
      <c r="K205" s="45">
        <f t="shared" si="117"/>
        <v>0</v>
      </c>
      <c r="L205" s="144">
        <f t="shared" si="117"/>
        <v>9</v>
      </c>
      <c r="M205" s="50">
        <f t="shared" si="87"/>
        <v>1</v>
      </c>
      <c r="N205" s="40">
        <f t="shared" si="88"/>
        <v>256</v>
      </c>
      <c r="O205" s="43">
        <f t="shared" si="89"/>
        <v>367.5</v>
      </c>
    </row>
    <row r="206" spans="1:15" ht="22.95" customHeight="1" thickBot="1" x14ac:dyDescent="0.35">
      <c r="A206" s="52" t="s">
        <v>69</v>
      </c>
      <c r="B206" s="46">
        <f t="shared" si="107"/>
        <v>117</v>
      </c>
      <c r="C206" s="47">
        <f t="shared" si="107"/>
        <v>116</v>
      </c>
      <c r="D206" s="47">
        <f t="shared" si="107"/>
        <v>15</v>
      </c>
      <c r="E206" s="47">
        <f t="shared" si="107"/>
        <v>13</v>
      </c>
      <c r="F206" s="47">
        <f t="shared" si="107"/>
        <v>15</v>
      </c>
      <c r="G206" s="50">
        <f t="shared" si="84"/>
        <v>276</v>
      </c>
      <c r="H206" s="44">
        <f t="shared" ref="H206:L206" si="118">H100+H101+H102+H103</f>
        <v>1</v>
      </c>
      <c r="I206" s="39">
        <f t="shared" si="118"/>
        <v>0</v>
      </c>
      <c r="J206" s="39">
        <f t="shared" si="118"/>
        <v>0</v>
      </c>
      <c r="K206" s="45">
        <f t="shared" si="118"/>
        <v>0</v>
      </c>
      <c r="L206" s="145">
        <f t="shared" si="118"/>
        <v>11</v>
      </c>
      <c r="M206" s="50">
        <f t="shared" si="87"/>
        <v>1</v>
      </c>
      <c r="N206" s="40">
        <f t="shared" si="88"/>
        <v>277</v>
      </c>
      <c r="O206" s="43">
        <f t="shared" si="89"/>
        <v>392.5</v>
      </c>
    </row>
  </sheetData>
  <mergeCells count="31">
    <mergeCell ref="B112:B113"/>
    <mergeCell ref="A1:M1"/>
    <mergeCell ref="D6:D7"/>
    <mergeCell ref="G6:G7"/>
    <mergeCell ref="E6:E7"/>
    <mergeCell ref="H6:H7"/>
    <mergeCell ref="I6:I7"/>
    <mergeCell ref="J6:J7"/>
    <mergeCell ref="K6:K7"/>
    <mergeCell ref="M6:M7"/>
    <mergeCell ref="B6:B7"/>
    <mergeCell ref="F6:F7"/>
    <mergeCell ref="A112:A113"/>
    <mergeCell ref="A6:A7"/>
    <mergeCell ref="C6:C7"/>
    <mergeCell ref="C112:C113"/>
    <mergeCell ref="D112:D113"/>
    <mergeCell ref="N6:N7"/>
    <mergeCell ref="O6:O7"/>
    <mergeCell ref="F112:F113"/>
    <mergeCell ref="G112:G113"/>
    <mergeCell ref="N112:N113"/>
    <mergeCell ref="O112:O113"/>
    <mergeCell ref="H112:H113"/>
    <mergeCell ref="I112:I113"/>
    <mergeCell ref="J112:J113"/>
    <mergeCell ref="K112:K113"/>
    <mergeCell ref="M112:M113"/>
    <mergeCell ref="L6:L7"/>
    <mergeCell ref="L112:L113"/>
    <mergeCell ref="E112:E113"/>
  </mergeCells>
  <pageMargins left="0.7" right="0.7" top="0.75" bottom="0.75" header="0.3" footer="0.3"/>
  <pageSetup paperSize="9" scale="29" orientation="portrait" r:id="rId1"/>
  <rowBreaks count="1" manualBreakCount="1">
    <brk id="106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22"/>
  <sheetViews>
    <sheetView view="pageBreakPreview" zoomScale="70" zoomScaleNormal="70" zoomScaleSheetLayoutView="70" workbookViewId="0">
      <selection activeCell="J26" sqref="J26"/>
    </sheetView>
  </sheetViews>
  <sheetFormatPr defaultRowHeight="15.6" x14ac:dyDescent="0.3"/>
  <cols>
    <col min="2" max="2" width="26" customWidth="1"/>
    <col min="3" max="3" width="13.5" bestFit="1" customWidth="1"/>
  </cols>
  <sheetData>
    <row r="1" spans="1:18" x14ac:dyDescent="0.3">
      <c r="C1" s="37" t="str">
        <f>Summary!A3</f>
        <v>Location Code:</v>
      </c>
      <c r="D1" s="4" t="str">
        <f>Summary!B3</f>
        <v>D2</v>
      </c>
    </row>
    <row r="2" spans="1:18" ht="16.2" thickBot="1" x14ac:dyDescent="0.35"/>
    <row r="3" spans="1:18" ht="29.4" customHeight="1" x14ac:dyDescent="0.3">
      <c r="A3" s="272" t="s">
        <v>145</v>
      </c>
      <c r="B3" s="274" t="s">
        <v>146</v>
      </c>
      <c r="C3" s="258" t="s">
        <v>280</v>
      </c>
      <c r="D3" s="254" t="s">
        <v>281</v>
      </c>
      <c r="E3" s="250" t="s">
        <v>282</v>
      </c>
      <c r="F3" s="260" t="s">
        <v>283</v>
      </c>
      <c r="G3" s="256" t="s">
        <v>284</v>
      </c>
      <c r="H3" s="250" t="s">
        <v>129</v>
      </c>
      <c r="I3" s="248" t="s">
        <v>150</v>
      </c>
      <c r="J3" s="250" t="s">
        <v>151</v>
      </c>
      <c r="K3" s="250" t="s">
        <v>285</v>
      </c>
      <c r="L3" s="248" t="s">
        <v>286</v>
      </c>
      <c r="M3" s="250" t="s">
        <v>287</v>
      </c>
      <c r="N3" s="250" t="s">
        <v>78</v>
      </c>
      <c r="O3" s="250" t="s">
        <v>131</v>
      </c>
      <c r="P3" s="250" t="s">
        <v>132</v>
      </c>
    </row>
    <row r="4" spans="1:18" ht="38.4" customHeight="1" thickBot="1" x14ac:dyDescent="0.35">
      <c r="A4" s="273"/>
      <c r="B4" s="275"/>
      <c r="C4" s="259"/>
      <c r="D4" s="255"/>
      <c r="E4" s="251"/>
      <c r="F4" s="261"/>
      <c r="G4" s="257"/>
      <c r="H4" s="259"/>
      <c r="I4" s="249"/>
      <c r="J4" s="251"/>
      <c r="K4" s="251"/>
      <c r="L4" s="249"/>
      <c r="M4" s="251"/>
      <c r="N4" s="251"/>
      <c r="O4" s="251"/>
      <c r="P4" s="251"/>
    </row>
    <row r="5" spans="1:18" ht="16.5" customHeight="1" thickBot="1" x14ac:dyDescent="0.35">
      <c r="A5" s="65"/>
      <c r="B5" s="33"/>
      <c r="C5" s="68"/>
      <c r="D5" s="68"/>
      <c r="E5" s="68"/>
      <c r="F5" s="68"/>
      <c r="G5" s="68"/>
      <c r="H5" s="69"/>
      <c r="I5" s="67"/>
      <c r="J5" s="67"/>
    </row>
    <row r="6" spans="1:18" x14ac:dyDescent="0.3">
      <c r="A6" s="35" t="s">
        <v>118</v>
      </c>
      <c r="B6" s="74" t="str">
        <f>CONCATENATE(V_1!$B$4, " To ",V_1!$E$4)</f>
        <v>Nindar To Delhi</v>
      </c>
      <c r="C6" s="72">
        <f>+V_1!B104</f>
        <v>1129</v>
      </c>
      <c r="D6" s="72">
        <f>+V_1!C104</f>
        <v>1682</v>
      </c>
      <c r="E6" s="72">
        <f>+V_1!D104</f>
        <v>126</v>
      </c>
      <c r="F6" s="72">
        <f>+V_1!E104</f>
        <v>37</v>
      </c>
      <c r="G6" s="72">
        <f>+V_1!F104</f>
        <v>66</v>
      </c>
      <c r="H6" s="72">
        <f>+V_1!G104</f>
        <v>3040</v>
      </c>
      <c r="I6" s="72">
        <f>+V_1!H104</f>
        <v>3</v>
      </c>
      <c r="J6" s="72">
        <f>+V_1!I104</f>
        <v>1</v>
      </c>
      <c r="K6" s="72">
        <f>+V_1!J104</f>
        <v>0</v>
      </c>
      <c r="L6" s="72">
        <f>+V_1!K104</f>
        <v>0</v>
      </c>
      <c r="M6" s="72">
        <f>+V_1!L104</f>
        <v>28</v>
      </c>
      <c r="N6" s="72">
        <f>+V_1!M104</f>
        <v>2</v>
      </c>
      <c r="O6" s="72">
        <f>+V_1!N104</f>
        <v>3042</v>
      </c>
      <c r="P6" s="72">
        <f>+V_1!O104</f>
        <v>2794</v>
      </c>
      <c r="R6" s="213">
        <f>O6+O9+O12+O15+O18+O21</f>
        <v>66270</v>
      </c>
    </row>
    <row r="7" spans="1:18" ht="16.2" thickBot="1" x14ac:dyDescent="0.35">
      <c r="A7" s="75" t="s">
        <v>119</v>
      </c>
      <c r="B7" s="76" t="str">
        <f>CONCATENATE(V_6!$B$4, " To ",V_6!$E$4)</f>
        <v>Delhi To Nindar</v>
      </c>
      <c r="C7" s="73">
        <f>+V_6!B104</f>
        <v>1478</v>
      </c>
      <c r="D7" s="73">
        <f>+V_6!C104</f>
        <v>687</v>
      </c>
      <c r="E7" s="73">
        <f>+V_6!D104</f>
        <v>213</v>
      </c>
      <c r="F7" s="73">
        <f>+V_6!E104</f>
        <v>47</v>
      </c>
      <c r="G7" s="73">
        <f>+V_6!F104</f>
        <v>132</v>
      </c>
      <c r="H7" s="73">
        <f>+V_6!G104</f>
        <v>2557</v>
      </c>
      <c r="I7" s="73">
        <f>+V_6!H104</f>
        <v>0</v>
      </c>
      <c r="J7" s="73">
        <f>+V_6!I104</f>
        <v>0</v>
      </c>
      <c r="K7" s="73">
        <f>+V_6!J104</f>
        <v>0</v>
      </c>
      <c r="L7" s="73">
        <f>+V_6!K104</f>
        <v>0</v>
      </c>
      <c r="M7" s="73">
        <f>+V_6!L104</f>
        <v>3</v>
      </c>
      <c r="N7" s="73">
        <f>+V_6!M104</f>
        <v>3</v>
      </c>
      <c r="O7" s="73">
        <f>+V_6!N104</f>
        <v>2560</v>
      </c>
      <c r="P7" s="73">
        <f>+V_6!O104</f>
        <v>2900</v>
      </c>
      <c r="R7" s="213">
        <f>O7+O10+O13+O16+O19+O22</f>
        <v>67871</v>
      </c>
    </row>
    <row r="8" spans="1:18" ht="16.2" thickBot="1" x14ac:dyDescent="0.35">
      <c r="A8" s="3"/>
      <c r="C8" s="66"/>
      <c r="D8" s="38"/>
      <c r="E8" s="38"/>
      <c r="F8" s="38"/>
      <c r="G8" s="38"/>
      <c r="H8" s="4"/>
    </row>
    <row r="9" spans="1:18" x14ac:dyDescent="0.3">
      <c r="A9" s="77" t="s">
        <v>120</v>
      </c>
      <c r="B9" s="74" t="str">
        <f>CONCATENATE(V_2!$B$4, " To ",V_2!$E$4)</f>
        <v>Nindar To Chomu Pulia</v>
      </c>
      <c r="C9" s="72">
        <f>+V_2!B104</f>
        <v>8964</v>
      </c>
      <c r="D9" s="72">
        <f>+V_2!C104</f>
        <v>7500</v>
      </c>
      <c r="E9" s="72">
        <f>+V_2!D104</f>
        <v>293</v>
      </c>
      <c r="F9" s="72">
        <f>+V_2!E104</f>
        <v>617</v>
      </c>
      <c r="G9" s="72">
        <f>+V_2!F104</f>
        <v>147</v>
      </c>
      <c r="H9" s="72">
        <f>+V_2!G104</f>
        <v>17521</v>
      </c>
      <c r="I9" s="72">
        <f>+V_2!H104</f>
        <v>19</v>
      </c>
      <c r="J9" s="72">
        <f>+V_2!I104</f>
        <v>0</v>
      </c>
      <c r="K9" s="72">
        <f>+V_2!J104</f>
        <v>0</v>
      </c>
      <c r="L9" s="72">
        <f>+V_2!K104</f>
        <v>0</v>
      </c>
      <c r="M9" s="72">
        <f>+V_2!L104</f>
        <v>71</v>
      </c>
      <c r="N9" s="72">
        <f>+V_2!M104</f>
        <v>6</v>
      </c>
      <c r="O9" s="72">
        <f>+V_2!N104</f>
        <v>17527</v>
      </c>
      <c r="P9" s="72">
        <f>+V_2!O104</f>
        <v>16243.5</v>
      </c>
    </row>
    <row r="10" spans="1:18" ht="16.2" thickBot="1" x14ac:dyDescent="0.35">
      <c r="A10" s="78" t="s">
        <v>121</v>
      </c>
      <c r="B10" s="76" t="str">
        <f>CONCATENATE(V_8!$B$4, " To ",V_8!$E$4)</f>
        <v>Chomu Pulia To Nindar</v>
      </c>
      <c r="C10" s="73">
        <f>+V_8!B104</f>
        <v>8286</v>
      </c>
      <c r="D10" s="73">
        <f>+V_8!C104</f>
        <v>7736</v>
      </c>
      <c r="E10" s="73">
        <f>+V_8!D104</f>
        <v>456</v>
      </c>
      <c r="F10" s="73">
        <f>+V_8!E104</f>
        <v>565</v>
      </c>
      <c r="G10" s="73">
        <f>+V_8!F104</f>
        <v>150</v>
      </c>
      <c r="H10" s="73">
        <f>+V_8!G104</f>
        <v>17193</v>
      </c>
      <c r="I10" s="73">
        <f>+V_8!H104</f>
        <v>4</v>
      </c>
      <c r="J10" s="73">
        <f>+V_8!I104</f>
        <v>0</v>
      </c>
      <c r="K10" s="73">
        <f>+V_8!J104</f>
        <v>0</v>
      </c>
      <c r="L10" s="73">
        <f>+V_8!K104</f>
        <v>0</v>
      </c>
      <c r="M10" s="73">
        <f>+V_8!L104</f>
        <v>62</v>
      </c>
      <c r="N10" s="73">
        <f>+V_8!M104</f>
        <v>1</v>
      </c>
      <c r="O10" s="73">
        <f>+V_8!N104</f>
        <v>17194</v>
      </c>
      <c r="P10" s="73">
        <f>+V_8!O104</f>
        <v>15706</v>
      </c>
    </row>
    <row r="11" spans="1:18" ht="16.2" thickBot="1" x14ac:dyDescent="0.35">
      <c r="A11" s="3"/>
      <c r="C11" s="66"/>
      <c r="D11" s="38"/>
      <c r="E11" s="38"/>
      <c r="F11" s="38"/>
      <c r="G11" s="38"/>
      <c r="H11" s="4"/>
    </row>
    <row r="12" spans="1:18" x14ac:dyDescent="0.3">
      <c r="A12" s="77" t="s">
        <v>122</v>
      </c>
      <c r="B12" s="74" t="str">
        <f>CONCATENATE(V_3!$B$4, " To ",V_3!$E$4)</f>
        <v>Nindar To Mansarover</v>
      </c>
      <c r="C12" s="72">
        <f>+V_3!B104</f>
        <v>6361</v>
      </c>
      <c r="D12" s="72">
        <f>+V_3!C104</f>
        <v>1717</v>
      </c>
      <c r="E12" s="72">
        <f>+V_3!D104</f>
        <v>357</v>
      </c>
      <c r="F12" s="72">
        <f>+V_3!E104</f>
        <v>114</v>
      </c>
      <c r="G12" s="72">
        <f>+V_3!F104</f>
        <v>548</v>
      </c>
      <c r="H12" s="72">
        <f>+V_3!G104</f>
        <v>9097</v>
      </c>
      <c r="I12" s="72">
        <f>+V_3!H104</f>
        <v>2</v>
      </c>
      <c r="J12" s="72">
        <f>+V_3!I104</f>
        <v>0</v>
      </c>
      <c r="K12" s="72">
        <f>+V_3!J104</f>
        <v>0</v>
      </c>
      <c r="L12" s="72">
        <f>+V_3!K104</f>
        <v>0</v>
      </c>
      <c r="M12" s="72">
        <f>+V_3!L104</f>
        <v>1</v>
      </c>
      <c r="N12" s="72">
        <f>+V_3!M104</f>
        <v>3</v>
      </c>
      <c r="O12" s="72">
        <f>+V_3!N104</f>
        <v>9100</v>
      </c>
      <c r="P12" s="72">
        <f>+V_3!O104</f>
        <v>10572</v>
      </c>
    </row>
    <row r="13" spans="1:18" ht="16.2" thickBot="1" x14ac:dyDescent="0.35">
      <c r="A13" s="78" t="s">
        <v>123</v>
      </c>
      <c r="B13" s="76" t="str">
        <f>CONCATENATE(V_10!$B$4, " To ",V_10!$E$4)</f>
        <v>Mansarover To Nindar</v>
      </c>
      <c r="C13" s="73">
        <f>+V_10!B104</f>
        <v>8844</v>
      </c>
      <c r="D13" s="73">
        <f>+V_10!C104</f>
        <v>2108</v>
      </c>
      <c r="E13" s="73">
        <f>+V_10!D104</f>
        <v>628</v>
      </c>
      <c r="F13" s="73">
        <f>+V_10!E104</f>
        <v>239</v>
      </c>
      <c r="G13" s="73">
        <f>+V_10!F104</f>
        <v>629</v>
      </c>
      <c r="H13" s="73">
        <f>+V_10!G104</f>
        <v>12448</v>
      </c>
      <c r="I13" s="73">
        <f>+V_10!H104</f>
        <v>0</v>
      </c>
      <c r="J13" s="73">
        <f>+V_10!I104</f>
        <v>0</v>
      </c>
      <c r="K13" s="73">
        <f>+V_10!J104</f>
        <v>3</v>
      </c>
      <c r="L13" s="73">
        <f>+V_10!K104</f>
        <v>0</v>
      </c>
      <c r="M13" s="73">
        <f>+V_10!L104</f>
        <v>27</v>
      </c>
      <c r="N13" s="73">
        <f>+V_10!M104</f>
        <v>1</v>
      </c>
      <c r="O13" s="73">
        <f>+V_10!N104</f>
        <v>12449</v>
      </c>
      <c r="P13" s="73">
        <f>+V_10!O104</f>
        <v>14612.5</v>
      </c>
    </row>
    <row r="14" spans="1:18" ht="16.2" thickBot="1" x14ac:dyDescent="0.35">
      <c r="A14" s="3"/>
      <c r="C14" s="38"/>
      <c r="D14" s="38"/>
      <c r="E14" s="38"/>
      <c r="F14" s="38"/>
      <c r="G14" s="38"/>
      <c r="H14" s="4"/>
    </row>
    <row r="15" spans="1:18" x14ac:dyDescent="0.3">
      <c r="A15" s="77" t="s">
        <v>106</v>
      </c>
      <c r="B15" s="74" t="str">
        <f>CONCATENATE(V_4!$B$4, " To ",V_4!$E$4)</f>
        <v>Delhi To Chomu Pulia</v>
      </c>
      <c r="C15" s="72">
        <f>+V_4!B104</f>
        <v>3037</v>
      </c>
      <c r="D15" s="72">
        <f>+V_4!C104</f>
        <v>1653</v>
      </c>
      <c r="E15" s="72">
        <f>+V_4!D104</f>
        <v>241</v>
      </c>
      <c r="F15" s="72">
        <f>+V_4!E104</f>
        <v>125</v>
      </c>
      <c r="G15" s="72">
        <f>+V_4!F104</f>
        <v>223</v>
      </c>
      <c r="H15" s="72">
        <f>+V_4!G104</f>
        <v>5279</v>
      </c>
      <c r="I15" s="72">
        <f>+V_4!H104</f>
        <v>4</v>
      </c>
      <c r="J15" s="72">
        <f>+V_4!I104</f>
        <v>0</v>
      </c>
      <c r="K15" s="72">
        <f>+V_4!J104</f>
        <v>0</v>
      </c>
      <c r="L15" s="72">
        <f>+V_4!K104</f>
        <v>0</v>
      </c>
      <c r="M15" s="72">
        <f>+V_4!L104</f>
        <v>83</v>
      </c>
      <c r="N15" s="72">
        <f>+V_4!M104</f>
        <v>0</v>
      </c>
      <c r="O15" s="72">
        <f>+V_4!N104</f>
        <v>5279</v>
      </c>
      <c r="P15" s="72">
        <f>+V_4!O104</f>
        <v>6269.5</v>
      </c>
    </row>
    <row r="16" spans="1:18" ht="16.2" thickBot="1" x14ac:dyDescent="0.35">
      <c r="A16" s="78" t="s">
        <v>107</v>
      </c>
      <c r="B16" s="76" t="str">
        <f>CONCATENATE(V_9!$B$4, " To ",V_9!$E$4)</f>
        <v>Chomu Pulia To Delhi</v>
      </c>
      <c r="C16" s="73">
        <f>+V_9!B104</f>
        <v>2644</v>
      </c>
      <c r="D16" s="73">
        <f>+V_9!C104</f>
        <v>1282</v>
      </c>
      <c r="E16" s="73">
        <f>+V_9!D104</f>
        <v>208</v>
      </c>
      <c r="F16" s="73">
        <f>+V_9!E104</f>
        <v>104</v>
      </c>
      <c r="G16" s="73">
        <f>+V_9!F104</f>
        <v>164</v>
      </c>
      <c r="H16" s="73">
        <f>+V_9!G104</f>
        <v>4402</v>
      </c>
      <c r="I16" s="73">
        <f>+V_9!H104</f>
        <v>3</v>
      </c>
      <c r="J16" s="73">
        <f>+V_9!I104</f>
        <v>1</v>
      </c>
      <c r="K16" s="73">
        <f>+V_9!J104</f>
        <v>0</v>
      </c>
      <c r="L16" s="73">
        <f>+V_9!K104</f>
        <v>0</v>
      </c>
      <c r="M16" s="73">
        <f>+V_9!L104</f>
        <v>53</v>
      </c>
      <c r="N16" s="73">
        <f>+V_9!M104</f>
        <v>1</v>
      </c>
      <c r="O16" s="73">
        <f>+V_9!N104</f>
        <v>4403</v>
      </c>
      <c r="P16" s="73">
        <f>+V_9!O104</f>
        <v>5074</v>
      </c>
    </row>
    <row r="17" spans="1:16" ht="16.2" thickBot="1" x14ac:dyDescent="0.35">
      <c r="A17" s="3"/>
      <c r="C17" s="38"/>
      <c r="D17" s="38"/>
      <c r="E17" s="38"/>
      <c r="F17" s="38"/>
      <c r="G17" s="38"/>
      <c r="H17" s="4"/>
    </row>
    <row r="18" spans="1:16" x14ac:dyDescent="0.3">
      <c r="A18" s="77" t="s">
        <v>108</v>
      </c>
      <c r="B18" s="74" t="str">
        <f>CONCATENATE(V_5!$B$4, " To ",V_5!$E$4)</f>
        <v>Delhi To Mansarover</v>
      </c>
      <c r="C18" s="72">
        <f>+V_5!B104</f>
        <v>7403</v>
      </c>
      <c r="D18" s="72">
        <f>+V_5!C104</f>
        <v>4438</v>
      </c>
      <c r="E18" s="72">
        <f>+V_5!D104</f>
        <v>1534</v>
      </c>
      <c r="F18" s="72">
        <f>+V_5!E104</f>
        <v>459</v>
      </c>
      <c r="G18" s="72">
        <f>+V_5!F104</f>
        <v>2731</v>
      </c>
      <c r="H18" s="72">
        <f>+V_5!G104</f>
        <v>16565</v>
      </c>
      <c r="I18" s="72">
        <f>+V_5!H104</f>
        <v>5</v>
      </c>
      <c r="J18" s="72">
        <f>+V_5!I104</f>
        <v>0</v>
      </c>
      <c r="K18" s="72">
        <f>+V_5!J104</f>
        <v>0</v>
      </c>
      <c r="L18" s="72">
        <f>+V_5!K104</f>
        <v>1</v>
      </c>
      <c r="M18" s="72">
        <f>+V_5!L104</f>
        <v>20</v>
      </c>
      <c r="N18" s="72">
        <f>+V_5!M104</f>
        <v>0</v>
      </c>
      <c r="O18" s="72">
        <f>+V_5!N104</f>
        <v>16565</v>
      </c>
      <c r="P18" s="72">
        <f>+V_5!O104</f>
        <v>25756</v>
      </c>
    </row>
    <row r="19" spans="1:16" ht="16.2" thickBot="1" x14ac:dyDescent="0.35">
      <c r="A19" s="78" t="s">
        <v>109</v>
      </c>
      <c r="B19" s="76" t="str">
        <f>CONCATENATE(V_11!$B$4, " To ",V_11!$E$4)</f>
        <v>Mansarover To Delhi</v>
      </c>
      <c r="C19" s="73">
        <f>+V_11!B104</f>
        <v>7644</v>
      </c>
      <c r="D19" s="73">
        <f>+V_11!C104</f>
        <v>6628</v>
      </c>
      <c r="E19" s="73">
        <f>+V_11!D104</f>
        <v>1174</v>
      </c>
      <c r="F19" s="73">
        <f>+V_11!E104</f>
        <v>846</v>
      </c>
      <c r="G19" s="73">
        <f>+V_11!F104</f>
        <v>2709</v>
      </c>
      <c r="H19" s="73">
        <f>+V_11!G104</f>
        <v>19001</v>
      </c>
      <c r="I19" s="73">
        <f>+V_11!H104</f>
        <v>79</v>
      </c>
      <c r="J19" s="73">
        <f>+V_11!I104</f>
        <v>0</v>
      </c>
      <c r="K19" s="73">
        <f>+V_11!J104</f>
        <v>6</v>
      </c>
      <c r="L19" s="73">
        <f>+V_11!K104</f>
        <v>0</v>
      </c>
      <c r="M19" s="73">
        <f>+V_11!L104</f>
        <v>62</v>
      </c>
      <c r="N19" s="73">
        <f>+V_11!M104</f>
        <v>2</v>
      </c>
      <c r="O19" s="73">
        <f>+V_11!N104</f>
        <v>19003</v>
      </c>
      <c r="P19" s="73">
        <f>+V_11!O104</f>
        <v>28001</v>
      </c>
    </row>
    <row r="20" spans="1:16" ht="16.2" thickBot="1" x14ac:dyDescent="0.35">
      <c r="A20" s="3"/>
      <c r="C20" s="38"/>
      <c r="D20" s="38"/>
      <c r="E20" s="38"/>
      <c r="F20" s="38"/>
      <c r="G20" s="38"/>
      <c r="H20" s="4"/>
    </row>
    <row r="21" spans="1:16" x14ac:dyDescent="0.3">
      <c r="A21" s="77" t="s">
        <v>110</v>
      </c>
      <c r="B21" s="74" t="str">
        <f>CONCATENATE(V_7!$B$4, " To ",V_7!$E$4)</f>
        <v>Chomu Pulia To Mansarover</v>
      </c>
      <c r="C21" s="243">
        <f>+V_7!B104</f>
        <v>8454</v>
      </c>
      <c r="D21" s="72">
        <f>+V_7!C104</f>
        <v>5055</v>
      </c>
      <c r="E21" s="72">
        <f>+V_7!D104</f>
        <v>385</v>
      </c>
      <c r="F21" s="72">
        <f>+V_7!E104</f>
        <v>541</v>
      </c>
      <c r="G21" s="72">
        <f>+V_7!F104</f>
        <v>318</v>
      </c>
      <c r="H21" s="72">
        <f>+V_7!G104</f>
        <v>14753</v>
      </c>
      <c r="I21" s="72">
        <f>+V_7!H104</f>
        <v>3</v>
      </c>
      <c r="J21" s="72">
        <f>+V_7!I104</f>
        <v>0</v>
      </c>
      <c r="K21" s="72">
        <f>+V_7!J104</f>
        <v>0</v>
      </c>
      <c r="L21" s="72">
        <f>+V_7!K104</f>
        <v>0</v>
      </c>
      <c r="M21" s="72">
        <f>+V_7!L104</f>
        <v>268</v>
      </c>
      <c r="N21" s="72">
        <f>+V_7!M104</f>
        <v>4</v>
      </c>
      <c r="O21" s="72">
        <f>+V_7!N104</f>
        <v>14757</v>
      </c>
      <c r="P21" s="72">
        <f>+V_7!O104</f>
        <v>16758.5</v>
      </c>
    </row>
    <row r="22" spans="1:16" ht="16.2" thickBot="1" x14ac:dyDescent="0.35">
      <c r="A22" s="78" t="s">
        <v>111</v>
      </c>
      <c r="B22" s="76" t="str">
        <f>CONCATENATE(V_12!$B$4, " To ",V_12!$E$4)</f>
        <v>Mansarover To Chomu Pulia</v>
      </c>
      <c r="C22" s="73">
        <f>+V_12!B104</f>
        <v>7190</v>
      </c>
      <c r="D22" s="73">
        <f>+V_12!C104</f>
        <v>4212</v>
      </c>
      <c r="E22" s="73">
        <f>+V_12!D104</f>
        <v>358</v>
      </c>
      <c r="F22" s="73">
        <f>+V_12!E104</f>
        <v>133</v>
      </c>
      <c r="G22" s="73">
        <f>+V_12!F104</f>
        <v>365</v>
      </c>
      <c r="H22" s="73">
        <f>+V_12!G104</f>
        <v>12258</v>
      </c>
      <c r="I22" s="73">
        <f>+V_12!H104</f>
        <v>6</v>
      </c>
      <c r="J22" s="73">
        <f>+V_12!I104</f>
        <v>0</v>
      </c>
      <c r="K22" s="73">
        <f>+V_12!J104</f>
        <v>3</v>
      </c>
      <c r="L22" s="73">
        <f>+V_12!K104</f>
        <v>0</v>
      </c>
      <c r="M22" s="73">
        <f>+V_12!L104</f>
        <v>159</v>
      </c>
      <c r="N22" s="73">
        <f>+V_12!M104</f>
        <v>4</v>
      </c>
      <c r="O22" s="73">
        <f>+V_12!N104</f>
        <v>12262</v>
      </c>
      <c r="P22" s="73">
        <f>+V_12!O104</f>
        <v>13158.5</v>
      </c>
    </row>
  </sheetData>
  <mergeCells count="16">
    <mergeCell ref="P3:P4"/>
    <mergeCell ref="M3:M4"/>
    <mergeCell ref="N3:N4"/>
    <mergeCell ref="O3:O4"/>
    <mergeCell ref="H3:H4"/>
    <mergeCell ref="K3:K4"/>
    <mergeCell ref="I3:I4"/>
    <mergeCell ref="J3:J4"/>
    <mergeCell ref="A3:A4"/>
    <mergeCell ref="B3:B4"/>
    <mergeCell ref="D3:D4"/>
    <mergeCell ref="C3:C4"/>
    <mergeCell ref="L3:L4"/>
    <mergeCell ref="G3:G4"/>
    <mergeCell ref="E3:E4"/>
    <mergeCell ref="F3:F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206"/>
  <sheetViews>
    <sheetView view="pageBreakPreview" zoomScale="60" zoomScaleNormal="70" workbookViewId="0">
      <selection activeCell="K10" sqref="K10"/>
    </sheetView>
  </sheetViews>
  <sheetFormatPr defaultColWidth="9" defaultRowHeight="15.6" x14ac:dyDescent="0.3"/>
  <cols>
    <col min="1" max="1" width="17.59765625" customWidth="1"/>
    <col min="2" max="7" width="11.69921875" customWidth="1"/>
    <col min="8" max="8" width="15.09765625" bestFit="1" customWidth="1"/>
    <col min="9" max="15" width="11.69921875" customWidth="1"/>
  </cols>
  <sheetData>
    <row r="1" spans="1:15" x14ac:dyDescent="0.3">
      <c r="A1" s="247" t="s">
        <v>99</v>
      </c>
      <c r="B1" s="247"/>
      <c r="C1" s="247"/>
      <c r="D1" s="247"/>
      <c r="E1" s="247"/>
      <c r="F1" s="247"/>
      <c r="G1" s="247"/>
      <c r="H1" s="247"/>
      <c r="I1" s="247"/>
      <c r="J1" s="247"/>
    </row>
    <row r="2" spans="1:15" s="4" customFormat="1" x14ac:dyDescent="0.3">
      <c r="A2" s="4" t="s">
        <v>103</v>
      </c>
      <c r="B2" s="4" t="str">
        <f>Summary!B2</f>
        <v>TMC-14 Number (D2)</v>
      </c>
      <c r="H2" s="7">
        <f>+Summary!I1</f>
        <v>46245</v>
      </c>
    </row>
    <row r="3" spans="1:15" s="4" customFormat="1" x14ac:dyDescent="0.3">
      <c r="A3" s="4" t="s">
        <v>102</v>
      </c>
      <c r="B3" s="4" t="str">
        <f>Summary!B3</f>
        <v>D2</v>
      </c>
      <c r="H3" s="53" t="str">
        <f>+Summary!I2</f>
        <v>Tuesday</v>
      </c>
    </row>
    <row r="4" spans="1:15" s="4" customFormat="1" x14ac:dyDescent="0.3">
      <c r="A4" s="4" t="s">
        <v>104</v>
      </c>
      <c r="B4" s="4" t="str">
        <f>+Summary!A6</f>
        <v>Nindar</v>
      </c>
    </row>
    <row r="5" spans="1:15" ht="16.2" thickBot="1" x14ac:dyDescent="0.35"/>
    <row r="6" spans="1:15" ht="25.2" customHeight="1" x14ac:dyDescent="0.3">
      <c r="A6" s="252" t="s">
        <v>95</v>
      </c>
      <c r="B6" s="258" t="s">
        <v>280</v>
      </c>
      <c r="C6" s="254" t="s">
        <v>281</v>
      </c>
      <c r="D6" s="250" t="s">
        <v>282</v>
      </c>
      <c r="E6" s="260" t="s">
        <v>283</v>
      </c>
      <c r="F6" s="256" t="s">
        <v>284</v>
      </c>
      <c r="G6" s="250" t="s">
        <v>129</v>
      </c>
      <c r="H6" s="248" t="s">
        <v>150</v>
      </c>
      <c r="I6" s="250" t="s">
        <v>151</v>
      </c>
      <c r="J6" s="250" t="s">
        <v>285</v>
      </c>
      <c r="K6" s="248" t="s">
        <v>286</v>
      </c>
      <c r="L6" s="250" t="s">
        <v>287</v>
      </c>
      <c r="M6" s="250" t="s">
        <v>78</v>
      </c>
      <c r="N6" s="250" t="s">
        <v>131</v>
      </c>
      <c r="O6" s="250" t="s">
        <v>132</v>
      </c>
    </row>
    <row r="7" spans="1:15" ht="43.5" customHeight="1" thickBot="1" x14ac:dyDescent="0.35">
      <c r="A7" s="253"/>
      <c r="B7" s="259"/>
      <c r="C7" s="255"/>
      <c r="D7" s="251"/>
      <c r="E7" s="261"/>
      <c r="F7" s="257"/>
      <c r="G7" s="259"/>
      <c r="H7" s="249"/>
      <c r="I7" s="251"/>
      <c r="J7" s="251"/>
      <c r="K7" s="249"/>
      <c r="L7" s="251"/>
      <c r="M7" s="251"/>
      <c r="N7" s="251"/>
      <c r="O7" s="251"/>
    </row>
    <row r="8" spans="1:15" ht="22.5" customHeight="1" x14ac:dyDescent="0.3">
      <c r="A8" s="148" t="s">
        <v>177</v>
      </c>
      <c r="B8" s="112">
        <f>V_1!B8+V_2!B8+V_3!B8</f>
        <v>303</v>
      </c>
      <c r="C8" s="113">
        <f>V_1!C8+V_2!C8+V_3!C8</f>
        <v>277</v>
      </c>
      <c r="D8" s="113">
        <f>V_1!D8+V_2!D8+V_3!D8</f>
        <v>11</v>
      </c>
      <c r="E8" s="113">
        <f>V_1!E8+V_2!E8+V_3!E8</f>
        <v>9</v>
      </c>
      <c r="F8" s="151">
        <f>V_1!F8+V_2!F8+V_3!F8</f>
        <v>11</v>
      </c>
      <c r="G8" s="79">
        <f t="shared" ref="G8:G39" si="0">SUM(B8:F8)</f>
        <v>611</v>
      </c>
      <c r="H8" s="112">
        <f>V_1!H8+V_2!H8+V_3!H8</f>
        <v>2</v>
      </c>
      <c r="I8" s="113">
        <f>V_1!I8+V_2!I8+V_3!I8</f>
        <v>0</v>
      </c>
      <c r="J8" s="113">
        <f>V_1!J8+V_2!J8+V_3!J8</f>
        <v>0</v>
      </c>
      <c r="K8" s="114">
        <f>V_1!K8+V_2!K8+V_3!K8</f>
        <v>0</v>
      </c>
      <c r="L8" s="139">
        <f>V_1!L8+V_2!L8+V_3!L8</f>
        <v>7</v>
      </c>
      <c r="M8" s="148">
        <f>SUM(H8:L8)</f>
        <v>9</v>
      </c>
      <c r="N8" s="43">
        <f>G8+M8</f>
        <v>620</v>
      </c>
      <c r="O8" s="115">
        <f>B8*1+C8*0.5+D8*1.5+E8*3+F8*4.5+H8*0.5+I8*1.5+J8*3+K8*4+L8*8</f>
        <v>591.5</v>
      </c>
    </row>
    <row r="9" spans="1:15" ht="22.5" customHeight="1" x14ac:dyDescent="0.3">
      <c r="A9" s="149" t="s">
        <v>178</v>
      </c>
      <c r="B9" s="44">
        <f>V_1!B9+V_2!B9+V_3!B9</f>
        <v>286</v>
      </c>
      <c r="C9" s="39">
        <f>V_1!C9+V_2!C9+V_3!C9</f>
        <v>328</v>
      </c>
      <c r="D9" s="39">
        <f>V_1!D9+V_2!D9+V_3!D9</f>
        <v>10</v>
      </c>
      <c r="E9" s="39">
        <f>V_1!E9+V_2!E9+V_3!E9</f>
        <v>8</v>
      </c>
      <c r="F9" s="152">
        <f>V_1!F9+V_2!F9+V_3!F9</f>
        <v>5</v>
      </c>
      <c r="G9" s="154">
        <f t="shared" si="0"/>
        <v>637</v>
      </c>
      <c r="H9" s="44">
        <f>V_1!H9+V_2!H9+V_3!H9</f>
        <v>1</v>
      </c>
      <c r="I9" s="39">
        <f>V_1!I9+V_2!I9+V_3!I9</f>
        <v>0</v>
      </c>
      <c r="J9" s="39">
        <f>V_1!J9+V_2!J9+V_3!J9</f>
        <v>0</v>
      </c>
      <c r="K9" s="45">
        <f>V_1!K9+V_2!K9+V_3!K9</f>
        <v>0</v>
      </c>
      <c r="L9" s="140">
        <f>V_1!L9+V_2!L9+V_3!L9</f>
        <v>2</v>
      </c>
      <c r="M9" s="149">
        <f t="shared" ref="M9:M72" si="1">SUM(H9:L9)</f>
        <v>3</v>
      </c>
      <c r="N9" s="100">
        <f t="shared" ref="N9:N72" si="2">G9+M9</f>
        <v>640</v>
      </c>
      <c r="O9" s="43">
        <f t="shared" ref="O9:O72" si="3">B9*1+C9*0.5+D9*1.5+E9*3+F9*4.5+H9*0.5+I9*1.5+J9*3+K9*4+L9*8</f>
        <v>528</v>
      </c>
    </row>
    <row r="10" spans="1:15" ht="22.5" customHeight="1" x14ac:dyDescent="0.3">
      <c r="A10" s="149" t="s">
        <v>179</v>
      </c>
      <c r="B10" s="44">
        <f>V_1!B10+V_2!B10+V_3!B10</f>
        <v>269</v>
      </c>
      <c r="C10" s="39">
        <f>V_1!C10+V_2!C10+V_3!C10</f>
        <v>330</v>
      </c>
      <c r="D10" s="39">
        <f>V_1!D10+V_2!D10+V_3!D10</f>
        <v>7</v>
      </c>
      <c r="E10" s="39">
        <f>V_1!E10+V_2!E10+V_3!E10</f>
        <v>15</v>
      </c>
      <c r="F10" s="152">
        <f>V_1!F10+V_2!F10+V_3!F10</f>
        <v>15</v>
      </c>
      <c r="G10" s="154">
        <f t="shared" si="0"/>
        <v>636</v>
      </c>
      <c r="H10" s="44">
        <f>V_1!H10+V_2!H10+V_3!H10</f>
        <v>0</v>
      </c>
      <c r="I10" s="39">
        <f>V_1!I10+V_2!I10+V_3!I10</f>
        <v>0</v>
      </c>
      <c r="J10" s="39">
        <f>V_1!J10+V_2!J10+V_3!J10</f>
        <v>0</v>
      </c>
      <c r="K10" s="45">
        <f>V_1!K10+V_2!K10+V_3!K10</f>
        <v>0</v>
      </c>
      <c r="L10" s="140">
        <f>V_1!L10+V_2!L10+V_3!L10</f>
        <v>2</v>
      </c>
      <c r="M10" s="149">
        <f t="shared" si="1"/>
        <v>2</v>
      </c>
      <c r="N10" s="100">
        <f t="shared" si="2"/>
        <v>638</v>
      </c>
      <c r="O10" s="43">
        <f t="shared" si="3"/>
        <v>573</v>
      </c>
    </row>
    <row r="11" spans="1:15" ht="22.5" customHeight="1" x14ac:dyDescent="0.3">
      <c r="A11" s="149" t="s">
        <v>180</v>
      </c>
      <c r="B11" s="44">
        <f>V_1!B11+V_2!B11+V_3!B11</f>
        <v>206</v>
      </c>
      <c r="C11" s="39">
        <f>V_1!C11+V_2!C11+V_3!C11</f>
        <v>257</v>
      </c>
      <c r="D11" s="39">
        <f>V_1!D11+V_2!D11+V_3!D11</f>
        <v>5</v>
      </c>
      <c r="E11" s="39">
        <f>V_1!E11+V_2!E11+V_3!E11</f>
        <v>5</v>
      </c>
      <c r="F11" s="152">
        <f>V_1!F11+V_2!F11+V_3!F11</f>
        <v>2</v>
      </c>
      <c r="G11" s="154">
        <f t="shared" si="0"/>
        <v>475</v>
      </c>
      <c r="H11" s="44">
        <f>V_1!H11+V_2!H11+V_3!H11</f>
        <v>0</v>
      </c>
      <c r="I11" s="39">
        <f>V_1!I11+V_2!I11+V_3!I11</f>
        <v>0</v>
      </c>
      <c r="J11" s="39">
        <f>V_1!J11+V_2!J11+V_3!J11</f>
        <v>0</v>
      </c>
      <c r="K11" s="45">
        <f>V_1!K11+V_2!K11+V_3!K11</f>
        <v>0</v>
      </c>
      <c r="L11" s="140">
        <f>V_1!L11+V_2!L11+V_3!L11</f>
        <v>5</v>
      </c>
      <c r="M11" s="149">
        <f t="shared" si="1"/>
        <v>5</v>
      </c>
      <c r="N11" s="100">
        <f t="shared" si="2"/>
        <v>480</v>
      </c>
      <c r="O11" s="43">
        <f t="shared" si="3"/>
        <v>406</v>
      </c>
    </row>
    <row r="12" spans="1:15" ht="22.5" customHeight="1" x14ac:dyDescent="0.3">
      <c r="A12" s="149" t="s">
        <v>181</v>
      </c>
      <c r="B12" s="44">
        <f>V_1!B12+V_2!B12+V_3!B12</f>
        <v>239</v>
      </c>
      <c r="C12" s="39">
        <f>V_1!C12+V_2!C12+V_3!C12</f>
        <v>295</v>
      </c>
      <c r="D12" s="39">
        <f>V_1!D12+V_2!D12+V_3!D12</f>
        <v>4</v>
      </c>
      <c r="E12" s="39">
        <f>V_1!E12+V_2!E12+V_3!E12</f>
        <v>9</v>
      </c>
      <c r="F12" s="152">
        <f>V_1!F12+V_2!F12+V_3!F12</f>
        <v>9</v>
      </c>
      <c r="G12" s="154">
        <f t="shared" si="0"/>
        <v>556</v>
      </c>
      <c r="H12" s="44">
        <f>V_1!H12+V_2!H12+V_3!H12</f>
        <v>0</v>
      </c>
      <c r="I12" s="39">
        <f>V_1!I12+V_2!I12+V_3!I12</f>
        <v>0</v>
      </c>
      <c r="J12" s="39">
        <f>V_1!J12+V_2!J12+V_3!J12</f>
        <v>0</v>
      </c>
      <c r="K12" s="45">
        <f>V_1!K12+V_2!K12+V_3!K12</f>
        <v>0</v>
      </c>
      <c r="L12" s="140">
        <f>V_1!L12+V_2!L12+V_3!L12</f>
        <v>5</v>
      </c>
      <c r="M12" s="149">
        <f t="shared" si="1"/>
        <v>5</v>
      </c>
      <c r="N12" s="100">
        <f t="shared" si="2"/>
        <v>561</v>
      </c>
      <c r="O12" s="43">
        <f t="shared" si="3"/>
        <v>500</v>
      </c>
    </row>
    <row r="13" spans="1:15" ht="22.5" customHeight="1" x14ac:dyDescent="0.3">
      <c r="A13" s="149" t="s">
        <v>182</v>
      </c>
      <c r="B13" s="44">
        <f>V_1!B13+V_2!B13+V_3!B13</f>
        <v>272</v>
      </c>
      <c r="C13" s="39">
        <f>V_1!C13+V_2!C13+V_3!C13</f>
        <v>324</v>
      </c>
      <c r="D13" s="39">
        <f>V_1!D13+V_2!D13+V_3!D13</f>
        <v>8</v>
      </c>
      <c r="E13" s="39">
        <f>V_1!E13+V_2!E13+V_3!E13</f>
        <v>6</v>
      </c>
      <c r="F13" s="152">
        <f>V_1!F13+V_2!F13+V_3!F13</f>
        <v>4</v>
      </c>
      <c r="G13" s="154">
        <f t="shared" si="0"/>
        <v>614</v>
      </c>
      <c r="H13" s="44">
        <f>V_1!H13+V_2!H13+V_3!H13</f>
        <v>0</v>
      </c>
      <c r="I13" s="39">
        <f>V_1!I13+V_2!I13+V_3!I13</f>
        <v>0</v>
      </c>
      <c r="J13" s="39">
        <f>V_1!J13+V_2!J13+V_3!J13</f>
        <v>0</v>
      </c>
      <c r="K13" s="45">
        <f>V_1!K13+V_2!K13+V_3!K13</f>
        <v>0</v>
      </c>
      <c r="L13" s="140">
        <f>V_1!L13+V_2!L13+V_3!L13</f>
        <v>1</v>
      </c>
      <c r="M13" s="149">
        <f t="shared" si="1"/>
        <v>1</v>
      </c>
      <c r="N13" s="100">
        <f t="shared" si="2"/>
        <v>615</v>
      </c>
      <c r="O13" s="43">
        <f t="shared" si="3"/>
        <v>490</v>
      </c>
    </row>
    <row r="14" spans="1:15" ht="22.5" customHeight="1" x14ac:dyDescent="0.3">
      <c r="A14" s="149" t="s">
        <v>183</v>
      </c>
      <c r="B14" s="44">
        <f>V_1!B14+V_2!B14+V_3!B14</f>
        <v>313</v>
      </c>
      <c r="C14" s="39">
        <f>V_1!C14+V_2!C14+V_3!C14</f>
        <v>399</v>
      </c>
      <c r="D14" s="39">
        <f>V_1!D14+V_2!D14+V_3!D14</f>
        <v>8</v>
      </c>
      <c r="E14" s="39">
        <f>V_1!E14+V_2!E14+V_3!E14</f>
        <v>10</v>
      </c>
      <c r="F14" s="152">
        <f>V_1!F14+V_2!F14+V_3!F14</f>
        <v>7</v>
      </c>
      <c r="G14" s="154">
        <f t="shared" si="0"/>
        <v>737</v>
      </c>
      <c r="H14" s="44">
        <f>V_1!H14+V_2!H14+V_3!H14</f>
        <v>0</v>
      </c>
      <c r="I14" s="39">
        <f>V_1!I14+V_2!I14+V_3!I14</f>
        <v>0</v>
      </c>
      <c r="J14" s="39">
        <f>V_1!J14+V_2!J14+V_3!J14</f>
        <v>0</v>
      </c>
      <c r="K14" s="45">
        <f>V_1!K14+V_2!K14+V_3!K14</f>
        <v>0</v>
      </c>
      <c r="L14" s="140">
        <f>V_1!L14+V_2!L14+V_3!L14</f>
        <v>5</v>
      </c>
      <c r="M14" s="149">
        <f t="shared" si="1"/>
        <v>5</v>
      </c>
      <c r="N14" s="100">
        <f t="shared" si="2"/>
        <v>742</v>
      </c>
      <c r="O14" s="43">
        <f t="shared" si="3"/>
        <v>626</v>
      </c>
    </row>
    <row r="15" spans="1:15" ht="22.5" customHeight="1" x14ac:dyDescent="0.3">
      <c r="A15" s="149" t="s">
        <v>184</v>
      </c>
      <c r="B15" s="44">
        <f>V_1!B15+V_2!B15+V_3!B15</f>
        <v>386</v>
      </c>
      <c r="C15" s="39">
        <f>V_1!C15+V_2!C15+V_3!C15</f>
        <v>327</v>
      </c>
      <c r="D15" s="39">
        <f>V_1!D15+V_2!D15+V_3!D15</f>
        <v>12</v>
      </c>
      <c r="E15" s="39">
        <f>V_1!E15+V_2!E15+V_3!E15</f>
        <v>21</v>
      </c>
      <c r="F15" s="152">
        <f>V_1!F15+V_2!F15+V_3!F15</f>
        <v>13</v>
      </c>
      <c r="G15" s="154">
        <f t="shared" si="0"/>
        <v>759</v>
      </c>
      <c r="H15" s="44">
        <f>V_1!H15+V_2!H15+V_3!H15</f>
        <v>0</v>
      </c>
      <c r="I15" s="39">
        <f>V_1!I15+V_2!I15+V_3!I15</f>
        <v>0</v>
      </c>
      <c r="J15" s="39">
        <f>V_1!J15+V_2!J15+V_3!J15</f>
        <v>0</v>
      </c>
      <c r="K15" s="45">
        <f>V_1!K15+V_2!K15+V_3!K15</f>
        <v>0</v>
      </c>
      <c r="L15" s="140">
        <f>V_1!L15+V_2!L15+V_3!L15</f>
        <v>2</v>
      </c>
      <c r="M15" s="149">
        <f t="shared" si="1"/>
        <v>2</v>
      </c>
      <c r="N15" s="100">
        <f t="shared" si="2"/>
        <v>761</v>
      </c>
      <c r="O15" s="43">
        <f t="shared" si="3"/>
        <v>705</v>
      </c>
    </row>
    <row r="16" spans="1:15" ht="22.5" customHeight="1" x14ac:dyDescent="0.3">
      <c r="A16" s="149" t="s">
        <v>185</v>
      </c>
      <c r="B16" s="44">
        <f>V_1!B16+V_2!B16+V_3!B16</f>
        <v>309</v>
      </c>
      <c r="C16" s="39">
        <f>V_1!C16+V_2!C16+V_3!C16</f>
        <v>255</v>
      </c>
      <c r="D16" s="39">
        <f>V_1!D16+V_2!D16+V_3!D16</f>
        <v>12</v>
      </c>
      <c r="E16" s="39">
        <f>V_1!E16+V_2!E16+V_3!E16</f>
        <v>19</v>
      </c>
      <c r="F16" s="152">
        <f>V_1!F16+V_2!F16+V_3!F16</f>
        <v>15</v>
      </c>
      <c r="G16" s="154">
        <f t="shared" si="0"/>
        <v>610</v>
      </c>
      <c r="H16" s="44">
        <f>V_1!H16+V_2!H16+V_3!H16</f>
        <v>1</v>
      </c>
      <c r="I16" s="39">
        <f>V_1!I16+V_2!I16+V_3!I16</f>
        <v>0</v>
      </c>
      <c r="J16" s="39">
        <f>V_1!J16+V_2!J16+V_3!J16</f>
        <v>0</v>
      </c>
      <c r="K16" s="45">
        <f>V_1!K16+V_2!K16+V_3!K16</f>
        <v>0</v>
      </c>
      <c r="L16" s="140">
        <f>V_1!L16+V_2!L16+V_3!L16</f>
        <v>3</v>
      </c>
      <c r="M16" s="149">
        <f t="shared" si="1"/>
        <v>4</v>
      </c>
      <c r="N16" s="100">
        <f t="shared" si="2"/>
        <v>614</v>
      </c>
      <c r="O16" s="43">
        <f t="shared" si="3"/>
        <v>603.5</v>
      </c>
    </row>
    <row r="17" spans="1:15" ht="22.5" customHeight="1" x14ac:dyDescent="0.3">
      <c r="A17" s="149" t="s">
        <v>186</v>
      </c>
      <c r="B17" s="44">
        <f>V_1!B17+V_2!B17+V_3!B17</f>
        <v>340</v>
      </c>
      <c r="C17" s="39">
        <f>V_1!C17+V_2!C17+V_3!C17</f>
        <v>246</v>
      </c>
      <c r="D17" s="39">
        <f>V_1!D17+V_2!D17+V_3!D17</f>
        <v>17</v>
      </c>
      <c r="E17" s="39">
        <f>V_1!E17+V_2!E17+V_3!E17</f>
        <v>15</v>
      </c>
      <c r="F17" s="152">
        <f>V_1!F17+V_2!F17+V_3!F17</f>
        <v>15</v>
      </c>
      <c r="G17" s="154">
        <f t="shared" si="0"/>
        <v>633</v>
      </c>
      <c r="H17" s="44">
        <f>V_1!H17+V_2!H17+V_3!H17</f>
        <v>0</v>
      </c>
      <c r="I17" s="39">
        <f>V_1!I17+V_2!I17+V_3!I17</f>
        <v>0</v>
      </c>
      <c r="J17" s="39">
        <f>V_1!J17+V_2!J17+V_3!J17</f>
        <v>0</v>
      </c>
      <c r="K17" s="45">
        <f>V_1!K17+V_2!K17+V_3!K17</f>
        <v>0</v>
      </c>
      <c r="L17" s="140">
        <f>V_1!L17+V_2!L17+V_3!L17</f>
        <v>0</v>
      </c>
      <c r="M17" s="149">
        <f t="shared" si="1"/>
        <v>0</v>
      </c>
      <c r="N17" s="100">
        <f t="shared" si="2"/>
        <v>633</v>
      </c>
      <c r="O17" s="43">
        <f t="shared" si="3"/>
        <v>601</v>
      </c>
    </row>
    <row r="18" spans="1:15" ht="22.5" customHeight="1" x14ac:dyDescent="0.3">
      <c r="A18" s="149" t="s">
        <v>187</v>
      </c>
      <c r="B18" s="44">
        <f>V_1!B18+V_2!B18+V_3!B18</f>
        <v>267</v>
      </c>
      <c r="C18" s="39">
        <f>V_1!C18+V_2!C18+V_3!C18</f>
        <v>115</v>
      </c>
      <c r="D18" s="39">
        <f>V_1!D18+V_2!D18+V_3!D18</f>
        <v>10</v>
      </c>
      <c r="E18" s="39">
        <f>V_1!E18+V_2!E18+V_3!E18</f>
        <v>19</v>
      </c>
      <c r="F18" s="152">
        <f>V_1!F18+V_2!F18+V_3!F18</f>
        <v>13</v>
      </c>
      <c r="G18" s="154">
        <f t="shared" si="0"/>
        <v>424</v>
      </c>
      <c r="H18" s="44">
        <f>V_1!H18+V_2!H18+V_3!H18</f>
        <v>0</v>
      </c>
      <c r="I18" s="39">
        <f>V_1!I18+V_2!I18+V_3!I18</f>
        <v>0</v>
      </c>
      <c r="J18" s="39">
        <f>V_1!J18+V_2!J18+V_3!J18</f>
        <v>0</v>
      </c>
      <c r="K18" s="45">
        <f>V_1!K18+V_2!K18+V_3!K18</f>
        <v>0</v>
      </c>
      <c r="L18" s="140">
        <f>V_1!L18+V_2!L18+V_3!L18</f>
        <v>0</v>
      </c>
      <c r="M18" s="149">
        <f t="shared" si="1"/>
        <v>0</v>
      </c>
      <c r="N18" s="100">
        <f t="shared" si="2"/>
        <v>424</v>
      </c>
      <c r="O18" s="43">
        <f t="shared" si="3"/>
        <v>455</v>
      </c>
    </row>
    <row r="19" spans="1:15" ht="22.5" customHeight="1" x14ac:dyDescent="0.3">
      <c r="A19" s="149" t="s">
        <v>188</v>
      </c>
      <c r="B19" s="44">
        <f>V_1!B19+V_2!B19+V_3!B19</f>
        <v>283</v>
      </c>
      <c r="C19" s="39">
        <f>V_1!C19+V_2!C19+V_3!C19</f>
        <v>131</v>
      </c>
      <c r="D19" s="39">
        <f>V_1!D19+V_2!D19+V_3!D19</f>
        <v>16</v>
      </c>
      <c r="E19" s="39">
        <f>V_1!E19+V_2!E19+V_3!E19</f>
        <v>11</v>
      </c>
      <c r="F19" s="152">
        <f>V_1!F19+V_2!F19+V_3!F19</f>
        <v>10</v>
      </c>
      <c r="G19" s="154">
        <f t="shared" si="0"/>
        <v>451</v>
      </c>
      <c r="H19" s="44">
        <f>V_1!H19+V_2!H19+V_3!H19</f>
        <v>0</v>
      </c>
      <c r="I19" s="39">
        <f>V_1!I19+V_2!I19+V_3!I19</f>
        <v>0</v>
      </c>
      <c r="J19" s="39">
        <f>V_1!J19+V_2!J19+V_3!J19</f>
        <v>0</v>
      </c>
      <c r="K19" s="45">
        <f>V_1!K19+V_2!K19+V_3!K19</f>
        <v>0</v>
      </c>
      <c r="L19" s="140">
        <f>V_1!L19+V_2!L19+V_3!L19</f>
        <v>3</v>
      </c>
      <c r="M19" s="149">
        <f t="shared" si="1"/>
        <v>3</v>
      </c>
      <c r="N19" s="100">
        <f t="shared" si="2"/>
        <v>454</v>
      </c>
      <c r="O19" s="43">
        <f t="shared" si="3"/>
        <v>474.5</v>
      </c>
    </row>
    <row r="20" spans="1:15" ht="22.5" customHeight="1" x14ac:dyDescent="0.3">
      <c r="A20" s="149" t="s">
        <v>189</v>
      </c>
      <c r="B20" s="44">
        <f>V_1!B20+V_2!B20+V_3!B20</f>
        <v>332</v>
      </c>
      <c r="C20" s="39">
        <f>V_1!C20+V_2!C20+V_3!C20</f>
        <v>160</v>
      </c>
      <c r="D20" s="39">
        <f>V_1!D20+V_2!D20+V_3!D20</f>
        <v>16</v>
      </c>
      <c r="E20" s="39">
        <f>V_1!E20+V_2!E20+V_3!E20</f>
        <v>12</v>
      </c>
      <c r="F20" s="152">
        <f>V_1!F20+V_2!F20+V_3!F20</f>
        <v>11</v>
      </c>
      <c r="G20" s="154">
        <f t="shared" si="0"/>
        <v>531</v>
      </c>
      <c r="H20" s="44">
        <f>V_1!H20+V_2!H20+V_3!H20</f>
        <v>0</v>
      </c>
      <c r="I20" s="39">
        <f>V_1!I20+V_2!I20+V_3!I20</f>
        <v>0</v>
      </c>
      <c r="J20" s="39">
        <f>V_1!J20+V_2!J20+V_3!J20</f>
        <v>0</v>
      </c>
      <c r="K20" s="45">
        <f>V_1!K20+V_2!K20+V_3!K20</f>
        <v>0</v>
      </c>
      <c r="L20" s="140">
        <f>V_1!L20+V_2!L20+V_3!L20</f>
        <v>2</v>
      </c>
      <c r="M20" s="149">
        <f t="shared" si="1"/>
        <v>2</v>
      </c>
      <c r="N20" s="100">
        <f t="shared" si="2"/>
        <v>533</v>
      </c>
      <c r="O20" s="43">
        <f t="shared" si="3"/>
        <v>537.5</v>
      </c>
    </row>
    <row r="21" spans="1:15" ht="22.5" customHeight="1" x14ac:dyDescent="0.3">
      <c r="A21" s="149" t="s">
        <v>190</v>
      </c>
      <c r="B21" s="44">
        <f>V_1!B21+V_2!B21+V_3!B21</f>
        <v>345</v>
      </c>
      <c r="C21" s="39">
        <f>V_1!C21+V_2!C21+V_3!C21</f>
        <v>257</v>
      </c>
      <c r="D21" s="39">
        <f>V_1!D21+V_2!D21+V_3!D21</f>
        <v>16</v>
      </c>
      <c r="E21" s="39">
        <f>V_1!E21+V_2!E21+V_3!E21</f>
        <v>17</v>
      </c>
      <c r="F21" s="152">
        <f>V_1!F21+V_2!F21+V_3!F21</f>
        <v>13</v>
      </c>
      <c r="G21" s="154">
        <f t="shared" si="0"/>
        <v>648</v>
      </c>
      <c r="H21" s="44">
        <f>V_1!H21+V_2!H21+V_3!H21</f>
        <v>0</v>
      </c>
      <c r="I21" s="39">
        <f>V_1!I21+V_2!I21+V_3!I21</f>
        <v>0</v>
      </c>
      <c r="J21" s="39">
        <f>V_1!J21+V_2!J21+V_3!J21</f>
        <v>0</v>
      </c>
      <c r="K21" s="45">
        <f>V_1!K21+V_2!K21+V_3!K21</f>
        <v>0</v>
      </c>
      <c r="L21" s="140">
        <f>V_1!L21+V_2!L21+V_3!L21</f>
        <v>1</v>
      </c>
      <c r="M21" s="149">
        <f t="shared" si="1"/>
        <v>1</v>
      </c>
      <c r="N21" s="100">
        <f t="shared" si="2"/>
        <v>649</v>
      </c>
      <c r="O21" s="43">
        <f t="shared" si="3"/>
        <v>615</v>
      </c>
    </row>
    <row r="22" spans="1:15" ht="22.5" customHeight="1" x14ac:dyDescent="0.3">
      <c r="A22" s="149" t="s">
        <v>191</v>
      </c>
      <c r="B22" s="44">
        <f>V_1!B22+V_2!B22+V_3!B22</f>
        <v>300</v>
      </c>
      <c r="C22" s="39">
        <f>V_1!C22+V_2!C22+V_3!C22</f>
        <v>87</v>
      </c>
      <c r="D22" s="39">
        <f>V_1!D22+V_2!D22+V_3!D22</f>
        <v>15</v>
      </c>
      <c r="E22" s="39">
        <f>V_1!E22+V_2!E22+V_3!E22</f>
        <v>18</v>
      </c>
      <c r="F22" s="152">
        <f>V_1!F22+V_2!F22+V_3!F22</f>
        <v>18</v>
      </c>
      <c r="G22" s="154">
        <f t="shared" si="0"/>
        <v>438</v>
      </c>
      <c r="H22" s="44">
        <f>V_1!H22+V_2!H22+V_3!H22</f>
        <v>0</v>
      </c>
      <c r="I22" s="39">
        <f>V_1!I22+V_2!I22+V_3!I22</f>
        <v>1</v>
      </c>
      <c r="J22" s="39">
        <f>V_1!J22+V_2!J22+V_3!J22</f>
        <v>0</v>
      </c>
      <c r="K22" s="45">
        <f>V_1!K22+V_2!K22+V_3!K22</f>
        <v>0</v>
      </c>
      <c r="L22" s="140">
        <f>V_1!L22+V_2!L22+V_3!L22</f>
        <v>0</v>
      </c>
      <c r="M22" s="149">
        <f t="shared" si="1"/>
        <v>1</v>
      </c>
      <c r="N22" s="100">
        <f t="shared" si="2"/>
        <v>439</v>
      </c>
      <c r="O22" s="43">
        <f t="shared" si="3"/>
        <v>502.5</v>
      </c>
    </row>
    <row r="23" spans="1:15" ht="22.5" customHeight="1" x14ac:dyDescent="0.3">
      <c r="A23" s="149" t="s">
        <v>192</v>
      </c>
      <c r="B23" s="44">
        <f>V_1!B23+V_2!B23+V_3!B23</f>
        <v>247</v>
      </c>
      <c r="C23" s="39">
        <f>V_1!C23+V_2!C23+V_3!C23</f>
        <v>117</v>
      </c>
      <c r="D23" s="39">
        <f>V_1!D23+V_2!D23+V_3!D23</f>
        <v>12</v>
      </c>
      <c r="E23" s="39">
        <f>V_1!E23+V_2!E23+V_3!E23</f>
        <v>9</v>
      </c>
      <c r="F23" s="152">
        <f>V_1!F23+V_2!F23+V_3!F23</f>
        <v>14</v>
      </c>
      <c r="G23" s="154">
        <f t="shared" si="0"/>
        <v>399</v>
      </c>
      <c r="H23" s="44">
        <f>V_1!H23+V_2!H23+V_3!H23</f>
        <v>0</v>
      </c>
      <c r="I23" s="39">
        <f>V_1!I23+V_2!I23+V_3!I23</f>
        <v>0</v>
      </c>
      <c r="J23" s="39">
        <f>V_1!J23+V_2!J23+V_3!J23</f>
        <v>0</v>
      </c>
      <c r="K23" s="45">
        <f>V_1!K23+V_2!K23+V_3!K23</f>
        <v>0</v>
      </c>
      <c r="L23" s="140">
        <f>V_1!L23+V_2!L23+V_3!L23</f>
        <v>2</v>
      </c>
      <c r="M23" s="149">
        <f t="shared" si="1"/>
        <v>2</v>
      </c>
      <c r="N23" s="100">
        <f t="shared" si="2"/>
        <v>401</v>
      </c>
      <c r="O23" s="43">
        <f t="shared" si="3"/>
        <v>429.5</v>
      </c>
    </row>
    <row r="24" spans="1:15" ht="22.5" customHeight="1" x14ac:dyDescent="0.3">
      <c r="A24" s="149" t="s">
        <v>193</v>
      </c>
      <c r="B24" s="44">
        <f>V_1!B24+V_2!B24+V_3!B24</f>
        <v>281</v>
      </c>
      <c r="C24" s="39">
        <f>V_1!C24+V_2!C24+V_3!C24</f>
        <v>73</v>
      </c>
      <c r="D24" s="39">
        <f>V_1!D24+V_2!D24+V_3!D24</f>
        <v>17</v>
      </c>
      <c r="E24" s="39">
        <f>V_1!E24+V_2!E24+V_3!E24</f>
        <v>7</v>
      </c>
      <c r="F24" s="152">
        <f>V_1!F24+V_2!F24+V_3!F24</f>
        <v>21</v>
      </c>
      <c r="G24" s="154">
        <f t="shared" si="0"/>
        <v>399</v>
      </c>
      <c r="H24" s="44">
        <f>V_1!H24+V_2!H24+V_3!H24</f>
        <v>0</v>
      </c>
      <c r="I24" s="39">
        <f>V_1!I24+V_2!I24+V_3!I24</f>
        <v>0</v>
      </c>
      <c r="J24" s="39">
        <f>V_1!J24+V_2!J24+V_3!J24</f>
        <v>0</v>
      </c>
      <c r="K24" s="45">
        <f>V_1!K24+V_2!K24+V_3!K24</f>
        <v>0</v>
      </c>
      <c r="L24" s="140">
        <f>V_1!L24+V_2!L24+V_3!L24</f>
        <v>2</v>
      </c>
      <c r="M24" s="149">
        <f t="shared" si="1"/>
        <v>2</v>
      </c>
      <c r="N24" s="100">
        <f t="shared" si="2"/>
        <v>401</v>
      </c>
      <c r="O24" s="43">
        <f t="shared" si="3"/>
        <v>474.5</v>
      </c>
    </row>
    <row r="25" spans="1:15" ht="22.5" customHeight="1" x14ac:dyDescent="0.3">
      <c r="A25" s="149" t="s">
        <v>194</v>
      </c>
      <c r="B25" s="44">
        <f>V_1!B25+V_2!B25+V_3!B25</f>
        <v>262</v>
      </c>
      <c r="C25" s="39">
        <f>V_1!C25+V_2!C25+V_3!C25</f>
        <v>40</v>
      </c>
      <c r="D25" s="39">
        <f>V_1!D25+V_2!D25+V_3!D25</f>
        <v>17</v>
      </c>
      <c r="E25" s="39">
        <f>V_1!E25+V_2!E25+V_3!E25</f>
        <v>11</v>
      </c>
      <c r="F25" s="152">
        <f>V_1!F25+V_2!F25+V_3!F25</f>
        <v>10</v>
      </c>
      <c r="G25" s="154">
        <f t="shared" si="0"/>
        <v>340</v>
      </c>
      <c r="H25" s="44">
        <f>V_1!H25+V_2!H25+V_3!H25</f>
        <v>0</v>
      </c>
      <c r="I25" s="39">
        <f>V_1!I25+V_2!I25+V_3!I25</f>
        <v>0</v>
      </c>
      <c r="J25" s="39">
        <f>V_1!J25+V_2!J25+V_3!J25</f>
        <v>0</v>
      </c>
      <c r="K25" s="45">
        <f>V_1!K25+V_2!K25+V_3!K25</f>
        <v>0</v>
      </c>
      <c r="L25" s="140">
        <f>V_1!L25+V_2!L25+V_3!L25</f>
        <v>2</v>
      </c>
      <c r="M25" s="149">
        <f t="shared" si="1"/>
        <v>2</v>
      </c>
      <c r="N25" s="100">
        <f t="shared" si="2"/>
        <v>342</v>
      </c>
      <c r="O25" s="43">
        <f t="shared" si="3"/>
        <v>401.5</v>
      </c>
    </row>
    <row r="26" spans="1:15" ht="22.5" customHeight="1" x14ac:dyDescent="0.3">
      <c r="A26" s="149" t="s">
        <v>195</v>
      </c>
      <c r="B26" s="44">
        <f>V_1!B26+V_2!B26+V_3!B26</f>
        <v>267</v>
      </c>
      <c r="C26" s="39">
        <f>V_1!C26+V_2!C26+V_3!C26</f>
        <v>67</v>
      </c>
      <c r="D26" s="39">
        <f>V_1!D26+V_2!D26+V_3!D26</f>
        <v>23</v>
      </c>
      <c r="E26" s="39">
        <f>V_1!E26+V_2!E26+V_3!E26</f>
        <v>18</v>
      </c>
      <c r="F26" s="152">
        <f>V_1!F26+V_2!F26+V_3!F26</f>
        <v>17</v>
      </c>
      <c r="G26" s="154">
        <f t="shared" si="0"/>
        <v>392</v>
      </c>
      <c r="H26" s="44">
        <f>V_1!H26+V_2!H26+V_3!H26</f>
        <v>0</v>
      </c>
      <c r="I26" s="39">
        <f>V_1!I26+V_2!I26+V_3!I26</f>
        <v>0</v>
      </c>
      <c r="J26" s="39">
        <f>V_1!J26+V_2!J26+V_3!J26</f>
        <v>0</v>
      </c>
      <c r="K26" s="45">
        <f>V_1!K26+V_2!K26+V_3!K26</f>
        <v>0</v>
      </c>
      <c r="L26" s="140">
        <f>V_1!L26+V_2!L26+V_3!L26</f>
        <v>0</v>
      </c>
      <c r="M26" s="149">
        <f t="shared" si="1"/>
        <v>0</v>
      </c>
      <c r="N26" s="100">
        <f t="shared" si="2"/>
        <v>392</v>
      </c>
      <c r="O26" s="43">
        <f t="shared" si="3"/>
        <v>465.5</v>
      </c>
    </row>
    <row r="27" spans="1:15" ht="22.5" customHeight="1" x14ac:dyDescent="0.3">
      <c r="A27" s="149" t="s">
        <v>196</v>
      </c>
      <c r="B27" s="44">
        <f>V_1!B27+V_2!B27+V_3!B27</f>
        <v>205</v>
      </c>
      <c r="C27" s="39">
        <f>V_1!C27+V_2!C27+V_3!C27</f>
        <v>69</v>
      </c>
      <c r="D27" s="39">
        <f>V_1!D27+V_2!D27+V_3!D27</f>
        <v>15</v>
      </c>
      <c r="E27" s="39">
        <f>V_1!E27+V_2!E27+V_3!E27</f>
        <v>11</v>
      </c>
      <c r="F27" s="152">
        <f>V_1!F27+V_2!F27+V_3!F27</f>
        <v>16</v>
      </c>
      <c r="G27" s="154">
        <f t="shared" si="0"/>
        <v>316</v>
      </c>
      <c r="H27" s="44">
        <f>V_1!H27+V_2!H27+V_3!H27</f>
        <v>0</v>
      </c>
      <c r="I27" s="39">
        <f>V_1!I27+V_2!I27+V_3!I27</f>
        <v>0</v>
      </c>
      <c r="J27" s="39">
        <f>V_1!J27+V_2!J27+V_3!J27</f>
        <v>0</v>
      </c>
      <c r="K27" s="45">
        <f>V_1!K27+V_2!K27+V_3!K27</f>
        <v>0</v>
      </c>
      <c r="L27" s="140">
        <f>V_1!L27+V_2!L27+V_3!L27</f>
        <v>0</v>
      </c>
      <c r="M27" s="149">
        <f t="shared" si="1"/>
        <v>0</v>
      </c>
      <c r="N27" s="100">
        <f t="shared" si="2"/>
        <v>316</v>
      </c>
      <c r="O27" s="43">
        <f t="shared" si="3"/>
        <v>367</v>
      </c>
    </row>
    <row r="28" spans="1:15" ht="22.5" customHeight="1" x14ac:dyDescent="0.3">
      <c r="A28" s="149" t="s">
        <v>197</v>
      </c>
      <c r="B28" s="44">
        <f>V_1!B28+V_2!B28+V_3!B28</f>
        <v>258</v>
      </c>
      <c r="C28" s="39">
        <f>V_1!C28+V_2!C28+V_3!C28</f>
        <v>113</v>
      </c>
      <c r="D28" s="39">
        <f>V_1!D28+V_2!D28+V_3!D28</f>
        <v>18</v>
      </c>
      <c r="E28" s="39">
        <f>V_1!E28+V_2!E28+V_3!E28</f>
        <v>10</v>
      </c>
      <c r="F28" s="152">
        <f>V_1!F28+V_2!F28+V_3!F28</f>
        <v>23</v>
      </c>
      <c r="G28" s="154">
        <f t="shared" si="0"/>
        <v>422</v>
      </c>
      <c r="H28" s="44">
        <f>V_1!H28+V_2!H28+V_3!H28</f>
        <v>0</v>
      </c>
      <c r="I28" s="39">
        <f>V_1!I28+V_2!I28+V_3!I28</f>
        <v>0</v>
      </c>
      <c r="J28" s="39">
        <f>V_1!J28+V_2!J28+V_3!J28</f>
        <v>0</v>
      </c>
      <c r="K28" s="45">
        <f>V_1!K28+V_2!K28+V_3!K28</f>
        <v>0</v>
      </c>
      <c r="L28" s="140">
        <f>V_1!L28+V_2!L28+V_3!L28</f>
        <v>1</v>
      </c>
      <c r="M28" s="149">
        <f t="shared" si="1"/>
        <v>1</v>
      </c>
      <c r="N28" s="100">
        <f t="shared" si="2"/>
        <v>423</v>
      </c>
      <c r="O28" s="43">
        <f t="shared" si="3"/>
        <v>483</v>
      </c>
    </row>
    <row r="29" spans="1:15" ht="22.5" customHeight="1" x14ac:dyDescent="0.3">
      <c r="A29" s="149" t="s">
        <v>198</v>
      </c>
      <c r="B29" s="44">
        <f>V_1!B29+V_2!B29+V_3!B29</f>
        <v>216</v>
      </c>
      <c r="C29" s="39">
        <f>V_1!C29+V_2!C29+V_3!C29</f>
        <v>73</v>
      </c>
      <c r="D29" s="39">
        <f>V_1!D29+V_2!D29+V_3!D29</f>
        <v>19</v>
      </c>
      <c r="E29" s="39">
        <f>V_1!E29+V_2!E29+V_3!E29</f>
        <v>9</v>
      </c>
      <c r="F29" s="152">
        <f>V_1!F29+V_2!F29+V_3!F29</f>
        <v>22</v>
      </c>
      <c r="G29" s="154">
        <f t="shared" si="0"/>
        <v>339</v>
      </c>
      <c r="H29" s="44">
        <f>V_1!H29+V_2!H29+V_3!H29</f>
        <v>0</v>
      </c>
      <c r="I29" s="39">
        <f>V_1!I29+V_2!I29+V_3!I29</f>
        <v>0</v>
      </c>
      <c r="J29" s="39">
        <f>V_1!J29+V_2!J29+V_3!J29</f>
        <v>0</v>
      </c>
      <c r="K29" s="45">
        <f>V_1!K29+V_2!K29+V_3!K29</f>
        <v>0</v>
      </c>
      <c r="L29" s="140">
        <f>V_1!L29+V_2!L29+V_3!L29</f>
        <v>0</v>
      </c>
      <c r="M29" s="149">
        <f t="shared" si="1"/>
        <v>0</v>
      </c>
      <c r="N29" s="100">
        <f t="shared" si="2"/>
        <v>339</v>
      </c>
      <c r="O29" s="43">
        <f t="shared" si="3"/>
        <v>407</v>
      </c>
    </row>
    <row r="30" spans="1:15" ht="22.5" customHeight="1" x14ac:dyDescent="0.3">
      <c r="A30" s="149" t="s">
        <v>199</v>
      </c>
      <c r="B30" s="44">
        <f>V_1!B30+V_2!B30+V_3!B30</f>
        <v>234</v>
      </c>
      <c r="C30" s="39">
        <f>V_1!C30+V_2!C30+V_3!C30</f>
        <v>84</v>
      </c>
      <c r="D30" s="39">
        <f>V_1!D30+V_2!D30+V_3!D30</f>
        <v>16</v>
      </c>
      <c r="E30" s="39">
        <f>V_1!E30+V_2!E30+V_3!E30</f>
        <v>13</v>
      </c>
      <c r="F30" s="152">
        <f>V_1!F30+V_2!F30+V_3!F30</f>
        <v>14</v>
      </c>
      <c r="G30" s="154">
        <f t="shared" si="0"/>
        <v>361</v>
      </c>
      <c r="H30" s="44">
        <f>V_1!H30+V_2!H30+V_3!H30</f>
        <v>0</v>
      </c>
      <c r="I30" s="39">
        <f>V_1!I30+V_2!I30+V_3!I30</f>
        <v>0</v>
      </c>
      <c r="J30" s="39">
        <f>V_1!J30+V_2!J30+V_3!J30</f>
        <v>0</v>
      </c>
      <c r="K30" s="45">
        <f>V_1!K30+V_2!K30+V_3!K30</f>
        <v>0</v>
      </c>
      <c r="L30" s="140">
        <f>V_1!L30+V_2!L30+V_3!L30</f>
        <v>0</v>
      </c>
      <c r="M30" s="149">
        <f t="shared" si="1"/>
        <v>0</v>
      </c>
      <c r="N30" s="100">
        <f t="shared" si="2"/>
        <v>361</v>
      </c>
      <c r="O30" s="43">
        <f t="shared" si="3"/>
        <v>402</v>
      </c>
    </row>
    <row r="31" spans="1:15" ht="22.5" customHeight="1" x14ac:dyDescent="0.3">
      <c r="A31" s="149" t="s">
        <v>200</v>
      </c>
      <c r="B31" s="44">
        <f>V_1!B31+V_2!B31+V_3!B31</f>
        <v>245</v>
      </c>
      <c r="C31" s="39">
        <f>V_1!C31+V_2!C31+V_3!C31</f>
        <v>102</v>
      </c>
      <c r="D31" s="39">
        <f>V_1!D31+V_2!D31+V_3!D31</f>
        <v>18</v>
      </c>
      <c r="E31" s="39">
        <f>V_1!E31+V_2!E31+V_3!E31</f>
        <v>9</v>
      </c>
      <c r="F31" s="152">
        <f>V_1!F31+V_2!F31+V_3!F31</f>
        <v>14</v>
      </c>
      <c r="G31" s="154">
        <f t="shared" si="0"/>
        <v>388</v>
      </c>
      <c r="H31" s="44">
        <f>V_1!H31+V_2!H31+V_3!H31</f>
        <v>0</v>
      </c>
      <c r="I31" s="39">
        <f>V_1!I31+V_2!I31+V_3!I31</f>
        <v>0</v>
      </c>
      <c r="J31" s="39">
        <f>V_1!J31+V_2!J31+V_3!J31</f>
        <v>0</v>
      </c>
      <c r="K31" s="45">
        <f>V_1!K31+V_2!K31+V_3!K31</f>
        <v>0</v>
      </c>
      <c r="L31" s="140">
        <f>V_1!L31+V_2!L31+V_3!L31</f>
        <v>1</v>
      </c>
      <c r="M31" s="149">
        <f t="shared" si="1"/>
        <v>1</v>
      </c>
      <c r="N31" s="100">
        <f t="shared" si="2"/>
        <v>389</v>
      </c>
      <c r="O31" s="43">
        <f t="shared" si="3"/>
        <v>421</v>
      </c>
    </row>
    <row r="32" spans="1:15" ht="22.5" customHeight="1" x14ac:dyDescent="0.3">
      <c r="A32" s="149" t="s">
        <v>201</v>
      </c>
      <c r="B32" s="44">
        <f>V_1!B32+V_2!B32+V_3!B32</f>
        <v>250</v>
      </c>
      <c r="C32" s="39">
        <f>V_1!C32+V_2!C32+V_3!C32</f>
        <v>78</v>
      </c>
      <c r="D32" s="39">
        <f>V_1!D32+V_2!D32+V_3!D32</f>
        <v>18</v>
      </c>
      <c r="E32" s="39">
        <f>V_1!E32+V_2!E32+V_3!E32</f>
        <v>12</v>
      </c>
      <c r="F32" s="152">
        <f>V_1!F32+V_2!F32+V_3!F32</f>
        <v>16</v>
      </c>
      <c r="G32" s="154">
        <f t="shared" si="0"/>
        <v>374</v>
      </c>
      <c r="H32" s="44">
        <f>V_1!H32+V_2!H32+V_3!H32</f>
        <v>0</v>
      </c>
      <c r="I32" s="39">
        <f>V_1!I32+V_2!I32+V_3!I32</f>
        <v>0</v>
      </c>
      <c r="J32" s="39">
        <f>V_1!J32+V_2!J32+V_3!J32</f>
        <v>0</v>
      </c>
      <c r="K32" s="45">
        <f>V_1!K32+V_2!K32+V_3!K32</f>
        <v>0</v>
      </c>
      <c r="L32" s="140">
        <f>V_1!L32+V_2!L32+V_3!L32</f>
        <v>0</v>
      </c>
      <c r="M32" s="149">
        <f t="shared" si="1"/>
        <v>0</v>
      </c>
      <c r="N32" s="100">
        <f t="shared" si="2"/>
        <v>374</v>
      </c>
      <c r="O32" s="43">
        <f t="shared" si="3"/>
        <v>424</v>
      </c>
    </row>
    <row r="33" spans="1:15" ht="22.5" customHeight="1" x14ac:dyDescent="0.3">
      <c r="A33" s="149" t="s">
        <v>202</v>
      </c>
      <c r="B33" s="44">
        <f>V_1!B33+V_2!B33+V_3!B33</f>
        <v>218</v>
      </c>
      <c r="C33" s="39">
        <f>V_1!C33+V_2!C33+V_3!C33</f>
        <v>65</v>
      </c>
      <c r="D33" s="39">
        <f>V_1!D33+V_2!D33+V_3!D33</f>
        <v>18</v>
      </c>
      <c r="E33" s="39">
        <f>V_1!E33+V_2!E33+V_3!E33</f>
        <v>12</v>
      </c>
      <c r="F33" s="152">
        <f>V_1!F33+V_2!F33+V_3!F33</f>
        <v>15</v>
      </c>
      <c r="G33" s="154">
        <f t="shared" si="0"/>
        <v>328</v>
      </c>
      <c r="H33" s="44">
        <f>V_1!H33+V_2!H33+V_3!H33</f>
        <v>0</v>
      </c>
      <c r="I33" s="39">
        <f>V_1!I33+V_2!I33+V_3!I33</f>
        <v>0</v>
      </c>
      <c r="J33" s="39">
        <f>V_1!J33+V_2!J33+V_3!J33</f>
        <v>0</v>
      </c>
      <c r="K33" s="45">
        <f>V_1!K33+V_2!K33+V_3!K33</f>
        <v>0</v>
      </c>
      <c r="L33" s="140">
        <f>V_1!L33+V_2!L33+V_3!L33</f>
        <v>0</v>
      </c>
      <c r="M33" s="149">
        <f t="shared" si="1"/>
        <v>0</v>
      </c>
      <c r="N33" s="100">
        <f t="shared" si="2"/>
        <v>328</v>
      </c>
      <c r="O33" s="43">
        <f t="shared" si="3"/>
        <v>381</v>
      </c>
    </row>
    <row r="34" spans="1:15" ht="22.5" customHeight="1" x14ac:dyDescent="0.3">
      <c r="A34" s="149" t="s">
        <v>203</v>
      </c>
      <c r="B34" s="44">
        <f>V_1!B34+V_2!B34+V_3!B34</f>
        <v>209</v>
      </c>
      <c r="C34" s="39">
        <f>V_1!C34+V_2!C34+V_3!C34</f>
        <v>61</v>
      </c>
      <c r="D34" s="39">
        <f>V_1!D34+V_2!D34+V_3!D34</f>
        <v>18</v>
      </c>
      <c r="E34" s="39">
        <f>V_1!E34+V_2!E34+V_3!E34</f>
        <v>13</v>
      </c>
      <c r="F34" s="152">
        <f>V_1!F34+V_2!F34+V_3!F34</f>
        <v>13</v>
      </c>
      <c r="G34" s="154">
        <f t="shared" si="0"/>
        <v>314</v>
      </c>
      <c r="H34" s="44">
        <f>V_1!H34+V_2!H34+V_3!H34</f>
        <v>0</v>
      </c>
      <c r="I34" s="39">
        <f>V_1!I34+V_2!I34+V_3!I34</f>
        <v>0</v>
      </c>
      <c r="J34" s="39">
        <f>V_1!J34+V_2!J34+V_3!J34</f>
        <v>0</v>
      </c>
      <c r="K34" s="45">
        <f>V_1!K34+V_2!K34+V_3!K34</f>
        <v>0</v>
      </c>
      <c r="L34" s="140">
        <f>V_1!L34+V_2!L34+V_3!L34</f>
        <v>1</v>
      </c>
      <c r="M34" s="149">
        <f t="shared" si="1"/>
        <v>1</v>
      </c>
      <c r="N34" s="100">
        <f t="shared" si="2"/>
        <v>315</v>
      </c>
      <c r="O34" s="43">
        <f t="shared" si="3"/>
        <v>372</v>
      </c>
    </row>
    <row r="35" spans="1:15" ht="22.5" customHeight="1" x14ac:dyDescent="0.3">
      <c r="A35" s="149" t="s">
        <v>204</v>
      </c>
      <c r="B35" s="44">
        <f>V_1!B35+V_2!B35+V_3!B35</f>
        <v>205</v>
      </c>
      <c r="C35" s="39">
        <f>V_1!C35+V_2!C35+V_3!C35</f>
        <v>74</v>
      </c>
      <c r="D35" s="39">
        <f>V_1!D35+V_2!D35+V_3!D35</f>
        <v>18</v>
      </c>
      <c r="E35" s="39">
        <f>V_1!E35+V_2!E35+V_3!E35</f>
        <v>13</v>
      </c>
      <c r="F35" s="152">
        <f>V_1!F35+V_2!F35+V_3!F35</f>
        <v>7</v>
      </c>
      <c r="G35" s="154">
        <f t="shared" si="0"/>
        <v>317</v>
      </c>
      <c r="H35" s="44">
        <f>V_1!H35+V_2!H35+V_3!H35</f>
        <v>0</v>
      </c>
      <c r="I35" s="39">
        <f>V_1!I35+V_2!I35+V_3!I35</f>
        <v>0</v>
      </c>
      <c r="J35" s="39">
        <f>V_1!J35+V_2!J35+V_3!J35</f>
        <v>0</v>
      </c>
      <c r="K35" s="45">
        <f>V_1!K35+V_2!K35+V_3!K35</f>
        <v>0</v>
      </c>
      <c r="L35" s="140">
        <f>V_1!L35+V_2!L35+V_3!L35</f>
        <v>2</v>
      </c>
      <c r="M35" s="149">
        <f t="shared" si="1"/>
        <v>2</v>
      </c>
      <c r="N35" s="100">
        <f t="shared" si="2"/>
        <v>319</v>
      </c>
      <c r="O35" s="43">
        <f t="shared" si="3"/>
        <v>355.5</v>
      </c>
    </row>
    <row r="36" spans="1:15" ht="22.5" customHeight="1" x14ac:dyDescent="0.3">
      <c r="A36" s="149" t="s">
        <v>205</v>
      </c>
      <c r="B36" s="44">
        <f>V_1!B36+V_2!B36+V_3!B36</f>
        <v>188</v>
      </c>
      <c r="C36" s="39">
        <f>V_1!C36+V_2!C36+V_3!C36</f>
        <v>53</v>
      </c>
      <c r="D36" s="39">
        <f>V_1!D36+V_2!D36+V_3!D36</f>
        <v>16</v>
      </c>
      <c r="E36" s="39">
        <f>V_1!E36+V_2!E36+V_3!E36</f>
        <v>9</v>
      </c>
      <c r="F36" s="152">
        <f>V_1!F36+V_2!F36+V_3!F36</f>
        <v>8</v>
      </c>
      <c r="G36" s="154">
        <f t="shared" si="0"/>
        <v>274</v>
      </c>
      <c r="H36" s="44">
        <f>V_1!H36+V_2!H36+V_3!H36</f>
        <v>0</v>
      </c>
      <c r="I36" s="39">
        <f>V_1!I36+V_2!I36+V_3!I36</f>
        <v>0</v>
      </c>
      <c r="J36" s="39">
        <f>V_1!J36+V_2!J36+V_3!J36</f>
        <v>0</v>
      </c>
      <c r="K36" s="45">
        <f>V_1!K36+V_2!K36+V_3!K36</f>
        <v>0</v>
      </c>
      <c r="L36" s="140">
        <f>V_1!L36+V_2!L36+V_3!L36</f>
        <v>1</v>
      </c>
      <c r="M36" s="149">
        <f t="shared" si="1"/>
        <v>1</v>
      </c>
      <c r="N36" s="100">
        <f t="shared" si="2"/>
        <v>275</v>
      </c>
      <c r="O36" s="43">
        <f t="shared" si="3"/>
        <v>309.5</v>
      </c>
    </row>
    <row r="37" spans="1:15" ht="22.5" customHeight="1" x14ac:dyDescent="0.3">
      <c r="A37" s="149" t="s">
        <v>206</v>
      </c>
      <c r="B37" s="44">
        <f>V_1!B37+V_2!B37+V_3!B37</f>
        <v>225</v>
      </c>
      <c r="C37" s="39">
        <f>V_1!C37+V_2!C37+V_3!C37</f>
        <v>52</v>
      </c>
      <c r="D37" s="39">
        <f>V_1!D37+V_2!D37+V_3!D37</f>
        <v>10</v>
      </c>
      <c r="E37" s="39">
        <f>V_1!E37+V_2!E37+V_3!E37</f>
        <v>16</v>
      </c>
      <c r="F37" s="152">
        <f>V_1!F37+V_2!F37+V_3!F37</f>
        <v>12</v>
      </c>
      <c r="G37" s="154">
        <f t="shared" si="0"/>
        <v>315</v>
      </c>
      <c r="H37" s="44">
        <f>V_1!H37+V_2!H37+V_3!H37</f>
        <v>0</v>
      </c>
      <c r="I37" s="39">
        <f>V_1!I37+V_2!I37+V_3!I37</f>
        <v>0</v>
      </c>
      <c r="J37" s="39">
        <f>V_1!J37+V_2!J37+V_3!J37</f>
        <v>0</v>
      </c>
      <c r="K37" s="45">
        <f>V_1!K37+V_2!K37+V_3!K37</f>
        <v>0</v>
      </c>
      <c r="L37" s="140">
        <f>V_1!L37+V_2!L37+V_3!L37</f>
        <v>4</v>
      </c>
      <c r="M37" s="149">
        <f t="shared" si="1"/>
        <v>4</v>
      </c>
      <c r="N37" s="100">
        <f t="shared" si="2"/>
        <v>319</v>
      </c>
      <c r="O37" s="43">
        <f t="shared" si="3"/>
        <v>400</v>
      </c>
    </row>
    <row r="38" spans="1:15" ht="22.5" customHeight="1" x14ac:dyDescent="0.3">
      <c r="A38" s="149" t="s">
        <v>207</v>
      </c>
      <c r="B38" s="44">
        <f>V_1!B38+V_2!B38+V_3!B38</f>
        <v>190</v>
      </c>
      <c r="C38" s="39">
        <f>V_1!C38+V_2!C38+V_3!C38</f>
        <v>37</v>
      </c>
      <c r="D38" s="39">
        <f>V_1!D38+V_2!D38+V_3!D38</f>
        <v>21</v>
      </c>
      <c r="E38" s="39">
        <f>V_1!E38+V_2!E38+V_3!E38</f>
        <v>19</v>
      </c>
      <c r="F38" s="152">
        <f>V_1!F38+V_2!F38+V_3!F38</f>
        <v>11</v>
      </c>
      <c r="G38" s="154">
        <f t="shared" si="0"/>
        <v>278</v>
      </c>
      <c r="H38" s="44">
        <f>V_1!H38+V_2!H38+V_3!H38</f>
        <v>0</v>
      </c>
      <c r="I38" s="39">
        <f>V_1!I38+V_2!I38+V_3!I38</f>
        <v>0</v>
      </c>
      <c r="J38" s="39">
        <f>V_1!J38+V_2!J38+V_3!J38</f>
        <v>0</v>
      </c>
      <c r="K38" s="45">
        <f>V_1!K38+V_2!K38+V_3!K38</f>
        <v>0</v>
      </c>
      <c r="L38" s="140">
        <f>V_1!L38+V_2!L38+V_3!L38</f>
        <v>0</v>
      </c>
      <c r="M38" s="149">
        <f t="shared" si="1"/>
        <v>0</v>
      </c>
      <c r="N38" s="100">
        <f t="shared" si="2"/>
        <v>278</v>
      </c>
      <c r="O38" s="43">
        <f t="shared" si="3"/>
        <v>346.5</v>
      </c>
    </row>
    <row r="39" spans="1:15" ht="22.5" customHeight="1" x14ac:dyDescent="0.3">
      <c r="A39" s="149" t="s">
        <v>208</v>
      </c>
      <c r="B39" s="44">
        <f>V_1!B39+V_2!B39+V_3!B39</f>
        <v>284</v>
      </c>
      <c r="C39" s="39">
        <f>V_1!C39+V_2!C39+V_3!C39</f>
        <v>53</v>
      </c>
      <c r="D39" s="39">
        <f>V_1!D39+V_2!D39+V_3!D39</f>
        <v>17</v>
      </c>
      <c r="E39" s="39">
        <f>V_1!E39+V_2!E39+V_3!E39</f>
        <v>15</v>
      </c>
      <c r="F39" s="152">
        <f>V_1!F39+V_2!F39+V_3!F39</f>
        <v>14</v>
      </c>
      <c r="G39" s="154">
        <f t="shared" si="0"/>
        <v>383</v>
      </c>
      <c r="H39" s="44">
        <f>V_1!H39+V_2!H39+V_3!H39</f>
        <v>0</v>
      </c>
      <c r="I39" s="39">
        <f>V_1!I39+V_2!I39+V_3!I39</f>
        <v>0</v>
      </c>
      <c r="J39" s="39">
        <f>V_1!J39+V_2!J39+V_3!J39</f>
        <v>0</v>
      </c>
      <c r="K39" s="45">
        <f>V_1!K39+V_2!K39+V_3!K39</f>
        <v>0</v>
      </c>
      <c r="L39" s="140">
        <f>V_1!L39+V_2!L39+V_3!L39</f>
        <v>1</v>
      </c>
      <c r="M39" s="149">
        <f t="shared" si="1"/>
        <v>1</v>
      </c>
      <c r="N39" s="100">
        <f t="shared" si="2"/>
        <v>384</v>
      </c>
      <c r="O39" s="43">
        <f t="shared" si="3"/>
        <v>452</v>
      </c>
    </row>
    <row r="40" spans="1:15" ht="22.5" customHeight="1" x14ac:dyDescent="0.3">
      <c r="A40" s="149" t="s">
        <v>209</v>
      </c>
      <c r="B40" s="44">
        <f>V_1!B40+V_2!B40+V_3!B40</f>
        <v>245</v>
      </c>
      <c r="C40" s="39">
        <f>V_1!C40+V_2!C40+V_3!C40</f>
        <v>82</v>
      </c>
      <c r="D40" s="39">
        <f>V_1!D40+V_2!D40+V_3!D40</f>
        <v>3</v>
      </c>
      <c r="E40" s="39">
        <f>V_1!E40+V_2!E40+V_3!E40</f>
        <v>9</v>
      </c>
      <c r="F40" s="152">
        <f>V_1!F40+V_2!F40+V_3!F40</f>
        <v>6</v>
      </c>
      <c r="G40" s="154">
        <f t="shared" ref="G40:G71" si="4">SUM(B40:F40)</f>
        <v>345</v>
      </c>
      <c r="H40" s="44">
        <f>V_1!H40+V_2!H40+V_3!H40</f>
        <v>0</v>
      </c>
      <c r="I40" s="39">
        <f>V_1!I40+V_2!I40+V_3!I40</f>
        <v>0</v>
      </c>
      <c r="J40" s="39">
        <f>V_1!J40+V_2!J40+V_3!J40</f>
        <v>0</v>
      </c>
      <c r="K40" s="45">
        <f>V_1!K40+V_2!K40+V_3!K40</f>
        <v>0</v>
      </c>
      <c r="L40" s="140">
        <f>V_1!L40+V_2!L40+V_3!L40</f>
        <v>2</v>
      </c>
      <c r="M40" s="149">
        <f t="shared" si="1"/>
        <v>2</v>
      </c>
      <c r="N40" s="100">
        <f t="shared" si="2"/>
        <v>347</v>
      </c>
      <c r="O40" s="43">
        <f t="shared" si="3"/>
        <v>360.5</v>
      </c>
    </row>
    <row r="41" spans="1:15" ht="22.5" customHeight="1" x14ac:dyDescent="0.3">
      <c r="A41" s="149" t="s">
        <v>210</v>
      </c>
      <c r="B41" s="44">
        <f>V_1!B41+V_2!B41+V_3!B41</f>
        <v>280</v>
      </c>
      <c r="C41" s="39">
        <f>V_1!C41+V_2!C41+V_3!C41</f>
        <v>131</v>
      </c>
      <c r="D41" s="39">
        <f>V_1!D41+V_2!D41+V_3!D41</f>
        <v>16</v>
      </c>
      <c r="E41" s="39">
        <f>V_1!E41+V_2!E41+V_3!E41</f>
        <v>4</v>
      </c>
      <c r="F41" s="152">
        <f>V_1!F41+V_2!F41+V_3!F41</f>
        <v>10</v>
      </c>
      <c r="G41" s="154">
        <f t="shared" si="4"/>
        <v>441</v>
      </c>
      <c r="H41" s="44">
        <f>V_1!H41+V_2!H41+V_3!H41</f>
        <v>0</v>
      </c>
      <c r="I41" s="39">
        <f>V_1!I41+V_2!I41+V_3!I41</f>
        <v>0</v>
      </c>
      <c r="J41" s="39">
        <f>V_1!J41+V_2!J41+V_3!J41</f>
        <v>0</v>
      </c>
      <c r="K41" s="45">
        <f>V_1!K41+V_2!K41+V_3!K41</f>
        <v>0</v>
      </c>
      <c r="L41" s="140">
        <f>V_1!L41+V_2!L41+V_3!L41</f>
        <v>1</v>
      </c>
      <c r="M41" s="149">
        <f t="shared" si="1"/>
        <v>1</v>
      </c>
      <c r="N41" s="100">
        <f t="shared" si="2"/>
        <v>442</v>
      </c>
      <c r="O41" s="43">
        <f t="shared" si="3"/>
        <v>434.5</v>
      </c>
    </row>
    <row r="42" spans="1:15" ht="22.5" customHeight="1" x14ac:dyDescent="0.3">
      <c r="A42" s="149" t="s">
        <v>211</v>
      </c>
      <c r="B42" s="44">
        <f>V_1!B42+V_2!B42+V_3!B42</f>
        <v>230</v>
      </c>
      <c r="C42" s="39">
        <f>V_1!C42+V_2!C42+V_3!C42</f>
        <v>115</v>
      </c>
      <c r="D42" s="39">
        <f>V_1!D42+V_2!D42+V_3!D42</f>
        <v>4</v>
      </c>
      <c r="E42" s="39">
        <f>V_1!E42+V_2!E42+V_3!E42</f>
        <v>19</v>
      </c>
      <c r="F42" s="152">
        <f>V_1!F42+V_2!F42+V_3!F42</f>
        <v>3</v>
      </c>
      <c r="G42" s="154">
        <f t="shared" si="4"/>
        <v>371</v>
      </c>
      <c r="H42" s="44">
        <f>V_1!H42+V_2!H42+V_3!H42</f>
        <v>0</v>
      </c>
      <c r="I42" s="39">
        <f>V_1!I42+V_2!I42+V_3!I42</f>
        <v>0</v>
      </c>
      <c r="J42" s="39">
        <f>V_1!J42+V_2!J42+V_3!J42</f>
        <v>0</v>
      </c>
      <c r="K42" s="45">
        <f>V_1!K42+V_2!K42+V_3!K42</f>
        <v>0</v>
      </c>
      <c r="L42" s="140">
        <f>V_1!L42+V_2!L42+V_3!L42</f>
        <v>3</v>
      </c>
      <c r="M42" s="149">
        <f t="shared" si="1"/>
        <v>3</v>
      </c>
      <c r="N42" s="100">
        <f t="shared" si="2"/>
        <v>374</v>
      </c>
      <c r="O42" s="43">
        <f t="shared" si="3"/>
        <v>388</v>
      </c>
    </row>
    <row r="43" spans="1:15" ht="22.5" customHeight="1" x14ac:dyDescent="0.3">
      <c r="A43" s="149" t="s">
        <v>212</v>
      </c>
      <c r="B43" s="44">
        <f>V_1!B43+V_2!B43+V_3!B43</f>
        <v>186</v>
      </c>
      <c r="C43" s="39">
        <f>V_1!C43+V_2!C43+V_3!C43</f>
        <v>87</v>
      </c>
      <c r="D43" s="39">
        <f>V_1!D43+V_2!D43+V_3!D43</f>
        <v>13</v>
      </c>
      <c r="E43" s="39">
        <f>V_1!E43+V_2!E43+V_3!E43</f>
        <v>7</v>
      </c>
      <c r="F43" s="152">
        <f>V_1!F43+V_2!F43+V_3!F43</f>
        <v>11</v>
      </c>
      <c r="G43" s="154">
        <f t="shared" si="4"/>
        <v>304</v>
      </c>
      <c r="H43" s="44">
        <f>V_1!H43+V_2!H43+V_3!H43</f>
        <v>0</v>
      </c>
      <c r="I43" s="39">
        <f>V_1!I43+V_2!I43+V_3!I43</f>
        <v>0</v>
      </c>
      <c r="J43" s="39">
        <f>V_1!J43+V_2!J43+V_3!J43</f>
        <v>0</v>
      </c>
      <c r="K43" s="45">
        <f>V_1!K43+V_2!K43+V_3!K43</f>
        <v>0</v>
      </c>
      <c r="L43" s="140">
        <f>V_1!L43+V_2!L43+V_3!L43</f>
        <v>0</v>
      </c>
      <c r="M43" s="149">
        <f t="shared" si="1"/>
        <v>0</v>
      </c>
      <c r="N43" s="100">
        <f t="shared" si="2"/>
        <v>304</v>
      </c>
      <c r="O43" s="43">
        <f t="shared" si="3"/>
        <v>319.5</v>
      </c>
    </row>
    <row r="44" spans="1:15" ht="22.5" customHeight="1" x14ac:dyDescent="0.3">
      <c r="A44" s="149" t="s">
        <v>213</v>
      </c>
      <c r="B44" s="44">
        <f>V_1!B44+V_2!B44+V_3!B44</f>
        <v>239</v>
      </c>
      <c r="C44" s="39">
        <f>V_1!C44+V_2!C44+V_3!C44</f>
        <v>128</v>
      </c>
      <c r="D44" s="39">
        <f>V_1!D44+V_2!D44+V_3!D44</f>
        <v>9</v>
      </c>
      <c r="E44" s="39">
        <f>V_1!E44+V_2!E44+V_3!E44</f>
        <v>12</v>
      </c>
      <c r="F44" s="152">
        <f>V_1!F44+V_2!F44+V_3!F44</f>
        <v>7</v>
      </c>
      <c r="G44" s="154">
        <f t="shared" si="4"/>
        <v>395</v>
      </c>
      <c r="H44" s="44">
        <f>V_1!H44+V_2!H44+V_3!H44</f>
        <v>0</v>
      </c>
      <c r="I44" s="39">
        <f>V_1!I44+V_2!I44+V_3!I44</f>
        <v>0</v>
      </c>
      <c r="J44" s="39">
        <f>V_1!J44+V_2!J44+V_3!J44</f>
        <v>0</v>
      </c>
      <c r="K44" s="45">
        <f>V_1!K44+V_2!K44+V_3!K44</f>
        <v>0</v>
      </c>
      <c r="L44" s="140">
        <f>V_1!L44+V_2!L44+V_3!L44</f>
        <v>0</v>
      </c>
      <c r="M44" s="149">
        <f t="shared" si="1"/>
        <v>0</v>
      </c>
      <c r="N44" s="100">
        <f t="shared" si="2"/>
        <v>395</v>
      </c>
      <c r="O44" s="43">
        <f t="shared" si="3"/>
        <v>384</v>
      </c>
    </row>
    <row r="45" spans="1:15" ht="22.5" customHeight="1" x14ac:dyDescent="0.3">
      <c r="A45" s="149" t="s">
        <v>214</v>
      </c>
      <c r="B45" s="44">
        <f>V_1!B45+V_2!B45+V_3!B45</f>
        <v>225</v>
      </c>
      <c r="C45" s="39">
        <f>V_1!C45+V_2!C45+V_3!C45</f>
        <v>73</v>
      </c>
      <c r="D45" s="39">
        <f>V_1!D45+V_2!D45+V_3!D45</f>
        <v>9</v>
      </c>
      <c r="E45" s="39">
        <f>V_1!E45+V_2!E45+V_3!E45</f>
        <v>18</v>
      </c>
      <c r="F45" s="152">
        <f>V_1!F45+V_2!F45+V_3!F45</f>
        <v>9</v>
      </c>
      <c r="G45" s="154">
        <f t="shared" si="4"/>
        <v>334</v>
      </c>
      <c r="H45" s="44">
        <f>V_1!H45+V_2!H45+V_3!H45</f>
        <v>0</v>
      </c>
      <c r="I45" s="39">
        <f>V_1!I45+V_2!I45+V_3!I45</f>
        <v>0</v>
      </c>
      <c r="J45" s="39">
        <f>V_1!J45+V_2!J45+V_3!J45</f>
        <v>0</v>
      </c>
      <c r="K45" s="45">
        <f>V_1!K45+V_2!K45+V_3!K45</f>
        <v>0</v>
      </c>
      <c r="L45" s="140">
        <f>V_1!L45+V_2!L45+V_3!L45</f>
        <v>1</v>
      </c>
      <c r="M45" s="149">
        <f t="shared" si="1"/>
        <v>1</v>
      </c>
      <c r="N45" s="100">
        <f t="shared" si="2"/>
        <v>335</v>
      </c>
      <c r="O45" s="43">
        <f t="shared" si="3"/>
        <v>377.5</v>
      </c>
    </row>
    <row r="46" spans="1:15" ht="22.5" customHeight="1" x14ac:dyDescent="0.3">
      <c r="A46" s="149" t="s">
        <v>215</v>
      </c>
      <c r="B46" s="44">
        <f>V_1!B46+V_2!B46+V_3!B46</f>
        <v>245</v>
      </c>
      <c r="C46" s="39">
        <f>V_1!C46+V_2!C46+V_3!C46</f>
        <v>99</v>
      </c>
      <c r="D46" s="39">
        <f>V_1!D46+V_2!D46+V_3!D46</f>
        <v>15</v>
      </c>
      <c r="E46" s="39">
        <f>V_1!E46+V_2!E46+V_3!E46</f>
        <v>16</v>
      </c>
      <c r="F46" s="152">
        <f>V_1!F46+V_2!F46+V_3!F46</f>
        <v>13</v>
      </c>
      <c r="G46" s="154">
        <f t="shared" si="4"/>
        <v>388</v>
      </c>
      <c r="H46" s="44">
        <f>V_1!H46+V_2!H46+V_3!H46</f>
        <v>0</v>
      </c>
      <c r="I46" s="39">
        <f>V_1!I46+V_2!I46+V_3!I46</f>
        <v>0</v>
      </c>
      <c r="J46" s="39">
        <f>V_1!J46+V_2!J46+V_3!J46</f>
        <v>0</v>
      </c>
      <c r="K46" s="45">
        <f>V_1!K46+V_2!K46+V_3!K46</f>
        <v>0</v>
      </c>
      <c r="L46" s="140">
        <f>V_1!L46+V_2!L46+V_3!L46</f>
        <v>1</v>
      </c>
      <c r="M46" s="149">
        <f t="shared" si="1"/>
        <v>1</v>
      </c>
      <c r="N46" s="100">
        <f t="shared" si="2"/>
        <v>389</v>
      </c>
      <c r="O46" s="43">
        <f t="shared" si="3"/>
        <v>431.5</v>
      </c>
    </row>
    <row r="47" spans="1:15" ht="22.5" customHeight="1" x14ac:dyDescent="0.3">
      <c r="A47" s="149" t="s">
        <v>216</v>
      </c>
      <c r="B47" s="44">
        <f>V_1!B47+V_2!B47+V_3!B47</f>
        <v>242</v>
      </c>
      <c r="C47" s="39">
        <f>V_1!C47+V_2!C47+V_3!C47</f>
        <v>100</v>
      </c>
      <c r="D47" s="39">
        <f>V_1!D47+V_2!D47+V_3!D47</f>
        <v>10</v>
      </c>
      <c r="E47" s="39">
        <f>V_1!E47+V_2!E47+V_3!E47</f>
        <v>20</v>
      </c>
      <c r="F47" s="152">
        <f>V_1!F47+V_2!F47+V_3!F47</f>
        <v>6</v>
      </c>
      <c r="G47" s="154">
        <f t="shared" si="4"/>
        <v>378</v>
      </c>
      <c r="H47" s="44">
        <f>V_1!H47+V_2!H47+V_3!H47</f>
        <v>0</v>
      </c>
      <c r="I47" s="39">
        <f>V_1!I47+V_2!I47+V_3!I47</f>
        <v>0</v>
      </c>
      <c r="J47" s="39">
        <f>V_1!J47+V_2!J47+V_3!J47</f>
        <v>0</v>
      </c>
      <c r="K47" s="45">
        <f>V_1!K47+V_2!K47+V_3!K47</f>
        <v>0</v>
      </c>
      <c r="L47" s="140">
        <f>V_1!L47+V_2!L47+V_3!L47</f>
        <v>0</v>
      </c>
      <c r="M47" s="149">
        <f t="shared" si="1"/>
        <v>0</v>
      </c>
      <c r="N47" s="100">
        <f t="shared" si="2"/>
        <v>378</v>
      </c>
      <c r="O47" s="43">
        <f t="shared" si="3"/>
        <v>394</v>
      </c>
    </row>
    <row r="48" spans="1:15" ht="22.5" customHeight="1" x14ac:dyDescent="0.3">
      <c r="A48" s="149" t="s">
        <v>217</v>
      </c>
      <c r="B48" s="44">
        <f>V_1!B48+V_2!B48+V_3!B48</f>
        <v>206</v>
      </c>
      <c r="C48" s="39">
        <f>V_1!C48+V_2!C48+V_3!C48</f>
        <v>76</v>
      </c>
      <c r="D48" s="39">
        <f>V_1!D48+V_2!D48+V_3!D48</f>
        <v>10</v>
      </c>
      <c r="E48" s="39">
        <f>V_1!E48+V_2!E48+V_3!E48</f>
        <v>3</v>
      </c>
      <c r="F48" s="152">
        <f>V_1!F48+V_2!F48+V_3!F48</f>
        <v>7</v>
      </c>
      <c r="G48" s="154">
        <f t="shared" si="4"/>
        <v>302</v>
      </c>
      <c r="H48" s="44">
        <f>V_1!H48+V_2!H48+V_3!H48</f>
        <v>0</v>
      </c>
      <c r="I48" s="39">
        <f>V_1!I48+V_2!I48+V_3!I48</f>
        <v>0</v>
      </c>
      <c r="J48" s="39">
        <f>V_1!J48+V_2!J48+V_3!J48</f>
        <v>0</v>
      </c>
      <c r="K48" s="45">
        <f>V_1!K48+V_2!K48+V_3!K48</f>
        <v>0</v>
      </c>
      <c r="L48" s="140">
        <f>V_1!L48+V_2!L48+V_3!L48</f>
        <v>1</v>
      </c>
      <c r="M48" s="149">
        <f t="shared" si="1"/>
        <v>1</v>
      </c>
      <c r="N48" s="100">
        <f t="shared" si="2"/>
        <v>303</v>
      </c>
      <c r="O48" s="43">
        <f t="shared" si="3"/>
        <v>307.5</v>
      </c>
    </row>
    <row r="49" spans="1:15" ht="22.5" customHeight="1" x14ac:dyDescent="0.3">
      <c r="A49" s="149" t="s">
        <v>218</v>
      </c>
      <c r="B49" s="44">
        <f>V_1!B49+V_2!B49+V_3!B49</f>
        <v>190</v>
      </c>
      <c r="C49" s="39">
        <f>V_1!C49+V_2!C49+V_3!C49</f>
        <v>76</v>
      </c>
      <c r="D49" s="39">
        <f>V_1!D49+V_2!D49+V_3!D49</f>
        <v>11</v>
      </c>
      <c r="E49" s="39">
        <f>V_1!E49+V_2!E49+V_3!E49</f>
        <v>7</v>
      </c>
      <c r="F49" s="152">
        <f>V_1!F49+V_2!F49+V_3!F49</f>
        <v>16</v>
      </c>
      <c r="G49" s="154">
        <f t="shared" si="4"/>
        <v>300</v>
      </c>
      <c r="H49" s="44">
        <f>V_1!H49+V_2!H49+V_3!H49</f>
        <v>0</v>
      </c>
      <c r="I49" s="39">
        <f>V_1!I49+V_2!I49+V_3!I49</f>
        <v>0</v>
      </c>
      <c r="J49" s="39">
        <f>V_1!J49+V_2!J49+V_3!J49</f>
        <v>0</v>
      </c>
      <c r="K49" s="45">
        <f>V_1!K49+V_2!K49+V_3!K49</f>
        <v>0</v>
      </c>
      <c r="L49" s="140">
        <f>V_1!L49+V_2!L49+V_3!L49</f>
        <v>1</v>
      </c>
      <c r="M49" s="149">
        <f t="shared" si="1"/>
        <v>1</v>
      </c>
      <c r="N49" s="100">
        <f t="shared" si="2"/>
        <v>301</v>
      </c>
      <c r="O49" s="43">
        <f t="shared" si="3"/>
        <v>345.5</v>
      </c>
    </row>
    <row r="50" spans="1:15" ht="22.5" customHeight="1" x14ac:dyDescent="0.3">
      <c r="A50" s="149" t="s">
        <v>219</v>
      </c>
      <c r="B50" s="44">
        <f>V_1!B50+V_2!B50+V_3!B50</f>
        <v>170</v>
      </c>
      <c r="C50" s="39">
        <f>V_1!C50+V_2!C50+V_3!C50</f>
        <v>74</v>
      </c>
      <c r="D50" s="39">
        <f>V_1!D50+V_2!D50+V_3!D50</f>
        <v>7</v>
      </c>
      <c r="E50" s="39">
        <f>V_1!E50+V_2!E50+V_3!E50</f>
        <v>8</v>
      </c>
      <c r="F50" s="152">
        <f>V_1!F50+V_2!F50+V_3!F50</f>
        <v>10</v>
      </c>
      <c r="G50" s="154">
        <f t="shared" si="4"/>
        <v>269</v>
      </c>
      <c r="H50" s="44">
        <f>V_1!H50+V_2!H50+V_3!H50</f>
        <v>0</v>
      </c>
      <c r="I50" s="39">
        <f>V_1!I50+V_2!I50+V_3!I50</f>
        <v>0</v>
      </c>
      <c r="J50" s="39">
        <f>V_1!J50+V_2!J50+V_3!J50</f>
        <v>0</v>
      </c>
      <c r="K50" s="45">
        <f>V_1!K50+V_2!K50+V_3!K50</f>
        <v>0</v>
      </c>
      <c r="L50" s="140">
        <f>V_1!L50+V_2!L50+V_3!L50</f>
        <v>3</v>
      </c>
      <c r="M50" s="149">
        <f t="shared" si="1"/>
        <v>3</v>
      </c>
      <c r="N50" s="100">
        <f t="shared" si="2"/>
        <v>272</v>
      </c>
      <c r="O50" s="43">
        <f t="shared" si="3"/>
        <v>310.5</v>
      </c>
    </row>
    <row r="51" spans="1:15" ht="22.5" customHeight="1" x14ac:dyDescent="0.3">
      <c r="A51" s="149" t="s">
        <v>220</v>
      </c>
      <c r="B51" s="44">
        <f>V_1!B51+V_2!B51+V_3!B51</f>
        <v>176</v>
      </c>
      <c r="C51" s="39">
        <f>V_1!C51+V_2!C51+V_3!C51</f>
        <v>71</v>
      </c>
      <c r="D51" s="39">
        <f>V_1!D51+V_2!D51+V_3!D51</f>
        <v>6</v>
      </c>
      <c r="E51" s="39">
        <f>V_1!E51+V_2!E51+V_3!E51</f>
        <v>5</v>
      </c>
      <c r="F51" s="152">
        <f>V_1!F51+V_2!F51+V_3!F51</f>
        <v>6</v>
      </c>
      <c r="G51" s="154">
        <f t="shared" si="4"/>
        <v>264</v>
      </c>
      <c r="H51" s="44">
        <f>V_1!H51+V_2!H51+V_3!H51</f>
        <v>0</v>
      </c>
      <c r="I51" s="39">
        <f>V_1!I51+V_2!I51+V_3!I51</f>
        <v>0</v>
      </c>
      <c r="J51" s="39">
        <f>V_1!J51+V_2!J51+V_3!J51</f>
        <v>0</v>
      </c>
      <c r="K51" s="45">
        <f>V_1!K51+V_2!K51+V_3!K51</f>
        <v>0</v>
      </c>
      <c r="L51" s="140">
        <f>V_1!L51+V_2!L51+V_3!L51</f>
        <v>4</v>
      </c>
      <c r="M51" s="149">
        <f t="shared" si="1"/>
        <v>4</v>
      </c>
      <c r="N51" s="100">
        <f t="shared" si="2"/>
        <v>268</v>
      </c>
      <c r="O51" s="43">
        <f t="shared" si="3"/>
        <v>294.5</v>
      </c>
    </row>
    <row r="52" spans="1:15" ht="22.5" customHeight="1" x14ac:dyDescent="0.3">
      <c r="A52" s="149" t="s">
        <v>221</v>
      </c>
      <c r="B52" s="44">
        <f>V_1!B52+V_2!B52+V_3!B52</f>
        <v>214</v>
      </c>
      <c r="C52" s="39">
        <f>V_1!C52+V_2!C52+V_3!C52</f>
        <v>82</v>
      </c>
      <c r="D52" s="39">
        <f>V_1!D52+V_2!D52+V_3!D52</f>
        <v>12</v>
      </c>
      <c r="E52" s="39">
        <f>V_1!E52+V_2!E52+V_3!E52</f>
        <v>11</v>
      </c>
      <c r="F52" s="152">
        <f>V_1!F52+V_2!F52+V_3!F52</f>
        <v>7</v>
      </c>
      <c r="G52" s="154">
        <f t="shared" si="4"/>
        <v>326</v>
      </c>
      <c r="H52" s="44">
        <f>V_1!H52+V_2!H52+V_3!H52</f>
        <v>0</v>
      </c>
      <c r="I52" s="39">
        <f>V_1!I52+V_2!I52+V_3!I52</f>
        <v>0</v>
      </c>
      <c r="J52" s="39">
        <f>V_1!J52+V_2!J52+V_3!J52</f>
        <v>0</v>
      </c>
      <c r="K52" s="45">
        <f>V_1!K52+V_2!K52+V_3!K52</f>
        <v>0</v>
      </c>
      <c r="L52" s="140">
        <f>V_1!L52+V_2!L52+V_3!L52</f>
        <v>0</v>
      </c>
      <c r="M52" s="149">
        <f t="shared" si="1"/>
        <v>0</v>
      </c>
      <c r="N52" s="100">
        <f t="shared" si="2"/>
        <v>326</v>
      </c>
      <c r="O52" s="43">
        <f t="shared" si="3"/>
        <v>337.5</v>
      </c>
    </row>
    <row r="53" spans="1:15" ht="22.5" customHeight="1" x14ac:dyDescent="0.3">
      <c r="A53" s="149" t="s">
        <v>222</v>
      </c>
      <c r="B53" s="44">
        <f>V_1!B53+V_2!B53+V_3!B53</f>
        <v>162</v>
      </c>
      <c r="C53" s="39">
        <f>V_1!C53+V_2!C53+V_3!C53</f>
        <v>86</v>
      </c>
      <c r="D53" s="39">
        <f>V_1!D53+V_2!D53+V_3!D53</f>
        <v>12</v>
      </c>
      <c r="E53" s="39">
        <f>V_1!E53+V_2!E53+V_3!E53</f>
        <v>4</v>
      </c>
      <c r="F53" s="152">
        <f>V_1!F53+V_2!F53+V_3!F53</f>
        <v>10</v>
      </c>
      <c r="G53" s="154">
        <f t="shared" si="4"/>
        <v>274</v>
      </c>
      <c r="H53" s="44">
        <f>V_1!H53+V_2!H53+V_3!H53</f>
        <v>1</v>
      </c>
      <c r="I53" s="39">
        <f>V_1!I53+V_2!I53+V_3!I53</f>
        <v>0</v>
      </c>
      <c r="J53" s="39">
        <f>V_1!J53+V_2!J53+V_3!J53</f>
        <v>0</v>
      </c>
      <c r="K53" s="45">
        <f>V_1!K53+V_2!K53+V_3!K53</f>
        <v>0</v>
      </c>
      <c r="L53" s="140">
        <f>V_1!L53+V_2!L53+V_3!L53</f>
        <v>1</v>
      </c>
      <c r="M53" s="149">
        <f t="shared" si="1"/>
        <v>2</v>
      </c>
      <c r="N53" s="100">
        <f t="shared" si="2"/>
        <v>276</v>
      </c>
      <c r="O53" s="43">
        <f t="shared" si="3"/>
        <v>288.5</v>
      </c>
    </row>
    <row r="54" spans="1:15" ht="22.5" customHeight="1" x14ac:dyDescent="0.3">
      <c r="A54" s="149" t="s">
        <v>223</v>
      </c>
      <c r="B54" s="44">
        <f>V_1!B54+V_2!B54+V_3!B54</f>
        <v>132</v>
      </c>
      <c r="C54" s="39">
        <f>V_1!C54+V_2!C54+V_3!C54</f>
        <v>46</v>
      </c>
      <c r="D54" s="39">
        <f>V_1!D54+V_2!D54+V_3!D54</f>
        <v>8</v>
      </c>
      <c r="E54" s="39">
        <f>V_1!E54+V_2!E54+V_3!E54</f>
        <v>9</v>
      </c>
      <c r="F54" s="152">
        <f>V_1!F54+V_2!F54+V_3!F54</f>
        <v>13</v>
      </c>
      <c r="G54" s="154">
        <f t="shared" si="4"/>
        <v>208</v>
      </c>
      <c r="H54" s="44">
        <f>V_1!H54+V_2!H54+V_3!H54</f>
        <v>1</v>
      </c>
      <c r="I54" s="39">
        <f>V_1!I54+V_2!I54+V_3!I54</f>
        <v>0</v>
      </c>
      <c r="J54" s="39">
        <f>V_1!J54+V_2!J54+V_3!J54</f>
        <v>0</v>
      </c>
      <c r="K54" s="45">
        <f>V_1!K54+V_2!K54+V_3!K54</f>
        <v>0</v>
      </c>
      <c r="L54" s="140">
        <f>V_1!L54+V_2!L54+V_3!L54</f>
        <v>1</v>
      </c>
      <c r="M54" s="149">
        <f t="shared" si="1"/>
        <v>2</v>
      </c>
      <c r="N54" s="100">
        <f t="shared" si="2"/>
        <v>210</v>
      </c>
      <c r="O54" s="43">
        <f t="shared" si="3"/>
        <v>261</v>
      </c>
    </row>
    <row r="55" spans="1:15" ht="22.5" customHeight="1" x14ac:dyDescent="0.3">
      <c r="A55" s="149" t="s">
        <v>224</v>
      </c>
      <c r="B55" s="44">
        <f>V_1!B55+V_2!B55+V_3!B55</f>
        <v>141</v>
      </c>
      <c r="C55" s="39">
        <f>V_1!C55+V_2!C55+V_3!C55</f>
        <v>48</v>
      </c>
      <c r="D55" s="39">
        <f>V_1!D55+V_2!D55+V_3!D55</f>
        <v>10</v>
      </c>
      <c r="E55" s="39">
        <f>V_1!E55+V_2!E55+V_3!E55</f>
        <v>17</v>
      </c>
      <c r="F55" s="152">
        <f>V_1!F55+V_2!F55+V_3!F55</f>
        <v>9</v>
      </c>
      <c r="G55" s="154">
        <f t="shared" si="4"/>
        <v>225</v>
      </c>
      <c r="H55" s="44">
        <f>V_1!H55+V_2!H55+V_3!H55</f>
        <v>0</v>
      </c>
      <c r="I55" s="39">
        <f>V_1!I55+V_2!I55+V_3!I55</f>
        <v>0</v>
      </c>
      <c r="J55" s="39">
        <f>V_1!J55+V_2!J55+V_3!J55</f>
        <v>0</v>
      </c>
      <c r="K55" s="45">
        <f>V_1!K55+V_2!K55+V_3!K55</f>
        <v>0</v>
      </c>
      <c r="L55" s="140">
        <f>V_1!L55+V_2!L55+V_3!L55</f>
        <v>0</v>
      </c>
      <c r="M55" s="149">
        <f t="shared" si="1"/>
        <v>0</v>
      </c>
      <c r="N55" s="100">
        <f t="shared" si="2"/>
        <v>225</v>
      </c>
      <c r="O55" s="43">
        <f t="shared" si="3"/>
        <v>271.5</v>
      </c>
    </row>
    <row r="56" spans="1:15" ht="22.5" customHeight="1" x14ac:dyDescent="0.3">
      <c r="A56" s="149" t="s">
        <v>225</v>
      </c>
      <c r="B56" s="44">
        <f>V_1!B56+V_2!B56+V_3!B56</f>
        <v>169</v>
      </c>
      <c r="C56" s="39">
        <f>V_1!C56+V_2!C56+V_3!C56</f>
        <v>68</v>
      </c>
      <c r="D56" s="39">
        <f>V_1!D56+V_2!D56+V_3!D56</f>
        <v>3</v>
      </c>
      <c r="E56" s="39">
        <f>V_1!E56+V_2!E56+V_3!E56</f>
        <v>13</v>
      </c>
      <c r="F56" s="152">
        <f>V_1!F56+V_2!F56+V_3!F56</f>
        <v>9</v>
      </c>
      <c r="G56" s="154">
        <f t="shared" si="4"/>
        <v>262</v>
      </c>
      <c r="H56" s="44">
        <f>V_1!H56+V_2!H56+V_3!H56</f>
        <v>0</v>
      </c>
      <c r="I56" s="39">
        <f>V_1!I56+V_2!I56+V_3!I56</f>
        <v>0</v>
      </c>
      <c r="J56" s="39">
        <f>V_1!J56+V_2!J56+V_3!J56</f>
        <v>0</v>
      </c>
      <c r="K56" s="45">
        <f>V_1!K56+V_2!K56+V_3!K56</f>
        <v>0</v>
      </c>
      <c r="L56" s="140">
        <f>V_1!L56+V_2!L56+V_3!L56</f>
        <v>1</v>
      </c>
      <c r="M56" s="149">
        <f t="shared" si="1"/>
        <v>1</v>
      </c>
      <c r="N56" s="100">
        <f t="shared" si="2"/>
        <v>263</v>
      </c>
      <c r="O56" s="43">
        <f t="shared" si="3"/>
        <v>295</v>
      </c>
    </row>
    <row r="57" spans="1:15" ht="22.5" customHeight="1" x14ac:dyDescent="0.3">
      <c r="A57" s="149" t="s">
        <v>226</v>
      </c>
      <c r="B57" s="44">
        <f>V_1!B57+V_2!B57+V_3!B57</f>
        <v>169</v>
      </c>
      <c r="C57" s="39">
        <f>V_1!C57+V_2!C57+V_3!C57</f>
        <v>37</v>
      </c>
      <c r="D57" s="39">
        <f>V_1!D57+V_2!D57+V_3!D57</f>
        <v>8</v>
      </c>
      <c r="E57" s="39">
        <f>V_1!E57+V_2!E57+V_3!E57</f>
        <v>13</v>
      </c>
      <c r="F57" s="152">
        <f>V_1!F57+V_2!F57+V_3!F57</f>
        <v>5</v>
      </c>
      <c r="G57" s="154">
        <f t="shared" si="4"/>
        <v>232</v>
      </c>
      <c r="H57" s="44">
        <f>V_1!H57+V_2!H57+V_3!H57</f>
        <v>0</v>
      </c>
      <c r="I57" s="39">
        <f>V_1!I57+V_2!I57+V_3!I57</f>
        <v>0</v>
      </c>
      <c r="J57" s="39">
        <f>V_1!J57+V_2!J57+V_3!J57</f>
        <v>0</v>
      </c>
      <c r="K57" s="45">
        <f>V_1!K57+V_2!K57+V_3!K57</f>
        <v>0</v>
      </c>
      <c r="L57" s="140">
        <f>V_1!L57+V_2!L57+V_3!L57</f>
        <v>0</v>
      </c>
      <c r="M57" s="149">
        <f t="shared" si="1"/>
        <v>0</v>
      </c>
      <c r="N57" s="100">
        <f t="shared" si="2"/>
        <v>232</v>
      </c>
      <c r="O57" s="43">
        <f t="shared" si="3"/>
        <v>261</v>
      </c>
    </row>
    <row r="58" spans="1:15" ht="22.5" customHeight="1" x14ac:dyDescent="0.3">
      <c r="A58" s="149" t="s">
        <v>227</v>
      </c>
      <c r="B58" s="44">
        <f>V_1!B58+V_2!B58+V_3!B58</f>
        <v>131</v>
      </c>
      <c r="C58" s="39">
        <f>V_1!C58+V_2!C58+V_3!C58</f>
        <v>41</v>
      </c>
      <c r="D58" s="39">
        <f>V_1!D58+V_2!D58+V_3!D58</f>
        <v>7</v>
      </c>
      <c r="E58" s="39">
        <f>V_1!E58+V_2!E58+V_3!E58</f>
        <v>11</v>
      </c>
      <c r="F58" s="152">
        <f>V_1!F58+V_2!F58+V_3!F58</f>
        <v>12</v>
      </c>
      <c r="G58" s="154">
        <f t="shared" si="4"/>
        <v>202</v>
      </c>
      <c r="H58" s="44">
        <f>V_1!H58+V_2!H58+V_3!H58</f>
        <v>0</v>
      </c>
      <c r="I58" s="39">
        <f>V_1!I58+V_2!I58+V_3!I58</f>
        <v>0</v>
      </c>
      <c r="J58" s="39">
        <f>V_1!J58+V_2!J58+V_3!J58</f>
        <v>0</v>
      </c>
      <c r="K58" s="45">
        <f>V_1!K58+V_2!K58+V_3!K58</f>
        <v>0</v>
      </c>
      <c r="L58" s="140">
        <f>V_1!L58+V_2!L58+V_3!L58</f>
        <v>1</v>
      </c>
      <c r="M58" s="149">
        <f t="shared" si="1"/>
        <v>1</v>
      </c>
      <c r="N58" s="100">
        <f t="shared" si="2"/>
        <v>203</v>
      </c>
      <c r="O58" s="43">
        <f t="shared" si="3"/>
        <v>257</v>
      </c>
    </row>
    <row r="59" spans="1:15" ht="22.5" customHeight="1" x14ac:dyDescent="0.3">
      <c r="A59" s="149" t="s">
        <v>228</v>
      </c>
      <c r="B59" s="44">
        <f>V_1!B59+V_2!B59+V_3!B59</f>
        <v>134</v>
      </c>
      <c r="C59" s="39">
        <f>V_1!C59+V_2!C59+V_3!C59</f>
        <v>40</v>
      </c>
      <c r="D59" s="39">
        <f>V_1!D59+V_2!D59+V_3!D59</f>
        <v>2</v>
      </c>
      <c r="E59" s="39">
        <f>V_1!E59+V_2!E59+V_3!E59</f>
        <v>11</v>
      </c>
      <c r="F59" s="152">
        <f>V_1!F59+V_2!F59+V_3!F59</f>
        <v>15</v>
      </c>
      <c r="G59" s="154">
        <f t="shared" si="4"/>
        <v>202</v>
      </c>
      <c r="H59" s="44">
        <f>V_1!H59+V_2!H59+V_3!H59</f>
        <v>0</v>
      </c>
      <c r="I59" s="39">
        <f>V_1!I59+V_2!I59+V_3!I59</f>
        <v>0</v>
      </c>
      <c r="J59" s="39">
        <f>V_1!J59+V_2!J59+V_3!J59</f>
        <v>0</v>
      </c>
      <c r="K59" s="45">
        <f>V_1!K59+V_2!K59+V_3!K59</f>
        <v>0</v>
      </c>
      <c r="L59" s="140">
        <f>V_1!L59+V_2!L59+V_3!L59</f>
        <v>0</v>
      </c>
      <c r="M59" s="149">
        <f t="shared" si="1"/>
        <v>0</v>
      </c>
      <c r="N59" s="100">
        <f t="shared" si="2"/>
        <v>202</v>
      </c>
      <c r="O59" s="43">
        <f t="shared" si="3"/>
        <v>257.5</v>
      </c>
    </row>
    <row r="60" spans="1:15" ht="22.5" customHeight="1" x14ac:dyDescent="0.3">
      <c r="A60" s="149" t="s">
        <v>229</v>
      </c>
      <c r="B60" s="44">
        <f>V_1!B60+V_2!B60+V_3!B60</f>
        <v>160</v>
      </c>
      <c r="C60" s="39">
        <f>V_1!C60+V_2!C60+V_3!C60</f>
        <v>24</v>
      </c>
      <c r="D60" s="39">
        <f>V_1!D60+V_2!D60+V_3!D60</f>
        <v>4</v>
      </c>
      <c r="E60" s="39">
        <f>V_1!E60+V_2!E60+V_3!E60</f>
        <v>9</v>
      </c>
      <c r="F60" s="152">
        <f>V_1!F60+V_2!F60+V_3!F60</f>
        <v>16</v>
      </c>
      <c r="G60" s="154">
        <f t="shared" si="4"/>
        <v>213</v>
      </c>
      <c r="H60" s="44">
        <f>V_1!H60+V_2!H60+V_3!H60</f>
        <v>0</v>
      </c>
      <c r="I60" s="39">
        <f>V_1!I60+V_2!I60+V_3!I60</f>
        <v>0</v>
      </c>
      <c r="J60" s="39">
        <f>V_1!J60+V_2!J60+V_3!J60</f>
        <v>0</v>
      </c>
      <c r="K60" s="45">
        <f>V_1!K60+V_2!K60+V_3!K60</f>
        <v>0</v>
      </c>
      <c r="L60" s="140">
        <f>V_1!L60+V_2!L60+V_3!L60</f>
        <v>1</v>
      </c>
      <c r="M60" s="149">
        <f t="shared" si="1"/>
        <v>1</v>
      </c>
      <c r="N60" s="100">
        <f t="shared" si="2"/>
        <v>214</v>
      </c>
      <c r="O60" s="43">
        <f t="shared" si="3"/>
        <v>285</v>
      </c>
    </row>
    <row r="61" spans="1:15" ht="22.5" customHeight="1" x14ac:dyDescent="0.3">
      <c r="A61" s="149" t="s">
        <v>230</v>
      </c>
      <c r="B61" s="44">
        <f>V_1!B61+V_2!B61+V_3!B61</f>
        <v>140</v>
      </c>
      <c r="C61" s="39">
        <f>V_1!C61+V_2!C61+V_3!C61</f>
        <v>61</v>
      </c>
      <c r="D61" s="39">
        <f>V_1!D61+V_2!D61+V_3!D61</f>
        <v>2</v>
      </c>
      <c r="E61" s="39">
        <f>V_1!E61+V_2!E61+V_3!E61</f>
        <v>11</v>
      </c>
      <c r="F61" s="152">
        <f>V_1!F61+V_2!F61+V_3!F61</f>
        <v>11</v>
      </c>
      <c r="G61" s="154">
        <f t="shared" si="4"/>
        <v>225</v>
      </c>
      <c r="H61" s="44">
        <f>V_1!H61+V_2!H61+V_3!H61</f>
        <v>0</v>
      </c>
      <c r="I61" s="39">
        <f>V_1!I61+V_2!I61+V_3!I61</f>
        <v>0</v>
      </c>
      <c r="J61" s="39">
        <f>V_1!J61+V_2!J61+V_3!J61</f>
        <v>0</v>
      </c>
      <c r="K61" s="45">
        <f>V_1!K61+V_2!K61+V_3!K61</f>
        <v>0</v>
      </c>
      <c r="L61" s="140">
        <f>V_1!L61+V_2!L61+V_3!L61</f>
        <v>0</v>
      </c>
      <c r="M61" s="149">
        <f t="shared" si="1"/>
        <v>0</v>
      </c>
      <c r="N61" s="100">
        <f t="shared" si="2"/>
        <v>225</v>
      </c>
      <c r="O61" s="43">
        <f t="shared" si="3"/>
        <v>256</v>
      </c>
    </row>
    <row r="62" spans="1:15" ht="22.5" customHeight="1" x14ac:dyDescent="0.3">
      <c r="A62" s="149" t="s">
        <v>231</v>
      </c>
      <c r="B62" s="44">
        <f>V_1!B62+V_2!B62+V_3!B62</f>
        <v>168</v>
      </c>
      <c r="C62" s="39">
        <f>V_1!C62+V_2!C62+V_3!C62</f>
        <v>20</v>
      </c>
      <c r="D62" s="39">
        <f>V_1!D62+V_2!D62+V_3!D62</f>
        <v>10</v>
      </c>
      <c r="E62" s="39">
        <f>V_1!E62+V_2!E62+V_3!E62</f>
        <v>14</v>
      </c>
      <c r="F62" s="152">
        <f>V_1!F62+V_2!F62+V_3!F62</f>
        <v>13</v>
      </c>
      <c r="G62" s="154">
        <f t="shared" si="4"/>
        <v>225</v>
      </c>
      <c r="H62" s="44">
        <f>V_1!H62+V_2!H62+V_3!H62</f>
        <v>0</v>
      </c>
      <c r="I62" s="39">
        <f>V_1!I62+V_2!I62+V_3!I62</f>
        <v>0</v>
      </c>
      <c r="J62" s="39">
        <f>V_1!J62+V_2!J62+V_3!J62</f>
        <v>0</v>
      </c>
      <c r="K62" s="45">
        <f>V_1!K62+V_2!K62+V_3!K62</f>
        <v>0</v>
      </c>
      <c r="L62" s="140">
        <f>V_1!L62+V_2!L62+V_3!L62</f>
        <v>0</v>
      </c>
      <c r="M62" s="149">
        <f t="shared" si="1"/>
        <v>0</v>
      </c>
      <c r="N62" s="100">
        <f t="shared" si="2"/>
        <v>225</v>
      </c>
      <c r="O62" s="43">
        <f t="shared" si="3"/>
        <v>293.5</v>
      </c>
    </row>
    <row r="63" spans="1:15" ht="22.5" customHeight="1" x14ac:dyDescent="0.3">
      <c r="A63" s="149" t="s">
        <v>232</v>
      </c>
      <c r="B63" s="44">
        <f>V_1!B63+V_2!B63+V_3!B63</f>
        <v>132</v>
      </c>
      <c r="C63" s="39">
        <f>V_1!C63+V_2!C63+V_3!C63</f>
        <v>32</v>
      </c>
      <c r="D63" s="39">
        <f>V_1!D63+V_2!D63+V_3!D63</f>
        <v>8</v>
      </c>
      <c r="E63" s="39">
        <f>V_1!E63+V_2!E63+V_3!E63</f>
        <v>6</v>
      </c>
      <c r="F63" s="152">
        <f>V_1!F63+V_2!F63+V_3!F63</f>
        <v>10</v>
      </c>
      <c r="G63" s="154">
        <f t="shared" si="4"/>
        <v>188</v>
      </c>
      <c r="H63" s="44">
        <f>V_1!H63+V_2!H63+V_3!H63</f>
        <v>0</v>
      </c>
      <c r="I63" s="39">
        <f>V_1!I63+V_2!I63+V_3!I63</f>
        <v>0</v>
      </c>
      <c r="J63" s="39">
        <f>V_1!J63+V_2!J63+V_3!J63</f>
        <v>0</v>
      </c>
      <c r="K63" s="45">
        <f>V_1!K63+V_2!K63+V_3!K63</f>
        <v>0</v>
      </c>
      <c r="L63" s="140">
        <f>V_1!L63+V_2!L63+V_3!L63</f>
        <v>1</v>
      </c>
      <c r="M63" s="149">
        <f t="shared" si="1"/>
        <v>1</v>
      </c>
      <c r="N63" s="100">
        <f t="shared" si="2"/>
        <v>189</v>
      </c>
      <c r="O63" s="43">
        <f t="shared" si="3"/>
        <v>231</v>
      </c>
    </row>
    <row r="64" spans="1:15" ht="22.5" customHeight="1" x14ac:dyDescent="0.3">
      <c r="A64" s="149" t="s">
        <v>233</v>
      </c>
      <c r="B64" s="44">
        <f>V_1!B64+V_2!B64+V_3!B64</f>
        <v>135</v>
      </c>
      <c r="C64" s="39">
        <f>V_1!C64+V_2!C64+V_3!C64</f>
        <v>36</v>
      </c>
      <c r="D64" s="39">
        <f>V_1!D64+V_2!D64+V_3!D64</f>
        <v>9</v>
      </c>
      <c r="E64" s="39">
        <f>V_1!E64+V_2!E64+V_3!E64</f>
        <v>13</v>
      </c>
      <c r="F64" s="152">
        <f>V_1!F64+V_2!F64+V_3!F64</f>
        <v>6</v>
      </c>
      <c r="G64" s="154">
        <f t="shared" si="4"/>
        <v>199</v>
      </c>
      <c r="H64" s="44">
        <f>V_1!H64+V_2!H64+V_3!H64</f>
        <v>0</v>
      </c>
      <c r="I64" s="39">
        <f>V_1!I64+V_2!I64+V_3!I64</f>
        <v>0</v>
      </c>
      <c r="J64" s="39">
        <f>V_1!J64+V_2!J64+V_3!J64</f>
        <v>0</v>
      </c>
      <c r="K64" s="45">
        <f>V_1!K64+V_2!K64+V_3!K64</f>
        <v>0</v>
      </c>
      <c r="L64" s="140">
        <f>V_1!L64+V_2!L64+V_3!L64</f>
        <v>0</v>
      </c>
      <c r="M64" s="149">
        <f t="shared" si="1"/>
        <v>0</v>
      </c>
      <c r="N64" s="100">
        <f t="shared" si="2"/>
        <v>199</v>
      </c>
      <c r="O64" s="43">
        <f t="shared" si="3"/>
        <v>232.5</v>
      </c>
    </row>
    <row r="65" spans="1:15" ht="22.5" customHeight="1" x14ac:dyDescent="0.3">
      <c r="A65" s="149" t="s">
        <v>234</v>
      </c>
      <c r="B65" s="44">
        <f>V_1!B65+V_2!B65+V_3!B65</f>
        <v>91</v>
      </c>
      <c r="C65" s="39">
        <f>V_1!C65+V_2!C65+V_3!C65</f>
        <v>22</v>
      </c>
      <c r="D65" s="39">
        <f>V_1!D65+V_2!D65+V_3!D65</f>
        <v>6</v>
      </c>
      <c r="E65" s="39">
        <f>V_1!E65+V_2!E65+V_3!E65</f>
        <v>5</v>
      </c>
      <c r="F65" s="152">
        <f>V_1!F65+V_2!F65+V_3!F65</f>
        <v>9</v>
      </c>
      <c r="G65" s="154">
        <f t="shared" si="4"/>
        <v>133</v>
      </c>
      <c r="H65" s="44">
        <f>V_1!H65+V_2!H65+V_3!H65</f>
        <v>0</v>
      </c>
      <c r="I65" s="39">
        <f>V_1!I65+V_2!I65+V_3!I65</f>
        <v>0</v>
      </c>
      <c r="J65" s="39">
        <f>V_1!J65+V_2!J65+V_3!J65</f>
        <v>0</v>
      </c>
      <c r="K65" s="45">
        <f>V_1!K65+V_2!K65+V_3!K65</f>
        <v>0</v>
      </c>
      <c r="L65" s="140">
        <f>V_1!L65+V_2!L65+V_3!L65</f>
        <v>1</v>
      </c>
      <c r="M65" s="149">
        <f t="shared" si="1"/>
        <v>1</v>
      </c>
      <c r="N65" s="100">
        <f t="shared" si="2"/>
        <v>134</v>
      </c>
      <c r="O65" s="43">
        <f t="shared" si="3"/>
        <v>174.5</v>
      </c>
    </row>
    <row r="66" spans="1:15" ht="22.5" customHeight="1" x14ac:dyDescent="0.3">
      <c r="A66" s="149" t="s">
        <v>235</v>
      </c>
      <c r="B66" s="44">
        <f>V_1!B66+V_2!B66+V_3!B66</f>
        <v>113</v>
      </c>
      <c r="C66" s="39">
        <f>V_1!C66+V_2!C66+V_3!C66</f>
        <v>21</v>
      </c>
      <c r="D66" s="39">
        <f>V_1!D66+V_2!D66+V_3!D66</f>
        <v>9</v>
      </c>
      <c r="E66" s="39">
        <f>V_1!E66+V_2!E66+V_3!E66</f>
        <v>11</v>
      </c>
      <c r="F66" s="152">
        <f>V_1!F66+V_2!F66+V_3!F66</f>
        <v>19</v>
      </c>
      <c r="G66" s="154">
        <f t="shared" si="4"/>
        <v>173</v>
      </c>
      <c r="H66" s="44">
        <f>V_1!H66+V_2!H66+V_3!H66</f>
        <v>0</v>
      </c>
      <c r="I66" s="39">
        <f>V_1!I66+V_2!I66+V_3!I66</f>
        <v>0</v>
      </c>
      <c r="J66" s="39">
        <f>V_1!J66+V_2!J66+V_3!J66</f>
        <v>0</v>
      </c>
      <c r="K66" s="45">
        <f>V_1!K66+V_2!K66+V_3!K66</f>
        <v>0</v>
      </c>
      <c r="L66" s="140">
        <f>V_1!L66+V_2!L66+V_3!L66</f>
        <v>1</v>
      </c>
      <c r="M66" s="149">
        <f t="shared" si="1"/>
        <v>1</v>
      </c>
      <c r="N66" s="100">
        <f t="shared" si="2"/>
        <v>174</v>
      </c>
      <c r="O66" s="43">
        <f t="shared" si="3"/>
        <v>263.5</v>
      </c>
    </row>
    <row r="67" spans="1:15" ht="22.5" customHeight="1" x14ac:dyDescent="0.3">
      <c r="A67" s="149" t="s">
        <v>236</v>
      </c>
      <c r="B67" s="44">
        <f>V_1!B67+V_2!B67+V_3!B67</f>
        <v>103</v>
      </c>
      <c r="C67" s="39">
        <f>V_1!C67+V_2!C67+V_3!C67</f>
        <v>36</v>
      </c>
      <c r="D67" s="39">
        <f>V_1!D67+V_2!D67+V_3!D67</f>
        <v>11</v>
      </c>
      <c r="E67" s="39">
        <f>V_1!E67+V_2!E67+V_3!E67</f>
        <v>5</v>
      </c>
      <c r="F67" s="152">
        <f>V_1!F67+V_2!F67+V_3!F67</f>
        <v>5</v>
      </c>
      <c r="G67" s="154">
        <f t="shared" si="4"/>
        <v>160</v>
      </c>
      <c r="H67" s="44">
        <f>V_1!H67+V_2!H67+V_3!H67</f>
        <v>0</v>
      </c>
      <c r="I67" s="39">
        <f>V_1!I67+V_2!I67+V_3!I67</f>
        <v>0</v>
      </c>
      <c r="J67" s="39">
        <f>V_1!J67+V_2!J67+V_3!J67</f>
        <v>0</v>
      </c>
      <c r="K67" s="45">
        <f>V_1!K67+V_2!K67+V_3!K67</f>
        <v>0</v>
      </c>
      <c r="L67" s="140">
        <f>V_1!L67+V_2!L67+V_3!L67</f>
        <v>1</v>
      </c>
      <c r="M67" s="149">
        <f t="shared" si="1"/>
        <v>1</v>
      </c>
      <c r="N67" s="100">
        <f t="shared" si="2"/>
        <v>161</v>
      </c>
      <c r="O67" s="43">
        <f t="shared" si="3"/>
        <v>183</v>
      </c>
    </row>
    <row r="68" spans="1:15" ht="22.5" customHeight="1" x14ac:dyDescent="0.3">
      <c r="A68" s="149" t="s">
        <v>237</v>
      </c>
      <c r="B68" s="44">
        <f>V_1!B68+V_2!B68+V_3!B68</f>
        <v>89</v>
      </c>
      <c r="C68" s="39">
        <f>V_1!C68+V_2!C68+V_3!C68</f>
        <v>22</v>
      </c>
      <c r="D68" s="39">
        <f>V_1!D68+V_2!D68+V_3!D68</f>
        <v>8</v>
      </c>
      <c r="E68" s="39">
        <f>V_1!E68+V_2!E68+V_3!E68</f>
        <v>7</v>
      </c>
      <c r="F68" s="152">
        <f>V_1!F68+V_2!F68+V_3!F68</f>
        <v>6</v>
      </c>
      <c r="G68" s="154">
        <f t="shared" si="4"/>
        <v>132</v>
      </c>
      <c r="H68" s="44">
        <f>V_1!H68+V_2!H68+V_3!H68</f>
        <v>0</v>
      </c>
      <c r="I68" s="39">
        <f>V_1!I68+V_2!I68+V_3!I68</f>
        <v>0</v>
      </c>
      <c r="J68" s="39">
        <f>V_1!J68+V_2!J68+V_3!J68</f>
        <v>0</v>
      </c>
      <c r="K68" s="45">
        <f>V_1!K68+V_2!K68+V_3!K68</f>
        <v>0</v>
      </c>
      <c r="L68" s="140">
        <f>V_1!L68+V_2!L68+V_3!L68</f>
        <v>0</v>
      </c>
      <c r="M68" s="149">
        <f t="shared" si="1"/>
        <v>0</v>
      </c>
      <c r="N68" s="100">
        <f t="shared" si="2"/>
        <v>132</v>
      </c>
      <c r="O68" s="43">
        <f t="shared" si="3"/>
        <v>160</v>
      </c>
    </row>
    <row r="69" spans="1:15" ht="22.5" customHeight="1" x14ac:dyDescent="0.3">
      <c r="A69" s="149" t="s">
        <v>238</v>
      </c>
      <c r="B69" s="44">
        <f>V_1!B69+V_2!B69+V_3!B69</f>
        <v>63</v>
      </c>
      <c r="C69" s="39">
        <f>V_1!C69+V_2!C69+V_3!C69</f>
        <v>19</v>
      </c>
      <c r="D69" s="39">
        <f>V_1!D69+V_2!D69+V_3!D69</f>
        <v>6</v>
      </c>
      <c r="E69" s="39">
        <f>V_1!E69+V_2!E69+V_3!E69</f>
        <v>4</v>
      </c>
      <c r="F69" s="152">
        <f>V_1!F69+V_2!F69+V_3!F69</f>
        <v>7</v>
      </c>
      <c r="G69" s="154">
        <f t="shared" si="4"/>
        <v>99</v>
      </c>
      <c r="H69" s="44">
        <f>V_1!H69+V_2!H69+V_3!H69</f>
        <v>0</v>
      </c>
      <c r="I69" s="39">
        <f>V_1!I69+V_2!I69+V_3!I69</f>
        <v>0</v>
      </c>
      <c r="J69" s="39">
        <f>V_1!J69+V_2!J69+V_3!J69</f>
        <v>0</v>
      </c>
      <c r="K69" s="45">
        <f>V_1!K69+V_2!K69+V_3!K69</f>
        <v>0</v>
      </c>
      <c r="L69" s="140">
        <f>V_1!L69+V_2!L69+V_3!L69</f>
        <v>1</v>
      </c>
      <c r="M69" s="149">
        <f t="shared" si="1"/>
        <v>1</v>
      </c>
      <c r="N69" s="100">
        <f t="shared" si="2"/>
        <v>100</v>
      </c>
      <c r="O69" s="43">
        <f t="shared" si="3"/>
        <v>133</v>
      </c>
    </row>
    <row r="70" spans="1:15" ht="22.5" customHeight="1" x14ac:dyDescent="0.3">
      <c r="A70" s="149" t="s">
        <v>239</v>
      </c>
      <c r="B70" s="44">
        <f>V_1!B70+V_2!B70+V_3!B70</f>
        <v>45</v>
      </c>
      <c r="C70" s="39">
        <f>V_1!C70+V_2!C70+V_3!C70</f>
        <v>27</v>
      </c>
      <c r="D70" s="39">
        <f>V_1!D70+V_2!D70+V_3!D70</f>
        <v>6</v>
      </c>
      <c r="E70" s="39">
        <f>V_1!E70+V_2!E70+V_3!E70</f>
        <v>4</v>
      </c>
      <c r="F70" s="152">
        <f>V_1!F70+V_2!F70+V_3!F70</f>
        <v>11</v>
      </c>
      <c r="G70" s="154">
        <f t="shared" si="4"/>
        <v>93</v>
      </c>
      <c r="H70" s="44">
        <f>V_1!H70+V_2!H70+V_3!H70</f>
        <v>0</v>
      </c>
      <c r="I70" s="39">
        <f>V_1!I70+V_2!I70+V_3!I70</f>
        <v>0</v>
      </c>
      <c r="J70" s="39">
        <f>V_1!J70+V_2!J70+V_3!J70</f>
        <v>0</v>
      </c>
      <c r="K70" s="45">
        <f>V_1!K70+V_2!K70+V_3!K70</f>
        <v>0</v>
      </c>
      <c r="L70" s="140">
        <f>V_1!L70+V_2!L70+V_3!L70</f>
        <v>0</v>
      </c>
      <c r="M70" s="149">
        <f t="shared" si="1"/>
        <v>0</v>
      </c>
      <c r="N70" s="100">
        <f t="shared" si="2"/>
        <v>93</v>
      </c>
      <c r="O70" s="43">
        <f t="shared" si="3"/>
        <v>129</v>
      </c>
    </row>
    <row r="71" spans="1:15" ht="22.5" customHeight="1" x14ac:dyDescent="0.3">
      <c r="A71" s="149" t="s">
        <v>240</v>
      </c>
      <c r="B71" s="44">
        <f>V_1!B71+V_2!B71+V_3!B71</f>
        <v>30</v>
      </c>
      <c r="C71" s="39">
        <f>V_1!C71+V_2!C71+V_3!C71</f>
        <v>14</v>
      </c>
      <c r="D71" s="39">
        <f>V_1!D71+V_2!D71+V_3!D71</f>
        <v>3</v>
      </c>
      <c r="E71" s="39">
        <f>V_1!E71+V_2!E71+V_3!E71</f>
        <v>3</v>
      </c>
      <c r="F71" s="152">
        <f>V_1!F71+V_2!F71+V_3!F71</f>
        <v>9</v>
      </c>
      <c r="G71" s="154">
        <f t="shared" si="4"/>
        <v>59</v>
      </c>
      <c r="H71" s="44">
        <f>V_1!H71+V_2!H71+V_3!H71</f>
        <v>0</v>
      </c>
      <c r="I71" s="39">
        <f>V_1!I71+V_2!I71+V_3!I71</f>
        <v>0</v>
      </c>
      <c r="J71" s="39">
        <f>V_1!J71+V_2!J71+V_3!J71</f>
        <v>0</v>
      </c>
      <c r="K71" s="45">
        <f>V_1!K71+V_2!K71+V_3!K71</f>
        <v>0</v>
      </c>
      <c r="L71" s="140">
        <f>V_1!L71+V_2!L71+V_3!L71</f>
        <v>0</v>
      </c>
      <c r="M71" s="149">
        <f t="shared" si="1"/>
        <v>0</v>
      </c>
      <c r="N71" s="100">
        <f t="shared" si="2"/>
        <v>59</v>
      </c>
      <c r="O71" s="43">
        <f t="shared" si="3"/>
        <v>91</v>
      </c>
    </row>
    <row r="72" spans="1:15" ht="22.5" customHeight="1" x14ac:dyDescent="0.3">
      <c r="A72" s="149" t="s">
        <v>153</v>
      </c>
      <c r="B72" s="44">
        <f>V_1!B72+V_2!B72+V_3!B72</f>
        <v>40</v>
      </c>
      <c r="C72" s="39">
        <f>V_1!C72+V_2!C72+V_3!C72</f>
        <v>23</v>
      </c>
      <c r="D72" s="39">
        <f>V_1!D72+V_2!D72+V_3!D72</f>
        <v>4</v>
      </c>
      <c r="E72" s="39">
        <f>V_1!E72+V_2!E72+V_3!E72</f>
        <v>1</v>
      </c>
      <c r="F72" s="152">
        <f>V_1!F72+V_2!F72+V_3!F72</f>
        <v>5</v>
      </c>
      <c r="G72" s="154">
        <f t="shared" ref="G72:G103" si="5">SUM(B72:F72)</f>
        <v>73</v>
      </c>
      <c r="H72" s="44">
        <f>V_1!H72+V_2!H72+V_3!H72</f>
        <v>0</v>
      </c>
      <c r="I72" s="39">
        <f>V_1!I72+V_2!I72+V_3!I72</f>
        <v>0</v>
      </c>
      <c r="J72" s="39">
        <f>V_1!J72+V_2!J72+V_3!J72</f>
        <v>0</v>
      </c>
      <c r="K72" s="45">
        <f>V_1!K72+V_2!K72+V_3!K72</f>
        <v>0</v>
      </c>
      <c r="L72" s="140">
        <f>V_1!L72+V_2!L72+V_3!L72</f>
        <v>1</v>
      </c>
      <c r="M72" s="149">
        <f t="shared" si="1"/>
        <v>1</v>
      </c>
      <c r="N72" s="100">
        <f t="shared" si="2"/>
        <v>74</v>
      </c>
      <c r="O72" s="43">
        <f t="shared" si="3"/>
        <v>91</v>
      </c>
    </row>
    <row r="73" spans="1:15" ht="22.5" customHeight="1" x14ac:dyDescent="0.3">
      <c r="A73" s="149" t="s">
        <v>154</v>
      </c>
      <c r="B73" s="44">
        <f>V_1!B73+V_2!B73+V_3!B73</f>
        <v>54</v>
      </c>
      <c r="C73" s="39">
        <f>V_1!C73+V_2!C73+V_3!C73</f>
        <v>17</v>
      </c>
      <c r="D73" s="39">
        <f>V_1!D73+V_2!D73+V_3!D73</f>
        <v>4</v>
      </c>
      <c r="E73" s="39">
        <f>V_1!E73+V_2!E73+V_3!E73</f>
        <v>5</v>
      </c>
      <c r="F73" s="152">
        <f>V_1!F73+V_2!F73+V_3!F73</f>
        <v>1</v>
      </c>
      <c r="G73" s="154">
        <f t="shared" si="5"/>
        <v>81</v>
      </c>
      <c r="H73" s="44">
        <f>V_1!H73+V_2!H73+V_3!H73</f>
        <v>1</v>
      </c>
      <c r="I73" s="39">
        <f>V_1!I73+V_2!I73+V_3!I73</f>
        <v>0</v>
      </c>
      <c r="J73" s="39">
        <f>V_1!J73+V_2!J73+V_3!J73</f>
        <v>0</v>
      </c>
      <c r="K73" s="45">
        <f>V_1!K73+V_2!K73+V_3!K73</f>
        <v>0</v>
      </c>
      <c r="L73" s="140">
        <f>V_1!L73+V_2!L73+V_3!L73</f>
        <v>0</v>
      </c>
      <c r="M73" s="149">
        <f t="shared" ref="M73:M103" si="6">SUM(H73:L73)</f>
        <v>1</v>
      </c>
      <c r="N73" s="100">
        <f t="shared" ref="N73:N103" si="7">G73+M73</f>
        <v>82</v>
      </c>
      <c r="O73" s="43">
        <f t="shared" ref="O73:O103" si="8">B73*1+C73*0.5+D73*1.5+E73*3+F73*4.5+H73*0.5+I73*1.5+J73*3+K73*4+L73*8</f>
        <v>88.5</v>
      </c>
    </row>
    <row r="74" spans="1:15" ht="22.5" customHeight="1" x14ac:dyDescent="0.3">
      <c r="A74" s="149" t="s">
        <v>155</v>
      </c>
      <c r="B74" s="44">
        <f>V_1!B74+V_2!B74+V_3!B74</f>
        <v>36</v>
      </c>
      <c r="C74" s="39">
        <f>V_1!C74+V_2!C74+V_3!C74</f>
        <v>12</v>
      </c>
      <c r="D74" s="39">
        <f>V_1!D74+V_2!D74+V_3!D74</f>
        <v>2</v>
      </c>
      <c r="E74" s="39">
        <f>V_1!E74+V_2!E74+V_3!E74</f>
        <v>3</v>
      </c>
      <c r="F74" s="152">
        <f>V_1!F74+V_2!F74+V_3!F74</f>
        <v>0</v>
      </c>
      <c r="G74" s="154">
        <f t="shared" si="5"/>
        <v>53</v>
      </c>
      <c r="H74" s="44">
        <f>V_1!H74+V_2!H74+V_3!H74</f>
        <v>0</v>
      </c>
      <c r="I74" s="39">
        <f>V_1!I74+V_2!I74+V_3!I74</f>
        <v>0</v>
      </c>
      <c r="J74" s="39">
        <f>V_1!J74+V_2!J74+V_3!J74</f>
        <v>0</v>
      </c>
      <c r="K74" s="45">
        <f>V_1!K74+V_2!K74+V_3!K74</f>
        <v>0</v>
      </c>
      <c r="L74" s="140">
        <f>V_1!L74+V_2!L74+V_3!L74</f>
        <v>0</v>
      </c>
      <c r="M74" s="149">
        <f t="shared" si="6"/>
        <v>0</v>
      </c>
      <c r="N74" s="100">
        <f t="shared" si="7"/>
        <v>53</v>
      </c>
      <c r="O74" s="43">
        <f t="shared" si="8"/>
        <v>54</v>
      </c>
    </row>
    <row r="75" spans="1:15" ht="22.5" customHeight="1" x14ac:dyDescent="0.3">
      <c r="A75" s="149" t="s">
        <v>156</v>
      </c>
      <c r="B75" s="44">
        <f>V_1!B75+V_2!B75+V_3!B75</f>
        <v>23</v>
      </c>
      <c r="C75" s="39">
        <f>V_1!C75+V_2!C75+V_3!C75</f>
        <v>15</v>
      </c>
      <c r="D75" s="39">
        <f>V_1!D75+V_2!D75+V_3!D75</f>
        <v>4</v>
      </c>
      <c r="E75" s="39">
        <f>V_1!E75+V_2!E75+V_3!E75</f>
        <v>1</v>
      </c>
      <c r="F75" s="152">
        <f>V_1!F75+V_2!F75+V_3!F75</f>
        <v>4</v>
      </c>
      <c r="G75" s="154">
        <f t="shared" si="5"/>
        <v>47</v>
      </c>
      <c r="H75" s="44">
        <f>V_1!H75+V_2!H75+V_3!H75</f>
        <v>0</v>
      </c>
      <c r="I75" s="39">
        <f>V_1!I75+V_2!I75+V_3!I75</f>
        <v>0</v>
      </c>
      <c r="J75" s="39">
        <f>V_1!J75+V_2!J75+V_3!J75</f>
        <v>0</v>
      </c>
      <c r="K75" s="45">
        <f>V_1!K75+V_2!K75+V_3!K75</f>
        <v>0</v>
      </c>
      <c r="L75" s="140">
        <f>V_1!L75+V_2!L75+V_3!L75</f>
        <v>0</v>
      </c>
      <c r="M75" s="149">
        <f t="shared" si="6"/>
        <v>0</v>
      </c>
      <c r="N75" s="100">
        <f t="shared" si="7"/>
        <v>47</v>
      </c>
      <c r="O75" s="43">
        <f t="shared" si="8"/>
        <v>57.5</v>
      </c>
    </row>
    <row r="76" spans="1:15" ht="22.5" customHeight="1" x14ac:dyDescent="0.3">
      <c r="A76" s="149" t="s">
        <v>157</v>
      </c>
      <c r="B76" s="44">
        <f>V_1!B76+V_2!B76+V_3!B76</f>
        <v>21</v>
      </c>
      <c r="C76" s="39">
        <f>V_1!C76+V_2!C76+V_3!C76</f>
        <v>22</v>
      </c>
      <c r="D76" s="39">
        <f>V_1!D76+V_2!D76+V_3!D76</f>
        <v>5</v>
      </c>
      <c r="E76" s="39">
        <f>V_1!E76+V_2!E76+V_3!E76</f>
        <v>0</v>
      </c>
      <c r="F76" s="152">
        <f>V_1!F76+V_2!F76+V_3!F76</f>
        <v>2</v>
      </c>
      <c r="G76" s="154">
        <f t="shared" si="5"/>
        <v>50</v>
      </c>
      <c r="H76" s="44">
        <f>V_1!H76+V_2!H76+V_3!H76</f>
        <v>1</v>
      </c>
      <c r="I76" s="39">
        <f>V_1!I76+V_2!I76+V_3!I76</f>
        <v>0</v>
      </c>
      <c r="J76" s="39">
        <f>V_1!J76+V_2!J76+V_3!J76</f>
        <v>0</v>
      </c>
      <c r="K76" s="45">
        <f>V_1!K76+V_2!K76+V_3!K76</f>
        <v>0</v>
      </c>
      <c r="L76" s="140">
        <f>V_1!L76+V_2!L76+V_3!L76</f>
        <v>0</v>
      </c>
      <c r="M76" s="149">
        <f t="shared" si="6"/>
        <v>1</v>
      </c>
      <c r="N76" s="100">
        <f t="shared" si="7"/>
        <v>51</v>
      </c>
      <c r="O76" s="43">
        <f t="shared" si="8"/>
        <v>49</v>
      </c>
    </row>
    <row r="77" spans="1:15" ht="22.5" customHeight="1" x14ac:dyDescent="0.3">
      <c r="A77" s="149" t="s">
        <v>158</v>
      </c>
      <c r="B77" s="44">
        <f>V_1!B77+V_2!B77+V_3!B77</f>
        <v>14</v>
      </c>
      <c r="C77" s="39">
        <f>V_1!C77+V_2!C77+V_3!C77</f>
        <v>8</v>
      </c>
      <c r="D77" s="39">
        <f>V_1!D77+V_2!D77+V_3!D77</f>
        <v>2</v>
      </c>
      <c r="E77" s="39">
        <f>V_1!E77+V_2!E77+V_3!E77</f>
        <v>0</v>
      </c>
      <c r="F77" s="152">
        <f>V_1!F77+V_2!F77+V_3!F77</f>
        <v>0</v>
      </c>
      <c r="G77" s="154">
        <f t="shared" si="5"/>
        <v>24</v>
      </c>
      <c r="H77" s="44">
        <f>V_1!H77+V_2!H77+V_3!H77</f>
        <v>0</v>
      </c>
      <c r="I77" s="39">
        <f>V_1!I77+V_2!I77+V_3!I77</f>
        <v>0</v>
      </c>
      <c r="J77" s="39">
        <f>V_1!J77+V_2!J77+V_3!J77</f>
        <v>0</v>
      </c>
      <c r="K77" s="45">
        <f>V_1!K77+V_2!K77+V_3!K77</f>
        <v>0</v>
      </c>
      <c r="L77" s="140">
        <f>V_1!L77+V_2!L77+V_3!L77</f>
        <v>0</v>
      </c>
      <c r="M77" s="149">
        <f t="shared" si="6"/>
        <v>0</v>
      </c>
      <c r="N77" s="100">
        <f t="shared" si="7"/>
        <v>24</v>
      </c>
      <c r="O77" s="43">
        <f t="shared" si="8"/>
        <v>21</v>
      </c>
    </row>
    <row r="78" spans="1:15" ht="22.5" customHeight="1" x14ac:dyDescent="0.3">
      <c r="A78" s="149" t="s">
        <v>159</v>
      </c>
      <c r="B78" s="44">
        <f>V_1!B78+V_2!B78+V_3!B78</f>
        <v>15</v>
      </c>
      <c r="C78" s="39">
        <f>V_1!C78+V_2!C78+V_3!C78</f>
        <v>8</v>
      </c>
      <c r="D78" s="39">
        <f>V_1!D78+V_2!D78+V_3!D78</f>
        <v>0</v>
      </c>
      <c r="E78" s="39">
        <f>V_1!E78+V_2!E78+V_3!E78</f>
        <v>0</v>
      </c>
      <c r="F78" s="152">
        <f>V_1!F78+V_2!F78+V_3!F78</f>
        <v>0</v>
      </c>
      <c r="G78" s="154">
        <f t="shared" si="5"/>
        <v>23</v>
      </c>
      <c r="H78" s="44">
        <f>V_1!H78+V_2!H78+V_3!H78</f>
        <v>0</v>
      </c>
      <c r="I78" s="39">
        <f>V_1!I78+V_2!I78+V_3!I78</f>
        <v>0</v>
      </c>
      <c r="J78" s="39">
        <f>V_1!J78+V_2!J78+V_3!J78</f>
        <v>0</v>
      </c>
      <c r="K78" s="45">
        <f>V_1!K78+V_2!K78+V_3!K78</f>
        <v>0</v>
      </c>
      <c r="L78" s="140">
        <f>V_1!L78+V_2!L78+V_3!L78</f>
        <v>0</v>
      </c>
      <c r="M78" s="149">
        <f t="shared" si="6"/>
        <v>0</v>
      </c>
      <c r="N78" s="100">
        <f t="shared" si="7"/>
        <v>23</v>
      </c>
      <c r="O78" s="43">
        <f t="shared" si="8"/>
        <v>19</v>
      </c>
    </row>
    <row r="79" spans="1:15" ht="22.5" customHeight="1" x14ac:dyDescent="0.3">
      <c r="A79" s="149" t="s">
        <v>160</v>
      </c>
      <c r="B79" s="44">
        <f>V_1!B79+V_2!B79+V_3!B79</f>
        <v>12</v>
      </c>
      <c r="C79" s="39">
        <f>V_1!C79+V_2!C79+V_3!C79</f>
        <v>10</v>
      </c>
      <c r="D79" s="39">
        <f>V_1!D79+V_2!D79+V_3!D79</f>
        <v>0</v>
      </c>
      <c r="E79" s="39">
        <f>V_1!E79+V_2!E79+V_3!E79</f>
        <v>0</v>
      </c>
      <c r="F79" s="152">
        <f>V_1!F79+V_2!F79+V_3!F79</f>
        <v>0</v>
      </c>
      <c r="G79" s="154">
        <f t="shared" si="5"/>
        <v>22</v>
      </c>
      <c r="H79" s="44">
        <f>V_1!H79+V_2!H79+V_3!H79</f>
        <v>0</v>
      </c>
      <c r="I79" s="39">
        <f>V_1!I79+V_2!I79+V_3!I79</f>
        <v>0</v>
      </c>
      <c r="J79" s="39">
        <f>V_1!J79+V_2!J79+V_3!J79</f>
        <v>0</v>
      </c>
      <c r="K79" s="45">
        <f>V_1!K79+V_2!K79+V_3!K79</f>
        <v>0</v>
      </c>
      <c r="L79" s="140">
        <f>V_1!L79+V_2!L79+V_3!L79</f>
        <v>0</v>
      </c>
      <c r="M79" s="149">
        <f t="shared" si="6"/>
        <v>0</v>
      </c>
      <c r="N79" s="100">
        <f t="shared" si="7"/>
        <v>22</v>
      </c>
      <c r="O79" s="43">
        <f t="shared" si="8"/>
        <v>17</v>
      </c>
    </row>
    <row r="80" spans="1:15" ht="22.5" customHeight="1" x14ac:dyDescent="0.3">
      <c r="A80" s="149" t="s">
        <v>161</v>
      </c>
      <c r="B80" s="44">
        <f>V_1!B80+V_2!B80+V_3!B80</f>
        <v>4</v>
      </c>
      <c r="C80" s="39">
        <f>V_1!C80+V_2!C80+V_3!C80</f>
        <v>2</v>
      </c>
      <c r="D80" s="39">
        <f>V_1!D80+V_2!D80+V_3!D80</f>
        <v>2</v>
      </c>
      <c r="E80" s="39">
        <f>V_1!E80+V_2!E80+V_3!E80</f>
        <v>1</v>
      </c>
      <c r="F80" s="152">
        <f>V_1!F80+V_2!F80+V_3!F80</f>
        <v>0</v>
      </c>
      <c r="G80" s="154">
        <f t="shared" si="5"/>
        <v>9</v>
      </c>
      <c r="H80" s="44">
        <f>V_1!H80+V_2!H80+V_3!H80</f>
        <v>0</v>
      </c>
      <c r="I80" s="39">
        <f>V_1!I80+V_2!I80+V_3!I80</f>
        <v>0</v>
      </c>
      <c r="J80" s="39">
        <f>V_1!J80+V_2!J80+V_3!J80</f>
        <v>0</v>
      </c>
      <c r="K80" s="45">
        <f>V_1!K80+V_2!K80+V_3!K80</f>
        <v>0</v>
      </c>
      <c r="L80" s="140">
        <f>V_1!L80+V_2!L80+V_3!L80</f>
        <v>0</v>
      </c>
      <c r="M80" s="149">
        <f t="shared" si="6"/>
        <v>0</v>
      </c>
      <c r="N80" s="100">
        <f t="shared" si="7"/>
        <v>9</v>
      </c>
      <c r="O80" s="43">
        <f t="shared" si="8"/>
        <v>11</v>
      </c>
    </row>
    <row r="81" spans="1:15" ht="22.5" customHeight="1" x14ac:dyDescent="0.3">
      <c r="A81" s="149" t="s">
        <v>162</v>
      </c>
      <c r="B81" s="44">
        <f>V_1!B81+V_2!B81+V_3!B81</f>
        <v>14</v>
      </c>
      <c r="C81" s="39">
        <f>V_1!C81+V_2!C81+V_3!C81</f>
        <v>20</v>
      </c>
      <c r="D81" s="39">
        <f>V_1!D81+V_2!D81+V_3!D81</f>
        <v>0</v>
      </c>
      <c r="E81" s="39">
        <f>V_1!E81+V_2!E81+V_3!E81</f>
        <v>0</v>
      </c>
      <c r="F81" s="152">
        <f>V_1!F81+V_2!F81+V_3!F81</f>
        <v>0</v>
      </c>
      <c r="G81" s="154">
        <f t="shared" si="5"/>
        <v>34</v>
      </c>
      <c r="H81" s="44">
        <f>V_1!H81+V_2!H81+V_3!H81</f>
        <v>1</v>
      </c>
      <c r="I81" s="39">
        <f>V_1!I81+V_2!I81+V_3!I81</f>
        <v>0</v>
      </c>
      <c r="J81" s="39">
        <f>V_1!J81+V_2!J81+V_3!J81</f>
        <v>0</v>
      </c>
      <c r="K81" s="45">
        <f>V_1!K81+V_2!K81+V_3!K81</f>
        <v>0</v>
      </c>
      <c r="L81" s="140">
        <f>V_1!L81+V_2!L81+V_3!L81</f>
        <v>0</v>
      </c>
      <c r="M81" s="149">
        <f t="shared" si="6"/>
        <v>1</v>
      </c>
      <c r="N81" s="100">
        <f t="shared" si="7"/>
        <v>35</v>
      </c>
      <c r="O81" s="43">
        <f t="shared" si="8"/>
        <v>24.5</v>
      </c>
    </row>
    <row r="82" spans="1:15" ht="22.5" customHeight="1" x14ac:dyDescent="0.3">
      <c r="A82" s="149" t="s">
        <v>163</v>
      </c>
      <c r="B82" s="44">
        <f>V_1!B82+V_2!B82+V_3!B82</f>
        <v>17</v>
      </c>
      <c r="C82" s="39">
        <f>V_1!C82+V_2!C82+V_3!C82</f>
        <v>15</v>
      </c>
      <c r="D82" s="39">
        <f>V_1!D82+V_2!D82+V_3!D82</f>
        <v>0</v>
      </c>
      <c r="E82" s="39">
        <f>V_1!E82+V_2!E82+V_3!E82</f>
        <v>0</v>
      </c>
      <c r="F82" s="152">
        <f>V_1!F82+V_2!F82+V_3!F82</f>
        <v>0</v>
      </c>
      <c r="G82" s="154">
        <f t="shared" si="5"/>
        <v>32</v>
      </c>
      <c r="H82" s="44">
        <f>V_1!H82+V_2!H82+V_3!H82</f>
        <v>0</v>
      </c>
      <c r="I82" s="39">
        <f>V_1!I82+V_2!I82+V_3!I82</f>
        <v>0</v>
      </c>
      <c r="J82" s="39">
        <f>V_1!J82+V_2!J82+V_3!J82</f>
        <v>0</v>
      </c>
      <c r="K82" s="45">
        <f>V_1!K82+V_2!K82+V_3!K82</f>
        <v>0</v>
      </c>
      <c r="L82" s="140">
        <f>V_1!L82+V_2!L82+V_3!L82</f>
        <v>0</v>
      </c>
      <c r="M82" s="149">
        <f t="shared" si="6"/>
        <v>0</v>
      </c>
      <c r="N82" s="100">
        <f t="shared" si="7"/>
        <v>32</v>
      </c>
      <c r="O82" s="43">
        <f t="shared" si="8"/>
        <v>24.5</v>
      </c>
    </row>
    <row r="83" spans="1:15" ht="22.5" customHeight="1" x14ac:dyDescent="0.3">
      <c r="A83" s="149" t="s">
        <v>164</v>
      </c>
      <c r="B83" s="44">
        <f>V_1!B83+V_2!B83+V_3!B83</f>
        <v>7</v>
      </c>
      <c r="C83" s="39">
        <f>V_1!C83+V_2!C83+V_3!C83</f>
        <v>3</v>
      </c>
      <c r="D83" s="39">
        <f>V_1!D83+V_2!D83+V_3!D83</f>
        <v>0</v>
      </c>
      <c r="E83" s="39">
        <f>V_1!E83+V_2!E83+V_3!E83</f>
        <v>1</v>
      </c>
      <c r="F83" s="152">
        <f>V_1!F83+V_2!F83+V_3!F83</f>
        <v>1</v>
      </c>
      <c r="G83" s="154">
        <f t="shared" si="5"/>
        <v>12</v>
      </c>
      <c r="H83" s="44">
        <f>V_1!H83+V_2!H83+V_3!H83</f>
        <v>0</v>
      </c>
      <c r="I83" s="39">
        <f>V_1!I83+V_2!I83+V_3!I83</f>
        <v>0</v>
      </c>
      <c r="J83" s="39">
        <f>V_1!J83+V_2!J83+V_3!J83</f>
        <v>0</v>
      </c>
      <c r="K83" s="45">
        <f>V_1!K83+V_2!K83+V_3!K83</f>
        <v>0</v>
      </c>
      <c r="L83" s="140">
        <f>V_1!L83+V_2!L83+V_3!L83</f>
        <v>0</v>
      </c>
      <c r="M83" s="149">
        <f t="shared" si="6"/>
        <v>0</v>
      </c>
      <c r="N83" s="100">
        <f t="shared" si="7"/>
        <v>12</v>
      </c>
      <c r="O83" s="43">
        <f t="shared" si="8"/>
        <v>16</v>
      </c>
    </row>
    <row r="84" spans="1:15" ht="22.5" customHeight="1" x14ac:dyDescent="0.3">
      <c r="A84" s="149" t="s">
        <v>165</v>
      </c>
      <c r="B84" s="44">
        <f>V_1!B84+V_2!B84+V_3!B84</f>
        <v>7</v>
      </c>
      <c r="C84" s="39">
        <f>V_1!C84+V_2!C84+V_3!C84</f>
        <v>11</v>
      </c>
      <c r="D84" s="39">
        <f>V_1!D84+V_2!D84+V_3!D84</f>
        <v>0</v>
      </c>
      <c r="E84" s="39">
        <f>V_1!E84+V_2!E84+V_3!E84</f>
        <v>0</v>
      </c>
      <c r="F84" s="152">
        <f>V_1!F84+V_2!F84+V_3!F84</f>
        <v>0</v>
      </c>
      <c r="G84" s="154">
        <f t="shared" si="5"/>
        <v>18</v>
      </c>
      <c r="H84" s="44">
        <f>V_1!H84+V_2!H84+V_3!H84</f>
        <v>0</v>
      </c>
      <c r="I84" s="39">
        <f>V_1!I84+V_2!I84+V_3!I84</f>
        <v>0</v>
      </c>
      <c r="J84" s="39">
        <f>V_1!J84+V_2!J84+V_3!J84</f>
        <v>0</v>
      </c>
      <c r="K84" s="45">
        <f>V_1!K84+V_2!K84+V_3!K84</f>
        <v>0</v>
      </c>
      <c r="L84" s="140">
        <f>V_1!L84+V_2!L84+V_3!L84</f>
        <v>0</v>
      </c>
      <c r="M84" s="149">
        <f t="shared" si="6"/>
        <v>0</v>
      </c>
      <c r="N84" s="100">
        <f t="shared" si="7"/>
        <v>18</v>
      </c>
      <c r="O84" s="43">
        <f t="shared" si="8"/>
        <v>12.5</v>
      </c>
    </row>
    <row r="85" spans="1:15" ht="22.5" customHeight="1" x14ac:dyDescent="0.3">
      <c r="A85" s="149" t="s">
        <v>166</v>
      </c>
      <c r="B85" s="44">
        <f>V_1!B85+V_2!B85+V_3!B85</f>
        <v>8</v>
      </c>
      <c r="C85" s="39">
        <f>V_1!C85+V_2!C85+V_3!C85</f>
        <v>11</v>
      </c>
      <c r="D85" s="39">
        <f>V_1!D85+V_2!D85+V_3!D85</f>
        <v>2</v>
      </c>
      <c r="E85" s="39">
        <f>V_1!E85+V_2!E85+V_3!E85</f>
        <v>0</v>
      </c>
      <c r="F85" s="152">
        <f>V_1!F85+V_2!F85+V_3!F85</f>
        <v>0</v>
      </c>
      <c r="G85" s="154">
        <f t="shared" si="5"/>
        <v>21</v>
      </c>
      <c r="H85" s="44">
        <f>V_1!H85+V_2!H85+V_3!H85</f>
        <v>0</v>
      </c>
      <c r="I85" s="39">
        <f>V_1!I85+V_2!I85+V_3!I85</f>
        <v>0</v>
      </c>
      <c r="J85" s="39">
        <f>V_1!J85+V_2!J85+V_3!J85</f>
        <v>0</v>
      </c>
      <c r="K85" s="45">
        <f>V_1!K85+V_2!K85+V_3!K85</f>
        <v>0</v>
      </c>
      <c r="L85" s="140">
        <f>V_1!L85+V_2!L85+V_3!L85</f>
        <v>0</v>
      </c>
      <c r="M85" s="149">
        <f t="shared" si="6"/>
        <v>0</v>
      </c>
      <c r="N85" s="100">
        <f t="shared" si="7"/>
        <v>21</v>
      </c>
      <c r="O85" s="43">
        <f t="shared" si="8"/>
        <v>16.5</v>
      </c>
    </row>
    <row r="86" spans="1:15" ht="22.5" customHeight="1" x14ac:dyDescent="0.3">
      <c r="A86" s="149" t="s">
        <v>167</v>
      </c>
      <c r="B86" s="44">
        <f>V_1!B86+V_2!B86+V_3!B86</f>
        <v>9</v>
      </c>
      <c r="C86" s="39">
        <f>V_1!C86+V_2!C86+V_3!C86</f>
        <v>20</v>
      </c>
      <c r="D86" s="39">
        <f>V_1!D86+V_2!D86+V_3!D86</f>
        <v>2</v>
      </c>
      <c r="E86" s="39">
        <f>V_1!E86+V_2!E86+V_3!E86</f>
        <v>1</v>
      </c>
      <c r="F86" s="152">
        <f>V_1!F86+V_2!F86+V_3!F86</f>
        <v>0</v>
      </c>
      <c r="G86" s="154">
        <f t="shared" si="5"/>
        <v>32</v>
      </c>
      <c r="H86" s="44">
        <f>V_1!H86+V_2!H86+V_3!H86</f>
        <v>0</v>
      </c>
      <c r="I86" s="39">
        <f>V_1!I86+V_2!I86+V_3!I86</f>
        <v>0</v>
      </c>
      <c r="J86" s="39">
        <f>V_1!J86+V_2!J86+V_3!J86</f>
        <v>0</v>
      </c>
      <c r="K86" s="45">
        <f>V_1!K86+V_2!K86+V_3!K86</f>
        <v>0</v>
      </c>
      <c r="L86" s="140">
        <f>V_1!L86+V_2!L86+V_3!L86</f>
        <v>0</v>
      </c>
      <c r="M86" s="149">
        <f t="shared" si="6"/>
        <v>0</v>
      </c>
      <c r="N86" s="100">
        <f t="shared" si="7"/>
        <v>32</v>
      </c>
      <c r="O86" s="43">
        <f t="shared" si="8"/>
        <v>25</v>
      </c>
    </row>
    <row r="87" spans="1:15" ht="22.5" customHeight="1" x14ac:dyDescent="0.3">
      <c r="A87" s="149" t="s">
        <v>168</v>
      </c>
      <c r="B87" s="44">
        <f>V_1!B87+V_2!B87+V_3!B87</f>
        <v>8</v>
      </c>
      <c r="C87" s="39">
        <f>V_1!C87+V_2!C87+V_3!C87</f>
        <v>19</v>
      </c>
      <c r="D87" s="39">
        <f>V_1!D87+V_2!D87+V_3!D87</f>
        <v>0</v>
      </c>
      <c r="E87" s="39">
        <f>V_1!E87+V_2!E87+V_3!E87</f>
        <v>0</v>
      </c>
      <c r="F87" s="152">
        <f>V_1!F87+V_2!F87+V_3!F87</f>
        <v>0</v>
      </c>
      <c r="G87" s="154">
        <f t="shared" si="5"/>
        <v>27</v>
      </c>
      <c r="H87" s="44">
        <f>V_1!H87+V_2!H87+V_3!H87</f>
        <v>0</v>
      </c>
      <c r="I87" s="39">
        <f>V_1!I87+V_2!I87+V_3!I87</f>
        <v>0</v>
      </c>
      <c r="J87" s="39">
        <f>V_1!J87+V_2!J87+V_3!J87</f>
        <v>0</v>
      </c>
      <c r="K87" s="45">
        <f>V_1!K87+V_2!K87+V_3!K87</f>
        <v>0</v>
      </c>
      <c r="L87" s="140">
        <f>V_1!L87+V_2!L87+V_3!L87</f>
        <v>0</v>
      </c>
      <c r="M87" s="149">
        <f t="shared" si="6"/>
        <v>0</v>
      </c>
      <c r="N87" s="100">
        <f t="shared" si="7"/>
        <v>27</v>
      </c>
      <c r="O87" s="43">
        <f t="shared" si="8"/>
        <v>17.5</v>
      </c>
    </row>
    <row r="88" spans="1:15" ht="22.5" customHeight="1" x14ac:dyDescent="0.3">
      <c r="A88" s="149" t="s">
        <v>169</v>
      </c>
      <c r="B88" s="44">
        <f>V_1!B88+V_2!B88+V_3!B88</f>
        <v>18</v>
      </c>
      <c r="C88" s="39">
        <f>V_1!C88+V_2!C88+V_3!C88</f>
        <v>31</v>
      </c>
      <c r="D88" s="39">
        <f>V_1!D88+V_2!D88+V_3!D88</f>
        <v>1</v>
      </c>
      <c r="E88" s="39">
        <f>V_1!E88+V_2!E88+V_3!E88</f>
        <v>3</v>
      </c>
      <c r="F88" s="152">
        <f>V_1!F88+V_2!F88+V_3!F88</f>
        <v>0</v>
      </c>
      <c r="G88" s="154">
        <f t="shared" si="5"/>
        <v>53</v>
      </c>
      <c r="H88" s="44">
        <f>V_1!H88+V_2!H88+V_3!H88</f>
        <v>1</v>
      </c>
      <c r="I88" s="39">
        <f>V_1!I88+V_2!I88+V_3!I88</f>
        <v>0</v>
      </c>
      <c r="J88" s="39">
        <f>V_1!J88+V_2!J88+V_3!J88</f>
        <v>0</v>
      </c>
      <c r="K88" s="45">
        <f>V_1!K88+V_2!K88+V_3!K88</f>
        <v>0</v>
      </c>
      <c r="L88" s="140">
        <f>V_1!L88+V_2!L88+V_3!L88</f>
        <v>0</v>
      </c>
      <c r="M88" s="149">
        <f t="shared" si="6"/>
        <v>1</v>
      </c>
      <c r="N88" s="100">
        <f t="shared" si="7"/>
        <v>54</v>
      </c>
      <c r="O88" s="43">
        <f t="shared" si="8"/>
        <v>44.5</v>
      </c>
    </row>
    <row r="89" spans="1:15" ht="22.5" customHeight="1" x14ac:dyDescent="0.3">
      <c r="A89" s="149" t="s">
        <v>170</v>
      </c>
      <c r="B89" s="44">
        <f>V_1!B89+V_2!B89+V_3!B89</f>
        <v>14</v>
      </c>
      <c r="C89" s="39">
        <f>V_1!C89+V_2!C89+V_3!C89</f>
        <v>25</v>
      </c>
      <c r="D89" s="39">
        <f>V_1!D89+V_2!D89+V_3!D89</f>
        <v>2</v>
      </c>
      <c r="E89" s="39">
        <f>V_1!E89+V_2!E89+V_3!E89</f>
        <v>2</v>
      </c>
      <c r="F89" s="152">
        <f>V_1!F89+V_2!F89+V_3!F89</f>
        <v>0</v>
      </c>
      <c r="G89" s="154">
        <f t="shared" si="5"/>
        <v>43</v>
      </c>
      <c r="H89" s="44">
        <f>V_1!H89+V_2!H89+V_3!H89</f>
        <v>0</v>
      </c>
      <c r="I89" s="39">
        <f>V_1!I89+V_2!I89+V_3!I89</f>
        <v>0</v>
      </c>
      <c r="J89" s="39">
        <f>V_1!J89+V_2!J89+V_3!J89</f>
        <v>0</v>
      </c>
      <c r="K89" s="45">
        <f>V_1!K89+V_2!K89+V_3!K89</f>
        <v>0</v>
      </c>
      <c r="L89" s="140">
        <f>V_1!L89+V_2!L89+V_3!L89</f>
        <v>0</v>
      </c>
      <c r="M89" s="149">
        <f t="shared" si="6"/>
        <v>0</v>
      </c>
      <c r="N89" s="100">
        <f t="shared" si="7"/>
        <v>43</v>
      </c>
      <c r="O89" s="43">
        <f t="shared" si="8"/>
        <v>35.5</v>
      </c>
    </row>
    <row r="90" spans="1:15" ht="22.5" customHeight="1" x14ac:dyDescent="0.3">
      <c r="A90" s="149" t="s">
        <v>171</v>
      </c>
      <c r="B90" s="44">
        <f>V_1!B90+V_2!B90+V_3!B90</f>
        <v>19</v>
      </c>
      <c r="C90" s="39">
        <f>V_1!C90+V_2!C90+V_3!C90</f>
        <v>34</v>
      </c>
      <c r="D90" s="39">
        <f>V_1!D90+V_2!D90+V_3!D90</f>
        <v>1</v>
      </c>
      <c r="E90" s="39">
        <f>V_1!E90+V_2!E90+V_3!E90</f>
        <v>0</v>
      </c>
      <c r="F90" s="152">
        <f>V_1!F90+V_2!F90+V_3!F90</f>
        <v>1</v>
      </c>
      <c r="G90" s="154">
        <f t="shared" si="5"/>
        <v>55</v>
      </c>
      <c r="H90" s="44">
        <f>V_1!H90+V_2!H90+V_3!H90</f>
        <v>1</v>
      </c>
      <c r="I90" s="39">
        <f>V_1!I90+V_2!I90+V_3!I90</f>
        <v>0</v>
      </c>
      <c r="J90" s="39">
        <f>V_1!J90+V_2!J90+V_3!J90</f>
        <v>0</v>
      </c>
      <c r="K90" s="45">
        <f>V_1!K90+V_2!K90+V_3!K90</f>
        <v>0</v>
      </c>
      <c r="L90" s="140">
        <f>V_1!L90+V_2!L90+V_3!L90</f>
        <v>0</v>
      </c>
      <c r="M90" s="149">
        <f t="shared" si="6"/>
        <v>1</v>
      </c>
      <c r="N90" s="100">
        <f t="shared" si="7"/>
        <v>56</v>
      </c>
      <c r="O90" s="43">
        <f t="shared" si="8"/>
        <v>42.5</v>
      </c>
    </row>
    <row r="91" spans="1:15" ht="22.5" customHeight="1" x14ac:dyDescent="0.3">
      <c r="A91" s="149" t="s">
        <v>172</v>
      </c>
      <c r="B91" s="44">
        <f>V_1!B91+V_2!B91+V_3!B91</f>
        <v>19</v>
      </c>
      <c r="C91" s="39">
        <f>V_1!C91+V_2!C91+V_3!C91</f>
        <v>33</v>
      </c>
      <c r="D91" s="39">
        <f>V_1!D91+V_2!D91+V_3!D91</f>
        <v>0</v>
      </c>
      <c r="E91" s="39">
        <f>V_1!E91+V_2!E91+V_3!E91</f>
        <v>1</v>
      </c>
      <c r="F91" s="152">
        <f>V_1!F91+V_2!F91+V_3!F91</f>
        <v>0</v>
      </c>
      <c r="G91" s="154">
        <f t="shared" si="5"/>
        <v>53</v>
      </c>
      <c r="H91" s="44">
        <f>V_1!H91+V_2!H91+V_3!H91</f>
        <v>0</v>
      </c>
      <c r="I91" s="39">
        <f>V_1!I91+V_2!I91+V_3!I91</f>
        <v>0</v>
      </c>
      <c r="J91" s="39">
        <f>V_1!J91+V_2!J91+V_3!J91</f>
        <v>0</v>
      </c>
      <c r="K91" s="45">
        <f>V_1!K91+V_2!K91+V_3!K91</f>
        <v>0</v>
      </c>
      <c r="L91" s="140">
        <f>V_1!L91+V_2!L91+V_3!L91</f>
        <v>0</v>
      </c>
      <c r="M91" s="149">
        <f t="shared" si="6"/>
        <v>0</v>
      </c>
      <c r="N91" s="100">
        <f t="shared" si="7"/>
        <v>53</v>
      </c>
      <c r="O91" s="43">
        <f t="shared" si="8"/>
        <v>38.5</v>
      </c>
    </row>
    <row r="92" spans="1:15" ht="22.5" customHeight="1" x14ac:dyDescent="0.3">
      <c r="A92" s="149" t="s">
        <v>173</v>
      </c>
      <c r="B92" s="44">
        <f>V_1!B92+V_2!B92+V_3!B92</f>
        <v>22</v>
      </c>
      <c r="C92" s="39">
        <f>V_1!C92+V_2!C92+V_3!C92</f>
        <v>47</v>
      </c>
      <c r="D92" s="39">
        <f>V_1!D92+V_2!D92+V_3!D92</f>
        <v>0</v>
      </c>
      <c r="E92" s="39">
        <f>V_1!E92+V_2!E92+V_3!E92</f>
        <v>0</v>
      </c>
      <c r="F92" s="152">
        <f>V_1!F92+V_2!F92+V_3!F92</f>
        <v>1</v>
      </c>
      <c r="G92" s="154">
        <f t="shared" si="5"/>
        <v>70</v>
      </c>
      <c r="H92" s="44">
        <f>V_1!H92+V_2!H92+V_3!H92</f>
        <v>0</v>
      </c>
      <c r="I92" s="39">
        <f>V_1!I92+V_2!I92+V_3!I92</f>
        <v>0</v>
      </c>
      <c r="J92" s="39">
        <f>V_1!J92+V_2!J92+V_3!J92</f>
        <v>0</v>
      </c>
      <c r="K92" s="45">
        <f>V_1!K92+V_2!K92+V_3!K92</f>
        <v>0</v>
      </c>
      <c r="L92" s="140">
        <f>V_1!L92+V_2!L92+V_3!L92</f>
        <v>0</v>
      </c>
      <c r="M92" s="149">
        <f t="shared" si="6"/>
        <v>0</v>
      </c>
      <c r="N92" s="100">
        <f t="shared" si="7"/>
        <v>70</v>
      </c>
      <c r="O92" s="43">
        <f t="shared" si="8"/>
        <v>50</v>
      </c>
    </row>
    <row r="93" spans="1:15" ht="22.5" customHeight="1" x14ac:dyDescent="0.3">
      <c r="A93" s="149" t="s">
        <v>174</v>
      </c>
      <c r="B93" s="44">
        <f>V_1!B93+V_2!B93+V_3!B93</f>
        <v>36</v>
      </c>
      <c r="C93" s="39">
        <f>V_1!C93+V_2!C93+V_3!C93</f>
        <v>81</v>
      </c>
      <c r="D93" s="39">
        <f>V_1!D93+V_2!D93+V_3!D93</f>
        <v>1</v>
      </c>
      <c r="E93" s="39">
        <f>V_1!E93+V_2!E93+V_3!E93</f>
        <v>1</v>
      </c>
      <c r="F93" s="152">
        <f>V_1!F93+V_2!F93+V_3!F93</f>
        <v>1</v>
      </c>
      <c r="G93" s="154">
        <f t="shared" si="5"/>
        <v>120</v>
      </c>
      <c r="H93" s="44">
        <f>V_1!H93+V_2!H93+V_3!H93</f>
        <v>0</v>
      </c>
      <c r="I93" s="39">
        <f>V_1!I93+V_2!I93+V_3!I93</f>
        <v>0</v>
      </c>
      <c r="J93" s="39">
        <f>V_1!J93+V_2!J93+V_3!J93</f>
        <v>0</v>
      </c>
      <c r="K93" s="45">
        <f>V_1!K93+V_2!K93+V_3!K93</f>
        <v>0</v>
      </c>
      <c r="L93" s="140">
        <f>V_1!L93+V_2!L93+V_3!L93</f>
        <v>0</v>
      </c>
      <c r="M93" s="149">
        <f t="shared" si="6"/>
        <v>0</v>
      </c>
      <c r="N93" s="100">
        <f t="shared" si="7"/>
        <v>120</v>
      </c>
      <c r="O93" s="43">
        <f t="shared" si="8"/>
        <v>85.5</v>
      </c>
    </row>
    <row r="94" spans="1:15" ht="22.5" customHeight="1" x14ac:dyDescent="0.3">
      <c r="A94" s="149" t="s">
        <v>175</v>
      </c>
      <c r="B94" s="44">
        <f>V_1!B94+V_2!B94+V_3!B94</f>
        <v>59</v>
      </c>
      <c r="C94" s="39">
        <f>V_1!C94+V_2!C94+V_3!C94</f>
        <v>116</v>
      </c>
      <c r="D94" s="39">
        <f>V_1!D94+V_2!D94+V_3!D94</f>
        <v>1</v>
      </c>
      <c r="E94" s="39">
        <f>V_1!E94+V_2!E94+V_3!E94</f>
        <v>2</v>
      </c>
      <c r="F94" s="152">
        <f>V_1!F94+V_2!F94+V_3!F94</f>
        <v>2</v>
      </c>
      <c r="G94" s="154">
        <f t="shared" si="5"/>
        <v>180</v>
      </c>
      <c r="H94" s="44">
        <f>V_1!H94+V_2!H94+V_3!H94</f>
        <v>1</v>
      </c>
      <c r="I94" s="39">
        <f>V_1!I94+V_2!I94+V_3!I94</f>
        <v>0</v>
      </c>
      <c r="J94" s="39">
        <f>V_1!J94+V_2!J94+V_3!J94</f>
        <v>0</v>
      </c>
      <c r="K94" s="45">
        <f>V_1!K94+V_2!K94+V_3!K94</f>
        <v>0</v>
      </c>
      <c r="L94" s="140">
        <f>V_1!L94+V_2!L94+V_3!L94</f>
        <v>2</v>
      </c>
      <c r="M94" s="149">
        <f t="shared" si="6"/>
        <v>3</v>
      </c>
      <c r="N94" s="100">
        <f t="shared" si="7"/>
        <v>183</v>
      </c>
      <c r="O94" s="43">
        <f t="shared" si="8"/>
        <v>150</v>
      </c>
    </row>
    <row r="95" spans="1:15" ht="22.5" customHeight="1" x14ac:dyDescent="0.3">
      <c r="A95" s="149" t="s">
        <v>176</v>
      </c>
      <c r="B95" s="44">
        <f>V_1!B95+V_2!B95+V_3!B95</f>
        <v>88</v>
      </c>
      <c r="C95" s="39">
        <f>V_1!C95+V_2!C95+V_3!C95</f>
        <v>161</v>
      </c>
      <c r="D95" s="39">
        <f>V_1!D95+V_2!D95+V_3!D95</f>
        <v>0</v>
      </c>
      <c r="E95" s="39">
        <f>V_1!E95+V_2!E95+V_3!E95</f>
        <v>3</v>
      </c>
      <c r="F95" s="152">
        <f>V_1!F95+V_2!F95+V_3!F95</f>
        <v>3</v>
      </c>
      <c r="G95" s="154">
        <f t="shared" si="5"/>
        <v>255</v>
      </c>
      <c r="H95" s="44">
        <f>V_1!H95+V_2!H95+V_3!H95</f>
        <v>0</v>
      </c>
      <c r="I95" s="39">
        <f>V_1!I95+V_2!I95+V_3!I95</f>
        <v>0</v>
      </c>
      <c r="J95" s="39">
        <f>V_1!J95+V_2!J95+V_3!J95</f>
        <v>0</v>
      </c>
      <c r="K95" s="45">
        <f>V_1!K95+V_2!K95+V_3!K95</f>
        <v>0</v>
      </c>
      <c r="L95" s="140">
        <f>V_1!L95+V_2!L95+V_3!L95</f>
        <v>2</v>
      </c>
      <c r="M95" s="149">
        <f t="shared" si="6"/>
        <v>2</v>
      </c>
      <c r="N95" s="100">
        <f t="shared" si="7"/>
        <v>257</v>
      </c>
      <c r="O95" s="43">
        <f t="shared" si="8"/>
        <v>207</v>
      </c>
    </row>
    <row r="96" spans="1:15" ht="22.5" customHeight="1" x14ac:dyDescent="0.3">
      <c r="A96" s="149" t="s">
        <v>135</v>
      </c>
      <c r="B96" s="44">
        <f>V_1!B96+V_2!B96+V_3!B96</f>
        <v>109</v>
      </c>
      <c r="C96" s="39">
        <f>V_1!C96+V_2!C96+V_3!C96</f>
        <v>198</v>
      </c>
      <c r="D96" s="39">
        <f>V_1!D96+V_2!D96+V_3!D96</f>
        <v>2</v>
      </c>
      <c r="E96" s="39">
        <f>V_1!E96+V_2!E96+V_3!E96</f>
        <v>0</v>
      </c>
      <c r="F96" s="152">
        <f>V_1!F96+V_2!F96+V_3!F96</f>
        <v>2</v>
      </c>
      <c r="G96" s="154">
        <f t="shared" si="5"/>
        <v>311</v>
      </c>
      <c r="H96" s="44">
        <f>V_1!H96+V_2!H96+V_3!H96</f>
        <v>0</v>
      </c>
      <c r="I96" s="39">
        <f>V_1!I96+V_2!I96+V_3!I96</f>
        <v>0</v>
      </c>
      <c r="J96" s="39">
        <f>V_1!J96+V_2!J96+V_3!J96</f>
        <v>0</v>
      </c>
      <c r="K96" s="45">
        <f>V_1!K96+V_2!K96+V_3!K96</f>
        <v>0</v>
      </c>
      <c r="L96" s="140">
        <f>V_1!L96+V_2!L96+V_3!L96</f>
        <v>0</v>
      </c>
      <c r="M96" s="149">
        <f t="shared" si="6"/>
        <v>0</v>
      </c>
      <c r="N96" s="100">
        <f t="shared" si="7"/>
        <v>311</v>
      </c>
      <c r="O96" s="43">
        <f t="shared" si="8"/>
        <v>220</v>
      </c>
    </row>
    <row r="97" spans="1:15" ht="22.5" customHeight="1" x14ac:dyDescent="0.3">
      <c r="A97" s="149" t="s">
        <v>136</v>
      </c>
      <c r="B97" s="44">
        <f>V_1!B97+V_2!B97+V_3!B97</f>
        <v>159</v>
      </c>
      <c r="C97" s="39">
        <f>V_1!C97+V_2!C97+V_3!C97</f>
        <v>250</v>
      </c>
      <c r="D97" s="39">
        <f>V_1!D97+V_2!D97+V_3!D97</f>
        <v>2</v>
      </c>
      <c r="E97" s="39">
        <f>V_1!E97+V_2!E97+V_3!E97</f>
        <v>2</v>
      </c>
      <c r="F97" s="152">
        <f>V_1!F97+V_2!F97+V_3!F97</f>
        <v>4</v>
      </c>
      <c r="G97" s="154">
        <f t="shared" si="5"/>
        <v>417</v>
      </c>
      <c r="H97" s="44">
        <f>V_1!H97+V_2!H97+V_3!H97</f>
        <v>1</v>
      </c>
      <c r="I97" s="39">
        <f>V_1!I97+V_2!I97+V_3!I97</f>
        <v>0</v>
      </c>
      <c r="J97" s="39">
        <f>V_1!J97+V_2!J97+V_3!J97</f>
        <v>0</v>
      </c>
      <c r="K97" s="45">
        <f>V_1!K97+V_2!K97+V_3!K97</f>
        <v>0</v>
      </c>
      <c r="L97" s="140">
        <f>V_1!L97+V_2!L97+V_3!L97</f>
        <v>1</v>
      </c>
      <c r="M97" s="149">
        <f t="shared" si="6"/>
        <v>2</v>
      </c>
      <c r="N97" s="100">
        <f t="shared" si="7"/>
        <v>419</v>
      </c>
      <c r="O97" s="43">
        <f t="shared" si="8"/>
        <v>319.5</v>
      </c>
    </row>
    <row r="98" spans="1:15" ht="22.5" customHeight="1" x14ac:dyDescent="0.3">
      <c r="A98" s="149" t="s">
        <v>137</v>
      </c>
      <c r="B98" s="44">
        <f>V_1!B98+V_2!B98+V_3!B98</f>
        <v>220</v>
      </c>
      <c r="C98" s="39">
        <f>V_1!C98+V_2!C98+V_3!C98</f>
        <v>318</v>
      </c>
      <c r="D98" s="39">
        <f>V_1!D98+V_2!D98+V_3!D98</f>
        <v>1</v>
      </c>
      <c r="E98" s="39">
        <f>V_1!E98+V_2!E98+V_3!E98</f>
        <v>3</v>
      </c>
      <c r="F98" s="152">
        <f>V_1!F98+V_2!F98+V_3!F98</f>
        <v>0</v>
      </c>
      <c r="G98" s="154">
        <f t="shared" si="5"/>
        <v>542</v>
      </c>
      <c r="H98" s="44">
        <f>V_1!H98+V_2!H98+V_3!H98</f>
        <v>2</v>
      </c>
      <c r="I98" s="39">
        <f>V_1!I98+V_2!I98+V_3!I98</f>
        <v>0</v>
      </c>
      <c r="J98" s="39">
        <f>V_1!J98+V_2!J98+V_3!J98</f>
        <v>0</v>
      </c>
      <c r="K98" s="45">
        <f>V_1!K98+V_2!K98+V_3!K98</f>
        <v>0</v>
      </c>
      <c r="L98" s="140">
        <f>V_1!L98+V_2!L98+V_3!L98</f>
        <v>2</v>
      </c>
      <c r="M98" s="149">
        <f t="shared" si="6"/>
        <v>4</v>
      </c>
      <c r="N98" s="100">
        <f t="shared" si="7"/>
        <v>546</v>
      </c>
      <c r="O98" s="43">
        <f t="shared" si="8"/>
        <v>406.5</v>
      </c>
    </row>
    <row r="99" spans="1:15" ht="22.5" customHeight="1" x14ac:dyDescent="0.3">
      <c r="A99" s="149" t="s">
        <v>138</v>
      </c>
      <c r="B99" s="44">
        <f>V_1!B99+V_2!B99+V_3!B99</f>
        <v>263</v>
      </c>
      <c r="C99" s="39">
        <f>V_1!C99+V_2!C99+V_3!C99</f>
        <v>360</v>
      </c>
      <c r="D99" s="39">
        <f>V_1!D99+V_2!D99+V_3!D99</f>
        <v>2</v>
      </c>
      <c r="E99" s="39">
        <f>V_1!E99+V_2!E99+V_3!E99</f>
        <v>3</v>
      </c>
      <c r="F99" s="152">
        <f>V_1!F99+V_2!F99+V_3!F99</f>
        <v>2</v>
      </c>
      <c r="G99" s="154">
        <f t="shared" si="5"/>
        <v>630</v>
      </c>
      <c r="H99" s="44">
        <f>V_1!H99+V_2!H99+V_3!H99</f>
        <v>0</v>
      </c>
      <c r="I99" s="39">
        <f>V_1!I99+V_2!I99+V_3!I99</f>
        <v>0</v>
      </c>
      <c r="J99" s="39">
        <f>V_1!J99+V_2!J99+V_3!J99</f>
        <v>0</v>
      </c>
      <c r="K99" s="45">
        <f>V_1!K99+V_2!K99+V_3!K99</f>
        <v>0</v>
      </c>
      <c r="L99" s="140">
        <f>V_1!L99+V_2!L99+V_3!L99</f>
        <v>0</v>
      </c>
      <c r="M99" s="149">
        <f t="shared" si="6"/>
        <v>0</v>
      </c>
      <c r="N99" s="100">
        <f t="shared" si="7"/>
        <v>630</v>
      </c>
      <c r="O99" s="43">
        <f t="shared" si="8"/>
        <v>464</v>
      </c>
    </row>
    <row r="100" spans="1:15" ht="22.5" customHeight="1" x14ac:dyDescent="0.3">
      <c r="A100" s="149" t="s">
        <v>139</v>
      </c>
      <c r="B100" s="44">
        <f>V_1!B100+V_2!B100+V_3!B100</f>
        <v>293</v>
      </c>
      <c r="C100" s="39">
        <f>V_1!C100+V_2!C100+V_3!C100</f>
        <v>403</v>
      </c>
      <c r="D100" s="39">
        <f>V_1!D100+V_2!D100+V_3!D100</f>
        <v>5</v>
      </c>
      <c r="E100" s="39">
        <f>V_1!E100+V_2!E100+V_3!E100</f>
        <v>2</v>
      </c>
      <c r="F100" s="152">
        <f>V_1!F100+V_2!F100+V_3!F100</f>
        <v>2</v>
      </c>
      <c r="G100" s="154">
        <f t="shared" si="5"/>
        <v>705</v>
      </c>
      <c r="H100" s="44">
        <f>V_1!H100+V_2!H100+V_3!H100</f>
        <v>2</v>
      </c>
      <c r="I100" s="39">
        <f>V_1!I100+V_2!I100+V_3!I100</f>
        <v>0</v>
      </c>
      <c r="J100" s="39">
        <f>V_1!J100+V_2!J100+V_3!J100</f>
        <v>0</v>
      </c>
      <c r="K100" s="45">
        <f>V_1!K100+V_2!K100+V_3!K100</f>
        <v>0</v>
      </c>
      <c r="L100" s="140">
        <f>V_1!L100+V_2!L100+V_3!L100</f>
        <v>1</v>
      </c>
      <c r="M100" s="149">
        <f t="shared" si="6"/>
        <v>3</v>
      </c>
      <c r="N100" s="100">
        <f t="shared" si="7"/>
        <v>708</v>
      </c>
      <c r="O100" s="43">
        <f t="shared" si="8"/>
        <v>526</v>
      </c>
    </row>
    <row r="101" spans="1:15" ht="22.5" customHeight="1" x14ac:dyDescent="0.3">
      <c r="A101" s="149" t="s">
        <v>140</v>
      </c>
      <c r="B101" s="44">
        <f>V_1!B101+V_2!B101+V_3!B101</f>
        <v>367</v>
      </c>
      <c r="C101" s="39">
        <f>V_1!C101+V_2!C101+V_3!C101</f>
        <v>499</v>
      </c>
      <c r="D101" s="39">
        <f>V_1!D101+V_2!D101+V_3!D101</f>
        <v>4</v>
      </c>
      <c r="E101" s="39">
        <f>V_1!E101+V_2!E101+V_3!E101</f>
        <v>7</v>
      </c>
      <c r="F101" s="152">
        <f>V_1!F101+V_2!F101+V_3!F101</f>
        <v>5</v>
      </c>
      <c r="G101" s="154">
        <f t="shared" si="5"/>
        <v>882</v>
      </c>
      <c r="H101" s="44">
        <f>V_1!H101+V_2!H101+V_3!H101</f>
        <v>2</v>
      </c>
      <c r="I101" s="39">
        <f>V_1!I101+V_2!I101+V_3!I101</f>
        <v>0</v>
      </c>
      <c r="J101" s="39">
        <f>V_1!J101+V_2!J101+V_3!J101</f>
        <v>0</v>
      </c>
      <c r="K101" s="45">
        <f>V_1!K101+V_2!K101+V_3!K101</f>
        <v>0</v>
      </c>
      <c r="L101" s="140">
        <f>V_1!L101+V_2!L101+V_3!L101</f>
        <v>2</v>
      </c>
      <c r="M101" s="149">
        <f t="shared" si="6"/>
        <v>4</v>
      </c>
      <c r="N101" s="100">
        <f t="shared" si="7"/>
        <v>886</v>
      </c>
      <c r="O101" s="43">
        <f t="shared" si="8"/>
        <v>683</v>
      </c>
    </row>
    <row r="102" spans="1:15" ht="22.5" customHeight="1" x14ac:dyDescent="0.3">
      <c r="A102" s="149" t="s">
        <v>141</v>
      </c>
      <c r="B102" s="44">
        <f>V_1!B102+V_2!B102+V_3!B102</f>
        <v>412</v>
      </c>
      <c r="C102" s="39">
        <f>V_1!C102+V_2!C102+V_3!C102</f>
        <v>584</v>
      </c>
      <c r="D102" s="39">
        <f>V_1!D102+V_2!D102+V_3!D102</f>
        <v>6</v>
      </c>
      <c r="E102" s="39">
        <f>V_1!E102+V_2!E102+V_3!E102</f>
        <v>7</v>
      </c>
      <c r="F102" s="152">
        <f>V_1!F102+V_2!F102+V_3!F102</f>
        <v>3</v>
      </c>
      <c r="G102" s="154">
        <f t="shared" si="5"/>
        <v>1012</v>
      </c>
      <c r="H102" s="44">
        <f>V_1!H102+V_2!H102+V_3!H102</f>
        <v>2</v>
      </c>
      <c r="I102" s="39">
        <f>V_1!I102+V_2!I102+V_3!I102</f>
        <v>0</v>
      </c>
      <c r="J102" s="39">
        <f>V_1!J102+V_2!J102+V_3!J102</f>
        <v>0</v>
      </c>
      <c r="K102" s="45">
        <f>V_1!K102+V_2!K102+V_3!K102</f>
        <v>0</v>
      </c>
      <c r="L102" s="140">
        <f>V_1!L102+V_2!L102+V_3!L102</f>
        <v>4</v>
      </c>
      <c r="M102" s="149">
        <f t="shared" si="6"/>
        <v>6</v>
      </c>
      <c r="N102" s="100">
        <f t="shared" si="7"/>
        <v>1018</v>
      </c>
      <c r="O102" s="43">
        <f t="shared" si="8"/>
        <v>780.5</v>
      </c>
    </row>
    <row r="103" spans="1:15" ht="22.5" customHeight="1" thickBot="1" x14ac:dyDescent="0.35">
      <c r="A103" s="150" t="s">
        <v>142</v>
      </c>
      <c r="B103" s="46">
        <f>V_1!B103+V_2!B103+V_3!B103</f>
        <v>478</v>
      </c>
      <c r="C103" s="47">
        <f>V_1!C103+V_2!C103+V_3!C103</f>
        <v>650</v>
      </c>
      <c r="D103" s="47">
        <f>V_1!D103+V_2!D103+V_3!D103</f>
        <v>6</v>
      </c>
      <c r="E103" s="47">
        <f>V_1!E103+V_2!E103+V_3!E103</f>
        <v>10</v>
      </c>
      <c r="F103" s="153">
        <f>V_1!F103+V_2!F103+V_3!F103</f>
        <v>8</v>
      </c>
      <c r="G103" s="80">
        <f t="shared" si="5"/>
        <v>1152</v>
      </c>
      <c r="H103" s="46">
        <f>V_1!H103+V_2!H103+V_3!H103</f>
        <v>3</v>
      </c>
      <c r="I103" s="47">
        <f>V_1!I103+V_2!I103+V_3!I103</f>
        <v>0</v>
      </c>
      <c r="J103" s="47">
        <f>V_1!J103+V_2!J103+V_3!J103</f>
        <v>0</v>
      </c>
      <c r="K103" s="48">
        <f>V_1!K103+V_2!K103+V_3!K103</f>
        <v>0</v>
      </c>
      <c r="L103" s="141">
        <f>V_1!L103+V_2!L103+V_3!L103</f>
        <v>3</v>
      </c>
      <c r="M103" s="150">
        <f t="shared" si="6"/>
        <v>6</v>
      </c>
      <c r="N103" s="101">
        <f t="shared" si="7"/>
        <v>1158</v>
      </c>
      <c r="O103" s="84">
        <f t="shared" si="8"/>
        <v>903.5</v>
      </c>
    </row>
    <row r="104" spans="1:15" ht="22.5" customHeight="1" thickBot="1" x14ac:dyDescent="0.35">
      <c r="A104" s="41" t="s">
        <v>11</v>
      </c>
      <c r="B104" s="117">
        <f>SUM(B8:B103)</f>
        <v>16454</v>
      </c>
      <c r="C104" s="117">
        <f t="shared" ref="C104:N104" si="9">SUM(C8:C103)</f>
        <v>10899</v>
      </c>
      <c r="D104" s="117">
        <f t="shared" si="9"/>
        <v>776</v>
      </c>
      <c r="E104" s="117">
        <f t="shared" si="9"/>
        <v>768</v>
      </c>
      <c r="F104" s="117">
        <f t="shared" si="9"/>
        <v>761</v>
      </c>
      <c r="G104" s="94">
        <f t="shared" si="9"/>
        <v>29658</v>
      </c>
      <c r="H104" s="87">
        <f t="shared" si="9"/>
        <v>24</v>
      </c>
      <c r="I104" s="87">
        <f t="shared" si="9"/>
        <v>1</v>
      </c>
      <c r="J104" s="87">
        <f t="shared" si="9"/>
        <v>0</v>
      </c>
      <c r="K104" s="95">
        <f t="shared" si="9"/>
        <v>0</v>
      </c>
      <c r="L104" s="95">
        <f t="shared" si="9"/>
        <v>100</v>
      </c>
      <c r="M104" s="94">
        <f>SUM(M8:M103)</f>
        <v>125</v>
      </c>
      <c r="N104" s="95">
        <f t="shared" si="9"/>
        <v>29783</v>
      </c>
      <c r="O104" s="142">
        <f>SUM(O8:O103)</f>
        <v>29609.5</v>
      </c>
    </row>
    <row r="105" spans="1:15" ht="22.5" customHeight="1" thickBot="1" x14ac:dyDescent="0.35">
      <c r="A105" s="41" t="s">
        <v>143</v>
      </c>
      <c r="B105" s="88">
        <f>+B104*1</f>
        <v>16454</v>
      </c>
      <c r="C105" s="88">
        <f>+C104*0.5</f>
        <v>5449.5</v>
      </c>
      <c r="D105" s="88">
        <f>+D104*1.5</f>
        <v>1164</v>
      </c>
      <c r="E105" s="88">
        <f>+E104*3</f>
        <v>2304</v>
      </c>
      <c r="F105" s="89">
        <f>+F104*4.5</f>
        <v>3424.5</v>
      </c>
      <c r="G105" s="90">
        <f>SUM(B105:F105)</f>
        <v>28796</v>
      </c>
      <c r="H105" s="88">
        <f>+H104*0.5</f>
        <v>12</v>
      </c>
      <c r="I105" s="89">
        <f>+I104*1.5</f>
        <v>1.5</v>
      </c>
      <c r="J105" s="89">
        <f>+J104*3</f>
        <v>0</v>
      </c>
      <c r="K105" s="96">
        <f>+K104*4</f>
        <v>0</v>
      </c>
      <c r="L105" s="96">
        <f>+L104*8</f>
        <v>800</v>
      </c>
      <c r="M105" s="147">
        <f>SUM(H105:L105)</f>
        <v>813.5</v>
      </c>
      <c r="N105" s="91"/>
      <c r="O105" s="92">
        <f>G105+M105</f>
        <v>29609.5</v>
      </c>
    </row>
    <row r="106" spans="1:15" ht="22.5" customHeight="1" thickBot="1" x14ac:dyDescent="0.35">
      <c r="A106" s="42" t="s">
        <v>12</v>
      </c>
      <c r="B106" s="93">
        <f t="shared" ref="B106:N106" si="10">B104/$N$104</f>
        <v>0.55246281435718358</v>
      </c>
      <c r="C106" s="93">
        <f t="shared" si="10"/>
        <v>0.3659470167545244</v>
      </c>
      <c r="D106" s="93">
        <f t="shared" si="10"/>
        <v>2.6055132122351676E-2</v>
      </c>
      <c r="E106" s="93">
        <f t="shared" si="10"/>
        <v>2.5786522512842896E-2</v>
      </c>
      <c r="F106" s="93">
        <f t="shared" si="10"/>
        <v>2.5551489104522714E-2</v>
      </c>
      <c r="G106" s="98">
        <f t="shared" si="10"/>
        <v>0.99580297485142533</v>
      </c>
      <c r="H106" s="93">
        <f t="shared" si="10"/>
        <v>8.058288285263405E-4</v>
      </c>
      <c r="I106" s="93">
        <f t="shared" si="10"/>
        <v>3.3576201188597525E-5</v>
      </c>
      <c r="J106" s="93">
        <f t="shared" si="10"/>
        <v>0</v>
      </c>
      <c r="K106" s="97">
        <f t="shared" si="10"/>
        <v>0</v>
      </c>
      <c r="L106" s="97">
        <f t="shared" si="10"/>
        <v>3.3576201188597523E-3</v>
      </c>
      <c r="M106" s="98">
        <f t="shared" si="10"/>
        <v>4.1970251485746899E-3</v>
      </c>
      <c r="N106" s="99">
        <f t="shared" si="10"/>
        <v>1</v>
      </c>
      <c r="O106" s="94"/>
    </row>
    <row r="108" spans="1:15" s="4" customFormat="1" x14ac:dyDescent="0.3">
      <c r="A108" s="4" t="s">
        <v>103</v>
      </c>
      <c r="B108" s="4" t="str">
        <f>B2</f>
        <v>TMC-14 Number (D2)</v>
      </c>
    </row>
    <row r="109" spans="1:15" s="4" customFormat="1" x14ac:dyDescent="0.3">
      <c r="A109" s="4" t="s">
        <v>102</v>
      </c>
      <c r="B109" s="4" t="str">
        <f>B3</f>
        <v>D2</v>
      </c>
    </row>
    <row r="110" spans="1:15" s="4" customFormat="1" x14ac:dyDescent="0.3">
      <c r="A110" s="4" t="s">
        <v>104</v>
      </c>
      <c r="B110" s="4" t="str">
        <f>B4</f>
        <v>Nindar</v>
      </c>
    </row>
    <row r="111" spans="1:15" ht="16.2" thickBot="1" x14ac:dyDescent="0.35"/>
    <row r="112" spans="1:15" ht="25.2" customHeight="1" x14ac:dyDescent="0.3">
      <c r="A112" s="252" t="s">
        <v>95</v>
      </c>
      <c r="B112" s="258" t="s">
        <v>280</v>
      </c>
      <c r="C112" s="254" t="s">
        <v>281</v>
      </c>
      <c r="D112" s="250" t="s">
        <v>282</v>
      </c>
      <c r="E112" s="260" t="s">
        <v>283</v>
      </c>
      <c r="F112" s="256" t="s">
        <v>284</v>
      </c>
      <c r="G112" s="250" t="s">
        <v>129</v>
      </c>
      <c r="H112" s="248" t="s">
        <v>150</v>
      </c>
      <c r="I112" s="250" t="s">
        <v>151</v>
      </c>
      <c r="J112" s="250" t="s">
        <v>285</v>
      </c>
      <c r="K112" s="248" t="s">
        <v>286</v>
      </c>
      <c r="L112" s="250" t="s">
        <v>287</v>
      </c>
      <c r="M112" s="250" t="s">
        <v>78</v>
      </c>
      <c r="N112" s="250" t="s">
        <v>131</v>
      </c>
      <c r="O112" s="250" t="s">
        <v>132</v>
      </c>
    </row>
    <row r="113" spans="1:15" ht="16.2" thickBot="1" x14ac:dyDescent="0.35">
      <c r="A113" s="253"/>
      <c r="B113" s="259"/>
      <c r="C113" s="255"/>
      <c r="D113" s="251"/>
      <c r="E113" s="261"/>
      <c r="F113" s="257"/>
      <c r="G113" s="259"/>
      <c r="H113" s="249"/>
      <c r="I113" s="251"/>
      <c r="J113" s="251"/>
      <c r="K113" s="249"/>
      <c r="L113" s="251"/>
      <c r="M113" s="251"/>
      <c r="N113" s="251"/>
      <c r="O113" s="251"/>
    </row>
    <row r="114" spans="1:15" ht="22.95" customHeight="1" x14ac:dyDescent="0.3">
      <c r="A114" s="52" t="s">
        <v>15</v>
      </c>
      <c r="B114" s="112">
        <f t="shared" ref="B114:H114" si="11">B8+B9+B10+B11</f>
        <v>1064</v>
      </c>
      <c r="C114" s="113">
        <f t="shared" si="11"/>
        <v>1192</v>
      </c>
      <c r="D114" s="113">
        <f t="shared" si="11"/>
        <v>33</v>
      </c>
      <c r="E114" s="113">
        <f t="shared" si="11"/>
        <v>37</v>
      </c>
      <c r="F114" s="113">
        <f t="shared" si="11"/>
        <v>33</v>
      </c>
      <c r="G114" s="49">
        <f t="shared" si="11"/>
        <v>2359</v>
      </c>
      <c r="H114" s="112">
        <f t="shared" si="11"/>
        <v>3</v>
      </c>
      <c r="I114" s="113">
        <f t="shared" ref="I114:L114" si="12">I8+I9+I10+I11</f>
        <v>0</v>
      </c>
      <c r="J114" s="113">
        <f t="shared" si="12"/>
        <v>0</v>
      </c>
      <c r="K114" s="114">
        <f t="shared" si="12"/>
        <v>0</v>
      </c>
      <c r="L114" s="143">
        <f t="shared" si="12"/>
        <v>16</v>
      </c>
      <c r="M114" s="49">
        <f t="shared" ref="M114:M177" si="13">SUM(H114:K114)</f>
        <v>3</v>
      </c>
      <c r="N114" s="40">
        <f>G114+M114</f>
        <v>2362</v>
      </c>
      <c r="O114" s="115">
        <f>B114*1+C114*0.5+D114*1.5+E114*3+F114*4.5+H114*0.5+I114*1.5+J114*3+K114*4+L114*8</f>
        <v>2098.5</v>
      </c>
    </row>
    <row r="115" spans="1:15" ht="22.95" customHeight="1" x14ac:dyDescent="0.3">
      <c r="A115" s="52" t="s">
        <v>16</v>
      </c>
      <c r="B115" s="44">
        <f t="shared" ref="B115:L115" si="14">B9+B10+B11+B12</f>
        <v>1000</v>
      </c>
      <c r="C115" s="39">
        <f t="shared" si="14"/>
        <v>1210</v>
      </c>
      <c r="D115" s="39">
        <f t="shared" si="14"/>
        <v>26</v>
      </c>
      <c r="E115" s="39">
        <f t="shared" si="14"/>
        <v>37</v>
      </c>
      <c r="F115" s="39">
        <f t="shared" si="14"/>
        <v>31</v>
      </c>
      <c r="G115" s="50">
        <f t="shared" si="14"/>
        <v>2304</v>
      </c>
      <c r="H115" s="44">
        <f t="shared" si="14"/>
        <v>1</v>
      </c>
      <c r="I115" s="39">
        <f t="shared" si="14"/>
        <v>0</v>
      </c>
      <c r="J115" s="39">
        <f t="shared" si="14"/>
        <v>0</v>
      </c>
      <c r="K115" s="45">
        <f t="shared" si="14"/>
        <v>0</v>
      </c>
      <c r="L115" s="144">
        <f t="shared" si="14"/>
        <v>14</v>
      </c>
      <c r="M115" s="50">
        <f t="shared" si="13"/>
        <v>1</v>
      </c>
      <c r="N115" s="40">
        <f t="shared" ref="N115:N178" si="15">G115+M115</f>
        <v>2305</v>
      </c>
      <c r="O115" s="43">
        <f t="shared" ref="O115:O178" si="16">B115*1+C115*0.5+D115*1.5+E115*3+F115*4.5+H115*0.5+I115*1.5+J115*3+K115*4+L115*8</f>
        <v>2007</v>
      </c>
    </row>
    <row r="116" spans="1:15" ht="22.95" customHeight="1" x14ac:dyDescent="0.3">
      <c r="A116" s="52" t="s">
        <v>17</v>
      </c>
      <c r="B116" s="44">
        <f t="shared" ref="B116:L116" si="17">B10+B11+B12+B13</f>
        <v>986</v>
      </c>
      <c r="C116" s="39">
        <f t="shared" si="17"/>
        <v>1206</v>
      </c>
      <c r="D116" s="39">
        <f t="shared" si="17"/>
        <v>24</v>
      </c>
      <c r="E116" s="39">
        <f t="shared" si="17"/>
        <v>35</v>
      </c>
      <c r="F116" s="39">
        <f t="shared" si="17"/>
        <v>30</v>
      </c>
      <c r="G116" s="50">
        <f t="shared" si="17"/>
        <v>2281</v>
      </c>
      <c r="H116" s="44">
        <f t="shared" si="17"/>
        <v>0</v>
      </c>
      <c r="I116" s="39">
        <f t="shared" si="17"/>
        <v>0</v>
      </c>
      <c r="J116" s="39">
        <f t="shared" si="17"/>
        <v>0</v>
      </c>
      <c r="K116" s="45">
        <f t="shared" si="17"/>
        <v>0</v>
      </c>
      <c r="L116" s="144">
        <f t="shared" si="17"/>
        <v>13</v>
      </c>
      <c r="M116" s="50">
        <f t="shared" si="13"/>
        <v>0</v>
      </c>
      <c r="N116" s="40">
        <f t="shared" si="15"/>
        <v>2281</v>
      </c>
      <c r="O116" s="43">
        <f t="shared" si="16"/>
        <v>1969</v>
      </c>
    </row>
    <row r="117" spans="1:15" ht="22.95" customHeight="1" x14ac:dyDescent="0.3">
      <c r="A117" s="52" t="s">
        <v>18</v>
      </c>
      <c r="B117" s="44">
        <f t="shared" ref="B117:L117" si="18">B11+B12+B13+B14</f>
        <v>1030</v>
      </c>
      <c r="C117" s="39">
        <f t="shared" si="18"/>
        <v>1275</v>
      </c>
      <c r="D117" s="39">
        <f t="shared" si="18"/>
        <v>25</v>
      </c>
      <c r="E117" s="39">
        <f t="shared" si="18"/>
        <v>30</v>
      </c>
      <c r="F117" s="39">
        <f t="shared" si="18"/>
        <v>22</v>
      </c>
      <c r="G117" s="50">
        <f t="shared" si="18"/>
        <v>2382</v>
      </c>
      <c r="H117" s="44">
        <f t="shared" si="18"/>
        <v>0</v>
      </c>
      <c r="I117" s="39">
        <f t="shared" si="18"/>
        <v>0</v>
      </c>
      <c r="J117" s="39">
        <f t="shared" si="18"/>
        <v>0</v>
      </c>
      <c r="K117" s="45">
        <f t="shared" si="18"/>
        <v>0</v>
      </c>
      <c r="L117" s="144">
        <f t="shared" si="18"/>
        <v>16</v>
      </c>
      <c r="M117" s="50">
        <f t="shared" si="13"/>
        <v>0</v>
      </c>
      <c r="N117" s="40">
        <f t="shared" si="15"/>
        <v>2382</v>
      </c>
      <c r="O117" s="43">
        <f t="shared" si="16"/>
        <v>2022</v>
      </c>
    </row>
    <row r="118" spans="1:15" ht="22.95" customHeight="1" x14ac:dyDescent="0.3">
      <c r="A118" s="52" t="s">
        <v>19</v>
      </c>
      <c r="B118" s="44">
        <f t="shared" ref="B118:L118" si="19">B12+B13+B14+B15</f>
        <v>1210</v>
      </c>
      <c r="C118" s="39">
        <f t="shared" si="19"/>
        <v>1345</v>
      </c>
      <c r="D118" s="39">
        <f t="shared" si="19"/>
        <v>32</v>
      </c>
      <c r="E118" s="39">
        <f t="shared" si="19"/>
        <v>46</v>
      </c>
      <c r="F118" s="39">
        <f t="shared" si="19"/>
        <v>33</v>
      </c>
      <c r="G118" s="50">
        <f t="shared" si="19"/>
        <v>2666</v>
      </c>
      <c r="H118" s="44">
        <f t="shared" si="19"/>
        <v>0</v>
      </c>
      <c r="I118" s="39">
        <f t="shared" si="19"/>
        <v>0</v>
      </c>
      <c r="J118" s="39">
        <f t="shared" si="19"/>
        <v>0</v>
      </c>
      <c r="K118" s="45">
        <f t="shared" si="19"/>
        <v>0</v>
      </c>
      <c r="L118" s="144">
        <f t="shared" si="19"/>
        <v>13</v>
      </c>
      <c r="M118" s="50">
        <f t="shared" si="13"/>
        <v>0</v>
      </c>
      <c r="N118" s="40">
        <f t="shared" si="15"/>
        <v>2666</v>
      </c>
      <c r="O118" s="43">
        <f t="shared" si="16"/>
        <v>2321</v>
      </c>
    </row>
    <row r="119" spans="1:15" ht="22.95" customHeight="1" x14ac:dyDescent="0.3">
      <c r="A119" s="52" t="s">
        <v>20</v>
      </c>
      <c r="B119" s="44">
        <f t="shared" ref="B119:L119" si="20">B13+B14+B15+B16</f>
        <v>1280</v>
      </c>
      <c r="C119" s="39">
        <f t="shared" si="20"/>
        <v>1305</v>
      </c>
      <c r="D119" s="39">
        <f t="shared" si="20"/>
        <v>40</v>
      </c>
      <c r="E119" s="39">
        <f t="shared" si="20"/>
        <v>56</v>
      </c>
      <c r="F119" s="39">
        <f t="shared" si="20"/>
        <v>39</v>
      </c>
      <c r="G119" s="50">
        <f t="shared" si="20"/>
        <v>2720</v>
      </c>
      <c r="H119" s="44">
        <f t="shared" si="20"/>
        <v>1</v>
      </c>
      <c r="I119" s="39">
        <f t="shared" si="20"/>
        <v>0</v>
      </c>
      <c r="J119" s="39">
        <f t="shared" si="20"/>
        <v>0</v>
      </c>
      <c r="K119" s="45">
        <f t="shared" si="20"/>
        <v>0</v>
      </c>
      <c r="L119" s="144">
        <f t="shared" si="20"/>
        <v>11</v>
      </c>
      <c r="M119" s="50">
        <f t="shared" si="13"/>
        <v>1</v>
      </c>
      <c r="N119" s="40">
        <f t="shared" si="15"/>
        <v>2721</v>
      </c>
      <c r="O119" s="43">
        <f t="shared" si="16"/>
        <v>2424.5</v>
      </c>
    </row>
    <row r="120" spans="1:15" ht="22.95" customHeight="1" x14ac:dyDescent="0.3">
      <c r="A120" s="52" t="s">
        <v>21</v>
      </c>
      <c r="B120" s="44">
        <f t="shared" ref="B120:L120" si="21">B14+B15+B16+B17</f>
        <v>1348</v>
      </c>
      <c r="C120" s="39">
        <f t="shared" si="21"/>
        <v>1227</v>
      </c>
      <c r="D120" s="39">
        <f t="shared" si="21"/>
        <v>49</v>
      </c>
      <c r="E120" s="39">
        <f t="shared" si="21"/>
        <v>65</v>
      </c>
      <c r="F120" s="39">
        <f t="shared" si="21"/>
        <v>50</v>
      </c>
      <c r="G120" s="50">
        <f t="shared" si="21"/>
        <v>2739</v>
      </c>
      <c r="H120" s="44">
        <f t="shared" si="21"/>
        <v>1</v>
      </c>
      <c r="I120" s="39">
        <f t="shared" si="21"/>
        <v>0</v>
      </c>
      <c r="J120" s="39">
        <f t="shared" si="21"/>
        <v>0</v>
      </c>
      <c r="K120" s="45">
        <f t="shared" si="21"/>
        <v>0</v>
      </c>
      <c r="L120" s="144">
        <f t="shared" si="21"/>
        <v>10</v>
      </c>
      <c r="M120" s="50">
        <f t="shared" si="13"/>
        <v>1</v>
      </c>
      <c r="N120" s="40">
        <f t="shared" si="15"/>
        <v>2740</v>
      </c>
      <c r="O120" s="43">
        <f t="shared" si="16"/>
        <v>2535.5</v>
      </c>
    </row>
    <row r="121" spans="1:15" ht="22.95" customHeight="1" x14ac:dyDescent="0.3">
      <c r="A121" s="52" t="s">
        <v>22</v>
      </c>
      <c r="B121" s="44">
        <f t="shared" ref="B121:L121" si="22">B15+B16+B17+B18</f>
        <v>1302</v>
      </c>
      <c r="C121" s="39">
        <f t="shared" si="22"/>
        <v>943</v>
      </c>
      <c r="D121" s="39">
        <f t="shared" si="22"/>
        <v>51</v>
      </c>
      <c r="E121" s="39">
        <f t="shared" si="22"/>
        <v>74</v>
      </c>
      <c r="F121" s="39">
        <f t="shared" si="22"/>
        <v>56</v>
      </c>
      <c r="G121" s="50">
        <f t="shared" si="22"/>
        <v>2426</v>
      </c>
      <c r="H121" s="44">
        <f t="shared" si="22"/>
        <v>1</v>
      </c>
      <c r="I121" s="39">
        <f t="shared" si="22"/>
        <v>0</v>
      </c>
      <c r="J121" s="39">
        <f t="shared" si="22"/>
        <v>0</v>
      </c>
      <c r="K121" s="45">
        <f t="shared" si="22"/>
        <v>0</v>
      </c>
      <c r="L121" s="144">
        <f t="shared" si="22"/>
        <v>5</v>
      </c>
      <c r="M121" s="50">
        <f t="shared" si="13"/>
        <v>1</v>
      </c>
      <c r="N121" s="40">
        <f t="shared" si="15"/>
        <v>2427</v>
      </c>
      <c r="O121" s="43">
        <f t="shared" si="16"/>
        <v>2364.5</v>
      </c>
    </row>
    <row r="122" spans="1:15" ht="22.95" customHeight="1" x14ac:dyDescent="0.3">
      <c r="A122" s="52" t="s">
        <v>23</v>
      </c>
      <c r="B122" s="44">
        <f t="shared" ref="B122:L122" si="23">B16+B17+B18+B19</f>
        <v>1199</v>
      </c>
      <c r="C122" s="39">
        <f t="shared" si="23"/>
        <v>747</v>
      </c>
      <c r="D122" s="39">
        <f t="shared" si="23"/>
        <v>55</v>
      </c>
      <c r="E122" s="39">
        <f t="shared" si="23"/>
        <v>64</v>
      </c>
      <c r="F122" s="39">
        <f t="shared" si="23"/>
        <v>53</v>
      </c>
      <c r="G122" s="50">
        <f t="shared" si="23"/>
        <v>2118</v>
      </c>
      <c r="H122" s="44">
        <f t="shared" si="23"/>
        <v>1</v>
      </c>
      <c r="I122" s="39">
        <f t="shared" si="23"/>
        <v>0</v>
      </c>
      <c r="J122" s="39">
        <f t="shared" si="23"/>
        <v>0</v>
      </c>
      <c r="K122" s="45">
        <f t="shared" si="23"/>
        <v>0</v>
      </c>
      <c r="L122" s="144">
        <f t="shared" si="23"/>
        <v>6</v>
      </c>
      <c r="M122" s="50">
        <f t="shared" si="13"/>
        <v>1</v>
      </c>
      <c r="N122" s="40">
        <f t="shared" si="15"/>
        <v>2119</v>
      </c>
      <c r="O122" s="43">
        <f t="shared" si="16"/>
        <v>2134</v>
      </c>
    </row>
    <row r="123" spans="1:15" ht="22.95" customHeight="1" x14ac:dyDescent="0.3">
      <c r="A123" s="52" t="s">
        <v>24</v>
      </c>
      <c r="B123" s="44">
        <f t="shared" ref="B123:L123" si="24">B17+B18+B19+B20</f>
        <v>1222</v>
      </c>
      <c r="C123" s="39">
        <f t="shared" si="24"/>
        <v>652</v>
      </c>
      <c r="D123" s="39">
        <f t="shared" si="24"/>
        <v>59</v>
      </c>
      <c r="E123" s="39">
        <f t="shared" si="24"/>
        <v>57</v>
      </c>
      <c r="F123" s="39">
        <f t="shared" si="24"/>
        <v>49</v>
      </c>
      <c r="G123" s="50">
        <f t="shared" si="24"/>
        <v>2039</v>
      </c>
      <c r="H123" s="44">
        <f t="shared" si="24"/>
        <v>0</v>
      </c>
      <c r="I123" s="39">
        <f t="shared" si="24"/>
        <v>0</v>
      </c>
      <c r="J123" s="39">
        <f t="shared" si="24"/>
        <v>0</v>
      </c>
      <c r="K123" s="45">
        <f t="shared" si="24"/>
        <v>0</v>
      </c>
      <c r="L123" s="144">
        <f t="shared" si="24"/>
        <v>5</v>
      </c>
      <c r="M123" s="50">
        <f t="shared" si="13"/>
        <v>0</v>
      </c>
      <c r="N123" s="40">
        <f t="shared" si="15"/>
        <v>2039</v>
      </c>
      <c r="O123" s="43">
        <f t="shared" si="16"/>
        <v>2068</v>
      </c>
    </row>
    <row r="124" spans="1:15" ht="22.95" customHeight="1" x14ac:dyDescent="0.3">
      <c r="A124" s="52" t="s">
        <v>25</v>
      </c>
      <c r="B124" s="44">
        <f t="shared" ref="B124:L124" si="25">B18+B19+B20+B21</f>
        <v>1227</v>
      </c>
      <c r="C124" s="39">
        <f t="shared" si="25"/>
        <v>663</v>
      </c>
      <c r="D124" s="39">
        <f t="shared" si="25"/>
        <v>58</v>
      </c>
      <c r="E124" s="39">
        <f t="shared" si="25"/>
        <v>59</v>
      </c>
      <c r="F124" s="39">
        <f t="shared" si="25"/>
        <v>47</v>
      </c>
      <c r="G124" s="50">
        <f t="shared" si="25"/>
        <v>2054</v>
      </c>
      <c r="H124" s="44">
        <f t="shared" si="25"/>
        <v>0</v>
      </c>
      <c r="I124" s="39">
        <f t="shared" si="25"/>
        <v>0</v>
      </c>
      <c r="J124" s="39">
        <f t="shared" si="25"/>
        <v>0</v>
      </c>
      <c r="K124" s="45">
        <f t="shared" si="25"/>
        <v>0</v>
      </c>
      <c r="L124" s="144">
        <f t="shared" si="25"/>
        <v>6</v>
      </c>
      <c r="M124" s="50">
        <f t="shared" si="13"/>
        <v>0</v>
      </c>
      <c r="N124" s="40">
        <f t="shared" si="15"/>
        <v>2054</v>
      </c>
      <c r="O124" s="43">
        <f t="shared" si="16"/>
        <v>2082</v>
      </c>
    </row>
    <row r="125" spans="1:15" ht="22.95" customHeight="1" x14ac:dyDescent="0.3">
      <c r="A125" s="52" t="s">
        <v>26</v>
      </c>
      <c r="B125" s="44">
        <f t="shared" ref="B125:L125" si="26">B19+B20+B21+B22</f>
        <v>1260</v>
      </c>
      <c r="C125" s="39">
        <f t="shared" si="26"/>
        <v>635</v>
      </c>
      <c r="D125" s="39">
        <f t="shared" si="26"/>
        <v>63</v>
      </c>
      <c r="E125" s="39">
        <f t="shared" si="26"/>
        <v>58</v>
      </c>
      <c r="F125" s="39">
        <f t="shared" si="26"/>
        <v>52</v>
      </c>
      <c r="G125" s="50">
        <f t="shared" si="26"/>
        <v>2068</v>
      </c>
      <c r="H125" s="44">
        <f t="shared" si="26"/>
        <v>0</v>
      </c>
      <c r="I125" s="39">
        <f t="shared" si="26"/>
        <v>1</v>
      </c>
      <c r="J125" s="39">
        <f t="shared" si="26"/>
        <v>0</v>
      </c>
      <c r="K125" s="45">
        <f t="shared" si="26"/>
        <v>0</v>
      </c>
      <c r="L125" s="144">
        <f t="shared" si="26"/>
        <v>6</v>
      </c>
      <c r="M125" s="50">
        <f t="shared" si="13"/>
        <v>1</v>
      </c>
      <c r="N125" s="40">
        <f t="shared" si="15"/>
        <v>2069</v>
      </c>
      <c r="O125" s="43">
        <f t="shared" si="16"/>
        <v>2129.5</v>
      </c>
    </row>
    <row r="126" spans="1:15" ht="22.95" customHeight="1" x14ac:dyDescent="0.3">
      <c r="A126" s="52" t="s">
        <v>27</v>
      </c>
      <c r="B126" s="44">
        <f t="shared" ref="B126:L126" si="27">B20+B21+B22+B23</f>
        <v>1224</v>
      </c>
      <c r="C126" s="39">
        <f t="shared" si="27"/>
        <v>621</v>
      </c>
      <c r="D126" s="39">
        <f t="shared" si="27"/>
        <v>59</v>
      </c>
      <c r="E126" s="39">
        <f t="shared" si="27"/>
        <v>56</v>
      </c>
      <c r="F126" s="39">
        <f t="shared" si="27"/>
        <v>56</v>
      </c>
      <c r="G126" s="50">
        <f t="shared" si="27"/>
        <v>2016</v>
      </c>
      <c r="H126" s="44">
        <f t="shared" si="27"/>
        <v>0</v>
      </c>
      <c r="I126" s="39">
        <f t="shared" si="27"/>
        <v>1</v>
      </c>
      <c r="J126" s="39">
        <f t="shared" si="27"/>
        <v>0</v>
      </c>
      <c r="K126" s="45">
        <f t="shared" si="27"/>
        <v>0</v>
      </c>
      <c r="L126" s="144">
        <f t="shared" si="27"/>
        <v>5</v>
      </c>
      <c r="M126" s="50">
        <f t="shared" si="13"/>
        <v>1</v>
      </c>
      <c r="N126" s="40">
        <f t="shared" si="15"/>
        <v>2017</v>
      </c>
      <c r="O126" s="43">
        <f t="shared" si="16"/>
        <v>2084.5</v>
      </c>
    </row>
    <row r="127" spans="1:15" ht="22.95" customHeight="1" x14ac:dyDescent="0.3">
      <c r="A127" s="52" t="s">
        <v>28</v>
      </c>
      <c r="B127" s="44">
        <f t="shared" ref="B127:L127" si="28">B21+B22+B23+B24</f>
        <v>1173</v>
      </c>
      <c r="C127" s="39">
        <f t="shared" si="28"/>
        <v>534</v>
      </c>
      <c r="D127" s="39">
        <f t="shared" si="28"/>
        <v>60</v>
      </c>
      <c r="E127" s="39">
        <f t="shared" si="28"/>
        <v>51</v>
      </c>
      <c r="F127" s="39">
        <f t="shared" si="28"/>
        <v>66</v>
      </c>
      <c r="G127" s="50">
        <f t="shared" si="28"/>
        <v>1884</v>
      </c>
      <c r="H127" s="44">
        <f t="shared" si="28"/>
        <v>0</v>
      </c>
      <c r="I127" s="39">
        <f t="shared" si="28"/>
        <v>1</v>
      </c>
      <c r="J127" s="39">
        <f t="shared" si="28"/>
        <v>0</v>
      </c>
      <c r="K127" s="45">
        <f t="shared" si="28"/>
        <v>0</v>
      </c>
      <c r="L127" s="144">
        <f t="shared" si="28"/>
        <v>5</v>
      </c>
      <c r="M127" s="50">
        <f t="shared" si="13"/>
        <v>1</v>
      </c>
      <c r="N127" s="40">
        <f t="shared" si="15"/>
        <v>1885</v>
      </c>
      <c r="O127" s="43">
        <f t="shared" si="16"/>
        <v>2021.5</v>
      </c>
    </row>
    <row r="128" spans="1:15" ht="22.95" customHeight="1" x14ac:dyDescent="0.3">
      <c r="A128" s="52" t="s">
        <v>29</v>
      </c>
      <c r="B128" s="44">
        <f t="shared" ref="B128:L128" si="29">B22+B23+B24+B25</f>
        <v>1090</v>
      </c>
      <c r="C128" s="39">
        <f t="shared" si="29"/>
        <v>317</v>
      </c>
      <c r="D128" s="39">
        <f t="shared" si="29"/>
        <v>61</v>
      </c>
      <c r="E128" s="39">
        <f t="shared" si="29"/>
        <v>45</v>
      </c>
      <c r="F128" s="39">
        <f t="shared" si="29"/>
        <v>63</v>
      </c>
      <c r="G128" s="50">
        <f t="shared" si="29"/>
        <v>1576</v>
      </c>
      <c r="H128" s="44">
        <f t="shared" si="29"/>
        <v>0</v>
      </c>
      <c r="I128" s="39">
        <f t="shared" si="29"/>
        <v>1</v>
      </c>
      <c r="J128" s="39">
        <f t="shared" si="29"/>
        <v>0</v>
      </c>
      <c r="K128" s="45">
        <f t="shared" si="29"/>
        <v>0</v>
      </c>
      <c r="L128" s="144">
        <f t="shared" si="29"/>
        <v>6</v>
      </c>
      <c r="M128" s="50">
        <f t="shared" si="13"/>
        <v>1</v>
      </c>
      <c r="N128" s="40">
        <f t="shared" si="15"/>
        <v>1577</v>
      </c>
      <c r="O128" s="43">
        <f t="shared" si="16"/>
        <v>1808</v>
      </c>
    </row>
    <row r="129" spans="1:15" ht="22.95" customHeight="1" x14ac:dyDescent="0.3">
      <c r="A129" s="52" t="s">
        <v>30</v>
      </c>
      <c r="B129" s="44">
        <f t="shared" ref="B129:L129" si="30">B23+B24+B25+B26</f>
        <v>1057</v>
      </c>
      <c r="C129" s="39">
        <f t="shared" si="30"/>
        <v>297</v>
      </c>
      <c r="D129" s="39">
        <f t="shared" si="30"/>
        <v>69</v>
      </c>
      <c r="E129" s="39">
        <f t="shared" si="30"/>
        <v>45</v>
      </c>
      <c r="F129" s="39">
        <f t="shared" si="30"/>
        <v>62</v>
      </c>
      <c r="G129" s="50">
        <f t="shared" si="30"/>
        <v>1530</v>
      </c>
      <c r="H129" s="44">
        <f t="shared" si="30"/>
        <v>0</v>
      </c>
      <c r="I129" s="39">
        <f t="shared" si="30"/>
        <v>0</v>
      </c>
      <c r="J129" s="39">
        <f t="shared" si="30"/>
        <v>0</v>
      </c>
      <c r="K129" s="45">
        <f t="shared" si="30"/>
        <v>0</v>
      </c>
      <c r="L129" s="144">
        <f t="shared" si="30"/>
        <v>6</v>
      </c>
      <c r="M129" s="50">
        <f t="shared" si="13"/>
        <v>0</v>
      </c>
      <c r="N129" s="40">
        <f t="shared" si="15"/>
        <v>1530</v>
      </c>
      <c r="O129" s="43">
        <f t="shared" si="16"/>
        <v>1771</v>
      </c>
    </row>
    <row r="130" spans="1:15" ht="22.95" customHeight="1" x14ac:dyDescent="0.3">
      <c r="A130" s="52" t="s">
        <v>31</v>
      </c>
      <c r="B130" s="44">
        <f t="shared" ref="B130:L130" si="31">B24+B25+B26+B27</f>
        <v>1015</v>
      </c>
      <c r="C130" s="39">
        <f t="shared" si="31"/>
        <v>249</v>
      </c>
      <c r="D130" s="39">
        <f t="shared" si="31"/>
        <v>72</v>
      </c>
      <c r="E130" s="39">
        <f t="shared" si="31"/>
        <v>47</v>
      </c>
      <c r="F130" s="39">
        <f t="shared" si="31"/>
        <v>64</v>
      </c>
      <c r="G130" s="50">
        <f t="shared" si="31"/>
        <v>1447</v>
      </c>
      <c r="H130" s="44">
        <f t="shared" si="31"/>
        <v>0</v>
      </c>
      <c r="I130" s="39">
        <f t="shared" si="31"/>
        <v>0</v>
      </c>
      <c r="J130" s="39">
        <f t="shared" si="31"/>
        <v>0</v>
      </c>
      <c r="K130" s="45">
        <f t="shared" si="31"/>
        <v>0</v>
      </c>
      <c r="L130" s="144">
        <f t="shared" si="31"/>
        <v>4</v>
      </c>
      <c r="M130" s="50">
        <f t="shared" si="13"/>
        <v>0</v>
      </c>
      <c r="N130" s="40">
        <f t="shared" si="15"/>
        <v>1447</v>
      </c>
      <c r="O130" s="43">
        <f t="shared" si="16"/>
        <v>1708.5</v>
      </c>
    </row>
    <row r="131" spans="1:15" ht="22.95" customHeight="1" x14ac:dyDescent="0.3">
      <c r="A131" s="52" t="s">
        <v>32</v>
      </c>
      <c r="B131" s="44">
        <f t="shared" ref="B131:L131" si="32">B25+B26+B27+B28</f>
        <v>992</v>
      </c>
      <c r="C131" s="39">
        <f t="shared" si="32"/>
        <v>289</v>
      </c>
      <c r="D131" s="39">
        <f t="shared" si="32"/>
        <v>73</v>
      </c>
      <c r="E131" s="39">
        <f t="shared" si="32"/>
        <v>50</v>
      </c>
      <c r="F131" s="39">
        <f t="shared" si="32"/>
        <v>66</v>
      </c>
      <c r="G131" s="50">
        <f t="shared" si="32"/>
        <v>1470</v>
      </c>
      <c r="H131" s="44">
        <f t="shared" si="32"/>
        <v>0</v>
      </c>
      <c r="I131" s="39">
        <f t="shared" si="32"/>
        <v>0</v>
      </c>
      <c r="J131" s="39">
        <f t="shared" si="32"/>
        <v>0</v>
      </c>
      <c r="K131" s="45">
        <f t="shared" si="32"/>
        <v>0</v>
      </c>
      <c r="L131" s="144">
        <f t="shared" si="32"/>
        <v>3</v>
      </c>
      <c r="M131" s="50">
        <f t="shared" si="13"/>
        <v>0</v>
      </c>
      <c r="N131" s="40">
        <f t="shared" si="15"/>
        <v>1470</v>
      </c>
      <c r="O131" s="43">
        <f t="shared" si="16"/>
        <v>1717</v>
      </c>
    </row>
    <row r="132" spans="1:15" ht="22.95" customHeight="1" x14ac:dyDescent="0.3">
      <c r="A132" s="52" t="s">
        <v>33</v>
      </c>
      <c r="B132" s="44">
        <f t="shared" ref="B132:L132" si="33">B26+B27+B28+B29</f>
        <v>946</v>
      </c>
      <c r="C132" s="39">
        <f t="shared" si="33"/>
        <v>322</v>
      </c>
      <c r="D132" s="39">
        <f t="shared" si="33"/>
        <v>75</v>
      </c>
      <c r="E132" s="39">
        <f t="shared" si="33"/>
        <v>48</v>
      </c>
      <c r="F132" s="39">
        <f t="shared" si="33"/>
        <v>78</v>
      </c>
      <c r="G132" s="50">
        <f t="shared" si="33"/>
        <v>1469</v>
      </c>
      <c r="H132" s="44">
        <f t="shared" si="33"/>
        <v>0</v>
      </c>
      <c r="I132" s="39">
        <f t="shared" si="33"/>
        <v>0</v>
      </c>
      <c r="J132" s="39">
        <f t="shared" si="33"/>
        <v>0</v>
      </c>
      <c r="K132" s="45">
        <f t="shared" si="33"/>
        <v>0</v>
      </c>
      <c r="L132" s="144">
        <f t="shared" si="33"/>
        <v>1</v>
      </c>
      <c r="M132" s="50">
        <f t="shared" si="13"/>
        <v>0</v>
      </c>
      <c r="N132" s="40">
        <f t="shared" si="15"/>
        <v>1469</v>
      </c>
      <c r="O132" s="43">
        <f t="shared" si="16"/>
        <v>1722.5</v>
      </c>
    </row>
    <row r="133" spans="1:15" ht="22.95" customHeight="1" x14ac:dyDescent="0.3">
      <c r="A133" s="52" t="s">
        <v>34</v>
      </c>
      <c r="B133" s="44">
        <f t="shared" ref="B133:L133" si="34">B27+B28+B29+B30</f>
        <v>913</v>
      </c>
      <c r="C133" s="39">
        <f t="shared" si="34"/>
        <v>339</v>
      </c>
      <c r="D133" s="39">
        <f t="shared" si="34"/>
        <v>68</v>
      </c>
      <c r="E133" s="39">
        <f t="shared" si="34"/>
        <v>43</v>
      </c>
      <c r="F133" s="39">
        <f t="shared" si="34"/>
        <v>75</v>
      </c>
      <c r="G133" s="50">
        <f t="shared" si="34"/>
        <v>1438</v>
      </c>
      <c r="H133" s="44">
        <f t="shared" si="34"/>
        <v>0</v>
      </c>
      <c r="I133" s="39">
        <f t="shared" si="34"/>
        <v>0</v>
      </c>
      <c r="J133" s="39">
        <f t="shared" si="34"/>
        <v>0</v>
      </c>
      <c r="K133" s="45">
        <f t="shared" si="34"/>
        <v>0</v>
      </c>
      <c r="L133" s="144">
        <f t="shared" si="34"/>
        <v>1</v>
      </c>
      <c r="M133" s="50">
        <f t="shared" si="13"/>
        <v>0</v>
      </c>
      <c r="N133" s="40">
        <f t="shared" si="15"/>
        <v>1438</v>
      </c>
      <c r="O133" s="43">
        <f t="shared" si="16"/>
        <v>1659</v>
      </c>
    </row>
    <row r="134" spans="1:15" ht="22.95" customHeight="1" x14ac:dyDescent="0.3">
      <c r="A134" s="52" t="s">
        <v>35</v>
      </c>
      <c r="B134" s="44">
        <f t="shared" ref="B134:L134" si="35">B28+B29+B30+B31</f>
        <v>953</v>
      </c>
      <c r="C134" s="39">
        <f t="shared" si="35"/>
        <v>372</v>
      </c>
      <c r="D134" s="39">
        <f t="shared" si="35"/>
        <v>71</v>
      </c>
      <c r="E134" s="39">
        <f t="shared" si="35"/>
        <v>41</v>
      </c>
      <c r="F134" s="39">
        <f t="shared" si="35"/>
        <v>73</v>
      </c>
      <c r="G134" s="50">
        <f t="shared" si="35"/>
        <v>1510</v>
      </c>
      <c r="H134" s="44">
        <f t="shared" si="35"/>
        <v>0</v>
      </c>
      <c r="I134" s="39">
        <f t="shared" si="35"/>
        <v>0</v>
      </c>
      <c r="J134" s="39">
        <f t="shared" si="35"/>
        <v>0</v>
      </c>
      <c r="K134" s="45">
        <f t="shared" si="35"/>
        <v>0</v>
      </c>
      <c r="L134" s="144">
        <f t="shared" si="35"/>
        <v>2</v>
      </c>
      <c r="M134" s="50">
        <f t="shared" si="13"/>
        <v>0</v>
      </c>
      <c r="N134" s="40">
        <f t="shared" si="15"/>
        <v>1510</v>
      </c>
      <c r="O134" s="43">
        <f t="shared" si="16"/>
        <v>1713</v>
      </c>
    </row>
    <row r="135" spans="1:15" ht="22.95" customHeight="1" x14ac:dyDescent="0.3">
      <c r="A135" s="52" t="s">
        <v>36</v>
      </c>
      <c r="B135" s="44">
        <f t="shared" ref="B135:L135" si="36">B29+B30+B31+B32</f>
        <v>945</v>
      </c>
      <c r="C135" s="39">
        <f t="shared" si="36"/>
        <v>337</v>
      </c>
      <c r="D135" s="39">
        <f t="shared" si="36"/>
        <v>71</v>
      </c>
      <c r="E135" s="39">
        <f t="shared" si="36"/>
        <v>43</v>
      </c>
      <c r="F135" s="39">
        <f t="shared" si="36"/>
        <v>66</v>
      </c>
      <c r="G135" s="50">
        <f t="shared" si="36"/>
        <v>1462</v>
      </c>
      <c r="H135" s="44">
        <f t="shared" si="36"/>
        <v>0</v>
      </c>
      <c r="I135" s="39">
        <f t="shared" si="36"/>
        <v>0</v>
      </c>
      <c r="J135" s="39">
        <f t="shared" si="36"/>
        <v>0</v>
      </c>
      <c r="K135" s="45">
        <f t="shared" si="36"/>
        <v>0</v>
      </c>
      <c r="L135" s="144">
        <f t="shared" si="36"/>
        <v>1</v>
      </c>
      <c r="M135" s="50">
        <f t="shared" si="13"/>
        <v>0</v>
      </c>
      <c r="N135" s="40">
        <f t="shared" si="15"/>
        <v>1462</v>
      </c>
      <c r="O135" s="43">
        <f t="shared" si="16"/>
        <v>1654</v>
      </c>
    </row>
    <row r="136" spans="1:15" ht="22.95" customHeight="1" x14ac:dyDescent="0.3">
      <c r="A136" s="52" t="s">
        <v>37</v>
      </c>
      <c r="B136" s="44">
        <f t="shared" ref="B136:L136" si="37">B30+B31+B32+B33</f>
        <v>947</v>
      </c>
      <c r="C136" s="39">
        <f t="shared" si="37"/>
        <v>329</v>
      </c>
      <c r="D136" s="39">
        <f t="shared" si="37"/>
        <v>70</v>
      </c>
      <c r="E136" s="39">
        <f t="shared" si="37"/>
        <v>46</v>
      </c>
      <c r="F136" s="39">
        <f t="shared" si="37"/>
        <v>59</v>
      </c>
      <c r="G136" s="50">
        <f t="shared" si="37"/>
        <v>1451</v>
      </c>
      <c r="H136" s="44">
        <f t="shared" si="37"/>
        <v>0</v>
      </c>
      <c r="I136" s="39">
        <f t="shared" si="37"/>
        <v>0</v>
      </c>
      <c r="J136" s="39">
        <f t="shared" si="37"/>
        <v>0</v>
      </c>
      <c r="K136" s="45">
        <f t="shared" si="37"/>
        <v>0</v>
      </c>
      <c r="L136" s="144">
        <f t="shared" si="37"/>
        <v>1</v>
      </c>
      <c r="M136" s="50">
        <f t="shared" si="13"/>
        <v>0</v>
      </c>
      <c r="N136" s="40">
        <f t="shared" si="15"/>
        <v>1451</v>
      </c>
      <c r="O136" s="43">
        <f t="shared" si="16"/>
        <v>1628</v>
      </c>
    </row>
    <row r="137" spans="1:15" ht="22.95" customHeight="1" x14ac:dyDescent="0.3">
      <c r="A137" s="52" t="s">
        <v>38</v>
      </c>
      <c r="B137" s="44">
        <f t="shared" ref="B137:L137" si="38">B31+B32+B33+B34</f>
        <v>922</v>
      </c>
      <c r="C137" s="39">
        <f t="shared" si="38"/>
        <v>306</v>
      </c>
      <c r="D137" s="39">
        <f t="shared" si="38"/>
        <v>72</v>
      </c>
      <c r="E137" s="39">
        <f t="shared" si="38"/>
        <v>46</v>
      </c>
      <c r="F137" s="39">
        <f t="shared" si="38"/>
        <v>58</v>
      </c>
      <c r="G137" s="50">
        <f t="shared" si="38"/>
        <v>1404</v>
      </c>
      <c r="H137" s="44">
        <f t="shared" si="38"/>
        <v>0</v>
      </c>
      <c r="I137" s="39">
        <f t="shared" si="38"/>
        <v>0</v>
      </c>
      <c r="J137" s="39">
        <f t="shared" si="38"/>
        <v>0</v>
      </c>
      <c r="K137" s="45">
        <f t="shared" si="38"/>
        <v>0</v>
      </c>
      <c r="L137" s="144">
        <f t="shared" si="38"/>
        <v>2</v>
      </c>
      <c r="M137" s="50">
        <f t="shared" si="13"/>
        <v>0</v>
      </c>
      <c r="N137" s="40">
        <f t="shared" si="15"/>
        <v>1404</v>
      </c>
      <c r="O137" s="43">
        <f t="shared" si="16"/>
        <v>1598</v>
      </c>
    </row>
    <row r="138" spans="1:15" ht="22.95" customHeight="1" x14ac:dyDescent="0.3">
      <c r="A138" s="52" t="s">
        <v>39</v>
      </c>
      <c r="B138" s="44">
        <f t="shared" ref="B138:L138" si="39">B32+B33+B34+B35</f>
        <v>882</v>
      </c>
      <c r="C138" s="39">
        <f t="shared" si="39"/>
        <v>278</v>
      </c>
      <c r="D138" s="39">
        <f t="shared" si="39"/>
        <v>72</v>
      </c>
      <c r="E138" s="39">
        <f t="shared" si="39"/>
        <v>50</v>
      </c>
      <c r="F138" s="39">
        <f t="shared" si="39"/>
        <v>51</v>
      </c>
      <c r="G138" s="50">
        <f t="shared" si="39"/>
        <v>1333</v>
      </c>
      <c r="H138" s="44">
        <f t="shared" si="39"/>
        <v>0</v>
      </c>
      <c r="I138" s="39">
        <f t="shared" si="39"/>
        <v>0</v>
      </c>
      <c r="J138" s="39">
        <f t="shared" si="39"/>
        <v>0</v>
      </c>
      <c r="K138" s="45">
        <f t="shared" si="39"/>
        <v>0</v>
      </c>
      <c r="L138" s="144">
        <f t="shared" si="39"/>
        <v>3</v>
      </c>
      <c r="M138" s="50">
        <f t="shared" si="13"/>
        <v>0</v>
      </c>
      <c r="N138" s="40">
        <f t="shared" si="15"/>
        <v>1333</v>
      </c>
      <c r="O138" s="43">
        <f t="shared" si="16"/>
        <v>1532.5</v>
      </c>
    </row>
    <row r="139" spans="1:15" ht="22.95" customHeight="1" x14ac:dyDescent="0.3">
      <c r="A139" s="52" t="s">
        <v>40</v>
      </c>
      <c r="B139" s="44">
        <f t="shared" ref="B139:L139" si="40">B33+B34+B35+B36</f>
        <v>820</v>
      </c>
      <c r="C139" s="39">
        <f t="shared" si="40"/>
        <v>253</v>
      </c>
      <c r="D139" s="39">
        <f t="shared" si="40"/>
        <v>70</v>
      </c>
      <c r="E139" s="39">
        <f t="shared" si="40"/>
        <v>47</v>
      </c>
      <c r="F139" s="39">
        <f t="shared" si="40"/>
        <v>43</v>
      </c>
      <c r="G139" s="50">
        <f t="shared" si="40"/>
        <v>1233</v>
      </c>
      <c r="H139" s="44">
        <f t="shared" si="40"/>
        <v>0</v>
      </c>
      <c r="I139" s="39">
        <f t="shared" si="40"/>
        <v>0</v>
      </c>
      <c r="J139" s="39">
        <f t="shared" si="40"/>
        <v>0</v>
      </c>
      <c r="K139" s="45">
        <f t="shared" si="40"/>
        <v>0</v>
      </c>
      <c r="L139" s="144">
        <f t="shared" si="40"/>
        <v>4</v>
      </c>
      <c r="M139" s="50">
        <f t="shared" si="13"/>
        <v>0</v>
      </c>
      <c r="N139" s="40">
        <f t="shared" si="15"/>
        <v>1233</v>
      </c>
      <c r="O139" s="43">
        <f t="shared" si="16"/>
        <v>1418</v>
      </c>
    </row>
    <row r="140" spans="1:15" ht="22.95" customHeight="1" x14ac:dyDescent="0.3">
      <c r="A140" s="52" t="s">
        <v>41</v>
      </c>
      <c r="B140" s="44">
        <f t="shared" ref="B140:L140" si="41">B34+B35+B36+B37</f>
        <v>827</v>
      </c>
      <c r="C140" s="39">
        <f t="shared" si="41"/>
        <v>240</v>
      </c>
      <c r="D140" s="39">
        <f t="shared" si="41"/>
        <v>62</v>
      </c>
      <c r="E140" s="39">
        <f t="shared" si="41"/>
        <v>51</v>
      </c>
      <c r="F140" s="39">
        <f t="shared" si="41"/>
        <v>40</v>
      </c>
      <c r="G140" s="50">
        <f t="shared" si="41"/>
        <v>1220</v>
      </c>
      <c r="H140" s="44">
        <f t="shared" si="41"/>
        <v>0</v>
      </c>
      <c r="I140" s="39">
        <f t="shared" si="41"/>
        <v>0</v>
      </c>
      <c r="J140" s="39">
        <f t="shared" si="41"/>
        <v>0</v>
      </c>
      <c r="K140" s="45">
        <f t="shared" si="41"/>
        <v>0</v>
      </c>
      <c r="L140" s="144">
        <f t="shared" si="41"/>
        <v>8</v>
      </c>
      <c r="M140" s="50">
        <f t="shared" si="13"/>
        <v>0</v>
      </c>
      <c r="N140" s="40">
        <f t="shared" si="15"/>
        <v>1220</v>
      </c>
      <c r="O140" s="43">
        <f t="shared" si="16"/>
        <v>1437</v>
      </c>
    </row>
    <row r="141" spans="1:15" ht="22.95" customHeight="1" x14ac:dyDescent="0.3">
      <c r="A141" s="52" t="s">
        <v>42</v>
      </c>
      <c r="B141" s="44">
        <f t="shared" ref="B141:L141" si="42">B35+B36+B37+B38</f>
        <v>808</v>
      </c>
      <c r="C141" s="39">
        <f t="shared" si="42"/>
        <v>216</v>
      </c>
      <c r="D141" s="39">
        <f t="shared" si="42"/>
        <v>65</v>
      </c>
      <c r="E141" s="39">
        <f t="shared" si="42"/>
        <v>57</v>
      </c>
      <c r="F141" s="39">
        <f t="shared" si="42"/>
        <v>38</v>
      </c>
      <c r="G141" s="50">
        <f t="shared" si="42"/>
        <v>1184</v>
      </c>
      <c r="H141" s="44">
        <f t="shared" si="42"/>
        <v>0</v>
      </c>
      <c r="I141" s="39">
        <f t="shared" si="42"/>
        <v>0</v>
      </c>
      <c r="J141" s="39">
        <f t="shared" si="42"/>
        <v>0</v>
      </c>
      <c r="K141" s="45">
        <f t="shared" si="42"/>
        <v>0</v>
      </c>
      <c r="L141" s="144">
        <f t="shared" si="42"/>
        <v>7</v>
      </c>
      <c r="M141" s="50">
        <f t="shared" si="13"/>
        <v>0</v>
      </c>
      <c r="N141" s="40">
        <f t="shared" si="15"/>
        <v>1184</v>
      </c>
      <c r="O141" s="43">
        <f t="shared" si="16"/>
        <v>1411.5</v>
      </c>
    </row>
    <row r="142" spans="1:15" ht="22.95" customHeight="1" x14ac:dyDescent="0.3">
      <c r="A142" s="52" t="s">
        <v>43</v>
      </c>
      <c r="B142" s="44">
        <f t="shared" ref="B142:L142" si="43">B36+B37+B38+B39</f>
        <v>887</v>
      </c>
      <c r="C142" s="39">
        <f t="shared" si="43"/>
        <v>195</v>
      </c>
      <c r="D142" s="39">
        <f t="shared" si="43"/>
        <v>64</v>
      </c>
      <c r="E142" s="39">
        <f t="shared" si="43"/>
        <v>59</v>
      </c>
      <c r="F142" s="39">
        <f t="shared" si="43"/>
        <v>45</v>
      </c>
      <c r="G142" s="50">
        <f t="shared" si="43"/>
        <v>1250</v>
      </c>
      <c r="H142" s="44">
        <f t="shared" si="43"/>
        <v>0</v>
      </c>
      <c r="I142" s="39">
        <f t="shared" si="43"/>
        <v>0</v>
      </c>
      <c r="J142" s="39">
        <f t="shared" si="43"/>
        <v>0</v>
      </c>
      <c r="K142" s="45">
        <f t="shared" si="43"/>
        <v>0</v>
      </c>
      <c r="L142" s="144">
        <f t="shared" si="43"/>
        <v>6</v>
      </c>
      <c r="M142" s="50">
        <f t="shared" si="13"/>
        <v>0</v>
      </c>
      <c r="N142" s="40">
        <f t="shared" si="15"/>
        <v>1250</v>
      </c>
      <c r="O142" s="43">
        <f t="shared" si="16"/>
        <v>1508</v>
      </c>
    </row>
    <row r="143" spans="1:15" ht="22.95" customHeight="1" x14ac:dyDescent="0.3">
      <c r="A143" s="52" t="s">
        <v>44</v>
      </c>
      <c r="B143" s="44">
        <f t="shared" ref="B143:L143" si="44">B37+B38+B39+B40</f>
        <v>944</v>
      </c>
      <c r="C143" s="39">
        <f t="shared" si="44"/>
        <v>224</v>
      </c>
      <c r="D143" s="39">
        <f t="shared" si="44"/>
        <v>51</v>
      </c>
      <c r="E143" s="39">
        <f t="shared" si="44"/>
        <v>59</v>
      </c>
      <c r="F143" s="39">
        <f t="shared" si="44"/>
        <v>43</v>
      </c>
      <c r="G143" s="50">
        <f t="shared" si="44"/>
        <v>1321</v>
      </c>
      <c r="H143" s="44">
        <f t="shared" si="44"/>
        <v>0</v>
      </c>
      <c r="I143" s="39">
        <f t="shared" si="44"/>
        <v>0</v>
      </c>
      <c r="J143" s="39">
        <f t="shared" si="44"/>
        <v>0</v>
      </c>
      <c r="K143" s="45">
        <f t="shared" si="44"/>
        <v>0</v>
      </c>
      <c r="L143" s="144">
        <f t="shared" si="44"/>
        <v>7</v>
      </c>
      <c r="M143" s="50">
        <f t="shared" si="13"/>
        <v>0</v>
      </c>
      <c r="N143" s="40">
        <f t="shared" si="15"/>
        <v>1321</v>
      </c>
      <c r="O143" s="43">
        <f t="shared" si="16"/>
        <v>1559</v>
      </c>
    </row>
    <row r="144" spans="1:15" ht="22.95" customHeight="1" x14ac:dyDescent="0.3">
      <c r="A144" s="52" t="s">
        <v>45</v>
      </c>
      <c r="B144" s="44">
        <f t="shared" ref="B144:L144" si="45">B38+B39+B40+B41</f>
        <v>999</v>
      </c>
      <c r="C144" s="39">
        <f t="shared" si="45"/>
        <v>303</v>
      </c>
      <c r="D144" s="39">
        <f t="shared" si="45"/>
        <v>57</v>
      </c>
      <c r="E144" s="39">
        <f t="shared" si="45"/>
        <v>47</v>
      </c>
      <c r="F144" s="39">
        <f t="shared" si="45"/>
        <v>41</v>
      </c>
      <c r="G144" s="50">
        <f t="shared" si="45"/>
        <v>1447</v>
      </c>
      <c r="H144" s="44">
        <f t="shared" si="45"/>
        <v>0</v>
      </c>
      <c r="I144" s="39">
        <f t="shared" si="45"/>
        <v>0</v>
      </c>
      <c r="J144" s="39">
        <f t="shared" si="45"/>
        <v>0</v>
      </c>
      <c r="K144" s="45">
        <f t="shared" si="45"/>
        <v>0</v>
      </c>
      <c r="L144" s="144">
        <f t="shared" si="45"/>
        <v>4</v>
      </c>
      <c r="M144" s="50">
        <f t="shared" si="13"/>
        <v>0</v>
      </c>
      <c r="N144" s="40">
        <f t="shared" si="15"/>
        <v>1447</v>
      </c>
      <c r="O144" s="43">
        <f t="shared" si="16"/>
        <v>1593.5</v>
      </c>
    </row>
    <row r="145" spans="1:15" ht="22.95" customHeight="1" x14ac:dyDescent="0.3">
      <c r="A145" s="52" t="s">
        <v>46</v>
      </c>
      <c r="B145" s="44">
        <f t="shared" ref="B145:L145" si="46">B39+B40+B41+B42</f>
        <v>1039</v>
      </c>
      <c r="C145" s="39">
        <f t="shared" si="46"/>
        <v>381</v>
      </c>
      <c r="D145" s="39">
        <f t="shared" si="46"/>
        <v>40</v>
      </c>
      <c r="E145" s="39">
        <f t="shared" si="46"/>
        <v>47</v>
      </c>
      <c r="F145" s="39">
        <f t="shared" si="46"/>
        <v>33</v>
      </c>
      <c r="G145" s="50">
        <f t="shared" si="46"/>
        <v>1540</v>
      </c>
      <c r="H145" s="44">
        <f t="shared" si="46"/>
        <v>0</v>
      </c>
      <c r="I145" s="39">
        <f t="shared" si="46"/>
        <v>0</v>
      </c>
      <c r="J145" s="39">
        <f t="shared" si="46"/>
        <v>0</v>
      </c>
      <c r="K145" s="45">
        <f t="shared" si="46"/>
        <v>0</v>
      </c>
      <c r="L145" s="144">
        <f t="shared" si="46"/>
        <v>7</v>
      </c>
      <c r="M145" s="50">
        <f t="shared" si="13"/>
        <v>0</v>
      </c>
      <c r="N145" s="40">
        <f t="shared" si="15"/>
        <v>1540</v>
      </c>
      <c r="O145" s="43">
        <f t="shared" si="16"/>
        <v>1635</v>
      </c>
    </row>
    <row r="146" spans="1:15" ht="22.95" customHeight="1" x14ac:dyDescent="0.3">
      <c r="A146" s="52" t="s">
        <v>47</v>
      </c>
      <c r="B146" s="44">
        <f t="shared" ref="B146:L146" si="47">B40+B41+B42+B43</f>
        <v>941</v>
      </c>
      <c r="C146" s="39">
        <f t="shared" si="47"/>
        <v>415</v>
      </c>
      <c r="D146" s="39">
        <f t="shared" si="47"/>
        <v>36</v>
      </c>
      <c r="E146" s="39">
        <f t="shared" si="47"/>
        <v>39</v>
      </c>
      <c r="F146" s="39">
        <f t="shared" si="47"/>
        <v>30</v>
      </c>
      <c r="G146" s="50">
        <f t="shared" si="47"/>
        <v>1461</v>
      </c>
      <c r="H146" s="44">
        <f t="shared" si="47"/>
        <v>0</v>
      </c>
      <c r="I146" s="39">
        <f t="shared" si="47"/>
        <v>0</v>
      </c>
      <c r="J146" s="39">
        <f t="shared" si="47"/>
        <v>0</v>
      </c>
      <c r="K146" s="45">
        <f t="shared" si="47"/>
        <v>0</v>
      </c>
      <c r="L146" s="144">
        <f t="shared" si="47"/>
        <v>6</v>
      </c>
      <c r="M146" s="50">
        <f t="shared" si="13"/>
        <v>0</v>
      </c>
      <c r="N146" s="40">
        <f t="shared" si="15"/>
        <v>1461</v>
      </c>
      <c r="O146" s="43">
        <f t="shared" si="16"/>
        <v>1502.5</v>
      </c>
    </row>
    <row r="147" spans="1:15" ht="22.95" customHeight="1" x14ac:dyDescent="0.3">
      <c r="A147" s="52" t="s">
        <v>48</v>
      </c>
      <c r="B147" s="44">
        <f t="shared" ref="B147:L147" si="48">B41+B42+B43+B44</f>
        <v>935</v>
      </c>
      <c r="C147" s="39">
        <f t="shared" si="48"/>
        <v>461</v>
      </c>
      <c r="D147" s="39">
        <f t="shared" si="48"/>
        <v>42</v>
      </c>
      <c r="E147" s="39">
        <f t="shared" si="48"/>
        <v>42</v>
      </c>
      <c r="F147" s="39">
        <f t="shared" si="48"/>
        <v>31</v>
      </c>
      <c r="G147" s="50">
        <f t="shared" si="48"/>
        <v>1511</v>
      </c>
      <c r="H147" s="44">
        <f t="shared" si="48"/>
        <v>0</v>
      </c>
      <c r="I147" s="39">
        <f t="shared" si="48"/>
        <v>0</v>
      </c>
      <c r="J147" s="39">
        <f t="shared" si="48"/>
        <v>0</v>
      </c>
      <c r="K147" s="45">
        <f t="shared" si="48"/>
        <v>0</v>
      </c>
      <c r="L147" s="144">
        <f t="shared" si="48"/>
        <v>4</v>
      </c>
      <c r="M147" s="50">
        <f t="shared" si="13"/>
        <v>0</v>
      </c>
      <c r="N147" s="40">
        <f t="shared" si="15"/>
        <v>1511</v>
      </c>
      <c r="O147" s="43">
        <f t="shared" si="16"/>
        <v>1526</v>
      </c>
    </row>
    <row r="148" spans="1:15" ht="22.95" customHeight="1" x14ac:dyDescent="0.3">
      <c r="A148" s="52" t="s">
        <v>49</v>
      </c>
      <c r="B148" s="44">
        <f t="shared" ref="B148:L148" si="49">B42+B43+B44+B45</f>
        <v>880</v>
      </c>
      <c r="C148" s="39">
        <f t="shared" si="49"/>
        <v>403</v>
      </c>
      <c r="D148" s="39">
        <f t="shared" si="49"/>
        <v>35</v>
      </c>
      <c r="E148" s="39">
        <f t="shared" si="49"/>
        <v>56</v>
      </c>
      <c r="F148" s="39">
        <f t="shared" si="49"/>
        <v>30</v>
      </c>
      <c r="G148" s="50">
        <f t="shared" si="49"/>
        <v>1404</v>
      </c>
      <c r="H148" s="44">
        <f t="shared" si="49"/>
        <v>0</v>
      </c>
      <c r="I148" s="39">
        <f t="shared" si="49"/>
        <v>0</v>
      </c>
      <c r="J148" s="39">
        <f t="shared" si="49"/>
        <v>0</v>
      </c>
      <c r="K148" s="45">
        <f t="shared" si="49"/>
        <v>0</v>
      </c>
      <c r="L148" s="144">
        <f t="shared" si="49"/>
        <v>4</v>
      </c>
      <c r="M148" s="50">
        <f t="shared" si="13"/>
        <v>0</v>
      </c>
      <c r="N148" s="40">
        <f t="shared" si="15"/>
        <v>1404</v>
      </c>
      <c r="O148" s="43">
        <f t="shared" si="16"/>
        <v>1469</v>
      </c>
    </row>
    <row r="149" spans="1:15" ht="22.95" customHeight="1" x14ac:dyDescent="0.3">
      <c r="A149" s="52" t="s">
        <v>50</v>
      </c>
      <c r="B149" s="44">
        <f t="shared" ref="B149:L149" si="50">B43+B44+B45+B46</f>
        <v>895</v>
      </c>
      <c r="C149" s="39">
        <f t="shared" si="50"/>
        <v>387</v>
      </c>
      <c r="D149" s="39">
        <f t="shared" si="50"/>
        <v>46</v>
      </c>
      <c r="E149" s="39">
        <f t="shared" si="50"/>
        <v>53</v>
      </c>
      <c r="F149" s="39">
        <f t="shared" si="50"/>
        <v>40</v>
      </c>
      <c r="G149" s="50">
        <f t="shared" si="50"/>
        <v>1421</v>
      </c>
      <c r="H149" s="44">
        <f t="shared" si="50"/>
        <v>0</v>
      </c>
      <c r="I149" s="39">
        <f t="shared" si="50"/>
        <v>0</v>
      </c>
      <c r="J149" s="39">
        <f t="shared" si="50"/>
        <v>0</v>
      </c>
      <c r="K149" s="45">
        <f t="shared" si="50"/>
        <v>0</v>
      </c>
      <c r="L149" s="144">
        <f t="shared" si="50"/>
        <v>2</v>
      </c>
      <c r="M149" s="50">
        <f t="shared" si="13"/>
        <v>0</v>
      </c>
      <c r="N149" s="40">
        <f t="shared" si="15"/>
        <v>1421</v>
      </c>
      <c r="O149" s="43">
        <f t="shared" si="16"/>
        <v>1512.5</v>
      </c>
    </row>
    <row r="150" spans="1:15" ht="22.95" customHeight="1" x14ac:dyDescent="0.3">
      <c r="A150" s="52" t="s">
        <v>51</v>
      </c>
      <c r="B150" s="44">
        <f t="shared" ref="B150:L150" si="51">B44+B45+B46+B47</f>
        <v>951</v>
      </c>
      <c r="C150" s="39">
        <f t="shared" si="51"/>
        <v>400</v>
      </c>
      <c r="D150" s="39">
        <f t="shared" si="51"/>
        <v>43</v>
      </c>
      <c r="E150" s="39">
        <f t="shared" si="51"/>
        <v>66</v>
      </c>
      <c r="F150" s="39">
        <f t="shared" si="51"/>
        <v>35</v>
      </c>
      <c r="G150" s="50">
        <f t="shared" si="51"/>
        <v>1495</v>
      </c>
      <c r="H150" s="44">
        <f t="shared" si="51"/>
        <v>0</v>
      </c>
      <c r="I150" s="39">
        <f t="shared" si="51"/>
        <v>0</v>
      </c>
      <c r="J150" s="39">
        <f t="shared" si="51"/>
        <v>0</v>
      </c>
      <c r="K150" s="45">
        <f t="shared" si="51"/>
        <v>0</v>
      </c>
      <c r="L150" s="144">
        <f t="shared" si="51"/>
        <v>2</v>
      </c>
      <c r="M150" s="50">
        <f t="shared" si="13"/>
        <v>0</v>
      </c>
      <c r="N150" s="40">
        <f t="shared" si="15"/>
        <v>1495</v>
      </c>
      <c r="O150" s="43">
        <f t="shared" si="16"/>
        <v>1587</v>
      </c>
    </row>
    <row r="151" spans="1:15" ht="22.95" customHeight="1" x14ac:dyDescent="0.3">
      <c r="A151" s="52" t="s">
        <v>52</v>
      </c>
      <c r="B151" s="44">
        <f t="shared" ref="B151:L151" si="52">B45+B46+B47+B48</f>
        <v>918</v>
      </c>
      <c r="C151" s="39">
        <f t="shared" si="52"/>
        <v>348</v>
      </c>
      <c r="D151" s="39">
        <f t="shared" si="52"/>
        <v>44</v>
      </c>
      <c r="E151" s="39">
        <f t="shared" si="52"/>
        <v>57</v>
      </c>
      <c r="F151" s="39">
        <f t="shared" si="52"/>
        <v>35</v>
      </c>
      <c r="G151" s="50">
        <f t="shared" si="52"/>
        <v>1402</v>
      </c>
      <c r="H151" s="44">
        <f t="shared" si="52"/>
        <v>0</v>
      </c>
      <c r="I151" s="39">
        <f t="shared" si="52"/>
        <v>0</v>
      </c>
      <c r="J151" s="39">
        <f t="shared" si="52"/>
        <v>0</v>
      </c>
      <c r="K151" s="45">
        <f t="shared" si="52"/>
        <v>0</v>
      </c>
      <c r="L151" s="144">
        <f t="shared" si="52"/>
        <v>3</v>
      </c>
      <c r="M151" s="50">
        <f t="shared" si="13"/>
        <v>0</v>
      </c>
      <c r="N151" s="40">
        <f t="shared" si="15"/>
        <v>1402</v>
      </c>
      <c r="O151" s="43">
        <f t="shared" si="16"/>
        <v>1510.5</v>
      </c>
    </row>
    <row r="152" spans="1:15" ht="22.95" customHeight="1" x14ac:dyDescent="0.3">
      <c r="A152" s="52" t="s">
        <v>53</v>
      </c>
      <c r="B152" s="44">
        <f t="shared" ref="B152:L152" si="53">B46+B47+B48+B49</f>
        <v>883</v>
      </c>
      <c r="C152" s="39">
        <f t="shared" si="53"/>
        <v>351</v>
      </c>
      <c r="D152" s="39">
        <f t="shared" si="53"/>
        <v>46</v>
      </c>
      <c r="E152" s="39">
        <f t="shared" si="53"/>
        <v>46</v>
      </c>
      <c r="F152" s="39">
        <f t="shared" si="53"/>
        <v>42</v>
      </c>
      <c r="G152" s="50">
        <f t="shared" si="53"/>
        <v>1368</v>
      </c>
      <c r="H152" s="44">
        <f t="shared" si="53"/>
        <v>0</v>
      </c>
      <c r="I152" s="39">
        <f t="shared" si="53"/>
        <v>0</v>
      </c>
      <c r="J152" s="39">
        <f t="shared" si="53"/>
        <v>0</v>
      </c>
      <c r="K152" s="45">
        <f t="shared" si="53"/>
        <v>0</v>
      </c>
      <c r="L152" s="144">
        <f t="shared" si="53"/>
        <v>3</v>
      </c>
      <c r="M152" s="50">
        <f t="shared" si="13"/>
        <v>0</v>
      </c>
      <c r="N152" s="40">
        <f t="shared" si="15"/>
        <v>1368</v>
      </c>
      <c r="O152" s="43">
        <f t="shared" si="16"/>
        <v>1478.5</v>
      </c>
    </row>
    <row r="153" spans="1:15" ht="22.95" customHeight="1" x14ac:dyDescent="0.3">
      <c r="A153" s="52" t="s">
        <v>54</v>
      </c>
      <c r="B153" s="44">
        <f t="shared" ref="B153:L153" si="54">B47+B48+B49+B50</f>
        <v>808</v>
      </c>
      <c r="C153" s="39">
        <f t="shared" si="54"/>
        <v>326</v>
      </c>
      <c r="D153" s="39">
        <f t="shared" si="54"/>
        <v>38</v>
      </c>
      <c r="E153" s="39">
        <f t="shared" si="54"/>
        <v>38</v>
      </c>
      <c r="F153" s="39">
        <f t="shared" si="54"/>
        <v>39</v>
      </c>
      <c r="G153" s="50">
        <f t="shared" si="54"/>
        <v>1249</v>
      </c>
      <c r="H153" s="44">
        <f t="shared" si="54"/>
        <v>0</v>
      </c>
      <c r="I153" s="39">
        <f t="shared" si="54"/>
        <v>0</v>
      </c>
      <c r="J153" s="39">
        <f t="shared" si="54"/>
        <v>0</v>
      </c>
      <c r="K153" s="45">
        <f t="shared" si="54"/>
        <v>0</v>
      </c>
      <c r="L153" s="144">
        <f t="shared" si="54"/>
        <v>5</v>
      </c>
      <c r="M153" s="50">
        <f t="shared" si="13"/>
        <v>0</v>
      </c>
      <c r="N153" s="40">
        <f t="shared" si="15"/>
        <v>1249</v>
      </c>
      <c r="O153" s="43">
        <f t="shared" si="16"/>
        <v>1357.5</v>
      </c>
    </row>
    <row r="154" spans="1:15" s="138" customFormat="1" ht="22.95" customHeight="1" x14ac:dyDescent="0.3">
      <c r="A154" s="52" t="s">
        <v>55</v>
      </c>
      <c r="B154" s="122">
        <f t="shared" ref="B154:L154" si="55">B48+B49+B50+B51</f>
        <v>742</v>
      </c>
      <c r="C154" s="123">
        <f t="shared" si="55"/>
        <v>297</v>
      </c>
      <c r="D154" s="123">
        <f t="shared" si="55"/>
        <v>34</v>
      </c>
      <c r="E154" s="123">
        <f t="shared" si="55"/>
        <v>23</v>
      </c>
      <c r="F154" s="123">
        <f t="shared" si="55"/>
        <v>39</v>
      </c>
      <c r="G154" s="125">
        <f t="shared" si="55"/>
        <v>1135</v>
      </c>
      <c r="H154" s="122">
        <f t="shared" si="55"/>
        <v>0</v>
      </c>
      <c r="I154" s="123">
        <f t="shared" si="55"/>
        <v>0</v>
      </c>
      <c r="J154" s="123">
        <f t="shared" si="55"/>
        <v>0</v>
      </c>
      <c r="K154" s="124">
        <f t="shared" si="55"/>
        <v>0</v>
      </c>
      <c r="L154" s="146">
        <f t="shared" si="55"/>
        <v>9</v>
      </c>
      <c r="M154" s="125">
        <f t="shared" si="13"/>
        <v>0</v>
      </c>
      <c r="N154" s="126">
        <f t="shared" si="15"/>
        <v>1135</v>
      </c>
      <c r="O154" s="43">
        <f t="shared" si="16"/>
        <v>1258</v>
      </c>
    </row>
    <row r="155" spans="1:15" ht="22.95" customHeight="1" x14ac:dyDescent="0.3">
      <c r="A155" s="52" t="s">
        <v>56</v>
      </c>
      <c r="B155" s="44">
        <f t="shared" ref="B155:L155" si="56">B49+B50+B51+B52</f>
        <v>750</v>
      </c>
      <c r="C155" s="39">
        <f t="shared" si="56"/>
        <v>303</v>
      </c>
      <c r="D155" s="39">
        <f t="shared" si="56"/>
        <v>36</v>
      </c>
      <c r="E155" s="39">
        <f t="shared" si="56"/>
        <v>31</v>
      </c>
      <c r="F155" s="39">
        <f t="shared" si="56"/>
        <v>39</v>
      </c>
      <c r="G155" s="50">
        <f t="shared" si="56"/>
        <v>1159</v>
      </c>
      <c r="H155" s="44">
        <f t="shared" si="56"/>
        <v>0</v>
      </c>
      <c r="I155" s="39">
        <f t="shared" si="56"/>
        <v>0</v>
      </c>
      <c r="J155" s="39">
        <f t="shared" si="56"/>
        <v>0</v>
      </c>
      <c r="K155" s="45">
        <f t="shared" si="56"/>
        <v>0</v>
      </c>
      <c r="L155" s="144">
        <f t="shared" si="56"/>
        <v>8</v>
      </c>
      <c r="M155" s="50">
        <f t="shared" si="13"/>
        <v>0</v>
      </c>
      <c r="N155" s="40">
        <f t="shared" si="15"/>
        <v>1159</v>
      </c>
      <c r="O155" s="43">
        <f t="shared" si="16"/>
        <v>1288</v>
      </c>
    </row>
    <row r="156" spans="1:15" ht="22.95" customHeight="1" x14ac:dyDescent="0.3">
      <c r="A156" s="52" t="s">
        <v>57</v>
      </c>
      <c r="B156" s="44">
        <f t="shared" ref="B156:L156" si="57">B50+B51+B52+B53</f>
        <v>722</v>
      </c>
      <c r="C156" s="39">
        <f t="shared" si="57"/>
        <v>313</v>
      </c>
      <c r="D156" s="39">
        <f t="shared" si="57"/>
        <v>37</v>
      </c>
      <c r="E156" s="39">
        <f t="shared" si="57"/>
        <v>28</v>
      </c>
      <c r="F156" s="39">
        <f t="shared" si="57"/>
        <v>33</v>
      </c>
      <c r="G156" s="50">
        <f t="shared" si="57"/>
        <v>1133</v>
      </c>
      <c r="H156" s="44">
        <f t="shared" si="57"/>
        <v>1</v>
      </c>
      <c r="I156" s="39">
        <f t="shared" si="57"/>
        <v>0</v>
      </c>
      <c r="J156" s="39">
        <f t="shared" si="57"/>
        <v>0</v>
      </c>
      <c r="K156" s="45">
        <f t="shared" si="57"/>
        <v>0</v>
      </c>
      <c r="L156" s="144">
        <f t="shared" si="57"/>
        <v>8</v>
      </c>
      <c r="M156" s="50">
        <f t="shared" si="13"/>
        <v>1</v>
      </c>
      <c r="N156" s="40">
        <f t="shared" si="15"/>
        <v>1134</v>
      </c>
      <c r="O156" s="43">
        <f t="shared" si="16"/>
        <v>1231</v>
      </c>
    </row>
    <row r="157" spans="1:15" ht="22.95" customHeight="1" x14ac:dyDescent="0.3">
      <c r="A157" s="52" t="s">
        <v>58</v>
      </c>
      <c r="B157" s="44">
        <f t="shared" ref="B157:L157" si="58">B51+B52+B53+B54</f>
        <v>684</v>
      </c>
      <c r="C157" s="39">
        <f t="shared" si="58"/>
        <v>285</v>
      </c>
      <c r="D157" s="39">
        <f t="shared" si="58"/>
        <v>38</v>
      </c>
      <c r="E157" s="39">
        <f t="shared" si="58"/>
        <v>29</v>
      </c>
      <c r="F157" s="39">
        <f t="shared" si="58"/>
        <v>36</v>
      </c>
      <c r="G157" s="50">
        <f t="shared" si="58"/>
        <v>1072</v>
      </c>
      <c r="H157" s="44">
        <f t="shared" si="58"/>
        <v>2</v>
      </c>
      <c r="I157" s="39">
        <f t="shared" si="58"/>
        <v>0</v>
      </c>
      <c r="J157" s="39">
        <f t="shared" si="58"/>
        <v>0</v>
      </c>
      <c r="K157" s="45">
        <f t="shared" si="58"/>
        <v>0</v>
      </c>
      <c r="L157" s="144">
        <f t="shared" si="58"/>
        <v>6</v>
      </c>
      <c r="M157" s="50">
        <f t="shared" si="13"/>
        <v>2</v>
      </c>
      <c r="N157" s="40">
        <f t="shared" si="15"/>
        <v>1074</v>
      </c>
      <c r="O157" s="43">
        <f t="shared" si="16"/>
        <v>1181.5</v>
      </c>
    </row>
    <row r="158" spans="1:15" ht="22.95" customHeight="1" x14ac:dyDescent="0.3">
      <c r="A158" s="52" t="s">
        <v>59</v>
      </c>
      <c r="B158" s="44">
        <f t="shared" ref="B158:L158" si="59">B52+B53+B54+B55</f>
        <v>649</v>
      </c>
      <c r="C158" s="39">
        <f t="shared" si="59"/>
        <v>262</v>
      </c>
      <c r="D158" s="39">
        <f t="shared" si="59"/>
        <v>42</v>
      </c>
      <c r="E158" s="39">
        <f t="shared" si="59"/>
        <v>41</v>
      </c>
      <c r="F158" s="39">
        <f t="shared" si="59"/>
        <v>39</v>
      </c>
      <c r="G158" s="50">
        <f t="shared" si="59"/>
        <v>1033</v>
      </c>
      <c r="H158" s="44">
        <f t="shared" si="59"/>
        <v>2</v>
      </c>
      <c r="I158" s="39">
        <f t="shared" si="59"/>
        <v>0</v>
      </c>
      <c r="J158" s="39">
        <f t="shared" si="59"/>
        <v>0</v>
      </c>
      <c r="K158" s="45">
        <f t="shared" si="59"/>
        <v>0</v>
      </c>
      <c r="L158" s="144">
        <f t="shared" si="59"/>
        <v>2</v>
      </c>
      <c r="M158" s="50">
        <f t="shared" si="13"/>
        <v>2</v>
      </c>
      <c r="N158" s="40">
        <f t="shared" si="15"/>
        <v>1035</v>
      </c>
      <c r="O158" s="43">
        <f t="shared" si="16"/>
        <v>1158.5</v>
      </c>
    </row>
    <row r="159" spans="1:15" ht="22.95" customHeight="1" x14ac:dyDescent="0.3">
      <c r="A159" s="52" t="s">
        <v>77</v>
      </c>
      <c r="B159" s="44">
        <f t="shared" ref="B159:L159" si="60">B53+B54+B55+B56</f>
        <v>604</v>
      </c>
      <c r="C159" s="39">
        <f t="shared" si="60"/>
        <v>248</v>
      </c>
      <c r="D159" s="39">
        <f t="shared" si="60"/>
        <v>33</v>
      </c>
      <c r="E159" s="39">
        <f t="shared" si="60"/>
        <v>43</v>
      </c>
      <c r="F159" s="39">
        <f t="shared" si="60"/>
        <v>41</v>
      </c>
      <c r="G159" s="50">
        <f t="shared" si="60"/>
        <v>969</v>
      </c>
      <c r="H159" s="44">
        <f t="shared" si="60"/>
        <v>2</v>
      </c>
      <c r="I159" s="39">
        <f t="shared" si="60"/>
        <v>0</v>
      </c>
      <c r="J159" s="39">
        <f t="shared" si="60"/>
        <v>0</v>
      </c>
      <c r="K159" s="45">
        <f t="shared" si="60"/>
        <v>0</v>
      </c>
      <c r="L159" s="144">
        <f t="shared" si="60"/>
        <v>3</v>
      </c>
      <c r="M159" s="50">
        <f t="shared" si="13"/>
        <v>2</v>
      </c>
      <c r="N159" s="40">
        <f t="shared" si="15"/>
        <v>971</v>
      </c>
      <c r="O159" s="43">
        <f t="shared" si="16"/>
        <v>1116</v>
      </c>
    </row>
    <row r="160" spans="1:15" ht="22.95" customHeight="1" x14ac:dyDescent="0.3">
      <c r="A160" s="52" t="s">
        <v>75</v>
      </c>
      <c r="B160" s="44">
        <f t="shared" ref="B160:L160" si="61">B54+B55+B56+B57</f>
        <v>611</v>
      </c>
      <c r="C160" s="39">
        <f t="shared" si="61"/>
        <v>199</v>
      </c>
      <c r="D160" s="39">
        <f t="shared" si="61"/>
        <v>29</v>
      </c>
      <c r="E160" s="39">
        <f t="shared" si="61"/>
        <v>52</v>
      </c>
      <c r="F160" s="39">
        <f t="shared" si="61"/>
        <v>36</v>
      </c>
      <c r="G160" s="50">
        <f t="shared" si="61"/>
        <v>927</v>
      </c>
      <c r="H160" s="44">
        <f t="shared" si="61"/>
        <v>1</v>
      </c>
      <c r="I160" s="39">
        <f t="shared" si="61"/>
        <v>0</v>
      </c>
      <c r="J160" s="39">
        <f t="shared" si="61"/>
        <v>0</v>
      </c>
      <c r="K160" s="45">
        <f t="shared" si="61"/>
        <v>0</v>
      </c>
      <c r="L160" s="144">
        <f t="shared" si="61"/>
        <v>2</v>
      </c>
      <c r="M160" s="50">
        <f t="shared" si="13"/>
        <v>1</v>
      </c>
      <c r="N160" s="40">
        <f t="shared" si="15"/>
        <v>928</v>
      </c>
      <c r="O160" s="43">
        <f t="shared" si="16"/>
        <v>1088.5</v>
      </c>
    </row>
    <row r="161" spans="1:15" ht="22.95" customHeight="1" x14ac:dyDescent="0.3">
      <c r="A161" s="52" t="s">
        <v>76</v>
      </c>
      <c r="B161" s="44">
        <f t="shared" ref="B161:L161" si="62">B55+B56+B57+B58</f>
        <v>610</v>
      </c>
      <c r="C161" s="39">
        <f t="shared" si="62"/>
        <v>194</v>
      </c>
      <c r="D161" s="39">
        <f t="shared" si="62"/>
        <v>28</v>
      </c>
      <c r="E161" s="39">
        <f t="shared" si="62"/>
        <v>54</v>
      </c>
      <c r="F161" s="39">
        <f t="shared" si="62"/>
        <v>35</v>
      </c>
      <c r="G161" s="50">
        <f t="shared" si="62"/>
        <v>921</v>
      </c>
      <c r="H161" s="44">
        <f t="shared" si="62"/>
        <v>0</v>
      </c>
      <c r="I161" s="39">
        <f t="shared" si="62"/>
        <v>0</v>
      </c>
      <c r="J161" s="39">
        <f t="shared" si="62"/>
        <v>0</v>
      </c>
      <c r="K161" s="45">
        <f t="shared" si="62"/>
        <v>0</v>
      </c>
      <c r="L161" s="144">
        <f t="shared" si="62"/>
        <v>2</v>
      </c>
      <c r="M161" s="50">
        <f t="shared" si="13"/>
        <v>0</v>
      </c>
      <c r="N161" s="40">
        <f t="shared" si="15"/>
        <v>921</v>
      </c>
      <c r="O161" s="43">
        <f t="shared" si="16"/>
        <v>1084.5</v>
      </c>
    </row>
    <row r="162" spans="1:15" ht="22.95" customHeight="1" x14ac:dyDescent="0.3">
      <c r="A162" s="52" t="s">
        <v>70</v>
      </c>
      <c r="B162" s="44">
        <f t="shared" ref="B162:L162" si="63">B56+B57+B58+B59</f>
        <v>603</v>
      </c>
      <c r="C162" s="39">
        <f t="shared" si="63"/>
        <v>186</v>
      </c>
      <c r="D162" s="39">
        <f t="shared" si="63"/>
        <v>20</v>
      </c>
      <c r="E162" s="39">
        <f t="shared" si="63"/>
        <v>48</v>
      </c>
      <c r="F162" s="39">
        <f t="shared" si="63"/>
        <v>41</v>
      </c>
      <c r="G162" s="50">
        <f t="shared" si="63"/>
        <v>898</v>
      </c>
      <c r="H162" s="44">
        <f t="shared" si="63"/>
        <v>0</v>
      </c>
      <c r="I162" s="39">
        <f t="shared" si="63"/>
        <v>0</v>
      </c>
      <c r="J162" s="39">
        <f t="shared" si="63"/>
        <v>0</v>
      </c>
      <c r="K162" s="45">
        <f t="shared" si="63"/>
        <v>0</v>
      </c>
      <c r="L162" s="144">
        <f t="shared" si="63"/>
        <v>2</v>
      </c>
      <c r="M162" s="50">
        <f t="shared" si="13"/>
        <v>0</v>
      </c>
      <c r="N162" s="40">
        <f t="shared" si="15"/>
        <v>898</v>
      </c>
      <c r="O162" s="43">
        <f t="shared" si="16"/>
        <v>1070.5</v>
      </c>
    </row>
    <row r="163" spans="1:15" ht="22.95" customHeight="1" x14ac:dyDescent="0.3">
      <c r="A163" s="52" t="s">
        <v>71</v>
      </c>
      <c r="B163" s="44">
        <f t="shared" ref="B163:L163" si="64">B57+B58+B59+B60</f>
        <v>594</v>
      </c>
      <c r="C163" s="39">
        <f t="shared" si="64"/>
        <v>142</v>
      </c>
      <c r="D163" s="39">
        <f t="shared" si="64"/>
        <v>21</v>
      </c>
      <c r="E163" s="39">
        <f t="shared" si="64"/>
        <v>44</v>
      </c>
      <c r="F163" s="39">
        <f t="shared" si="64"/>
        <v>48</v>
      </c>
      <c r="G163" s="50">
        <f t="shared" si="64"/>
        <v>849</v>
      </c>
      <c r="H163" s="44">
        <f t="shared" si="64"/>
        <v>0</v>
      </c>
      <c r="I163" s="39">
        <f t="shared" si="64"/>
        <v>0</v>
      </c>
      <c r="J163" s="39">
        <f t="shared" si="64"/>
        <v>0</v>
      </c>
      <c r="K163" s="45">
        <f t="shared" si="64"/>
        <v>0</v>
      </c>
      <c r="L163" s="144">
        <f t="shared" si="64"/>
        <v>2</v>
      </c>
      <c r="M163" s="50">
        <f t="shared" si="13"/>
        <v>0</v>
      </c>
      <c r="N163" s="40">
        <f t="shared" si="15"/>
        <v>849</v>
      </c>
      <c r="O163" s="43">
        <f t="shared" si="16"/>
        <v>1060.5</v>
      </c>
    </row>
    <row r="164" spans="1:15" ht="22.95" customHeight="1" x14ac:dyDescent="0.3">
      <c r="A164" s="52" t="s">
        <v>72</v>
      </c>
      <c r="B164" s="44">
        <f t="shared" ref="B164:L164" si="65">B58+B59+B60+B61</f>
        <v>565</v>
      </c>
      <c r="C164" s="39">
        <f t="shared" si="65"/>
        <v>166</v>
      </c>
      <c r="D164" s="39">
        <f t="shared" si="65"/>
        <v>15</v>
      </c>
      <c r="E164" s="39">
        <f t="shared" si="65"/>
        <v>42</v>
      </c>
      <c r="F164" s="39">
        <f t="shared" si="65"/>
        <v>54</v>
      </c>
      <c r="G164" s="50">
        <f t="shared" si="65"/>
        <v>842</v>
      </c>
      <c r="H164" s="44">
        <f t="shared" si="65"/>
        <v>0</v>
      </c>
      <c r="I164" s="39">
        <f t="shared" si="65"/>
        <v>0</v>
      </c>
      <c r="J164" s="39">
        <f t="shared" si="65"/>
        <v>0</v>
      </c>
      <c r="K164" s="45">
        <f t="shared" si="65"/>
        <v>0</v>
      </c>
      <c r="L164" s="144">
        <f t="shared" si="65"/>
        <v>2</v>
      </c>
      <c r="M164" s="50">
        <f t="shared" si="13"/>
        <v>0</v>
      </c>
      <c r="N164" s="40">
        <f t="shared" si="15"/>
        <v>842</v>
      </c>
      <c r="O164" s="43">
        <f t="shared" si="16"/>
        <v>1055.5</v>
      </c>
    </row>
    <row r="165" spans="1:15" ht="22.95" customHeight="1" x14ac:dyDescent="0.3">
      <c r="A165" s="52" t="s">
        <v>73</v>
      </c>
      <c r="B165" s="44">
        <f t="shared" ref="B165:L165" si="66">B59+B60+B61+B62</f>
        <v>602</v>
      </c>
      <c r="C165" s="39">
        <f t="shared" si="66"/>
        <v>145</v>
      </c>
      <c r="D165" s="39">
        <f t="shared" si="66"/>
        <v>18</v>
      </c>
      <c r="E165" s="39">
        <f t="shared" si="66"/>
        <v>45</v>
      </c>
      <c r="F165" s="39">
        <f t="shared" si="66"/>
        <v>55</v>
      </c>
      <c r="G165" s="50">
        <f t="shared" si="66"/>
        <v>865</v>
      </c>
      <c r="H165" s="44">
        <f t="shared" si="66"/>
        <v>0</v>
      </c>
      <c r="I165" s="39">
        <f t="shared" si="66"/>
        <v>0</v>
      </c>
      <c r="J165" s="39">
        <f t="shared" si="66"/>
        <v>0</v>
      </c>
      <c r="K165" s="45">
        <f t="shared" si="66"/>
        <v>0</v>
      </c>
      <c r="L165" s="144">
        <f t="shared" si="66"/>
        <v>1</v>
      </c>
      <c r="M165" s="50">
        <f t="shared" si="13"/>
        <v>0</v>
      </c>
      <c r="N165" s="40">
        <f t="shared" si="15"/>
        <v>865</v>
      </c>
      <c r="O165" s="43">
        <f t="shared" si="16"/>
        <v>1092</v>
      </c>
    </row>
    <row r="166" spans="1:15" ht="22.95" customHeight="1" x14ac:dyDescent="0.3">
      <c r="A166" s="52" t="s">
        <v>74</v>
      </c>
      <c r="B166" s="44">
        <f t="shared" ref="B166:L166" si="67">B60+B61+B62+B63</f>
        <v>600</v>
      </c>
      <c r="C166" s="39">
        <f t="shared" si="67"/>
        <v>137</v>
      </c>
      <c r="D166" s="39">
        <f t="shared" si="67"/>
        <v>24</v>
      </c>
      <c r="E166" s="39">
        <f t="shared" si="67"/>
        <v>40</v>
      </c>
      <c r="F166" s="39">
        <f t="shared" si="67"/>
        <v>50</v>
      </c>
      <c r="G166" s="50">
        <f t="shared" si="67"/>
        <v>851</v>
      </c>
      <c r="H166" s="44">
        <f t="shared" si="67"/>
        <v>0</v>
      </c>
      <c r="I166" s="39">
        <f t="shared" si="67"/>
        <v>0</v>
      </c>
      <c r="J166" s="39">
        <f t="shared" si="67"/>
        <v>0</v>
      </c>
      <c r="K166" s="45">
        <f t="shared" si="67"/>
        <v>0</v>
      </c>
      <c r="L166" s="144">
        <f t="shared" si="67"/>
        <v>2</v>
      </c>
      <c r="M166" s="50">
        <f t="shared" si="13"/>
        <v>0</v>
      </c>
      <c r="N166" s="40">
        <f t="shared" si="15"/>
        <v>851</v>
      </c>
      <c r="O166" s="43">
        <f t="shared" si="16"/>
        <v>1065.5</v>
      </c>
    </row>
    <row r="167" spans="1:15" ht="22.95" customHeight="1" x14ac:dyDescent="0.3">
      <c r="A167" s="52" t="s">
        <v>262</v>
      </c>
      <c r="B167" s="44">
        <f t="shared" ref="B167:L167" si="68">B61+B62+B63+B64</f>
        <v>575</v>
      </c>
      <c r="C167" s="39">
        <f t="shared" si="68"/>
        <v>149</v>
      </c>
      <c r="D167" s="39">
        <f t="shared" si="68"/>
        <v>29</v>
      </c>
      <c r="E167" s="39">
        <f t="shared" si="68"/>
        <v>44</v>
      </c>
      <c r="F167" s="39">
        <f t="shared" si="68"/>
        <v>40</v>
      </c>
      <c r="G167" s="50">
        <f t="shared" si="68"/>
        <v>837</v>
      </c>
      <c r="H167" s="44">
        <f t="shared" si="68"/>
        <v>0</v>
      </c>
      <c r="I167" s="39">
        <f t="shared" si="68"/>
        <v>0</v>
      </c>
      <c r="J167" s="39">
        <f t="shared" si="68"/>
        <v>0</v>
      </c>
      <c r="K167" s="45">
        <f t="shared" si="68"/>
        <v>0</v>
      </c>
      <c r="L167" s="144">
        <f t="shared" si="68"/>
        <v>1</v>
      </c>
      <c r="M167" s="50">
        <f t="shared" si="13"/>
        <v>0</v>
      </c>
      <c r="N167" s="40">
        <f t="shared" si="15"/>
        <v>837</v>
      </c>
      <c r="O167" s="43">
        <f t="shared" si="16"/>
        <v>1013</v>
      </c>
    </row>
    <row r="168" spans="1:15" ht="22.95" customHeight="1" x14ac:dyDescent="0.3">
      <c r="A168" s="52" t="s">
        <v>263</v>
      </c>
      <c r="B168" s="44">
        <f t="shared" ref="B168:L168" si="69">B62+B63+B64+B65</f>
        <v>526</v>
      </c>
      <c r="C168" s="39">
        <f t="shared" si="69"/>
        <v>110</v>
      </c>
      <c r="D168" s="39">
        <f t="shared" si="69"/>
        <v>33</v>
      </c>
      <c r="E168" s="39">
        <f t="shared" si="69"/>
        <v>38</v>
      </c>
      <c r="F168" s="39">
        <f t="shared" si="69"/>
        <v>38</v>
      </c>
      <c r="G168" s="50">
        <f t="shared" si="69"/>
        <v>745</v>
      </c>
      <c r="H168" s="44">
        <f t="shared" si="69"/>
        <v>0</v>
      </c>
      <c r="I168" s="39">
        <f t="shared" si="69"/>
        <v>0</v>
      </c>
      <c r="J168" s="39">
        <f t="shared" si="69"/>
        <v>0</v>
      </c>
      <c r="K168" s="45">
        <f t="shared" si="69"/>
        <v>0</v>
      </c>
      <c r="L168" s="144">
        <f t="shared" si="69"/>
        <v>2</v>
      </c>
      <c r="M168" s="50">
        <f t="shared" si="13"/>
        <v>0</v>
      </c>
      <c r="N168" s="40">
        <f t="shared" si="15"/>
        <v>745</v>
      </c>
      <c r="O168" s="43">
        <f t="shared" si="16"/>
        <v>931.5</v>
      </c>
    </row>
    <row r="169" spans="1:15" ht="22.95" customHeight="1" x14ac:dyDescent="0.3">
      <c r="A169" s="52" t="s">
        <v>264</v>
      </c>
      <c r="B169" s="44">
        <f t="shared" ref="B169:L169" si="70">B63+B64+B65+B66</f>
        <v>471</v>
      </c>
      <c r="C169" s="39">
        <f t="shared" si="70"/>
        <v>111</v>
      </c>
      <c r="D169" s="39">
        <f t="shared" si="70"/>
        <v>32</v>
      </c>
      <c r="E169" s="39">
        <f t="shared" si="70"/>
        <v>35</v>
      </c>
      <c r="F169" s="39">
        <f t="shared" si="70"/>
        <v>44</v>
      </c>
      <c r="G169" s="50">
        <f t="shared" si="70"/>
        <v>693</v>
      </c>
      <c r="H169" s="44">
        <f t="shared" si="70"/>
        <v>0</v>
      </c>
      <c r="I169" s="39">
        <f t="shared" si="70"/>
        <v>0</v>
      </c>
      <c r="J169" s="39">
        <f t="shared" si="70"/>
        <v>0</v>
      </c>
      <c r="K169" s="45">
        <f t="shared" si="70"/>
        <v>0</v>
      </c>
      <c r="L169" s="144">
        <f t="shared" si="70"/>
        <v>3</v>
      </c>
      <c r="M169" s="50">
        <f t="shared" si="13"/>
        <v>0</v>
      </c>
      <c r="N169" s="40">
        <f t="shared" si="15"/>
        <v>693</v>
      </c>
      <c r="O169" s="43">
        <f t="shared" si="16"/>
        <v>901.5</v>
      </c>
    </row>
    <row r="170" spans="1:15" ht="22.95" customHeight="1" x14ac:dyDescent="0.3">
      <c r="A170" s="52" t="s">
        <v>265</v>
      </c>
      <c r="B170" s="44">
        <f t="shared" ref="B170:L170" si="71">B64+B65+B66+B67</f>
        <v>442</v>
      </c>
      <c r="C170" s="39">
        <f t="shared" si="71"/>
        <v>115</v>
      </c>
      <c r="D170" s="39">
        <f t="shared" si="71"/>
        <v>35</v>
      </c>
      <c r="E170" s="39">
        <f t="shared" si="71"/>
        <v>34</v>
      </c>
      <c r="F170" s="39">
        <f t="shared" si="71"/>
        <v>39</v>
      </c>
      <c r="G170" s="50">
        <f t="shared" si="71"/>
        <v>665</v>
      </c>
      <c r="H170" s="44">
        <f t="shared" si="71"/>
        <v>0</v>
      </c>
      <c r="I170" s="39">
        <f t="shared" si="71"/>
        <v>0</v>
      </c>
      <c r="J170" s="39">
        <f t="shared" si="71"/>
        <v>0</v>
      </c>
      <c r="K170" s="45">
        <f t="shared" si="71"/>
        <v>0</v>
      </c>
      <c r="L170" s="144">
        <f t="shared" si="71"/>
        <v>3</v>
      </c>
      <c r="M170" s="50">
        <f t="shared" si="13"/>
        <v>0</v>
      </c>
      <c r="N170" s="40">
        <f t="shared" si="15"/>
        <v>665</v>
      </c>
      <c r="O170" s="43">
        <f t="shared" si="16"/>
        <v>853.5</v>
      </c>
    </row>
    <row r="171" spans="1:15" ht="22.95" customHeight="1" x14ac:dyDescent="0.3">
      <c r="A171" s="52" t="s">
        <v>266</v>
      </c>
      <c r="B171" s="44">
        <f t="shared" ref="B171:L171" si="72">B65+B66+B67+B68</f>
        <v>396</v>
      </c>
      <c r="C171" s="39">
        <f t="shared" si="72"/>
        <v>101</v>
      </c>
      <c r="D171" s="39">
        <f t="shared" si="72"/>
        <v>34</v>
      </c>
      <c r="E171" s="39">
        <f t="shared" si="72"/>
        <v>28</v>
      </c>
      <c r="F171" s="39">
        <f t="shared" si="72"/>
        <v>39</v>
      </c>
      <c r="G171" s="50">
        <f t="shared" si="72"/>
        <v>598</v>
      </c>
      <c r="H171" s="44">
        <f t="shared" si="72"/>
        <v>0</v>
      </c>
      <c r="I171" s="39">
        <f t="shared" si="72"/>
        <v>0</v>
      </c>
      <c r="J171" s="39">
        <f t="shared" si="72"/>
        <v>0</v>
      </c>
      <c r="K171" s="45">
        <f t="shared" si="72"/>
        <v>0</v>
      </c>
      <c r="L171" s="144">
        <f t="shared" si="72"/>
        <v>3</v>
      </c>
      <c r="M171" s="50">
        <f t="shared" si="13"/>
        <v>0</v>
      </c>
      <c r="N171" s="40">
        <f t="shared" si="15"/>
        <v>598</v>
      </c>
      <c r="O171" s="43">
        <f t="shared" si="16"/>
        <v>781</v>
      </c>
    </row>
    <row r="172" spans="1:15" ht="22.95" customHeight="1" x14ac:dyDescent="0.3">
      <c r="A172" s="52" t="s">
        <v>267</v>
      </c>
      <c r="B172" s="44">
        <f t="shared" ref="B172:L172" si="73">B66+B67+B68+B69</f>
        <v>368</v>
      </c>
      <c r="C172" s="39">
        <f t="shared" si="73"/>
        <v>98</v>
      </c>
      <c r="D172" s="39">
        <f t="shared" si="73"/>
        <v>34</v>
      </c>
      <c r="E172" s="39">
        <f t="shared" si="73"/>
        <v>27</v>
      </c>
      <c r="F172" s="39">
        <f t="shared" si="73"/>
        <v>37</v>
      </c>
      <c r="G172" s="50">
        <f t="shared" si="73"/>
        <v>564</v>
      </c>
      <c r="H172" s="44">
        <f t="shared" si="73"/>
        <v>0</v>
      </c>
      <c r="I172" s="39">
        <f t="shared" si="73"/>
        <v>0</v>
      </c>
      <c r="J172" s="39">
        <f t="shared" si="73"/>
        <v>0</v>
      </c>
      <c r="K172" s="45">
        <f t="shared" si="73"/>
        <v>0</v>
      </c>
      <c r="L172" s="144">
        <f t="shared" si="73"/>
        <v>3</v>
      </c>
      <c r="M172" s="50">
        <f t="shared" si="13"/>
        <v>0</v>
      </c>
      <c r="N172" s="40">
        <f t="shared" si="15"/>
        <v>564</v>
      </c>
      <c r="O172" s="43">
        <f t="shared" si="16"/>
        <v>739.5</v>
      </c>
    </row>
    <row r="173" spans="1:15" ht="22.95" customHeight="1" x14ac:dyDescent="0.3">
      <c r="A173" s="52" t="s">
        <v>268</v>
      </c>
      <c r="B173" s="44">
        <f t="shared" ref="B173:L173" si="74">B67+B68+B69+B70</f>
        <v>300</v>
      </c>
      <c r="C173" s="39">
        <f t="shared" si="74"/>
        <v>104</v>
      </c>
      <c r="D173" s="39">
        <f t="shared" si="74"/>
        <v>31</v>
      </c>
      <c r="E173" s="39">
        <f t="shared" si="74"/>
        <v>20</v>
      </c>
      <c r="F173" s="39">
        <f t="shared" si="74"/>
        <v>29</v>
      </c>
      <c r="G173" s="50">
        <f t="shared" si="74"/>
        <v>484</v>
      </c>
      <c r="H173" s="44">
        <f t="shared" si="74"/>
        <v>0</v>
      </c>
      <c r="I173" s="39">
        <f t="shared" si="74"/>
        <v>0</v>
      </c>
      <c r="J173" s="39">
        <f t="shared" si="74"/>
        <v>0</v>
      </c>
      <c r="K173" s="45">
        <f t="shared" si="74"/>
        <v>0</v>
      </c>
      <c r="L173" s="144">
        <f t="shared" si="74"/>
        <v>2</v>
      </c>
      <c r="M173" s="50">
        <f t="shared" si="13"/>
        <v>0</v>
      </c>
      <c r="N173" s="40">
        <f t="shared" si="15"/>
        <v>484</v>
      </c>
      <c r="O173" s="43">
        <f t="shared" si="16"/>
        <v>605</v>
      </c>
    </row>
    <row r="174" spans="1:15" ht="22.95" customHeight="1" x14ac:dyDescent="0.3">
      <c r="A174" s="52" t="s">
        <v>269</v>
      </c>
      <c r="B174" s="44">
        <f t="shared" ref="B174:L174" si="75">B68+B69+B70+B71</f>
        <v>227</v>
      </c>
      <c r="C174" s="39">
        <f t="shared" si="75"/>
        <v>82</v>
      </c>
      <c r="D174" s="39">
        <f t="shared" si="75"/>
        <v>23</v>
      </c>
      <c r="E174" s="39">
        <f t="shared" si="75"/>
        <v>18</v>
      </c>
      <c r="F174" s="39">
        <f t="shared" si="75"/>
        <v>33</v>
      </c>
      <c r="G174" s="50">
        <f t="shared" si="75"/>
        <v>383</v>
      </c>
      <c r="H174" s="44">
        <f t="shared" si="75"/>
        <v>0</v>
      </c>
      <c r="I174" s="39">
        <f t="shared" si="75"/>
        <v>0</v>
      </c>
      <c r="J174" s="39">
        <f t="shared" si="75"/>
        <v>0</v>
      </c>
      <c r="K174" s="45">
        <f t="shared" si="75"/>
        <v>0</v>
      </c>
      <c r="L174" s="144">
        <f t="shared" si="75"/>
        <v>1</v>
      </c>
      <c r="M174" s="50">
        <f t="shared" si="13"/>
        <v>0</v>
      </c>
      <c r="N174" s="40">
        <f t="shared" si="15"/>
        <v>383</v>
      </c>
      <c r="O174" s="43">
        <f t="shared" si="16"/>
        <v>513</v>
      </c>
    </row>
    <row r="175" spans="1:15" ht="22.95" customHeight="1" x14ac:dyDescent="0.3">
      <c r="A175" s="54" t="s">
        <v>241</v>
      </c>
      <c r="B175" s="44">
        <f t="shared" ref="B175:L175" si="76">B69+B70+B71+B72</f>
        <v>178</v>
      </c>
      <c r="C175" s="39">
        <f t="shared" si="76"/>
        <v>83</v>
      </c>
      <c r="D175" s="39">
        <f t="shared" si="76"/>
        <v>19</v>
      </c>
      <c r="E175" s="39">
        <f t="shared" si="76"/>
        <v>12</v>
      </c>
      <c r="F175" s="39">
        <f t="shared" si="76"/>
        <v>32</v>
      </c>
      <c r="G175" s="50">
        <f t="shared" si="76"/>
        <v>324</v>
      </c>
      <c r="H175" s="44">
        <f t="shared" si="76"/>
        <v>0</v>
      </c>
      <c r="I175" s="39">
        <f t="shared" si="76"/>
        <v>0</v>
      </c>
      <c r="J175" s="39">
        <f t="shared" si="76"/>
        <v>0</v>
      </c>
      <c r="K175" s="45">
        <f t="shared" si="76"/>
        <v>0</v>
      </c>
      <c r="L175" s="144">
        <f t="shared" si="76"/>
        <v>2</v>
      </c>
      <c r="M175" s="50">
        <f t="shared" si="13"/>
        <v>0</v>
      </c>
      <c r="N175" s="40">
        <f t="shared" si="15"/>
        <v>324</v>
      </c>
      <c r="O175" s="43">
        <f t="shared" si="16"/>
        <v>444</v>
      </c>
    </row>
    <row r="176" spans="1:15" ht="22.95" customHeight="1" x14ac:dyDescent="0.3">
      <c r="A176" s="52" t="s">
        <v>242</v>
      </c>
      <c r="B176" s="44">
        <f t="shared" ref="B176:L176" si="77">B70+B71+B72+B73</f>
        <v>169</v>
      </c>
      <c r="C176" s="39">
        <f t="shared" si="77"/>
        <v>81</v>
      </c>
      <c r="D176" s="39">
        <f t="shared" si="77"/>
        <v>17</v>
      </c>
      <c r="E176" s="39">
        <f t="shared" si="77"/>
        <v>13</v>
      </c>
      <c r="F176" s="39">
        <f t="shared" si="77"/>
        <v>26</v>
      </c>
      <c r="G176" s="50">
        <f t="shared" si="77"/>
        <v>306</v>
      </c>
      <c r="H176" s="44">
        <f t="shared" si="77"/>
        <v>1</v>
      </c>
      <c r="I176" s="39">
        <f t="shared" si="77"/>
        <v>0</v>
      </c>
      <c r="J176" s="39">
        <f t="shared" si="77"/>
        <v>0</v>
      </c>
      <c r="K176" s="45">
        <f t="shared" si="77"/>
        <v>0</v>
      </c>
      <c r="L176" s="144">
        <f t="shared" si="77"/>
        <v>1</v>
      </c>
      <c r="M176" s="50">
        <f t="shared" si="13"/>
        <v>1</v>
      </c>
      <c r="N176" s="40">
        <f t="shared" si="15"/>
        <v>307</v>
      </c>
      <c r="O176" s="43">
        <f t="shared" si="16"/>
        <v>399.5</v>
      </c>
    </row>
    <row r="177" spans="1:15" ht="22.95" customHeight="1" x14ac:dyDescent="0.3">
      <c r="A177" s="52" t="s">
        <v>243</v>
      </c>
      <c r="B177" s="44">
        <f t="shared" ref="B177:L177" si="78">B71+B72+B73+B74</f>
        <v>160</v>
      </c>
      <c r="C177" s="39">
        <f t="shared" si="78"/>
        <v>66</v>
      </c>
      <c r="D177" s="39">
        <f t="shared" si="78"/>
        <v>13</v>
      </c>
      <c r="E177" s="39">
        <f t="shared" si="78"/>
        <v>12</v>
      </c>
      <c r="F177" s="39">
        <f t="shared" si="78"/>
        <v>15</v>
      </c>
      <c r="G177" s="50">
        <f t="shared" si="78"/>
        <v>266</v>
      </c>
      <c r="H177" s="44">
        <f t="shared" si="78"/>
        <v>1</v>
      </c>
      <c r="I177" s="39">
        <f t="shared" si="78"/>
        <v>0</v>
      </c>
      <c r="J177" s="39">
        <f t="shared" si="78"/>
        <v>0</v>
      </c>
      <c r="K177" s="45">
        <f t="shared" si="78"/>
        <v>0</v>
      </c>
      <c r="L177" s="144">
        <f t="shared" si="78"/>
        <v>1</v>
      </c>
      <c r="M177" s="50">
        <f t="shared" si="13"/>
        <v>1</v>
      </c>
      <c r="N177" s="40">
        <f t="shared" si="15"/>
        <v>267</v>
      </c>
      <c r="O177" s="43">
        <f t="shared" si="16"/>
        <v>324.5</v>
      </c>
    </row>
    <row r="178" spans="1:15" ht="22.95" customHeight="1" x14ac:dyDescent="0.3">
      <c r="A178" s="52" t="s">
        <v>244</v>
      </c>
      <c r="B178" s="44">
        <f t="shared" ref="B178:L178" si="79">B72+B73+B74+B75</f>
        <v>153</v>
      </c>
      <c r="C178" s="39">
        <f t="shared" si="79"/>
        <v>67</v>
      </c>
      <c r="D178" s="39">
        <f t="shared" si="79"/>
        <v>14</v>
      </c>
      <c r="E178" s="39">
        <f t="shared" si="79"/>
        <v>10</v>
      </c>
      <c r="F178" s="39">
        <f t="shared" si="79"/>
        <v>10</v>
      </c>
      <c r="G178" s="50">
        <f t="shared" si="79"/>
        <v>254</v>
      </c>
      <c r="H178" s="44">
        <f t="shared" si="79"/>
        <v>1</v>
      </c>
      <c r="I178" s="39">
        <f t="shared" si="79"/>
        <v>0</v>
      </c>
      <c r="J178" s="39">
        <f t="shared" si="79"/>
        <v>0</v>
      </c>
      <c r="K178" s="45">
        <f t="shared" si="79"/>
        <v>0</v>
      </c>
      <c r="L178" s="144">
        <f t="shared" si="79"/>
        <v>1</v>
      </c>
      <c r="M178" s="50">
        <f t="shared" ref="M178:M206" si="80">SUM(H178:K178)</f>
        <v>1</v>
      </c>
      <c r="N178" s="40">
        <f t="shared" si="15"/>
        <v>255</v>
      </c>
      <c r="O178" s="43">
        <f t="shared" si="16"/>
        <v>291</v>
      </c>
    </row>
    <row r="179" spans="1:15" ht="22.95" customHeight="1" x14ac:dyDescent="0.3">
      <c r="A179" s="52" t="s">
        <v>245</v>
      </c>
      <c r="B179" s="44">
        <f t="shared" ref="B179:L179" si="81">B73+B74+B75+B76</f>
        <v>134</v>
      </c>
      <c r="C179" s="39">
        <f t="shared" si="81"/>
        <v>66</v>
      </c>
      <c r="D179" s="39">
        <f t="shared" si="81"/>
        <v>15</v>
      </c>
      <c r="E179" s="39">
        <f t="shared" si="81"/>
        <v>9</v>
      </c>
      <c r="F179" s="39">
        <f t="shared" si="81"/>
        <v>7</v>
      </c>
      <c r="G179" s="50">
        <f t="shared" si="81"/>
        <v>231</v>
      </c>
      <c r="H179" s="44">
        <f t="shared" si="81"/>
        <v>2</v>
      </c>
      <c r="I179" s="39">
        <f t="shared" si="81"/>
        <v>0</v>
      </c>
      <c r="J179" s="39">
        <f t="shared" si="81"/>
        <v>0</v>
      </c>
      <c r="K179" s="45">
        <f t="shared" si="81"/>
        <v>0</v>
      </c>
      <c r="L179" s="144">
        <f t="shared" si="81"/>
        <v>0</v>
      </c>
      <c r="M179" s="50">
        <f t="shared" si="80"/>
        <v>2</v>
      </c>
      <c r="N179" s="40">
        <f t="shared" ref="N179:N206" si="82">G179+M179</f>
        <v>233</v>
      </c>
      <c r="O179" s="43">
        <f t="shared" ref="O179:O206" si="83">B179*1+C179*0.5+D179*1.5+E179*3+F179*4.5+H179*0.5+I179*1.5+J179*3+K179*4+L179*8</f>
        <v>249</v>
      </c>
    </row>
    <row r="180" spans="1:15" s="138" customFormat="1" ht="22.95" customHeight="1" x14ac:dyDescent="0.3">
      <c r="A180" s="52" t="s">
        <v>246</v>
      </c>
      <c r="B180" s="122">
        <f t="shared" ref="B180:L180" si="84">B74+B75+B76+B77</f>
        <v>94</v>
      </c>
      <c r="C180" s="123">
        <f t="shared" si="84"/>
        <v>57</v>
      </c>
      <c r="D180" s="123">
        <f t="shared" si="84"/>
        <v>13</v>
      </c>
      <c r="E180" s="123">
        <f t="shared" si="84"/>
        <v>4</v>
      </c>
      <c r="F180" s="123">
        <f t="shared" si="84"/>
        <v>6</v>
      </c>
      <c r="G180" s="125">
        <f t="shared" si="84"/>
        <v>174</v>
      </c>
      <c r="H180" s="122">
        <f t="shared" si="84"/>
        <v>1</v>
      </c>
      <c r="I180" s="123">
        <f t="shared" si="84"/>
        <v>0</v>
      </c>
      <c r="J180" s="123">
        <f t="shared" si="84"/>
        <v>0</v>
      </c>
      <c r="K180" s="124">
        <f t="shared" si="84"/>
        <v>0</v>
      </c>
      <c r="L180" s="146">
        <f t="shared" si="84"/>
        <v>0</v>
      </c>
      <c r="M180" s="125">
        <f t="shared" si="80"/>
        <v>1</v>
      </c>
      <c r="N180" s="126">
        <f t="shared" si="82"/>
        <v>175</v>
      </c>
      <c r="O180" s="43">
        <f t="shared" si="83"/>
        <v>181.5</v>
      </c>
    </row>
    <row r="181" spans="1:15" ht="22.95" customHeight="1" x14ac:dyDescent="0.3">
      <c r="A181" s="52" t="s">
        <v>247</v>
      </c>
      <c r="B181" s="44">
        <f t="shared" ref="B181:L181" si="85">B75+B76+B77+B78</f>
        <v>73</v>
      </c>
      <c r="C181" s="39">
        <f t="shared" si="85"/>
        <v>53</v>
      </c>
      <c r="D181" s="39">
        <f t="shared" si="85"/>
        <v>11</v>
      </c>
      <c r="E181" s="39">
        <f t="shared" si="85"/>
        <v>1</v>
      </c>
      <c r="F181" s="39">
        <f t="shared" si="85"/>
        <v>6</v>
      </c>
      <c r="G181" s="50">
        <f t="shared" si="85"/>
        <v>144</v>
      </c>
      <c r="H181" s="44">
        <f t="shared" si="85"/>
        <v>1</v>
      </c>
      <c r="I181" s="39">
        <f t="shared" si="85"/>
        <v>0</v>
      </c>
      <c r="J181" s="39">
        <f t="shared" si="85"/>
        <v>0</v>
      </c>
      <c r="K181" s="45">
        <f t="shared" si="85"/>
        <v>0</v>
      </c>
      <c r="L181" s="144">
        <f t="shared" si="85"/>
        <v>0</v>
      </c>
      <c r="M181" s="50">
        <f t="shared" si="80"/>
        <v>1</v>
      </c>
      <c r="N181" s="40">
        <f t="shared" si="82"/>
        <v>145</v>
      </c>
      <c r="O181" s="43">
        <f t="shared" si="83"/>
        <v>146.5</v>
      </c>
    </row>
    <row r="182" spans="1:15" ht="22.95" customHeight="1" x14ac:dyDescent="0.3">
      <c r="A182" s="52" t="s">
        <v>248</v>
      </c>
      <c r="B182" s="44">
        <f t="shared" ref="B182:L182" si="86">B76+B77+B78+B79</f>
        <v>62</v>
      </c>
      <c r="C182" s="39">
        <f t="shared" si="86"/>
        <v>48</v>
      </c>
      <c r="D182" s="39">
        <f t="shared" si="86"/>
        <v>7</v>
      </c>
      <c r="E182" s="39">
        <f t="shared" si="86"/>
        <v>0</v>
      </c>
      <c r="F182" s="39">
        <f t="shared" si="86"/>
        <v>2</v>
      </c>
      <c r="G182" s="50">
        <f t="shared" si="86"/>
        <v>119</v>
      </c>
      <c r="H182" s="44">
        <f t="shared" si="86"/>
        <v>1</v>
      </c>
      <c r="I182" s="39">
        <f t="shared" si="86"/>
        <v>0</v>
      </c>
      <c r="J182" s="39">
        <f t="shared" si="86"/>
        <v>0</v>
      </c>
      <c r="K182" s="45">
        <f t="shared" si="86"/>
        <v>0</v>
      </c>
      <c r="L182" s="144">
        <f t="shared" si="86"/>
        <v>0</v>
      </c>
      <c r="M182" s="50">
        <f t="shared" si="80"/>
        <v>1</v>
      </c>
      <c r="N182" s="40">
        <f t="shared" si="82"/>
        <v>120</v>
      </c>
      <c r="O182" s="43">
        <f t="shared" si="83"/>
        <v>106</v>
      </c>
    </row>
    <row r="183" spans="1:15" ht="22.95" customHeight="1" x14ac:dyDescent="0.3">
      <c r="A183" s="52" t="s">
        <v>249</v>
      </c>
      <c r="B183" s="44">
        <f t="shared" ref="B183:L183" si="87">B77+B78+B79+B80</f>
        <v>45</v>
      </c>
      <c r="C183" s="39">
        <f t="shared" si="87"/>
        <v>28</v>
      </c>
      <c r="D183" s="39">
        <f t="shared" si="87"/>
        <v>4</v>
      </c>
      <c r="E183" s="39">
        <f t="shared" si="87"/>
        <v>1</v>
      </c>
      <c r="F183" s="39">
        <f t="shared" si="87"/>
        <v>0</v>
      </c>
      <c r="G183" s="50">
        <f t="shared" si="87"/>
        <v>78</v>
      </c>
      <c r="H183" s="44">
        <f t="shared" si="87"/>
        <v>0</v>
      </c>
      <c r="I183" s="39">
        <f t="shared" si="87"/>
        <v>0</v>
      </c>
      <c r="J183" s="39">
        <f t="shared" si="87"/>
        <v>0</v>
      </c>
      <c r="K183" s="45">
        <f t="shared" si="87"/>
        <v>0</v>
      </c>
      <c r="L183" s="144">
        <f t="shared" si="87"/>
        <v>0</v>
      </c>
      <c r="M183" s="50">
        <f t="shared" si="80"/>
        <v>0</v>
      </c>
      <c r="N183" s="40">
        <f t="shared" si="82"/>
        <v>78</v>
      </c>
      <c r="O183" s="43">
        <f t="shared" si="83"/>
        <v>68</v>
      </c>
    </row>
    <row r="184" spans="1:15" ht="22.95" customHeight="1" x14ac:dyDescent="0.3">
      <c r="A184" s="52" t="s">
        <v>250</v>
      </c>
      <c r="B184" s="44">
        <f t="shared" ref="B184:L184" si="88">B78+B79+B80+B81</f>
        <v>45</v>
      </c>
      <c r="C184" s="39">
        <f t="shared" si="88"/>
        <v>40</v>
      </c>
      <c r="D184" s="39">
        <f t="shared" si="88"/>
        <v>2</v>
      </c>
      <c r="E184" s="39">
        <f t="shared" si="88"/>
        <v>1</v>
      </c>
      <c r="F184" s="39">
        <f t="shared" si="88"/>
        <v>0</v>
      </c>
      <c r="G184" s="50">
        <f t="shared" si="88"/>
        <v>88</v>
      </c>
      <c r="H184" s="44">
        <f t="shared" si="88"/>
        <v>1</v>
      </c>
      <c r="I184" s="39">
        <f t="shared" si="88"/>
        <v>0</v>
      </c>
      <c r="J184" s="39">
        <f t="shared" si="88"/>
        <v>0</v>
      </c>
      <c r="K184" s="45">
        <f t="shared" si="88"/>
        <v>0</v>
      </c>
      <c r="L184" s="144">
        <f t="shared" si="88"/>
        <v>0</v>
      </c>
      <c r="M184" s="50">
        <f t="shared" si="80"/>
        <v>1</v>
      </c>
      <c r="N184" s="40">
        <f t="shared" si="82"/>
        <v>89</v>
      </c>
      <c r="O184" s="43">
        <f t="shared" si="83"/>
        <v>71.5</v>
      </c>
    </row>
    <row r="185" spans="1:15" ht="22.95" customHeight="1" x14ac:dyDescent="0.3">
      <c r="A185" s="52" t="s">
        <v>251</v>
      </c>
      <c r="B185" s="44">
        <f t="shared" ref="B185:L185" si="89">B79+B80+B81+B82</f>
        <v>47</v>
      </c>
      <c r="C185" s="39">
        <f t="shared" si="89"/>
        <v>47</v>
      </c>
      <c r="D185" s="39">
        <f t="shared" si="89"/>
        <v>2</v>
      </c>
      <c r="E185" s="39">
        <f t="shared" si="89"/>
        <v>1</v>
      </c>
      <c r="F185" s="39">
        <f t="shared" si="89"/>
        <v>0</v>
      </c>
      <c r="G185" s="50">
        <f t="shared" si="89"/>
        <v>97</v>
      </c>
      <c r="H185" s="44">
        <f t="shared" si="89"/>
        <v>1</v>
      </c>
      <c r="I185" s="39">
        <f t="shared" si="89"/>
        <v>0</v>
      </c>
      <c r="J185" s="39">
        <f t="shared" si="89"/>
        <v>0</v>
      </c>
      <c r="K185" s="45">
        <f t="shared" si="89"/>
        <v>0</v>
      </c>
      <c r="L185" s="144">
        <f t="shared" si="89"/>
        <v>0</v>
      </c>
      <c r="M185" s="50">
        <f t="shared" si="80"/>
        <v>1</v>
      </c>
      <c r="N185" s="40">
        <f t="shared" si="82"/>
        <v>98</v>
      </c>
      <c r="O185" s="43">
        <f t="shared" si="83"/>
        <v>77</v>
      </c>
    </row>
    <row r="186" spans="1:15" ht="22.95" customHeight="1" x14ac:dyDescent="0.3">
      <c r="A186" s="52" t="s">
        <v>252</v>
      </c>
      <c r="B186" s="44">
        <f t="shared" ref="B186:L186" si="90">B80+B81+B82+B83</f>
        <v>42</v>
      </c>
      <c r="C186" s="39">
        <f t="shared" si="90"/>
        <v>40</v>
      </c>
      <c r="D186" s="39">
        <f t="shared" si="90"/>
        <v>2</v>
      </c>
      <c r="E186" s="39">
        <f t="shared" si="90"/>
        <v>2</v>
      </c>
      <c r="F186" s="39">
        <f t="shared" si="90"/>
        <v>1</v>
      </c>
      <c r="G186" s="50">
        <f t="shared" si="90"/>
        <v>87</v>
      </c>
      <c r="H186" s="44">
        <f t="shared" si="90"/>
        <v>1</v>
      </c>
      <c r="I186" s="39">
        <f t="shared" si="90"/>
        <v>0</v>
      </c>
      <c r="J186" s="39">
        <f t="shared" si="90"/>
        <v>0</v>
      </c>
      <c r="K186" s="45">
        <f t="shared" si="90"/>
        <v>0</v>
      </c>
      <c r="L186" s="144">
        <f t="shared" si="90"/>
        <v>0</v>
      </c>
      <c r="M186" s="50">
        <f t="shared" si="80"/>
        <v>1</v>
      </c>
      <c r="N186" s="40">
        <f t="shared" si="82"/>
        <v>88</v>
      </c>
      <c r="O186" s="43">
        <f t="shared" si="83"/>
        <v>76</v>
      </c>
    </row>
    <row r="187" spans="1:15" ht="22.95" customHeight="1" x14ac:dyDescent="0.3">
      <c r="A187" s="52" t="s">
        <v>253</v>
      </c>
      <c r="B187" s="44">
        <f t="shared" ref="B187:L187" si="91">B81+B82+B83+B84</f>
        <v>45</v>
      </c>
      <c r="C187" s="39">
        <f t="shared" si="91"/>
        <v>49</v>
      </c>
      <c r="D187" s="39">
        <f t="shared" si="91"/>
        <v>0</v>
      </c>
      <c r="E187" s="39">
        <f t="shared" si="91"/>
        <v>1</v>
      </c>
      <c r="F187" s="39">
        <f t="shared" si="91"/>
        <v>1</v>
      </c>
      <c r="G187" s="50">
        <f t="shared" si="91"/>
        <v>96</v>
      </c>
      <c r="H187" s="44">
        <f t="shared" si="91"/>
        <v>1</v>
      </c>
      <c r="I187" s="39">
        <f t="shared" si="91"/>
        <v>0</v>
      </c>
      <c r="J187" s="39">
        <f t="shared" si="91"/>
        <v>0</v>
      </c>
      <c r="K187" s="45">
        <f t="shared" si="91"/>
        <v>0</v>
      </c>
      <c r="L187" s="144">
        <f t="shared" si="91"/>
        <v>0</v>
      </c>
      <c r="M187" s="50">
        <f t="shared" si="80"/>
        <v>1</v>
      </c>
      <c r="N187" s="40">
        <f t="shared" si="82"/>
        <v>97</v>
      </c>
      <c r="O187" s="43">
        <f t="shared" si="83"/>
        <v>77.5</v>
      </c>
    </row>
    <row r="188" spans="1:15" ht="22.95" customHeight="1" x14ac:dyDescent="0.3">
      <c r="A188" s="52" t="s">
        <v>254</v>
      </c>
      <c r="B188" s="44">
        <f t="shared" ref="B188:L188" si="92">B82+B83+B84+B85</f>
        <v>39</v>
      </c>
      <c r="C188" s="39">
        <f t="shared" si="92"/>
        <v>40</v>
      </c>
      <c r="D188" s="39">
        <f t="shared" si="92"/>
        <v>2</v>
      </c>
      <c r="E188" s="39">
        <f t="shared" si="92"/>
        <v>1</v>
      </c>
      <c r="F188" s="39">
        <f t="shared" si="92"/>
        <v>1</v>
      </c>
      <c r="G188" s="50">
        <f t="shared" si="92"/>
        <v>83</v>
      </c>
      <c r="H188" s="44">
        <f t="shared" si="92"/>
        <v>0</v>
      </c>
      <c r="I188" s="39">
        <f t="shared" si="92"/>
        <v>0</v>
      </c>
      <c r="J188" s="39">
        <f t="shared" si="92"/>
        <v>0</v>
      </c>
      <c r="K188" s="45">
        <f t="shared" si="92"/>
        <v>0</v>
      </c>
      <c r="L188" s="144">
        <f t="shared" si="92"/>
        <v>0</v>
      </c>
      <c r="M188" s="50">
        <f t="shared" si="80"/>
        <v>0</v>
      </c>
      <c r="N188" s="40">
        <f t="shared" si="82"/>
        <v>83</v>
      </c>
      <c r="O188" s="43">
        <f t="shared" si="83"/>
        <v>69.5</v>
      </c>
    </row>
    <row r="189" spans="1:15" ht="22.95" customHeight="1" x14ac:dyDescent="0.3">
      <c r="A189" s="52" t="s">
        <v>255</v>
      </c>
      <c r="B189" s="44">
        <f t="shared" ref="B189:L189" si="93">B83+B84+B85+B86</f>
        <v>31</v>
      </c>
      <c r="C189" s="39">
        <f t="shared" si="93"/>
        <v>45</v>
      </c>
      <c r="D189" s="39">
        <f t="shared" si="93"/>
        <v>4</v>
      </c>
      <c r="E189" s="39">
        <f t="shared" si="93"/>
        <v>2</v>
      </c>
      <c r="F189" s="39">
        <f t="shared" si="93"/>
        <v>1</v>
      </c>
      <c r="G189" s="50">
        <f t="shared" si="93"/>
        <v>83</v>
      </c>
      <c r="H189" s="44">
        <f t="shared" si="93"/>
        <v>0</v>
      </c>
      <c r="I189" s="39">
        <f t="shared" si="93"/>
        <v>0</v>
      </c>
      <c r="J189" s="39">
        <f t="shared" si="93"/>
        <v>0</v>
      </c>
      <c r="K189" s="45">
        <f t="shared" si="93"/>
        <v>0</v>
      </c>
      <c r="L189" s="144">
        <f t="shared" si="93"/>
        <v>0</v>
      </c>
      <c r="M189" s="50">
        <f t="shared" si="80"/>
        <v>0</v>
      </c>
      <c r="N189" s="40">
        <f t="shared" si="82"/>
        <v>83</v>
      </c>
      <c r="O189" s="43">
        <f t="shared" si="83"/>
        <v>70</v>
      </c>
    </row>
    <row r="190" spans="1:15" ht="22.95" customHeight="1" x14ac:dyDescent="0.3">
      <c r="A190" s="52" t="s">
        <v>256</v>
      </c>
      <c r="B190" s="44">
        <f t="shared" ref="B190:L190" si="94">B84+B85+B86+B87</f>
        <v>32</v>
      </c>
      <c r="C190" s="39">
        <f t="shared" si="94"/>
        <v>61</v>
      </c>
      <c r="D190" s="39">
        <f t="shared" si="94"/>
        <v>4</v>
      </c>
      <c r="E190" s="39">
        <f t="shared" si="94"/>
        <v>1</v>
      </c>
      <c r="F190" s="39">
        <f t="shared" si="94"/>
        <v>0</v>
      </c>
      <c r="G190" s="50">
        <f t="shared" si="94"/>
        <v>98</v>
      </c>
      <c r="H190" s="44">
        <f t="shared" si="94"/>
        <v>0</v>
      </c>
      <c r="I190" s="39">
        <f t="shared" si="94"/>
        <v>0</v>
      </c>
      <c r="J190" s="39">
        <f t="shared" si="94"/>
        <v>0</v>
      </c>
      <c r="K190" s="45">
        <f t="shared" si="94"/>
        <v>0</v>
      </c>
      <c r="L190" s="144">
        <f t="shared" si="94"/>
        <v>0</v>
      </c>
      <c r="M190" s="50">
        <f t="shared" si="80"/>
        <v>0</v>
      </c>
      <c r="N190" s="40">
        <f t="shared" si="82"/>
        <v>98</v>
      </c>
      <c r="O190" s="43">
        <f t="shared" si="83"/>
        <v>71.5</v>
      </c>
    </row>
    <row r="191" spans="1:15" ht="22.95" customHeight="1" x14ac:dyDescent="0.3">
      <c r="A191" s="52" t="s">
        <v>257</v>
      </c>
      <c r="B191" s="44">
        <f t="shared" ref="B191:L191" si="95">B85+B86+B87+B88</f>
        <v>43</v>
      </c>
      <c r="C191" s="39">
        <f t="shared" si="95"/>
        <v>81</v>
      </c>
      <c r="D191" s="39">
        <f t="shared" si="95"/>
        <v>5</v>
      </c>
      <c r="E191" s="39">
        <f t="shared" si="95"/>
        <v>4</v>
      </c>
      <c r="F191" s="39">
        <f t="shared" si="95"/>
        <v>0</v>
      </c>
      <c r="G191" s="50">
        <f t="shared" si="95"/>
        <v>133</v>
      </c>
      <c r="H191" s="44">
        <f t="shared" si="95"/>
        <v>1</v>
      </c>
      <c r="I191" s="39">
        <f t="shared" si="95"/>
        <v>0</v>
      </c>
      <c r="J191" s="39">
        <f t="shared" si="95"/>
        <v>0</v>
      </c>
      <c r="K191" s="45">
        <f t="shared" si="95"/>
        <v>0</v>
      </c>
      <c r="L191" s="144">
        <f t="shared" si="95"/>
        <v>0</v>
      </c>
      <c r="M191" s="50">
        <f t="shared" si="80"/>
        <v>1</v>
      </c>
      <c r="N191" s="40">
        <f t="shared" si="82"/>
        <v>134</v>
      </c>
      <c r="O191" s="43">
        <f t="shared" si="83"/>
        <v>103.5</v>
      </c>
    </row>
    <row r="192" spans="1:15" ht="22.95" customHeight="1" x14ac:dyDescent="0.3">
      <c r="A192" s="52" t="s">
        <v>258</v>
      </c>
      <c r="B192" s="44">
        <f t="shared" ref="B192:L192" si="96">B86+B87+B88+B89</f>
        <v>49</v>
      </c>
      <c r="C192" s="39">
        <f t="shared" si="96"/>
        <v>95</v>
      </c>
      <c r="D192" s="39">
        <f t="shared" si="96"/>
        <v>5</v>
      </c>
      <c r="E192" s="39">
        <f t="shared" si="96"/>
        <v>6</v>
      </c>
      <c r="F192" s="39">
        <f t="shared" si="96"/>
        <v>0</v>
      </c>
      <c r="G192" s="50">
        <f t="shared" si="96"/>
        <v>155</v>
      </c>
      <c r="H192" s="44">
        <f t="shared" si="96"/>
        <v>1</v>
      </c>
      <c r="I192" s="39">
        <f t="shared" si="96"/>
        <v>0</v>
      </c>
      <c r="J192" s="39">
        <f t="shared" si="96"/>
        <v>0</v>
      </c>
      <c r="K192" s="45">
        <f t="shared" si="96"/>
        <v>0</v>
      </c>
      <c r="L192" s="144">
        <f t="shared" si="96"/>
        <v>0</v>
      </c>
      <c r="M192" s="50">
        <f t="shared" si="80"/>
        <v>1</v>
      </c>
      <c r="N192" s="40">
        <f t="shared" si="82"/>
        <v>156</v>
      </c>
      <c r="O192" s="43">
        <f t="shared" si="83"/>
        <v>122.5</v>
      </c>
    </row>
    <row r="193" spans="1:15" ht="22.95" customHeight="1" x14ac:dyDescent="0.3">
      <c r="A193" s="52" t="s">
        <v>259</v>
      </c>
      <c r="B193" s="44">
        <f t="shared" ref="B193:L193" si="97">B87+B88+B89+B90</f>
        <v>59</v>
      </c>
      <c r="C193" s="39">
        <f t="shared" si="97"/>
        <v>109</v>
      </c>
      <c r="D193" s="39">
        <f t="shared" si="97"/>
        <v>4</v>
      </c>
      <c r="E193" s="39">
        <f t="shared" si="97"/>
        <v>5</v>
      </c>
      <c r="F193" s="39">
        <f t="shared" si="97"/>
        <v>1</v>
      </c>
      <c r="G193" s="50">
        <f t="shared" si="97"/>
        <v>178</v>
      </c>
      <c r="H193" s="44">
        <f t="shared" si="97"/>
        <v>2</v>
      </c>
      <c r="I193" s="39">
        <f t="shared" si="97"/>
        <v>0</v>
      </c>
      <c r="J193" s="39">
        <f t="shared" si="97"/>
        <v>0</v>
      </c>
      <c r="K193" s="45">
        <f t="shared" si="97"/>
        <v>0</v>
      </c>
      <c r="L193" s="144">
        <f t="shared" si="97"/>
        <v>0</v>
      </c>
      <c r="M193" s="50">
        <f t="shared" si="80"/>
        <v>2</v>
      </c>
      <c r="N193" s="40">
        <f t="shared" si="82"/>
        <v>180</v>
      </c>
      <c r="O193" s="43">
        <f t="shared" si="83"/>
        <v>140</v>
      </c>
    </row>
    <row r="194" spans="1:15" ht="22.95" customHeight="1" x14ac:dyDescent="0.3">
      <c r="A194" s="52" t="s">
        <v>260</v>
      </c>
      <c r="B194" s="44">
        <f t="shared" ref="B194:L194" si="98">B88+B89+B90+B91</f>
        <v>70</v>
      </c>
      <c r="C194" s="39">
        <f t="shared" si="98"/>
        <v>123</v>
      </c>
      <c r="D194" s="39">
        <f t="shared" si="98"/>
        <v>4</v>
      </c>
      <c r="E194" s="39">
        <f t="shared" si="98"/>
        <v>6</v>
      </c>
      <c r="F194" s="39">
        <f t="shared" si="98"/>
        <v>1</v>
      </c>
      <c r="G194" s="50">
        <f t="shared" si="98"/>
        <v>204</v>
      </c>
      <c r="H194" s="44">
        <f t="shared" si="98"/>
        <v>2</v>
      </c>
      <c r="I194" s="39">
        <f t="shared" si="98"/>
        <v>0</v>
      </c>
      <c r="J194" s="39">
        <f t="shared" si="98"/>
        <v>0</v>
      </c>
      <c r="K194" s="45">
        <f t="shared" si="98"/>
        <v>0</v>
      </c>
      <c r="L194" s="144">
        <f t="shared" si="98"/>
        <v>0</v>
      </c>
      <c r="M194" s="50">
        <f t="shared" si="80"/>
        <v>2</v>
      </c>
      <c r="N194" s="40">
        <f t="shared" si="82"/>
        <v>206</v>
      </c>
      <c r="O194" s="43">
        <f t="shared" si="83"/>
        <v>161</v>
      </c>
    </row>
    <row r="195" spans="1:15" ht="22.95" customHeight="1" x14ac:dyDescent="0.3">
      <c r="A195" s="52" t="s">
        <v>261</v>
      </c>
      <c r="B195" s="44">
        <f t="shared" ref="B195:L195" si="99">B89+B90+B91+B92</f>
        <v>74</v>
      </c>
      <c r="C195" s="39">
        <f t="shared" si="99"/>
        <v>139</v>
      </c>
      <c r="D195" s="39">
        <f t="shared" si="99"/>
        <v>3</v>
      </c>
      <c r="E195" s="39">
        <f t="shared" si="99"/>
        <v>3</v>
      </c>
      <c r="F195" s="39">
        <f t="shared" si="99"/>
        <v>2</v>
      </c>
      <c r="G195" s="50">
        <f t="shared" si="99"/>
        <v>221</v>
      </c>
      <c r="H195" s="44">
        <f t="shared" si="99"/>
        <v>1</v>
      </c>
      <c r="I195" s="39">
        <f t="shared" si="99"/>
        <v>0</v>
      </c>
      <c r="J195" s="39">
        <f t="shared" si="99"/>
        <v>0</v>
      </c>
      <c r="K195" s="45">
        <f t="shared" si="99"/>
        <v>0</v>
      </c>
      <c r="L195" s="144">
        <f t="shared" si="99"/>
        <v>0</v>
      </c>
      <c r="M195" s="50">
        <f t="shared" si="80"/>
        <v>1</v>
      </c>
      <c r="N195" s="40">
        <f t="shared" si="82"/>
        <v>222</v>
      </c>
      <c r="O195" s="43">
        <f t="shared" si="83"/>
        <v>166.5</v>
      </c>
    </row>
    <row r="196" spans="1:15" ht="22.95" customHeight="1" x14ac:dyDescent="0.3">
      <c r="A196" s="52" t="s">
        <v>270</v>
      </c>
      <c r="B196" s="44">
        <f t="shared" ref="B196:L196" si="100">B90+B91+B92+B93</f>
        <v>96</v>
      </c>
      <c r="C196" s="39">
        <f t="shared" si="100"/>
        <v>195</v>
      </c>
      <c r="D196" s="39">
        <f t="shared" si="100"/>
        <v>2</v>
      </c>
      <c r="E196" s="39">
        <f t="shared" si="100"/>
        <v>2</v>
      </c>
      <c r="F196" s="39">
        <f t="shared" si="100"/>
        <v>3</v>
      </c>
      <c r="G196" s="50">
        <f t="shared" si="100"/>
        <v>298</v>
      </c>
      <c r="H196" s="44">
        <f t="shared" si="100"/>
        <v>1</v>
      </c>
      <c r="I196" s="39">
        <f t="shared" si="100"/>
        <v>0</v>
      </c>
      <c r="J196" s="39">
        <f t="shared" si="100"/>
        <v>0</v>
      </c>
      <c r="K196" s="45">
        <f t="shared" si="100"/>
        <v>0</v>
      </c>
      <c r="L196" s="144">
        <f t="shared" si="100"/>
        <v>0</v>
      </c>
      <c r="M196" s="50">
        <f t="shared" si="80"/>
        <v>1</v>
      </c>
      <c r="N196" s="40">
        <f t="shared" si="82"/>
        <v>299</v>
      </c>
      <c r="O196" s="43">
        <f t="shared" si="83"/>
        <v>216.5</v>
      </c>
    </row>
    <row r="197" spans="1:15" ht="22.95" customHeight="1" x14ac:dyDescent="0.3">
      <c r="A197" s="52" t="s">
        <v>271</v>
      </c>
      <c r="B197" s="44">
        <f t="shared" ref="B197:L197" si="101">B91+B92+B93+B94</f>
        <v>136</v>
      </c>
      <c r="C197" s="39">
        <f t="shared" si="101"/>
        <v>277</v>
      </c>
      <c r="D197" s="39">
        <f t="shared" si="101"/>
        <v>2</v>
      </c>
      <c r="E197" s="39">
        <f t="shared" si="101"/>
        <v>4</v>
      </c>
      <c r="F197" s="39">
        <f t="shared" si="101"/>
        <v>4</v>
      </c>
      <c r="G197" s="50">
        <f t="shared" si="101"/>
        <v>423</v>
      </c>
      <c r="H197" s="44">
        <f t="shared" si="101"/>
        <v>1</v>
      </c>
      <c r="I197" s="39">
        <f t="shared" si="101"/>
        <v>0</v>
      </c>
      <c r="J197" s="39">
        <f t="shared" si="101"/>
        <v>0</v>
      </c>
      <c r="K197" s="45">
        <f t="shared" si="101"/>
        <v>0</v>
      </c>
      <c r="L197" s="144">
        <f t="shared" si="101"/>
        <v>2</v>
      </c>
      <c r="M197" s="50">
        <f t="shared" si="80"/>
        <v>1</v>
      </c>
      <c r="N197" s="40">
        <f t="shared" si="82"/>
        <v>424</v>
      </c>
      <c r="O197" s="43">
        <f t="shared" si="83"/>
        <v>324</v>
      </c>
    </row>
    <row r="198" spans="1:15" ht="22.95" customHeight="1" x14ac:dyDescent="0.3">
      <c r="A198" s="52" t="s">
        <v>279</v>
      </c>
      <c r="B198" s="44">
        <f t="shared" ref="B198:L198" si="102">B92+B93+B94+B95</f>
        <v>205</v>
      </c>
      <c r="C198" s="39">
        <f t="shared" si="102"/>
        <v>405</v>
      </c>
      <c r="D198" s="39">
        <f t="shared" si="102"/>
        <v>2</v>
      </c>
      <c r="E198" s="39">
        <f t="shared" si="102"/>
        <v>6</v>
      </c>
      <c r="F198" s="39">
        <f t="shared" si="102"/>
        <v>7</v>
      </c>
      <c r="G198" s="50">
        <f t="shared" si="102"/>
        <v>625</v>
      </c>
      <c r="H198" s="44">
        <f t="shared" si="102"/>
        <v>1</v>
      </c>
      <c r="I198" s="39">
        <f t="shared" si="102"/>
        <v>0</v>
      </c>
      <c r="J198" s="39">
        <f t="shared" si="102"/>
        <v>0</v>
      </c>
      <c r="K198" s="45">
        <f t="shared" si="102"/>
        <v>0</v>
      </c>
      <c r="L198" s="144">
        <f t="shared" si="102"/>
        <v>4</v>
      </c>
      <c r="M198" s="50">
        <f t="shared" si="80"/>
        <v>1</v>
      </c>
      <c r="N198" s="40">
        <f t="shared" si="82"/>
        <v>626</v>
      </c>
      <c r="O198" s="43">
        <f t="shared" si="83"/>
        <v>492.5</v>
      </c>
    </row>
    <row r="199" spans="1:15" ht="22.95" customHeight="1" x14ac:dyDescent="0.3">
      <c r="A199" s="52" t="s">
        <v>62</v>
      </c>
      <c r="B199" s="44">
        <f t="shared" ref="B199:L199" si="103">B93+B94+B95+B96</f>
        <v>292</v>
      </c>
      <c r="C199" s="39">
        <f t="shared" si="103"/>
        <v>556</v>
      </c>
      <c r="D199" s="39">
        <f t="shared" si="103"/>
        <v>4</v>
      </c>
      <c r="E199" s="39">
        <f t="shared" si="103"/>
        <v>6</v>
      </c>
      <c r="F199" s="39">
        <f t="shared" si="103"/>
        <v>8</v>
      </c>
      <c r="G199" s="50">
        <f t="shared" si="103"/>
        <v>866</v>
      </c>
      <c r="H199" s="44">
        <f t="shared" si="103"/>
        <v>1</v>
      </c>
      <c r="I199" s="39">
        <f t="shared" si="103"/>
        <v>0</v>
      </c>
      <c r="J199" s="39">
        <f t="shared" si="103"/>
        <v>0</v>
      </c>
      <c r="K199" s="45">
        <f t="shared" si="103"/>
        <v>0</v>
      </c>
      <c r="L199" s="144">
        <f t="shared" si="103"/>
        <v>4</v>
      </c>
      <c r="M199" s="50">
        <f t="shared" si="80"/>
        <v>1</v>
      </c>
      <c r="N199" s="40">
        <f t="shared" si="82"/>
        <v>867</v>
      </c>
      <c r="O199" s="43">
        <f t="shared" si="83"/>
        <v>662.5</v>
      </c>
    </row>
    <row r="200" spans="1:15" ht="22.95" customHeight="1" x14ac:dyDescent="0.3">
      <c r="A200" s="52" t="s">
        <v>63</v>
      </c>
      <c r="B200" s="44">
        <f t="shared" ref="B200:L200" si="104">B94+B95+B96+B97</f>
        <v>415</v>
      </c>
      <c r="C200" s="39">
        <f t="shared" si="104"/>
        <v>725</v>
      </c>
      <c r="D200" s="39">
        <f t="shared" si="104"/>
        <v>5</v>
      </c>
      <c r="E200" s="39">
        <f t="shared" si="104"/>
        <v>7</v>
      </c>
      <c r="F200" s="39">
        <f t="shared" si="104"/>
        <v>11</v>
      </c>
      <c r="G200" s="50">
        <f t="shared" si="104"/>
        <v>1163</v>
      </c>
      <c r="H200" s="44">
        <f t="shared" si="104"/>
        <v>2</v>
      </c>
      <c r="I200" s="39">
        <f t="shared" si="104"/>
        <v>0</v>
      </c>
      <c r="J200" s="39">
        <f t="shared" si="104"/>
        <v>0</v>
      </c>
      <c r="K200" s="45">
        <f t="shared" si="104"/>
        <v>0</v>
      </c>
      <c r="L200" s="144">
        <f t="shared" si="104"/>
        <v>5</v>
      </c>
      <c r="M200" s="50">
        <f t="shared" si="80"/>
        <v>2</v>
      </c>
      <c r="N200" s="40">
        <f t="shared" si="82"/>
        <v>1165</v>
      </c>
      <c r="O200" s="43">
        <f t="shared" si="83"/>
        <v>896.5</v>
      </c>
    </row>
    <row r="201" spans="1:15" ht="22.95" customHeight="1" x14ac:dyDescent="0.3">
      <c r="A201" s="52" t="s">
        <v>64</v>
      </c>
      <c r="B201" s="44">
        <f t="shared" ref="B201:L201" si="105">B95+B96+B97+B98</f>
        <v>576</v>
      </c>
      <c r="C201" s="39">
        <f t="shared" si="105"/>
        <v>927</v>
      </c>
      <c r="D201" s="39">
        <f t="shared" si="105"/>
        <v>5</v>
      </c>
      <c r="E201" s="39">
        <f t="shared" si="105"/>
        <v>8</v>
      </c>
      <c r="F201" s="39">
        <f t="shared" si="105"/>
        <v>9</v>
      </c>
      <c r="G201" s="50">
        <f t="shared" si="105"/>
        <v>1525</v>
      </c>
      <c r="H201" s="44">
        <f t="shared" si="105"/>
        <v>3</v>
      </c>
      <c r="I201" s="39">
        <f t="shared" si="105"/>
        <v>0</v>
      </c>
      <c r="J201" s="39">
        <f t="shared" si="105"/>
        <v>0</v>
      </c>
      <c r="K201" s="45">
        <f t="shared" si="105"/>
        <v>0</v>
      </c>
      <c r="L201" s="144">
        <f t="shared" si="105"/>
        <v>5</v>
      </c>
      <c r="M201" s="50">
        <f t="shared" si="80"/>
        <v>3</v>
      </c>
      <c r="N201" s="40">
        <f t="shared" si="82"/>
        <v>1528</v>
      </c>
      <c r="O201" s="43">
        <f t="shared" si="83"/>
        <v>1153</v>
      </c>
    </row>
    <row r="202" spans="1:15" ht="22.95" customHeight="1" x14ac:dyDescent="0.3">
      <c r="A202" s="52" t="s">
        <v>65</v>
      </c>
      <c r="B202" s="44">
        <f t="shared" ref="B202:L202" si="106">B96+B97+B98+B99</f>
        <v>751</v>
      </c>
      <c r="C202" s="39">
        <f t="shared" si="106"/>
        <v>1126</v>
      </c>
      <c r="D202" s="39">
        <f t="shared" si="106"/>
        <v>7</v>
      </c>
      <c r="E202" s="39">
        <f t="shared" si="106"/>
        <v>8</v>
      </c>
      <c r="F202" s="39">
        <f t="shared" si="106"/>
        <v>8</v>
      </c>
      <c r="G202" s="50">
        <f t="shared" si="106"/>
        <v>1900</v>
      </c>
      <c r="H202" s="44">
        <f t="shared" si="106"/>
        <v>3</v>
      </c>
      <c r="I202" s="39">
        <f t="shared" si="106"/>
        <v>0</v>
      </c>
      <c r="J202" s="39">
        <f t="shared" si="106"/>
        <v>0</v>
      </c>
      <c r="K202" s="45">
        <f t="shared" si="106"/>
        <v>0</v>
      </c>
      <c r="L202" s="144">
        <f t="shared" si="106"/>
        <v>3</v>
      </c>
      <c r="M202" s="50">
        <f t="shared" si="80"/>
        <v>3</v>
      </c>
      <c r="N202" s="40">
        <f t="shared" si="82"/>
        <v>1903</v>
      </c>
      <c r="O202" s="43">
        <f t="shared" si="83"/>
        <v>1410</v>
      </c>
    </row>
    <row r="203" spans="1:15" ht="22.95" customHeight="1" x14ac:dyDescent="0.3">
      <c r="A203" s="52" t="s">
        <v>66</v>
      </c>
      <c r="B203" s="44">
        <f t="shared" ref="B203:L203" si="107">B97+B98+B99+B100</f>
        <v>935</v>
      </c>
      <c r="C203" s="39">
        <f t="shared" si="107"/>
        <v>1331</v>
      </c>
      <c r="D203" s="39">
        <f t="shared" si="107"/>
        <v>10</v>
      </c>
      <c r="E203" s="39">
        <f t="shared" si="107"/>
        <v>10</v>
      </c>
      <c r="F203" s="39">
        <f t="shared" si="107"/>
        <v>8</v>
      </c>
      <c r="G203" s="50">
        <f t="shared" si="107"/>
        <v>2294</v>
      </c>
      <c r="H203" s="44">
        <f t="shared" si="107"/>
        <v>5</v>
      </c>
      <c r="I203" s="39">
        <f t="shared" si="107"/>
        <v>0</v>
      </c>
      <c r="J203" s="39">
        <f t="shared" si="107"/>
        <v>0</v>
      </c>
      <c r="K203" s="45">
        <f t="shared" si="107"/>
        <v>0</v>
      </c>
      <c r="L203" s="144">
        <f t="shared" si="107"/>
        <v>4</v>
      </c>
      <c r="M203" s="50">
        <f t="shared" si="80"/>
        <v>5</v>
      </c>
      <c r="N203" s="40">
        <f t="shared" si="82"/>
        <v>2299</v>
      </c>
      <c r="O203" s="43">
        <f t="shared" si="83"/>
        <v>1716</v>
      </c>
    </row>
    <row r="204" spans="1:15" ht="22.95" customHeight="1" x14ac:dyDescent="0.3">
      <c r="A204" s="52" t="s">
        <v>67</v>
      </c>
      <c r="B204" s="44">
        <f t="shared" ref="B204:L204" si="108">B98+B99+B100+B101</f>
        <v>1143</v>
      </c>
      <c r="C204" s="39">
        <f t="shared" si="108"/>
        <v>1580</v>
      </c>
      <c r="D204" s="39">
        <f t="shared" si="108"/>
        <v>12</v>
      </c>
      <c r="E204" s="39">
        <f t="shared" si="108"/>
        <v>15</v>
      </c>
      <c r="F204" s="39">
        <f t="shared" si="108"/>
        <v>9</v>
      </c>
      <c r="G204" s="50">
        <f t="shared" si="108"/>
        <v>2759</v>
      </c>
      <c r="H204" s="44">
        <f t="shared" si="108"/>
        <v>6</v>
      </c>
      <c r="I204" s="39">
        <f t="shared" si="108"/>
        <v>0</v>
      </c>
      <c r="J204" s="39">
        <f t="shared" si="108"/>
        <v>0</v>
      </c>
      <c r="K204" s="45">
        <f t="shared" si="108"/>
        <v>0</v>
      </c>
      <c r="L204" s="144">
        <f t="shared" si="108"/>
        <v>5</v>
      </c>
      <c r="M204" s="50">
        <f t="shared" si="80"/>
        <v>6</v>
      </c>
      <c r="N204" s="40">
        <f t="shared" si="82"/>
        <v>2765</v>
      </c>
      <c r="O204" s="43">
        <f t="shared" si="83"/>
        <v>2079.5</v>
      </c>
    </row>
    <row r="205" spans="1:15" ht="22.95" customHeight="1" x14ac:dyDescent="0.3">
      <c r="A205" s="52" t="s">
        <v>68</v>
      </c>
      <c r="B205" s="44">
        <f t="shared" ref="B205:L205" si="109">B99+B100+B101+B102</f>
        <v>1335</v>
      </c>
      <c r="C205" s="39">
        <f t="shared" si="109"/>
        <v>1846</v>
      </c>
      <c r="D205" s="39">
        <f t="shared" si="109"/>
        <v>17</v>
      </c>
      <c r="E205" s="39">
        <f t="shared" si="109"/>
        <v>19</v>
      </c>
      <c r="F205" s="39">
        <f t="shared" si="109"/>
        <v>12</v>
      </c>
      <c r="G205" s="50">
        <f t="shared" si="109"/>
        <v>3229</v>
      </c>
      <c r="H205" s="44">
        <f t="shared" si="109"/>
        <v>6</v>
      </c>
      <c r="I205" s="39">
        <f t="shared" si="109"/>
        <v>0</v>
      </c>
      <c r="J205" s="39">
        <f t="shared" si="109"/>
        <v>0</v>
      </c>
      <c r="K205" s="45">
        <f t="shared" si="109"/>
        <v>0</v>
      </c>
      <c r="L205" s="144">
        <f t="shared" si="109"/>
        <v>7</v>
      </c>
      <c r="M205" s="50">
        <f t="shared" si="80"/>
        <v>6</v>
      </c>
      <c r="N205" s="40">
        <f t="shared" si="82"/>
        <v>3235</v>
      </c>
      <c r="O205" s="43">
        <f t="shared" si="83"/>
        <v>2453.5</v>
      </c>
    </row>
    <row r="206" spans="1:15" ht="22.95" customHeight="1" thickBot="1" x14ac:dyDescent="0.35">
      <c r="A206" s="52" t="s">
        <v>69</v>
      </c>
      <c r="B206" s="46">
        <f t="shared" ref="B206:L206" si="110">B100+B101+B102+B103</f>
        <v>1550</v>
      </c>
      <c r="C206" s="47">
        <f t="shared" si="110"/>
        <v>2136</v>
      </c>
      <c r="D206" s="47">
        <f t="shared" si="110"/>
        <v>21</v>
      </c>
      <c r="E206" s="47">
        <f t="shared" si="110"/>
        <v>26</v>
      </c>
      <c r="F206" s="47">
        <f t="shared" si="110"/>
        <v>18</v>
      </c>
      <c r="G206" s="50">
        <f t="shared" si="110"/>
        <v>3751</v>
      </c>
      <c r="H206" s="44">
        <f t="shared" si="110"/>
        <v>9</v>
      </c>
      <c r="I206" s="39">
        <f t="shared" si="110"/>
        <v>0</v>
      </c>
      <c r="J206" s="39">
        <f t="shared" si="110"/>
        <v>0</v>
      </c>
      <c r="K206" s="45">
        <f t="shared" si="110"/>
        <v>0</v>
      </c>
      <c r="L206" s="145">
        <f t="shared" si="110"/>
        <v>10</v>
      </c>
      <c r="M206" s="50">
        <f t="shared" si="80"/>
        <v>9</v>
      </c>
      <c r="N206" s="40">
        <f t="shared" si="82"/>
        <v>3760</v>
      </c>
      <c r="O206" s="43">
        <f t="shared" si="83"/>
        <v>2893</v>
      </c>
    </row>
  </sheetData>
  <mergeCells count="31">
    <mergeCell ref="O6:O7"/>
    <mergeCell ref="D112:D113"/>
    <mergeCell ref="E112:E113"/>
    <mergeCell ref="K112:K113"/>
    <mergeCell ref="M112:M113"/>
    <mergeCell ref="N112:N113"/>
    <mergeCell ref="O112:O113"/>
    <mergeCell ref="E6:E7"/>
    <mergeCell ref="K6:K7"/>
    <mergeCell ref="M6:M7"/>
    <mergeCell ref="N6:N7"/>
    <mergeCell ref="L6:L7"/>
    <mergeCell ref="L112:L113"/>
    <mergeCell ref="F112:F113"/>
    <mergeCell ref="G112:G113"/>
    <mergeCell ref="A1:J1"/>
    <mergeCell ref="H112:H113"/>
    <mergeCell ref="I112:I113"/>
    <mergeCell ref="J112:J113"/>
    <mergeCell ref="A112:A113"/>
    <mergeCell ref="C112:C113"/>
    <mergeCell ref="A6:A7"/>
    <mergeCell ref="C6:C7"/>
    <mergeCell ref="D6:D7"/>
    <mergeCell ref="H6:H7"/>
    <mergeCell ref="F6:F7"/>
    <mergeCell ref="I6:I7"/>
    <mergeCell ref="B6:B7"/>
    <mergeCell ref="B112:B113"/>
    <mergeCell ref="J6:J7"/>
    <mergeCell ref="G6:G7"/>
  </mergeCells>
  <pageMargins left="0.7" right="0.7" top="0.75" bottom="0.75" header="0.3" footer="0.3"/>
  <pageSetup paperSize="9" scale="28" orientation="portrait" r:id="rId1"/>
  <rowBreaks count="1" manualBreakCount="1">
    <brk id="106" max="16383" man="1"/>
  </row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206"/>
  <sheetViews>
    <sheetView view="pageBreakPreview" zoomScale="60" zoomScaleNormal="70" workbookViewId="0">
      <selection activeCell="A114" sqref="A114:A206"/>
    </sheetView>
  </sheetViews>
  <sheetFormatPr defaultColWidth="9" defaultRowHeight="15.6" x14ac:dyDescent="0.3"/>
  <cols>
    <col min="1" max="1" width="21.59765625" customWidth="1"/>
    <col min="2" max="7" width="11.69921875" customWidth="1"/>
    <col min="8" max="8" width="18.8984375" bestFit="1" customWidth="1"/>
    <col min="9" max="15" width="11.69921875" customWidth="1"/>
  </cols>
  <sheetData>
    <row r="1" spans="1:15" x14ac:dyDescent="0.3">
      <c r="A1" s="247" t="s">
        <v>99</v>
      </c>
      <c r="B1" s="247"/>
      <c r="C1" s="247"/>
      <c r="D1" s="247"/>
      <c r="E1" s="247"/>
      <c r="F1" s="247"/>
      <c r="G1" s="247"/>
      <c r="H1" s="247"/>
      <c r="I1" s="247"/>
      <c r="J1" s="247"/>
    </row>
    <row r="2" spans="1:15" s="4" customFormat="1" x14ac:dyDescent="0.3">
      <c r="A2" s="4" t="s">
        <v>103</v>
      </c>
      <c r="B2" s="4" t="str">
        <f>Summary!B2</f>
        <v>TMC-14 Number (D2)</v>
      </c>
      <c r="H2" s="181">
        <f>+Summary!I1</f>
        <v>46245</v>
      </c>
    </row>
    <row r="3" spans="1:15" s="4" customFormat="1" x14ac:dyDescent="0.3">
      <c r="A3" s="4" t="s">
        <v>102</v>
      </c>
      <c r="B3" s="4" t="str">
        <f>Summary!B3</f>
        <v>D2</v>
      </c>
      <c r="H3" s="181" t="str">
        <f>+Summary!I2</f>
        <v>Tuesday</v>
      </c>
    </row>
    <row r="4" spans="1:15" s="4" customFormat="1" x14ac:dyDescent="0.3">
      <c r="A4" s="4" t="s">
        <v>104</v>
      </c>
      <c r="B4" s="4" t="str">
        <f>+Summary!A7</f>
        <v>Delhi</v>
      </c>
    </row>
    <row r="5" spans="1:15" ht="16.2" thickBot="1" x14ac:dyDescent="0.35"/>
    <row r="6" spans="1:15" ht="25.2" customHeight="1" x14ac:dyDescent="0.3">
      <c r="A6" s="252" t="s">
        <v>95</v>
      </c>
      <c r="B6" s="258" t="s">
        <v>280</v>
      </c>
      <c r="C6" s="254" t="s">
        <v>281</v>
      </c>
      <c r="D6" s="250" t="s">
        <v>282</v>
      </c>
      <c r="E6" s="260" t="s">
        <v>283</v>
      </c>
      <c r="F6" s="256" t="s">
        <v>284</v>
      </c>
      <c r="G6" s="250" t="s">
        <v>129</v>
      </c>
      <c r="H6" s="248" t="s">
        <v>150</v>
      </c>
      <c r="I6" s="250" t="s">
        <v>151</v>
      </c>
      <c r="J6" s="250" t="s">
        <v>285</v>
      </c>
      <c r="K6" s="248" t="s">
        <v>286</v>
      </c>
      <c r="L6" s="250" t="s">
        <v>287</v>
      </c>
      <c r="M6" s="250" t="s">
        <v>78</v>
      </c>
      <c r="N6" s="250" t="s">
        <v>131</v>
      </c>
      <c r="O6" s="250" t="s">
        <v>132</v>
      </c>
    </row>
    <row r="7" spans="1:15" ht="43.5" customHeight="1" thickBot="1" x14ac:dyDescent="0.35">
      <c r="A7" s="253"/>
      <c r="B7" s="259"/>
      <c r="C7" s="255"/>
      <c r="D7" s="251"/>
      <c r="E7" s="261"/>
      <c r="F7" s="257"/>
      <c r="G7" s="259"/>
      <c r="H7" s="249"/>
      <c r="I7" s="251"/>
      <c r="J7" s="251"/>
      <c r="K7" s="249"/>
      <c r="L7" s="251"/>
      <c r="M7" s="251"/>
      <c r="N7" s="251"/>
      <c r="O7" s="251"/>
    </row>
    <row r="8" spans="1:15" ht="22.5" customHeight="1" x14ac:dyDescent="0.3">
      <c r="A8" s="148" t="s">
        <v>177</v>
      </c>
      <c r="B8" s="112">
        <f>V_4!B8+V_5!B8+V_6!B8</f>
        <v>55</v>
      </c>
      <c r="C8" s="113">
        <f>V_4!C8+V_5!C8+V_6!C8</f>
        <v>102</v>
      </c>
      <c r="D8" s="113">
        <f>V_4!D8+V_5!D8+V_6!D8</f>
        <v>23</v>
      </c>
      <c r="E8" s="113">
        <f>V_4!E8+V_5!E8+V_6!E8</f>
        <v>8</v>
      </c>
      <c r="F8" s="151">
        <f>V_4!F8+V_5!F8+V_6!F8</f>
        <v>41</v>
      </c>
      <c r="G8" s="79">
        <f t="shared" ref="G8:G39" si="0">SUM(B8:F8)</f>
        <v>229</v>
      </c>
      <c r="H8" s="112">
        <f>V_4!H8+V_5!H8+V_6!H8</f>
        <v>0</v>
      </c>
      <c r="I8" s="113">
        <f>V_4!I8+V_5!I8+V_6!I8</f>
        <v>0</v>
      </c>
      <c r="J8" s="113">
        <f>V_4!J8+V_5!J8+V_6!J8</f>
        <v>0</v>
      </c>
      <c r="K8" s="114">
        <f>V_4!K8+V_5!K8+V_6!K8</f>
        <v>0</v>
      </c>
      <c r="L8" s="139">
        <f>V_4!L8+V_5!L8+V_6!L8</f>
        <v>4</v>
      </c>
      <c r="M8" s="148">
        <f>SUM(H8:L8)</f>
        <v>4</v>
      </c>
      <c r="N8" s="43">
        <f>G8+M8</f>
        <v>233</v>
      </c>
      <c r="O8" s="115">
        <f>B8*1+C8*0.5+D8*1.5+E8*3+F8*4.5+H8*0.5+I8*1.5+J8*3+K8*4+L8*8</f>
        <v>381</v>
      </c>
    </row>
    <row r="9" spans="1:15" ht="22.5" customHeight="1" x14ac:dyDescent="0.3">
      <c r="A9" s="149" t="s">
        <v>178</v>
      </c>
      <c r="B9" s="44">
        <f>V_4!B9+V_5!B9+V_6!B9</f>
        <v>95</v>
      </c>
      <c r="C9" s="39">
        <f>V_4!C9+V_5!C9+V_6!C9</f>
        <v>130</v>
      </c>
      <c r="D9" s="39">
        <f>V_4!D9+V_5!D9+V_6!D9</f>
        <v>24</v>
      </c>
      <c r="E9" s="39">
        <f>V_4!E9+V_5!E9+V_6!E9</f>
        <v>4</v>
      </c>
      <c r="F9" s="152">
        <f>V_4!F9+V_5!F9+V_6!F9</f>
        <v>36</v>
      </c>
      <c r="G9" s="154">
        <f t="shared" si="0"/>
        <v>289</v>
      </c>
      <c r="H9" s="44">
        <f>V_4!H9+V_5!H9+V_6!H9</f>
        <v>0</v>
      </c>
      <c r="I9" s="39">
        <f>V_4!I9+V_5!I9+V_6!I9</f>
        <v>0</v>
      </c>
      <c r="J9" s="39">
        <f>V_4!J9+V_5!J9+V_6!J9</f>
        <v>0</v>
      </c>
      <c r="K9" s="45">
        <f>V_4!K9+V_5!K9+V_6!K9</f>
        <v>0</v>
      </c>
      <c r="L9" s="140">
        <f>V_4!L9+V_5!L9+V_6!L9</f>
        <v>1</v>
      </c>
      <c r="M9" s="149">
        <f t="shared" ref="M9:M72" si="1">SUM(H9:L9)</f>
        <v>1</v>
      </c>
      <c r="N9" s="100">
        <f t="shared" ref="N9:N72" si="2">G9+M9</f>
        <v>290</v>
      </c>
      <c r="O9" s="43">
        <f t="shared" ref="O9:O72" si="3">B9*1+C9*0.5+D9*1.5+E9*3+F9*4.5+H9*0.5+I9*1.5+J9*3+K9*4+L9*8</f>
        <v>378</v>
      </c>
    </row>
    <row r="10" spans="1:15" ht="22.5" customHeight="1" x14ac:dyDescent="0.3">
      <c r="A10" s="149" t="s">
        <v>179</v>
      </c>
      <c r="B10" s="44">
        <f>V_4!B10+V_5!B10+V_6!B10</f>
        <v>121</v>
      </c>
      <c r="C10" s="39">
        <f>V_4!C10+V_5!C10+V_6!C10</f>
        <v>173</v>
      </c>
      <c r="D10" s="39">
        <f>V_4!D10+V_5!D10+V_6!D10</f>
        <v>27</v>
      </c>
      <c r="E10" s="39">
        <f>V_4!E10+V_5!E10+V_6!E10</f>
        <v>7</v>
      </c>
      <c r="F10" s="152">
        <f>V_4!F10+V_5!F10+V_6!F10</f>
        <v>30</v>
      </c>
      <c r="G10" s="154">
        <f t="shared" si="0"/>
        <v>358</v>
      </c>
      <c r="H10" s="44">
        <f>V_4!H10+V_5!H10+V_6!H10</f>
        <v>0</v>
      </c>
      <c r="I10" s="39">
        <f>V_4!I10+V_5!I10+V_6!I10</f>
        <v>0</v>
      </c>
      <c r="J10" s="39">
        <f>V_4!J10+V_5!J10+V_6!J10</f>
        <v>0</v>
      </c>
      <c r="K10" s="45">
        <f>V_4!K10+V_5!K10+V_6!K10</f>
        <v>0</v>
      </c>
      <c r="L10" s="140">
        <f>V_4!L10+V_5!L10+V_6!L10</f>
        <v>3</v>
      </c>
      <c r="M10" s="149">
        <f t="shared" si="1"/>
        <v>3</v>
      </c>
      <c r="N10" s="100">
        <f t="shared" si="2"/>
        <v>361</v>
      </c>
      <c r="O10" s="43">
        <f t="shared" si="3"/>
        <v>428</v>
      </c>
    </row>
    <row r="11" spans="1:15" ht="22.5" customHeight="1" x14ac:dyDescent="0.3">
      <c r="A11" s="149" t="s">
        <v>180</v>
      </c>
      <c r="B11" s="44">
        <f>V_4!B11+V_5!B11+V_6!B11</f>
        <v>129</v>
      </c>
      <c r="C11" s="39">
        <f>V_4!C11+V_5!C11+V_6!C11</f>
        <v>191</v>
      </c>
      <c r="D11" s="39">
        <f>V_4!D11+V_5!D11+V_6!D11</f>
        <v>21</v>
      </c>
      <c r="E11" s="39">
        <f>V_4!E11+V_5!E11+V_6!E11</f>
        <v>7</v>
      </c>
      <c r="F11" s="152">
        <f>V_4!F11+V_5!F11+V_6!F11</f>
        <v>26</v>
      </c>
      <c r="G11" s="154">
        <f t="shared" si="0"/>
        <v>374</v>
      </c>
      <c r="H11" s="44">
        <f>V_4!H11+V_5!H11+V_6!H11</f>
        <v>1</v>
      </c>
      <c r="I11" s="39">
        <f>V_4!I11+V_5!I11+V_6!I11</f>
        <v>0</v>
      </c>
      <c r="J11" s="39">
        <f>V_4!J11+V_5!J11+V_6!J11</f>
        <v>0</v>
      </c>
      <c r="K11" s="45">
        <f>V_4!K11+V_5!K11+V_6!K11</f>
        <v>0</v>
      </c>
      <c r="L11" s="140">
        <f>V_4!L11+V_5!L11+V_6!L11</f>
        <v>0</v>
      </c>
      <c r="M11" s="149">
        <f t="shared" si="1"/>
        <v>1</v>
      </c>
      <c r="N11" s="100">
        <f t="shared" si="2"/>
        <v>375</v>
      </c>
      <c r="O11" s="43">
        <f t="shared" si="3"/>
        <v>394.5</v>
      </c>
    </row>
    <row r="12" spans="1:15" ht="22.5" customHeight="1" x14ac:dyDescent="0.3">
      <c r="A12" s="149" t="s">
        <v>181</v>
      </c>
      <c r="B12" s="44">
        <f>V_4!B12+V_5!B12+V_6!B12</f>
        <v>151</v>
      </c>
      <c r="C12" s="39">
        <f>V_4!C12+V_5!C12+V_6!C12</f>
        <v>203</v>
      </c>
      <c r="D12" s="39">
        <f>V_4!D12+V_5!D12+V_6!D12</f>
        <v>13</v>
      </c>
      <c r="E12" s="39">
        <f>V_4!E12+V_5!E12+V_6!E12</f>
        <v>7</v>
      </c>
      <c r="F12" s="152">
        <f>V_4!F12+V_5!F12+V_6!F12</f>
        <v>36</v>
      </c>
      <c r="G12" s="154">
        <f t="shared" si="0"/>
        <v>410</v>
      </c>
      <c r="H12" s="44">
        <f>V_4!H12+V_5!H12+V_6!H12</f>
        <v>2</v>
      </c>
      <c r="I12" s="39">
        <f>V_4!I12+V_5!I12+V_6!I12</f>
        <v>0</v>
      </c>
      <c r="J12" s="39">
        <f>V_4!J12+V_5!J12+V_6!J12</f>
        <v>0</v>
      </c>
      <c r="K12" s="45">
        <f>V_4!K12+V_5!K12+V_6!K12</f>
        <v>0</v>
      </c>
      <c r="L12" s="140">
        <f>V_4!L12+V_5!L12+V_6!L12</f>
        <v>3</v>
      </c>
      <c r="M12" s="149">
        <f t="shared" si="1"/>
        <v>5</v>
      </c>
      <c r="N12" s="100">
        <f t="shared" si="2"/>
        <v>415</v>
      </c>
      <c r="O12" s="43">
        <f t="shared" si="3"/>
        <v>480</v>
      </c>
    </row>
    <row r="13" spans="1:15" ht="22.5" customHeight="1" x14ac:dyDescent="0.3">
      <c r="A13" s="149" t="s">
        <v>182</v>
      </c>
      <c r="B13" s="44">
        <f>V_4!B13+V_5!B13+V_6!B13</f>
        <v>116</v>
      </c>
      <c r="C13" s="39">
        <f>V_4!C13+V_5!C13+V_6!C13</f>
        <v>167</v>
      </c>
      <c r="D13" s="39">
        <f>V_4!D13+V_5!D13+V_6!D13</f>
        <v>18</v>
      </c>
      <c r="E13" s="39">
        <f>V_4!E13+V_5!E13+V_6!E13</f>
        <v>8</v>
      </c>
      <c r="F13" s="152">
        <f>V_4!F13+V_5!F13+V_6!F13</f>
        <v>19</v>
      </c>
      <c r="G13" s="154">
        <f t="shared" si="0"/>
        <v>328</v>
      </c>
      <c r="H13" s="44">
        <f>V_4!H13+V_5!H13+V_6!H13</f>
        <v>1</v>
      </c>
      <c r="I13" s="39">
        <f>V_4!I13+V_5!I13+V_6!I13</f>
        <v>0</v>
      </c>
      <c r="J13" s="39">
        <f>V_4!J13+V_5!J13+V_6!J13</f>
        <v>0</v>
      </c>
      <c r="K13" s="45">
        <f>V_4!K13+V_5!K13+V_6!K13</f>
        <v>0</v>
      </c>
      <c r="L13" s="140">
        <f>V_4!L13+V_5!L13+V_6!L13</f>
        <v>4</v>
      </c>
      <c r="M13" s="149">
        <f t="shared" si="1"/>
        <v>5</v>
      </c>
      <c r="N13" s="100">
        <f t="shared" si="2"/>
        <v>333</v>
      </c>
      <c r="O13" s="43">
        <f t="shared" si="3"/>
        <v>368.5</v>
      </c>
    </row>
    <row r="14" spans="1:15" ht="22.5" customHeight="1" x14ac:dyDescent="0.3">
      <c r="A14" s="149" t="s">
        <v>183</v>
      </c>
      <c r="B14" s="44">
        <f>V_4!B14+V_5!B14+V_6!B14</f>
        <v>182</v>
      </c>
      <c r="C14" s="39">
        <f>V_4!C14+V_5!C14+V_6!C14</f>
        <v>213</v>
      </c>
      <c r="D14" s="39">
        <f>V_4!D14+V_5!D14+V_6!D14</f>
        <v>36</v>
      </c>
      <c r="E14" s="39">
        <f>V_4!E14+V_5!E14+V_6!E14</f>
        <v>10</v>
      </c>
      <c r="F14" s="152">
        <f>V_4!F14+V_5!F14+V_6!F14</f>
        <v>29</v>
      </c>
      <c r="G14" s="154">
        <f t="shared" si="0"/>
        <v>470</v>
      </c>
      <c r="H14" s="44">
        <f>V_4!H14+V_5!H14+V_6!H14</f>
        <v>0</v>
      </c>
      <c r="I14" s="39">
        <f>V_4!I14+V_5!I14+V_6!I14</f>
        <v>0</v>
      </c>
      <c r="J14" s="39">
        <f>V_4!J14+V_5!J14+V_6!J14</f>
        <v>0</v>
      </c>
      <c r="K14" s="45">
        <f>V_4!K14+V_5!K14+V_6!K14</f>
        <v>0</v>
      </c>
      <c r="L14" s="140">
        <f>V_4!L14+V_5!L14+V_6!L14</f>
        <v>8</v>
      </c>
      <c r="M14" s="149">
        <f t="shared" si="1"/>
        <v>8</v>
      </c>
      <c r="N14" s="100">
        <f t="shared" si="2"/>
        <v>478</v>
      </c>
      <c r="O14" s="43">
        <f t="shared" si="3"/>
        <v>567</v>
      </c>
    </row>
    <row r="15" spans="1:15" ht="22.5" customHeight="1" x14ac:dyDescent="0.3">
      <c r="A15" s="149" t="s">
        <v>184</v>
      </c>
      <c r="B15" s="44">
        <f>V_4!B15+V_5!B15+V_6!B15</f>
        <v>166</v>
      </c>
      <c r="C15" s="39">
        <f>V_4!C15+V_5!C15+V_6!C15</f>
        <v>161</v>
      </c>
      <c r="D15" s="39">
        <f>V_4!D15+V_5!D15+V_6!D15</f>
        <v>35</v>
      </c>
      <c r="E15" s="39">
        <f>V_4!E15+V_5!E15+V_6!E15</f>
        <v>9</v>
      </c>
      <c r="F15" s="152">
        <f>V_4!F15+V_5!F15+V_6!F15</f>
        <v>25</v>
      </c>
      <c r="G15" s="154">
        <f t="shared" si="0"/>
        <v>396</v>
      </c>
      <c r="H15" s="44">
        <f>V_4!H15+V_5!H15+V_6!H15</f>
        <v>0</v>
      </c>
      <c r="I15" s="39">
        <f>V_4!I15+V_5!I15+V_6!I15</f>
        <v>0</v>
      </c>
      <c r="J15" s="39">
        <f>V_4!J15+V_5!J15+V_6!J15</f>
        <v>0</v>
      </c>
      <c r="K15" s="45">
        <f>V_4!K15+V_5!K15+V_6!K15</f>
        <v>0</v>
      </c>
      <c r="L15" s="140">
        <f>V_4!L15+V_5!L15+V_6!L15</f>
        <v>0</v>
      </c>
      <c r="M15" s="149">
        <f t="shared" si="1"/>
        <v>0</v>
      </c>
      <c r="N15" s="100">
        <f t="shared" si="2"/>
        <v>396</v>
      </c>
      <c r="O15" s="43">
        <f t="shared" si="3"/>
        <v>438.5</v>
      </c>
    </row>
    <row r="16" spans="1:15" ht="22.5" customHeight="1" x14ac:dyDescent="0.3">
      <c r="A16" s="149" t="s">
        <v>185</v>
      </c>
      <c r="B16" s="44">
        <f>V_4!B16+V_5!B16+V_6!B16</f>
        <v>144</v>
      </c>
      <c r="C16" s="39">
        <f>V_4!C16+V_5!C16+V_6!C16</f>
        <v>167</v>
      </c>
      <c r="D16" s="39">
        <f>V_4!D16+V_5!D16+V_6!D16</f>
        <v>32</v>
      </c>
      <c r="E16" s="39">
        <f>V_4!E16+V_5!E16+V_6!E16</f>
        <v>5</v>
      </c>
      <c r="F16" s="152">
        <f>V_4!F16+V_5!F16+V_6!F16</f>
        <v>38</v>
      </c>
      <c r="G16" s="154">
        <f t="shared" si="0"/>
        <v>386</v>
      </c>
      <c r="H16" s="44">
        <f>V_4!H16+V_5!H16+V_6!H16</f>
        <v>0</v>
      </c>
      <c r="I16" s="39">
        <f>V_4!I16+V_5!I16+V_6!I16</f>
        <v>0</v>
      </c>
      <c r="J16" s="39">
        <f>V_4!J16+V_5!J16+V_6!J16</f>
        <v>0</v>
      </c>
      <c r="K16" s="45">
        <f>V_4!K16+V_5!K16+V_6!K16</f>
        <v>0</v>
      </c>
      <c r="L16" s="140">
        <f>V_4!L16+V_5!L16+V_6!L16</f>
        <v>1</v>
      </c>
      <c r="M16" s="149">
        <f t="shared" si="1"/>
        <v>1</v>
      </c>
      <c r="N16" s="100">
        <f t="shared" si="2"/>
        <v>387</v>
      </c>
      <c r="O16" s="43">
        <f t="shared" si="3"/>
        <v>469.5</v>
      </c>
    </row>
    <row r="17" spans="1:15" ht="22.5" customHeight="1" x14ac:dyDescent="0.3">
      <c r="A17" s="149" t="s">
        <v>186</v>
      </c>
      <c r="B17" s="44">
        <f>V_4!B17+V_5!B17+V_6!B17</f>
        <v>158</v>
      </c>
      <c r="C17" s="39">
        <f>V_4!C17+V_5!C17+V_6!C17</f>
        <v>150</v>
      </c>
      <c r="D17" s="39">
        <f>V_4!D17+V_5!D17+V_6!D17</f>
        <v>30</v>
      </c>
      <c r="E17" s="39">
        <f>V_4!E17+V_5!E17+V_6!E17</f>
        <v>7</v>
      </c>
      <c r="F17" s="152">
        <f>V_4!F17+V_5!F17+V_6!F17</f>
        <v>33</v>
      </c>
      <c r="G17" s="154">
        <f t="shared" si="0"/>
        <v>378</v>
      </c>
      <c r="H17" s="44">
        <f>V_4!H17+V_5!H17+V_6!H17</f>
        <v>0</v>
      </c>
      <c r="I17" s="39">
        <f>V_4!I17+V_5!I17+V_6!I17</f>
        <v>0</v>
      </c>
      <c r="J17" s="39">
        <f>V_4!J17+V_5!J17+V_6!J17</f>
        <v>0</v>
      </c>
      <c r="K17" s="45">
        <f>V_4!K17+V_5!K17+V_6!K17</f>
        <v>0</v>
      </c>
      <c r="L17" s="140">
        <f>V_4!L17+V_5!L17+V_6!L17</f>
        <v>2</v>
      </c>
      <c r="M17" s="149">
        <f t="shared" si="1"/>
        <v>2</v>
      </c>
      <c r="N17" s="100">
        <f t="shared" si="2"/>
        <v>380</v>
      </c>
      <c r="O17" s="43">
        <f t="shared" si="3"/>
        <v>463.5</v>
      </c>
    </row>
    <row r="18" spans="1:15" ht="22.5" customHeight="1" x14ac:dyDescent="0.3">
      <c r="A18" s="149" t="s">
        <v>187</v>
      </c>
      <c r="B18" s="44">
        <f>V_4!B18+V_5!B18+V_6!B18</f>
        <v>233</v>
      </c>
      <c r="C18" s="39">
        <f>V_4!C18+V_5!C18+V_6!C18</f>
        <v>106</v>
      </c>
      <c r="D18" s="39">
        <f>V_4!D18+V_5!D18+V_6!D18</f>
        <v>40</v>
      </c>
      <c r="E18" s="39">
        <f>V_4!E18+V_5!E18+V_6!E18</f>
        <v>5</v>
      </c>
      <c r="F18" s="152">
        <f>V_4!F18+V_5!F18+V_6!F18</f>
        <v>38</v>
      </c>
      <c r="G18" s="154">
        <f t="shared" si="0"/>
        <v>422</v>
      </c>
      <c r="H18" s="44">
        <f>V_4!H18+V_5!H18+V_6!H18</f>
        <v>0</v>
      </c>
      <c r="I18" s="39">
        <f>V_4!I18+V_5!I18+V_6!I18</f>
        <v>0</v>
      </c>
      <c r="J18" s="39">
        <f>V_4!J18+V_5!J18+V_6!J18</f>
        <v>0</v>
      </c>
      <c r="K18" s="45">
        <f>V_4!K18+V_5!K18+V_6!K18</f>
        <v>0</v>
      </c>
      <c r="L18" s="140">
        <f>V_4!L18+V_5!L18+V_6!L18</f>
        <v>4</v>
      </c>
      <c r="M18" s="149">
        <f t="shared" si="1"/>
        <v>4</v>
      </c>
      <c r="N18" s="100">
        <f t="shared" si="2"/>
        <v>426</v>
      </c>
      <c r="O18" s="43">
        <f t="shared" si="3"/>
        <v>564</v>
      </c>
    </row>
    <row r="19" spans="1:15" ht="22.5" customHeight="1" x14ac:dyDescent="0.3">
      <c r="A19" s="149" t="s">
        <v>188</v>
      </c>
      <c r="B19" s="44">
        <f>V_4!B19+V_5!B19+V_6!B19</f>
        <v>186</v>
      </c>
      <c r="C19" s="39">
        <f>V_4!C19+V_5!C19+V_6!C19</f>
        <v>122</v>
      </c>
      <c r="D19" s="39">
        <f>V_4!D19+V_5!D19+V_6!D19</f>
        <v>31</v>
      </c>
      <c r="E19" s="39">
        <f>V_4!E19+V_5!E19+V_6!E19</f>
        <v>4</v>
      </c>
      <c r="F19" s="152">
        <f>V_4!F19+V_5!F19+V_6!F19</f>
        <v>24</v>
      </c>
      <c r="G19" s="154">
        <f t="shared" si="0"/>
        <v>367</v>
      </c>
      <c r="H19" s="44">
        <f>V_4!H19+V_5!H19+V_6!H19</f>
        <v>0</v>
      </c>
      <c r="I19" s="39">
        <f>V_4!I19+V_5!I19+V_6!I19</f>
        <v>0</v>
      </c>
      <c r="J19" s="39">
        <f>V_4!J19+V_5!J19+V_6!J19</f>
        <v>0</v>
      </c>
      <c r="K19" s="45">
        <f>V_4!K19+V_5!K19+V_6!K19</f>
        <v>0</v>
      </c>
      <c r="L19" s="140">
        <f>V_4!L19+V_5!L19+V_6!L19</f>
        <v>2</v>
      </c>
      <c r="M19" s="149">
        <f t="shared" si="1"/>
        <v>2</v>
      </c>
      <c r="N19" s="100">
        <f t="shared" si="2"/>
        <v>369</v>
      </c>
      <c r="O19" s="43">
        <f t="shared" si="3"/>
        <v>429.5</v>
      </c>
    </row>
    <row r="20" spans="1:15" ht="22.5" customHeight="1" x14ac:dyDescent="0.3">
      <c r="A20" s="149" t="s">
        <v>189</v>
      </c>
      <c r="B20" s="44">
        <f>V_4!B20+V_5!B20+V_6!B20</f>
        <v>195</v>
      </c>
      <c r="C20" s="39">
        <f>V_4!C20+V_5!C20+V_6!C20</f>
        <v>113</v>
      </c>
      <c r="D20" s="39">
        <f>V_4!D20+V_5!D20+V_6!D20</f>
        <v>14</v>
      </c>
      <c r="E20" s="39">
        <f>V_4!E20+V_5!E20+V_6!E20</f>
        <v>7</v>
      </c>
      <c r="F20" s="152">
        <f>V_4!F20+V_5!F20+V_6!F20</f>
        <v>28</v>
      </c>
      <c r="G20" s="154">
        <f t="shared" si="0"/>
        <v>357</v>
      </c>
      <c r="H20" s="44">
        <f>V_4!H20+V_5!H20+V_6!H20</f>
        <v>0</v>
      </c>
      <c r="I20" s="39">
        <f>V_4!I20+V_5!I20+V_6!I20</f>
        <v>0</v>
      </c>
      <c r="J20" s="39">
        <f>V_4!J20+V_5!J20+V_6!J20</f>
        <v>0</v>
      </c>
      <c r="K20" s="45">
        <f>V_4!K20+V_5!K20+V_6!K20</f>
        <v>0</v>
      </c>
      <c r="L20" s="140">
        <f>V_4!L20+V_5!L20+V_6!L20</f>
        <v>1</v>
      </c>
      <c r="M20" s="149">
        <f t="shared" si="1"/>
        <v>1</v>
      </c>
      <c r="N20" s="100">
        <f t="shared" si="2"/>
        <v>358</v>
      </c>
      <c r="O20" s="43">
        <f t="shared" si="3"/>
        <v>427.5</v>
      </c>
    </row>
    <row r="21" spans="1:15" ht="22.5" customHeight="1" x14ac:dyDescent="0.3">
      <c r="A21" s="149" t="s">
        <v>190</v>
      </c>
      <c r="B21" s="44">
        <f>V_4!B21+V_5!B21+V_6!B21</f>
        <v>200</v>
      </c>
      <c r="C21" s="39">
        <f>V_4!C21+V_5!C21+V_6!C21</f>
        <v>113</v>
      </c>
      <c r="D21" s="39">
        <f>V_4!D21+V_5!D21+V_6!D21</f>
        <v>40</v>
      </c>
      <c r="E21" s="39">
        <f>V_4!E21+V_5!E21+V_6!E21</f>
        <v>5</v>
      </c>
      <c r="F21" s="152">
        <f>V_4!F21+V_5!F21+V_6!F21</f>
        <v>26</v>
      </c>
      <c r="G21" s="154">
        <f t="shared" si="0"/>
        <v>384</v>
      </c>
      <c r="H21" s="44">
        <f>V_4!H21+V_5!H21+V_6!H21</f>
        <v>0</v>
      </c>
      <c r="I21" s="39">
        <f>V_4!I21+V_5!I21+V_6!I21</f>
        <v>0</v>
      </c>
      <c r="J21" s="39">
        <f>V_4!J21+V_5!J21+V_6!J21</f>
        <v>0</v>
      </c>
      <c r="K21" s="45">
        <f>V_4!K21+V_5!K21+V_6!K21</f>
        <v>0</v>
      </c>
      <c r="L21" s="140">
        <f>V_4!L21+V_5!L21+V_6!L21</f>
        <v>3</v>
      </c>
      <c r="M21" s="149">
        <f t="shared" si="1"/>
        <v>3</v>
      </c>
      <c r="N21" s="100">
        <f t="shared" si="2"/>
        <v>387</v>
      </c>
      <c r="O21" s="43">
        <f t="shared" si="3"/>
        <v>472.5</v>
      </c>
    </row>
    <row r="22" spans="1:15" ht="22.5" customHeight="1" x14ac:dyDescent="0.3">
      <c r="A22" s="149" t="s">
        <v>191</v>
      </c>
      <c r="B22" s="44">
        <f>V_4!B22+V_5!B22+V_6!B22</f>
        <v>226</v>
      </c>
      <c r="C22" s="39">
        <f>V_4!C22+V_5!C22+V_6!C22</f>
        <v>99</v>
      </c>
      <c r="D22" s="39">
        <f>V_4!D22+V_5!D22+V_6!D22</f>
        <v>23</v>
      </c>
      <c r="E22" s="39">
        <f>V_4!E22+V_5!E22+V_6!E22</f>
        <v>11</v>
      </c>
      <c r="F22" s="152">
        <f>V_4!F22+V_5!F22+V_6!F22</f>
        <v>27</v>
      </c>
      <c r="G22" s="154">
        <f t="shared" si="0"/>
        <v>386</v>
      </c>
      <c r="H22" s="44">
        <f>V_4!H22+V_5!H22+V_6!H22</f>
        <v>0</v>
      </c>
      <c r="I22" s="39">
        <f>V_4!I22+V_5!I22+V_6!I22</f>
        <v>0</v>
      </c>
      <c r="J22" s="39">
        <f>V_4!J22+V_5!J22+V_6!J22</f>
        <v>0</v>
      </c>
      <c r="K22" s="45">
        <f>V_4!K22+V_5!K22+V_6!K22</f>
        <v>0</v>
      </c>
      <c r="L22" s="140">
        <f>V_4!L22+V_5!L22+V_6!L22</f>
        <v>1</v>
      </c>
      <c r="M22" s="149">
        <f t="shared" si="1"/>
        <v>1</v>
      </c>
      <c r="N22" s="100">
        <f t="shared" si="2"/>
        <v>387</v>
      </c>
      <c r="O22" s="43">
        <f t="shared" si="3"/>
        <v>472.5</v>
      </c>
    </row>
    <row r="23" spans="1:15" ht="22.5" customHeight="1" x14ac:dyDescent="0.3">
      <c r="A23" s="149" t="s">
        <v>192</v>
      </c>
      <c r="B23" s="44">
        <f>V_4!B23+V_5!B23+V_6!B23</f>
        <v>223</v>
      </c>
      <c r="C23" s="39">
        <f>V_4!C23+V_5!C23+V_6!C23</f>
        <v>93</v>
      </c>
      <c r="D23" s="39">
        <f>V_4!D23+V_5!D23+V_6!D23</f>
        <v>27</v>
      </c>
      <c r="E23" s="39">
        <f>V_4!E23+V_5!E23+V_6!E23</f>
        <v>6</v>
      </c>
      <c r="F23" s="152">
        <f>V_4!F23+V_5!F23+V_6!F23</f>
        <v>37</v>
      </c>
      <c r="G23" s="154">
        <f t="shared" si="0"/>
        <v>386</v>
      </c>
      <c r="H23" s="44">
        <f>V_4!H23+V_5!H23+V_6!H23</f>
        <v>1</v>
      </c>
      <c r="I23" s="39">
        <f>V_4!I23+V_5!I23+V_6!I23</f>
        <v>0</v>
      </c>
      <c r="J23" s="39">
        <f>V_4!J23+V_5!J23+V_6!J23</f>
        <v>0</v>
      </c>
      <c r="K23" s="45">
        <f>V_4!K23+V_5!K23+V_6!K23</f>
        <v>0</v>
      </c>
      <c r="L23" s="140">
        <f>V_4!L23+V_5!L23+V_6!L23</f>
        <v>1</v>
      </c>
      <c r="M23" s="149">
        <f t="shared" si="1"/>
        <v>2</v>
      </c>
      <c r="N23" s="100">
        <f t="shared" si="2"/>
        <v>388</v>
      </c>
      <c r="O23" s="43">
        <f t="shared" si="3"/>
        <v>503</v>
      </c>
    </row>
    <row r="24" spans="1:15" ht="22.5" customHeight="1" x14ac:dyDescent="0.3">
      <c r="A24" s="149" t="s">
        <v>193</v>
      </c>
      <c r="B24" s="44">
        <f>V_4!B24+V_5!B24+V_6!B24</f>
        <v>164</v>
      </c>
      <c r="C24" s="39">
        <f>V_4!C24+V_5!C24+V_6!C24</f>
        <v>101</v>
      </c>
      <c r="D24" s="39">
        <f>V_4!D24+V_5!D24+V_6!D24</f>
        <v>25</v>
      </c>
      <c r="E24" s="39">
        <f>V_4!E24+V_5!E24+V_6!E24</f>
        <v>6</v>
      </c>
      <c r="F24" s="152">
        <f>V_4!F24+V_5!F24+V_6!F24</f>
        <v>32</v>
      </c>
      <c r="G24" s="154">
        <f t="shared" si="0"/>
        <v>328</v>
      </c>
      <c r="H24" s="44">
        <f>V_4!H24+V_5!H24+V_6!H24</f>
        <v>0</v>
      </c>
      <c r="I24" s="39">
        <f>V_4!I24+V_5!I24+V_6!I24</f>
        <v>0</v>
      </c>
      <c r="J24" s="39">
        <f>V_4!J24+V_5!J24+V_6!J24</f>
        <v>0</v>
      </c>
      <c r="K24" s="45">
        <f>V_4!K24+V_5!K24+V_6!K24</f>
        <v>0</v>
      </c>
      <c r="L24" s="140">
        <f>V_4!L24+V_5!L24+V_6!L24</f>
        <v>2</v>
      </c>
      <c r="M24" s="149">
        <f t="shared" si="1"/>
        <v>2</v>
      </c>
      <c r="N24" s="100">
        <f t="shared" si="2"/>
        <v>330</v>
      </c>
      <c r="O24" s="43">
        <f t="shared" si="3"/>
        <v>430</v>
      </c>
    </row>
    <row r="25" spans="1:15" ht="22.5" customHeight="1" x14ac:dyDescent="0.3">
      <c r="A25" s="149" t="s">
        <v>194</v>
      </c>
      <c r="B25" s="44">
        <f>V_4!B25+V_5!B25+V_6!B25</f>
        <v>170</v>
      </c>
      <c r="C25" s="39">
        <f>V_4!C25+V_5!C25+V_6!C25</f>
        <v>118</v>
      </c>
      <c r="D25" s="39">
        <f>V_4!D25+V_5!D25+V_6!D25</f>
        <v>19</v>
      </c>
      <c r="E25" s="39">
        <f>V_4!E25+V_5!E25+V_6!E25</f>
        <v>5</v>
      </c>
      <c r="F25" s="152">
        <f>V_4!F25+V_5!F25+V_6!F25</f>
        <v>48</v>
      </c>
      <c r="G25" s="154">
        <f t="shared" si="0"/>
        <v>360</v>
      </c>
      <c r="H25" s="44">
        <f>V_4!H25+V_5!H25+V_6!H25</f>
        <v>0</v>
      </c>
      <c r="I25" s="39">
        <f>V_4!I25+V_5!I25+V_6!I25</f>
        <v>0</v>
      </c>
      <c r="J25" s="39">
        <f>V_4!J25+V_5!J25+V_6!J25</f>
        <v>0</v>
      </c>
      <c r="K25" s="45">
        <f>V_4!K25+V_5!K25+V_6!K25</f>
        <v>0</v>
      </c>
      <c r="L25" s="140">
        <f>V_4!L25+V_5!L25+V_6!L25</f>
        <v>2</v>
      </c>
      <c r="M25" s="149">
        <f t="shared" si="1"/>
        <v>2</v>
      </c>
      <c r="N25" s="100">
        <f t="shared" si="2"/>
        <v>362</v>
      </c>
      <c r="O25" s="43">
        <f t="shared" si="3"/>
        <v>504.5</v>
      </c>
    </row>
    <row r="26" spans="1:15" ht="22.5" customHeight="1" x14ac:dyDescent="0.3">
      <c r="A26" s="149" t="s">
        <v>195</v>
      </c>
      <c r="B26" s="44">
        <f>V_4!B26+V_5!B26+V_6!B26</f>
        <v>183</v>
      </c>
      <c r="C26" s="39">
        <f>V_4!C26+V_5!C26+V_6!C26</f>
        <v>113</v>
      </c>
      <c r="D26" s="39">
        <f>V_4!D26+V_5!D26+V_6!D26</f>
        <v>27</v>
      </c>
      <c r="E26" s="39">
        <f>V_4!E26+V_5!E26+V_6!E26</f>
        <v>8</v>
      </c>
      <c r="F26" s="152">
        <f>V_4!F26+V_5!F26+V_6!F26</f>
        <v>58</v>
      </c>
      <c r="G26" s="154">
        <f t="shared" si="0"/>
        <v>389</v>
      </c>
      <c r="H26" s="44">
        <f>V_4!H26+V_5!H26+V_6!H26</f>
        <v>0</v>
      </c>
      <c r="I26" s="39">
        <f>V_4!I26+V_5!I26+V_6!I26</f>
        <v>0</v>
      </c>
      <c r="J26" s="39">
        <f>V_4!J26+V_5!J26+V_6!J26</f>
        <v>0</v>
      </c>
      <c r="K26" s="45">
        <f>V_4!K26+V_5!K26+V_6!K26</f>
        <v>0</v>
      </c>
      <c r="L26" s="140">
        <f>V_4!L26+V_5!L26+V_6!L26</f>
        <v>4</v>
      </c>
      <c r="M26" s="149">
        <f t="shared" si="1"/>
        <v>4</v>
      </c>
      <c r="N26" s="100">
        <f t="shared" si="2"/>
        <v>393</v>
      </c>
      <c r="O26" s="43">
        <f t="shared" si="3"/>
        <v>597</v>
      </c>
    </row>
    <row r="27" spans="1:15" ht="22.5" customHeight="1" x14ac:dyDescent="0.3">
      <c r="A27" s="149" t="s">
        <v>196</v>
      </c>
      <c r="B27" s="44">
        <f>V_4!B27+V_5!B27+V_6!B27</f>
        <v>179</v>
      </c>
      <c r="C27" s="39">
        <f>V_4!C27+V_5!C27+V_6!C27</f>
        <v>118</v>
      </c>
      <c r="D27" s="39">
        <f>V_4!D27+V_5!D27+V_6!D27</f>
        <v>22</v>
      </c>
      <c r="E27" s="39">
        <f>V_4!E27+V_5!E27+V_6!E27</f>
        <v>8</v>
      </c>
      <c r="F27" s="152">
        <f>V_4!F27+V_5!F27+V_6!F27</f>
        <v>38</v>
      </c>
      <c r="G27" s="154">
        <f t="shared" si="0"/>
        <v>365</v>
      </c>
      <c r="H27" s="44">
        <f>V_4!H27+V_5!H27+V_6!H27</f>
        <v>0</v>
      </c>
      <c r="I27" s="39">
        <f>V_4!I27+V_5!I27+V_6!I27</f>
        <v>0</v>
      </c>
      <c r="J27" s="39">
        <f>V_4!J27+V_5!J27+V_6!J27</f>
        <v>0</v>
      </c>
      <c r="K27" s="45">
        <f>V_4!K27+V_5!K27+V_6!K27</f>
        <v>0</v>
      </c>
      <c r="L27" s="140">
        <f>V_4!L27+V_5!L27+V_6!L27</f>
        <v>2</v>
      </c>
      <c r="M27" s="149">
        <f t="shared" si="1"/>
        <v>2</v>
      </c>
      <c r="N27" s="100">
        <f t="shared" si="2"/>
        <v>367</v>
      </c>
      <c r="O27" s="43">
        <f t="shared" si="3"/>
        <v>482</v>
      </c>
    </row>
    <row r="28" spans="1:15" ht="22.5" customHeight="1" x14ac:dyDescent="0.3">
      <c r="A28" s="149" t="s">
        <v>197</v>
      </c>
      <c r="B28" s="44">
        <f>V_4!B28+V_5!B28+V_6!B28</f>
        <v>204</v>
      </c>
      <c r="C28" s="39">
        <f>V_4!C28+V_5!C28+V_6!C28</f>
        <v>124</v>
      </c>
      <c r="D28" s="39">
        <f>V_4!D28+V_5!D28+V_6!D28</f>
        <v>18</v>
      </c>
      <c r="E28" s="39">
        <f>V_4!E28+V_5!E28+V_6!E28</f>
        <v>11</v>
      </c>
      <c r="F28" s="152">
        <f>V_4!F28+V_5!F28+V_6!F28</f>
        <v>28</v>
      </c>
      <c r="G28" s="154">
        <f t="shared" si="0"/>
        <v>385</v>
      </c>
      <c r="H28" s="44">
        <f>V_4!H28+V_5!H28+V_6!H28</f>
        <v>0</v>
      </c>
      <c r="I28" s="39">
        <f>V_4!I28+V_5!I28+V_6!I28</f>
        <v>0</v>
      </c>
      <c r="J28" s="39">
        <f>V_4!J28+V_5!J28+V_6!J28</f>
        <v>0</v>
      </c>
      <c r="K28" s="45">
        <f>V_4!K28+V_5!K28+V_6!K28</f>
        <v>0</v>
      </c>
      <c r="L28" s="140">
        <f>V_4!L28+V_5!L28+V_6!L28</f>
        <v>3</v>
      </c>
      <c r="M28" s="149">
        <f t="shared" si="1"/>
        <v>3</v>
      </c>
      <c r="N28" s="100">
        <f t="shared" si="2"/>
        <v>388</v>
      </c>
      <c r="O28" s="43">
        <f t="shared" si="3"/>
        <v>476</v>
      </c>
    </row>
    <row r="29" spans="1:15" ht="22.5" customHeight="1" x14ac:dyDescent="0.3">
      <c r="A29" s="149" t="s">
        <v>198</v>
      </c>
      <c r="B29" s="44">
        <f>V_4!B29+V_5!B29+V_6!B29</f>
        <v>182</v>
      </c>
      <c r="C29" s="39">
        <f>V_4!C29+V_5!C29+V_6!C29</f>
        <v>123</v>
      </c>
      <c r="D29" s="39">
        <f>V_4!D29+V_5!D29+V_6!D29</f>
        <v>17</v>
      </c>
      <c r="E29" s="39">
        <f>V_4!E29+V_5!E29+V_6!E29</f>
        <v>6</v>
      </c>
      <c r="F29" s="152">
        <f>V_4!F29+V_5!F29+V_6!F29</f>
        <v>29</v>
      </c>
      <c r="G29" s="154">
        <f t="shared" si="0"/>
        <v>357</v>
      </c>
      <c r="H29" s="44">
        <f>V_4!H29+V_5!H29+V_6!H29</f>
        <v>0</v>
      </c>
      <c r="I29" s="39">
        <f>V_4!I29+V_5!I29+V_6!I29</f>
        <v>0</v>
      </c>
      <c r="J29" s="39">
        <f>V_4!J29+V_5!J29+V_6!J29</f>
        <v>0</v>
      </c>
      <c r="K29" s="45">
        <f>V_4!K29+V_5!K29+V_6!K29</f>
        <v>0</v>
      </c>
      <c r="L29" s="140">
        <f>V_4!L29+V_5!L29+V_6!L29</f>
        <v>0</v>
      </c>
      <c r="M29" s="149">
        <f t="shared" si="1"/>
        <v>0</v>
      </c>
      <c r="N29" s="100">
        <f t="shared" si="2"/>
        <v>357</v>
      </c>
      <c r="O29" s="43">
        <f t="shared" si="3"/>
        <v>417.5</v>
      </c>
    </row>
    <row r="30" spans="1:15" ht="22.5" customHeight="1" x14ac:dyDescent="0.3">
      <c r="A30" s="149" t="s">
        <v>199</v>
      </c>
      <c r="B30" s="44">
        <f>V_4!B30+V_5!B30+V_6!B30</f>
        <v>173</v>
      </c>
      <c r="C30" s="39">
        <f>V_4!C30+V_5!C30+V_6!C30</f>
        <v>123</v>
      </c>
      <c r="D30" s="39">
        <f>V_4!D30+V_5!D30+V_6!D30</f>
        <v>24</v>
      </c>
      <c r="E30" s="39">
        <f>V_4!E30+V_5!E30+V_6!E30</f>
        <v>5</v>
      </c>
      <c r="F30" s="152">
        <f>V_4!F30+V_5!F30+V_6!F30</f>
        <v>27</v>
      </c>
      <c r="G30" s="154">
        <f t="shared" si="0"/>
        <v>352</v>
      </c>
      <c r="H30" s="44">
        <f>V_4!H30+V_5!H30+V_6!H30</f>
        <v>0</v>
      </c>
      <c r="I30" s="39">
        <f>V_4!I30+V_5!I30+V_6!I30</f>
        <v>0</v>
      </c>
      <c r="J30" s="39">
        <f>V_4!J30+V_5!J30+V_6!J30</f>
        <v>0</v>
      </c>
      <c r="K30" s="45">
        <f>V_4!K30+V_5!K30+V_6!K30</f>
        <v>0</v>
      </c>
      <c r="L30" s="140">
        <f>V_4!L30+V_5!L30+V_6!L30</f>
        <v>0</v>
      </c>
      <c r="M30" s="149">
        <f t="shared" si="1"/>
        <v>0</v>
      </c>
      <c r="N30" s="100">
        <f t="shared" si="2"/>
        <v>352</v>
      </c>
      <c r="O30" s="43">
        <f t="shared" si="3"/>
        <v>407</v>
      </c>
    </row>
    <row r="31" spans="1:15" ht="22.5" customHeight="1" x14ac:dyDescent="0.3">
      <c r="A31" s="149" t="s">
        <v>200</v>
      </c>
      <c r="B31" s="44">
        <f>V_4!B31+V_5!B31+V_6!B31</f>
        <v>158</v>
      </c>
      <c r="C31" s="39">
        <f>V_4!C31+V_5!C31+V_6!C31</f>
        <v>122</v>
      </c>
      <c r="D31" s="39">
        <f>V_4!D31+V_5!D31+V_6!D31</f>
        <v>17</v>
      </c>
      <c r="E31" s="39">
        <f>V_4!E31+V_5!E31+V_6!E31</f>
        <v>7</v>
      </c>
      <c r="F31" s="152">
        <f>V_4!F31+V_5!F31+V_6!F31</f>
        <v>35</v>
      </c>
      <c r="G31" s="154">
        <f t="shared" si="0"/>
        <v>339</v>
      </c>
      <c r="H31" s="44">
        <f>V_4!H31+V_5!H31+V_6!H31</f>
        <v>0</v>
      </c>
      <c r="I31" s="39">
        <f>V_4!I31+V_5!I31+V_6!I31</f>
        <v>0</v>
      </c>
      <c r="J31" s="39">
        <f>V_4!J31+V_5!J31+V_6!J31</f>
        <v>0</v>
      </c>
      <c r="K31" s="45">
        <f>V_4!K31+V_5!K31+V_6!K31</f>
        <v>0</v>
      </c>
      <c r="L31" s="140">
        <f>V_4!L31+V_5!L31+V_6!L31</f>
        <v>0</v>
      </c>
      <c r="M31" s="149">
        <f t="shared" si="1"/>
        <v>0</v>
      </c>
      <c r="N31" s="100">
        <f t="shared" si="2"/>
        <v>339</v>
      </c>
      <c r="O31" s="43">
        <f t="shared" si="3"/>
        <v>423</v>
      </c>
    </row>
    <row r="32" spans="1:15" ht="22.5" customHeight="1" x14ac:dyDescent="0.3">
      <c r="A32" s="149" t="s">
        <v>201</v>
      </c>
      <c r="B32" s="44">
        <f>V_4!B32+V_5!B32+V_6!B32</f>
        <v>168</v>
      </c>
      <c r="C32" s="39">
        <f>V_4!C32+V_5!C32+V_6!C32</f>
        <v>72</v>
      </c>
      <c r="D32" s="39">
        <f>V_4!D32+V_5!D32+V_6!D32</f>
        <v>21</v>
      </c>
      <c r="E32" s="39">
        <f>V_4!E32+V_5!E32+V_6!E32</f>
        <v>2</v>
      </c>
      <c r="F32" s="152">
        <f>V_4!F32+V_5!F32+V_6!F32</f>
        <v>24</v>
      </c>
      <c r="G32" s="154">
        <f t="shared" si="0"/>
        <v>287</v>
      </c>
      <c r="H32" s="44">
        <f>V_4!H32+V_5!H32+V_6!H32</f>
        <v>0</v>
      </c>
      <c r="I32" s="39">
        <f>V_4!I32+V_5!I32+V_6!I32</f>
        <v>0</v>
      </c>
      <c r="J32" s="39">
        <f>V_4!J32+V_5!J32+V_6!J32</f>
        <v>0</v>
      </c>
      <c r="K32" s="45">
        <f>V_4!K32+V_5!K32+V_6!K32</f>
        <v>0</v>
      </c>
      <c r="L32" s="140">
        <f>V_4!L32+V_5!L32+V_6!L32</f>
        <v>4</v>
      </c>
      <c r="M32" s="149">
        <f t="shared" si="1"/>
        <v>4</v>
      </c>
      <c r="N32" s="100">
        <f t="shared" si="2"/>
        <v>291</v>
      </c>
      <c r="O32" s="43">
        <f t="shared" si="3"/>
        <v>381.5</v>
      </c>
    </row>
    <row r="33" spans="1:15" ht="22.5" customHeight="1" x14ac:dyDescent="0.3">
      <c r="A33" s="149" t="s">
        <v>202</v>
      </c>
      <c r="B33" s="44">
        <f>V_4!B33+V_5!B33+V_6!B33</f>
        <v>171</v>
      </c>
      <c r="C33" s="39">
        <f>V_4!C33+V_5!C33+V_6!C33</f>
        <v>88</v>
      </c>
      <c r="D33" s="39">
        <f>V_4!D33+V_5!D33+V_6!D33</f>
        <v>46</v>
      </c>
      <c r="E33" s="39">
        <f>V_4!E33+V_5!E33+V_6!E33</f>
        <v>4</v>
      </c>
      <c r="F33" s="152">
        <f>V_4!F33+V_5!F33+V_6!F33</f>
        <v>19</v>
      </c>
      <c r="G33" s="154">
        <f t="shared" si="0"/>
        <v>328</v>
      </c>
      <c r="H33" s="44">
        <f>V_4!H33+V_5!H33+V_6!H33</f>
        <v>0</v>
      </c>
      <c r="I33" s="39">
        <f>V_4!I33+V_5!I33+V_6!I33</f>
        <v>0</v>
      </c>
      <c r="J33" s="39">
        <f>V_4!J33+V_5!J33+V_6!J33</f>
        <v>0</v>
      </c>
      <c r="K33" s="45">
        <f>V_4!K33+V_5!K33+V_6!K33</f>
        <v>0</v>
      </c>
      <c r="L33" s="140">
        <f>V_4!L33+V_5!L33+V_6!L33</f>
        <v>1</v>
      </c>
      <c r="M33" s="149">
        <f t="shared" si="1"/>
        <v>1</v>
      </c>
      <c r="N33" s="100">
        <f t="shared" si="2"/>
        <v>329</v>
      </c>
      <c r="O33" s="43">
        <f t="shared" si="3"/>
        <v>389.5</v>
      </c>
    </row>
    <row r="34" spans="1:15" ht="22.5" customHeight="1" x14ac:dyDescent="0.3">
      <c r="A34" s="149" t="s">
        <v>203</v>
      </c>
      <c r="B34" s="44">
        <f>V_4!B34+V_5!B34+V_6!B34</f>
        <v>166</v>
      </c>
      <c r="C34" s="39">
        <f>V_4!C34+V_5!C34+V_6!C34</f>
        <v>106</v>
      </c>
      <c r="D34" s="39">
        <f>V_4!D34+V_5!D34+V_6!D34</f>
        <v>38</v>
      </c>
      <c r="E34" s="39">
        <f>V_4!E34+V_5!E34+V_6!E34</f>
        <v>5</v>
      </c>
      <c r="F34" s="152">
        <f>V_4!F34+V_5!F34+V_6!F34</f>
        <v>27</v>
      </c>
      <c r="G34" s="154">
        <f t="shared" si="0"/>
        <v>342</v>
      </c>
      <c r="H34" s="44">
        <f>V_4!H34+V_5!H34+V_6!H34</f>
        <v>0</v>
      </c>
      <c r="I34" s="39">
        <f>V_4!I34+V_5!I34+V_6!I34</f>
        <v>0</v>
      </c>
      <c r="J34" s="39">
        <f>V_4!J34+V_5!J34+V_6!J34</f>
        <v>0</v>
      </c>
      <c r="K34" s="45">
        <f>V_4!K34+V_5!K34+V_6!K34</f>
        <v>0</v>
      </c>
      <c r="L34" s="140">
        <f>V_4!L34+V_5!L34+V_6!L34</f>
        <v>1</v>
      </c>
      <c r="M34" s="149">
        <f t="shared" si="1"/>
        <v>1</v>
      </c>
      <c r="N34" s="100">
        <f t="shared" si="2"/>
        <v>343</v>
      </c>
      <c r="O34" s="43">
        <f t="shared" si="3"/>
        <v>420.5</v>
      </c>
    </row>
    <row r="35" spans="1:15" ht="22.5" customHeight="1" x14ac:dyDescent="0.3">
      <c r="A35" s="149" t="s">
        <v>204</v>
      </c>
      <c r="B35" s="44">
        <f>V_4!B35+V_5!B35+V_6!B35</f>
        <v>145</v>
      </c>
      <c r="C35" s="39">
        <f>V_4!C35+V_5!C35+V_6!C35</f>
        <v>105</v>
      </c>
      <c r="D35" s="39">
        <f>V_4!D35+V_5!D35+V_6!D35</f>
        <v>37</v>
      </c>
      <c r="E35" s="39">
        <f>V_4!E35+V_5!E35+V_6!E35</f>
        <v>6</v>
      </c>
      <c r="F35" s="152">
        <f>V_4!F35+V_5!F35+V_6!F35</f>
        <v>8</v>
      </c>
      <c r="G35" s="154">
        <f t="shared" si="0"/>
        <v>301</v>
      </c>
      <c r="H35" s="44">
        <f>V_4!H35+V_5!H35+V_6!H35</f>
        <v>0</v>
      </c>
      <c r="I35" s="39">
        <f>V_4!I35+V_5!I35+V_6!I35</f>
        <v>0</v>
      </c>
      <c r="J35" s="39">
        <f>V_4!J35+V_5!J35+V_6!J35</f>
        <v>0</v>
      </c>
      <c r="K35" s="45">
        <f>V_4!K35+V_5!K35+V_6!K35</f>
        <v>0</v>
      </c>
      <c r="L35" s="140">
        <f>V_4!L35+V_5!L35+V_6!L35</f>
        <v>2</v>
      </c>
      <c r="M35" s="149">
        <f t="shared" si="1"/>
        <v>2</v>
      </c>
      <c r="N35" s="100">
        <f t="shared" si="2"/>
        <v>303</v>
      </c>
      <c r="O35" s="43">
        <f t="shared" si="3"/>
        <v>323</v>
      </c>
    </row>
    <row r="36" spans="1:15" ht="22.5" customHeight="1" x14ac:dyDescent="0.3">
      <c r="A36" s="149" t="s">
        <v>205</v>
      </c>
      <c r="B36" s="44">
        <f>V_4!B36+V_5!B36+V_6!B36</f>
        <v>142</v>
      </c>
      <c r="C36" s="39">
        <f>V_4!C36+V_5!C36+V_6!C36</f>
        <v>83</v>
      </c>
      <c r="D36" s="39">
        <f>V_4!D36+V_5!D36+V_6!D36</f>
        <v>17</v>
      </c>
      <c r="E36" s="39">
        <f>V_4!E36+V_5!E36+V_6!E36</f>
        <v>5</v>
      </c>
      <c r="F36" s="152">
        <f>V_4!F36+V_5!F36+V_6!F36</f>
        <v>27</v>
      </c>
      <c r="G36" s="154">
        <f t="shared" si="0"/>
        <v>274</v>
      </c>
      <c r="H36" s="44">
        <f>V_4!H36+V_5!H36+V_6!H36</f>
        <v>0</v>
      </c>
      <c r="I36" s="39">
        <f>V_4!I36+V_5!I36+V_6!I36</f>
        <v>0</v>
      </c>
      <c r="J36" s="39">
        <f>V_4!J36+V_5!J36+V_6!J36</f>
        <v>0</v>
      </c>
      <c r="K36" s="45">
        <f>V_4!K36+V_5!K36+V_6!K36</f>
        <v>0</v>
      </c>
      <c r="L36" s="140">
        <f>V_4!L36+V_5!L36+V_6!L36</f>
        <v>1</v>
      </c>
      <c r="M36" s="149">
        <f t="shared" si="1"/>
        <v>1</v>
      </c>
      <c r="N36" s="100">
        <f t="shared" si="2"/>
        <v>275</v>
      </c>
      <c r="O36" s="43">
        <f t="shared" si="3"/>
        <v>353.5</v>
      </c>
    </row>
    <row r="37" spans="1:15" ht="22.5" customHeight="1" x14ac:dyDescent="0.3">
      <c r="A37" s="149" t="s">
        <v>206</v>
      </c>
      <c r="B37" s="44">
        <f>V_4!B37+V_5!B37+V_6!B37</f>
        <v>124</v>
      </c>
      <c r="C37" s="39">
        <f>V_4!C37+V_5!C37+V_6!C37</f>
        <v>69</v>
      </c>
      <c r="D37" s="39">
        <f>V_4!D37+V_5!D37+V_6!D37</f>
        <v>28</v>
      </c>
      <c r="E37" s="39">
        <f>V_4!E37+V_5!E37+V_6!E37</f>
        <v>5</v>
      </c>
      <c r="F37" s="152">
        <f>V_4!F37+V_5!F37+V_6!F37</f>
        <v>36</v>
      </c>
      <c r="G37" s="154">
        <f t="shared" si="0"/>
        <v>262</v>
      </c>
      <c r="H37" s="44">
        <f>V_4!H37+V_5!H37+V_6!H37</f>
        <v>0</v>
      </c>
      <c r="I37" s="39">
        <f>V_4!I37+V_5!I37+V_6!I37</f>
        <v>0</v>
      </c>
      <c r="J37" s="39">
        <f>V_4!J37+V_5!J37+V_6!J37</f>
        <v>0</v>
      </c>
      <c r="K37" s="45">
        <f>V_4!K37+V_5!K37+V_6!K37</f>
        <v>0</v>
      </c>
      <c r="L37" s="140">
        <f>V_4!L37+V_5!L37+V_6!L37</f>
        <v>0</v>
      </c>
      <c r="M37" s="149">
        <f t="shared" si="1"/>
        <v>0</v>
      </c>
      <c r="N37" s="100">
        <f t="shared" si="2"/>
        <v>262</v>
      </c>
      <c r="O37" s="43">
        <f t="shared" si="3"/>
        <v>377.5</v>
      </c>
    </row>
    <row r="38" spans="1:15" ht="22.5" customHeight="1" x14ac:dyDescent="0.3">
      <c r="A38" s="149" t="s">
        <v>207</v>
      </c>
      <c r="B38" s="44">
        <f>V_4!B38+V_5!B38+V_6!B38</f>
        <v>154</v>
      </c>
      <c r="C38" s="39">
        <f>V_4!C38+V_5!C38+V_6!C38</f>
        <v>62</v>
      </c>
      <c r="D38" s="39">
        <f>V_4!D38+V_5!D38+V_6!D38</f>
        <v>35</v>
      </c>
      <c r="E38" s="39">
        <f>V_4!E38+V_5!E38+V_6!E38</f>
        <v>7</v>
      </c>
      <c r="F38" s="152">
        <f>V_4!F38+V_5!F38+V_6!F38</f>
        <v>39</v>
      </c>
      <c r="G38" s="154">
        <f t="shared" si="0"/>
        <v>297</v>
      </c>
      <c r="H38" s="44">
        <f>V_4!H38+V_5!H38+V_6!H38</f>
        <v>0</v>
      </c>
      <c r="I38" s="39">
        <f>V_4!I38+V_5!I38+V_6!I38</f>
        <v>0</v>
      </c>
      <c r="J38" s="39">
        <f>V_4!J38+V_5!J38+V_6!J38</f>
        <v>0</v>
      </c>
      <c r="K38" s="45">
        <f>V_4!K38+V_5!K38+V_6!K38</f>
        <v>0</v>
      </c>
      <c r="L38" s="140">
        <f>V_4!L38+V_5!L38+V_6!L38</f>
        <v>0</v>
      </c>
      <c r="M38" s="149">
        <f t="shared" si="1"/>
        <v>0</v>
      </c>
      <c r="N38" s="100">
        <f t="shared" si="2"/>
        <v>297</v>
      </c>
      <c r="O38" s="43">
        <f t="shared" si="3"/>
        <v>434</v>
      </c>
    </row>
    <row r="39" spans="1:15" ht="22.5" customHeight="1" x14ac:dyDescent="0.3">
      <c r="A39" s="149" t="s">
        <v>208</v>
      </c>
      <c r="B39" s="44">
        <f>V_4!B39+V_5!B39+V_6!B39</f>
        <v>151</v>
      </c>
      <c r="C39" s="39">
        <f>V_4!C39+V_5!C39+V_6!C39</f>
        <v>60</v>
      </c>
      <c r="D39" s="39">
        <f>V_4!D39+V_5!D39+V_6!D39</f>
        <v>37</v>
      </c>
      <c r="E39" s="39">
        <f>V_4!E39+V_5!E39+V_6!E39</f>
        <v>6</v>
      </c>
      <c r="F39" s="152">
        <f>V_4!F39+V_5!F39+V_6!F39</f>
        <v>25</v>
      </c>
      <c r="G39" s="154">
        <f t="shared" si="0"/>
        <v>279</v>
      </c>
      <c r="H39" s="44">
        <f>V_4!H39+V_5!H39+V_6!H39</f>
        <v>0</v>
      </c>
      <c r="I39" s="39">
        <f>V_4!I39+V_5!I39+V_6!I39</f>
        <v>0</v>
      </c>
      <c r="J39" s="39">
        <f>V_4!J39+V_5!J39+V_6!J39</f>
        <v>0</v>
      </c>
      <c r="K39" s="45">
        <f>V_4!K39+V_5!K39+V_6!K39</f>
        <v>0</v>
      </c>
      <c r="L39" s="140">
        <f>V_4!L39+V_5!L39+V_6!L39</f>
        <v>0</v>
      </c>
      <c r="M39" s="149">
        <f t="shared" si="1"/>
        <v>0</v>
      </c>
      <c r="N39" s="100">
        <f t="shared" si="2"/>
        <v>279</v>
      </c>
      <c r="O39" s="43">
        <f t="shared" si="3"/>
        <v>367</v>
      </c>
    </row>
    <row r="40" spans="1:15" ht="22.5" customHeight="1" x14ac:dyDescent="0.3">
      <c r="A40" s="149" t="s">
        <v>209</v>
      </c>
      <c r="B40" s="44">
        <f>V_4!B40+V_5!B40+V_6!B40</f>
        <v>231</v>
      </c>
      <c r="C40" s="39">
        <f>V_4!C40+V_5!C40+V_6!C40</f>
        <v>82</v>
      </c>
      <c r="D40" s="39">
        <f>V_4!D40+V_5!D40+V_6!D40</f>
        <v>33</v>
      </c>
      <c r="E40" s="39">
        <f>V_4!E40+V_5!E40+V_6!E40</f>
        <v>4</v>
      </c>
      <c r="F40" s="152">
        <f>V_4!F40+V_5!F40+V_6!F40</f>
        <v>37</v>
      </c>
      <c r="G40" s="154">
        <f t="shared" ref="G40:G71" si="4">SUM(B40:F40)</f>
        <v>387</v>
      </c>
      <c r="H40" s="44">
        <f>V_4!H40+V_5!H40+V_6!H40</f>
        <v>0</v>
      </c>
      <c r="I40" s="39">
        <f>V_4!I40+V_5!I40+V_6!I40</f>
        <v>0</v>
      </c>
      <c r="J40" s="39">
        <f>V_4!J40+V_5!J40+V_6!J40</f>
        <v>0</v>
      </c>
      <c r="K40" s="45">
        <f>V_4!K40+V_5!K40+V_6!K40</f>
        <v>0</v>
      </c>
      <c r="L40" s="140">
        <f>V_4!L40+V_5!L40+V_6!L40</f>
        <v>0</v>
      </c>
      <c r="M40" s="149">
        <f t="shared" si="1"/>
        <v>0</v>
      </c>
      <c r="N40" s="100">
        <f t="shared" si="2"/>
        <v>387</v>
      </c>
      <c r="O40" s="43">
        <f t="shared" si="3"/>
        <v>500</v>
      </c>
    </row>
    <row r="41" spans="1:15" ht="22.5" customHeight="1" x14ac:dyDescent="0.3">
      <c r="A41" s="149" t="s">
        <v>210</v>
      </c>
      <c r="B41" s="44">
        <f>V_4!B41+V_5!B41+V_6!B41</f>
        <v>226</v>
      </c>
      <c r="C41" s="39">
        <f>V_4!C41+V_5!C41+V_6!C41</f>
        <v>103</v>
      </c>
      <c r="D41" s="39">
        <f>V_4!D41+V_5!D41+V_6!D41</f>
        <v>33</v>
      </c>
      <c r="E41" s="39">
        <f>V_4!E41+V_5!E41+V_6!E41</f>
        <v>7</v>
      </c>
      <c r="F41" s="152">
        <f>V_4!F41+V_5!F41+V_6!F41</f>
        <v>32</v>
      </c>
      <c r="G41" s="154">
        <f t="shared" si="4"/>
        <v>401</v>
      </c>
      <c r="H41" s="44">
        <f>V_4!H41+V_5!H41+V_6!H41</f>
        <v>0</v>
      </c>
      <c r="I41" s="39">
        <f>V_4!I41+V_5!I41+V_6!I41</f>
        <v>0</v>
      </c>
      <c r="J41" s="39">
        <f>V_4!J41+V_5!J41+V_6!J41</f>
        <v>0</v>
      </c>
      <c r="K41" s="45">
        <f>V_4!K41+V_5!K41+V_6!K41</f>
        <v>0</v>
      </c>
      <c r="L41" s="140">
        <f>V_4!L41+V_5!L41+V_6!L41</f>
        <v>1</v>
      </c>
      <c r="M41" s="149">
        <f t="shared" si="1"/>
        <v>1</v>
      </c>
      <c r="N41" s="100">
        <f t="shared" si="2"/>
        <v>402</v>
      </c>
      <c r="O41" s="43">
        <f t="shared" si="3"/>
        <v>500</v>
      </c>
    </row>
    <row r="42" spans="1:15" ht="22.5" customHeight="1" x14ac:dyDescent="0.3">
      <c r="A42" s="149" t="s">
        <v>211</v>
      </c>
      <c r="B42" s="44">
        <f>V_4!B42+V_5!B42+V_6!B42</f>
        <v>263</v>
      </c>
      <c r="C42" s="39">
        <f>V_4!C42+V_5!C42+V_6!C42</f>
        <v>81</v>
      </c>
      <c r="D42" s="39">
        <f>V_4!D42+V_5!D42+V_6!D42</f>
        <v>32</v>
      </c>
      <c r="E42" s="39">
        <f>V_4!E42+V_5!E42+V_6!E42</f>
        <v>5</v>
      </c>
      <c r="F42" s="152">
        <f>V_4!F42+V_5!F42+V_6!F42</f>
        <v>37</v>
      </c>
      <c r="G42" s="154">
        <f t="shared" si="4"/>
        <v>418</v>
      </c>
      <c r="H42" s="44">
        <f>V_4!H42+V_5!H42+V_6!H42</f>
        <v>0</v>
      </c>
      <c r="I42" s="39">
        <f>V_4!I42+V_5!I42+V_6!I42</f>
        <v>0</v>
      </c>
      <c r="J42" s="39">
        <f>V_4!J42+V_5!J42+V_6!J42</f>
        <v>0</v>
      </c>
      <c r="K42" s="45">
        <f>V_4!K42+V_5!K42+V_6!K42</f>
        <v>0</v>
      </c>
      <c r="L42" s="140">
        <f>V_4!L42+V_5!L42+V_6!L42</f>
        <v>2</v>
      </c>
      <c r="M42" s="149">
        <f t="shared" si="1"/>
        <v>2</v>
      </c>
      <c r="N42" s="100">
        <f t="shared" si="2"/>
        <v>420</v>
      </c>
      <c r="O42" s="43">
        <f t="shared" si="3"/>
        <v>549</v>
      </c>
    </row>
    <row r="43" spans="1:15" ht="22.5" customHeight="1" x14ac:dyDescent="0.3">
      <c r="A43" s="149" t="s">
        <v>212</v>
      </c>
      <c r="B43" s="44">
        <f>V_4!B43+V_5!B43+V_6!B43</f>
        <v>261</v>
      </c>
      <c r="C43" s="39">
        <f>V_4!C43+V_5!C43+V_6!C43</f>
        <v>62</v>
      </c>
      <c r="D43" s="39">
        <f>V_4!D43+V_5!D43+V_6!D43</f>
        <v>16</v>
      </c>
      <c r="E43" s="39">
        <f>V_4!E43+V_5!E43+V_6!E43</f>
        <v>12</v>
      </c>
      <c r="F43" s="152">
        <f>V_4!F43+V_5!F43+V_6!F43</f>
        <v>37</v>
      </c>
      <c r="G43" s="154">
        <f t="shared" si="4"/>
        <v>388</v>
      </c>
      <c r="H43" s="44">
        <f>V_4!H43+V_5!H43+V_6!H43</f>
        <v>1</v>
      </c>
      <c r="I43" s="39">
        <f>V_4!I43+V_5!I43+V_6!I43</f>
        <v>0</v>
      </c>
      <c r="J43" s="39">
        <f>V_4!J43+V_5!J43+V_6!J43</f>
        <v>0</v>
      </c>
      <c r="K43" s="45">
        <f>V_4!K43+V_5!K43+V_6!K43</f>
        <v>0</v>
      </c>
      <c r="L43" s="140">
        <f>V_4!L43+V_5!L43+V_6!L43</f>
        <v>1</v>
      </c>
      <c r="M43" s="149">
        <f t="shared" si="1"/>
        <v>2</v>
      </c>
      <c r="N43" s="100">
        <f t="shared" si="2"/>
        <v>390</v>
      </c>
      <c r="O43" s="43">
        <f t="shared" si="3"/>
        <v>527</v>
      </c>
    </row>
    <row r="44" spans="1:15" ht="22.5" customHeight="1" x14ac:dyDescent="0.3">
      <c r="A44" s="149" t="s">
        <v>213</v>
      </c>
      <c r="B44" s="44">
        <f>V_4!B44+V_5!B44+V_6!B44</f>
        <v>256</v>
      </c>
      <c r="C44" s="39">
        <f>V_4!C44+V_5!C44+V_6!C44</f>
        <v>89</v>
      </c>
      <c r="D44" s="39">
        <f>V_4!D44+V_5!D44+V_6!D44</f>
        <v>18</v>
      </c>
      <c r="E44" s="39">
        <f>V_4!E44+V_5!E44+V_6!E44</f>
        <v>5</v>
      </c>
      <c r="F44" s="152">
        <f>V_4!F44+V_5!F44+V_6!F44</f>
        <v>39</v>
      </c>
      <c r="G44" s="154">
        <f t="shared" si="4"/>
        <v>407</v>
      </c>
      <c r="H44" s="44">
        <f>V_4!H44+V_5!H44+V_6!H44</f>
        <v>0</v>
      </c>
      <c r="I44" s="39">
        <f>V_4!I44+V_5!I44+V_6!I44</f>
        <v>0</v>
      </c>
      <c r="J44" s="39">
        <f>V_4!J44+V_5!J44+V_6!J44</f>
        <v>0</v>
      </c>
      <c r="K44" s="45">
        <f>V_4!K44+V_5!K44+V_6!K44</f>
        <v>0</v>
      </c>
      <c r="L44" s="140">
        <f>V_4!L44+V_5!L44+V_6!L44</f>
        <v>2</v>
      </c>
      <c r="M44" s="149">
        <f t="shared" si="1"/>
        <v>2</v>
      </c>
      <c r="N44" s="100">
        <f t="shared" si="2"/>
        <v>409</v>
      </c>
      <c r="O44" s="43">
        <f t="shared" si="3"/>
        <v>534</v>
      </c>
    </row>
    <row r="45" spans="1:15" ht="22.5" customHeight="1" x14ac:dyDescent="0.3">
      <c r="A45" s="149" t="s">
        <v>214</v>
      </c>
      <c r="B45" s="44">
        <f>V_4!B45+V_5!B45+V_6!B45</f>
        <v>283</v>
      </c>
      <c r="C45" s="39">
        <f>V_4!C45+V_5!C45+V_6!C45</f>
        <v>85</v>
      </c>
      <c r="D45" s="39">
        <f>V_4!D45+V_5!D45+V_6!D45</f>
        <v>26</v>
      </c>
      <c r="E45" s="39">
        <f>V_4!E45+V_5!E45+V_6!E45</f>
        <v>9</v>
      </c>
      <c r="F45" s="152">
        <f>V_4!F45+V_5!F45+V_6!F45</f>
        <v>21</v>
      </c>
      <c r="G45" s="154">
        <f t="shared" si="4"/>
        <v>424</v>
      </c>
      <c r="H45" s="44">
        <f>V_4!H45+V_5!H45+V_6!H45</f>
        <v>0</v>
      </c>
      <c r="I45" s="39">
        <f>V_4!I45+V_5!I45+V_6!I45</f>
        <v>0</v>
      </c>
      <c r="J45" s="39">
        <f>V_4!J45+V_5!J45+V_6!J45</f>
        <v>0</v>
      </c>
      <c r="K45" s="45">
        <f>V_4!K45+V_5!K45+V_6!K45</f>
        <v>0</v>
      </c>
      <c r="L45" s="140">
        <f>V_4!L45+V_5!L45+V_6!L45</f>
        <v>4</v>
      </c>
      <c r="M45" s="149">
        <f t="shared" si="1"/>
        <v>4</v>
      </c>
      <c r="N45" s="100">
        <f t="shared" si="2"/>
        <v>428</v>
      </c>
      <c r="O45" s="43">
        <f t="shared" si="3"/>
        <v>518</v>
      </c>
    </row>
    <row r="46" spans="1:15" ht="22.5" customHeight="1" x14ac:dyDescent="0.3">
      <c r="A46" s="149" t="s">
        <v>215</v>
      </c>
      <c r="B46" s="44">
        <f>V_4!B46+V_5!B46+V_6!B46</f>
        <v>234</v>
      </c>
      <c r="C46" s="39">
        <f>V_4!C46+V_5!C46+V_6!C46</f>
        <v>130</v>
      </c>
      <c r="D46" s="39">
        <f>V_4!D46+V_5!D46+V_6!D46</f>
        <v>32</v>
      </c>
      <c r="E46" s="39">
        <f>V_4!E46+V_5!E46+V_6!E46</f>
        <v>10</v>
      </c>
      <c r="F46" s="152">
        <f>V_4!F46+V_5!F46+V_6!F46</f>
        <v>46</v>
      </c>
      <c r="G46" s="154">
        <f t="shared" si="4"/>
        <v>452</v>
      </c>
      <c r="H46" s="44">
        <f>V_4!H46+V_5!H46+V_6!H46</f>
        <v>0</v>
      </c>
      <c r="I46" s="39">
        <f>V_4!I46+V_5!I46+V_6!I46</f>
        <v>0</v>
      </c>
      <c r="J46" s="39">
        <f>V_4!J46+V_5!J46+V_6!J46</f>
        <v>0</v>
      </c>
      <c r="K46" s="45">
        <f>V_4!K46+V_5!K46+V_6!K46</f>
        <v>0</v>
      </c>
      <c r="L46" s="140">
        <f>V_4!L46+V_5!L46+V_6!L46</f>
        <v>5</v>
      </c>
      <c r="M46" s="149">
        <f t="shared" si="1"/>
        <v>5</v>
      </c>
      <c r="N46" s="100">
        <f t="shared" si="2"/>
        <v>457</v>
      </c>
      <c r="O46" s="43">
        <f t="shared" si="3"/>
        <v>624</v>
      </c>
    </row>
    <row r="47" spans="1:15" ht="22.5" customHeight="1" x14ac:dyDescent="0.3">
      <c r="A47" s="149" t="s">
        <v>216</v>
      </c>
      <c r="B47" s="44">
        <f>V_4!B47+V_5!B47+V_6!B47</f>
        <v>258</v>
      </c>
      <c r="C47" s="39">
        <f>V_4!C47+V_5!C47+V_6!C47</f>
        <v>126</v>
      </c>
      <c r="D47" s="39">
        <f>V_4!D47+V_5!D47+V_6!D47</f>
        <v>26</v>
      </c>
      <c r="E47" s="39">
        <f>V_4!E47+V_5!E47+V_6!E47</f>
        <v>20</v>
      </c>
      <c r="F47" s="152">
        <f>V_4!F47+V_5!F47+V_6!F47</f>
        <v>52</v>
      </c>
      <c r="G47" s="154">
        <f t="shared" si="4"/>
        <v>482</v>
      </c>
      <c r="H47" s="44">
        <f>V_4!H47+V_5!H47+V_6!H47</f>
        <v>0</v>
      </c>
      <c r="I47" s="39">
        <f>V_4!I47+V_5!I47+V_6!I47</f>
        <v>0</v>
      </c>
      <c r="J47" s="39">
        <f>V_4!J47+V_5!J47+V_6!J47</f>
        <v>0</v>
      </c>
      <c r="K47" s="45">
        <f>V_4!K47+V_5!K47+V_6!K47</f>
        <v>0</v>
      </c>
      <c r="L47" s="140">
        <f>V_4!L47+V_5!L47+V_6!L47</f>
        <v>0</v>
      </c>
      <c r="M47" s="149">
        <f t="shared" si="1"/>
        <v>0</v>
      </c>
      <c r="N47" s="100">
        <f t="shared" si="2"/>
        <v>482</v>
      </c>
      <c r="O47" s="43">
        <f t="shared" si="3"/>
        <v>654</v>
      </c>
    </row>
    <row r="48" spans="1:15" ht="22.5" customHeight="1" x14ac:dyDescent="0.3">
      <c r="A48" s="149" t="s">
        <v>217</v>
      </c>
      <c r="B48" s="44">
        <f>V_4!B48+V_5!B48+V_6!B48</f>
        <v>234</v>
      </c>
      <c r="C48" s="39">
        <f>V_4!C48+V_5!C48+V_6!C48</f>
        <v>123</v>
      </c>
      <c r="D48" s="39">
        <f>V_4!D48+V_5!D48+V_6!D48</f>
        <v>30</v>
      </c>
      <c r="E48" s="39">
        <f>V_4!E48+V_5!E48+V_6!E48</f>
        <v>7</v>
      </c>
      <c r="F48" s="152">
        <f>V_4!F48+V_5!F48+V_6!F48</f>
        <v>43</v>
      </c>
      <c r="G48" s="154">
        <f t="shared" si="4"/>
        <v>437</v>
      </c>
      <c r="H48" s="44">
        <f>V_4!H48+V_5!H48+V_6!H48</f>
        <v>0</v>
      </c>
      <c r="I48" s="39">
        <f>V_4!I48+V_5!I48+V_6!I48</f>
        <v>0</v>
      </c>
      <c r="J48" s="39">
        <f>V_4!J48+V_5!J48+V_6!J48</f>
        <v>0</v>
      </c>
      <c r="K48" s="45">
        <f>V_4!K48+V_5!K48+V_6!K48</f>
        <v>0</v>
      </c>
      <c r="L48" s="140">
        <f>V_4!L48+V_5!L48+V_6!L48</f>
        <v>5</v>
      </c>
      <c r="M48" s="149">
        <f t="shared" si="1"/>
        <v>5</v>
      </c>
      <c r="N48" s="100">
        <f t="shared" si="2"/>
        <v>442</v>
      </c>
      <c r="O48" s="43">
        <f t="shared" si="3"/>
        <v>595</v>
      </c>
    </row>
    <row r="49" spans="1:15" ht="22.5" customHeight="1" x14ac:dyDescent="0.3">
      <c r="A49" s="149" t="s">
        <v>218</v>
      </c>
      <c r="B49" s="44">
        <f>V_4!B49+V_5!B49+V_6!B49</f>
        <v>254</v>
      </c>
      <c r="C49" s="39">
        <f>V_4!C49+V_5!C49+V_6!C49</f>
        <v>147</v>
      </c>
      <c r="D49" s="39">
        <f>V_4!D49+V_5!D49+V_6!D49</f>
        <v>30</v>
      </c>
      <c r="E49" s="39">
        <f>V_4!E49+V_5!E49+V_6!E49</f>
        <v>7</v>
      </c>
      <c r="F49" s="152">
        <f>V_4!F49+V_5!F49+V_6!F49</f>
        <v>52</v>
      </c>
      <c r="G49" s="154">
        <f t="shared" si="4"/>
        <v>490</v>
      </c>
      <c r="H49" s="44">
        <f>V_4!H49+V_5!H49+V_6!H49</f>
        <v>0</v>
      </c>
      <c r="I49" s="39">
        <f>V_4!I49+V_5!I49+V_6!I49</f>
        <v>0</v>
      </c>
      <c r="J49" s="39">
        <f>V_4!J49+V_5!J49+V_6!J49</f>
        <v>0</v>
      </c>
      <c r="K49" s="45">
        <f>V_4!K49+V_5!K49+V_6!K49</f>
        <v>0</v>
      </c>
      <c r="L49" s="140">
        <f>V_4!L49+V_5!L49+V_6!L49</f>
        <v>0</v>
      </c>
      <c r="M49" s="149">
        <f t="shared" si="1"/>
        <v>0</v>
      </c>
      <c r="N49" s="100">
        <f t="shared" si="2"/>
        <v>490</v>
      </c>
      <c r="O49" s="43">
        <f t="shared" si="3"/>
        <v>627.5</v>
      </c>
    </row>
    <row r="50" spans="1:15" ht="22.5" customHeight="1" x14ac:dyDescent="0.3">
      <c r="A50" s="149" t="s">
        <v>219</v>
      </c>
      <c r="B50" s="44">
        <f>V_4!B50+V_5!B50+V_6!B50</f>
        <v>242</v>
      </c>
      <c r="C50" s="39">
        <f>V_4!C50+V_5!C50+V_6!C50</f>
        <v>128</v>
      </c>
      <c r="D50" s="39">
        <f>V_4!D50+V_5!D50+V_6!D50</f>
        <v>28</v>
      </c>
      <c r="E50" s="39">
        <f>V_4!E50+V_5!E50+V_6!E50</f>
        <v>9</v>
      </c>
      <c r="F50" s="152">
        <f>V_4!F50+V_5!F50+V_6!F50</f>
        <v>32</v>
      </c>
      <c r="G50" s="154">
        <f t="shared" si="4"/>
        <v>439</v>
      </c>
      <c r="H50" s="44">
        <f>V_4!H50+V_5!H50+V_6!H50</f>
        <v>0</v>
      </c>
      <c r="I50" s="39">
        <f>V_4!I50+V_5!I50+V_6!I50</f>
        <v>0</v>
      </c>
      <c r="J50" s="39">
        <f>V_4!J50+V_5!J50+V_6!J50</f>
        <v>0</v>
      </c>
      <c r="K50" s="45">
        <f>V_4!K50+V_5!K50+V_6!K50</f>
        <v>0</v>
      </c>
      <c r="L50" s="140">
        <f>V_4!L50+V_5!L50+V_6!L50</f>
        <v>0</v>
      </c>
      <c r="M50" s="149">
        <f t="shared" si="1"/>
        <v>0</v>
      </c>
      <c r="N50" s="100">
        <f t="shared" si="2"/>
        <v>439</v>
      </c>
      <c r="O50" s="43">
        <f t="shared" si="3"/>
        <v>519</v>
      </c>
    </row>
    <row r="51" spans="1:15" ht="22.5" customHeight="1" x14ac:dyDescent="0.3">
      <c r="A51" s="149" t="s">
        <v>220</v>
      </c>
      <c r="B51" s="44">
        <f>V_4!B51+V_5!B51+V_6!B51</f>
        <v>286</v>
      </c>
      <c r="C51" s="39">
        <f>V_4!C51+V_5!C51+V_6!C51</f>
        <v>142</v>
      </c>
      <c r="D51" s="39">
        <f>V_4!D51+V_5!D51+V_6!D51</f>
        <v>31</v>
      </c>
      <c r="E51" s="39">
        <f>V_4!E51+V_5!E51+V_6!E51</f>
        <v>9</v>
      </c>
      <c r="F51" s="152">
        <f>V_4!F51+V_5!F51+V_6!F51</f>
        <v>42</v>
      </c>
      <c r="G51" s="154">
        <f t="shared" si="4"/>
        <v>510</v>
      </c>
      <c r="H51" s="44">
        <f>V_4!H51+V_5!H51+V_6!H51</f>
        <v>0</v>
      </c>
      <c r="I51" s="39">
        <f>V_4!I51+V_5!I51+V_6!I51</f>
        <v>0</v>
      </c>
      <c r="J51" s="39">
        <f>V_4!J51+V_5!J51+V_6!J51</f>
        <v>0</v>
      </c>
      <c r="K51" s="45">
        <f>V_4!K51+V_5!K51+V_6!K51</f>
        <v>0</v>
      </c>
      <c r="L51" s="140">
        <f>V_4!L51+V_5!L51+V_6!L51</f>
        <v>1</v>
      </c>
      <c r="M51" s="149">
        <f t="shared" si="1"/>
        <v>1</v>
      </c>
      <c r="N51" s="100">
        <f t="shared" si="2"/>
        <v>511</v>
      </c>
      <c r="O51" s="43">
        <f t="shared" si="3"/>
        <v>627.5</v>
      </c>
    </row>
    <row r="52" spans="1:15" ht="22.5" customHeight="1" x14ac:dyDescent="0.3">
      <c r="A52" s="149" t="s">
        <v>221</v>
      </c>
      <c r="B52" s="44">
        <f>V_4!B52+V_5!B52+V_6!B52</f>
        <v>260</v>
      </c>
      <c r="C52" s="39">
        <f>V_4!C52+V_5!C52+V_6!C52</f>
        <v>146</v>
      </c>
      <c r="D52" s="39">
        <f>V_4!D52+V_5!D52+V_6!D52</f>
        <v>24</v>
      </c>
      <c r="E52" s="39">
        <f>V_4!E52+V_5!E52+V_6!E52</f>
        <v>9</v>
      </c>
      <c r="F52" s="152">
        <f>V_4!F52+V_5!F52+V_6!F52</f>
        <v>39</v>
      </c>
      <c r="G52" s="154">
        <f t="shared" si="4"/>
        <v>478</v>
      </c>
      <c r="H52" s="44">
        <f>V_4!H52+V_5!H52+V_6!H52</f>
        <v>0</v>
      </c>
      <c r="I52" s="39">
        <f>V_4!I52+V_5!I52+V_6!I52</f>
        <v>0</v>
      </c>
      <c r="J52" s="39">
        <f>V_4!J52+V_5!J52+V_6!J52</f>
        <v>0</v>
      </c>
      <c r="K52" s="45">
        <f>V_4!K52+V_5!K52+V_6!K52</f>
        <v>1</v>
      </c>
      <c r="L52" s="140">
        <f>V_4!L52+V_5!L52+V_6!L52</f>
        <v>0</v>
      </c>
      <c r="M52" s="149">
        <f t="shared" si="1"/>
        <v>1</v>
      </c>
      <c r="N52" s="100">
        <f t="shared" si="2"/>
        <v>479</v>
      </c>
      <c r="O52" s="43">
        <f t="shared" si="3"/>
        <v>575.5</v>
      </c>
    </row>
    <row r="53" spans="1:15" ht="22.5" customHeight="1" x14ac:dyDescent="0.3">
      <c r="A53" s="149" t="s">
        <v>222</v>
      </c>
      <c r="B53" s="44">
        <f>V_4!B53+V_5!B53+V_6!B53</f>
        <v>272</v>
      </c>
      <c r="C53" s="39">
        <f>V_4!C53+V_5!C53+V_6!C53</f>
        <v>124</v>
      </c>
      <c r="D53" s="39">
        <f>V_4!D53+V_5!D53+V_6!D53</f>
        <v>17</v>
      </c>
      <c r="E53" s="39">
        <f>V_4!E53+V_5!E53+V_6!E53</f>
        <v>4</v>
      </c>
      <c r="F53" s="152">
        <f>V_4!F53+V_5!F53+V_6!F53</f>
        <v>65</v>
      </c>
      <c r="G53" s="154">
        <f t="shared" si="4"/>
        <v>482</v>
      </c>
      <c r="H53" s="44">
        <f>V_4!H53+V_5!H53+V_6!H53</f>
        <v>1</v>
      </c>
      <c r="I53" s="39">
        <f>V_4!I53+V_5!I53+V_6!I53</f>
        <v>0</v>
      </c>
      <c r="J53" s="39">
        <f>V_4!J53+V_5!J53+V_6!J53</f>
        <v>0</v>
      </c>
      <c r="K53" s="45">
        <f>V_4!K53+V_5!K53+V_6!K53</f>
        <v>0</v>
      </c>
      <c r="L53" s="140">
        <f>V_4!L53+V_5!L53+V_6!L53</f>
        <v>0</v>
      </c>
      <c r="M53" s="149">
        <f t="shared" si="1"/>
        <v>1</v>
      </c>
      <c r="N53" s="100">
        <f t="shared" si="2"/>
        <v>483</v>
      </c>
      <c r="O53" s="43">
        <f t="shared" si="3"/>
        <v>664.5</v>
      </c>
    </row>
    <row r="54" spans="1:15" ht="22.5" customHeight="1" x14ac:dyDescent="0.3">
      <c r="A54" s="149" t="s">
        <v>223</v>
      </c>
      <c r="B54" s="44">
        <f>V_4!B54+V_5!B54+V_6!B54</f>
        <v>268</v>
      </c>
      <c r="C54" s="39">
        <f>V_4!C54+V_5!C54+V_6!C54</f>
        <v>112</v>
      </c>
      <c r="D54" s="39">
        <f>V_4!D54+V_5!D54+V_6!D54</f>
        <v>17</v>
      </c>
      <c r="E54" s="39">
        <f>V_4!E54+V_5!E54+V_6!E54</f>
        <v>9</v>
      </c>
      <c r="F54" s="152">
        <f>V_4!F54+V_5!F54+V_6!F54</f>
        <v>42</v>
      </c>
      <c r="G54" s="154">
        <f t="shared" si="4"/>
        <v>448</v>
      </c>
      <c r="H54" s="44">
        <f>V_4!H54+V_5!H54+V_6!H54</f>
        <v>1</v>
      </c>
      <c r="I54" s="39">
        <f>V_4!I54+V_5!I54+V_6!I54</f>
        <v>0</v>
      </c>
      <c r="J54" s="39">
        <f>V_4!J54+V_5!J54+V_6!J54</f>
        <v>0</v>
      </c>
      <c r="K54" s="45">
        <f>V_4!K54+V_5!K54+V_6!K54</f>
        <v>0</v>
      </c>
      <c r="L54" s="140">
        <f>V_4!L54+V_5!L54+V_6!L54</f>
        <v>3</v>
      </c>
      <c r="M54" s="149">
        <f t="shared" si="1"/>
        <v>4</v>
      </c>
      <c r="N54" s="100">
        <f t="shared" si="2"/>
        <v>452</v>
      </c>
      <c r="O54" s="43">
        <f t="shared" si="3"/>
        <v>590</v>
      </c>
    </row>
    <row r="55" spans="1:15" ht="22.5" customHeight="1" x14ac:dyDescent="0.3">
      <c r="A55" s="149" t="s">
        <v>224</v>
      </c>
      <c r="B55" s="44">
        <f>V_4!B55+V_5!B55+V_6!B55</f>
        <v>230</v>
      </c>
      <c r="C55" s="39">
        <f>V_4!C55+V_5!C55+V_6!C55</f>
        <v>76</v>
      </c>
      <c r="D55" s="39">
        <f>V_4!D55+V_5!D55+V_6!D55</f>
        <v>25</v>
      </c>
      <c r="E55" s="39">
        <f>V_4!E55+V_5!E55+V_6!E55</f>
        <v>8</v>
      </c>
      <c r="F55" s="152">
        <f>V_4!F55+V_5!F55+V_6!F55</f>
        <v>45</v>
      </c>
      <c r="G55" s="154">
        <f t="shared" si="4"/>
        <v>384</v>
      </c>
      <c r="H55" s="44">
        <f>V_4!H55+V_5!H55+V_6!H55</f>
        <v>0</v>
      </c>
      <c r="I55" s="39">
        <f>V_4!I55+V_5!I55+V_6!I55</f>
        <v>0</v>
      </c>
      <c r="J55" s="39">
        <f>V_4!J55+V_5!J55+V_6!J55</f>
        <v>0</v>
      </c>
      <c r="K55" s="45">
        <f>V_4!K55+V_5!K55+V_6!K55</f>
        <v>0</v>
      </c>
      <c r="L55" s="140">
        <f>V_4!L55+V_5!L55+V_6!L55</f>
        <v>2</v>
      </c>
      <c r="M55" s="149">
        <f t="shared" si="1"/>
        <v>2</v>
      </c>
      <c r="N55" s="100">
        <f t="shared" si="2"/>
        <v>386</v>
      </c>
      <c r="O55" s="43">
        <f t="shared" si="3"/>
        <v>548</v>
      </c>
    </row>
    <row r="56" spans="1:15" ht="22.5" customHeight="1" x14ac:dyDescent="0.3">
      <c r="A56" s="149" t="s">
        <v>225</v>
      </c>
      <c r="B56" s="44">
        <f>V_4!B56+V_5!B56+V_6!B56</f>
        <v>216</v>
      </c>
      <c r="C56" s="39">
        <f>V_4!C56+V_5!C56+V_6!C56</f>
        <v>92</v>
      </c>
      <c r="D56" s="39">
        <f>V_4!D56+V_5!D56+V_6!D56</f>
        <v>17</v>
      </c>
      <c r="E56" s="39">
        <f>V_4!E56+V_5!E56+V_6!E56</f>
        <v>11</v>
      </c>
      <c r="F56" s="152">
        <f>V_4!F56+V_5!F56+V_6!F56</f>
        <v>42</v>
      </c>
      <c r="G56" s="154">
        <f t="shared" si="4"/>
        <v>378</v>
      </c>
      <c r="H56" s="44">
        <f>V_4!H56+V_5!H56+V_6!H56</f>
        <v>0</v>
      </c>
      <c r="I56" s="39">
        <f>V_4!I56+V_5!I56+V_6!I56</f>
        <v>0</v>
      </c>
      <c r="J56" s="39">
        <f>V_4!J56+V_5!J56+V_6!J56</f>
        <v>0</v>
      </c>
      <c r="K56" s="45">
        <f>V_4!K56+V_5!K56+V_6!K56</f>
        <v>0</v>
      </c>
      <c r="L56" s="140">
        <f>V_4!L56+V_5!L56+V_6!L56</f>
        <v>0</v>
      </c>
      <c r="M56" s="149">
        <f t="shared" si="1"/>
        <v>0</v>
      </c>
      <c r="N56" s="100">
        <f t="shared" si="2"/>
        <v>378</v>
      </c>
      <c r="O56" s="43">
        <f t="shared" si="3"/>
        <v>509.5</v>
      </c>
    </row>
    <row r="57" spans="1:15" ht="22.5" customHeight="1" x14ac:dyDescent="0.3">
      <c r="A57" s="149" t="s">
        <v>226</v>
      </c>
      <c r="B57" s="44">
        <f>V_4!B57+V_5!B57+V_6!B57</f>
        <v>152</v>
      </c>
      <c r="C57" s="39">
        <f>V_4!C57+V_5!C57+V_6!C57</f>
        <v>82</v>
      </c>
      <c r="D57" s="39">
        <f>V_4!D57+V_5!D57+V_6!D57</f>
        <v>15</v>
      </c>
      <c r="E57" s="39">
        <f>V_4!E57+V_5!E57+V_6!E57</f>
        <v>10</v>
      </c>
      <c r="F57" s="152">
        <f>V_4!F57+V_5!F57+V_6!F57</f>
        <v>33</v>
      </c>
      <c r="G57" s="154">
        <f t="shared" si="4"/>
        <v>292</v>
      </c>
      <c r="H57" s="44">
        <f>V_4!H57+V_5!H57+V_6!H57</f>
        <v>0</v>
      </c>
      <c r="I57" s="39">
        <f>V_4!I57+V_5!I57+V_6!I57</f>
        <v>0</v>
      </c>
      <c r="J57" s="39">
        <f>V_4!J57+V_5!J57+V_6!J57</f>
        <v>0</v>
      </c>
      <c r="K57" s="45">
        <f>V_4!K57+V_5!K57+V_6!K57</f>
        <v>0</v>
      </c>
      <c r="L57" s="140">
        <f>V_4!L57+V_5!L57+V_6!L57</f>
        <v>0</v>
      </c>
      <c r="M57" s="149">
        <f t="shared" si="1"/>
        <v>0</v>
      </c>
      <c r="N57" s="100">
        <f t="shared" si="2"/>
        <v>292</v>
      </c>
      <c r="O57" s="43">
        <f t="shared" si="3"/>
        <v>394</v>
      </c>
    </row>
    <row r="58" spans="1:15" ht="22.5" customHeight="1" x14ac:dyDescent="0.3">
      <c r="A58" s="149" t="s">
        <v>227</v>
      </c>
      <c r="B58" s="44">
        <f>V_4!B58+V_5!B58+V_6!B58</f>
        <v>167</v>
      </c>
      <c r="C58" s="39">
        <f>V_4!C58+V_5!C58+V_6!C58</f>
        <v>67</v>
      </c>
      <c r="D58" s="39">
        <f>V_4!D58+V_5!D58+V_6!D58</f>
        <v>11</v>
      </c>
      <c r="E58" s="39">
        <f>V_4!E58+V_5!E58+V_6!E58</f>
        <v>6</v>
      </c>
      <c r="F58" s="152">
        <f>V_4!F58+V_5!F58+V_6!F58</f>
        <v>47</v>
      </c>
      <c r="G58" s="154">
        <f t="shared" si="4"/>
        <v>298</v>
      </c>
      <c r="H58" s="44">
        <f>V_4!H58+V_5!H58+V_6!H58</f>
        <v>0</v>
      </c>
      <c r="I58" s="39">
        <f>V_4!I58+V_5!I58+V_6!I58</f>
        <v>0</v>
      </c>
      <c r="J58" s="39">
        <f>V_4!J58+V_5!J58+V_6!J58</f>
        <v>0</v>
      </c>
      <c r="K58" s="45">
        <f>V_4!K58+V_5!K58+V_6!K58</f>
        <v>0</v>
      </c>
      <c r="L58" s="140">
        <f>V_4!L58+V_5!L58+V_6!L58</f>
        <v>0</v>
      </c>
      <c r="M58" s="149">
        <f t="shared" si="1"/>
        <v>0</v>
      </c>
      <c r="N58" s="100">
        <f t="shared" si="2"/>
        <v>298</v>
      </c>
      <c r="O58" s="43">
        <f t="shared" si="3"/>
        <v>446.5</v>
      </c>
    </row>
    <row r="59" spans="1:15" ht="22.5" customHeight="1" x14ac:dyDescent="0.3">
      <c r="A59" s="149" t="s">
        <v>228</v>
      </c>
      <c r="B59" s="44">
        <f>V_4!B59+V_5!B59+V_6!B59</f>
        <v>139</v>
      </c>
      <c r="C59" s="39">
        <f>V_4!C59+V_5!C59+V_6!C59</f>
        <v>60</v>
      </c>
      <c r="D59" s="39">
        <f>V_4!D59+V_5!D59+V_6!D59</f>
        <v>14</v>
      </c>
      <c r="E59" s="39">
        <f>V_4!E59+V_5!E59+V_6!E59</f>
        <v>8</v>
      </c>
      <c r="F59" s="152">
        <f>V_4!F59+V_5!F59+V_6!F59</f>
        <v>55</v>
      </c>
      <c r="G59" s="154">
        <f t="shared" si="4"/>
        <v>276</v>
      </c>
      <c r="H59" s="44">
        <f>V_4!H59+V_5!H59+V_6!H59</f>
        <v>0</v>
      </c>
      <c r="I59" s="39">
        <f>V_4!I59+V_5!I59+V_6!I59</f>
        <v>0</v>
      </c>
      <c r="J59" s="39">
        <f>V_4!J59+V_5!J59+V_6!J59</f>
        <v>0</v>
      </c>
      <c r="K59" s="45">
        <f>V_4!K59+V_5!K59+V_6!K59</f>
        <v>0</v>
      </c>
      <c r="L59" s="140">
        <f>V_4!L59+V_5!L59+V_6!L59</f>
        <v>0</v>
      </c>
      <c r="M59" s="149">
        <f t="shared" si="1"/>
        <v>0</v>
      </c>
      <c r="N59" s="100">
        <f t="shared" si="2"/>
        <v>276</v>
      </c>
      <c r="O59" s="43">
        <f t="shared" si="3"/>
        <v>461.5</v>
      </c>
    </row>
    <row r="60" spans="1:15" ht="22.5" customHeight="1" x14ac:dyDescent="0.3">
      <c r="A60" s="149" t="s">
        <v>229</v>
      </c>
      <c r="B60" s="44">
        <f>V_4!B60+V_5!B60+V_6!B60</f>
        <v>125</v>
      </c>
      <c r="C60" s="39">
        <f>V_4!C60+V_5!C60+V_6!C60</f>
        <v>49</v>
      </c>
      <c r="D60" s="39">
        <f>V_4!D60+V_5!D60+V_6!D60</f>
        <v>19</v>
      </c>
      <c r="E60" s="39">
        <f>V_4!E60+V_5!E60+V_6!E60</f>
        <v>3</v>
      </c>
      <c r="F60" s="152">
        <f>V_4!F60+V_5!F60+V_6!F60</f>
        <v>53</v>
      </c>
      <c r="G60" s="154">
        <f t="shared" si="4"/>
        <v>249</v>
      </c>
      <c r="H60" s="44">
        <f>V_4!H60+V_5!H60+V_6!H60</f>
        <v>0</v>
      </c>
      <c r="I60" s="39">
        <f>V_4!I60+V_5!I60+V_6!I60</f>
        <v>0</v>
      </c>
      <c r="J60" s="39">
        <f>V_4!J60+V_5!J60+V_6!J60</f>
        <v>0</v>
      </c>
      <c r="K60" s="45">
        <f>V_4!K60+V_5!K60+V_6!K60</f>
        <v>0</v>
      </c>
      <c r="L60" s="140">
        <f>V_4!L60+V_5!L60+V_6!L60</f>
        <v>0</v>
      </c>
      <c r="M60" s="149">
        <f t="shared" si="1"/>
        <v>0</v>
      </c>
      <c r="N60" s="100">
        <f t="shared" si="2"/>
        <v>249</v>
      </c>
      <c r="O60" s="43">
        <f t="shared" si="3"/>
        <v>425.5</v>
      </c>
    </row>
    <row r="61" spans="1:15" ht="22.5" customHeight="1" x14ac:dyDescent="0.3">
      <c r="A61" s="149" t="s">
        <v>230</v>
      </c>
      <c r="B61" s="44">
        <f>V_4!B61+V_5!B61+V_6!B61</f>
        <v>104</v>
      </c>
      <c r="C61" s="39">
        <f>V_4!C61+V_5!C61+V_6!C61</f>
        <v>40</v>
      </c>
      <c r="D61" s="39">
        <f>V_4!D61+V_5!D61+V_6!D61</f>
        <v>14</v>
      </c>
      <c r="E61" s="39">
        <f>V_4!E61+V_5!E61+V_6!E61</f>
        <v>7</v>
      </c>
      <c r="F61" s="152">
        <f>V_4!F61+V_5!F61+V_6!F61</f>
        <v>56</v>
      </c>
      <c r="G61" s="154">
        <f t="shared" si="4"/>
        <v>221</v>
      </c>
      <c r="H61" s="44">
        <f>V_4!H61+V_5!H61+V_6!H61</f>
        <v>0</v>
      </c>
      <c r="I61" s="39">
        <f>V_4!I61+V_5!I61+V_6!I61</f>
        <v>0</v>
      </c>
      <c r="J61" s="39">
        <f>V_4!J61+V_5!J61+V_6!J61</f>
        <v>0</v>
      </c>
      <c r="K61" s="45">
        <f>V_4!K61+V_5!K61+V_6!K61</f>
        <v>0</v>
      </c>
      <c r="L61" s="140">
        <f>V_4!L61+V_5!L61+V_6!L61</f>
        <v>0</v>
      </c>
      <c r="M61" s="149">
        <f t="shared" si="1"/>
        <v>0</v>
      </c>
      <c r="N61" s="100">
        <f t="shared" si="2"/>
        <v>221</v>
      </c>
      <c r="O61" s="43">
        <f t="shared" si="3"/>
        <v>418</v>
      </c>
    </row>
    <row r="62" spans="1:15" ht="22.5" customHeight="1" x14ac:dyDescent="0.3">
      <c r="A62" s="149" t="s">
        <v>231</v>
      </c>
      <c r="B62" s="44">
        <f>V_4!B62+V_5!B62+V_6!B62</f>
        <v>123</v>
      </c>
      <c r="C62" s="39">
        <f>V_4!C62+V_5!C62+V_6!C62</f>
        <v>39</v>
      </c>
      <c r="D62" s="39">
        <f>V_4!D62+V_5!D62+V_6!D62</f>
        <v>19</v>
      </c>
      <c r="E62" s="39">
        <f>V_4!E62+V_5!E62+V_6!E62</f>
        <v>4</v>
      </c>
      <c r="F62" s="152">
        <f>V_4!F62+V_5!F62+V_6!F62</f>
        <v>71</v>
      </c>
      <c r="G62" s="154">
        <f t="shared" si="4"/>
        <v>256</v>
      </c>
      <c r="H62" s="44">
        <f>V_4!H62+V_5!H62+V_6!H62</f>
        <v>0</v>
      </c>
      <c r="I62" s="39">
        <f>V_4!I62+V_5!I62+V_6!I62</f>
        <v>0</v>
      </c>
      <c r="J62" s="39">
        <f>V_4!J62+V_5!J62+V_6!J62</f>
        <v>0</v>
      </c>
      <c r="K62" s="45">
        <f>V_4!K62+V_5!K62+V_6!K62</f>
        <v>0</v>
      </c>
      <c r="L62" s="140">
        <f>V_4!L62+V_5!L62+V_6!L62</f>
        <v>0</v>
      </c>
      <c r="M62" s="149">
        <f t="shared" si="1"/>
        <v>0</v>
      </c>
      <c r="N62" s="100">
        <f t="shared" si="2"/>
        <v>256</v>
      </c>
      <c r="O62" s="43">
        <f t="shared" si="3"/>
        <v>502.5</v>
      </c>
    </row>
    <row r="63" spans="1:15" ht="22.5" customHeight="1" x14ac:dyDescent="0.3">
      <c r="A63" s="149" t="s">
        <v>232</v>
      </c>
      <c r="B63" s="44">
        <f>V_4!B63+V_5!B63+V_6!B63</f>
        <v>105</v>
      </c>
      <c r="C63" s="39">
        <f>V_4!C63+V_5!C63+V_6!C63</f>
        <v>37</v>
      </c>
      <c r="D63" s="39">
        <f>V_4!D63+V_5!D63+V_6!D63</f>
        <v>17</v>
      </c>
      <c r="E63" s="39">
        <f>V_4!E63+V_5!E63+V_6!E63</f>
        <v>4</v>
      </c>
      <c r="F63" s="152">
        <f>V_4!F63+V_5!F63+V_6!F63</f>
        <v>44</v>
      </c>
      <c r="G63" s="154">
        <f t="shared" si="4"/>
        <v>207</v>
      </c>
      <c r="H63" s="44">
        <f>V_4!H63+V_5!H63+V_6!H63</f>
        <v>0</v>
      </c>
      <c r="I63" s="39">
        <f>V_4!I63+V_5!I63+V_6!I63</f>
        <v>0</v>
      </c>
      <c r="J63" s="39">
        <f>V_4!J63+V_5!J63+V_6!J63</f>
        <v>0</v>
      </c>
      <c r="K63" s="45">
        <f>V_4!K63+V_5!K63+V_6!K63</f>
        <v>0</v>
      </c>
      <c r="L63" s="140">
        <f>V_4!L63+V_5!L63+V_6!L63</f>
        <v>0</v>
      </c>
      <c r="M63" s="149">
        <f t="shared" si="1"/>
        <v>0</v>
      </c>
      <c r="N63" s="100">
        <f t="shared" si="2"/>
        <v>207</v>
      </c>
      <c r="O63" s="43">
        <f t="shared" si="3"/>
        <v>359</v>
      </c>
    </row>
    <row r="64" spans="1:15" ht="22.5" customHeight="1" x14ac:dyDescent="0.3">
      <c r="A64" s="149" t="s">
        <v>233</v>
      </c>
      <c r="B64" s="44">
        <f>V_4!B64+V_5!B64+V_6!B64</f>
        <v>104</v>
      </c>
      <c r="C64" s="39">
        <f>V_4!C64+V_5!C64+V_6!C64</f>
        <v>23</v>
      </c>
      <c r="D64" s="39">
        <f>V_4!D64+V_5!D64+V_6!D64</f>
        <v>23</v>
      </c>
      <c r="E64" s="39">
        <f>V_4!E64+V_5!E64+V_6!E64</f>
        <v>10</v>
      </c>
      <c r="F64" s="152">
        <f>V_4!F64+V_5!F64+V_6!F64</f>
        <v>53</v>
      </c>
      <c r="G64" s="154">
        <f t="shared" si="4"/>
        <v>213</v>
      </c>
      <c r="H64" s="44">
        <f>V_4!H64+V_5!H64+V_6!H64</f>
        <v>0</v>
      </c>
      <c r="I64" s="39">
        <f>V_4!I64+V_5!I64+V_6!I64</f>
        <v>0</v>
      </c>
      <c r="J64" s="39">
        <f>V_4!J64+V_5!J64+V_6!J64</f>
        <v>0</v>
      </c>
      <c r="K64" s="45">
        <f>V_4!K64+V_5!K64+V_6!K64</f>
        <v>0</v>
      </c>
      <c r="L64" s="140">
        <f>V_4!L64+V_5!L64+V_6!L64</f>
        <v>0</v>
      </c>
      <c r="M64" s="149">
        <f t="shared" si="1"/>
        <v>0</v>
      </c>
      <c r="N64" s="100">
        <f t="shared" si="2"/>
        <v>213</v>
      </c>
      <c r="O64" s="43">
        <f t="shared" si="3"/>
        <v>418.5</v>
      </c>
    </row>
    <row r="65" spans="1:15" ht="22.5" customHeight="1" x14ac:dyDescent="0.3">
      <c r="A65" s="149" t="s">
        <v>234</v>
      </c>
      <c r="B65" s="44">
        <f>V_4!B65+V_5!B65+V_6!B65</f>
        <v>85</v>
      </c>
      <c r="C65" s="39">
        <f>V_4!C65+V_5!C65+V_6!C65</f>
        <v>28</v>
      </c>
      <c r="D65" s="39">
        <f>V_4!D65+V_5!D65+V_6!D65</f>
        <v>21</v>
      </c>
      <c r="E65" s="39">
        <f>V_4!E65+V_5!E65+V_6!E65</f>
        <v>4</v>
      </c>
      <c r="F65" s="152">
        <f>V_4!F65+V_5!F65+V_6!F65</f>
        <v>46</v>
      </c>
      <c r="G65" s="154">
        <f t="shared" si="4"/>
        <v>184</v>
      </c>
      <c r="H65" s="44">
        <f>V_4!H65+V_5!H65+V_6!H65</f>
        <v>0</v>
      </c>
      <c r="I65" s="39">
        <f>V_4!I65+V_5!I65+V_6!I65</f>
        <v>0</v>
      </c>
      <c r="J65" s="39">
        <f>V_4!J65+V_5!J65+V_6!J65</f>
        <v>0</v>
      </c>
      <c r="K65" s="45">
        <f>V_4!K65+V_5!K65+V_6!K65</f>
        <v>0</v>
      </c>
      <c r="L65" s="140">
        <f>V_4!L65+V_5!L65+V_6!L65</f>
        <v>0</v>
      </c>
      <c r="M65" s="149">
        <f t="shared" si="1"/>
        <v>0</v>
      </c>
      <c r="N65" s="100">
        <f t="shared" si="2"/>
        <v>184</v>
      </c>
      <c r="O65" s="43">
        <f t="shared" si="3"/>
        <v>349.5</v>
      </c>
    </row>
    <row r="66" spans="1:15" ht="22.5" customHeight="1" x14ac:dyDescent="0.3">
      <c r="A66" s="149" t="s">
        <v>235</v>
      </c>
      <c r="B66" s="44">
        <f>V_4!B66+V_5!B66+V_6!B66</f>
        <v>69</v>
      </c>
      <c r="C66" s="39">
        <f>V_4!C66+V_5!C66+V_6!C66</f>
        <v>21</v>
      </c>
      <c r="D66" s="39">
        <f>V_4!D66+V_5!D66+V_6!D66</f>
        <v>19</v>
      </c>
      <c r="E66" s="39">
        <f>V_4!E66+V_5!E66+V_6!E66</f>
        <v>8</v>
      </c>
      <c r="F66" s="152">
        <f>V_4!F66+V_5!F66+V_6!F66</f>
        <v>40</v>
      </c>
      <c r="G66" s="154">
        <f t="shared" si="4"/>
        <v>157</v>
      </c>
      <c r="H66" s="44">
        <f>V_4!H66+V_5!H66+V_6!H66</f>
        <v>0</v>
      </c>
      <c r="I66" s="39">
        <f>V_4!I66+V_5!I66+V_6!I66</f>
        <v>0</v>
      </c>
      <c r="J66" s="39">
        <f>V_4!J66+V_5!J66+V_6!J66</f>
        <v>0</v>
      </c>
      <c r="K66" s="45">
        <f>V_4!K66+V_5!K66+V_6!K66</f>
        <v>0</v>
      </c>
      <c r="L66" s="140">
        <f>V_4!L66+V_5!L66+V_6!L66</f>
        <v>0</v>
      </c>
      <c r="M66" s="149">
        <f t="shared" si="1"/>
        <v>0</v>
      </c>
      <c r="N66" s="100">
        <f t="shared" si="2"/>
        <v>157</v>
      </c>
      <c r="O66" s="43">
        <f t="shared" si="3"/>
        <v>312</v>
      </c>
    </row>
    <row r="67" spans="1:15" ht="22.5" customHeight="1" x14ac:dyDescent="0.3">
      <c r="A67" s="149" t="s">
        <v>236</v>
      </c>
      <c r="B67" s="44">
        <f>V_4!B67+V_5!B67+V_6!B67</f>
        <v>66</v>
      </c>
      <c r="C67" s="39">
        <f>V_4!C67+V_5!C67+V_6!C67</f>
        <v>18</v>
      </c>
      <c r="D67" s="39">
        <f>V_4!D67+V_5!D67+V_6!D67</f>
        <v>21</v>
      </c>
      <c r="E67" s="39">
        <f>V_4!E67+V_5!E67+V_6!E67</f>
        <v>7</v>
      </c>
      <c r="F67" s="152">
        <f>V_4!F67+V_5!F67+V_6!F67</f>
        <v>34</v>
      </c>
      <c r="G67" s="154">
        <f t="shared" si="4"/>
        <v>146</v>
      </c>
      <c r="H67" s="44">
        <f>V_4!H67+V_5!H67+V_6!H67</f>
        <v>0</v>
      </c>
      <c r="I67" s="39">
        <f>V_4!I67+V_5!I67+V_6!I67</f>
        <v>0</v>
      </c>
      <c r="J67" s="39">
        <f>V_4!J67+V_5!J67+V_6!J67</f>
        <v>0</v>
      </c>
      <c r="K67" s="45">
        <f>V_4!K67+V_5!K67+V_6!K67</f>
        <v>0</v>
      </c>
      <c r="L67" s="140">
        <f>V_4!L67+V_5!L67+V_6!L67</f>
        <v>0</v>
      </c>
      <c r="M67" s="149">
        <f t="shared" si="1"/>
        <v>0</v>
      </c>
      <c r="N67" s="100">
        <f t="shared" si="2"/>
        <v>146</v>
      </c>
      <c r="O67" s="43">
        <f t="shared" si="3"/>
        <v>280.5</v>
      </c>
    </row>
    <row r="68" spans="1:15" ht="22.5" customHeight="1" x14ac:dyDescent="0.3">
      <c r="A68" s="149" t="s">
        <v>237</v>
      </c>
      <c r="B68" s="44">
        <f>V_4!B68+V_5!B68+V_6!B68</f>
        <v>61</v>
      </c>
      <c r="C68" s="39">
        <f>V_4!C68+V_5!C68+V_6!C68</f>
        <v>18</v>
      </c>
      <c r="D68" s="39">
        <f>V_4!D68+V_5!D68+V_6!D68</f>
        <v>11</v>
      </c>
      <c r="E68" s="39">
        <f>V_4!E68+V_5!E68+V_6!E68</f>
        <v>10</v>
      </c>
      <c r="F68" s="152">
        <f>V_4!F68+V_5!F68+V_6!F68</f>
        <v>50</v>
      </c>
      <c r="G68" s="154">
        <f t="shared" si="4"/>
        <v>150</v>
      </c>
      <c r="H68" s="44">
        <f>V_4!H68+V_5!H68+V_6!H68</f>
        <v>0</v>
      </c>
      <c r="I68" s="39">
        <f>V_4!I68+V_5!I68+V_6!I68</f>
        <v>0</v>
      </c>
      <c r="J68" s="39">
        <f>V_4!J68+V_5!J68+V_6!J68</f>
        <v>0</v>
      </c>
      <c r="K68" s="45">
        <f>V_4!K68+V_5!K68+V_6!K68</f>
        <v>0</v>
      </c>
      <c r="L68" s="140">
        <f>V_4!L68+V_5!L68+V_6!L68</f>
        <v>0</v>
      </c>
      <c r="M68" s="149">
        <f t="shared" si="1"/>
        <v>0</v>
      </c>
      <c r="N68" s="100">
        <f t="shared" si="2"/>
        <v>150</v>
      </c>
      <c r="O68" s="43">
        <f t="shared" si="3"/>
        <v>341.5</v>
      </c>
    </row>
    <row r="69" spans="1:15" ht="22.5" customHeight="1" x14ac:dyDescent="0.3">
      <c r="A69" s="149" t="s">
        <v>238</v>
      </c>
      <c r="B69" s="44">
        <f>V_4!B69+V_5!B69+V_6!B69</f>
        <v>51</v>
      </c>
      <c r="C69" s="39">
        <f>V_4!C69+V_5!C69+V_6!C69</f>
        <v>20</v>
      </c>
      <c r="D69" s="39">
        <f>V_4!D69+V_5!D69+V_6!D69</f>
        <v>7</v>
      </c>
      <c r="E69" s="39">
        <f>V_4!E69+V_5!E69+V_6!E69</f>
        <v>5</v>
      </c>
      <c r="F69" s="152">
        <f>V_4!F69+V_5!F69+V_6!F69</f>
        <v>36</v>
      </c>
      <c r="G69" s="154">
        <f t="shared" si="4"/>
        <v>119</v>
      </c>
      <c r="H69" s="44">
        <f>V_4!H69+V_5!H69+V_6!H69</f>
        <v>0</v>
      </c>
      <c r="I69" s="39">
        <f>V_4!I69+V_5!I69+V_6!I69</f>
        <v>0</v>
      </c>
      <c r="J69" s="39">
        <f>V_4!J69+V_5!J69+V_6!J69</f>
        <v>0</v>
      </c>
      <c r="K69" s="45">
        <f>V_4!K69+V_5!K69+V_6!K69</f>
        <v>0</v>
      </c>
      <c r="L69" s="140">
        <f>V_4!L69+V_5!L69+V_6!L69</f>
        <v>0</v>
      </c>
      <c r="M69" s="149">
        <f t="shared" si="1"/>
        <v>0</v>
      </c>
      <c r="N69" s="100">
        <f t="shared" si="2"/>
        <v>119</v>
      </c>
      <c r="O69" s="43">
        <f t="shared" si="3"/>
        <v>248.5</v>
      </c>
    </row>
    <row r="70" spans="1:15" ht="22.5" customHeight="1" x14ac:dyDescent="0.3">
      <c r="A70" s="149" t="s">
        <v>239</v>
      </c>
      <c r="B70" s="44">
        <f>V_4!B70+V_5!B70+V_6!B70</f>
        <v>40</v>
      </c>
      <c r="C70" s="39">
        <f>V_4!C70+V_5!C70+V_6!C70</f>
        <v>10</v>
      </c>
      <c r="D70" s="39">
        <f>V_4!D70+V_5!D70+V_6!D70</f>
        <v>17</v>
      </c>
      <c r="E70" s="39">
        <f>V_4!E70+V_5!E70+V_6!E70</f>
        <v>5</v>
      </c>
      <c r="F70" s="152">
        <f>V_4!F70+V_5!F70+V_6!F70</f>
        <v>33</v>
      </c>
      <c r="G70" s="154">
        <f t="shared" si="4"/>
        <v>105</v>
      </c>
      <c r="H70" s="44">
        <f>V_4!H70+V_5!H70+V_6!H70</f>
        <v>0</v>
      </c>
      <c r="I70" s="39">
        <f>V_4!I70+V_5!I70+V_6!I70</f>
        <v>0</v>
      </c>
      <c r="J70" s="39">
        <f>V_4!J70+V_5!J70+V_6!J70</f>
        <v>0</v>
      </c>
      <c r="K70" s="45">
        <f>V_4!K70+V_5!K70+V_6!K70</f>
        <v>0</v>
      </c>
      <c r="L70" s="140">
        <f>V_4!L70+V_5!L70+V_6!L70</f>
        <v>4</v>
      </c>
      <c r="M70" s="149">
        <f t="shared" si="1"/>
        <v>4</v>
      </c>
      <c r="N70" s="100">
        <f t="shared" si="2"/>
        <v>109</v>
      </c>
      <c r="O70" s="43">
        <f t="shared" si="3"/>
        <v>266</v>
      </c>
    </row>
    <row r="71" spans="1:15" ht="22.5" customHeight="1" x14ac:dyDescent="0.3">
      <c r="A71" s="149" t="s">
        <v>240</v>
      </c>
      <c r="B71" s="44">
        <f>V_4!B71+V_5!B71+V_6!B71</f>
        <v>27</v>
      </c>
      <c r="C71" s="39">
        <f>V_4!C71+V_5!C71+V_6!C71</f>
        <v>10</v>
      </c>
      <c r="D71" s="39">
        <f>V_4!D71+V_5!D71+V_6!D71</f>
        <v>12</v>
      </c>
      <c r="E71" s="39">
        <f>V_4!E71+V_5!E71+V_6!E71</f>
        <v>5</v>
      </c>
      <c r="F71" s="152">
        <f>V_4!F71+V_5!F71+V_6!F71</f>
        <v>35</v>
      </c>
      <c r="G71" s="154">
        <f t="shared" si="4"/>
        <v>89</v>
      </c>
      <c r="H71" s="44">
        <f>V_4!H71+V_5!H71+V_6!H71</f>
        <v>0</v>
      </c>
      <c r="I71" s="39">
        <f>V_4!I71+V_5!I71+V_6!I71</f>
        <v>0</v>
      </c>
      <c r="J71" s="39">
        <f>V_4!J71+V_5!J71+V_6!J71</f>
        <v>0</v>
      </c>
      <c r="K71" s="45">
        <f>V_4!K71+V_5!K71+V_6!K71</f>
        <v>0</v>
      </c>
      <c r="L71" s="140">
        <f>V_4!L71+V_5!L71+V_6!L71</f>
        <v>3</v>
      </c>
      <c r="M71" s="149">
        <f t="shared" si="1"/>
        <v>3</v>
      </c>
      <c r="N71" s="100">
        <f t="shared" si="2"/>
        <v>92</v>
      </c>
      <c r="O71" s="43">
        <f t="shared" si="3"/>
        <v>246.5</v>
      </c>
    </row>
    <row r="72" spans="1:15" ht="22.5" customHeight="1" x14ac:dyDescent="0.3">
      <c r="A72" s="149" t="s">
        <v>153</v>
      </c>
      <c r="B72" s="44">
        <f>V_4!B72+V_5!B72+V_6!B72</f>
        <v>32</v>
      </c>
      <c r="C72" s="39">
        <f>V_4!C72+V_5!C72+V_6!C72</f>
        <v>8</v>
      </c>
      <c r="D72" s="39">
        <f>V_4!D72+V_5!D72+V_6!D72</f>
        <v>18</v>
      </c>
      <c r="E72" s="39">
        <f>V_4!E72+V_5!E72+V_6!E72</f>
        <v>5</v>
      </c>
      <c r="F72" s="152">
        <f>V_4!F72+V_5!F72+V_6!F72</f>
        <v>33</v>
      </c>
      <c r="G72" s="154">
        <f t="shared" ref="G72:G103" si="5">SUM(B72:F72)</f>
        <v>96</v>
      </c>
      <c r="H72" s="44">
        <f>V_4!H72+V_5!H72+V_6!H72</f>
        <v>0</v>
      </c>
      <c r="I72" s="39">
        <f>V_4!I72+V_5!I72+V_6!I72</f>
        <v>0</v>
      </c>
      <c r="J72" s="39">
        <f>V_4!J72+V_5!J72+V_6!J72</f>
        <v>0</v>
      </c>
      <c r="K72" s="45">
        <f>V_4!K72+V_5!K72+V_6!K72</f>
        <v>0</v>
      </c>
      <c r="L72" s="140">
        <f>V_4!L72+V_5!L72+V_6!L72</f>
        <v>3</v>
      </c>
      <c r="M72" s="149">
        <f t="shared" si="1"/>
        <v>3</v>
      </c>
      <c r="N72" s="100">
        <f t="shared" si="2"/>
        <v>99</v>
      </c>
      <c r="O72" s="43">
        <f t="shared" si="3"/>
        <v>250.5</v>
      </c>
    </row>
    <row r="73" spans="1:15" ht="22.5" customHeight="1" x14ac:dyDescent="0.3">
      <c r="A73" s="149" t="s">
        <v>154</v>
      </c>
      <c r="B73" s="44">
        <f>V_4!B73+V_5!B73+V_6!B73</f>
        <v>28</v>
      </c>
      <c r="C73" s="39">
        <f>V_4!C73+V_5!C73+V_6!C73</f>
        <v>4</v>
      </c>
      <c r="D73" s="39">
        <f>V_4!D73+V_5!D73+V_6!D73</f>
        <v>18</v>
      </c>
      <c r="E73" s="39">
        <f>V_4!E73+V_5!E73+V_6!E73</f>
        <v>5</v>
      </c>
      <c r="F73" s="152">
        <f>V_4!F73+V_5!F73+V_6!F73</f>
        <v>21</v>
      </c>
      <c r="G73" s="154">
        <f t="shared" si="5"/>
        <v>76</v>
      </c>
      <c r="H73" s="44">
        <f>V_4!H73+V_5!H73+V_6!H73</f>
        <v>0</v>
      </c>
      <c r="I73" s="39">
        <f>V_4!I73+V_5!I73+V_6!I73</f>
        <v>0</v>
      </c>
      <c r="J73" s="39">
        <f>V_4!J73+V_5!J73+V_6!J73</f>
        <v>0</v>
      </c>
      <c r="K73" s="45">
        <f>V_4!K73+V_5!K73+V_6!K73</f>
        <v>0</v>
      </c>
      <c r="L73" s="140">
        <f>V_4!L73+V_5!L73+V_6!L73</f>
        <v>0</v>
      </c>
      <c r="M73" s="149">
        <f t="shared" ref="M73:M103" si="6">SUM(H73:L73)</f>
        <v>0</v>
      </c>
      <c r="N73" s="100">
        <f t="shared" ref="N73:N103" si="7">G73+M73</f>
        <v>76</v>
      </c>
      <c r="O73" s="43">
        <f t="shared" ref="O73:O103" si="8">B73*1+C73*0.5+D73*1.5+E73*3+F73*4.5+H73*0.5+I73*1.5+J73*3+K73*4+L73*8</f>
        <v>166.5</v>
      </c>
    </row>
    <row r="74" spans="1:15" ht="22.5" customHeight="1" x14ac:dyDescent="0.3">
      <c r="A74" s="149" t="s">
        <v>155</v>
      </c>
      <c r="B74" s="44">
        <f>V_4!B74+V_5!B74+V_6!B74</f>
        <v>31</v>
      </c>
      <c r="C74" s="39">
        <f>V_4!C74+V_5!C74+V_6!C74</f>
        <v>2</v>
      </c>
      <c r="D74" s="39">
        <f>V_4!D74+V_5!D74+V_6!D74</f>
        <v>16</v>
      </c>
      <c r="E74" s="39">
        <f>V_4!E74+V_5!E74+V_6!E74</f>
        <v>6</v>
      </c>
      <c r="F74" s="152">
        <f>V_4!F74+V_5!F74+V_6!F74</f>
        <v>24</v>
      </c>
      <c r="G74" s="154">
        <f t="shared" si="5"/>
        <v>79</v>
      </c>
      <c r="H74" s="44">
        <f>V_4!H74+V_5!H74+V_6!H74</f>
        <v>0</v>
      </c>
      <c r="I74" s="39">
        <f>V_4!I74+V_5!I74+V_6!I74</f>
        <v>0</v>
      </c>
      <c r="J74" s="39">
        <f>V_4!J74+V_5!J74+V_6!J74</f>
        <v>0</v>
      </c>
      <c r="K74" s="45">
        <f>V_4!K74+V_5!K74+V_6!K74</f>
        <v>0</v>
      </c>
      <c r="L74" s="140">
        <f>V_4!L74+V_5!L74+V_6!L74</f>
        <v>0</v>
      </c>
      <c r="M74" s="149">
        <f t="shared" si="6"/>
        <v>0</v>
      </c>
      <c r="N74" s="100">
        <f t="shared" si="7"/>
        <v>79</v>
      </c>
      <c r="O74" s="43">
        <f t="shared" si="8"/>
        <v>182</v>
      </c>
    </row>
    <row r="75" spans="1:15" ht="22.5" customHeight="1" x14ac:dyDescent="0.3">
      <c r="A75" s="149" t="s">
        <v>156</v>
      </c>
      <c r="B75" s="44">
        <f>V_4!B75+V_5!B75+V_6!B75</f>
        <v>26</v>
      </c>
      <c r="C75" s="39">
        <f>V_4!C75+V_5!C75+V_6!C75</f>
        <v>3</v>
      </c>
      <c r="D75" s="39">
        <f>V_4!D75+V_5!D75+V_6!D75</f>
        <v>16</v>
      </c>
      <c r="E75" s="39">
        <f>V_4!E75+V_5!E75+V_6!E75</f>
        <v>4</v>
      </c>
      <c r="F75" s="152">
        <f>V_4!F75+V_5!F75+V_6!F75</f>
        <v>34</v>
      </c>
      <c r="G75" s="154">
        <f t="shared" si="5"/>
        <v>83</v>
      </c>
      <c r="H75" s="44">
        <f>V_4!H75+V_5!H75+V_6!H75</f>
        <v>0</v>
      </c>
      <c r="I75" s="39">
        <f>V_4!I75+V_5!I75+V_6!I75</f>
        <v>0</v>
      </c>
      <c r="J75" s="39">
        <f>V_4!J75+V_5!J75+V_6!J75</f>
        <v>0</v>
      </c>
      <c r="K75" s="45">
        <f>V_4!K75+V_5!K75+V_6!K75</f>
        <v>0</v>
      </c>
      <c r="L75" s="140">
        <f>V_4!L75+V_5!L75+V_6!L75</f>
        <v>0</v>
      </c>
      <c r="M75" s="149">
        <f t="shared" si="6"/>
        <v>0</v>
      </c>
      <c r="N75" s="100">
        <f t="shared" si="7"/>
        <v>83</v>
      </c>
      <c r="O75" s="43">
        <f t="shared" si="8"/>
        <v>216.5</v>
      </c>
    </row>
    <row r="76" spans="1:15" ht="22.5" customHeight="1" x14ac:dyDescent="0.3">
      <c r="A76" s="149" t="s">
        <v>157</v>
      </c>
      <c r="B76" s="44">
        <f>V_4!B76+V_5!B76+V_6!B76</f>
        <v>24</v>
      </c>
      <c r="C76" s="39">
        <f>V_4!C76+V_5!C76+V_6!C76</f>
        <v>3</v>
      </c>
      <c r="D76" s="39">
        <f>V_4!D76+V_5!D76+V_6!D76</f>
        <v>13</v>
      </c>
      <c r="E76" s="39">
        <f>V_4!E76+V_5!E76+V_6!E76</f>
        <v>1</v>
      </c>
      <c r="F76" s="152">
        <f>V_4!F76+V_5!F76+V_6!F76</f>
        <v>31</v>
      </c>
      <c r="G76" s="154">
        <f t="shared" si="5"/>
        <v>72</v>
      </c>
      <c r="H76" s="44">
        <f>V_4!H76+V_5!H76+V_6!H76</f>
        <v>0</v>
      </c>
      <c r="I76" s="39">
        <f>V_4!I76+V_5!I76+V_6!I76</f>
        <v>0</v>
      </c>
      <c r="J76" s="39">
        <f>V_4!J76+V_5!J76+V_6!J76</f>
        <v>0</v>
      </c>
      <c r="K76" s="45">
        <f>V_4!K76+V_5!K76+V_6!K76</f>
        <v>0</v>
      </c>
      <c r="L76" s="140">
        <f>V_4!L76+V_5!L76+V_6!L76</f>
        <v>0</v>
      </c>
      <c r="M76" s="149">
        <f t="shared" si="6"/>
        <v>0</v>
      </c>
      <c r="N76" s="100">
        <f t="shared" si="7"/>
        <v>72</v>
      </c>
      <c r="O76" s="43">
        <f t="shared" si="8"/>
        <v>187.5</v>
      </c>
    </row>
    <row r="77" spans="1:15" ht="22.5" customHeight="1" x14ac:dyDescent="0.3">
      <c r="A77" s="149" t="s">
        <v>158</v>
      </c>
      <c r="B77" s="44">
        <f>V_4!B77+V_5!B77+V_6!B77</f>
        <v>27</v>
      </c>
      <c r="C77" s="39">
        <f>V_4!C77+V_5!C77+V_6!C77</f>
        <v>3</v>
      </c>
      <c r="D77" s="39">
        <f>V_4!D77+V_5!D77+V_6!D77</f>
        <v>12</v>
      </c>
      <c r="E77" s="39">
        <f>V_4!E77+V_5!E77+V_6!E77</f>
        <v>4</v>
      </c>
      <c r="F77" s="152">
        <f>V_4!F77+V_5!F77+V_6!F77</f>
        <v>29</v>
      </c>
      <c r="G77" s="154">
        <f t="shared" si="5"/>
        <v>75</v>
      </c>
      <c r="H77" s="44">
        <f>V_4!H77+V_5!H77+V_6!H77</f>
        <v>0</v>
      </c>
      <c r="I77" s="39">
        <f>V_4!I77+V_5!I77+V_6!I77</f>
        <v>0</v>
      </c>
      <c r="J77" s="39">
        <f>V_4!J77+V_5!J77+V_6!J77</f>
        <v>0</v>
      </c>
      <c r="K77" s="45">
        <f>V_4!K77+V_5!K77+V_6!K77</f>
        <v>0</v>
      </c>
      <c r="L77" s="140">
        <f>V_4!L77+V_5!L77+V_6!L77</f>
        <v>0</v>
      </c>
      <c r="M77" s="149">
        <f t="shared" si="6"/>
        <v>0</v>
      </c>
      <c r="N77" s="100">
        <f t="shared" si="7"/>
        <v>75</v>
      </c>
      <c r="O77" s="43">
        <f t="shared" si="8"/>
        <v>189</v>
      </c>
    </row>
    <row r="78" spans="1:15" ht="22.5" customHeight="1" x14ac:dyDescent="0.3">
      <c r="A78" s="149" t="s">
        <v>159</v>
      </c>
      <c r="B78" s="44">
        <f>V_4!B78+V_5!B78+V_6!B78</f>
        <v>25</v>
      </c>
      <c r="C78" s="39">
        <f>V_4!C78+V_5!C78+V_6!C78</f>
        <v>0</v>
      </c>
      <c r="D78" s="39">
        <f>V_4!D78+V_5!D78+V_6!D78</f>
        <v>3</v>
      </c>
      <c r="E78" s="39">
        <f>V_4!E78+V_5!E78+V_6!E78</f>
        <v>3</v>
      </c>
      <c r="F78" s="152">
        <f>V_4!F78+V_5!F78+V_6!F78</f>
        <v>24</v>
      </c>
      <c r="G78" s="154">
        <f t="shared" si="5"/>
        <v>55</v>
      </c>
      <c r="H78" s="44">
        <f>V_4!H78+V_5!H78+V_6!H78</f>
        <v>0</v>
      </c>
      <c r="I78" s="39">
        <f>V_4!I78+V_5!I78+V_6!I78</f>
        <v>0</v>
      </c>
      <c r="J78" s="39">
        <f>V_4!J78+V_5!J78+V_6!J78</f>
        <v>0</v>
      </c>
      <c r="K78" s="45">
        <f>V_4!K78+V_5!K78+V_6!K78</f>
        <v>0</v>
      </c>
      <c r="L78" s="140">
        <f>V_4!L78+V_5!L78+V_6!L78</f>
        <v>0</v>
      </c>
      <c r="M78" s="149">
        <f t="shared" si="6"/>
        <v>0</v>
      </c>
      <c r="N78" s="100">
        <f t="shared" si="7"/>
        <v>55</v>
      </c>
      <c r="O78" s="43">
        <f t="shared" si="8"/>
        <v>146.5</v>
      </c>
    </row>
    <row r="79" spans="1:15" ht="22.5" customHeight="1" x14ac:dyDescent="0.3">
      <c r="A79" s="149" t="s">
        <v>160</v>
      </c>
      <c r="B79" s="44">
        <f>V_4!B79+V_5!B79+V_6!B79</f>
        <v>19</v>
      </c>
      <c r="C79" s="39">
        <f>V_4!C79+V_5!C79+V_6!C79</f>
        <v>3</v>
      </c>
      <c r="D79" s="39">
        <f>V_4!D79+V_5!D79+V_6!D79</f>
        <v>3</v>
      </c>
      <c r="E79" s="39">
        <f>V_4!E79+V_5!E79+V_6!E79</f>
        <v>5</v>
      </c>
      <c r="F79" s="152">
        <f>V_4!F79+V_5!F79+V_6!F79</f>
        <v>35</v>
      </c>
      <c r="G79" s="154">
        <f t="shared" si="5"/>
        <v>65</v>
      </c>
      <c r="H79" s="44">
        <f>V_4!H79+V_5!H79+V_6!H79</f>
        <v>0</v>
      </c>
      <c r="I79" s="39">
        <f>V_4!I79+V_5!I79+V_6!I79</f>
        <v>0</v>
      </c>
      <c r="J79" s="39">
        <f>V_4!J79+V_5!J79+V_6!J79</f>
        <v>0</v>
      </c>
      <c r="K79" s="45">
        <f>V_4!K79+V_5!K79+V_6!K79</f>
        <v>0</v>
      </c>
      <c r="L79" s="140">
        <f>V_4!L79+V_5!L79+V_6!L79</f>
        <v>0</v>
      </c>
      <c r="M79" s="149">
        <f t="shared" si="6"/>
        <v>0</v>
      </c>
      <c r="N79" s="100">
        <f t="shared" si="7"/>
        <v>65</v>
      </c>
      <c r="O79" s="43">
        <f t="shared" si="8"/>
        <v>197.5</v>
      </c>
    </row>
    <row r="80" spans="1:15" ht="22.5" customHeight="1" x14ac:dyDescent="0.3">
      <c r="A80" s="149" t="s">
        <v>161</v>
      </c>
      <c r="B80" s="44">
        <f>V_4!B80+V_5!B80+V_6!B80</f>
        <v>12</v>
      </c>
      <c r="C80" s="39">
        <f>V_4!C80+V_5!C80+V_6!C80</f>
        <v>3</v>
      </c>
      <c r="D80" s="39">
        <f>V_4!D80+V_5!D80+V_6!D80</f>
        <v>11</v>
      </c>
      <c r="E80" s="39">
        <f>V_4!E80+V_5!E80+V_6!E80</f>
        <v>3</v>
      </c>
      <c r="F80" s="152">
        <f>V_4!F80+V_5!F80+V_6!F80</f>
        <v>21</v>
      </c>
      <c r="G80" s="154">
        <f t="shared" si="5"/>
        <v>50</v>
      </c>
      <c r="H80" s="44">
        <f>V_4!H80+V_5!H80+V_6!H80</f>
        <v>0</v>
      </c>
      <c r="I80" s="39">
        <f>V_4!I80+V_5!I80+V_6!I80</f>
        <v>0</v>
      </c>
      <c r="J80" s="39">
        <f>V_4!J80+V_5!J80+V_6!J80</f>
        <v>0</v>
      </c>
      <c r="K80" s="45">
        <f>V_4!K80+V_5!K80+V_6!K80</f>
        <v>0</v>
      </c>
      <c r="L80" s="140">
        <f>V_4!L80+V_5!L80+V_6!L80</f>
        <v>0</v>
      </c>
      <c r="M80" s="149">
        <f t="shared" si="6"/>
        <v>0</v>
      </c>
      <c r="N80" s="100">
        <f t="shared" si="7"/>
        <v>50</v>
      </c>
      <c r="O80" s="43">
        <f t="shared" si="8"/>
        <v>133.5</v>
      </c>
    </row>
    <row r="81" spans="1:15" ht="22.5" customHeight="1" x14ac:dyDescent="0.3">
      <c r="A81" s="149" t="s">
        <v>162</v>
      </c>
      <c r="B81" s="44">
        <f>V_4!B81+V_5!B81+V_6!B81</f>
        <v>17</v>
      </c>
      <c r="C81" s="39">
        <f>V_4!C81+V_5!C81+V_6!C81</f>
        <v>1</v>
      </c>
      <c r="D81" s="39">
        <f>V_4!D81+V_5!D81+V_6!D81</f>
        <v>8</v>
      </c>
      <c r="E81" s="39">
        <f>V_4!E81+V_5!E81+V_6!E81</f>
        <v>6</v>
      </c>
      <c r="F81" s="152">
        <f>V_4!F81+V_5!F81+V_6!F81</f>
        <v>13</v>
      </c>
      <c r="G81" s="154">
        <f t="shared" si="5"/>
        <v>45</v>
      </c>
      <c r="H81" s="44">
        <f>V_4!H81+V_5!H81+V_6!H81</f>
        <v>0</v>
      </c>
      <c r="I81" s="39">
        <f>V_4!I81+V_5!I81+V_6!I81</f>
        <v>0</v>
      </c>
      <c r="J81" s="39">
        <f>V_4!J81+V_5!J81+V_6!J81</f>
        <v>0</v>
      </c>
      <c r="K81" s="45">
        <f>V_4!K81+V_5!K81+V_6!K81</f>
        <v>0</v>
      </c>
      <c r="L81" s="140">
        <f>V_4!L81+V_5!L81+V_6!L81</f>
        <v>0</v>
      </c>
      <c r="M81" s="149">
        <f t="shared" si="6"/>
        <v>0</v>
      </c>
      <c r="N81" s="100">
        <f t="shared" si="7"/>
        <v>45</v>
      </c>
      <c r="O81" s="43">
        <f t="shared" si="8"/>
        <v>106</v>
      </c>
    </row>
    <row r="82" spans="1:15" ht="22.5" customHeight="1" x14ac:dyDescent="0.3">
      <c r="A82" s="149" t="s">
        <v>163</v>
      </c>
      <c r="B82" s="44">
        <f>V_4!B82+V_5!B82+V_6!B82</f>
        <v>22</v>
      </c>
      <c r="C82" s="39">
        <f>V_4!C82+V_5!C82+V_6!C82</f>
        <v>2</v>
      </c>
      <c r="D82" s="39">
        <f>V_4!D82+V_5!D82+V_6!D82</f>
        <v>12</v>
      </c>
      <c r="E82" s="39">
        <f>V_4!E82+V_5!E82+V_6!E82</f>
        <v>4</v>
      </c>
      <c r="F82" s="152">
        <f>V_4!F82+V_5!F82+V_6!F82</f>
        <v>18</v>
      </c>
      <c r="G82" s="154">
        <f t="shared" si="5"/>
        <v>58</v>
      </c>
      <c r="H82" s="44">
        <f>V_4!H82+V_5!H82+V_6!H82</f>
        <v>0</v>
      </c>
      <c r="I82" s="39">
        <f>V_4!I82+V_5!I82+V_6!I82</f>
        <v>0</v>
      </c>
      <c r="J82" s="39">
        <f>V_4!J82+V_5!J82+V_6!J82</f>
        <v>0</v>
      </c>
      <c r="K82" s="45">
        <f>V_4!K82+V_5!K82+V_6!K82</f>
        <v>0</v>
      </c>
      <c r="L82" s="140">
        <f>V_4!L82+V_5!L82+V_6!L82</f>
        <v>0</v>
      </c>
      <c r="M82" s="149">
        <f t="shared" si="6"/>
        <v>0</v>
      </c>
      <c r="N82" s="100">
        <f t="shared" si="7"/>
        <v>58</v>
      </c>
      <c r="O82" s="43">
        <f t="shared" si="8"/>
        <v>134</v>
      </c>
    </row>
    <row r="83" spans="1:15" ht="22.5" customHeight="1" x14ac:dyDescent="0.3">
      <c r="A83" s="149" t="s">
        <v>164</v>
      </c>
      <c r="B83" s="44">
        <f>V_4!B83+V_5!B83+V_6!B83</f>
        <v>25</v>
      </c>
      <c r="C83" s="39">
        <f>V_4!C83+V_5!C83+V_6!C83</f>
        <v>1</v>
      </c>
      <c r="D83" s="39">
        <f>V_4!D83+V_5!D83+V_6!D83</f>
        <v>21</v>
      </c>
      <c r="E83" s="39">
        <f>V_4!E83+V_5!E83+V_6!E83</f>
        <v>7</v>
      </c>
      <c r="F83" s="152">
        <f>V_4!F83+V_5!F83+V_6!F83</f>
        <v>11</v>
      </c>
      <c r="G83" s="154">
        <f t="shared" si="5"/>
        <v>65</v>
      </c>
      <c r="H83" s="44">
        <f>V_4!H83+V_5!H83+V_6!H83</f>
        <v>0</v>
      </c>
      <c r="I83" s="39">
        <f>V_4!I83+V_5!I83+V_6!I83</f>
        <v>0</v>
      </c>
      <c r="J83" s="39">
        <f>V_4!J83+V_5!J83+V_6!J83</f>
        <v>0</v>
      </c>
      <c r="K83" s="45">
        <f>V_4!K83+V_5!K83+V_6!K83</f>
        <v>0</v>
      </c>
      <c r="L83" s="140">
        <f>V_4!L83+V_5!L83+V_6!L83</f>
        <v>0</v>
      </c>
      <c r="M83" s="149">
        <f t="shared" si="6"/>
        <v>0</v>
      </c>
      <c r="N83" s="100">
        <f t="shared" si="7"/>
        <v>65</v>
      </c>
      <c r="O83" s="43">
        <f t="shared" si="8"/>
        <v>127.5</v>
      </c>
    </row>
    <row r="84" spans="1:15" ht="22.5" customHeight="1" x14ac:dyDescent="0.3">
      <c r="A84" s="149" t="s">
        <v>165</v>
      </c>
      <c r="B84" s="44">
        <f>V_4!B84+V_5!B84+V_6!B84</f>
        <v>24</v>
      </c>
      <c r="C84" s="39">
        <f>V_4!C84+V_5!C84+V_6!C84</f>
        <v>0</v>
      </c>
      <c r="D84" s="39">
        <f>V_4!D84+V_5!D84+V_6!D84</f>
        <v>20</v>
      </c>
      <c r="E84" s="39">
        <f>V_4!E84+V_5!E84+V_6!E84</f>
        <v>4</v>
      </c>
      <c r="F84" s="152">
        <f>V_4!F84+V_5!F84+V_6!F84</f>
        <v>14</v>
      </c>
      <c r="G84" s="154">
        <f t="shared" si="5"/>
        <v>62</v>
      </c>
      <c r="H84" s="44">
        <f>V_4!H84+V_5!H84+V_6!H84</f>
        <v>0</v>
      </c>
      <c r="I84" s="39">
        <f>V_4!I84+V_5!I84+V_6!I84</f>
        <v>0</v>
      </c>
      <c r="J84" s="39">
        <f>V_4!J84+V_5!J84+V_6!J84</f>
        <v>0</v>
      </c>
      <c r="K84" s="45">
        <f>V_4!K84+V_5!K84+V_6!K84</f>
        <v>0</v>
      </c>
      <c r="L84" s="140">
        <f>V_4!L84+V_5!L84+V_6!L84</f>
        <v>0</v>
      </c>
      <c r="M84" s="149">
        <f t="shared" si="6"/>
        <v>0</v>
      </c>
      <c r="N84" s="100">
        <f t="shared" si="7"/>
        <v>62</v>
      </c>
      <c r="O84" s="43">
        <f t="shared" si="8"/>
        <v>129</v>
      </c>
    </row>
    <row r="85" spans="1:15" ht="22.5" customHeight="1" x14ac:dyDescent="0.3">
      <c r="A85" s="149" t="s">
        <v>166</v>
      </c>
      <c r="B85" s="44">
        <f>V_4!B85+V_5!B85+V_6!B85</f>
        <v>15</v>
      </c>
      <c r="C85" s="39">
        <f>V_4!C85+V_5!C85+V_6!C85</f>
        <v>2</v>
      </c>
      <c r="D85" s="39">
        <f>V_4!D85+V_5!D85+V_6!D85</f>
        <v>18</v>
      </c>
      <c r="E85" s="39">
        <f>V_4!E85+V_5!E85+V_6!E85</f>
        <v>7</v>
      </c>
      <c r="F85" s="152">
        <f>V_4!F85+V_5!F85+V_6!F85</f>
        <v>17</v>
      </c>
      <c r="G85" s="154">
        <f t="shared" si="5"/>
        <v>59</v>
      </c>
      <c r="H85" s="44">
        <f>V_4!H85+V_5!H85+V_6!H85</f>
        <v>0</v>
      </c>
      <c r="I85" s="39">
        <f>V_4!I85+V_5!I85+V_6!I85</f>
        <v>0</v>
      </c>
      <c r="J85" s="39">
        <f>V_4!J85+V_5!J85+V_6!J85</f>
        <v>0</v>
      </c>
      <c r="K85" s="45">
        <f>V_4!K85+V_5!K85+V_6!K85</f>
        <v>0</v>
      </c>
      <c r="L85" s="140">
        <f>V_4!L85+V_5!L85+V_6!L85</f>
        <v>0</v>
      </c>
      <c r="M85" s="149">
        <f t="shared" si="6"/>
        <v>0</v>
      </c>
      <c r="N85" s="100">
        <f t="shared" si="7"/>
        <v>59</v>
      </c>
      <c r="O85" s="43">
        <f t="shared" si="8"/>
        <v>140.5</v>
      </c>
    </row>
    <row r="86" spans="1:15" ht="22.5" customHeight="1" x14ac:dyDescent="0.3">
      <c r="A86" s="149" t="s">
        <v>167</v>
      </c>
      <c r="B86" s="44">
        <f>V_4!B86+V_5!B86+V_6!B86</f>
        <v>13</v>
      </c>
      <c r="C86" s="39">
        <f>V_4!C86+V_5!C86+V_6!C86</f>
        <v>4</v>
      </c>
      <c r="D86" s="39">
        <f>V_4!D86+V_5!D86+V_6!D86</f>
        <v>21</v>
      </c>
      <c r="E86" s="39">
        <f>V_4!E86+V_5!E86+V_6!E86</f>
        <v>8</v>
      </c>
      <c r="F86" s="152">
        <f>V_4!F86+V_5!F86+V_6!F86</f>
        <v>22</v>
      </c>
      <c r="G86" s="154">
        <f t="shared" si="5"/>
        <v>68</v>
      </c>
      <c r="H86" s="44">
        <f>V_4!H86+V_5!H86+V_6!H86</f>
        <v>0</v>
      </c>
      <c r="I86" s="39">
        <f>V_4!I86+V_5!I86+V_6!I86</f>
        <v>0</v>
      </c>
      <c r="J86" s="39">
        <f>V_4!J86+V_5!J86+V_6!J86</f>
        <v>0</v>
      </c>
      <c r="K86" s="45">
        <f>V_4!K86+V_5!K86+V_6!K86</f>
        <v>0</v>
      </c>
      <c r="L86" s="140">
        <f>V_4!L86+V_5!L86+V_6!L86</f>
        <v>0</v>
      </c>
      <c r="M86" s="149">
        <f t="shared" si="6"/>
        <v>0</v>
      </c>
      <c r="N86" s="100">
        <f t="shared" si="7"/>
        <v>68</v>
      </c>
      <c r="O86" s="43">
        <f t="shared" si="8"/>
        <v>169.5</v>
      </c>
    </row>
    <row r="87" spans="1:15" ht="22.5" customHeight="1" x14ac:dyDescent="0.3">
      <c r="A87" s="149" t="s">
        <v>168</v>
      </c>
      <c r="B87" s="44">
        <f>V_4!B87+V_5!B87+V_6!B87</f>
        <v>15</v>
      </c>
      <c r="C87" s="39">
        <f>V_4!C87+V_5!C87+V_6!C87</f>
        <v>5</v>
      </c>
      <c r="D87" s="39">
        <f>V_4!D87+V_5!D87+V_6!D87</f>
        <v>12</v>
      </c>
      <c r="E87" s="39">
        <f>V_4!E87+V_5!E87+V_6!E87</f>
        <v>8</v>
      </c>
      <c r="F87" s="152">
        <f>V_4!F87+V_5!F87+V_6!F87</f>
        <v>17</v>
      </c>
      <c r="G87" s="154">
        <f t="shared" si="5"/>
        <v>57</v>
      </c>
      <c r="H87" s="44">
        <f>V_4!H87+V_5!H87+V_6!H87</f>
        <v>0</v>
      </c>
      <c r="I87" s="39">
        <f>V_4!I87+V_5!I87+V_6!I87</f>
        <v>0</v>
      </c>
      <c r="J87" s="39">
        <f>V_4!J87+V_5!J87+V_6!J87</f>
        <v>0</v>
      </c>
      <c r="K87" s="45">
        <f>V_4!K87+V_5!K87+V_6!K87</f>
        <v>0</v>
      </c>
      <c r="L87" s="140">
        <f>V_4!L87+V_5!L87+V_6!L87</f>
        <v>0</v>
      </c>
      <c r="M87" s="149">
        <f t="shared" si="6"/>
        <v>0</v>
      </c>
      <c r="N87" s="100">
        <f t="shared" si="7"/>
        <v>57</v>
      </c>
      <c r="O87" s="43">
        <f t="shared" si="8"/>
        <v>136</v>
      </c>
    </row>
    <row r="88" spans="1:15" ht="22.5" customHeight="1" x14ac:dyDescent="0.3">
      <c r="A88" s="149" t="s">
        <v>169</v>
      </c>
      <c r="B88" s="44">
        <f>V_4!B88+V_5!B88+V_6!B88</f>
        <v>21</v>
      </c>
      <c r="C88" s="39">
        <f>V_4!C88+V_5!C88+V_6!C88</f>
        <v>3</v>
      </c>
      <c r="D88" s="39">
        <f>V_4!D88+V_5!D88+V_6!D88</f>
        <v>12</v>
      </c>
      <c r="E88" s="39">
        <f>V_4!E88+V_5!E88+V_6!E88</f>
        <v>1</v>
      </c>
      <c r="F88" s="152">
        <f>V_4!F88+V_5!F88+V_6!F88</f>
        <v>20</v>
      </c>
      <c r="G88" s="154">
        <f t="shared" si="5"/>
        <v>57</v>
      </c>
      <c r="H88" s="44">
        <f>V_4!H88+V_5!H88+V_6!H88</f>
        <v>0</v>
      </c>
      <c r="I88" s="39">
        <f>V_4!I88+V_5!I88+V_6!I88</f>
        <v>0</v>
      </c>
      <c r="J88" s="39">
        <f>V_4!J88+V_5!J88+V_6!J88</f>
        <v>0</v>
      </c>
      <c r="K88" s="45">
        <f>V_4!K88+V_5!K88+V_6!K88</f>
        <v>0</v>
      </c>
      <c r="L88" s="140">
        <f>V_4!L88+V_5!L88+V_6!L88</f>
        <v>0</v>
      </c>
      <c r="M88" s="149">
        <f t="shared" si="6"/>
        <v>0</v>
      </c>
      <c r="N88" s="100">
        <f t="shared" si="7"/>
        <v>57</v>
      </c>
      <c r="O88" s="43">
        <f t="shared" si="8"/>
        <v>133.5</v>
      </c>
    </row>
    <row r="89" spans="1:15" ht="22.5" customHeight="1" x14ac:dyDescent="0.3">
      <c r="A89" s="149" t="s">
        <v>170</v>
      </c>
      <c r="B89" s="44">
        <f>V_4!B89+V_5!B89+V_6!B89</f>
        <v>17</v>
      </c>
      <c r="C89" s="39">
        <f>V_4!C89+V_5!C89+V_6!C89</f>
        <v>6</v>
      </c>
      <c r="D89" s="39">
        <f>V_4!D89+V_5!D89+V_6!D89</f>
        <v>14</v>
      </c>
      <c r="E89" s="39">
        <f>V_4!E89+V_5!E89+V_6!E89</f>
        <v>8</v>
      </c>
      <c r="F89" s="152">
        <f>V_4!F89+V_5!F89+V_6!F89</f>
        <v>18</v>
      </c>
      <c r="G89" s="154">
        <f t="shared" si="5"/>
        <v>63</v>
      </c>
      <c r="H89" s="44">
        <f>V_4!H89+V_5!H89+V_6!H89</f>
        <v>0</v>
      </c>
      <c r="I89" s="39">
        <f>V_4!I89+V_5!I89+V_6!I89</f>
        <v>0</v>
      </c>
      <c r="J89" s="39">
        <f>V_4!J89+V_5!J89+V_6!J89</f>
        <v>0</v>
      </c>
      <c r="K89" s="45">
        <f>V_4!K89+V_5!K89+V_6!K89</f>
        <v>0</v>
      </c>
      <c r="L89" s="140">
        <f>V_4!L89+V_5!L89+V_6!L89</f>
        <v>0</v>
      </c>
      <c r="M89" s="149">
        <f t="shared" si="6"/>
        <v>0</v>
      </c>
      <c r="N89" s="100">
        <f t="shared" si="7"/>
        <v>63</v>
      </c>
      <c r="O89" s="43">
        <f t="shared" si="8"/>
        <v>146</v>
      </c>
    </row>
    <row r="90" spans="1:15" ht="22.5" customHeight="1" x14ac:dyDescent="0.3">
      <c r="A90" s="149" t="s">
        <v>171</v>
      </c>
      <c r="B90" s="44">
        <f>V_4!B90+V_5!B90+V_6!B90</f>
        <v>18</v>
      </c>
      <c r="C90" s="39">
        <f>V_4!C90+V_5!C90+V_6!C90</f>
        <v>6</v>
      </c>
      <c r="D90" s="39">
        <f>V_4!D90+V_5!D90+V_6!D90</f>
        <v>22</v>
      </c>
      <c r="E90" s="39">
        <f>V_4!E90+V_5!E90+V_6!E90</f>
        <v>4</v>
      </c>
      <c r="F90" s="152">
        <f>V_4!F90+V_5!F90+V_6!F90</f>
        <v>19</v>
      </c>
      <c r="G90" s="154">
        <f t="shared" si="5"/>
        <v>69</v>
      </c>
      <c r="H90" s="44">
        <f>V_4!H90+V_5!H90+V_6!H90</f>
        <v>0</v>
      </c>
      <c r="I90" s="39">
        <f>V_4!I90+V_5!I90+V_6!I90</f>
        <v>0</v>
      </c>
      <c r="J90" s="39">
        <f>V_4!J90+V_5!J90+V_6!J90</f>
        <v>0</v>
      </c>
      <c r="K90" s="45">
        <f>V_4!K90+V_5!K90+V_6!K90</f>
        <v>0</v>
      </c>
      <c r="L90" s="140">
        <f>V_4!L90+V_5!L90+V_6!L90</f>
        <v>0</v>
      </c>
      <c r="M90" s="149">
        <f t="shared" si="6"/>
        <v>0</v>
      </c>
      <c r="N90" s="100">
        <f t="shared" si="7"/>
        <v>69</v>
      </c>
      <c r="O90" s="43">
        <f t="shared" si="8"/>
        <v>151.5</v>
      </c>
    </row>
    <row r="91" spans="1:15" ht="22.5" customHeight="1" x14ac:dyDescent="0.3">
      <c r="A91" s="149" t="s">
        <v>172</v>
      </c>
      <c r="B91" s="44">
        <f>V_4!B91+V_5!B91+V_6!B91</f>
        <v>14</v>
      </c>
      <c r="C91" s="39">
        <f>V_4!C91+V_5!C91+V_6!C91</f>
        <v>8</v>
      </c>
      <c r="D91" s="39">
        <f>V_4!D91+V_5!D91+V_6!D91</f>
        <v>12</v>
      </c>
      <c r="E91" s="39">
        <f>V_4!E91+V_5!E91+V_6!E91</f>
        <v>9</v>
      </c>
      <c r="F91" s="152">
        <f>V_4!F91+V_5!F91+V_6!F91</f>
        <v>17</v>
      </c>
      <c r="G91" s="154">
        <f t="shared" si="5"/>
        <v>60</v>
      </c>
      <c r="H91" s="44">
        <f>V_4!H91+V_5!H91+V_6!H91</f>
        <v>0</v>
      </c>
      <c r="I91" s="39">
        <f>V_4!I91+V_5!I91+V_6!I91</f>
        <v>0</v>
      </c>
      <c r="J91" s="39">
        <f>V_4!J91+V_5!J91+V_6!J91</f>
        <v>0</v>
      </c>
      <c r="K91" s="45">
        <f>V_4!K91+V_5!K91+V_6!K91</f>
        <v>0</v>
      </c>
      <c r="L91" s="140">
        <f>V_4!L91+V_5!L91+V_6!L91</f>
        <v>0</v>
      </c>
      <c r="M91" s="149">
        <f t="shared" si="6"/>
        <v>0</v>
      </c>
      <c r="N91" s="100">
        <f t="shared" si="7"/>
        <v>60</v>
      </c>
      <c r="O91" s="43">
        <f t="shared" si="8"/>
        <v>139.5</v>
      </c>
    </row>
    <row r="92" spans="1:15" ht="22.5" customHeight="1" x14ac:dyDescent="0.3">
      <c r="A92" s="149" t="s">
        <v>173</v>
      </c>
      <c r="B92" s="44">
        <f>V_4!B92+V_5!B92+V_6!B92</f>
        <v>17</v>
      </c>
      <c r="C92" s="39">
        <f>V_4!C92+V_5!C92+V_6!C92</f>
        <v>11</v>
      </c>
      <c r="D92" s="39">
        <f>V_4!D92+V_5!D92+V_6!D92</f>
        <v>21</v>
      </c>
      <c r="E92" s="39">
        <f>V_4!E92+V_5!E92+V_6!E92</f>
        <v>5</v>
      </c>
      <c r="F92" s="152">
        <f>V_4!F92+V_5!F92+V_6!F92</f>
        <v>21</v>
      </c>
      <c r="G92" s="154">
        <f t="shared" si="5"/>
        <v>75</v>
      </c>
      <c r="H92" s="44">
        <f>V_4!H92+V_5!H92+V_6!H92</f>
        <v>0</v>
      </c>
      <c r="I92" s="39">
        <f>V_4!I92+V_5!I92+V_6!I92</f>
        <v>0</v>
      </c>
      <c r="J92" s="39">
        <f>V_4!J92+V_5!J92+V_6!J92</f>
        <v>0</v>
      </c>
      <c r="K92" s="45">
        <f>V_4!K92+V_5!K92+V_6!K92</f>
        <v>0</v>
      </c>
      <c r="L92" s="140">
        <f>V_4!L92+V_5!L92+V_6!L92</f>
        <v>0</v>
      </c>
      <c r="M92" s="149">
        <f t="shared" si="6"/>
        <v>0</v>
      </c>
      <c r="N92" s="100">
        <f t="shared" si="7"/>
        <v>75</v>
      </c>
      <c r="O92" s="43">
        <f t="shared" si="8"/>
        <v>163.5</v>
      </c>
    </row>
    <row r="93" spans="1:15" ht="22.5" customHeight="1" x14ac:dyDescent="0.3">
      <c r="A93" s="149" t="s">
        <v>174</v>
      </c>
      <c r="B93" s="44">
        <f>V_4!B93+V_5!B93+V_6!B93</f>
        <v>30</v>
      </c>
      <c r="C93" s="39">
        <f>V_4!C93+V_5!C93+V_6!C93</f>
        <v>12</v>
      </c>
      <c r="D93" s="39">
        <f>V_4!D93+V_5!D93+V_6!D93</f>
        <v>20</v>
      </c>
      <c r="E93" s="39">
        <f>V_4!E93+V_5!E93+V_6!E93</f>
        <v>10</v>
      </c>
      <c r="F93" s="152">
        <f>V_4!F93+V_5!F93+V_6!F93</f>
        <v>31</v>
      </c>
      <c r="G93" s="154">
        <f t="shared" si="5"/>
        <v>103</v>
      </c>
      <c r="H93" s="44">
        <f>V_4!H93+V_5!H93+V_6!H93</f>
        <v>0</v>
      </c>
      <c r="I93" s="39">
        <f>V_4!I93+V_5!I93+V_6!I93</f>
        <v>0</v>
      </c>
      <c r="J93" s="39">
        <f>V_4!J93+V_5!J93+V_6!J93</f>
        <v>0</v>
      </c>
      <c r="K93" s="45">
        <f>V_4!K93+V_5!K93+V_6!K93</f>
        <v>0</v>
      </c>
      <c r="L93" s="140">
        <f>V_4!L93+V_5!L93+V_6!L93</f>
        <v>0</v>
      </c>
      <c r="M93" s="149">
        <f t="shared" si="6"/>
        <v>0</v>
      </c>
      <c r="N93" s="100">
        <f t="shared" si="7"/>
        <v>103</v>
      </c>
      <c r="O93" s="43">
        <f t="shared" si="8"/>
        <v>235.5</v>
      </c>
    </row>
    <row r="94" spans="1:15" ht="22.5" customHeight="1" x14ac:dyDescent="0.3">
      <c r="A94" s="149" t="s">
        <v>175</v>
      </c>
      <c r="B94" s="44">
        <f>V_4!B94+V_5!B94+V_6!B94</f>
        <v>35</v>
      </c>
      <c r="C94" s="39">
        <f>V_4!C94+V_5!C94+V_6!C94</f>
        <v>16</v>
      </c>
      <c r="D94" s="39">
        <f>V_4!D94+V_5!D94+V_6!D94</f>
        <v>15</v>
      </c>
      <c r="E94" s="39">
        <f>V_4!E94+V_5!E94+V_6!E94</f>
        <v>3</v>
      </c>
      <c r="F94" s="152">
        <f>V_4!F94+V_5!F94+V_6!F94</f>
        <v>28</v>
      </c>
      <c r="G94" s="154">
        <f t="shared" si="5"/>
        <v>97</v>
      </c>
      <c r="H94" s="44">
        <f>V_4!H94+V_5!H94+V_6!H94</f>
        <v>0</v>
      </c>
      <c r="I94" s="39">
        <f>V_4!I94+V_5!I94+V_6!I94</f>
        <v>0</v>
      </c>
      <c r="J94" s="39">
        <f>V_4!J94+V_5!J94+V_6!J94</f>
        <v>0</v>
      </c>
      <c r="K94" s="45">
        <f>V_4!K94+V_5!K94+V_6!K94</f>
        <v>0</v>
      </c>
      <c r="L94" s="140">
        <f>V_4!L94+V_5!L94+V_6!L94</f>
        <v>0</v>
      </c>
      <c r="M94" s="149">
        <f t="shared" si="6"/>
        <v>0</v>
      </c>
      <c r="N94" s="100">
        <f t="shared" si="7"/>
        <v>97</v>
      </c>
      <c r="O94" s="43">
        <f t="shared" si="8"/>
        <v>200.5</v>
      </c>
    </row>
    <row r="95" spans="1:15" ht="22.5" customHeight="1" x14ac:dyDescent="0.3">
      <c r="A95" s="149" t="s">
        <v>176</v>
      </c>
      <c r="B95" s="44">
        <f>V_4!B95+V_5!B95+V_6!B95</f>
        <v>25</v>
      </c>
      <c r="C95" s="39">
        <f>V_4!C95+V_5!C95+V_6!C95</f>
        <v>14</v>
      </c>
      <c r="D95" s="39">
        <f>V_4!D95+V_5!D95+V_6!D95</f>
        <v>15</v>
      </c>
      <c r="E95" s="39">
        <f>V_4!E95+V_5!E95+V_6!E95</f>
        <v>4</v>
      </c>
      <c r="F95" s="152">
        <f>V_4!F95+V_5!F95+V_6!F95</f>
        <v>22</v>
      </c>
      <c r="G95" s="154">
        <f t="shared" si="5"/>
        <v>80</v>
      </c>
      <c r="H95" s="44">
        <f>V_4!H95+V_5!H95+V_6!H95</f>
        <v>0</v>
      </c>
      <c r="I95" s="39">
        <f>V_4!I95+V_5!I95+V_6!I95</f>
        <v>0</v>
      </c>
      <c r="J95" s="39">
        <f>V_4!J95+V_5!J95+V_6!J95</f>
        <v>0</v>
      </c>
      <c r="K95" s="45">
        <f>V_4!K95+V_5!K95+V_6!K95</f>
        <v>0</v>
      </c>
      <c r="L95" s="140">
        <f>V_4!L95+V_5!L95+V_6!L95</f>
        <v>0</v>
      </c>
      <c r="M95" s="149">
        <f t="shared" si="6"/>
        <v>0</v>
      </c>
      <c r="N95" s="100">
        <f t="shared" si="7"/>
        <v>80</v>
      </c>
      <c r="O95" s="43">
        <f t="shared" si="8"/>
        <v>165.5</v>
      </c>
    </row>
    <row r="96" spans="1:15" ht="22.5" customHeight="1" x14ac:dyDescent="0.3">
      <c r="A96" s="149" t="s">
        <v>135</v>
      </c>
      <c r="B96" s="44">
        <f>V_4!B96+V_5!B96+V_6!B96</f>
        <v>50</v>
      </c>
      <c r="C96" s="39">
        <f>V_4!C96+V_5!C96+V_6!C96</f>
        <v>27</v>
      </c>
      <c r="D96" s="39">
        <f>V_4!D96+V_5!D96+V_6!D96</f>
        <v>14</v>
      </c>
      <c r="E96" s="39">
        <f>V_4!E96+V_5!E96+V_6!E96</f>
        <v>5</v>
      </c>
      <c r="F96" s="152">
        <f>V_4!F96+V_5!F96+V_6!F96</f>
        <v>26</v>
      </c>
      <c r="G96" s="154">
        <f t="shared" si="5"/>
        <v>122</v>
      </c>
      <c r="H96" s="44">
        <f>V_4!H96+V_5!H96+V_6!H96</f>
        <v>0</v>
      </c>
      <c r="I96" s="39">
        <f>V_4!I96+V_5!I96+V_6!I96</f>
        <v>0</v>
      </c>
      <c r="J96" s="39">
        <f>V_4!J96+V_5!J96+V_6!J96</f>
        <v>0</v>
      </c>
      <c r="K96" s="45">
        <f>V_4!K96+V_5!K96+V_6!K96</f>
        <v>0</v>
      </c>
      <c r="L96" s="140">
        <f>V_4!L96+V_5!L96+V_6!L96</f>
        <v>1</v>
      </c>
      <c r="M96" s="149">
        <f t="shared" si="6"/>
        <v>1</v>
      </c>
      <c r="N96" s="100">
        <f t="shared" si="7"/>
        <v>123</v>
      </c>
      <c r="O96" s="43">
        <f t="shared" si="8"/>
        <v>224.5</v>
      </c>
    </row>
    <row r="97" spans="1:15" ht="22.5" customHeight="1" x14ac:dyDescent="0.3">
      <c r="A97" s="149" t="s">
        <v>136</v>
      </c>
      <c r="B97" s="44">
        <f>V_4!B97+V_5!B97+V_6!B97</f>
        <v>43</v>
      </c>
      <c r="C97" s="39">
        <f>V_4!C97+V_5!C97+V_6!C97</f>
        <v>32</v>
      </c>
      <c r="D97" s="39">
        <f>V_4!D97+V_5!D97+V_6!D97</f>
        <v>8</v>
      </c>
      <c r="E97" s="39">
        <f>V_4!E97+V_5!E97+V_6!E97</f>
        <v>11</v>
      </c>
      <c r="F97" s="152">
        <f>V_4!F97+V_5!F97+V_6!F97</f>
        <v>13</v>
      </c>
      <c r="G97" s="154">
        <f t="shared" si="5"/>
        <v>107</v>
      </c>
      <c r="H97" s="44">
        <f>V_4!H97+V_5!H97+V_6!H97</f>
        <v>0</v>
      </c>
      <c r="I97" s="39">
        <f>V_4!I97+V_5!I97+V_6!I97</f>
        <v>0</v>
      </c>
      <c r="J97" s="39">
        <f>V_4!J97+V_5!J97+V_6!J97</f>
        <v>0</v>
      </c>
      <c r="K97" s="45">
        <f>V_4!K97+V_5!K97+V_6!K97</f>
        <v>0</v>
      </c>
      <c r="L97" s="140">
        <f>V_4!L97+V_5!L97+V_6!L97</f>
        <v>1</v>
      </c>
      <c r="M97" s="149">
        <f t="shared" si="6"/>
        <v>1</v>
      </c>
      <c r="N97" s="100">
        <f t="shared" si="7"/>
        <v>108</v>
      </c>
      <c r="O97" s="43">
        <f t="shared" si="8"/>
        <v>170.5</v>
      </c>
    </row>
    <row r="98" spans="1:15" ht="22.5" customHeight="1" x14ac:dyDescent="0.3">
      <c r="A98" s="149" t="s">
        <v>137</v>
      </c>
      <c r="B98" s="44">
        <f>V_4!B98+V_5!B98+V_6!B98</f>
        <v>82</v>
      </c>
      <c r="C98" s="39">
        <f>V_4!C98+V_5!C98+V_6!C98</f>
        <v>50</v>
      </c>
      <c r="D98" s="39">
        <f>V_4!D98+V_5!D98+V_6!D98</f>
        <v>11</v>
      </c>
      <c r="E98" s="39">
        <f>V_4!E98+V_5!E98+V_6!E98</f>
        <v>9</v>
      </c>
      <c r="F98" s="152">
        <f>V_4!F98+V_5!F98+V_6!F98</f>
        <v>21</v>
      </c>
      <c r="G98" s="154">
        <f t="shared" si="5"/>
        <v>173</v>
      </c>
      <c r="H98" s="44">
        <f>V_4!H98+V_5!H98+V_6!H98</f>
        <v>0</v>
      </c>
      <c r="I98" s="39">
        <f>V_4!I98+V_5!I98+V_6!I98</f>
        <v>0</v>
      </c>
      <c r="J98" s="39">
        <f>V_4!J98+V_5!J98+V_6!J98</f>
        <v>0</v>
      </c>
      <c r="K98" s="45">
        <f>V_4!K98+V_5!K98+V_6!K98</f>
        <v>0</v>
      </c>
      <c r="L98" s="140">
        <f>V_4!L98+V_5!L98+V_6!L98</f>
        <v>2</v>
      </c>
      <c r="M98" s="149">
        <f t="shared" si="6"/>
        <v>2</v>
      </c>
      <c r="N98" s="100">
        <f t="shared" si="7"/>
        <v>175</v>
      </c>
      <c r="O98" s="43">
        <f t="shared" si="8"/>
        <v>261</v>
      </c>
    </row>
    <row r="99" spans="1:15" ht="22.5" customHeight="1" x14ac:dyDescent="0.3">
      <c r="A99" s="149" t="s">
        <v>138</v>
      </c>
      <c r="B99" s="44">
        <f>V_4!B99+V_5!B99+V_6!B99</f>
        <v>73</v>
      </c>
      <c r="C99" s="39">
        <f>V_4!C99+V_5!C99+V_6!C99</f>
        <v>49</v>
      </c>
      <c r="D99" s="39">
        <f>V_4!D99+V_5!D99+V_6!D99</f>
        <v>12</v>
      </c>
      <c r="E99" s="39">
        <f>V_4!E99+V_5!E99+V_6!E99</f>
        <v>11</v>
      </c>
      <c r="F99" s="152">
        <f>V_4!F99+V_5!F99+V_6!F99</f>
        <v>18</v>
      </c>
      <c r="G99" s="154">
        <f t="shared" si="5"/>
        <v>163</v>
      </c>
      <c r="H99" s="44">
        <f>V_4!H99+V_5!H99+V_6!H99</f>
        <v>0</v>
      </c>
      <c r="I99" s="39">
        <f>V_4!I99+V_5!I99+V_6!I99</f>
        <v>0</v>
      </c>
      <c r="J99" s="39">
        <f>V_4!J99+V_5!J99+V_6!J99</f>
        <v>0</v>
      </c>
      <c r="K99" s="45">
        <f>V_4!K99+V_5!K99+V_6!K99</f>
        <v>0</v>
      </c>
      <c r="L99" s="140">
        <f>V_4!L99+V_5!L99+V_6!L99</f>
        <v>2</v>
      </c>
      <c r="M99" s="149">
        <f t="shared" si="6"/>
        <v>2</v>
      </c>
      <c r="N99" s="100">
        <f t="shared" si="7"/>
        <v>165</v>
      </c>
      <c r="O99" s="43">
        <f t="shared" si="8"/>
        <v>245.5</v>
      </c>
    </row>
    <row r="100" spans="1:15" ht="22.5" customHeight="1" x14ac:dyDescent="0.3">
      <c r="A100" s="149" t="s">
        <v>139</v>
      </c>
      <c r="B100" s="44">
        <f>V_4!B100+V_5!B100+V_6!B100</f>
        <v>64</v>
      </c>
      <c r="C100" s="39">
        <f>V_4!C100+V_5!C100+V_6!C100</f>
        <v>47</v>
      </c>
      <c r="D100" s="39">
        <f>V_4!D100+V_5!D100+V_6!D100</f>
        <v>16</v>
      </c>
      <c r="E100" s="39">
        <f>V_4!E100+V_5!E100+V_6!E100</f>
        <v>6</v>
      </c>
      <c r="F100" s="152">
        <f>V_4!F100+V_5!F100+V_6!F100</f>
        <v>26</v>
      </c>
      <c r="G100" s="154">
        <f t="shared" si="5"/>
        <v>159</v>
      </c>
      <c r="H100" s="44">
        <f>V_4!H100+V_5!H100+V_6!H100</f>
        <v>1</v>
      </c>
      <c r="I100" s="39">
        <f>V_4!I100+V_5!I100+V_6!I100</f>
        <v>0</v>
      </c>
      <c r="J100" s="39">
        <f>V_4!J100+V_5!J100+V_6!J100</f>
        <v>0</v>
      </c>
      <c r="K100" s="45">
        <f>V_4!K100+V_5!K100+V_6!K100</f>
        <v>0</v>
      </c>
      <c r="L100" s="140">
        <f>V_4!L100+V_5!L100+V_6!L100</f>
        <v>4</v>
      </c>
      <c r="M100" s="149">
        <f t="shared" si="6"/>
        <v>5</v>
      </c>
      <c r="N100" s="100">
        <f t="shared" si="7"/>
        <v>164</v>
      </c>
      <c r="O100" s="43">
        <f t="shared" si="8"/>
        <v>279</v>
      </c>
    </row>
    <row r="101" spans="1:15" ht="22.5" customHeight="1" x14ac:dyDescent="0.3">
      <c r="A101" s="149" t="s">
        <v>140</v>
      </c>
      <c r="B101" s="44">
        <f>V_4!B101+V_5!B101+V_6!B101</f>
        <v>61</v>
      </c>
      <c r="C101" s="39">
        <f>V_4!C101+V_5!C101+V_6!C101</f>
        <v>62</v>
      </c>
      <c r="D101" s="39">
        <f>V_4!D101+V_5!D101+V_6!D101</f>
        <v>17</v>
      </c>
      <c r="E101" s="39">
        <f>V_4!E101+V_5!E101+V_6!E101</f>
        <v>9</v>
      </c>
      <c r="F101" s="152">
        <f>V_4!F101+V_5!F101+V_6!F101</f>
        <v>24</v>
      </c>
      <c r="G101" s="154">
        <f t="shared" si="5"/>
        <v>173</v>
      </c>
      <c r="H101" s="44">
        <f>V_4!H101+V_5!H101+V_6!H101</f>
        <v>0</v>
      </c>
      <c r="I101" s="39">
        <f>V_4!I101+V_5!I101+V_6!I101</f>
        <v>0</v>
      </c>
      <c r="J101" s="39">
        <f>V_4!J101+V_5!J101+V_6!J101</f>
        <v>0</v>
      </c>
      <c r="K101" s="45">
        <f>V_4!K101+V_5!K101+V_6!K101</f>
        <v>0</v>
      </c>
      <c r="L101" s="140">
        <f>V_4!L101+V_5!L101+V_6!L101</f>
        <v>0</v>
      </c>
      <c r="M101" s="149">
        <f t="shared" si="6"/>
        <v>0</v>
      </c>
      <c r="N101" s="100">
        <f t="shared" si="7"/>
        <v>173</v>
      </c>
      <c r="O101" s="43">
        <f t="shared" si="8"/>
        <v>252.5</v>
      </c>
    </row>
    <row r="102" spans="1:15" ht="22.5" customHeight="1" x14ac:dyDescent="0.3">
      <c r="A102" s="149" t="s">
        <v>141</v>
      </c>
      <c r="B102" s="44">
        <f>V_4!B102+V_5!B102+V_6!B102</f>
        <v>47</v>
      </c>
      <c r="C102" s="39">
        <f>V_4!C102+V_5!C102+V_6!C102</f>
        <v>69</v>
      </c>
      <c r="D102" s="39">
        <f>V_4!D102+V_5!D102+V_6!D102</f>
        <v>3</v>
      </c>
      <c r="E102" s="39">
        <f>V_4!E102+V_5!E102+V_6!E102</f>
        <v>6</v>
      </c>
      <c r="F102" s="152">
        <f>V_4!F102+V_5!F102+V_6!F102</f>
        <v>18</v>
      </c>
      <c r="G102" s="154">
        <f t="shared" si="5"/>
        <v>143</v>
      </c>
      <c r="H102" s="44">
        <f>V_4!H102+V_5!H102+V_6!H102</f>
        <v>0</v>
      </c>
      <c r="I102" s="39">
        <f>V_4!I102+V_5!I102+V_6!I102</f>
        <v>0</v>
      </c>
      <c r="J102" s="39">
        <f>V_4!J102+V_5!J102+V_6!J102</f>
        <v>0</v>
      </c>
      <c r="K102" s="45">
        <f>V_4!K102+V_5!K102+V_6!K102</f>
        <v>0</v>
      </c>
      <c r="L102" s="140">
        <f>V_4!L102+V_5!L102+V_6!L102</f>
        <v>0</v>
      </c>
      <c r="M102" s="149">
        <f t="shared" si="6"/>
        <v>0</v>
      </c>
      <c r="N102" s="100">
        <f t="shared" si="7"/>
        <v>143</v>
      </c>
      <c r="O102" s="43">
        <f t="shared" si="8"/>
        <v>185</v>
      </c>
    </row>
    <row r="103" spans="1:15" ht="22.5" customHeight="1" thickBot="1" x14ac:dyDescent="0.35">
      <c r="A103" s="150" t="s">
        <v>142</v>
      </c>
      <c r="B103" s="46">
        <f>V_4!B103+V_5!B103+V_6!B103</f>
        <v>60</v>
      </c>
      <c r="C103" s="47">
        <f>V_4!C103+V_5!C103+V_6!C103</f>
        <v>62</v>
      </c>
      <c r="D103" s="47">
        <f>V_4!D103+V_5!D103+V_6!D103</f>
        <v>17</v>
      </c>
      <c r="E103" s="47">
        <f>V_4!E103+V_5!E103+V_6!E103</f>
        <v>3</v>
      </c>
      <c r="F103" s="153">
        <f>V_4!F103+V_5!F103+V_6!F103</f>
        <v>18</v>
      </c>
      <c r="G103" s="80">
        <f t="shared" si="5"/>
        <v>160</v>
      </c>
      <c r="H103" s="46">
        <f>V_4!H103+V_5!H103+V_6!H103</f>
        <v>0</v>
      </c>
      <c r="I103" s="47">
        <f>V_4!I103+V_5!I103+V_6!I103</f>
        <v>0</v>
      </c>
      <c r="J103" s="47">
        <f>V_4!J103+V_5!J103+V_6!J103</f>
        <v>0</v>
      </c>
      <c r="K103" s="48">
        <f>V_4!K103+V_5!K103+V_6!K103</f>
        <v>0</v>
      </c>
      <c r="L103" s="141">
        <f>V_4!L103+V_5!L103+V_6!L103</f>
        <v>0</v>
      </c>
      <c r="M103" s="150">
        <f t="shared" si="6"/>
        <v>0</v>
      </c>
      <c r="N103" s="101">
        <f t="shared" si="7"/>
        <v>160</v>
      </c>
      <c r="O103" s="84">
        <f t="shared" si="8"/>
        <v>206.5</v>
      </c>
    </row>
    <row r="104" spans="1:15" ht="22.5" customHeight="1" thickBot="1" x14ac:dyDescent="0.35">
      <c r="A104" s="41" t="s">
        <v>11</v>
      </c>
      <c r="B104" s="117">
        <f t="shared" ref="B104:N104" si="9">SUM(B8:B103)</f>
        <v>11918</v>
      </c>
      <c r="C104" s="117">
        <f t="shared" si="9"/>
        <v>6778</v>
      </c>
      <c r="D104" s="117">
        <f t="shared" si="9"/>
        <v>1988</v>
      </c>
      <c r="E104" s="117">
        <f t="shared" si="9"/>
        <v>631</v>
      </c>
      <c r="F104" s="117">
        <f t="shared" si="9"/>
        <v>3086</v>
      </c>
      <c r="G104" s="94">
        <f t="shared" si="9"/>
        <v>24401</v>
      </c>
      <c r="H104" s="117">
        <f t="shared" si="9"/>
        <v>9</v>
      </c>
      <c r="I104" s="117">
        <f t="shared" si="9"/>
        <v>0</v>
      </c>
      <c r="J104" s="117">
        <f t="shared" si="9"/>
        <v>0</v>
      </c>
      <c r="K104" s="118">
        <f t="shared" si="9"/>
        <v>1</v>
      </c>
      <c r="L104" s="118">
        <f t="shared" si="9"/>
        <v>106</v>
      </c>
      <c r="M104" s="94">
        <f>SUM(M8:M103)</f>
        <v>116</v>
      </c>
      <c r="N104" s="95">
        <f t="shared" si="9"/>
        <v>24517</v>
      </c>
      <c r="O104" s="142">
        <f>SUM(O8:O103)</f>
        <v>34925.5</v>
      </c>
    </row>
    <row r="105" spans="1:15" ht="22.5" customHeight="1" thickBot="1" x14ac:dyDescent="0.35">
      <c r="A105" s="41" t="s">
        <v>143</v>
      </c>
      <c r="B105" s="88">
        <f>+B104*1</f>
        <v>11918</v>
      </c>
      <c r="C105" s="88">
        <f>+C104*0.5</f>
        <v>3389</v>
      </c>
      <c r="D105" s="88">
        <f>+D104*1.5</f>
        <v>2982</v>
      </c>
      <c r="E105" s="88">
        <f>+E104*3</f>
        <v>1893</v>
      </c>
      <c r="F105" s="89">
        <f>+F104*4.5</f>
        <v>13887</v>
      </c>
      <c r="G105" s="90">
        <f>SUM(B105:F105)</f>
        <v>34069</v>
      </c>
      <c r="H105" s="88">
        <f>+H104*0.5</f>
        <v>4.5</v>
      </c>
      <c r="I105" s="89">
        <f>+I104*1.5</f>
        <v>0</v>
      </c>
      <c r="J105" s="89">
        <f>+J104*3</f>
        <v>0</v>
      </c>
      <c r="K105" s="96">
        <f>+K104*4</f>
        <v>4</v>
      </c>
      <c r="L105" s="96">
        <f>+L104*8</f>
        <v>848</v>
      </c>
      <c r="M105" s="147">
        <f>SUM(H105:L105)</f>
        <v>856.5</v>
      </c>
      <c r="N105" s="91"/>
      <c r="O105" s="92">
        <f>G105+M105</f>
        <v>34925.5</v>
      </c>
    </row>
    <row r="106" spans="1:15" ht="22.5" customHeight="1" thickBot="1" x14ac:dyDescent="0.35">
      <c r="A106" s="42" t="s">
        <v>12</v>
      </c>
      <c r="B106" s="93">
        <f t="shared" ref="B106:N106" si="10">B104/$N$104</f>
        <v>0.4861116776114533</v>
      </c>
      <c r="C106" s="93">
        <f t="shared" si="10"/>
        <v>0.27646123098258352</v>
      </c>
      <c r="D106" s="93">
        <f t="shared" si="10"/>
        <v>8.1086592976302163E-2</v>
      </c>
      <c r="E106" s="93">
        <f t="shared" si="10"/>
        <v>2.5737243545295101E-2</v>
      </c>
      <c r="F106" s="93">
        <f t="shared" si="10"/>
        <v>0.12587184402659379</v>
      </c>
      <c r="G106" s="98">
        <f t="shared" si="10"/>
        <v>0.99526858914222782</v>
      </c>
      <c r="H106" s="93">
        <f t="shared" si="10"/>
        <v>3.6709222172370191E-4</v>
      </c>
      <c r="I106" s="93">
        <f t="shared" si="10"/>
        <v>0</v>
      </c>
      <c r="J106" s="93">
        <f t="shared" si="10"/>
        <v>0</v>
      </c>
      <c r="K106" s="97">
        <f t="shared" si="10"/>
        <v>4.0788024635966881E-5</v>
      </c>
      <c r="L106" s="97">
        <f t="shared" si="10"/>
        <v>4.3235306114124891E-3</v>
      </c>
      <c r="M106" s="98">
        <f t="shared" si="10"/>
        <v>4.7314108577721581E-3</v>
      </c>
      <c r="N106" s="99">
        <f t="shared" si="10"/>
        <v>1</v>
      </c>
      <c r="O106" s="94"/>
    </row>
    <row r="108" spans="1:15" s="4" customFormat="1" x14ac:dyDescent="0.3">
      <c r="A108" s="4" t="s">
        <v>103</v>
      </c>
      <c r="B108" s="4" t="str">
        <f>B2</f>
        <v>TMC-14 Number (D2)</v>
      </c>
    </row>
    <row r="109" spans="1:15" s="4" customFormat="1" x14ac:dyDescent="0.3">
      <c r="A109" s="4" t="s">
        <v>102</v>
      </c>
      <c r="B109" s="4" t="str">
        <f>B3</f>
        <v>D2</v>
      </c>
    </row>
    <row r="110" spans="1:15" s="4" customFormat="1" x14ac:dyDescent="0.3">
      <c r="A110" s="4" t="s">
        <v>104</v>
      </c>
      <c r="B110" s="4" t="str">
        <f>B4</f>
        <v>Delhi</v>
      </c>
    </row>
    <row r="111" spans="1:15" ht="16.2" thickBot="1" x14ac:dyDescent="0.35"/>
    <row r="112" spans="1:15" ht="25.2" customHeight="1" x14ac:dyDescent="0.3">
      <c r="A112" s="252" t="s">
        <v>95</v>
      </c>
      <c r="B112" s="258" t="s">
        <v>280</v>
      </c>
      <c r="C112" s="254" t="s">
        <v>281</v>
      </c>
      <c r="D112" s="250" t="s">
        <v>282</v>
      </c>
      <c r="E112" s="260" t="s">
        <v>283</v>
      </c>
      <c r="F112" s="256" t="s">
        <v>284</v>
      </c>
      <c r="G112" s="250" t="s">
        <v>129</v>
      </c>
      <c r="H112" s="248" t="s">
        <v>150</v>
      </c>
      <c r="I112" s="250" t="s">
        <v>151</v>
      </c>
      <c r="J112" s="250" t="s">
        <v>285</v>
      </c>
      <c r="K112" s="248" t="s">
        <v>286</v>
      </c>
      <c r="L112" s="250" t="s">
        <v>287</v>
      </c>
      <c r="M112" s="250" t="s">
        <v>78</v>
      </c>
      <c r="N112" s="250" t="s">
        <v>131</v>
      </c>
      <c r="O112" s="250" t="s">
        <v>132</v>
      </c>
    </row>
    <row r="113" spans="1:15" ht="16.2" thickBot="1" x14ac:dyDescent="0.35">
      <c r="A113" s="253"/>
      <c r="B113" s="259"/>
      <c r="C113" s="255"/>
      <c r="D113" s="251"/>
      <c r="E113" s="261"/>
      <c r="F113" s="257"/>
      <c r="G113" s="259"/>
      <c r="H113" s="249"/>
      <c r="I113" s="251"/>
      <c r="J113" s="251"/>
      <c r="K113" s="249"/>
      <c r="L113" s="251"/>
      <c r="M113" s="251"/>
      <c r="N113" s="251"/>
      <c r="O113" s="251"/>
    </row>
    <row r="114" spans="1:15" ht="22.95" customHeight="1" x14ac:dyDescent="0.3">
      <c r="A114" s="52" t="s">
        <v>15</v>
      </c>
      <c r="B114" s="112">
        <f t="shared" ref="B114:M114" si="11">B8+B9+B10+B11</f>
        <v>400</v>
      </c>
      <c r="C114" s="113">
        <f t="shared" si="11"/>
        <v>596</v>
      </c>
      <c r="D114" s="113">
        <f t="shared" si="11"/>
        <v>95</v>
      </c>
      <c r="E114" s="113">
        <f t="shared" si="11"/>
        <v>26</v>
      </c>
      <c r="F114" s="113">
        <f t="shared" si="11"/>
        <v>133</v>
      </c>
      <c r="G114" s="49">
        <f>G8+G9+G10+G11</f>
        <v>1250</v>
      </c>
      <c r="H114" s="112">
        <f t="shared" si="11"/>
        <v>1</v>
      </c>
      <c r="I114" s="113">
        <f t="shared" ref="I114:L114" si="12">I8+I9+I10+I11</f>
        <v>0</v>
      </c>
      <c r="J114" s="113">
        <f t="shared" si="12"/>
        <v>0</v>
      </c>
      <c r="K114" s="114">
        <f t="shared" si="12"/>
        <v>0</v>
      </c>
      <c r="L114" s="143">
        <f t="shared" si="12"/>
        <v>8</v>
      </c>
      <c r="M114" s="49">
        <f t="shared" si="11"/>
        <v>9</v>
      </c>
      <c r="N114" s="40">
        <f>G114+M114</f>
        <v>1259</v>
      </c>
      <c r="O114" s="115">
        <f>B114*1+C114*0.5+D114*1.5+E114*3+F114*4.5+H114*0.5+I114*1.5+J114*3+K114*4+L114*8</f>
        <v>1581.5</v>
      </c>
    </row>
    <row r="115" spans="1:15" ht="22.95" customHeight="1" x14ac:dyDescent="0.3">
      <c r="A115" s="52" t="s">
        <v>16</v>
      </c>
      <c r="B115" s="44">
        <f t="shared" ref="B115:M115" si="13">B9+B10+B11+B12</f>
        <v>496</v>
      </c>
      <c r="C115" s="39">
        <f t="shared" si="13"/>
        <v>697</v>
      </c>
      <c r="D115" s="39">
        <f t="shared" si="13"/>
        <v>85</v>
      </c>
      <c r="E115" s="39">
        <f t="shared" si="13"/>
        <v>25</v>
      </c>
      <c r="F115" s="39">
        <f t="shared" si="13"/>
        <v>128</v>
      </c>
      <c r="G115" s="50">
        <f t="shared" si="13"/>
        <v>1431</v>
      </c>
      <c r="H115" s="44">
        <f t="shared" si="13"/>
        <v>3</v>
      </c>
      <c r="I115" s="39">
        <f t="shared" si="13"/>
        <v>0</v>
      </c>
      <c r="J115" s="39">
        <f t="shared" si="13"/>
        <v>0</v>
      </c>
      <c r="K115" s="45">
        <f t="shared" si="13"/>
        <v>0</v>
      </c>
      <c r="L115" s="144">
        <f t="shared" si="13"/>
        <v>7</v>
      </c>
      <c r="M115" s="50">
        <f t="shared" si="13"/>
        <v>10</v>
      </c>
      <c r="N115" s="40">
        <f t="shared" ref="N115:N178" si="14">G115+M115</f>
        <v>1441</v>
      </c>
      <c r="O115" s="43">
        <f t="shared" ref="O115:O178" si="15">B115*1+C115*0.5+D115*1.5+E115*3+F115*4.5+H115*0.5+I115*1.5+J115*3+K115*4+L115*8</f>
        <v>1680.5</v>
      </c>
    </row>
    <row r="116" spans="1:15" ht="22.95" customHeight="1" x14ac:dyDescent="0.3">
      <c r="A116" s="52" t="s">
        <v>17</v>
      </c>
      <c r="B116" s="44">
        <f t="shared" ref="B116:M116" si="16">B10+B11+B12+B13</f>
        <v>517</v>
      </c>
      <c r="C116" s="39">
        <f t="shared" si="16"/>
        <v>734</v>
      </c>
      <c r="D116" s="39">
        <f t="shared" si="16"/>
        <v>79</v>
      </c>
      <c r="E116" s="39">
        <f t="shared" si="16"/>
        <v>29</v>
      </c>
      <c r="F116" s="39">
        <f t="shared" si="16"/>
        <v>111</v>
      </c>
      <c r="G116" s="50">
        <f t="shared" si="16"/>
        <v>1470</v>
      </c>
      <c r="H116" s="44">
        <f t="shared" si="16"/>
        <v>4</v>
      </c>
      <c r="I116" s="39">
        <f t="shared" si="16"/>
        <v>0</v>
      </c>
      <c r="J116" s="39">
        <f t="shared" si="16"/>
        <v>0</v>
      </c>
      <c r="K116" s="45">
        <f t="shared" si="16"/>
        <v>0</v>
      </c>
      <c r="L116" s="144">
        <f t="shared" si="16"/>
        <v>10</v>
      </c>
      <c r="M116" s="50">
        <f t="shared" si="16"/>
        <v>14</v>
      </c>
      <c r="N116" s="40">
        <f t="shared" si="14"/>
        <v>1484</v>
      </c>
      <c r="O116" s="43">
        <f t="shared" si="15"/>
        <v>1671</v>
      </c>
    </row>
    <row r="117" spans="1:15" ht="22.95" customHeight="1" x14ac:dyDescent="0.3">
      <c r="A117" s="52" t="s">
        <v>18</v>
      </c>
      <c r="B117" s="44">
        <f t="shared" ref="B117:M117" si="17">B11+B12+B13+B14</f>
        <v>578</v>
      </c>
      <c r="C117" s="39">
        <f t="shared" si="17"/>
        <v>774</v>
      </c>
      <c r="D117" s="39">
        <f t="shared" si="17"/>
        <v>88</v>
      </c>
      <c r="E117" s="39">
        <f t="shared" si="17"/>
        <v>32</v>
      </c>
      <c r="F117" s="39">
        <f t="shared" si="17"/>
        <v>110</v>
      </c>
      <c r="G117" s="50">
        <f t="shared" si="17"/>
        <v>1582</v>
      </c>
      <c r="H117" s="44">
        <f t="shared" si="17"/>
        <v>4</v>
      </c>
      <c r="I117" s="39">
        <f t="shared" si="17"/>
        <v>0</v>
      </c>
      <c r="J117" s="39">
        <f t="shared" si="17"/>
        <v>0</v>
      </c>
      <c r="K117" s="45">
        <f t="shared" si="17"/>
        <v>0</v>
      </c>
      <c r="L117" s="144">
        <f t="shared" si="17"/>
        <v>15</v>
      </c>
      <c r="M117" s="50">
        <f t="shared" si="17"/>
        <v>19</v>
      </c>
      <c r="N117" s="40">
        <f t="shared" si="14"/>
        <v>1601</v>
      </c>
      <c r="O117" s="43">
        <f t="shared" si="15"/>
        <v>1810</v>
      </c>
    </row>
    <row r="118" spans="1:15" ht="22.95" customHeight="1" x14ac:dyDescent="0.3">
      <c r="A118" s="52" t="s">
        <v>19</v>
      </c>
      <c r="B118" s="44">
        <f t="shared" ref="B118:M118" si="18">B12+B13+B14+B15</f>
        <v>615</v>
      </c>
      <c r="C118" s="39">
        <f t="shared" si="18"/>
        <v>744</v>
      </c>
      <c r="D118" s="39">
        <f t="shared" si="18"/>
        <v>102</v>
      </c>
      <c r="E118" s="39">
        <f t="shared" si="18"/>
        <v>34</v>
      </c>
      <c r="F118" s="39">
        <f t="shared" si="18"/>
        <v>109</v>
      </c>
      <c r="G118" s="50">
        <f t="shared" si="18"/>
        <v>1604</v>
      </c>
      <c r="H118" s="44">
        <f t="shared" si="18"/>
        <v>3</v>
      </c>
      <c r="I118" s="39">
        <f t="shared" si="18"/>
        <v>0</v>
      </c>
      <c r="J118" s="39">
        <f t="shared" si="18"/>
        <v>0</v>
      </c>
      <c r="K118" s="45">
        <f t="shared" si="18"/>
        <v>0</v>
      </c>
      <c r="L118" s="144">
        <f t="shared" si="18"/>
        <v>15</v>
      </c>
      <c r="M118" s="50">
        <f t="shared" si="18"/>
        <v>18</v>
      </c>
      <c r="N118" s="40">
        <f t="shared" si="14"/>
        <v>1622</v>
      </c>
      <c r="O118" s="43">
        <f t="shared" si="15"/>
        <v>1854</v>
      </c>
    </row>
    <row r="119" spans="1:15" ht="22.95" customHeight="1" x14ac:dyDescent="0.3">
      <c r="A119" s="52" t="s">
        <v>20</v>
      </c>
      <c r="B119" s="44">
        <f t="shared" ref="B119:M119" si="19">B13+B14+B15+B16</f>
        <v>608</v>
      </c>
      <c r="C119" s="39">
        <f t="shared" si="19"/>
        <v>708</v>
      </c>
      <c r="D119" s="39">
        <f t="shared" si="19"/>
        <v>121</v>
      </c>
      <c r="E119" s="39">
        <f t="shared" si="19"/>
        <v>32</v>
      </c>
      <c r="F119" s="39">
        <f t="shared" si="19"/>
        <v>111</v>
      </c>
      <c r="G119" s="50">
        <f t="shared" si="19"/>
        <v>1580</v>
      </c>
      <c r="H119" s="44">
        <f t="shared" si="19"/>
        <v>1</v>
      </c>
      <c r="I119" s="39">
        <f t="shared" si="19"/>
        <v>0</v>
      </c>
      <c r="J119" s="39">
        <f t="shared" si="19"/>
        <v>0</v>
      </c>
      <c r="K119" s="45">
        <f t="shared" si="19"/>
        <v>0</v>
      </c>
      <c r="L119" s="144">
        <f t="shared" si="19"/>
        <v>13</v>
      </c>
      <c r="M119" s="50">
        <f t="shared" si="19"/>
        <v>14</v>
      </c>
      <c r="N119" s="40">
        <f t="shared" si="14"/>
        <v>1594</v>
      </c>
      <c r="O119" s="43">
        <f t="shared" si="15"/>
        <v>1843.5</v>
      </c>
    </row>
    <row r="120" spans="1:15" ht="22.95" customHeight="1" x14ac:dyDescent="0.3">
      <c r="A120" s="52" t="s">
        <v>21</v>
      </c>
      <c r="B120" s="44">
        <f t="shared" ref="B120:M120" si="20">B14+B15+B16+B17</f>
        <v>650</v>
      </c>
      <c r="C120" s="39">
        <f t="shared" si="20"/>
        <v>691</v>
      </c>
      <c r="D120" s="39">
        <f t="shared" si="20"/>
        <v>133</v>
      </c>
      <c r="E120" s="39">
        <f t="shared" si="20"/>
        <v>31</v>
      </c>
      <c r="F120" s="39">
        <f t="shared" si="20"/>
        <v>125</v>
      </c>
      <c r="G120" s="50">
        <f t="shared" si="20"/>
        <v>1630</v>
      </c>
      <c r="H120" s="44">
        <f t="shared" si="20"/>
        <v>0</v>
      </c>
      <c r="I120" s="39">
        <f t="shared" si="20"/>
        <v>0</v>
      </c>
      <c r="J120" s="39">
        <f t="shared" si="20"/>
        <v>0</v>
      </c>
      <c r="K120" s="45">
        <f t="shared" si="20"/>
        <v>0</v>
      </c>
      <c r="L120" s="144">
        <f t="shared" si="20"/>
        <v>11</v>
      </c>
      <c r="M120" s="50">
        <f t="shared" si="20"/>
        <v>11</v>
      </c>
      <c r="N120" s="40">
        <f t="shared" si="14"/>
        <v>1641</v>
      </c>
      <c r="O120" s="43">
        <f t="shared" si="15"/>
        <v>1938.5</v>
      </c>
    </row>
    <row r="121" spans="1:15" ht="22.95" customHeight="1" x14ac:dyDescent="0.3">
      <c r="A121" s="52" t="s">
        <v>22</v>
      </c>
      <c r="B121" s="44">
        <f t="shared" ref="B121:M121" si="21">B15+B16+B17+B18</f>
        <v>701</v>
      </c>
      <c r="C121" s="39">
        <f t="shared" si="21"/>
        <v>584</v>
      </c>
      <c r="D121" s="39">
        <f t="shared" si="21"/>
        <v>137</v>
      </c>
      <c r="E121" s="39">
        <f t="shared" si="21"/>
        <v>26</v>
      </c>
      <c r="F121" s="39">
        <f t="shared" si="21"/>
        <v>134</v>
      </c>
      <c r="G121" s="50">
        <f t="shared" si="21"/>
        <v>1582</v>
      </c>
      <c r="H121" s="44">
        <f t="shared" si="21"/>
        <v>0</v>
      </c>
      <c r="I121" s="39">
        <f t="shared" si="21"/>
        <v>0</v>
      </c>
      <c r="J121" s="39">
        <f t="shared" si="21"/>
        <v>0</v>
      </c>
      <c r="K121" s="45">
        <f t="shared" si="21"/>
        <v>0</v>
      </c>
      <c r="L121" s="144">
        <f t="shared" si="21"/>
        <v>7</v>
      </c>
      <c r="M121" s="50">
        <f t="shared" si="21"/>
        <v>7</v>
      </c>
      <c r="N121" s="40">
        <f t="shared" si="14"/>
        <v>1589</v>
      </c>
      <c r="O121" s="43">
        <f t="shared" si="15"/>
        <v>1935.5</v>
      </c>
    </row>
    <row r="122" spans="1:15" ht="22.95" customHeight="1" x14ac:dyDescent="0.3">
      <c r="A122" s="52" t="s">
        <v>23</v>
      </c>
      <c r="B122" s="44">
        <f t="shared" ref="B122:M122" si="22">B16+B17+B18+B19</f>
        <v>721</v>
      </c>
      <c r="C122" s="39">
        <f t="shared" si="22"/>
        <v>545</v>
      </c>
      <c r="D122" s="39">
        <f t="shared" si="22"/>
        <v>133</v>
      </c>
      <c r="E122" s="39">
        <f t="shared" si="22"/>
        <v>21</v>
      </c>
      <c r="F122" s="39">
        <f t="shared" si="22"/>
        <v>133</v>
      </c>
      <c r="G122" s="50">
        <f t="shared" si="22"/>
        <v>1553</v>
      </c>
      <c r="H122" s="44">
        <f t="shared" si="22"/>
        <v>0</v>
      </c>
      <c r="I122" s="39">
        <f t="shared" si="22"/>
        <v>0</v>
      </c>
      <c r="J122" s="39">
        <f t="shared" si="22"/>
        <v>0</v>
      </c>
      <c r="K122" s="45">
        <f t="shared" si="22"/>
        <v>0</v>
      </c>
      <c r="L122" s="144">
        <f t="shared" si="22"/>
        <v>9</v>
      </c>
      <c r="M122" s="50">
        <f t="shared" si="22"/>
        <v>9</v>
      </c>
      <c r="N122" s="40">
        <f t="shared" si="14"/>
        <v>1562</v>
      </c>
      <c r="O122" s="43">
        <f t="shared" si="15"/>
        <v>1926.5</v>
      </c>
    </row>
    <row r="123" spans="1:15" ht="22.95" customHeight="1" x14ac:dyDescent="0.3">
      <c r="A123" s="52" t="s">
        <v>24</v>
      </c>
      <c r="B123" s="44">
        <f t="shared" ref="B123:M123" si="23">B17+B18+B19+B20</f>
        <v>772</v>
      </c>
      <c r="C123" s="39">
        <f t="shared" si="23"/>
        <v>491</v>
      </c>
      <c r="D123" s="39">
        <f t="shared" si="23"/>
        <v>115</v>
      </c>
      <c r="E123" s="39">
        <f t="shared" si="23"/>
        <v>23</v>
      </c>
      <c r="F123" s="39">
        <f t="shared" si="23"/>
        <v>123</v>
      </c>
      <c r="G123" s="50">
        <f t="shared" si="23"/>
        <v>1524</v>
      </c>
      <c r="H123" s="44">
        <f t="shared" si="23"/>
        <v>0</v>
      </c>
      <c r="I123" s="39">
        <f t="shared" si="23"/>
        <v>0</v>
      </c>
      <c r="J123" s="39">
        <f t="shared" si="23"/>
        <v>0</v>
      </c>
      <c r="K123" s="45">
        <f t="shared" si="23"/>
        <v>0</v>
      </c>
      <c r="L123" s="144">
        <f t="shared" si="23"/>
        <v>9</v>
      </c>
      <c r="M123" s="50">
        <f t="shared" si="23"/>
        <v>9</v>
      </c>
      <c r="N123" s="40">
        <f t="shared" si="14"/>
        <v>1533</v>
      </c>
      <c r="O123" s="43">
        <f t="shared" si="15"/>
        <v>1884.5</v>
      </c>
    </row>
    <row r="124" spans="1:15" ht="22.95" customHeight="1" x14ac:dyDescent="0.3">
      <c r="A124" s="52" t="s">
        <v>25</v>
      </c>
      <c r="B124" s="44">
        <f t="shared" ref="B124:M124" si="24">B18+B19+B20+B21</f>
        <v>814</v>
      </c>
      <c r="C124" s="39">
        <f t="shared" si="24"/>
        <v>454</v>
      </c>
      <c r="D124" s="39">
        <f t="shared" si="24"/>
        <v>125</v>
      </c>
      <c r="E124" s="39">
        <f t="shared" si="24"/>
        <v>21</v>
      </c>
      <c r="F124" s="39">
        <f t="shared" si="24"/>
        <v>116</v>
      </c>
      <c r="G124" s="50">
        <f t="shared" si="24"/>
        <v>1530</v>
      </c>
      <c r="H124" s="44">
        <f t="shared" si="24"/>
        <v>0</v>
      </c>
      <c r="I124" s="39">
        <f t="shared" si="24"/>
        <v>0</v>
      </c>
      <c r="J124" s="39">
        <f t="shared" si="24"/>
        <v>0</v>
      </c>
      <c r="K124" s="45">
        <f t="shared" si="24"/>
        <v>0</v>
      </c>
      <c r="L124" s="144">
        <f t="shared" si="24"/>
        <v>10</v>
      </c>
      <c r="M124" s="50">
        <f t="shared" si="24"/>
        <v>10</v>
      </c>
      <c r="N124" s="40">
        <f t="shared" si="14"/>
        <v>1540</v>
      </c>
      <c r="O124" s="43">
        <f t="shared" si="15"/>
        <v>1893.5</v>
      </c>
    </row>
    <row r="125" spans="1:15" ht="22.95" customHeight="1" x14ac:dyDescent="0.3">
      <c r="A125" s="52" t="s">
        <v>26</v>
      </c>
      <c r="B125" s="44">
        <f t="shared" ref="B125:M125" si="25">B19+B20+B21+B22</f>
        <v>807</v>
      </c>
      <c r="C125" s="39">
        <f t="shared" si="25"/>
        <v>447</v>
      </c>
      <c r="D125" s="39">
        <f t="shared" si="25"/>
        <v>108</v>
      </c>
      <c r="E125" s="39">
        <f t="shared" si="25"/>
        <v>27</v>
      </c>
      <c r="F125" s="39">
        <f t="shared" si="25"/>
        <v>105</v>
      </c>
      <c r="G125" s="50">
        <f t="shared" si="25"/>
        <v>1494</v>
      </c>
      <c r="H125" s="44">
        <f t="shared" si="25"/>
        <v>0</v>
      </c>
      <c r="I125" s="39">
        <f t="shared" si="25"/>
        <v>0</v>
      </c>
      <c r="J125" s="39">
        <f t="shared" si="25"/>
        <v>0</v>
      </c>
      <c r="K125" s="45">
        <f t="shared" si="25"/>
        <v>0</v>
      </c>
      <c r="L125" s="144">
        <f t="shared" si="25"/>
        <v>7</v>
      </c>
      <c r="M125" s="50">
        <f t="shared" si="25"/>
        <v>7</v>
      </c>
      <c r="N125" s="40">
        <f t="shared" si="14"/>
        <v>1501</v>
      </c>
      <c r="O125" s="43">
        <f t="shared" si="15"/>
        <v>1802</v>
      </c>
    </row>
    <row r="126" spans="1:15" ht="22.95" customHeight="1" x14ac:dyDescent="0.3">
      <c r="A126" s="52" t="s">
        <v>27</v>
      </c>
      <c r="B126" s="44">
        <f t="shared" ref="B126:M126" si="26">B20+B21+B22+B23</f>
        <v>844</v>
      </c>
      <c r="C126" s="39">
        <f t="shared" si="26"/>
        <v>418</v>
      </c>
      <c r="D126" s="39">
        <f t="shared" si="26"/>
        <v>104</v>
      </c>
      <c r="E126" s="39">
        <f t="shared" si="26"/>
        <v>29</v>
      </c>
      <c r="F126" s="39">
        <f t="shared" si="26"/>
        <v>118</v>
      </c>
      <c r="G126" s="50">
        <f t="shared" si="26"/>
        <v>1513</v>
      </c>
      <c r="H126" s="44">
        <f t="shared" si="26"/>
        <v>1</v>
      </c>
      <c r="I126" s="39">
        <f t="shared" si="26"/>
        <v>0</v>
      </c>
      <c r="J126" s="39">
        <f t="shared" si="26"/>
        <v>0</v>
      </c>
      <c r="K126" s="45">
        <f t="shared" si="26"/>
        <v>0</v>
      </c>
      <c r="L126" s="144">
        <f t="shared" si="26"/>
        <v>6</v>
      </c>
      <c r="M126" s="50">
        <f t="shared" si="26"/>
        <v>7</v>
      </c>
      <c r="N126" s="40">
        <f t="shared" si="14"/>
        <v>1520</v>
      </c>
      <c r="O126" s="43">
        <f t="shared" si="15"/>
        <v>1875.5</v>
      </c>
    </row>
    <row r="127" spans="1:15" ht="22.95" customHeight="1" x14ac:dyDescent="0.3">
      <c r="A127" s="52" t="s">
        <v>28</v>
      </c>
      <c r="B127" s="44">
        <f t="shared" ref="B127:M127" si="27">B21+B22+B23+B24</f>
        <v>813</v>
      </c>
      <c r="C127" s="39">
        <f t="shared" si="27"/>
        <v>406</v>
      </c>
      <c r="D127" s="39">
        <f t="shared" si="27"/>
        <v>115</v>
      </c>
      <c r="E127" s="39">
        <f t="shared" si="27"/>
        <v>28</v>
      </c>
      <c r="F127" s="39">
        <f t="shared" si="27"/>
        <v>122</v>
      </c>
      <c r="G127" s="50">
        <f t="shared" si="27"/>
        <v>1484</v>
      </c>
      <c r="H127" s="44">
        <f t="shared" si="27"/>
        <v>1</v>
      </c>
      <c r="I127" s="39">
        <f t="shared" si="27"/>
        <v>0</v>
      </c>
      <c r="J127" s="39">
        <f t="shared" si="27"/>
        <v>0</v>
      </c>
      <c r="K127" s="45">
        <f t="shared" si="27"/>
        <v>0</v>
      </c>
      <c r="L127" s="144">
        <f t="shared" si="27"/>
        <v>7</v>
      </c>
      <c r="M127" s="50">
        <f t="shared" si="27"/>
        <v>8</v>
      </c>
      <c r="N127" s="40">
        <f t="shared" si="14"/>
        <v>1492</v>
      </c>
      <c r="O127" s="43">
        <f t="shared" si="15"/>
        <v>1878</v>
      </c>
    </row>
    <row r="128" spans="1:15" ht="22.95" customHeight="1" x14ac:dyDescent="0.3">
      <c r="A128" s="52" t="s">
        <v>29</v>
      </c>
      <c r="B128" s="44">
        <f t="shared" ref="B128:M128" si="28">B22+B23+B24+B25</f>
        <v>783</v>
      </c>
      <c r="C128" s="39">
        <f t="shared" si="28"/>
        <v>411</v>
      </c>
      <c r="D128" s="39">
        <f t="shared" si="28"/>
        <v>94</v>
      </c>
      <c r="E128" s="39">
        <f t="shared" si="28"/>
        <v>28</v>
      </c>
      <c r="F128" s="39">
        <f t="shared" si="28"/>
        <v>144</v>
      </c>
      <c r="G128" s="50">
        <f t="shared" si="28"/>
        <v>1460</v>
      </c>
      <c r="H128" s="44">
        <f t="shared" si="28"/>
        <v>1</v>
      </c>
      <c r="I128" s="39">
        <f t="shared" si="28"/>
        <v>0</v>
      </c>
      <c r="J128" s="39">
        <f t="shared" si="28"/>
        <v>0</v>
      </c>
      <c r="K128" s="45">
        <f t="shared" si="28"/>
        <v>0</v>
      </c>
      <c r="L128" s="144">
        <f t="shared" si="28"/>
        <v>6</v>
      </c>
      <c r="M128" s="50">
        <f t="shared" si="28"/>
        <v>7</v>
      </c>
      <c r="N128" s="40">
        <f t="shared" si="14"/>
        <v>1467</v>
      </c>
      <c r="O128" s="43">
        <f t="shared" si="15"/>
        <v>1910</v>
      </c>
    </row>
    <row r="129" spans="1:15" ht="22.95" customHeight="1" x14ac:dyDescent="0.3">
      <c r="A129" s="52" t="s">
        <v>30</v>
      </c>
      <c r="B129" s="44">
        <f t="shared" ref="B129:M129" si="29">B23+B24+B25+B26</f>
        <v>740</v>
      </c>
      <c r="C129" s="39">
        <f t="shared" si="29"/>
        <v>425</v>
      </c>
      <c r="D129" s="39">
        <f t="shared" si="29"/>
        <v>98</v>
      </c>
      <c r="E129" s="39">
        <f t="shared" si="29"/>
        <v>25</v>
      </c>
      <c r="F129" s="39">
        <f t="shared" si="29"/>
        <v>175</v>
      </c>
      <c r="G129" s="50">
        <f t="shared" si="29"/>
        <v>1463</v>
      </c>
      <c r="H129" s="44">
        <f t="shared" si="29"/>
        <v>1</v>
      </c>
      <c r="I129" s="39">
        <f t="shared" si="29"/>
        <v>0</v>
      </c>
      <c r="J129" s="39">
        <f t="shared" si="29"/>
        <v>0</v>
      </c>
      <c r="K129" s="45">
        <f t="shared" si="29"/>
        <v>0</v>
      </c>
      <c r="L129" s="144">
        <f t="shared" si="29"/>
        <v>9</v>
      </c>
      <c r="M129" s="50">
        <f t="shared" si="29"/>
        <v>10</v>
      </c>
      <c r="N129" s="40">
        <f t="shared" si="14"/>
        <v>1473</v>
      </c>
      <c r="O129" s="43">
        <f t="shared" si="15"/>
        <v>2034.5</v>
      </c>
    </row>
    <row r="130" spans="1:15" ht="22.95" customHeight="1" x14ac:dyDescent="0.3">
      <c r="A130" s="52" t="s">
        <v>31</v>
      </c>
      <c r="B130" s="44">
        <f t="shared" ref="B130:M130" si="30">B24+B25+B26+B27</f>
        <v>696</v>
      </c>
      <c r="C130" s="39">
        <f t="shared" si="30"/>
        <v>450</v>
      </c>
      <c r="D130" s="39">
        <f t="shared" si="30"/>
        <v>93</v>
      </c>
      <c r="E130" s="39">
        <f t="shared" si="30"/>
        <v>27</v>
      </c>
      <c r="F130" s="39">
        <f t="shared" si="30"/>
        <v>176</v>
      </c>
      <c r="G130" s="50">
        <f t="shared" si="30"/>
        <v>1442</v>
      </c>
      <c r="H130" s="44">
        <f t="shared" si="30"/>
        <v>0</v>
      </c>
      <c r="I130" s="39">
        <f t="shared" si="30"/>
        <v>0</v>
      </c>
      <c r="J130" s="39">
        <f t="shared" si="30"/>
        <v>0</v>
      </c>
      <c r="K130" s="45">
        <f t="shared" si="30"/>
        <v>0</v>
      </c>
      <c r="L130" s="144">
        <f t="shared" si="30"/>
        <v>10</v>
      </c>
      <c r="M130" s="50">
        <f t="shared" si="30"/>
        <v>10</v>
      </c>
      <c r="N130" s="40">
        <f t="shared" si="14"/>
        <v>1452</v>
      </c>
      <c r="O130" s="43">
        <f t="shared" si="15"/>
        <v>2013.5</v>
      </c>
    </row>
    <row r="131" spans="1:15" ht="22.95" customHeight="1" x14ac:dyDescent="0.3">
      <c r="A131" s="52" t="s">
        <v>32</v>
      </c>
      <c r="B131" s="44">
        <f t="shared" ref="B131:M131" si="31">B25+B26+B27+B28</f>
        <v>736</v>
      </c>
      <c r="C131" s="39">
        <f t="shared" si="31"/>
        <v>473</v>
      </c>
      <c r="D131" s="39">
        <f t="shared" si="31"/>
        <v>86</v>
      </c>
      <c r="E131" s="39">
        <f t="shared" si="31"/>
        <v>32</v>
      </c>
      <c r="F131" s="39">
        <f t="shared" si="31"/>
        <v>172</v>
      </c>
      <c r="G131" s="50">
        <f t="shared" si="31"/>
        <v>1499</v>
      </c>
      <c r="H131" s="44">
        <f t="shared" si="31"/>
        <v>0</v>
      </c>
      <c r="I131" s="39">
        <f t="shared" si="31"/>
        <v>0</v>
      </c>
      <c r="J131" s="39">
        <f t="shared" si="31"/>
        <v>0</v>
      </c>
      <c r="K131" s="45">
        <f t="shared" si="31"/>
        <v>0</v>
      </c>
      <c r="L131" s="144">
        <f t="shared" si="31"/>
        <v>11</v>
      </c>
      <c r="M131" s="50">
        <f t="shared" si="31"/>
        <v>11</v>
      </c>
      <c r="N131" s="40">
        <f t="shared" si="14"/>
        <v>1510</v>
      </c>
      <c r="O131" s="43">
        <f t="shared" si="15"/>
        <v>2059.5</v>
      </c>
    </row>
    <row r="132" spans="1:15" ht="22.95" customHeight="1" x14ac:dyDescent="0.3">
      <c r="A132" s="52" t="s">
        <v>33</v>
      </c>
      <c r="B132" s="44">
        <f t="shared" ref="B132:M132" si="32">B26+B27+B28+B29</f>
        <v>748</v>
      </c>
      <c r="C132" s="39">
        <f t="shared" si="32"/>
        <v>478</v>
      </c>
      <c r="D132" s="39">
        <f t="shared" si="32"/>
        <v>84</v>
      </c>
      <c r="E132" s="39">
        <f t="shared" si="32"/>
        <v>33</v>
      </c>
      <c r="F132" s="39">
        <f t="shared" si="32"/>
        <v>153</v>
      </c>
      <c r="G132" s="50">
        <f t="shared" si="32"/>
        <v>1496</v>
      </c>
      <c r="H132" s="44">
        <f t="shared" si="32"/>
        <v>0</v>
      </c>
      <c r="I132" s="39">
        <f t="shared" si="32"/>
        <v>0</v>
      </c>
      <c r="J132" s="39">
        <f t="shared" si="32"/>
        <v>0</v>
      </c>
      <c r="K132" s="45">
        <f t="shared" si="32"/>
        <v>0</v>
      </c>
      <c r="L132" s="144">
        <f t="shared" si="32"/>
        <v>9</v>
      </c>
      <c r="M132" s="50">
        <f t="shared" si="32"/>
        <v>9</v>
      </c>
      <c r="N132" s="40">
        <f t="shared" si="14"/>
        <v>1505</v>
      </c>
      <c r="O132" s="43">
        <f t="shared" si="15"/>
        <v>1972.5</v>
      </c>
    </row>
    <row r="133" spans="1:15" ht="22.95" customHeight="1" x14ac:dyDescent="0.3">
      <c r="A133" s="52" t="s">
        <v>34</v>
      </c>
      <c r="B133" s="44">
        <f t="shared" ref="B133:M133" si="33">B27+B28+B29+B30</f>
        <v>738</v>
      </c>
      <c r="C133" s="39">
        <f t="shared" si="33"/>
        <v>488</v>
      </c>
      <c r="D133" s="39">
        <f t="shared" si="33"/>
        <v>81</v>
      </c>
      <c r="E133" s="39">
        <f t="shared" si="33"/>
        <v>30</v>
      </c>
      <c r="F133" s="39">
        <f t="shared" si="33"/>
        <v>122</v>
      </c>
      <c r="G133" s="50">
        <f t="shared" si="33"/>
        <v>1459</v>
      </c>
      <c r="H133" s="44">
        <f t="shared" si="33"/>
        <v>0</v>
      </c>
      <c r="I133" s="39">
        <f t="shared" si="33"/>
        <v>0</v>
      </c>
      <c r="J133" s="39">
        <f t="shared" si="33"/>
        <v>0</v>
      </c>
      <c r="K133" s="45">
        <f t="shared" si="33"/>
        <v>0</v>
      </c>
      <c r="L133" s="144">
        <f t="shared" si="33"/>
        <v>5</v>
      </c>
      <c r="M133" s="50">
        <f t="shared" si="33"/>
        <v>5</v>
      </c>
      <c r="N133" s="40">
        <f t="shared" si="14"/>
        <v>1464</v>
      </c>
      <c r="O133" s="43">
        <f t="shared" si="15"/>
        <v>1782.5</v>
      </c>
    </row>
    <row r="134" spans="1:15" ht="22.95" customHeight="1" x14ac:dyDescent="0.3">
      <c r="A134" s="52" t="s">
        <v>35</v>
      </c>
      <c r="B134" s="44">
        <f t="shared" ref="B134:M134" si="34">B28+B29+B30+B31</f>
        <v>717</v>
      </c>
      <c r="C134" s="39">
        <f t="shared" si="34"/>
        <v>492</v>
      </c>
      <c r="D134" s="39">
        <f t="shared" si="34"/>
        <v>76</v>
      </c>
      <c r="E134" s="39">
        <f t="shared" si="34"/>
        <v>29</v>
      </c>
      <c r="F134" s="39">
        <f t="shared" si="34"/>
        <v>119</v>
      </c>
      <c r="G134" s="50">
        <f t="shared" si="34"/>
        <v>1433</v>
      </c>
      <c r="H134" s="44">
        <f t="shared" si="34"/>
        <v>0</v>
      </c>
      <c r="I134" s="39">
        <f t="shared" si="34"/>
        <v>0</v>
      </c>
      <c r="J134" s="39">
        <f t="shared" si="34"/>
        <v>0</v>
      </c>
      <c r="K134" s="45">
        <f t="shared" si="34"/>
        <v>0</v>
      </c>
      <c r="L134" s="144">
        <f t="shared" si="34"/>
        <v>3</v>
      </c>
      <c r="M134" s="50">
        <f t="shared" si="34"/>
        <v>3</v>
      </c>
      <c r="N134" s="40">
        <f t="shared" si="14"/>
        <v>1436</v>
      </c>
      <c r="O134" s="43">
        <f t="shared" si="15"/>
        <v>1723.5</v>
      </c>
    </row>
    <row r="135" spans="1:15" ht="22.95" customHeight="1" x14ac:dyDescent="0.3">
      <c r="A135" s="52" t="s">
        <v>36</v>
      </c>
      <c r="B135" s="44">
        <f t="shared" ref="B135:M135" si="35">B29+B30+B31+B32</f>
        <v>681</v>
      </c>
      <c r="C135" s="39">
        <f t="shared" si="35"/>
        <v>440</v>
      </c>
      <c r="D135" s="39">
        <f t="shared" si="35"/>
        <v>79</v>
      </c>
      <c r="E135" s="39">
        <f t="shared" si="35"/>
        <v>20</v>
      </c>
      <c r="F135" s="39">
        <f t="shared" si="35"/>
        <v>115</v>
      </c>
      <c r="G135" s="50">
        <f t="shared" si="35"/>
        <v>1335</v>
      </c>
      <c r="H135" s="44">
        <f t="shared" si="35"/>
        <v>0</v>
      </c>
      <c r="I135" s="39">
        <f t="shared" si="35"/>
        <v>0</v>
      </c>
      <c r="J135" s="39">
        <f t="shared" si="35"/>
        <v>0</v>
      </c>
      <c r="K135" s="45">
        <f t="shared" si="35"/>
        <v>0</v>
      </c>
      <c r="L135" s="144">
        <f t="shared" si="35"/>
        <v>4</v>
      </c>
      <c r="M135" s="50">
        <f t="shared" si="35"/>
        <v>4</v>
      </c>
      <c r="N135" s="40">
        <f t="shared" si="14"/>
        <v>1339</v>
      </c>
      <c r="O135" s="43">
        <f t="shared" si="15"/>
        <v>1629</v>
      </c>
    </row>
    <row r="136" spans="1:15" ht="22.95" customHeight="1" x14ac:dyDescent="0.3">
      <c r="A136" s="52" t="s">
        <v>37</v>
      </c>
      <c r="B136" s="44">
        <f t="shared" ref="B136:M136" si="36">B30+B31+B32+B33</f>
        <v>670</v>
      </c>
      <c r="C136" s="39">
        <f t="shared" si="36"/>
        <v>405</v>
      </c>
      <c r="D136" s="39">
        <f t="shared" si="36"/>
        <v>108</v>
      </c>
      <c r="E136" s="39">
        <f t="shared" si="36"/>
        <v>18</v>
      </c>
      <c r="F136" s="39">
        <f t="shared" si="36"/>
        <v>105</v>
      </c>
      <c r="G136" s="50">
        <f t="shared" si="36"/>
        <v>1306</v>
      </c>
      <c r="H136" s="44">
        <f t="shared" si="36"/>
        <v>0</v>
      </c>
      <c r="I136" s="39">
        <f t="shared" si="36"/>
        <v>0</v>
      </c>
      <c r="J136" s="39">
        <f t="shared" si="36"/>
        <v>0</v>
      </c>
      <c r="K136" s="45">
        <f t="shared" si="36"/>
        <v>0</v>
      </c>
      <c r="L136" s="144">
        <f t="shared" si="36"/>
        <v>5</v>
      </c>
      <c r="M136" s="50">
        <f t="shared" si="36"/>
        <v>5</v>
      </c>
      <c r="N136" s="40">
        <f t="shared" si="14"/>
        <v>1311</v>
      </c>
      <c r="O136" s="43">
        <f t="shared" si="15"/>
        <v>1601</v>
      </c>
    </row>
    <row r="137" spans="1:15" ht="22.95" customHeight="1" x14ac:dyDescent="0.3">
      <c r="A137" s="52" t="s">
        <v>38</v>
      </c>
      <c r="B137" s="44">
        <f t="shared" ref="B137:M137" si="37">B31+B32+B33+B34</f>
        <v>663</v>
      </c>
      <c r="C137" s="39">
        <f t="shared" si="37"/>
        <v>388</v>
      </c>
      <c r="D137" s="39">
        <f t="shared" si="37"/>
        <v>122</v>
      </c>
      <c r="E137" s="39">
        <f t="shared" si="37"/>
        <v>18</v>
      </c>
      <c r="F137" s="39">
        <f t="shared" si="37"/>
        <v>105</v>
      </c>
      <c r="G137" s="50">
        <f t="shared" si="37"/>
        <v>1296</v>
      </c>
      <c r="H137" s="44">
        <f t="shared" si="37"/>
        <v>0</v>
      </c>
      <c r="I137" s="39">
        <f t="shared" si="37"/>
        <v>0</v>
      </c>
      <c r="J137" s="39">
        <f t="shared" si="37"/>
        <v>0</v>
      </c>
      <c r="K137" s="45">
        <f t="shared" si="37"/>
        <v>0</v>
      </c>
      <c r="L137" s="144">
        <f t="shared" si="37"/>
        <v>6</v>
      </c>
      <c r="M137" s="50">
        <f t="shared" si="37"/>
        <v>6</v>
      </c>
      <c r="N137" s="40">
        <f t="shared" si="14"/>
        <v>1302</v>
      </c>
      <c r="O137" s="43">
        <f t="shared" si="15"/>
        <v>1614.5</v>
      </c>
    </row>
    <row r="138" spans="1:15" ht="22.95" customHeight="1" x14ac:dyDescent="0.3">
      <c r="A138" s="52" t="s">
        <v>39</v>
      </c>
      <c r="B138" s="44">
        <f t="shared" ref="B138:M138" si="38">B32+B33+B34+B35</f>
        <v>650</v>
      </c>
      <c r="C138" s="39">
        <f t="shared" si="38"/>
        <v>371</v>
      </c>
      <c r="D138" s="39">
        <f t="shared" si="38"/>
        <v>142</v>
      </c>
      <c r="E138" s="39">
        <f t="shared" si="38"/>
        <v>17</v>
      </c>
      <c r="F138" s="39">
        <f t="shared" si="38"/>
        <v>78</v>
      </c>
      <c r="G138" s="50">
        <f t="shared" si="38"/>
        <v>1258</v>
      </c>
      <c r="H138" s="44">
        <f t="shared" si="38"/>
        <v>0</v>
      </c>
      <c r="I138" s="39">
        <f t="shared" si="38"/>
        <v>0</v>
      </c>
      <c r="J138" s="39">
        <f t="shared" si="38"/>
        <v>0</v>
      </c>
      <c r="K138" s="45">
        <f t="shared" si="38"/>
        <v>0</v>
      </c>
      <c r="L138" s="144">
        <f t="shared" si="38"/>
        <v>8</v>
      </c>
      <c r="M138" s="50">
        <f t="shared" si="38"/>
        <v>8</v>
      </c>
      <c r="N138" s="40">
        <f t="shared" si="14"/>
        <v>1266</v>
      </c>
      <c r="O138" s="43">
        <f t="shared" si="15"/>
        <v>1514.5</v>
      </c>
    </row>
    <row r="139" spans="1:15" ht="22.95" customHeight="1" x14ac:dyDescent="0.3">
      <c r="A139" s="52" t="s">
        <v>40</v>
      </c>
      <c r="B139" s="44">
        <f t="shared" ref="B139:M139" si="39">B33+B34+B35+B36</f>
        <v>624</v>
      </c>
      <c r="C139" s="39">
        <f t="shared" si="39"/>
        <v>382</v>
      </c>
      <c r="D139" s="39">
        <f t="shared" si="39"/>
        <v>138</v>
      </c>
      <c r="E139" s="39">
        <f t="shared" si="39"/>
        <v>20</v>
      </c>
      <c r="F139" s="39">
        <f t="shared" si="39"/>
        <v>81</v>
      </c>
      <c r="G139" s="50">
        <f t="shared" si="39"/>
        <v>1245</v>
      </c>
      <c r="H139" s="44">
        <f t="shared" si="39"/>
        <v>0</v>
      </c>
      <c r="I139" s="39">
        <f t="shared" si="39"/>
        <v>0</v>
      </c>
      <c r="J139" s="39">
        <f t="shared" si="39"/>
        <v>0</v>
      </c>
      <c r="K139" s="45">
        <f t="shared" si="39"/>
        <v>0</v>
      </c>
      <c r="L139" s="144">
        <f t="shared" si="39"/>
        <v>5</v>
      </c>
      <c r="M139" s="50">
        <f t="shared" si="39"/>
        <v>5</v>
      </c>
      <c r="N139" s="40">
        <f t="shared" si="14"/>
        <v>1250</v>
      </c>
      <c r="O139" s="43">
        <f t="shared" si="15"/>
        <v>1486.5</v>
      </c>
    </row>
    <row r="140" spans="1:15" ht="22.95" customHeight="1" x14ac:dyDescent="0.3">
      <c r="A140" s="52" t="s">
        <v>41</v>
      </c>
      <c r="B140" s="44">
        <f t="shared" ref="B140:M140" si="40">B34+B35+B36+B37</f>
        <v>577</v>
      </c>
      <c r="C140" s="39">
        <f t="shared" si="40"/>
        <v>363</v>
      </c>
      <c r="D140" s="39">
        <f t="shared" si="40"/>
        <v>120</v>
      </c>
      <c r="E140" s="39">
        <f t="shared" si="40"/>
        <v>21</v>
      </c>
      <c r="F140" s="39">
        <f t="shared" si="40"/>
        <v>98</v>
      </c>
      <c r="G140" s="50">
        <f t="shared" si="40"/>
        <v>1179</v>
      </c>
      <c r="H140" s="44">
        <f t="shared" si="40"/>
        <v>0</v>
      </c>
      <c r="I140" s="39">
        <f t="shared" si="40"/>
        <v>0</v>
      </c>
      <c r="J140" s="39">
        <f t="shared" si="40"/>
        <v>0</v>
      </c>
      <c r="K140" s="45">
        <f t="shared" si="40"/>
        <v>0</v>
      </c>
      <c r="L140" s="144">
        <f t="shared" si="40"/>
        <v>4</v>
      </c>
      <c r="M140" s="50">
        <f t="shared" si="40"/>
        <v>4</v>
      </c>
      <c r="N140" s="40">
        <f t="shared" si="14"/>
        <v>1183</v>
      </c>
      <c r="O140" s="43">
        <f t="shared" si="15"/>
        <v>1474.5</v>
      </c>
    </row>
    <row r="141" spans="1:15" ht="22.95" customHeight="1" x14ac:dyDescent="0.3">
      <c r="A141" s="52" t="s">
        <v>42</v>
      </c>
      <c r="B141" s="44">
        <f t="shared" ref="B141:M141" si="41">B35+B36+B37+B38</f>
        <v>565</v>
      </c>
      <c r="C141" s="39">
        <f t="shared" si="41"/>
        <v>319</v>
      </c>
      <c r="D141" s="39">
        <f t="shared" si="41"/>
        <v>117</v>
      </c>
      <c r="E141" s="39">
        <f t="shared" si="41"/>
        <v>23</v>
      </c>
      <c r="F141" s="39">
        <f t="shared" si="41"/>
        <v>110</v>
      </c>
      <c r="G141" s="50">
        <f t="shared" si="41"/>
        <v>1134</v>
      </c>
      <c r="H141" s="44">
        <f t="shared" si="41"/>
        <v>0</v>
      </c>
      <c r="I141" s="39">
        <f t="shared" si="41"/>
        <v>0</v>
      </c>
      <c r="J141" s="39">
        <f t="shared" si="41"/>
        <v>0</v>
      </c>
      <c r="K141" s="45">
        <f t="shared" si="41"/>
        <v>0</v>
      </c>
      <c r="L141" s="144">
        <f t="shared" si="41"/>
        <v>3</v>
      </c>
      <c r="M141" s="50">
        <f t="shared" si="41"/>
        <v>3</v>
      </c>
      <c r="N141" s="40">
        <f t="shared" si="14"/>
        <v>1137</v>
      </c>
      <c r="O141" s="43">
        <f t="shared" si="15"/>
        <v>1488</v>
      </c>
    </row>
    <row r="142" spans="1:15" ht="22.95" customHeight="1" x14ac:dyDescent="0.3">
      <c r="A142" s="52" t="s">
        <v>43</v>
      </c>
      <c r="B142" s="44">
        <f t="shared" ref="B142:M142" si="42">B36+B37+B38+B39</f>
        <v>571</v>
      </c>
      <c r="C142" s="39">
        <f t="shared" si="42"/>
        <v>274</v>
      </c>
      <c r="D142" s="39">
        <f t="shared" si="42"/>
        <v>117</v>
      </c>
      <c r="E142" s="39">
        <f t="shared" si="42"/>
        <v>23</v>
      </c>
      <c r="F142" s="39">
        <f t="shared" si="42"/>
        <v>127</v>
      </c>
      <c r="G142" s="50">
        <f t="shared" si="42"/>
        <v>1112</v>
      </c>
      <c r="H142" s="44">
        <f t="shared" si="42"/>
        <v>0</v>
      </c>
      <c r="I142" s="39">
        <f t="shared" si="42"/>
        <v>0</v>
      </c>
      <c r="J142" s="39">
        <f t="shared" si="42"/>
        <v>0</v>
      </c>
      <c r="K142" s="45">
        <f t="shared" si="42"/>
        <v>0</v>
      </c>
      <c r="L142" s="144">
        <f t="shared" si="42"/>
        <v>1</v>
      </c>
      <c r="M142" s="50">
        <f t="shared" si="42"/>
        <v>1</v>
      </c>
      <c r="N142" s="40">
        <f t="shared" si="14"/>
        <v>1113</v>
      </c>
      <c r="O142" s="43">
        <f t="shared" si="15"/>
        <v>1532</v>
      </c>
    </row>
    <row r="143" spans="1:15" ht="22.95" customHeight="1" x14ac:dyDescent="0.3">
      <c r="A143" s="52" t="s">
        <v>44</v>
      </c>
      <c r="B143" s="44">
        <f t="shared" ref="B143:M143" si="43">B37+B38+B39+B40</f>
        <v>660</v>
      </c>
      <c r="C143" s="39">
        <f t="shared" si="43"/>
        <v>273</v>
      </c>
      <c r="D143" s="39">
        <f t="shared" si="43"/>
        <v>133</v>
      </c>
      <c r="E143" s="39">
        <f t="shared" si="43"/>
        <v>22</v>
      </c>
      <c r="F143" s="39">
        <f t="shared" si="43"/>
        <v>137</v>
      </c>
      <c r="G143" s="50">
        <f t="shared" si="43"/>
        <v>1225</v>
      </c>
      <c r="H143" s="44">
        <f t="shared" si="43"/>
        <v>0</v>
      </c>
      <c r="I143" s="39">
        <f t="shared" si="43"/>
        <v>0</v>
      </c>
      <c r="J143" s="39">
        <f t="shared" si="43"/>
        <v>0</v>
      </c>
      <c r="K143" s="45">
        <f t="shared" si="43"/>
        <v>0</v>
      </c>
      <c r="L143" s="144">
        <f t="shared" si="43"/>
        <v>0</v>
      </c>
      <c r="M143" s="50">
        <f t="shared" si="43"/>
        <v>0</v>
      </c>
      <c r="N143" s="40">
        <f t="shared" si="14"/>
        <v>1225</v>
      </c>
      <c r="O143" s="43">
        <f t="shared" si="15"/>
        <v>1678.5</v>
      </c>
    </row>
    <row r="144" spans="1:15" ht="22.95" customHeight="1" x14ac:dyDescent="0.3">
      <c r="A144" s="52" t="s">
        <v>45</v>
      </c>
      <c r="B144" s="44">
        <f t="shared" ref="B144:M144" si="44">B38+B39+B40+B41</f>
        <v>762</v>
      </c>
      <c r="C144" s="39">
        <f t="shared" si="44"/>
        <v>307</v>
      </c>
      <c r="D144" s="39">
        <f t="shared" si="44"/>
        <v>138</v>
      </c>
      <c r="E144" s="39">
        <f t="shared" si="44"/>
        <v>24</v>
      </c>
      <c r="F144" s="39">
        <f t="shared" si="44"/>
        <v>133</v>
      </c>
      <c r="G144" s="50">
        <f t="shared" si="44"/>
        <v>1364</v>
      </c>
      <c r="H144" s="44">
        <f t="shared" si="44"/>
        <v>0</v>
      </c>
      <c r="I144" s="39">
        <f t="shared" si="44"/>
        <v>0</v>
      </c>
      <c r="J144" s="39">
        <f t="shared" si="44"/>
        <v>0</v>
      </c>
      <c r="K144" s="45">
        <f t="shared" si="44"/>
        <v>0</v>
      </c>
      <c r="L144" s="144">
        <f t="shared" si="44"/>
        <v>1</v>
      </c>
      <c r="M144" s="50">
        <f t="shared" si="44"/>
        <v>1</v>
      </c>
      <c r="N144" s="40">
        <f t="shared" si="14"/>
        <v>1365</v>
      </c>
      <c r="O144" s="43">
        <f t="shared" si="15"/>
        <v>1801</v>
      </c>
    </row>
    <row r="145" spans="1:15" ht="22.95" customHeight="1" x14ac:dyDescent="0.3">
      <c r="A145" s="52" t="s">
        <v>46</v>
      </c>
      <c r="B145" s="44">
        <f t="shared" ref="B145:M145" si="45">B39+B40+B41+B42</f>
        <v>871</v>
      </c>
      <c r="C145" s="39">
        <f t="shared" si="45"/>
        <v>326</v>
      </c>
      <c r="D145" s="39">
        <f t="shared" si="45"/>
        <v>135</v>
      </c>
      <c r="E145" s="39">
        <f t="shared" si="45"/>
        <v>22</v>
      </c>
      <c r="F145" s="39">
        <f t="shared" si="45"/>
        <v>131</v>
      </c>
      <c r="G145" s="50">
        <f t="shared" si="45"/>
        <v>1485</v>
      </c>
      <c r="H145" s="44">
        <f t="shared" si="45"/>
        <v>0</v>
      </c>
      <c r="I145" s="39">
        <f t="shared" si="45"/>
        <v>0</v>
      </c>
      <c r="J145" s="39">
        <f t="shared" si="45"/>
        <v>0</v>
      </c>
      <c r="K145" s="45">
        <f t="shared" si="45"/>
        <v>0</v>
      </c>
      <c r="L145" s="144">
        <f t="shared" si="45"/>
        <v>3</v>
      </c>
      <c r="M145" s="50">
        <f t="shared" si="45"/>
        <v>3</v>
      </c>
      <c r="N145" s="40">
        <f t="shared" si="14"/>
        <v>1488</v>
      </c>
      <c r="O145" s="43">
        <f t="shared" si="15"/>
        <v>1916</v>
      </c>
    </row>
    <row r="146" spans="1:15" ht="22.95" customHeight="1" x14ac:dyDescent="0.3">
      <c r="A146" s="52" t="s">
        <v>47</v>
      </c>
      <c r="B146" s="44">
        <f t="shared" ref="B146:M146" si="46">B40+B41+B42+B43</f>
        <v>981</v>
      </c>
      <c r="C146" s="39">
        <f t="shared" si="46"/>
        <v>328</v>
      </c>
      <c r="D146" s="39">
        <f t="shared" si="46"/>
        <v>114</v>
      </c>
      <c r="E146" s="39">
        <f t="shared" si="46"/>
        <v>28</v>
      </c>
      <c r="F146" s="39">
        <f t="shared" si="46"/>
        <v>143</v>
      </c>
      <c r="G146" s="50">
        <f t="shared" si="46"/>
        <v>1594</v>
      </c>
      <c r="H146" s="44">
        <f t="shared" si="46"/>
        <v>1</v>
      </c>
      <c r="I146" s="39">
        <f t="shared" si="46"/>
        <v>0</v>
      </c>
      <c r="J146" s="39">
        <f t="shared" si="46"/>
        <v>0</v>
      </c>
      <c r="K146" s="45">
        <f t="shared" si="46"/>
        <v>0</v>
      </c>
      <c r="L146" s="144">
        <f t="shared" si="46"/>
        <v>4</v>
      </c>
      <c r="M146" s="50">
        <f t="shared" si="46"/>
        <v>5</v>
      </c>
      <c r="N146" s="40">
        <f t="shared" si="14"/>
        <v>1599</v>
      </c>
      <c r="O146" s="43">
        <f t="shared" si="15"/>
        <v>2076</v>
      </c>
    </row>
    <row r="147" spans="1:15" ht="22.95" customHeight="1" x14ac:dyDescent="0.3">
      <c r="A147" s="52" t="s">
        <v>48</v>
      </c>
      <c r="B147" s="44">
        <f t="shared" ref="B147:M147" si="47">B41+B42+B43+B44</f>
        <v>1006</v>
      </c>
      <c r="C147" s="39">
        <f t="shared" si="47"/>
        <v>335</v>
      </c>
      <c r="D147" s="39">
        <f t="shared" si="47"/>
        <v>99</v>
      </c>
      <c r="E147" s="39">
        <f t="shared" si="47"/>
        <v>29</v>
      </c>
      <c r="F147" s="39">
        <f t="shared" si="47"/>
        <v>145</v>
      </c>
      <c r="G147" s="50">
        <f t="shared" si="47"/>
        <v>1614</v>
      </c>
      <c r="H147" s="44">
        <f t="shared" si="47"/>
        <v>1</v>
      </c>
      <c r="I147" s="39">
        <f t="shared" si="47"/>
        <v>0</v>
      </c>
      <c r="J147" s="39">
        <f t="shared" si="47"/>
        <v>0</v>
      </c>
      <c r="K147" s="45">
        <f t="shared" si="47"/>
        <v>0</v>
      </c>
      <c r="L147" s="144">
        <f t="shared" si="47"/>
        <v>6</v>
      </c>
      <c r="M147" s="50">
        <f t="shared" si="47"/>
        <v>7</v>
      </c>
      <c r="N147" s="40">
        <f t="shared" si="14"/>
        <v>1621</v>
      </c>
      <c r="O147" s="43">
        <f t="shared" si="15"/>
        <v>2110</v>
      </c>
    </row>
    <row r="148" spans="1:15" ht="22.95" customHeight="1" x14ac:dyDescent="0.3">
      <c r="A148" s="52" t="s">
        <v>49</v>
      </c>
      <c r="B148" s="44">
        <f t="shared" ref="B148:M148" si="48">B42+B43+B44+B45</f>
        <v>1063</v>
      </c>
      <c r="C148" s="39">
        <f t="shared" si="48"/>
        <v>317</v>
      </c>
      <c r="D148" s="39">
        <f t="shared" si="48"/>
        <v>92</v>
      </c>
      <c r="E148" s="39">
        <f t="shared" si="48"/>
        <v>31</v>
      </c>
      <c r="F148" s="39">
        <f t="shared" si="48"/>
        <v>134</v>
      </c>
      <c r="G148" s="50">
        <f t="shared" si="48"/>
        <v>1637</v>
      </c>
      <c r="H148" s="44">
        <f t="shared" si="48"/>
        <v>1</v>
      </c>
      <c r="I148" s="39">
        <f t="shared" si="48"/>
        <v>0</v>
      </c>
      <c r="J148" s="39">
        <f t="shared" si="48"/>
        <v>0</v>
      </c>
      <c r="K148" s="45">
        <f t="shared" si="48"/>
        <v>0</v>
      </c>
      <c r="L148" s="144">
        <f t="shared" si="48"/>
        <v>9</v>
      </c>
      <c r="M148" s="50">
        <f t="shared" si="48"/>
        <v>10</v>
      </c>
      <c r="N148" s="40">
        <f t="shared" si="14"/>
        <v>1647</v>
      </c>
      <c r="O148" s="43">
        <f t="shared" si="15"/>
        <v>2128</v>
      </c>
    </row>
    <row r="149" spans="1:15" ht="22.95" customHeight="1" x14ac:dyDescent="0.3">
      <c r="A149" s="52" t="s">
        <v>50</v>
      </c>
      <c r="B149" s="44">
        <f t="shared" ref="B149:M149" si="49">B43+B44+B45+B46</f>
        <v>1034</v>
      </c>
      <c r="C149" s="39">
        <f t="shared" si="49"/>
        <v>366</v>
      </c>
      <c r="D149" s="39">
        <f t="shared" si="49"/>
        <v>92</v>
      </c>
      <c r="E149" s="39">
        <f t="shared" si="49"/>
        <v>36</v>
      </c>
      <c r="F149" s="39">
        <f t="shared" si="49"/>
        <v>143</v>
      </c>
      <c r="G149" s="50">
        <f t="shared" si="49"/>
        <v>1671</v>
      </c>
      <c r="H149" s="44">
        <f t="shared" si="49"/>
        <v>1</v>
      </c>
      <c r="I149" s="39">
        <f t="shared" si="49"/>
        <v>0</v>
      </c>
      <c r="J149" s="39">
        <f t="shared" si="49"/>
        <v>0</v>
      </c>
      <c r="K149" s="45">
        <f t="shared" si="49"/>
        <v>0</v>
      </c>
      <c r="L149" s="144">
        <f t="shared" si="49"/>
        <v>12</v>
      </c>
      <c r="M149" s="50">
        <f t="shared" si="49"/>
        <v>13</v>
      </c>
      <c r="N149" s="40">
        <f t="shared" si="14"/>
        <v>1684</v>
      </c>
      <c r="O149" s="43">
        <f t="shared" si="15"/>
        <v>2203</v>
      </c>
    </row>
    <row r="150" spans="1:15" ht="22.95" customHeight="1" x14ac:dyDescent="0.3">
      <c r="A150" s="52" t="s">
        <v>51</v>
      </c>
      <c r="B150" s="44">
        <f t="shared" ref="B150:M150" si="50">B44+B45+B46+B47</f>
        <v>1031</v>
      </c>
      <c r="C150" s="39">
        <f t="shared" si="50"/>
        <v>430</v>
      </c>
      <c r="D150" s="39">
        <f t="shared" si="50"/>
        <v>102</v>
      </c>
      <c r="E150" s="39">
        <f t="shared" si="50"/>
        <v>44</v>
      </c>
      <c r="F150" s="39">
        <f t="shared" si="50"/>
        <v>158</v>
      </c>
      <c r="G150" s="50">
        <f t="shared" si="50"/>
        <v>1765</v>
      </c>
      <c r="H150" s="44">
        <f t="shared" si="50"/>
        <v>0</v>
      </c>
      <c r="I150" s="39">
        <f t="shared" si="50"/>
        <v>0</v>
      </c>
      <c r="J150" s="39">
        <f t="shared" si="50"/>
        <v>0</v>
      </c>
      <c r="K150" s="45">
        <f t="shared" si="50"/>
        <v>0</v>
      </c>
      <c r="L150" s="144">
        <f t="shared" si="50"/>
        <v>11</v>
      </c>
      <c r="M150" s="50">
        <f t="shared" si="50"/>
        <v>11</v>
      </c>
      <c r="N150" s="40">
        <f t="shared" si="14"/>
        <v>1776</v>
      </c>
      <c r="O150" s="43">
        <f t="shared" si="15"/>
        <v>2330</v>
      </c>
    </row>
    <row r="151" spans="1:15" ht="22.95" customHeight="1" x14ac:dyDescent="0.3">
      <c r="A151" s="52" t="s">
        <v>52</v>
      </c>
      <c r="B151" s="44">
        <f t="shared" ref="B151:M151" si="51">B45+B46+B47+B48</f>
        <v>1009</v>
      </c>
      <c r="C151" s="39">
        <f t="shared" si="51"/>
        <v>464</v>
      </c>
      <c r="D151" s="39">
        <f t="shared" si="51"/>
        <v>114</v>
      </c>
      <c r="E151" s="39">
        <f t="shared" si="51"/>
        <v>46</v>
      </c>
      <c r="F151" s="39">
        <f t="shared" si="51"/>
        <v>162</v>
      </c>
      <c r="G151" s="50">
        <f t="shared" si="51"/>
        <v>1795</v>
      </c>
      <c r="H151" s="44">
        <f t="shared" si="51"/>
        <v>0</v>
      </c>
      <c r="I151" s="39">
        <f t="shared" si="51"/>
        <v>0</v>
      </c>
      <c r="J151" s="39">
        <f t="shared" si="51"/>
        <v>0</v>
      </c>
      <c r="K151" s="45">
        <f t="shared" si="51"/>
        <v>0</v>
      </c>
      <c r="L151" s="144">
        <f t="shared" si="51"/>
        <v>14</v>
      </c>
      <c r="M151" s="50">
        <f t="shared" si="51"/>
        <v>14</v>
      </c>
      <c r="N151" s="40">
        <f t="shared" si="14"/>
        <v>1809</v>
      </c>
      <c r="O151" s="43">
        <f t="shared" si="15"/>
        <v>2391</v>
      </c>
    </row>
    <row r="152" spans="1:15" ht="22.95" customHeight="1" x14ac:dyDescent="0.3">
      <c r="A152" s="52" t="s">
        <v>53</v>
      </c>
      <c r="B152" s="44">
        <f t="shared" ref="B152:M152" si="52">B46+B47+B48+B49</f>
        <v>980</v>
      </c>
      <c r="C152" s="39">
        <f t="shared" si="52"/>
        <v>526</v>
      </c>
      <c r="D152" s="39">
        <f t="shared" si="52"/>
        <v>118</v>
      </c>
      <c r="E152" s="39">
        <f t="shared" si="52"/>
        <v>44</v>
      </c>
      <c r="F152" s="39">
        <f t="shared" si="52"/>
        <v>193</v>
      </c>
      <c r="G152" s="50">
        <f t="shared" si="52"/>
        <v>1861</v>
      </c>
      <c r="H152" s="44">
        <f t="shared" si="52"/>
        <v>0</v>
      </c>
      <c r="I152" s="39">
        <f t="shared" si="52"/>
        <v>0</v>
      </c>
      <c r="J152" s="39">
        <f t="shared" si="52"/>
        <v>0</v>
      </c>
      <c r="K152" s="45">
        <f t="shared" si="52"/>
        <v>0</v>
      </c>
      <c r="L152" s="144">
        <f t="shared" si="52"/>
        <v>10</v>
      </c>
      <c r="M152" s="50">
        <f t="shared" si="52"/>
        <v>10</v>
      </c>
      <c r="N152" s="40">
        <f t="shared" si="14"/>
        <v>1871</v>
      </c>
      <c r="O152" s="43">
        <f t="shared" si="15"/>
        <v>2500.5</v>
      </c>
    </row>
    <row r="153" spans="1:15" ht="22.95" customHeight="1" x14ac:dyDescent="0.3">
      <c r="A153" s="52" t="s">
        <v>54</v>
      </c>
      <c r="B153" s="44">
        <f t="shared" ref="B153:M153" si="53">B47+B48+B49+B50</f>
        <v>988</v>
      </c>
      <c r="C153" s="39">
        <f t="shared" si="53"/>
        <v>524</v>
      </c>
      <c r="D153" s="39">
        <f t="shared" si="53"/>
        <v>114</v>
      </c>
      <c r="E153" s="39">
        <f t="shared" si="53"/>
        <v>43</v>
      </c>
      <c r="F153" s="39">
        <f t="shared" si="53"/>
        <v>179</v>
      </c>
      <c r="G153" s="50">
        <f t="shared" si="53"/>
        <v>1848</v>
      </c>
      <c r="H153" s="44">
        <f t="shared" si="53"/>
        <v>0</v>
      </c>
      <c r="I153" s="39">
        <f t="shared" si="53"/>
        <v>0</v>
      </c>
      <c r="J153" s="39">
        <f t="shared" si="53"/>
        <v>0</v>
      </c>
      <c r="K153" s="45">
        <f t="shared" si="53"/>
        <v>0</v>
      </c>
      <c r="L153" s="144">
        <f t="shared" si="53"/>
        <v>5</v>
      </c>
      <c r="M153" s="50">
        <f t="shared" si="53"/>
        <v>5</v>
      </c>
      <c r="N153" s="40">
        <f t="shared" si="14"/>
        <v>1853</v>
      </c>
      <c r="O153" s="43">
        <f t="shared" si="15"/>
        <v>2395.5</v>
      </c>
    </row>
    <row r="154" spans="1:15" s="138" customFormat="1" ht="22.95" customHeight="1" x14ac:dyDescent="0.3">
      <c r="A154" s="52" t="s">
        <v>55</v>
      </c>
      <c r="B154" s="122">
        <f t="shared" ref="B154:M154" si="54">B48+B49+B50+B51</f>
        <v>1016</v>
      </c>
      <c r="C154" s="123">
        <f t="shared" si="54"/>
        <v>540</v>
      </c>
      <c r="D154" s="123">
        <f t="shared" si="54"/>
        <v>119</v>
      </c>
      <c r="E154" s="123">
        <f t="shared" si="54"/>
        <v>32</v>
      </c>
      <c r="F154" s="123">
        <f t="shared" si="54"/>
        <v>169</v>
      </c>
      <c r="G154" s="125">
        <f t="shared" si="54"/>
        <v>1876</v>
      </c>
      <c r="H154" s="122">
        <f t="shared" si="54"/>
        <v>0</v>
      </c>
      <c r="I154" s="123">
        <f t="shared" si="54"/>
        <v>0</v>
      </c>
      <c r="J154" s="123">
        <f t="shared" si="54"/>
        <v>0</v>
      </c>
      <c r="K154" s="124">
        <f t="shared" si="54"/>
        <v>0</v>
      </c>
      <c r="L154" s="146">
        <f t="shared" si="54"/>
        <v>6</v>
      </c>
      <c r="M154" s="125">
        <f t="shared" si="54"/>
        <v>6</v>
      </c>
      <c r="N154" s="126">
        <f t="shared" si="14"/>
        <v>1882</v>
      </c>
      <c r="O154" s="43">
        <f t="shared" si="15"/>
        <v>2369</v>
      </c>
    </row>
    <row r="155" spans="1:15" ht="22.95" customHeight="1" x14ac:dyDescent="0.3">
      <c r="A155" s="52" t="s">
        <v>56</v>
      </c>
      <c r="B155" s="44">
        <f t="shared" ref="B155:M155" si="55">B49+B50+B51+B52</f>
        <v>1042</v>
      </c>
      <c r="C155" s="39">
        <f t="shared" si="55"/>
        <v>563</v>
      </c>
      <c r="D155" s="39">
        <f t="shared" si="55"/>
        <v>113</v>
      </c>
      <c r="E155" s="39">
        <f t="shared" si="55"/>
        <v>34</v>
      </c>
      <c r="F155" s="39">
        <f t="shared" si="55"/>
        <v>165</v>
      </c>
      <c r="G155" s="50">
        <f t="shared" si="55"/>
        <v>1917</v>
      </c>
      <c r="H155" s="44">
        <f t="shared" si="55"/>
        <v>0</v>
      </c>
      <c r="I155" s="39">
        <f t="shared" si="55"/>
        <v>0</v>
      </c>
      <c r="J155" s="39">
        <f t="shared" si="55"/>
        <v>0</v>
      </c>
      <c r="K155" s="45">
        <f t="shared" si="55"/>
        <v>1</v>
      </c>
      <c r="L155" s="144">
        <f t="shared" si="55"/>
        <v>1</v>
      </c>
      <c r="M155" s="50">
        <f t="shared" si="55"/>
        <v>2</v>
      </c>
      <c r="N155" s="40">
        <f t="shared" si="14"/>
        <v>1919</v>
      </c>
      <c r="O155" s="43">
        <f t="shared" si="15"/>
        <v>2349.5</v>
      </c>
    </row>
    <row r="156" spans="1:15" ht="22.95" customHeight="1" x14ac:dyDescent="0.3">
      <c r="A156" s="52" t="s">
        <v>57</v>
      </c>
      <c r="B156" s="44">
        <f t="shared" ref="B156:M156" si="56">B50+B51+B52+B53</f>
        <v>1060</v>
      </c>
      <c r="C156" s="39">
        <f t="shared" si="56"/>
        <v>540</v>
      </c>
      <c r="D156" s="39">
        <f t="shared" si="56"/>
        <v>100</v>
      </c>
      <c r="E156" s="39">
        <f t="shared" si="56"/>
        <v>31</v>
      </c>
      <c r="F156" s="39">
        <f t="shared" si="56"/>
        <v>178</v>
      </c>
      <c r="G156" s="50">
        <f t="shared" si="56"/>
        <v>1909</v>
      </c>
      <c r="H156" s="44">
        <f t="shared" si="56"/>
        <v>1</v>
      </c>
      <c r="I156" s="39">
        <f t="shared" si="56"/>
        <v>0</v>
      </c>
      <c r="J156" s="39">
        <f t="shared" si="56"/>
        <v>0</v>
      </c>
      <c r="K156" s="45">
        <f t="shared" si="56"/>
        <v>1</v>
      </c>
      <c r="L156" s="144">
        <f t="shared" si="56"/>
        <v>1</v>
      </c>
      <c r="M156" s="50">
        <f t="shared" si="56"/>
        <v>3</v>
      </c>
      <c r="N156" s="40">
        <f t="shared" si="14"/>
        <v>1912</v>
      </c>
      <c r="O156" s="43">
        <f t="shared" si="15"/>
        <v>2386.5</v>
      </c>
    </row>
    <row r="157" spans="1:15" ht="22.95" customHeight="1" x14ac:dyDescent="0.3">
      <c r="A157" s="52" t="s">
        <v>58</v>
      </c>
      <c r="B157" s="44">
        <f t="shared" ref="B157:M157" si="57">B51+B52+B53+B54</f>
        <v>1086</v>
      </c>
      <c r="C157" s="39">
        <f t="shared" si="57"/>
        <v>524</v>
      </c>
      <c r="D157" s="39">
        <f t="shared" si="57"/>
        <v>89</v>
      </c>
      <c r="E157" s="39">
        <f t="shared" si="57"/>
        <v>31</v>
      </c>
      <c r="F157" s="39">
        <f t="shared" si="57"/>
        <v>188</v>
      </c>
      <c r="G157" s="50">
        <f t="shared" si="57"/>
        <v>1918</v>
      </c>
      <c r="H157" s="44">
        <f t="shared" si="57"/>
        <v>2</v>
      </c>
      <c r="I157" s="39">
        <f t="shared" si="57"/>
        <v>0</v>
      </c>
      <c r="J157" s="39">
        <f t="shared" si="57"/>
        <v>0</v>
      </c>
      <c r="K157" s="45">
        <f t="shared" si="57"/>
        <v>1</v>
      </c>
      <c r="L157" s="144">
        <f t="shared" si="57"/>
        <v>4</v>
      </c>
      <c r="M157" s="50">
        <f t="shared" si="57"/>
        <v>7</v>
      </c>
      <c r="N157" s="40">
        <f t="shared" si="14"/>
        <v>1925</v>
      </c>
      <c r="O157" s="43">
        <f t="shared" si="15"/>
        <v>2457.5</v>
      </c>
    </row>
    <row r="158" spans="1:15" ht="22.95" customHeight="1" x14ac:dyDescent="0.3">
      <c r="A158" s="52" t="s">
        <v>59</v>
      </c>
      <c r="B158" s="44">
        <f t="shared" ref="B158:M158" si="58">B52+B53+B54+B55</f>
        <v>1030</v>
      </c>
      <c r="C158" s="39">
        <f t="shared" si="58"/>
        <v>458</v>
      </c>
      <c r="D158" s="39">
        <f t="shared" si="58"/>
        <v>83</v>
      </c>
      <c r="E158" s="39">
        <f t="shared" si="58"/>
        <v>30</v>
      </c>
      <c r="F158" s="39">
        <f t="shared" si="58"/>
        <v>191</v>
      </c>
      <c r="G158" s="50">
        <f t="shared" si="58"/>
        <v>1792</v>
      </c>
      <c r="H158" s="44">
        <f t="shared" si="58"/>
        <v>2</v>
      </c>
      <c r="I158" s="39">
        <f t="shared" si="58"/>
        <v>0</v>
      </c>
      <c r="J158" s="39">
        <f t="shared" si="58"/>
        <v>0</v>
      </c>
      <c r="K158" s="45">
        <f t="shared" si="58"/>
        <v>1</v>
      </c>
      <c r="L158" s="144">
        <f t="shared" si="58"/>
        <v>5</v>
      </c>
      <c r="M158" s="50">
        <f t="shared" si="58"/>
        <v>8</v>
      </c>
      <c r="N158" s="40">
        <f t="shared" si="14"/>
        <v>1800</v>
      </c>
      <c r="O158" s="43">
        <f t="shared" si="15"/>
        <v>2378</v>
      </c>
    </row>
    <row r="159" spans="1:15" ht="22.95" customHeight="1" x14ac:dyDescent="0.3">
      <c r="A159" s="52" t="s">
        <v>77</v>
      </c>
      <c r="B159" s="44">
        <f t="shared" ref="B159:M159" si="59">B53+B54+B55+B56</f>
        <v>986</v>
      </c>
      <c r="C159" s="39">
        <f t="shared" si="59"/>
        <v>404</v>
      </c>
      <c r="D159" s="39">
        <f t="shared" si="59"/>
        <v>76</v>
      </c>
      <c r="E159" s="39">
        <f t="shared" si="59"/>
        <v>32</v>
      </c>
      <c r="F159" s="39">
        <f t="shared" si="59"/>
        <v>194</v>
      </c>
      <c r="G159" s="50">
        <f t="shared" si="59"/>
        <v>1692</v>
      </c>
      <c r="H159" s="44">
        <f t="shared" si="59"/>
        <v>2</v>
      </c>
      <c r="I159" s="39">
        <f t="shared" si="59"/>
        <v>0</v>
      </c>
      <c r="J159" s="39">
        <f t="shared" si="59"/>
        <v>0</v>
      </c>
      <c r="K159" s="45">
        <f t="shared" si="59"/>
        <v>0</v>
      </c>
      <c r="L159" s="144">
        <f t="shared" si="59"/>
        <v>5</v>
      </c>
      <c r="M159" s="50">
        <f t="shared" si="59"/>
        <v>7</v>
      </c>
      <c r="N159" s="40">
        <f t="shared" si="14"/>
        <v>1699</v>
      </c>
      <c r="O159" s="43">
        <f t="shared" si="15"/>
        <v>2312</v>
      </c>
    </row>
    <row r="160" spans="1:15" ht="22.95" customHeight="1" x14ac:dyDescent="0.3">
      <c r="A160" s="52" t="s">
        <v>75</v>
      </c>
      <c r="B160" s="44">
        <f t="shared" ref="B160:M160" si="60">B54+B55+B56+B57</f>
        <v>866</v>
      </c>
      <c r="C160" s="39">
        <f t="shared" si="60"/>
        <v>362</v>
      </c>
      <c r="D160" s="39">
        <f t="shared" si="60"/>
        <v>74</v>
      </c>
      <c r="E160" s="39">
        <f t="shared" si="60"/>
        <v>38</v>
      </c>
      <c r="F160" s="39">
        <f t="shared" si="60"/>
        <v>162</v>
      </c>
      <c r="G160" s="50">
        <f t="shared" si="60"/>
        <v>1502</v>
      </c>
      <c r="H160" s="44">
        <f t="shared" si="60"/>
        <v>1</v>
      </c>
      <c r="I160" s="39">
        <f t="shared" si="60"/>
        <v>0</v>
      </c>
      <c r="J160" s="39">
        <f t="shared" si="60"/>
        <v>0</v>
      </c>
      <c r="K160" s="45">
        <f t="shared" si="60"/>
        <v>0</v>
      </c>
      <c r="L160" s="144">
        <f t="shared" si="60"/>
        <v>5</v>
      </c>
      <c r="M160" s="50">
        <f t="shared" si="60"/>
        <v>6</v>
      </c>
      <c r="N160" s="40">
        <f t="shared" si="14"/>
        <v>1508</v>
      </c>
      <c r="O160" s="43">
        <f t="shared" si="15"/>
        <v>2041.5</v>
      </c>
    </row>
    <row r="161" spans="1:15" ht="22.95" customHeight="1" x14ac:dyDescent="0.3">
      <c r="A161" s="52" t="s">
        <v>76</v>
      </c>
      <c r="B161" s="44">
        <f t="shared" ref="B161:M161" si="61">B55+B56+B57+B58</f>
        <v>765</v>
      </c>
      <c r="C161" s="39">
        <f t="shared" si="61"/>
        <v>317</v>
      </c>
      <c r="D161" s="39">
        <f t="shared" si="61"/>
        <v>68</v>
      </c>
      <c r="E161" s="39">
        <f t="shared" si="61"/>
        <v>35</v>
      </c>
      <c r="F161" s="39">
        <f t="shared" si="61"/>
        <v>167</v>
      </c>
      <c r="G161" s="50">
        <f t="shared" si="61"/>
        <v>1352</v>
      </c>
      <c r="H161" s="44">
        <f t="shared" si="61"/>
        <v>0</v>
      </c>
      <c r="I161" s="39">
        <f t="shared" si="61"/>
        <v>0</v>
      </c>
      <c r="J161" s="39">
        <f t="shared" si="61"/>
        <v>0</v>
      </c>
      <c r="K161" s="45">
        <f t="shared" si="61"/>
        <v>0</v>
      </c>
      <c r="L161" s="144">
        <f t="shared" si="61"/>
        <v>2</v>
      </c>
      <c r="M161" s="50">
        <f t="shared" si="61"/>
        <v>2</v>
      </c>
      <c r="N161" s="40">
        <f t="shared" si="14"/>
        <v>1354</v>
      </c>
      <c r="O161" s="43">
        <f t="shared" si="15"/>
        <v>1898</v>
      </c>
    </row>
    <row r="162" spans="1:15" ht="22.95" customHeight="1" x14ac:dyDescent="0.3">
      <c r="A162" s="52" t="s">
        <v>70</v>
      </c>
      <c r="B162" s="44">
        <f t="shared" ref="B162:M162" si="62">B56+B57+B58+B59</f>
        <v>674</v>
      </c>
      <c r="C162" s="39">
        <f t="shared" si="62"/>
        <v>301</v>
      </c>
      <c r="D162" s="39">
        <f t="shared" si="62"/>
        <v>57</v>
      </c>
      <c r="E162" s="39">
        <f t="shared" si="62"/>
        <v>35</v>
      </c>
      <c r="F162" s="39">
        <f t="shared" si="62"/>
        <v>177</v>
      </c>
      <c r="G162" s="50">
        <f t="shared" si="62"/>
        <v>1244</v>
      </c>
      <c r="H162" s="44">
        <f t="shared" si="62"/>
        <v>0</v>
      </c>
      <c r="I162" s="39">
        <f t="shared" si="62"/>
        <v>0</v>
      </c>
      <c r="J162" s="39">
        <f t="shared" si="62"/>
        <v>0</v>
      </c>
      <c r="K162" s="45">
        <f t="shared" si="62"/>
        <v>0</v>
      </c>
      <c r="L162" s="144">
        <f t="shared" si="62"/>
        <v>0</v>
      </c>
      <c r="M162" s="50">
        <f t="shared" si="62"/>
        <v>0</v>
      </c>
      <c r="N162" s="40">
        <f t="shared" si="14"/>
        <v>1244</v>
      </c>
      <c r="O162" s="43">
        <f t="shared" si="15"/>
        <v>1811.5</v>
      </c>
    </row>
    <row r="163" spans="1:15" ht="22.95" customHeight="1" x14ac:dyDescent="0.3">
      <c r="A163" s="52" t="s">
        <v>71</v>
      </c>
      <c r="B163" s="44">
        <f t="shared" ref="B163:M163" si="63">B57+B58+B59+B60</f>
        <v>583</v>
      </c>
      <c r="C163" s="39">
        <f t="shared" si="63"/>
        <v>258</v>
      </c>
      <c r="D163" s="39">
        <f t="shared" si="63"/>
        <v>59</v>
      </c>
      <c r="E163" s="39">
        <f t="shared" si="63"/>
        <v>27</v>
      </c>
      <c r="F163" s="39">
        <f t="shared" si="63"/>
        <v>188</v>
      </c>
      <c r="G163" s="50">
        <f t="shared" si="63"/>
        <v>1115</v>
      </c>
      <c r="H163" s="44">
        <f t="shared" si="63"/>
        <v>0</v>
      </c>
      <c r="I163" s="39">
        <f t="shared" si="63"/>
        <v>0</v>
      </c>
      <c r="J163" s="39">
        <f t="shared" si="63"/>
        <v>0</v>
      </c>
      <c r="K163" s="45">
        <f t="shared" si="63"/>
        <v>0</v>
      </c>
      <c r="L163" s="144">
        <f t="shared" si="63"/>
        <v>0</v>
      </c>
      <c r="M163" s="50">
        <f t="shared" si="63"/>
        <v>0</v>
      </c>
      <c r="N163" s="40">
        <f t="shared" si="14"/>
        <v>1115</v>
      </c>
      <c r="O163" s="43">
        <f t="shared" si="15"/>
        <v>1727.5</v>
      </c>
    </row>
    <row r="164" spans="1:15" ht="22.95" customHeight="1" x14ac:dyDescent="0.3">
      <c r="A164" s="52" t="s">
        <v>72</v>
      </c>
      <c r="B164" s="44">
        <f t="shared" ref="B164:M164" si="64">B58+B59+B60+B61</f>
        <v>535</v>
      </c>
      <c r="C164" s="39">
        <f t="shared" si="64"/>
        <v>216</v>
      </c>
      <c r="D164" s="39">
        <f t="shared" si="64"/>
        <v>58</v>
      </c>
      <c r="E164" s="39">
        <f t="shared" si="64"/>
        <v>24</v>
      </c>
      <c r="F164" s="39">
        <f t="shared" si="64"/>
        <v>211</v>
      </c>
      <c r="G164" s="50">
        <f t="shared" si="64"/>
        <v>1044</v>
      </c>
      <c r="H164" s="44">
        <f t="shared" si="64"/>
        <v>0</v>
      </c>
      <c r="I164" s="39">
        <f t="shared" si="64"/>
        <v>0</v>
      </c>
      <c r="J164" s="39">
        <f t="shared" si="64"/>
        <v>0</v>
      </c>
      <c r="K164" s="45">
        <f t="shared" si="64"/>
        <v>0</v>
      </c>
      <c r="L164" s="144">
        <f t="shared" si="64"/>
        <v>0</v>
      </c>
      <c r="M164" s="50">
        <f t="shared" si="64"/>
        <v>0</v>
      </c>
      <c r="N164" s="40">
        <f t="shared" si="14"/>
        <v>1044</v>
      </c>
      <c r="O164" s="43">
        <f t="shared" si="15"/>
        <v>1751.5</v>
      </c>
    </row>
    <row r="165" spans="1:15" ht="22.95" customHeight="1" x14ac:dyDescent="0.3">
      <c r="A165" s="52" t="s">
        <v>73</v>
      </c>
      <c r="B165" s="44">
        <f t="shared" ref="B165:M165" si="65">B59+B60+B61+B62</f>
        <v>491</v>
      </c>
      <c r="C165" s="39">
        <f t="shared" si="65"/>
        <v>188</v>
      </c>
      <c r="D165" s="39">
        <f t="shared" si="65"/>
        <v>66</v>
      </c>
      <c r="E165" s="39">
        <f t="shared" si="65"/>
        <v>22</v>
      </c>
      <c r="F165" s="39">
        <f t="shared" si="65"/>
        <v>235</v>
      </c>
      <c r="G165" s="50">
        <f t="shared" si="65"/>
        <v>1002</v>
      </c>
      <c r="H165" s="44">
        <f t="shared" si="65"/>
        <v>0</v>
      </c>
      <c r="I165" s="39">
        <f t="shared" si="65"/>
        <v>0</v>
      </c>
      <c r="J165" s="39">
        <f t="shared" si="65"/>
        <v>0</v>
      </c>
      <c r="K165" s="45">
        <f t="shared" si="65"/>
        <v>0</v>
      </c>
      <c r="L165" s="144">
        <f t="shared" si="65"/>
        <v>0</v>
      </c>
      <c r="M165" s="50">
        <f t="shared" si="65"/>
        <v>0</v>
      </c>
      <c r="N165" s="40">
        <f t="shared" si="14"/>
        <v>1002</v>
      </c>
      <c r="O165" s="43">
        <f t="shared" si="15"/>
        <v>1807.5</v>
      </c>
    </row>
    <row r="166" spans="1:15" ht="22.95" customHeight="1" x14ac:dyDescent="0.3">
      <c r="A166" s="52" t="s">
        <v>74</v>
      </c>
      <c r="B166" s="44">
        <f t="shared" ref="B166:M166" si="66">B60+B61+B62+B63</f>
        <v>457</v>
      </c>
      <c r="C166" s="39">
        <f t="shared" si="66"/>
        <v>165</v>
      </c>
      <c r="D166" s="39">
        <f t="shared" si="66"/>
        <v>69</v>
      </c>
      <c r="E166" s="39">
        <f t="shared" si="66"/>
        <v>18</v>
      </c>
      <c r="F166" s="39">
        <f t="shared" si="66"/>
        <v>224</v>
      </c>
      <c r="G166" s="50">
        <f t="shared" si="66"/>
        <v>933</v>
      </c>
      <c r="H166" s="44">
        <f t="shared" si="66"/>
        <v>0</v>
      </c>
      <c r="I166" s="39">
        <f t="shared" si="66"/>
        <v>0</v>
      </c>
      <c r="J166" s="39">
        <f t="shared" si="66"/>
        <v>0</v>
      </c>
      <c r="K166" s="45">
        <f t="shared" si="66"/>
        <v>0</v>
      </c>
      <c r="L166" s="144">
        <f t="shared" si="66"/>
        <v>0</v>
      </c>
      <c r="M166" s="50">
        <f t="shared" si="66"/>
        <v>0</v>
      </c>
      <c r="N166" s="40">
        <f t="shared" si="14"/>
        <v>933</v>
      </c>
      <c r="O166" s="43">
        <f t="shared" si="15"/>
        <v>1705</v>
      </c>
    </row>
    <row r="167" spans="1:15" ht="22.95" customHeight="1" x14ac:dyDescent="0.3">
      <c r="A167" s="52" t="s">
        <v>262</v>
      </c>
      <c r="B167" s="44">
        <f t="shared" ref="B167:M167" si="67">B61+B62+B63+B64</f>
        <v>436</v>
      </c>
      <c r="C167" s="39">
        <f t="shared" si="67"/>
        <v>139</v>
      </c>
      <c r="D167" s="39">
        <f t="shared" si="67"/>
        <v>73</v>
      </c>
      <c r="E167" s="39">
        <f t="shared" si="67"/>
        <v>25</v>
      </c>
      <c r="F167" s="39">
        <f t="shared" si="67"/>
        <v>224</v>
      </c>
      <c r="G167" s="50">
        <f t="shared" si="67"/>
        <v>897</v>
      </c>
      <c r="H167" s="44">
        <f t="shared" si="67"/>
        <v>0</v>
      </c>
      <c r="I167" s="39">
        <f t="shared" si="67"/>
        <v>0</v>
      </c>
      <c r="J167" s="39">
        <f t="shared" si="67"/>
        <v>0</v>
      </c>
      <c r="K167" s="45">
        <f t="shared" si="67"/>
        <v>0</v>
      </c>
      <c r="L167" s="144">
        <f t="shared" si="67"/>
        <v>0</v>
      </c>
      <c r="M167" s="50">
        <f t="shared" si="67"/>
        <v>0</v>
      </c>
      <c r="N167" s="40">
        <f t="shared" si="14"/>
        <v>897</v>
      </c>
      <c r="O167" s="43">
        <f t="shared" si="15"/>
        <v>1698</v>
      </c>
    </row>
    <row r="168" spans="1:15" ht="22.95" customHeight="1" x14ac:dyDescent="0.3">
      <c r="A168" s="52" t="s">
        <v>263</v>
      </c>
      <c r="B168" s="44">
        <f t="shared" ref="B168:M168" si="68">B62+B63+B64+B65</f>
        <v>417</v>
      </c>
      <c r="C168" s="39">
        <f t="shared" si="68"/>
        <v>127</v>
      </c>
      <c r="D168" s="39">
        <f t="shared" si="68"/>
        <v>80</v>
      </c>
      <c r="E168" s="39">
        <f t="shared" si="68"/>
        <v>22</v>
      </c>
      <c r="F168" s="39">
        <f t="shared" si="68"/>
        <v>214</v>
      </c>
      <c r="G168" s="50">
        <f t="shared" si="68"/>
        <v>860</v>
      </c>
      <c r="H168" s="44">
        <f t="shared" si="68"/>
        <v>0</v>
      </c>
      <c r="I168" s="39">
        <f t="shared" si="68"/>
        <v>0</v>
      </c>
      <c r="J168" s="39">
        <f t="shared" si="68"/>
        <v>0</v>
      </c>
      <c r="K168" s="45">
        <f t="shared" si="68"/>
        <v>0</v>
      </c>
      <c r="L168" s="144">
        <f t="shared" si="68"/>
        <v>0</v>
      </c>
      <c r="M168" s="50">
        <f t="shared" si="68"/>
        <v>0</v>
      </c>
      <c r="N168" s="40">
        <f t="shared" si="14"/>
        <v>860</v>
      </c>
      <c r="O168" s="43">
        <f t="shared" si="15"/>
        <v>1629.5</v>
      </c>
    </row>
    <row r="169" spans="1:15" ht="22.95" customHeight="1" x14ac:dyDescent="0.3">
      <c r="A169" s="52" t="s">
        <v>264</v>
      </c>
      <c r="B169" s="44">
        <f t="shared" ref="B169:M169" si="69">B63+B64+B65+B66</f>
        <v>363</v>
      </c>
      <c r="C169" s="39">
        <f t="shared" si="69"/>
        <v>109</v>
      </c>
      <c r="D169" s="39">
        <f t="shared" si="69"/>
        <v>80</v>
      </c>
      <c r="E169" s="39">
        <f t="shared" si="69"/>
        <v>26</v>
      </c>
      <c r="F169" s="39">
        <f t="shared" si="69"/>
        <v>183</v>
      </c>
      <c r="G169" s="50">
        <f t="shared" si="69"/>
        <v>761</v>
      </c>
      <c r="H169" s="44">
        <f t="shared" si="69"/>
        <v>0</v>
      </c>
      <c r="I169" s="39">
        <f t="shared" si="69"/>
        <v>0</v>
      </c>
      <c r="J169" s="39">
        <f t="shared" si="69"/>
        <v>0</v>
      </c>
      <c r="K169" s="45">
        <f t="shared" si="69"/>
        <v>0</v>
      </c>
      <c r="L169" s="144">
        <f t="shared" si="69"/>
        <v>0</v>
      </c>
      <c r="M169" s="50">
        <f t="shared" si="69"/>
        <v>0</v>
      </c>
      <c r="N169" s="40">
        <f t="shared" si="14"/>
        <v>761</v>
      </c>
      <c r="O169" s="43">
        <f t="shared" si="15"/>
        <v>1439</v>
      </c>
    </row>
    <row r="170" spans="1:15" ht="22.95" customHeight="1" x14ac:dyDescent="0.3">
      <c r="A170" s="52" t="s">
        <v>265</v>
      </c>
      <c r="B170" s="44">
        <f t="shared" ref="B170:M170" si="70">B64+B65+B66+B67</f>
        <v>324</v>
      </c>
      <c r="C170" s="39">
        <f t="shared" si="70"/>
        <v>90</v>
      </c>
      <c r="D170" s="39">
        <f t="shared" si="70"/>
        <v>84</v>
      </c>
      <c r="E170" s="39">
        <f t="shared" si="70"/>
        <v>29</v>
      </c>
      <c r="F170" s="39">
        <f t="shared" si="70"/>
        <v>173</v>
      </c>
      <c r="G170" s="50">
        <f t="shared" si="70"/>
        <v>700</v>
      </c>
      <c r="H170" s="44">
        <f t="shared" si="70"/>
        <v>0</v>
      </c>
      <c r="I170" s="39">
        <f t="shared" si="70"/>
        <v>0</v>
      </c>
      <c r="J170" s="39">
        <f t="shared" si="70"/>
        <v>0</v>
      </c>
      <c r="K170" s="45">
        <f t="shared" si="70"/>
        <v>0</v>
      </c>
      <c r="L170" s="144">
        <f t="shared" si="70"/>
        <v>0</v>
      </c>
      <c r="M170" s="50">
        <f t="shared" si="70"/>
        <v>0</v>
      </c>
      <c r="N170" s="40">
        <f t="shared" si="14"/>
        <v>700</v>
      </c>
      <c r="O170" s="43">
        <f t="shared" si="15"/>
        <v>1360.5</v>
      </c>
    </row>
    <row r="171" spans="1:15" ht="22.95" customHeight="1" x14ac:dyDescent="0.3">
      <c r="A171" s="52" t="s">
        <v>266</v>
      </c>
      <c r="B171" s="44">
        <f t="shared" ref="B171:M171" si="71">B65+B66+B67+B68</f>
        <v>281</v>
      </c>
      <c r="C171" s="39">
        <f t="shared" si="71"/>
        <v>85</v>
      </c>
      <c r="D171" s="39">
        <f t="shared" si="71"/>
        <v>72</v>
      </c>
      <c r="E171" s="39">
        <f t="shared" si="71"/>
        <v>29</v>
      </c>
      <c r="F171" s="39">
        <f t="shared" si="71"/>
        <v>170</v>
      </c>
      <c r="G171" s="50">
        <f t="shared" si="71"/>
        <v>637</v>
      </c>
      <c r="H171" s="44">
        <f t="shared" si="71"/>
        <v>0</v>
      </c>
      <c r="I171" s="39">
        <f t="shared" si="71"/>
        <v>0</v>
      </c>
      <c r="J171" s="39">
        <f t="shared" si="71"/>
        <v>0</v>
      </c>
      <c r="K171" s="45">
        <f t="shared" si="71"/>
        <v>0</v>
      </c>
      <c r="L171" s="144">
        <f t="shared" si="71"/>
        <v>0</v>
      </c>
      <c r="M171" s="50">
        <f t="shared" si="71"/>
        <v>0</v>
      </c>
      <c r="N171" s="40">
        <f t="shared" si="14"/>
        <v>637</v>
      </c>
      <c r="O171" s="43">
        <f t="shared" si="15"/>
        <v>1283.5</v>
      </c>
    </row>
    <row r="172" spans="1:15" ht="22.95" customHeight="1" x14ac:dyDescent="0.3">
      <c r="A172" s="52" t="s">
        <v>267</v>
      </c>
      <c r="B172" s="44">
        <f t="shared" ref="B172:M172" si="72">B66+B67+B68+B69</f>
        <v>247</v>
      </c>
      <c r="C172" s="39">
        <f t="shared" si="72"/>
        <v>77</v>
      </c>
      <c r="D172" s="39">
        <f t="shared" si="72"/>
        <v>58</v>
      </c>
      <c r="E172" s="39">
        <f t="shared" si="72"/>
        <v>30</v>
      </c>
      <c r="F172" s="39">
        <f t="shared" si="72"/>
        <v>160</v>
      </c>
      <c r="G172" s="50">
        <f t="shared" si="72"/>
        <v>572</v>
      </c>
      <c r="H172" s="44">
        <f t="shared" si="72"/>
        <v>0</v>
      </c>
      <c r="I172" s="39">
        <f t="shared" si="72"/>
        <v>0</v>
      </c>
      <c r="J172" s="39">
        <f t="shared" si="72"/>
        <v>0</v>
      </c>
      <c r="K172" s="45">
        <f t="shared" si="72"/>
        <v>0</v>
      </c>
      <c r="L172" s="144">
        <f t="shared" si="72"/>
        <v>0</v>
      </c>
      <c r="M172" s="50">
        <f t="shared" si="72"/>
        <v>0</v>
      </c>
      <c r="N172" s="40">
        <f t="shared" si="14"/>
        <v>572</v>
      </c>
      <c r="O172" s="43">
        <f t="shared" si="15"/>
        <v>1182.5</v>
      </c>
    </row>
    <row r="173" spans="1:15" ht="22.95" customHeight="1" x14ac:dyDescent="0.3">
      <c r="A173" s="52" t="s">
        <v>268</v>
      </c>
      <c r="B173" s="44">
        <f t="shared" ref="B173:M173" si="73">B67+B68+B69+B70</f>
        <v>218</v>
      </c>
      <c r="C173" s="39">
        <f t="shared" si="73"/>
        <v>66</v>
      </c>
      <c r="D173" s="39">
        <f t="shared" si="73"/>
        <v>56</v>
      </c>
      <c r="E173" s="39">
        <f t="shared" si="73"/>
        <v>27</v>
      </c>
      <c r="F173" s="39">
        <f t="shared" si="73"/>
        <v>153</v>
      </c>
      <c r="G173" s="50">
        <f t="shared" si="73"/>
        <v>520</v>
      </c>
      <c r="H173" s="44">
        <f t="shared" si="73"/>
        <v>0</v>
      </c>
      <c r="I173" s="39">
        <f t="shared" si="73"/>
        <v>0</v>
      </c>
      <c r="J173" s="39">
        <f t="shared" si="73"/>
        <v>0</v>
      </c>
      <c r="K173" s="45">
        <f t="shared" si="73"/>
        <v>0</v>
      </c>
      <c r="L173" s="144">
        <f t="shared" si="73"/>
        <v>4</v>
      </c>
      <c r="M173" s="50">
        <f t="shared" si="73"/>
        <v>4</v>
      </c>
      <c r="N173" s="40">
        <f t="shared" si="14"/>
        <v>524</v>
      </c>
      <c r="O173" s="43">
        <f t="shared" si="15"/>
        <v>1136.5</v>
      </c>
    </row>
    <row r="174" spans="1:15" ht="22.95" customHeight="1" x14ac:dyDescent="0.3">
      <c r="A174" s="52" t="s">
        <v>269</v>
      </c>
      <c r="B174" s="44">
        <f t="shared" ref="B174:M174" si="74">B68+B69+B70+B71</f>
        <v>179</v>
      </c>
      <c r="C174" s="39">
        <f t="shared" si="74"/>
        <v>58</v>
      </c>
      <c r="D174" s="39">
        <f t="shared" si="74"/>
        <v>47</v>
      </c>
      <c r="E174" s="39">
        <f t="shared" si="74"/>
        <v>25</v>
      </c>
      <c r="F174" s="39">
        <f t="shared" si="74"/>
        <v>154</v>
      </c>
      <c r="G174" s="50">
        <f t="shared" si="74"/>
        <v>463</v>
      </c>
      <c r="H174" s="44">
        <f t="shared" si="74"/>
        <v>0</v>
      </c>
      <c r="I174" s="39">
        <f t="shared" si="74"/>
        <v>0</v>
      </c>
      <c r="J174" s="39">
        <f t="shared" si="74"/>
        <v>0</v>
      </c>
      <c r="K174" s="45">
        <f t="shared" si="74"/>
        <v>0</v>
      </c>
      <c r="L174" s="144">
        <f t="shared" si="74"/>
        <v>7</v>
      </c>
      <c r="M174" s="50">
        <f t="shared" si="74"/>
        <v>7</v>
      </c>
      <c r="N174" s="40">
        <f t="shared" si="14"/>
        <v>470</v>
      </c>
      <c r="O174" s="43">
        <f t="shared" si="15"/>
        <v>1102.5</v>
      </c>
    </row>
    <row r="175" spans="1:15" ht="22.95" customHeight="1" x14ac:dyDescent="0.3">
      <c r="A175" s="54" t="s">
        <v>241</v>
      </c>
      <c r="B175" s="44">
        <f t="shared" ref="B175:M175" si="75">B69+B70+B71+B72</f>
        <v>150</v>
      </c>
      <c r="C175" s="39">
        <f t="shared" si="75"/>
        <v>48</v>
      </c>
      <c r="D175" s="39">
        <f t="shared" si="75"/>
        <v>54</v>
      </c>
      <c r="E175" s="39">
        <f t="shared" si="75"/>
        <v>20</v>
      </c>
      <c r="F175" s="39">
        <f t="shared" si="75"/>
        <v>137</v>
      </c>
      <c r="G175" s="50">
        <f t="shared" si="75"/>
        <v>409</v>
      </c>
      <c r="H175" s="44">
        <f t="shared" si="75"/>
        <v>0</v>
      </c>
      <c r="I175" s="39">
        <f t="shared" si="75"/>
        <v>0</v>
      </c>
      <c r="J175" s="39">
        <f t="shared" si="75"/>
        <v>0</v>
      </c>
      <c r="K175" s="45">
        <f t="shared" si="75"/>
        <v>0</v>
      </c>
      <c r="L175" s="144">
        <f t="shared" si="75"/>
        <v>10</v>
      </c>
      <c r="M175" s="50">
        <f t="shared" si="75"/>
        <v>10</v>
      </c>
      <c r="N175" s="40">
        <f t="shared" si="14"/>
        <v>419</v>
      </c>
      <c r="O175" s="43">
        <f t="shared" si="15"/>
        <v>1011.5</v>
      </c>
    </row>
    <row r="176" spans="1:15" ht="22.95" customHeight="1" x14ac:dyDescent="0.3">
      <c r="A176" s="52" t="s">
        <v>242</v>
      </c>
      <c r="B176" s="44">
        <f t="shared" ref="B176:M176" si="76">B70+B71+B72+B73</f>
        <v>127</v>
      </c>
      <c r="C176" s="39">
        <f t="shared" si="76"/>
        <v>32</v>
      </c>
      <c r="D176" s="39">
        <f t="shared" si="76"/>
        <v>65</v>
      </c>
      <c r="E176" s="39">
        <f t="shared" si="76"/>
        <v>20</v>
      </c>
      <c r="F176" s="39">
        <f t="shared" si="76"/>
        <v>122</v>
      </c>
      <c r="G176" s="50">
        <f t="shared" si="76"/>
        <v>366</v>
      </c>
      <c r="H176" s="44">
        <f t="shared" si="76"/>
        <v>0</v>
      </c>
      <c r="I176" s="39">
        <f t="shared" si="76"/>
        <v>0</v>
      </c>
      <c r="J176" s="39">
        <f t="shared" si="76"/>
        <v>0</v>
      </c>
      <c r="K176" s="45">
        <f t="shared" si="76"/>
        <v>0</v>
      </c>
      <c r="L176" s="144">
        <f t="shared" si="76"/>
        <v>10</v>
      </c>
      <c r="M176" s="50">
        <f t="shared" si="76"/>
        <v>10</v>
      </c>
      <c r="N176" s="40">
        <f t="shared" si="14"/>
        <v>376</v>
      </c>
      <c r="O176" s="43">
        <f t="shared" si="15"/>
        <v>929.5</v>
      </c>
    </row>
    <row r="177" spans="1:15" ht="22.95" customHeight="1" x14ac:dyDescent="0.3">
      <c r="A177" s="52" t="s">
        <v>243</v>
      </c>
      <c r="B177" s="44">
        <f t="shared" ref="B177:M177" si="77">B71+B72+B73+B74</f>
        <v>118</v>
      </c>
      <c r="C177" s="39">
        <f t="shared" si="77"/>
        <v>24</v>
      </c>
      <c r="D177" s="39">
        <f t="shared" si="77"/>
        <v>64</v>
      </c>
      <c r="E177" s="39">
        <f t="shared" si="77"/>
        <v>21</v>
      </c>
      <c r="F177" s="39">
        <f t="shared" si="77"/>
        <v>113</v>
      </c>
      <c r="G177" s="50">
        <f t="shared" si="77"/>
        <v>340</v>
      </c>
      <c r="H177" s="44">
        <f t="shared" si="77"/>
        <v>0</v>
      </c>
      <c r="I177" s="39">
        <f t="shared" si="77"/>
        <v>0</v>
      </c>
      <c r="J177" s="39">
        <f t="shared" si="77"/>
        <v>0</v>
      </c>
      <c r="K177" s="45">
        <f t="shared" si="77"/>
        <v>0</v>
      </c>
      <c r="L177" s="144">
        <f t="shared" si="77"/>
        <v>6</v>
      </c>
      <c r="M177" s="50">
        <f t="shared" si="77"/>
        <v>6</v>
      </c>
      <c r="N177" s="40">
        <f t="shared" si="14"/>
        <v>346</v>
      </c>
      <c r="O177" s="43">
        <f t="shared" si="15"/>
        <v>845.5</v>
      </c>
    </row>
    <row r="178" spans="1:15" ht="22.95" customHeight="1" x14ac:dyDescent="0.3">
      <c r="A178" s="52" t="s">
        <v>244</v>
      </c>
      <c r="B178" s="44">
        <f t="shared" ref="B178:M178" si="78">B72+B73+B74+B75</f>
        <v>117</v>
      </c>
      <c r="C178" s="39">
        <f t="shared" si="78"/>
        <v>17</v>
      </c>
      <c r="D178" s="39">
        <f t="shared" si="78"/>
        <v>68</v>
      </c>
      <c r="E178" s="39">
        <f t="shared" si="78"/>
        <v>20</v>
      </c>
      <c r="F178" s="39">
        <f t="shared" si="78"/>
        <v>112</v>
      </c>
      <c r="G178" s="50">
        <f t="shared" si="78"/>
        <v>334</v>
      </c>
      <c r="H178" s="44">
        <f t="shared" si="78"/>
        <v>0</v>
      </c>
      <c r="I178" s="39">
        <f t="shared" si="78"/>
        <v>0</v>
      </c>
      <c r="J178" s="39">
        <f t="shared" si="78"/>
        <v>0</v>
      </c>
      <c r="K178" s="45">
        <f t="shared" si="78"/>
        <v>0</v>
      </c>
      <c r="L178" s="144">
        <f t="shared" si="78"/>
        <v>3</v>
      </c>
      <c r="M178" s="50">
        <f t="shared" si="78"/>
        <v>3</v>
      </c>
      <c r="N178" s="40">
        <f t="shared" si="14"/>
        <v>337</v>
      </c>
      <c r="O178" s="43">
        <f t="shared" si="15"/>
        <v>815.5</v>
      </c>
    </row>
    <row r="179" spans="1:15" ht="22.95" customHeight="1" x14ac:dyDescent="0.3">
      <c r="A179" s="52" t="s">
        <v>245</v>
      </c>
      <c r="B179" s="44">
        <f t="shared" ref="B179:M179" si="79">B73+B74+B75+B76</f>
        <v>109</v>
      </c>
      <c r="C179" s="39">
        <f t="shared" si="79"/>
        <v>12</v>
      </c>
      <c r="D179" s="39">
        <f t="shared" si="79"/>
        <v>63</v>
      </c>
      <c r="E179" s="39">
        <f t="shared" si="79"/>
        <v>16</v>
      </c>
      <c r="F179" s="39">
        <f t="shared" si="79"/>
        <v>110</v>
      </c>
      <c r="G179" s="50">
        <f t="shared" si="79"/>
        <v>310</v>
      </c>
      <c r="H179" s="44">
        <f t="shared" si="79"/>
        <v>0</v>
      </c>
      <c r="I179" s="39">
        <f t="shared" si="79"/>
        <v>0</v>
      </c>
      <c r="J179" s="39">
        <f t="shared" si="79"/>
        <v>0</v>
      </c>
      <c r="K179" s="45">
        <f t="shared" si="79"/>
        <v>0</v>
      </c>
      <c r="L179" s="144">
        <f t="shared" si="79"/>
        <v>0</v>
      </c>
      <c r="M179" s="50">
        <f t="shared" si="79"/>
        <v>0</v>
      </c>
      <c r="N179" s="40">
        <f t="shared" ref="N179:N206" si="80">G179+M179</f>
        <v>310</v>
      </c>
      <c r="O179" s="43">
        <f t="shared" ref="O179:O206" si="81">B179*1+C179*0.5+D179*1.5+E179*3+F179*4.5+H179*0.5+I179*1.5+J179*3+K179*4+L179*8</f>
        <v>752.5</v>
      </c>
    </row>
    <row r="180" spans="1:15" s="138" customFormat="1" ht="22.95" customHeight="1" x14ac:dyDescent="0.3">
      <c r="A180" s="52" t="s">
        <v>246</v>
      </c>
      <c r="B180" s="122">
        <f t="shared" ref="B180:M180" si="82">B74+B75+B76+B77</f>
        <v>108</v>
      </c>
      <c r="C180" s="123">
        <f t="shared" si="82"/>
        <v>11</v>
      </c>
      <c r="D180" s="123">
        <f t="shared" si="82"/>
        <v>57</v>
      </c>
      <c r="E180" s="123">
        <f t="shared" si="82"/>
        <v>15</v>
      </c>
      <c r="F180" s="123">
        <f t="shared" si="82"/>
        <v>118</v>
      </c>
      <c r="G180" s="125">
        <f t="shared" si="82"/>
        <v>309</v>
      </c>
      <c r="H180" s="122">
        <f t="shared" si="82"/>
        <v>0</v>
      </c>
      <c r="I180" s="123">
        <f t="shared" si="82"/>
        <v>0</v>
      </c>
      <c r="J180" s="123">
        <f t="shared" si="82"/>
        <v>0</v>
      </c>
      <c r="K180" s="124">
        <f t="shared" si="82"/>
        <v>0</v>
      </c>
      <c r="L180" s="146">
        <f t="shared" si="82"/>
        <v>0</v>
      </c>
      <c r="M180" s="125">
        <f t="shared" si="82"/>
        <v>0</v>
      </c>
      <c r="N180" s="126">
        <f t="shared" si="80"/>
        <v>309</v>
      </c>
      <c r="O180" s="43">
        <f t="shared" si="81"/>
        <v>775</v>
      </c>
    </row>
    <row r="181" spans="1:15" ht="22.95" customHeight="1" x14ac:dyDescent="0.3">
      <c r="A181" s="52" t="s">
        <v>247</v>
      </c>
      <c r="B181" s="44">
        <f t="shared" ref="B181:M181" si="83">B75+B76+B77+B78</f>
        <v>102</v>
      </c>
      <c r="C181" s="39">
        <f t="shared" si="83"/>
        <v>9</v>
      </c>
      <c r="D181" s="39">
        <f t="shared" si="83"/>
        <v>44</v>
      </c>
      <c r="E181" s="39">
        <f t="shared" si="83"/>
        <v>12</v>
      </c>
      <c r="F181" s="39">
        <f t="shared" si="83"/>
        <v>118</v>
      </c>
      <c r="G181" s="50">
        <f t="shared" si="83"/>
        <v>285</v>
      </c>
      <c r="H181" s="44">
        <f t="shared" si="83"/>
        <v>0</v>
      </c>
      <c r="I181" s="39">
        <f t="shared" si="83"/>
        <v>0</v>
      </c>
      <c r="J181" s="39">
        <f t="shared" si="83"/>
        <v>0</v>
      </c>
      <c r="K181" s="45">
        <f t="shared" si="83"/>
        <v>0</v>
      </c>
      <c r="L181" s="144">
        <f t="shared" si="83"/>
        <v>0</v>
      </c>
      <c r="M181" s="50">
        <f t="shared" si="83"/>
        <v>0</v>
      </c>
      <c r="N181" s="40">
        <f t="shared" si="80"/>
        <v>285</v>
      </c>
      <c r="O181" s="43">
        <f t="shared" si="81"/>
        <v>739.5</v>
      </c>
    </row>
    <row r="182" spans="1:15" ht="22.95" customHeight="1" x14ac:dyDescent="0.3">
      <c r="A182" s="52" t="s">
        <v>248</v>
      </c>
      <c r="B182" s="44">
        <f t="shared" ref="B182:M182" si="84">B76+B77+B78+B79</f>
        <v>95</v>
      </c>
      <c r="C182" s="39">
        <f t="shared" si="84"/>
        <v>9</v>
      </c>
      <c r="D182" s="39">
        <f t="shared" si="84"/>
        <v>31</v>
      </c>
      <c r="E182" s="39">
        <f t="shared" si="84"/>
        <v>13</v>
      </c>
      <c r="F182" s="39">
        <f t="shared" si="84"/>
        <v>119</v>
      </c>
      <c r="G182" s="50">
        <f t="shared" si="84"/>
        <v>267</v>
      </c>
      <c r="H182" s="44">
        <f t="shared" si="84"/>
        <v>0</v>
      </c>
      <c r="I182" s="39">
        <f t="shared" si="84"/>
        <v>0</v>
      </c>
      <c r="J182" s="39">
        <f t="shared" si="84"/>
        <v>0</v>
      </c>
      <c r="K182" s="45">
        <f t="shared" si="84"/>
        <v>0</v>
      </c>
      <c r="L182" s="144">
        <f t="shared" si="84"/>
        <v>0</v>
      </c>
      <c r="M182" s="50">
        <f t="shared" si="84"/>
        <v>0</v>
      </c>
      <c r="N182" s="40">
        <f t="shared" si="80"/>
        <v>267</v>
      </c>
      <c r="O182" s="43">
        <f t="shared" si="81"/>
        <v>720.5</v>
      </c>
    </row>
    <row r="183" spans="1:15" ht="22.95" customHeight="1" x14ac:dyDescent="0.3">
      <c r="A183" s="52" t="s">
        <v>249</v>
      </c>
      <c r="B183" s="44">
        <f t="shared" ref="B183:M183" si="85">B77+B78+B79+B80</f>
        <v>83</v>
      </c>
      <c r="C183" s="39">
        <f t="shared" si="85"/>
        <v>9</v>
      </c>
      <c r="D183" s="39">
        <f t="shared" si="85"/>
        <v>29</v>
      </c>
      <c r="E183" s="39">
        <f t="shared" si="85"/>
        <v>15</v>
      </c>
      <c r="F183" s="39">
        <f t="shared" si="85"/>
        <v>109</v>
      </c>
      <c r="G183" s="50">
        <f t="shared" si="85"/>
        <v>245</v>
      </c>
      <c r="H183" s="44">
        <f t="shared" si="85"/>
        <v>0</v>
      </c>
      <c r="I183" s="39">
        <f t="shared" si="85"/>
        <v>0</v>
      </c>
      <c r="J183" s="39">
        <f t="shared" si="85"/>
        <v>0</v>
      </c>
      <c r="K183" s="45">
        <f t="shared" si="85"/>
        <v>0</v>
      </c>
      <c r="L183" s="144">
        <f t="shared" si="85"/>
        <v>0</v>
      </c>
      <c r="M183" s="50">
        <f t="shared" si="85"/>
        <v>0</v>
      </c>
      <c r="N183" s="40">
        <f t="shared" si="80"/>
        <v>245</v>
      </c>
      <c r="O183" s="43">
        <f t="shared" si="81"/>
        <v>666.5</v>
      </c>
    </row>
    <row r="184" spans="1:15" ht="22.95" customHeight="1" x14ac:dyDescent="0.3">
      <c r="A184" s="52" t="s">
        <v>250</v>
      </c>
      <c r="B184" s="44">
        <f t="shared" ref="B184:M184" si="86">B78+B79+B80+B81</f>
        <v>73</v>
      </c>
      <c r="C184" s="39">
        <f t="shared" si="86"/>
        <v>7</v>
      </c>
      <c r="D184" s="39">
        <f t="shared" si="86"/>
        <v>25</v>
      </c>
      <c r="E184" s="39">
        <f t="shared" si="86"/>
        <v>17</v>
      </c>
      <c r="F184" s="39">
        <f t="shared" si="86"/>
        <v>93</v>
      </c>
      <c r="G184" s="50">
        <f t="shared" si="86"/>
        <v>215</v>
      </c>
      <c r="H184" s="44">
        <f t="shared" si="86"/>
        <v>0</v>
      </c>
      <c r="I184" s="39">
        <f t="shared" si="86"/>
        <v>0</v>
      </c>
      <c r="J184" s="39">
        <f t="shared" si="86"/>
        <v>0</v>
      </c>
      <c r="K184" s="45">
        <f t="shared" si="86"/>
        <v>0</v>
      </c>
      <c r="L184" s="144">
        <f t="shared" si="86"/>
        <v>0</v>
      </c>
      <c r="M184" s="50">
        <f t="shared" si="86"/>
        <v>0</v>
      </c>
      <c r="N184" s="40">
        <f t="shared" si="80"/>
        <v>215</v>
      </c>
      <c r="O184" s="43">
        <f t="shared" si="81"/>
        <v>583.5</v>
      </c>
    </row>
    <row r="185" spans="1:15" ht="22.95" customHeight="1" x14ac:dyDescent="0.3">
      <c r="A185" s="52" t="s">
        <v>251</v>
      </c>
      <c r="B185" s="44">
        <f t="shared" ref="B185:M185" si="87">B79+B80+B81+B82</f>
        <v>70</v>
      </c>
      <c r="C185" s="39">
        <f t="shared" si="87"/>
        <v>9</v>
      </c>
      <c r="D185" s="39">
        <f t="shared" si="87"/>
        <v>34</v>
      </c>
      <c r="E185" s="39">
        <f t="shared" si="87"/>
        <v>18</v>
      </c>
      <c r="F185" s="39">
        <f t="shared" si="87"/>
        <v>87</v>
      </c>
      <c r="G185" s="50">
        <f t="shared" si="87"/>
        <v>218</v>
      </c>
      <c r="H185" s="44">
        <f t="shared" si="87"/>
        <v>0</v>
      </c>
      <c r="I185" s="39">
        <f t="shared" si="87"/>
        <v>0</v>
      </c>
      <c r="J185" s="39">
        <f t="shared" si="87"/>
        <v>0</v>
      </c>
      <c r="K185" s="45">
        <f t="shared" si="87"/>
        <v>0</v>
      </c>
      <c r="L185" s="144">
        <f t="shared" si="87"/>
        <v>0</v>
      </c>
      <c r="M185" s="50">
        <f t="shared" si="87"/>
        <v>0</v>
      </c>
      <c r="N185" s="40">
        <f t="shared" si="80"/>
        <v>218</v>
      </c>
      <c r="O185" s="43">
        <f t="shared" si="81"/>
        <v>571</v>
      </c>
    </row>
    <row r="186" spans="1:15" ht="22.95" customHeight="1" x14ac:dyDescent="0.3">
      <c r="A186" s="52" t="s">
        <v>252</v>
      </c>
      <c r="B186" s="44">
        <f t="shared" ref="B186:M186" si="88">B80+B81+B82+B83</f>
        <v>76</v>
      </c>
      <c r="C186" s="39">
        <f t="shared" si="88"/>
        <v>7</v>
      </c>
      <c r="D186" s="39">
        <f t="shared" si="88"/>
        <v>52</v>
      </c>
      <c r="E186" s="39">
        <f t="shared" si="88"/>
        <v>20</v>
      </c>
      <c r="F186" s="39">
        <f t="shared" si="88"/>
        <v>63</v>
      </c>
      <c r="G186" s="50">
        <f t="shared" si="88"/>
        <v>218</v>
      </c>
      <c r="H186" s="44">
        <f t="shared" si="88"/>
        <v>0</v>
      </c>
      <c r="I186" s="39">
        <f t="shared" si="88"/>
        <v>0</v>
      </c>
      <c r="J186" s="39">
        <f t="shared" si="88"/>
        <v>0</v>
      </c>
      <c r="K186" s="45">
        <f t="shared" si="88"/>
        <v>0</v>
      </c>
      <c r="L186" s="144">
        <f t="shared" si="88"/>
        <v>0</v>
      </c>
      <c r="M186" s="50">
        <f t="shared" si="88"/>
        <v>0</v>
      </c>
      <c r="N186" s="40">
        <f t="shared" si="80"/>
        <v>218</v>
      </c>
      <c r="O186" s="43">
        <f t="shared" si="81"/>
        <v>501</v>
      </c>
    </row>
    <row r="187" spans="1:15" ht="22.95" customHeight="1" x14ac:dyDescent="0.3">
      <c r="A187" s="52" t="s">
        <v>253</v>
      </c>
      <c r="B187" s="44">
        <f t="shared" ref="B187:M187" si="89">B81+B82+B83+B84</f>
        <v>88</v>
      </c>
      <c r="C187" s="39">
        <f t="shared" si="89"/>
        <v>4</v>
      </c>
      <c r="D187" s="39">
        <f t="shared" si="89"/>
        <v>61</v>
      </c>
      <c r="E187" s="39">
        <f t="shared" si="89"/>
        <v>21</v>
      </c>
      <c r="F187" s="39">
        <f t="shared" si="89"/>
        <v>56</v>
      </c>
      <c r="G187" s="50">
        <f t="shared" si="89"/>
        <v>230</v>
      </c>
      <c r="H187" s="44">
        <f t="shared" si="89"/>
        <v>0</v>
      </c>
      <c r="I187" s="39">
        <f t="shared" si="89"/>
        <v>0</v>
      </c>
      <c r="J187" s="39">
        <f t="shared" si="89"/>
        <v>0</v>
      </c>
      <c r="K187" s="45">
        <f t="shared" si="89"/>
        <v>0</v>
      </c>
      <c r="L187" s="144">
        <f t="shared" si="89"/>
        <v>0</v>
      </c>
      <c r="M187" s="50">
        <f t="shared" si="89"/>
        <v>0</v>
      </c>
      <c r="N187" s="40">
        <f t="shared" si="80"/>
        <v>230</v>
      </c>
      <c r="O187" s="43">
        <f t="shared" si="81"/>
        <v>496.5</v>
      </c>
    </row>
    <row r="188" spans="1:15" ht="22.95" customHeight="1" x14ac:dyDescent="0.3">
      <c r="A188" s="52" t="s">
        <v>254</v>
      </c>
      <c r="B188" s="44">
        <f t="shared" ref="B188:M188" si="90">B82+B83+B84+B85</f>
        <v>86</v>
      </c>
      <c r="C188" s="39">
        <f t="shared" si="90"/>
        <v>5</v>
      </c>
      <c r="D188" s="39">
        <f t="shared" si="90"/>
        <v>71</v>
      </c>
      <c r="E188" s="39">
        <f t="shared" si="90"/>
        <v>22</v>
      </c>
      <c r="F188" s="39">
        <f t="shared" si="90"/>
        <v>60</v>
      </c>
      <c r="G188" s="50">
        <f t="shared" si="90"/>
        <v>244</v>
      </c>
      <c r="H188" s="44">
        <f t="shared" si="90"/>
        <v>0</v>
      </c>
      <c r="I188" s="39">
        <f t="shared" si="90"/>
        <v>0</v>
      </c>
      <c r="J188" s="39">
        <f t="shared" si="90"/>
        <v>0</v>
      </c>
      <c r="K188" s="45">
        <f t="shared" si="90"/>
        <v>0</v>
      </c>
      <c r="L188" s="144">
        <f t="shared" si="90"/>
        <v>0</v>
      </c>
      <c r="M188" s="50">
        <f t="shared" si="90"/>
        <v>0</v>
      </c>
      <c r="N188" s="40">
        <f t="shared" si="80"/>
        <v>244</v>
      </c>
      <c r="O188" s="43">
        <f t="shared" si="81"/>
        <v>531</v>
      </c>
    </row>
    <row r="189" spans="1:15" ht="22.95" customHeight="1" x14ac:dyDescent="0.3">
      <c r="A189" s="52" t="s">
        <v>255</v>
      </c>
      <c r="B189" s="44">
        <f t="shared" ref="B189:M189" si="91">B83+B84+B85+B86</f>
        <v>77</v>
      </c>
      <c r="C189" s="39">
        <f t="shared" si="91"/>
        <v>7</v>
      </c>
      <c r="D189" s="39">
        <f t="shared" si="91"/>
        <v>80</v>
      </c>
      <c r="E189" s="39">
        <f t="shared" si="91"/>
        <v>26</v>
      </c>
      <c r="F189" s="39">
        <f t="shared" si="91"/>
        <v>64</v>
      </c>
      <c r="G189" s="50">
        <f t="shared" si="91"/>
        <v>254</v>
      </c>
      <c r="H189" s="44">
        <f t="shared" si="91"/>
        <v>0</v>
      </c>
      <c r="I189" s="39">
        <f t="shared" si="91"/>
        <v>0</v>
      </c>
      <c r="J189" s="39">
        <f t="shared" si="91"/>
        <v>0</v>
      </c>
      <c r="K189" s="45">
        <f t="shared" si="91"/>
        <v>0</v>
      </c>
      <c r="L189" s="144">
        <f t="shared" si="91"/>
        <v>0</v>
      </c>
      <c r="M189" s="50">
        <f t="shared" si="91"/>
        <v>0</v>
      </c>
      <c r="N189" s="40">
        <f t="shared" si="80"/>
        <v>254</v>
      </c>
      <c r="O189" s="43">
        <f t="shared" si="81"/>
        <v>566.5</v>
      </c>
    </row>
    <row r="190" spans="1:15" ht="22.95" customHeight="1" x14ac:dyDescent="0.3">
      <c r="A190" s="52" t="s">
        <v>256</v>
      </c>
      <c r="B190" s="44">
        <f t="shared" ref="B190:M190" si="92">B84+B85+B86+B87</f>
        <v>67</v>
      </c>
      <c r="C190" s="39">
        <f t="shared" si="92"/>
        <v>11</v>
      </c>
      <c r="D190" s="39">
        <f t="shared" si="92"/>
        <v>71</v>
      </c>
      <c r="E190" s="39">
        <f t="shared" si="92"/>
        <v>27</v>
      </c>
      <c r="F190" s="39">
        <f t="shared" si="92"/>
        <v>70</v>
      </c>
      <c r="G190" s="50">
        <f t="shared" si="92"/>
        <v>246</v>
      </c>
      <c r="H190" s="44">
        <f t="shared" si="92"/>
        <v>0</v>
      </c>
      <c r="I190" s="39">
        <f t="shared" si="92"/>
        <v>0</v>
      </c>
      <c r="J190" s="39">
        <f t="shared" si="92"/>
        <v>0</v>
      </c>
      <c r="K190" s="45">
        <f t="shared" si="92"/>
        <v>0</v>
      </c>
      <c r="L190" s="144">
        <f t="shared" si="92"/>
        <v>0</v>
      </c>
      <c r="M190" s="50">
        <f t="shared" si="92"/>
        <v>0</v>
      </c>
      <c r="N190" s="40">
        <f t="shared" si="80"/>
        <v>246</v>
      </c>
      <c r="O190" s="43">
        <f t="shared" si="81"/>
        <v>575</v>
      </c>
    </row>
    <row r="191" spans="1:15" ht="22.95" customHeight="1" x14ac:dyDescent="0.3">
      <c r="A191" s="52" t="s">
        <v>257</v>
      </c>
      <c r="B191" s="44">
        <f t="shared" ref="B191:M191" si="93">B85+B86+B87+B88</f>
        <v>64</v>
      </c>
      <c r="C191" s="39">
        <f t="shared" si="93"/>
        <v>14</v>
      </c>
      <c r="D191" s="39">
        <f t="shared" si="93"/>
        <v>63</v>
      </c>
      <c r="E191" s="39">
        <f t="shared" si="93"/>
        <v>24</v>
      </c>
      <c r="F191" s="39">
        <f t="shared" si="93"/>
        <v>76</v>
      </c>
      <c r="G191" s="50">
        <f t="shared" si="93"/>
        <v>241</v>
      </c>
      <c r="H191" s="44">
        <f t="shared" si="93"/>
        <v>0</v>
      </c>
      <c r="I191" s="39">
        <f t="shared" si="93"/>
        <v>0</v>
      </c>
      <c r="J191" s="39">
        <f t="shared" si="93"/>
        <v>0</v>
      </c>
      <c r="K191" s="45">
        <f t="shared" si="93"/>
        <v>0</v>
      </c>
      <c r="L191" s="144">
        <f t="shared" si="93"/>
        <v>0</v>
      </c>
      <c r="M191" s="50">
        <f t="shared" si="93"/>
        <v>0</v>
      </c>
      <c r="N191" s="40">
        <f t="shared" si="80"/>
        <v>241</v>
      </c>
      <c r="O191" s="43">
        <f t="shared" si="81"/>
        <v>579.5</v>
      </c>
    </row>
    <row r="192" spans="1:15" ht="22.95" customHeight="1" x14ac:dyDescent="0.3">
      <c r="A192" s="52" t="s">
        <v>258</v>
      </c>
      <c r="B192" s="44">
        <f t="shared" ref="B192:M192" si="94">B86+B87+B88+B89</f>
        <v>66</v>
      </c>
      <c r="C192" s="39">
        <f t="shared" si="94"/>
        <v>18</v>
      </c>
      <c r="D192" s="39">
        <f t="shared" si="94"/>
        <v>59</v>
      </c>
      <c r="E192" s="39">
        <f t="shared" si="94"/>
        <v>25</v>
      </c>
      <c r="F192" s="39">
        <f t="shared" si="94"/>
        <v>77</v>
      </c>
      <c r="G192" s="50">
        <f t="shared" si="94"/>
        <v>245</v>
      </c>
      <c r="H192" s="44">
        <f t="shared" si="94"/>
        <v>0</v>
      </c>
      <c r="I192" s="39">
        <f t="shared" si="94"/>
        <v>0</v>
      </c>
      <c r="J192" s="39">
        <f t="shared" si="94"/>
        <v>0</v>
      </c>
      <c r="K192" s="45">
        <f t="shared" si="94"/>
        <v>0</v>
      </c>
      <c r="L192" s="144">
        <f t="shared" si="94"/>
        <v>0</v>
      </c>
      <c r="M192" s="50">
        <f t="shared" si="94"/>
        <v>0</v>
      </c>
      <c r="N192" s="40">
        <f t="shared" si="80"/>
        <v>245</v>
      </c>
      <c r="O192" s="43">
        <f t="shared" si="81"/>
        <v>585</v>
      </c>
    </row>
    <row r="193" spans="1:15" ht="22.95" customHeight="1" x14ac:dyDescent="0.3">
      <c r="A193" s="52" t="s">
        <v>259</v>
      </c>
      <c r="B193" s="44">
        <f t="shared" ref="B193:M193" si="95">B87+B88+B89+B90</f>
        <v>71</v>
      </c>
      <c r="C193" s="39">
        <f t="shared" si="95"/>
        <v>20</v>
      </c>
      <c r="D193" s="39">
        <f t="shared" si="95"/>
        <v>60</v>
      </c>
      <c r="E193" s="39">
        <f t="shared" si="95"/>
        <v>21</v>
      </c>
      <c r="F193" s="39">
        <f t="shared" si="95"/>
        <v>74</v>
      </c>
      <c r="G193" s="50">
        <f t="shared" si="95"/>
        <v>246</v>
      </c>
      <c r="H193" s="44">
        <f t="shared" si="95"/>
        <v>0</v>
      </c>
      <c r="I193" s="39">
        <f t="shared" si="95"/>
        <v>0</v>
      </c>
      <c r="J193" s="39">
        <f t="shared" si="95"/>
        <v>0</v>
      </c>
      <c r="K193" s="45">
        <f t="shared" si="95"/>
        <v>0</v>
      </c>
      <c r="L193" s="144">
        <f t="shared" si="95"/>
        <v>0</v>
      </c>
      <c r="M193" s="50">
        <f t="shared" si="95"/>
        <v>0</v>
      </c>
      <c r="N193" s="40">
        <f t="shared" si="80"/>
        <v>246</v>
      </c>
      <c r="O193" s="43">
        <f t="shared" si="81"/>
        <v>567</v>
      </c>
    </row>
    <row r="194" spans="1:15" ht="22.95" customHeight="1" x14ac:dyDescent="0.3">
      <c r="A194" s="52" t="s">
        <v>260</v>
      </c>
      <c r="B194" s="44">
        <f t="shared" ref="B194:M194" si="96">B88+B89+B90+B91</f>
        <v>70</v>
      </c>
      <c r="C194" s="39">
        <f t="shared" si="96"/>
        <v>23</v>
      </c>
      <c r="D194" s="39">
        <f t="shared" si="96"/>
        <v>60</v>
      </c>
      <c r="E194" s="39">
        <f t="shared" si="96"/>
        <v>22</v>
      </c>
      <c r="F194" s="39">
        <f t="shared" si="96"/>
        <v>74</v>
      </c>
      <c r="G194" s="50">
        <f t="shared" si="96"/>
        <v>249</v>
      </c>
      <c r="H194" s="44">
        <f t="shared" si="96"/>
        <v>0</v>
      </c>
      <c r="I194" s="39">
        <f t="shared" si="96"/>
        <v>0</v>
      </c>
      <c r="J194" s="39">
        <f t="shared" si="96"/>
        <v>0</v>
      </c>
      <c r="K194" s="45">
        <f t="shared" si="96"/>
        <v>0</v>
      </c>
      <c r="L194" s="144">
        <f t="shared" si="96"/>
        <v>0</v>
      </c>
      <c r="M194" s="50">
        <f t="shared" si="96"/>
        <v>0</v>
      </c>
      <c r="N194" s="40">
        <f t="shared" si="80"/>
        <v>249</v>
      </c>
      <c r="O194" s="43">
        <f t="shared" si="81"/>
        <v>570.5</v>
      </c>
    </row>
    <row r="195" spans="1:15" ht="22.95" customHeight="1" x14ac:dyDescent="0.3">
      <c r="A195" s="52" t="s">
        <v>261</v>
      </c>
      <c r="B195" s="44">
        <f t="shared" ref="B195:M195" si="97">B89+B90+B91+B92</f>
        <v>66</v>
      </c>
      <c r="C195" s="39">
        <f t="shared" si="97"/>
        <v>31</v>
      </c>
      <c r="D195" s="39">
        <f t="shared" si="97"/>
        <v>69</v>
      </c>
      <c r="E195" s="39">
        <f t="shared" si="97"/>
        <v>26</v>
      </c>
      <c r="F195" s="39">
        <f t="shared" si="97"/>
        <v>75</v>
      </c>
      <c r="G195" s="50">
        <f t="shared" si="97"/>
        <v>267</v>
      </c>
      <c r="H195" s="44">
        <f t="shared" si="97"/>
        <v>0</v>
      </c>
      <c r="I195" s="39">
        <f t="shared" si="97"/>
        <v>0</v>
      </c>
      <c r="J195" s="39">
        <f t="shared" si="97"/>
        <v>0</v>
      </c>
      <c r="K195" s="45">
        <f t="shared" si="97"/>
        <v>0</v>
      </c>
      <c r="L195" s="144">
        <f t="shared" si="97"/>
        <v>0</v>
      </c>
      <c r="M195" s="50">
        <f t="shared" si="97"/>
        <v>0</v>
      </c>
      <c r="N195" s="40">
        <f t="shared" si="80"/>
        <v>267</v>
      </c>
      <c r="O195" s="43">
        <f t="shared" si="81"/>
        <v>600.5</v>
      </c>
    </row>
    <row r="196" spans="1:15" ht="22.95" customHeight="1" x14ac:dyDescent="0.3">
      <c r="A196" s="52" t="s">
        <v>270</v>
      </c>
      <c r="B196" s="44">
        <f t="shared" ref="B196:M196" si="98">B90+B91+B92+B93</f>
        <v>79</v>
      </c>
      <c r="C196" s="39">
        <f t="shared" si="98"/>
        <v>37</v>
      </c>
      <c r="D196" s="39">
        <f t="shared" si="98"/>
        <v>75</v>
      </c>
      <c r="E196" s="39">
        <f t="shared" si="98"/>
        <v>28</v>
      </c>
      <c r="F196" s="39">
        <f t="shared" si="98"/>
        <v>88</v>
      </c>
      <c r="G196" s="50">
        <f t="shared" si="98"/>
        <v>307</v>
      </c>
      <c r="H196" s="44">
        <f t="shared" si="98"/>
        <v>0</v>
      </c>
      <c r="I196" s="39">
        <f t="shared" si="98"/>
        <v>0</v>
      </c>
      <c r="J196" s="39">
        <f t="shared" si="98"/>
        <v>0</v>
      </c>
      <c r="K196" s="45">
        <f t="shared" si="98"/>
        <v>0</v>
      </c>
      <c r="L196" s="144">
        <f t="shared" si="98"/>
        <v>0</v>
      </c>
      <c r="M196" s="50">
        <f t="shared" si="98"/>
        <v>0</v>
      </c>
      <c r="N196" s="40">
        <f t="shared" si="80"/>
        <v>307</v>
      </c>
      <c r="O196" s="43">
        <f t="shared" si="81"/>
        <v>690</v>
      </c>
    </row>
    <row r="197" spans="1:15" ht="22.95" customHeight="1" x14ac:dyDescent="0.3">
      <c r="A197" s="52" t="s">
        <v>271</v>
      </c>
      <c r="B197" s="44">
        <f t="shared" ref="B197:M197" si="99">B91+B92+B93+B94</f>
        <v>96</v>
      </c>
      <c r="C197" s="39">
        <f t="shared" si="99"/>
        <v>47</v>
      </c>
      <c r="D197" s="39">
        <f t="shared" si="99"/>
        <v>68</v>
      </c>
      <c r="E197" s="39">
        <f t="shared" si="99"/>
        <v>27</v>
      </c>
      <c r="F197" s="39">
        <f t="shared" si="99"/>
        <v>97</v>
      </c>
      <c r="G197" s="50">
        <f t="shared" si="99"/>
        <v>335</v>
      </c>
      <c r="H197" s="44">
        <f t="shared" si="99"/>
        <v>0</v>
      </c>
      <c r="I197" s="39">
        <f t="shared" si="99"/>
        <v>0</v>
      </c>
      <c r="J197" s="39">
        <f t="shared" si="99"/>
        <v>0</v>
      </c>
      <c r="K197" s="45">
        <f t="shared" si="99"/>
        <v>0</v>
      </c>
      <c r="L197" s="144">
        <f t="shared" si="99"/>
        <v>0</v>
      </c>
      <c r="M197" s="50">
        <f t="shared" si="99"/>
        <v>0</v>
      </c>
      <c r="N197" s="40">
        <f t="shared" si="80"/>
        <v>335</v>
      </c>
      <c r="O197" s="43">
        <f t="shared" si="81"/>
        <v>739</v>
      </c>
    </row>
    <row r="198" spans="1:15" ht="22.95" customHeight="1" x14ac:dyDescent="0.3">
      <c r="A198" s="52" t="s">
        <v>279</v>
      </c>
      <c r="B198" s="44">
        <f t="shared" ref="B198:M198" si="100">B92+B93+B94+B95</f>
        <v>107</v>
      </c>
      <c r="C198" s="39">
        <f t="shared" si="100"/>
        <v>53</v>
      </c>
      <c r="D198" s="39">
        <f t="shared" si="100"/>
        <v>71</v>
      </c>
      <c r="E198" s="39">
        <f t="shared" si="100"/>
        <v>22</v>
      </c>
      <c r="F198" s="39">
        <f t="shared" si="100"/>
        <v>102</v>
      </c>
      <c r="G198" s="50">
        <f t="shared" si="100"/>
        <v>355</v>
      </c>
      <c r="H198" s="44">
        <f t="shared" si="100"/>
        <v>0</v>
      </c>
      <c r="I198" s="39">
        <f t="shared" si="100"/>
        <v>0</v>
      </c>
      <c r="J198" s="39">
        <f t="shared" si="100"/>
        <v>0</v>
      </c>
      <c r="K198" s="45">
        <f t="shared" si="100"/>
        <v>0</v>
      </c>
      <c r="L198" s="144">
        <f t="shared" si="100"/>
        <v>0</v>
      </c>
      <c r="M198" s="50">
        <f t="shared" si="100"/>
        <v>0</v>
      </c>
      <c r="N198" s="40">
        <f t="shared" si="80"/>
        <v>355</v>
      </c>
      <c r="O198" s="43">
        <f t="shared" si="81"/>
        <v>765</v>
      </c>
    </row>
    <row r="199" spans="1:15" ht="22.95" customHeight="1" x14ac:dyDescent="0.3">
      <c r="A199" s="52" t="s">
        <v>62</v>
      </c>
      <c r="B199" s="44">
        <f t="shared" ref="B199:M199" si="101">B93+B94+B95+B96</f>
        <v>140</v>
      </c>
      <c r="C199" s="39">
        <f t="shared" si="101"/>
        <v>69</v>
      </c>
      <c r="D199" s="39">
        <f t="shared" si="101"/>
        <v>64</v>
      </c>
      <c r="E199" s="39">
        <f t="shared" si="101"/>
        <v>22</v>
      </c>
      <c r="F199" s="39">
        <f t="shared" si="101"/>
        <v>107</v>
      </c>
      <c r="G199" s="50">
        <f t="shared" si="101"/>
        <v>402</v>
      </c>
      <c r="H199" s="44">
        <f t="shared" si="101"/>
        <v>0</v>
      </c>
      <c r="I199" s="39">
        <f t="shared" si="101"/>
        <v>0</v>
      </c>
      <c r="J199" s="39">
        <f t="shared" si="101"/>
        <v>0</v>
      </c>
      <c r="K199" s="45">
        <f t="shared" si="101"/>
        <v>0</v>
      </c>
      <c r="L199" s="144">
        <f t="shared" si="101"/>
        <v>1</v>
      </c>
      <c r="M199" s="50">
        <f t="shared" si="101"/>
        <v>1</v>
      </c>
      <c r="N199" s="40">
        <f t="shared" si="80"/>
        <v>403</v>
      </c>
      <c r="O199" s="43">
        <f t="shared" si="81"/>
        <v>826</v>
      </c>
    </row>
    <row r="200" spans="1:15" ht="22.95" customHeight="1" x14ac:dyDescent="0.3">
      <c r="A200" s="52" t="s">
        <v>63</v>
      </c>
      <c r="B200" s="44">
        <f t="shared" ref="B200:M200" si="102">B94+B95+B96+B97</f>
        <v>153</v>
      </c>
      <c r="C200" s="39">
        <f t="shared" si="102"/>
        <v>89</v>
      </c>
      <c r="D200" s="39">
        <f t="shared" si="102"/>
        <v>52</v>
      </c>
      <c r="E200" s="39">
        <f t="shared" si="102"/>
        <v>23</v>
      </c>
      <c r="F200" s="39">
        <f t="shared" si="102"/>
        <v>89</v>
      </c>
      <c r="G200" s="50">
        <f t="shared" si="102"/>
        <v>406</v>
      </c>
      <c r="H200" s="44">
        <f t="shared" si="102"/>
        <v>0</v>
      </c>
      <c r="I200" s="39">
        <f t="shared" si="102"/>
        <v>0</v>
      </c>
      <c r="J200" s="39">
        <f t="shared" si="102"/>
        <v>0</v>
      </c>
      <c r="K200" s="45">
        <f t="shared" si="102"/>
        <v>0</v>
      </c>
      <c r="L200" s="144">
        <f t="shared" si="102"/>
        <v>2</v>
      </c>
      <c r="M200" s="50">
        <f t="shared" si="102"/>
        <v>2</v>
      </c>
      <c r="N200" s="40">
        <f t="shared" si="80"/>
        <v>408</v>
      </c>
      <c r="O200" s="43">
        <f t="shared" si="81"/>
        <v>761</v>
      </c>
    </row>
    <row r="201" spans="1:15" ht="22.95" customHeight="1" x14ac:dyDescent="0.3">
      <c r="A201" s="52" t="s">
        <v>64</v>
      </c>
      <c r="B201" s="44">
        <f t="shared" ref="B201:M201" si="103">B95+B96+B97+B98</f>
        <v>200</v>
      </c>
      <c r="C201" s="39">
        <f t="shared" si="103"/>
        <v>123</v>
      </c>
      <c r="D201" s="39">
        <f t="shared" si="103"/>
        <v>48</v>
      </c>
      <c r="E201" s="39">
        <f t="shared" si="103"/>
        <v>29</v>
      </c>
      <c r="F201" s="39">
        <f t="shared" si="103"/>
        <v>82</v>
      </c>
      <c r="G201" s="50">
        <f t="shared" si="103"/>
        <v>482</v>
      </c>
      <c r="H201" s="44">
        <f t="shared" si="103"/>
        <v>0</v>
      </c>
      <c r="I201" s="39">
        <f t="shared" si="103"/>
        <v>0</v>
      </c>
      <c r="J201" s="39">
        <f t="shared" si="103"/>
        <v>0</v>
      </c>
      <c r="K201" s="45">
        <f t="shared" si="103"/>
        <v>0</v>
      </c>
      <c r="L201" s="144">
        <f t="shared" si="103"/>
        <v>4</v>
      </c>
      <c r="M201" s="50">
        <f t="shared" si="103"/>
        <v>4</v>
      </c>
      <c r="N201" s="40">
        <f t="shared" si="80"/>
        <v>486</v>
      </c>
      <c r="O201" s="43">
        <f t="shared" si="81"/>
        <v>821.5</v>
      </c>
    </row>
    <row r="202" spans="1:15" ht="22.95" customHeight="1" x14ac:dyDescent="0.3">
      <c r="A202" s="52" t="s">
        <v>65</v>
      </c>
      <c r="B202" s="44">
        <f t="shared" ref="B202:M202" si="104">B96+B97+B98+B99</f>
        <v>248</v>
      </c>
      <c r="C202" s="39">
        <f t="shared" si="104"/>
        <v>158</v>
      </c>
      <c r="D202" s="39">
        <f t="shared" si="104"/>
        <v>45</v>
      </c>
      <c r="E202" s="39">
        <f t="shared" si="104"/>
        <v>36</v>
      </c>
      <c r="F202" s="39">
        <f t="shared" si="104"/>
        <v>78</v>
      </c>
      <c r="G202" s="50">
        <f t="shared" si="104"/>
        <v>565</v>
      </c>
      <c r="H202" s="44">
        <f t="shared" si="104"/>
        <v>0</v>
      </c>
      <c r="I202" s="39">
        <f t="shared" si="104"/>
        <v>0</v>
      </c>
      <c r="J202" s="39">
        <f t="shared" si="104"/>
        <v>0</v>
      </c>
      <c r="K202" s="45">
        <f t="shared" si="104"/>
        <v>0</v>
      </c>
      <c r="L202" s="144">
        <f t="shared" si="104"/>
        <v>6</v>
      </c>
      <c r="M202" s="50">
        <f t="shared" si="104"/>
        <v>6</v>
      </c>
      <c r="N202" s="40">
        <f t="shared" si="80"/>
        <v>571</v>
      </c>
      <c r="O202" s="43">
        <f t="shared" si="81"/>
        <v>901.5</v>
      </c>
    </row>
    <row r="203" spans="1:15" ht="22.95" customHeight="1" x14ac:dyDescent="0.3">
      <c r="A203" s="52" t="s">
        <v>66</v>
      </c>
      <c r="B203" s="44">
        <f t="shared" ref="B203:M203" si="105">B97+B98+B99+B100</f>
        <v>262</v>
      </c>
      <c r="C203" s="39">
        <f t="shared" si="105"/>
        <v>178</v>
      </c>
      <c r="D203" s="39">
        <f t="shared" si="105"/>
        <v>47</v>
      </c>
      <c r="E203" s="39">
        <f t="shared" si="105"/>
        <v>37</v>
      </c>
      <c r="F203" s="39">
        <f t="shared" si="105"/>
        <v>78</v>
      </c>
      <c r="G203" s="50">
        <f t="shared" si="105"/>
        <v>602</v>
      </c>
      <c r="H203" s="44">
        <f t="shared" si="105"/>
        <v>1</v>
      </c>
      <c r="I203" s="39">
        <f t="shared" si="105"/>
        <v>0</v>
      </c>
      <c r="J203" s="39">
        <f t="shared" si="105"/>
        <v>0</v>
      </c>
      <c r="K203" s="45">
        <f t="shared" si="105"/>
        <v>0</v>
      </c>
      <c r="L203" s="144">
        <f t="shared" si="105"/>
        <v>9</v>
      </c>
      <c r="M203" s="50">
        <f t="shared" si="105"/>
        <v>10</v>
      </c>
      <c r="N203" s="40">
        <f t="shared" si="80"/>
        <v>612</v>
      </c>
      <c r="O203" s="43">
        <f t="shared" si="81"/>
        <v>956</v>
      </c>
    </row>
    <row r="204" spans="1:15" ht="22.95" customHeight="1" x14ac:dyDescent="0.3">
      <c r="A204" s="52" t="s">
        <v>67</v>
      </c>
      <c r="B204" s="44">
        <f t="shared" ref="B204:M204" si="106">B98+B99+B100+B101</f>
        <v>280</v>
      </c>
      <c r="C204" s="39">
        <f t="shared" si="106"/>
        <v>208</v>
      </c>
      <c r="D204" s="39">
        <f t="shared" si="106"/>
        <v>56</v>
      </c>
      <c r="E204" s="39">
        <f t="shared" si="106"/>
        <v>35</v>
      </c>
      <c r="F204" s="39">
        <f t="shared" si="106"/>
        <v>89</v>
      </c>
      <c r="G204" s="50">
        <f t="shared" si="106"/>
        <v>668</v>
      </c>
      <c r="H204" s="44">
        <f t="shared" si="106"/>
        <v>1</v>
      </c>
      <c r="I204" s="39">
        <f t="shared" si="106"/>
        <v>0</v>
      </c>
      <c r="J204" s="39">
        <f t="shared" si="106"/>
        <v>0</v>
      </c>
      <c r="K204" s="45">
        <f t="shared" si="106"/>
        <v>0</v>
      </c>
      <c r="L204" s="144">
        <f t="shared" si="106"/>
        <v>8</v>
      </c>
      <c r="M204" s="50">
        <f t="shared" si="106"/>
        <v>9</v>
      </c>
      <c r="N204" s="40">
        <f t="shared" si="80"/>
        <v>677</v>
      </c>
      <c r="O204" s="43">
        <f t="shared" si="81"/>
        <v>1038</v>
      </c>
    </row>
    <row r="205" spans="1:15" ht="22.95" customHeight="1" x14ac:dyDescent="0.3">
      <c r="A205" s="52" t="s">
        <v>68</v>
      </c>
      <c r="B205" s="44">
        <f t="shared" ref="B205:M205" si="107">B99+B100+B101+B102</f>
        <v>245</v>
      </c>
      <c r="C205" s="39">
        <f t="shared" si="107"/>
        <v>227</v>
      </c>
      <c r="D205" s="39">
        <f t="shared" si="107"/>
        <v>48</v>
      </c>
      <c r="E205" s="39">
        <f t="shared" si="107"/>
        <v>32</v>
      </c>
      <c r="F205" s="39">
        <f t="shared" si="107"/>
        <v>86</v>
      </c>
      <c r="G205" s="50">
        <f t="shared" si="107"/>
        <v>638</v>
      </c>
      <c r="H205" s="44">
        <f t="shared" si="107"/>
        <v>1</v>
      </c>
      <c r="I205" s="39">
        <f t="shared" si="107"/>
        <v>0</v>
      </c>
      <c r="J205" s="39">
        <f t="shared" si="107"/>
        <v>0</v>
      </c>
      <c r="K205" s="45">
        <f t="shared" si="107"/>
        <v>0</v>
      </c>
      <c r="L205" s="144">
        <f t="shared" si="107"/>
        <v>6</v>
      </c>
      <c r="M205" s="50">
        <f t="shared" si="107"/>
        <v>7</v>
      </c>
      <c r="N205" s="40">
        <f t="shared" si="80"/>
        <v>645</v>
      </c>
      <c r="O205" s="43">
        <f t="shared" si="81"/>
        <v>962</v>
      </c>
    </row>
    <row r="206" spans="1:15" ht="22.95" customHeight="1" thickBot="1" x14ac:dyDescent="0.35">
      <c r="A206" s="52" t="s">
        <v>69</v>
      </c>
      <c r="B206" s="46">
        <f t="shared" ref="B206:M206" si="108">B100+B101+B102+B103</f>
        <v>232</v>
      </c>
      <c r="C206" s="47">
        <f t="shared" si="108"/>
        <v>240</v>
      </c>
      <c r="D206" s="47">
        <f t="shared" si="108"/>
        <v>53</v>
      </c>
      <c r="E206" s="47">
        <f t="shared" si="108"/>
        <v>24</v>
      </c>
      <c r="F206" s="47">
        <f t="shared" si="108"/>
        <v>86</v>
      </c>
      <c r="G206" s="50">
        <f t="shared" si="108"/>
        <v>635</v>
      </c>
      <c r="H206" s="44">
        <f t="shared" si="108"/>
        <v>1</v>
      </c>
      <c r="I206" s="39">
        <f t="shared" si="108"/>
        <v>0</v>
      </c>
      <c r="J206" s="39">
        <f t="shared" si="108"/>
        <v>0</v>
      </c>
      <c r="K206" s="45">
        <f t="shared" si="108"/>
        <v>0</v>
      </c>
      <c r="L206" s="145">
        <f t="shared" si="108"/>
        <v>4</v>
      </c>
      <c r="M206" s="50">
        <f t="shared" si="108"/>
        <v>5</v>
      </c>
      <c r="N206" s="40">
        <f t="shared" si="80"/>
        <v>640</v>
      </c>
      <c r="O206" s="43">
        <f t="shared" si="81"/>
        <v>923</v>
      </c>
    </row>
  </sheetData>
  <mergeCells count="31">
    <mergeCell ref="M112:M113"/>
    <mergeCell ref="N112:N113"/>
    <mergeCell ref="O112:O113"/>
    <mergeCell ref="D6:D7"/>
    <mergeCell ref="K6:K7"/>
    <mergeCell ref="M6:M7"/>
    <mergeCell ref="N6:N7"/>
    <mergeCell ref="I112:I113"/>
    <mergeCell ref="J112:J113"/>
    <mergeCell ref="L112:L113"/>
    <mergeCell ref="K112:K113"/>
    <mergeCell ref="A1:J1"/>
    <mergeCell ref="A6:A7"/>
    <mergeCell ref="B6:B7"/>
    <mergeCell ref="C6:C7"/>
    <mergeCell ref="O6:O7"/>
    <mergeCell ref="I6:I7"/>
    <mergeCell ref="J6:J7"/>
    <mergeCell ref="L6:L7"/>
    <mergeCell ref="A112:A113"/>
    <mergeCell ref="H6:H7"/>
    <mergeCell ref="H112:H113"/>
    <mergeCell ref="E6:E7"/>
    <mergeCell ref="G6:G7"/>
    <mergeCell ref="F112:F113"/>
    <mergeCell ref="G112:G113"/>
    <mergeCell ref="B112:B113"/>
    <mergeCell ref="C112:C113"/>
    <mergeCell ref="F6:F7"/>
    <mergeCell ref="D112:D113"/>
    <mergeCell ref="E112:E113"/>
  </mergeCells>
  <pageMargins left="0.7" right="0.7" top="0.75" bottom="0.75" header="0.3" footer="0.3"/>
  <pageSetup paperSize="9" scale="28" orientation="portrait" r:id="rId1"/>
  <rowBreaks count="1" manualBreakCount="1">
    <brk id="106" max="16383" man="1"/>
  </row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206"/>
  <sheetViews>
    <sheetView view="pageBreakPreview" zoomScale="60" zoomScaleNormal="70" workbookViewId="0">
      <selection activeCell="A114" sqref="A114:A206"/>
    </sheetView>
  </sheetViews>
  <sheetFormatPr defaultColWidth="9" defaultRowHeight="15.6" x14ac:dyDescent="0.3"/>
  <cols>
    <col min="1" max="1" width="16.69921875" customWidth="1"/>
    <col min="2" max="7" width="11.69921875" customWidth="1"/>
    <col min="8" max="8" width="15.09765625" bestFit="1" customWidth="1"/>
    <col min="9" max="15" width="11.69921875" customWidth="1"/>
  </cols>
  <sheetData>
    <row r="1" spans="1:15" x14ac:dyDescent="0.3">
      <c r="A1" s="247" t="s">
        <v>99</v>
      </c>
      <c r="B1" s="247"/>
      <c r="C1" s="247"/>
      <c r="D1" s="247"/>
      <c r="E1" s="247"/>
      <c r="F1" s="247"/>
      <c r="G1" s="247"/>
      <c r="H1" s="247"/>
      <c r="I1" s="33"/>
    </row>
    <row r="2" spans="1:15" s="4" customFormat="1" x14ac:dyDescent="0.3">
      <c r="A2" s="4" t="s">
        <v>103</v>
      </c>
      <c r="B2" s="4" t="str">
        <f>Summary!B2</f>
        <v>TMC-14 Number (D2)</v>
      </c>
      <c r="H2" s="181">
        <f>+Summary!I1</f>
        <v>46245</v>
      </c>
    </row>
    <row r="3" spans="1:15" s="4" customFormat="1" x14ac:dyDescent="0.3">
      <c r="A3" s="4" t="s">
        <v>102</v>
      </c>
      <c r="B3" s="4" t="str">
        <f>Summary!B3</f>
        <v>D2</v>
      </c>
      <c r="H3" s="181" t="str">
        <f>+Summary!I2</f>
        <v>Tuesday</v>
      </c>
    </row>
    <row r="4" spans="1:15" s="4" customFormat="1" x14ac:dyDescent="0.3">
      <c r="A4" s="4" t="s">
        <v>104</v>
      </c>
      <c r="B4" s="4" t="str">
        <f>+Summary!A8</f>
        <v>Chomu Pulia</v>
      </c>
    </row>
    <row r="5" spans="1:15" ht="16.2" thickBot="1" x14ac:dyDescent="0.35"/>
    <row r="6" spans="1:15" ht="25.2" customHeight="1" x14ac:dyDescent="0.3">
      <c r="A6" s="252" t="s">
        <v>95</v>
      </c>
      <c r="B6" s="258" t="s">
        <v>280</v>
      </c>
      <c r="C6" s="254" t="s">
        <v>281</v>
      </c>
      <c r="D6" s="250" t="s">
        <v>282</v>
      </c>
      <c r="E6" s="260" t="s">
        <v>283</v>
      </c>
      <c r="F6" s="256" t="s">
        <v>284</v>
      </c>
      <c r="G6" s="250" t="s">
        <v>129</v>
      </c>
      <c r="H6" s="248" t="s">
        <v>150</v>
      </c>
      <c r="I6" s="250" t="s">
        <v>151</v>
      </c>
      <c r="J6" s="250" t="s">
        <v>285</v>
      </c>
      <c r="K6" s="248" t="s">
        <v>286</v>
      </c>
      <c r="L6" s="250" t="s">
        <v>287</v>
      </c>
      <c r="M6" s="250" t="s">
        <v>78</v>
      </c>
      <c r="N6" s="250" t="s">
        <v>131</v>
      </c>
      <c r="O6" s="250" t="s">
        <v>132</v>
      </c>
    </row>
    <row r="7" spans="1:15" ht="43.5" customHeight="1" thickBot="1" x14ac:dyDescent="0.35">
      <c r="A7" s="253"/>
      <c r="B7" s="259"/>
      <c r="C7" s="255"/>
      <c r="D7" s="251"/>
      <c r="E7" s="261"/>
      <c r="F7" s="257"/>
      <c r="G7" s="259"/>
      <c r="H7" s="249"/>
      <c r="I7" s="251"/>
      <c r="J7" s="251"/>
      <c r="K7" s="249"/>
      <c r="L7" s="251"/>
      <c r="M7" s="251"/>
      <c r="N7" s="251"/>
      <c r="O7" s="251"/>
    </row>
    <row r="8" spans="1:15" ht="22.5" customHeight="1" x14ac:dyDescent="0.3">
      <c r="A8" s="148" t="s">
        <v>177</v>
      </c>
      <c r="B8" s="112">
        <f>V_7!B8+V_8!B8+V_9!B8</f>
        <v>223</v>
      </c>
      <c r="C8" s="113">
        <f>V_7!C8+V_8!C8+V_9!C8</f>
        <v>123</v>
      </c>
      <c r="D8" s="113">
        <f>V_7!D8+V_8!D8+V_9!D8</f>
        <v>10</v>
      </c>
      <c r="E8" s="113">
        <f>V_7!E8+V_8!E8+V_9!E8</f>
        <v>20</v>
      </c>
      <c r="F8" s="151">
        <f>V_7!F8+V_8!F8+V_9!F8</f>
        <v>3</v>
      </c>
      <c r="G8" s="79">
        <f t="shared" ref="G8:G39" si="0">SUM(B8:F8)</f>
        <v>379</v>
      </c>
      <c r="H8" s="112">
        <f>V_7!H8+V_8!H8+V_9!H8</f>
        <v>0</v>
      </c>
      <c r="I8" s="113">
        <f>V_7!I8+V_8!I8+V_9!I8</f>
        <v>0</v>
      </c>
      <c r="J8" s="113">
        <f>V_7!J8+V_8!J8+V_9!J8</f>
        <v>0</v>
      </c>
      <c r="K8" s="114">
        <f>V_7!K8+V_8!K8+V_9!K8</f>
        <v>0</v>
      </c>
      <c r="L8" s="139">
        <f>V_7!L8+V_8!L8+V_9!L8</f>
        <v>10</v>
      </c>
      <c r="M8" s="148">
        <f>SUM(H8:L8)</f>
        <v>10</v>
      </c>
      <c r="N8" s="43">
        <f>G8+M8</f>
        <v>389</v>
      </c>
      <c r="O8" s="115">
        <f>B8*1+C8*0.5+D8*1.5+E8*3+F8*4.5+H8*0.5+I8*1.5+J8*3+K8*4+L8*8</f>
        <v>453</v>
      </c>
    </row>
    <row r="9" spans="1:15" ht="22.5" customHeight="1" x14ac:dyDescent="0.3">
      <c r="A9" s="149" t="s">
        <v>178</v>
      </c>
      <c r="B9" s="44">
        <f>V_7!B9+V_8!B9+V_9!B9</f>
        <v>238</v>
      </c>
      <c r="C9" s="39">
        <f>V_7!C9+V_8!C9+V_9!C9</f>
        <v>140</v>
      </c>
      <c r="D9" s="39">
        <f>V_7!D9+V_8!D9+V_9!D9</f>
        <v>11</v>
      </c>
      <c r="E9" s="39">
        <f>V_7!E9+V_8!E9+V_9!E9</f>
        <v>18</v>
      </c>
      <c r="F9" s="152">
        <f>V_7!F9+V_8!F9+V_9!F9</f>
        <v>3</v>
      </c>
      <c r="G9" s="154">
        <f t="shared" si="0"/>
        <v>410</v>
      </c>
      <c r="H9" s="44">
        <f>V_7!H9+V_8!H9+V_9!H9</f>
        <v>2</v>
      </c>
      <c r="I9" s="39">
        <f>V_7!I9+V_8!I9+V_9!I9</f>
        <v>1</v>
      </c>
      <c r="J9" s="39">
        <f>V_7!J9+V_8!J9+V_9!J9</f>
        <v>0</v>
      </c>
      <c r="K9" s="45">
        <f>V_7!K9+V_8!K9+V_9!K9</f>
        <v>0</v>
      </c>
      <c r="L9" s="140">
        <f>V_7!L9+V_8!L9+V_9!L9</f>
        <v>10</v>
      </c>
      <c r="M9" s="149">
        <f t="shared" ref="M9:M72" si="1">SUM(H9:L9)</f>
        <v>13</v>
      </c>
      <c r="N9" s="100">
        <f t="shared" ref="N9:N72" si="2">G9+M9</f>
        <v>423</v>
      </c>
      <c r="O9" s="43">
        <f t="shared" ref="O9:O72" si="3">B9*1+C9*0.5+D9*1.5+E9*3+F9*4.5+H9*0.5+I9*1.5+J9*3+K9*4+L9*8</f>
        <v>474.5</v>
      </c>
    </row>
    <row r="10" spans="1:15" ht="22.5" customHeight="1" x14ac:dyDescent="0.3">
      <c r="A10" s="149" t="s">
        <v>179</v>
      </c>
      <c r="B10" s="44">
        <f>V_7!B10+V_8!B10+V_9!B10</f>
        <v>272</v>
      </c>
      <c r="C10" s="39">
        <f>V_7!C10+V_8!C10+V_9!C10</f>
        <v>156</v>
      </c>
      <c r="D10" s="39">
        <f>V_7!D10+V_8!D10+V_9!D10</f>
        <v>16</v>
      </c>
      <c r="E10" s="39">
        <f>V_7!E10+V_8!E10+V_9!E10</f>
        <v>13</v>
      </c>
      <c r="F10" s="152">
        <f>V_7!F10+V_8!F10+V_9!F10</f>
        <v>2</v>
      </c>
      <c r="G10" s="154">
        <f t="shared" si="0"/>
        <v>459</v>
      </c>
      <c r="H10" s="44">
        <f>V_7!H10+V_8!H10+V_9!H10</f>
        <v>0</v>
      </c>
      <c r="I10" s="39">
        <f>V_7!I10+V_8!I10+V_9!I10</f>
        <v>0</v>
      </c>
      <c r="J10" s="39">
        <f>V_7!J10+V_8!J10+V_9!J10</f>
        <v>0</v>
      </c>
      <c r="K10" s="45">
        <f>V_7!K10+V_8!K10+V_9!K10</f>
        <v>0</v>
      </c>
      <c r="L10" s="140">
        <f>V_7!L10+V_8!L10+V_9!L10</f>
        <v>9</v>
      </c>
      <c r="M10" s="149">
        <f t="shared" si="1"/>
        <v>9</v>
      </c>
      <c r="N10" s="100">
        <f t="shared" si="2"/>
        <v>468</v>
      </c>
      <c r="O10" s="43">
        <f t="shared" si="3"/>
        <v>494</v>
      </c>
    </row>
    <row r="11" spans="1:15" ht="22.5" customHeight="1" x14ac:dyDescent="0.3">
      <c r="A11" s="149" t="s">
        <v>180</v>
      </c>
      <c r="B11" s="44">
        <f>V_7!B11+V_8!B11+V_9!B11</f>
        <v>328</v>
      </c>
      <c r="C11" s="39">
        <f>V_7!C11+V_8!C11+V_9!C11</f>
        <v>222</v>
      </c>
      <c r="D11" s="39">
        <f>V_7!D11+V_8!D11+V_9!D11</f>
        <v>14</v>
      </c>
      <c r="E11" s="39">
        <f>V_7!E11+V_8!E11+V_9!E11</f>
        <v>15</v>
      </c>
      <c r="F11" s="152">
        <f>V_7!F11+V_8!F11+V_9!F11</f>
        <v>5</v>
      </c>
      <c r="G11" s="154">
        <f t="shared" si="0"/>
        <v>584</v>
      </c>
      <c r="H11" s="44">
        <f>V_7!H11+V_8!H11+V_9!H11</f>
        <v>1</v>
      </c>
      <c r="I11" s="39">
        <f>V_7!I11+V_8!I11+V_9!I11</f>
        <v>0</v>
      </c>
      <c r="J11" s="39">
        <f>V_7!J11+V_8!J11+V_9!J11</f>
        <v>0</v>
      </c>
      <c r="K11" s="45">
        <f>V_7!K11+V_8!K11+V_9!K11</f>
        <v>0</v>
      </c>
      <c r="L11" s="140">
        <f>V_7!L11+V_8!L11+V_9!L11</f>
        <v>10</v>
      </c>
      <c r="M11" s="149">
        <f t="shared" si="1"/>
        <v>11</v>
      </c>
      <c r="N11" s="100">
        <f t="shared" si="2"/>
        <v>595</v>
      </c>
      <c r="O11" s="43">
        <f t="shared" si="3"/>
        <v>608</v>
      </c>
    </row>
    <row r="12" spans="1:15" ht="22.5" customHeight="1" x14ac:dyDescent="0.3">
      <c r="A12" s="149" t="s">
        <v>181</v>
      </c>
      <c r="B12" s="44">
        <f>V_7!B12+V_8!B12+V_9!B12</f>
        <v>304</v>
      </c>
      <c r="C12" s="39">
        <f>V_7!C12+V_8!C12+V_9!C12</f>
        <v>183</v>
      </c>
      <c r="D12" s="39">
        <f>V_7!D12+V_8!D12+V_9!D12</f>
        <v>18</v>
      </c>
      <c r="E12" s="39">
        <f>V_7!E12+V_8!E12+V_9!E12</f>
        <v>9</v>
      </c>
      <c r="F12" s="152">
        <f>V_7!F12+V_8!F12+V_9!F12</f>
        <v>5</v>
      </c>
      <c r="G12" s="154">
        <f t="shared" si="0"/>
        <v>519</v>
      </c>
      <c r="H12" s="44">
        <f>V_7!H12+V_8!H12+V_9!H12</f>
        <v>0</v>
      </c>
      <c r="I12" s="39">
        <f>V_7!I12+V_8!I12+V_9!I12</f>
        <v>0</v>
      </c>
      <c r="J12" s="39">
        <f>V_7!J12+V_8!J12+V_9!J12</f>
        <v>0</v>
      </c>
      <c r="K12" s="45">
        <f>V_7!K12+V_8!K12+V_9!K12</f>
        <v>0</v>
      </c>
      <c r="L12" s="140">
        <f>V_7!L12+V_8!L12+V_9!L12</f>
        <v>11</v>
      </c>
      <c r="M12" s="149">
        <f t="shared" si="1"/>
        <v>11</v>
      </c>
      <c r="N12" s="100">
        <f t="shared" si="2"/>
        <v>530</v>
      </c>
      <c r="O12" s="43">
        <f t="shared" si="3"/>
        <v>560</v>
      </c>
    </row>
    <row r="13" spans="1:15" ht="22.5" customHeight="1" x14ac:dyDescent="0.3">
      <c r="A13" s="149" t="s">
        <v>182</v>
      </c>
      <c r="B13" s="44">
        <f>V_7!B13+V_8!B13+V_9!B13</f>
        <v>331</v>
      </c>
      <c r="C13" s="39">
        <f>V_7!C13+V_8!C13+V_9!C13</f>
        <v>225</v>
      </c>
      <c r="D13" s="39">
        <f>V_7!D13+V_8!D13+V_9!D13</f>
        <v>9</v>
      </c>
      <c r="E13" s="39">
        <f>V_7!E13+V_8!E13+V_9!E13</f>
        <v>12</v>
      </c>
      <c r="F13" s="152">
        <f>V_7!F13+V_8!F13+V_9!F13</f>
        <v>1</v>
      </c>
      <c r="G13" s="154">
        <f t="shared" si="0"/>
        <v>578</v>
      </c>
      <c r="H13" s="44">
        <f>V_7!H13+V_8!H13+V_9!H13</f>
        <v>0</v>
      </c>
      <c r="I13" s="39">
        <f>V_7!I13+V_8!I13+V_9!I13</f>
        <v>0</v>
      </c>
      <c r="J13" s="39">
        <f>V_7!J13+V_8!J13+V_9!J13</f>
        <v>0</v>
      </c>
      <c r="K13" s="45">
        <f>V_7!K13+V_8!K13+V_9!K13</f>
        <v>0</v>
      </c>
      <c r="L13" s="140">
        <f>V_7!L13+V_8!L13+V_9!L13</f>
        <v>11</v>
      </c>
      <c r="M13" s="149">
        <f t="shared" si="1"/>
        <v>11</v>
      </c>
      <c r="N13" s="100">
        <f t="shared" si="2"/>
        <v>589</v>
      </c>
      <c r="O13" s="43">
        <f t="shared" si="3"/>
        <v>585.5</v>
      </c>
    </row>
    <row r="14" spans="1:15" ht="22.5" customHeight="1" x14ac:dyDescent="0.3">
      <c r="A14" s="149" t="s">
        <v>183</v>
      </c>
      <c r="B14" s="44">
        <f>V_7!B14+V_8!B14+V_9!B14</f>
        <v>268</v>
      </c>
      <c r="C14" s="39">
        <f>V_7!C14+V_8!C14+V_9!C14</f>
        <v>190</v>
      </c>
      <c r="D14" s="39">
        <f>V_7!D14+V_8!D14+V_9!D14</f>
        <v>13</v>
      </c>
      <c r="E14" s="39">
        <f>V_7!E14+V_8!E14+V_9!E14</f>
        <v>14</v>
      </c>
      <c r="F14" s="152">
        <f>V_7!F14+V_8!F14+V_9!F14</f>
        <v>2</v>
      </c>
      <c r="G14" s="154">
        <f t="shared" si="0"/>
        <v>487</v>
      </c>
      <c r="H14" s="44">
        <f>V_7!H14+V_8!H14+V_9!H14</f>
        <v>0</v>
      </c>
      <c r="I14" s="39">
        <f>V_7!I14+V_8!I14+V_9!I14</f>
        <v>0</v>
      </c>
      <c r="J14" s="39">
        <f>V_7!J14+V_8!J14+V_9!J14</f>
        <v>0</v>
      </c>
      <c r="K14" s="45">
        <f>V_7!K14+V_8!K14+V_9!K14</f>
        <v>0</v>
      </c>
      <c r="L14" s="140">
        <f>V_7!L14+V_8!L14+V_9!L14</f>
        <v>11</v>
      </c>
      <c r="M14" s="149">
        <f t="shared" si="1"/>
        <v>11</v>
      </c>
      <c r="N14" s="100">
        <f t="shared" si="2"/>
        <v>498</v>
      </c>
      <c r="O14" s="43">
        <f t="shared" si="3"/>
        <v>521.5</v>
      </c>
    </row>
    <row r="15" spans="1:15" ht="22.5" customHeight="1" x14ac:dyDescent="0.3">
      <c r="A15" s="149" t="s">
        <v>184</v>
      </c>
      <c r="B15" s="44">
        <f>V_7!B15+V_8!B15+V_9!B15</f>
        <v>262</v>
      </c>
      <c r="C15" s="39">
        <f>V_7!C15+V_8!C15+V_9!C15</f>
        <v>150</v>
      </c>
      <c r="D15" s="39">
        <f>V_7!D15+V_8!D15+V_9!D15</f>
        <v>12</v>
      </c>
      <c r="E15" s="39">
        <f>V_7!E15+V_8!E15+V_9!E15</f>
        <v>11</v>
      </c>
      <c r="F15" s="152">
        <f>V_7!F15+V_8!F15+V_9!F15</f>
        <v>0</v>
      </c>
      <c r="G15" s="154">
        <f t="shared" si="0"/>
        <v>435</v>
      </c>
      <c r="H15" s="44">
        <f>V_7!H15+V_8!H15+V_9!H15</f>
        <v>0</v>
      </c>
      <c r="I15" s="39">
        <f>V_7!I15+V_8!I15+V_9!I15</f>
        <v>0</v>
      </c>
      <c r="J15" s="39">
        <f>V_7!J15+V_8!J15+V_9!J15</f>
        <v>0</v>
      </c>
      <c r="K15" s="45">
        <f>V_7!K15+V_8!K15+V_9!K15</f>
        <v>0</v>
      </c>
      <c r="L15" s="140">
        <f>V_7!L15+V_8!L15+V_9!L15</f>
        <v>7</v>
      </c>
      <c r="M15" s="149">
        <f t="shared" si="1"/>
        <v>7</v>
      </c>
      <c r="N15" s="100">
        <f t="shared" si="2"/>
        <v>442</v>
      </c>
      <c r="O15" s="43">
        <f t="shared" si="3"/>
        <v>444</v>
      </c>
    </row>
    <row r="16" spans="1:15" ht="22.5" customHeight="1" x14ac:dyDescent="0.3">
      <c r="A16" s="149" t="s">
        <v>185</v>
      </c>
      <c r="B16" s="44">
        <f>V_7!B16+V_8!B16+V_9!B16</f>
        <v>326</v>
      </c>
      <c r="C16" s="39">
        <f>V_7!C16+V_8!C16+V_9!C16</f>
        <v>199</v>
      </c>
      <c r="D16" s="39">
        <f>V_7!D16+V_8!D16+V_9!D16</f>
        <v>16</v>
      </c>
      <c r="E16" s="39">
        <f>V_7!E16+V_8!E16+V_9!E16</f>
        <v>10</v>
      </c>
      <c r="F16" s="152">
        <f>V_7!F16+V_8!F16+V_9!F16</f>
        <v>2</v>
      </c>
      <c r="G16" s="154">
        <f t="shared" si="0"/>
        <v>553</v>
      </c>
      <c r="H16" s="44">
        <f>V_7!H16+V_8!H16+V_9!H16</f>
        <v>1</v>
      </c>
      <c r="I16" s="39">
        <f>V_7!I16+V_8!I16+V_9!I16</f>
        <v>0</v>
      </c>
      <c r="J16" s="39">
        <f>V_7!J16+V_8!J16+V_9!J16</f>
        <v>0</v>
      </c>
      <c r="K16" s="45">
        <f>V_7!K16+V_8!K16+V_9!K16</f>
        <v>0</v>
      </c>
      <c r="L16" s="140">
        <f>V_7!L16+V_8!L16+V_9!L16</f>
        <v>13</v>
      </c>
      <c r="M16" s="149">
        <f t="shared" si="1"/>
        <v>14</v>
      </c>
      <c r="N16" s="100">
        <f t="shared" si="2"/>
        <v>567</v>
      </c>
      <c r="O16" s="43">
        <f t="shared" si="3"/>
        <v>593</v>
      </c>
    </row>
    <row r="17" spans="1:15" ht="22.5" customHeight="1" x14ac:dyDescent="0.3">
      <c r="A17" s="149" t="s">
        <v>186</v>
      </c>
      <c r="B17" s="44">
        <f>V_7!B17+V_8!B17+V_9!B17</f>
        <v>264</v>
      </c>
      <c r="C17" s="39">
        <f>V_7!C17+V_8!C17+V_9!C17</f>
        <v>149</v>
      </c>
      <c r="D17" s="39">
        <f>V_7!D17+V_8!D17+V_9!D17</f>
        <v>6</v>
      </c>
      <c r="E17" s="39">
        <f>V_7!E17+V_8!E17+V_9!E17</f>
        <v>5</v>
      </c>
      <c r="F17" s="152">
        <f>V_7!F17+V_8!F17+V_9!F17</f>
        <v>5</v>
      </c>
      <c r="G17" s="154">
        <f t="shared" si="0"/>
        <v>429</v>
      </c>
      <c r="H17" s="44">
        <f>V_7!H17+V_8!H17+V_9!H17</f>
        <v>0</v>
      </c>
      <c r="I17" s="39">
        <f>V_7!I17+V_8!I17+V_9!I17</f>
        <v>0</v>
      </c>
      <c r="J17" s="39">
        <f>V_7!J17+V_8!J17+V_9!J17</f>
        <v>0</v>
      </c>
      <c r="K17" s="45">
        <f>V_7!K17+V_8!K17+V_9!K17</f>
        <v>0</v>
      </c>
      <c r="L17" s="140">
        <f>V_7!L17+V_8!L17+V_9!L17</f>
        <v>10</v>
      </c>
      <c r="M17" s="149">
        <f t="shared" si="1"/>
        <v>10</v>
      </c>
      <c r="N17" s="100">
        <f t="shared" si="2"/>
        <v>439</v>
      </c>
      <c r="O17" s="43">
        <f t="shared" si="3"/>
        <v>465</v>
      </c>
    </row>
    <row r="18" spans="1:15" ht="22.5" customHeight="1" x14ac:dyDescent="0.3">
      <c r="A18" s="149" t="s">
        <v>187</v>
      </c>
      <c r="B18" s="44">
        <f>V_7!B18+V_8!B18+V_9!B18</f>
        <v>296</v>
      </c>
      <c r="C18" s="39">
        <f>V_7!C18+V_8!C18+V_9!C18</f>
        <v>151</v>
      </c>
      <c r="D18" s="39">
        <f>V_7!D18+V_8!D18+V_9!D18</f>
        <v>8</v>
      </c>
      <c r="E18" s="39">
        <f>V_7!E18+V_8!E18+V_9!E18</f>
        <v>12</v>
      </c>
      <c r="F18" s="152">
        <f>V_7!F18+V_8!F18+V_9!F18</f>
        <v>5</v>
      </c>
      <c r="G18" s="154">
        <f t="shared" si="0"/>
        <v>472</v>
      </c>
      <c r="H18" s="44">
        <f>V_7!H18+V_8!H18+V_9!H18</f>
        <v>0</v>
      </c>
      <c r="I18" s="39">
        <f>V_7!I18+V_8!I18+V_9!I18</f>
        <v>0</v>
      </c>
      <c r="J18" s="39">
        <f>V_7!J18+V_8!J18+V_9!J18</f>
        <v>0</v>
      </c>
      <c r="K18" s="45">
        <f>V_7!K18+V_8!K18+V_9!K18</f>
        <v>0</v>
      </c>
      <c r="L18" s="140">
        <f>V_7!L18+V_8!L18+V_9!L18</f>
        <v>8</v>
      </c>
      <c r="M18" s="149">
        <f t="shared" si="1"/>
        <v>8</v>
      </c>
      <c r="N18" s="100">
        <f t="shared" si="2"/>
        <v>480</v>
      </c>
      <c r="O18" s="43">
        <f t="shared" si="3"/>
        <v>506</v>
      </c>
    </row>
    <row r="19" spans="1:15" ht="22.5" customHeight="1" x14ac:dyDescent="0.3">
      <c r="A19" s="149" t="s">
        <v>188</v>
      </c>
      <c r="B19" s="44">
        <f>V_7!B19+V_8!B19+V_9!B19</f>
        <v>310</v>
      </c>
      <c r="C19" s="39">
        <f>V_7!C19+V_8!C19+V_9!C19</f>
        <v>168</v>
      </c>
      <c r="D19" s="39">
        <f>V_7!D19+V_8!D19+V_9!D19</f>
        <v>10</v>
      </c>
      <c r="E19" s="39">
        <f>V_7!E19+V_8!E19+V_9!E19</f>
        <v>17</v>
      </c>
      <c r="F19" s="152">
        <f>V_7!F19+V_8!F19+V_9!F19</f>
        <v>3</v>
      </c>
      <c r="G19" s="154">
        <f t="shared" si="0"/>
        <v>508</v>
      </c>
      <c r="H19" s="44">
        <f>V_7!H19+V_8!H19+V_9!H19</f>
        <v>0</v>
      </c>
      <c r="I19" s="39">
        <f>V_7!I19+V_8!I19+V_9!I19</f>
        <v>0</v>
      </c>
      <c r="J19" s="39">
        <f>V_7!J19+V_8!J19+V_9!J19</f>
        <v>0</v>
      </c>
      <c r="K19" s="45">
        <f>V_7!K19+V_8!K19+V_9!K19</f>
        <v>0</v>
      </c>
      <c r="L19" s="140">
        <f>V_7!L19+V_8!L19+V_9!L19</f>
        <v>8</v>
      </c>
      <c r="M19" s="149">
        <f t="shared" si="1"/>
        <v>8</v>
      </c>
      <c r="N19" s="100">
        <f t="shared" si="2"/>
        <v>516</v>
      </c>
      <c r="O19" s="43">
        <f t="shared" si="3"/>
        <v>537.5</v>
      </c>
    </row>
    <row r="20" spans="1:15" ht="22.5" customHeight="1" x14ac:dyDescent="0.3">
      <c r="A20" s="149" t="s">
        <v>189</v>
      </c>
      <c r="B20" s="44">
        <f>V_7!B20+V_8!B20+V_9!B20</f>
        <v>287</v>
      </c>
      <c r="C20" s="39">
        <f>V_7!C20+V_8!C20+V_9!C20</f>
        <v>116</v>
      </c>
      <c r="D20" s="39">
        <f>V_7!D20+V_8!D20+V_9!D20</f>
        <v>6</v>
      </c>
      <c r="E20" s="39">
        <f>V_7!E20+V_8!E20+V_9!E20</f>
        <v>20</v>
      </c>
      <c r="F20" s="152">
        <f>V_7!F20+V_8!F20+V_9!F20</f>
        <v>4</v>
      </c>
      <c r="G20" s="154">
        <f t="shared" si="0"/>
        <v>433</v>
      </c>
      <c r="H20" s="44">
        <f>V_7!H20+V_8!H20+V_9!H20</f>
        <v>0</v>
      </c>
      <c r="I20" s="39">
        <f>V_7!I20+V_8!I20+V_9!I20</f>
        <v>0</v>
      </c>
      <c r="J20" s="39">
        <f>V_7!J20+V_8!J20+V_9!J20</f>
        <v>0</v>
      </c>
      <c r="K20" s="45">
        <f>V_7!K20+V_8!K20+V_9!K20</f>
        <v>0</v>
      </c>
      <c r="L20" s="140">
        <f>V_7!L20+V_8!L20+V_9!L20</f>
        <v>8</v>
      </c>
      <c r="M20" s="149">
        <f t="shared" si="1"/>
        <v>8</v>
      </c>
      <c r="N20" s="100">
        <f t="shared" si="2"/>
        <v>441</v>
      </c>
      <c r="O20" s="43">
        <f t="shared" si="3"/>
        <v>496</v>
      </c>
    </row>
    <row r="21" spans="1:15" ht="22.5" customHeight="1" x14ac:dyDescent="0.3">
      <c r="A21" s="149" t="s">
        <v>190</v>
      </c>
      <c r="B21" s="44">
        <f>V_7!B21+V_8!B21+V_9!B21</f>
        <v>311</v>
      </c>
      <c r="C21" s="39">
        <f>V_7!C21+V_8!C21+V_9!C21</f>
        <v>146</v>
      </c>
      <c r="D21" s="39">
        <f>V_7!D21+V_8!D21+V_9!D21</f>
        <v>10</v>
      </c>
      <c r="E21" s="39">
        <f>V_7!E21+V_8!E21+V_9!E21</f>
        <v>19</v>
      </c>
      <c r="F21" s="152">
        <f>V_7!F21+V_8!F21+V_9!F21</f>
        <v>8</v>
      </c>
      <c r="G21" s="154">
        <f t="shared" si="0"/>
        <v>494</v>
      </c>
      <c r="H21" s="44">
        <f>V_7!H21+V_8!H21+V_9!H21</f>
        <v>0</v>
      </c>
      <c r="I21" s="39">
        <f>V_7!I21+V_8!I21+V_9!I21</f>
        <v>0</v>
      </c>
      <c r="J21" s="39">
        <f>V_7!J21+V_8!J21+V_9!J21</f>
        <v>0</v>
      </c>
      <c r="K21" s="45">
        <f>V_7!K21+V_8!K21+V_9!K21</f>
        <v>0</v>
      </c>
      <c r="L21" s="140">
        <f>V_7!L21+V_8!L21+V_9!L21</f>
        <v>9</v>
      </c>
      <c r="M21" s="149">
        <f t="shared" si="1"/>
        <v>9</v>
      </c>
      <c r="N21" s="100">
        <f t="shared" si="2"/>
        <v>503</v>
      </c>
      <c r="O21" s="43">
        <f t="shared" si="3"/>
        <v>564</v>
      </c>
    </row>
    <row r="22" spans="1:15" ht="22.5" customHeight="1" x14ac:dyDescent="0.3">
      <c r="A22" s="149" t="s">
        <v>191</v>
      </c>
      <c r="B22" s="44">
        <f>V_7!B22+V_8!B22+V_9!B22</f>
        <v>250</v>
      </c>
      <c r="C22" s="39">
        <f>V_7!C22+V_8!C22+V_9!C22</f>
        <v>124</v>
      </c>
      <c r="D22" s="39">
        <f>V_7!D22+V_8!D22+V_9!D22</f>
        <v>14</v>
      </c>
      <c r="E22" s="39">
        <f>V_7!E22+V_8!E22+V_9!E22</f>
        <v>12</v>
      </c>
      <c r="F22" s="152">
        <f>V_7!F22+V_8!F22+V_9!F22</f>
        <v>6</v>
      </c>
      <c r="G22" s="154">
        <f t="shared" si="0"/>
        <v>406</v>
      </c>
      <c r="H22" s="44">
        <f>V_7!H22+V_8!H22+V_9!H22</f>
        <v>0</v>
      </c>
      <c r="I22" s="39">
        <f>V_7!I22+V_8!I22+V_9!I22</f>
        <v>0</v>
      </c>
      <c r="J22" s="39">
        <f>V_7!J22+V_8!J22+V_9!J22</f>
        <v>0</v>
      </c>
      <c r="K22" s="45">
        <f>V_7!K22+V_8!K22+V_9!K22</f>
        <v>0</v>
      </c>
      <c r="L22" s="140">
        <f>V_7!L22+V_8!L22+V_9!L22</f>
        <v>7</v>
      </c>
      <c r="M22" s="149">
        <f t="shared" si="1"/>
        <v>7</v>
      </c>
      <c r="N22" s="100">
        <f t="shared" si="2"/>
        <v>413</v>
      </c>
      <c r="O22" s="43">
        <f t="shared" si="3"/>
        <v>452</v>
      </c>
    </row>
    <row r="23" spans="1:15" ht="22.5" customHeight="1" x14ac:dyDescent="0.3">
      <c r="A23" s="149" t="s">
        <v>192</v>
      </c>
      <c r="B23" s="44">
        <f>V_7!B23+V_8!B23+V_9!B23</f>
        <v>279</v>
      </c>
      <c r="C23" s="39">
        <f>V_7!C23+V_8!C23+V_9!C23</f>
        <v>136</v>
      </c>
      <c r="D23" s="39">
        <f>V_7!D23+V_8!D23+V_9!D23</f>
        <v>10</v>
      </c>
      <c r="E23" s="39">
        <f>V_7!E23+V_8!E23+V_9!E23</f>
        <v>16</v>
      </c>
      <c r="F23" s="152">
        <f>V_7!F23+V_8!F23+V_9!F23</f>
        <v>6</v>
      </c>
      <c r="G23" s="154">
        <f t="shared" si="0"/>
        <v>447</v>
      </c>
      <c r="H23" s="44">
        <f>V_7!H23+V_8!H23+V_9!H23</f>
        <v>0</v>
      </c>
      <c r="I23" s="39">
        <f>V_7!I23+V_8!I23+V_9!I23</f>
        <v>0</v>
      </c>
      <c r="J23" s="39">
        <f>V_7!J23+V_8!J23+V_9!J23</f>
        <v>0</v>
      </c>
      <c r="K23" s="45">
        <f>V_7!K23+V_8!K23+V_9!K23</f>
        <v>0</v>
      </c>
      <c r="L23" s="140">
        <f>V_7!L23+V_8!L23+V_9!L23</f>
        <v>9</v>
      </c>
      <c r="M23" s="149">
        <f t="shared" si="1"/>
        <v>9</v>
      </c>
      <c r="N23" s="100">
        <f t="shared" si="2"/>
        <v>456</v>
      </c>
      <c r="O23" s="43">
        <f t="shared" si="3"/>
        <v>509</v>
      </c>
    </row>
    <row r="24" spans="1:15" ht="22.5" customHeight="1" x14ac:dyDescent="0.3">
      <c r="A24" s="149" t="s">
        <v>193</v>
      </c>
      <c r="B24" s="44">
        <f>V_7!B24+V_8!B24+V_9!B24</f>
        <v>269</v>
      </c>
      <c r="C24" s="39">
        <f>V_7!C24+V_8!C24+V_9!C24</f>
        <v>135</v>
      </c>
      <c r="D24" s="39">
        <f>V_7!D24+V_8!D24+V_9!D24</f>
        <v>9</v>
      </c>
      <c r="E24" s="39">
        <f>V_7!E24+V_8!E24+V_9!E24</f>
        <v>24</v>
      </c>
      <c r="F24" s="152">
        <f>V_7!F24+V_8!F24+V_9!F24</f>
        <v>8</v>
      </c>
      <c r="G24" s="154">
        <f t="shared" si="0"/>
        <v>445</v>
      </c>
      <c r="H24" s="44">
        <f>V_7!H24+V_8!H24+V_9!H24</f>
        <v>0</v>
      </c>
      <c r="I24" s="39">
        <f>V_7!I24+V_8!I24+V_9!I24</f>
        <v>0</v>
      </c>
      <c r="J24" s="39">
        <f>V_7!J24+V_8!J24+V_9!J24</f>
        <v>0</v>
      </c>
      <c r="K24" s="45">
        <f>V_7!K24+V_8!K24+V_9!K24</f>
        <v>0</v>
      </c>
      <c r="L24" s="140">
        <f>V_7!L24+V_8!L24+V_9!L24</f>
        <v>0</v>
      </c>
      <c r="M24" s="149">
        <f t="shared" si="1"/>
        <v>0</v>
      </c>
      <c r="N24" s="100">
        <f t="shared" si="2"/>
        <v>445</v>
      </c>
      <c r="O24" s="43">
        <f t="shared" si="3"/>
        <v>458</v>
      </c>
    </row>
    <row r="25" spans="1:15" ht="22.5" customHeight="1" x14ac:dyDescent="0.3">
      <c r="A25" s="149" t="s">
        <v>194</v>
      </c>
      <c r="B25" s="44">
        <f>V_7!B25+V_8!B25+V_9!B25</f>
        <v>272</v>
      </c>
      <c r="C25" s="39">
        <f>V_7!C25+V_8!C25+V_9!C25</f>
        <v>133</v>
      </c>
      <c r="D25" s="39">
        <f>V_7!D25+V_8!D25+V_9!D25</f>
        <v>10</v>
      </c>
      <c r="E25" s="39">
        <f>V_7!E25+V_8!E25+V_9!E25</f>
        <v>18</v>
      </c>
      <c r="F25" s="152">
        <f>V_7!F25+V_8!F25+V_9!F25</f>
        <v>2</v>
      </c>
      <c r="G25" s="154">
        <f t="shared" si="0"/>
        <v>435</v>
      </c>
      <c r="H25" s="44">
        <f>V_7!H25+V_8!H25+V_9!H25</f>
        <v>0</v>
      </c>
      <c r="I25" s="39">
        <f>V_7!I25+V_8!I25+V_9!I25</f>
        <v>0</v>
      </c>
      <c r="J25" s="39">
        <f>V_7!J25+V_8!J25+V_9!J25</f>
        <v>0</v>
      </c>
      <c r="K25" s="45">
        <f>V_7!K25+V_8!K25+V_9!K25</f>
        <v>0</v>
      </c>
      <c r="L25" s="140">
        <f>V_7!L25+V_8!L25+V_9!L25</f>
        <v>4</v>
      </c>
      <c r="M25" s="149">
        <f t="shared" si="1"/>
        <v>4</v>
      </c>
      <c r="N25" s="100">
        <f t="shared" si="2"/>
        <v>439</v>
      </c>
      <c r="O25" s="43">
        <f t="shared" si="3"/>
        <v>448.5</v>
      </c>
    </row>
    <row r="26" spans="1:15" ht="22.5" customHeight="1" x14ac:dyDescent="0.3">
      <c r="A26" s="149" t="s">
        <v>195</v>
      </c>
      <c r="B26" s="44">
        <f>V_7!B26+V_8!B26+V_9!B26</f>
        <v>272</v>
      </c>
      <c r="C26" s="39">
        <f>V_7!C26+V_8!C26+V_9!C26</f>
        <v>174</v>
      </c>
      <c r="D26" s="39">
        <f>V_7!D26+V_8!D26+V_9!D26</f>
        <v>12</v>
      </c>
      <c r="E26" s="39">
        <f>V_7!E26+V_8!E26+V_9!E26</f>
        <v>15</v>
      </c>
      <c r="F26" s="152">
        <f>V_7!F26+V_8!F26+V_9!F26</f>
        <v>7</v>
      </c>
      <c r="G26" s="154">
        <f t="shared" si="0"/>
        <v>480</v>
      </c>
      <c r="H26" s="44">
        <f>V_7!H26+V_8!H26+V_9!H26</f>
        <v>0</v>
      </c>
      <c r="I26" s="39">
        <f>V_7!I26+V_8!I26+V_9!I26</f>
        <v>0</v>
      </c>
      <c r="J26" s="39">
        <f>V_7!J26+V_8!J26+V_9!J26</f>
        <v>0</v>
      </c>
      <c r="K26" s="45">
        <f>V_7!K26+V_8!K26+V_9!K26</f>
        <v>0</v>
      </c>
      <c r="L26" s="140">
        <f>V_7!L26+V_8!L26+V_9!L26</f>
        <v>2</v>
      </c>
      <c r="M26" s="149">
        <f t="shared" si="1"/>
        <v>2</v>
      </c>
      <c r="N26" s="100">
        <f t="shared" si="2"/>
        <v>482</v>
      </c>
      <c r="O26" s="43">
        <f t="shared" si="3"/>
        <v>469.5</v>
      </c>
    </row>
    <row r="27" spans="1:15" ht="22.5" customHeight="1" x14ac:dyDescent="0.3">
      <c r="A27" s="149" t="s">
        <v>196</v>
      </c>
      <c r="B27" s="44">
        <f>V_7!B27+V_8!B27+V_9!B27</f>
        <v>289</v>
      </c>
      <c r="C27" s="39">
        <f>V_7!C27+V_8!C27+V_9!C27</f>
        <v>118</v>
      </c>
      <c r="D27" s="39">
        <f>V_7!D27+V_8!D27+V_9!D27</f>
        <v>21</v>
      </c>
      <c r="E27" s="39">
        <f>V_7!E27+V_8!E27+V_9!E27</f>
        <v>14</v>
      </c>
      <c r="F27" s="152">
        <f>V_7!F27+V_8!F27+V_9!F27</f>
        <v>6</v>
      </c>
      <c r="G27" s="154">
        <f t="shared" si="0"/>
        <v>448</v>
      </c>
      <c r="H27" s="44">
        <f>V_7!H27+V_8!H27+V_9!H27</f>
        <v>0</v>
      </c>
      <c r="I27" s="39">
        <f>V_7!I27+V_8!I27+V_9!I27</f>
        <v>0</v>
      </c>
      <c r="J27" s="39">
        <f>V_7!J27+V_8!J27+V_9!J27</f>
        <v>0</v>
      </c>
      <c r="K27" s="45">
        <f>V_7!K27+V_8!K27+V_9!K27</f>
        <v>0</v>
      </c>
      <c r="L27" s="140">
        <f>V_7!L27+V_8!L27+V_9!L27</f>
        <v>2</v>
      </c>
      <c r="M27" s="149">
        <f t="shared" si="1"/>
        <v>2</v>
      </c>
      <c r="N27" s="100">
        <f t="shared" si="2"/>
        <v>450</v>
      </c>
      <c r="O27" s="43">
        <f t="shared" si="3"/>
        <v>464.5</v>
      </c>
    </row>
    <row r="28" spans="1:15" ht="22.5" customHeight="1" x14ac:dyDescent="0.3">
      <c r="A28" s="149" t="s">
        <v>197</v>
      </c>
      <c r="B28" s="44">
        <f>V_7!B28+V_8!B28+V_9!B28</f>
        <v>234</v>
      </c>
      <c r="C28" s="39">
        <f>V_7!C28+V_8!C28+V_9!C28</f>
        <v>118</v>
      </c>
      <c r="D28" s="39">
        <f>V_7!D28+V_8!D28+V_9!D28</f>
        <v>18</v>
      </c>
      <c r="E28" s="39">
        <f>V_7!E28+V_8!E28+V_9!E28</f>
        <v>27</v>
      </c>
      <c r="F28" s="152">
        <f>V_7!F28+V_8!F28+V_9!F28</f>
        <v>7</v>
      </c>
      <c r="G28" s="154">
        <f t="shared" si="0"/>
        <v>404</v>
      </c>
      <c r="H28" s="44">
        <f>V_7!H28+V_8!H28+V_9!H28</f>
        <v>0</v>
      </c>
      <c r="I28" s="39">
        <f>V_7!I28+V_8!I28+V_9!I28</f>
        <v>0</v>
      </c>
      <c r="J28" s="39">
        <f>V_7!J28+V_8!J28+V_9!J28</f>
        <v>0</v>
      </c>
      <c r="K28" s="45">
        <f>V_7!K28+V_8!K28+V_9!K28</f>
        <v>0</v>
      </c>
      <c r="L28" s="140">
        <f>V_7!L28+V_8!L28+V_9!L28</f>
        <v>0</v>
      </c>
      <c r="M28" s="149">
        <f t="shared" si="1"/>
        <v>0</v>
      </c>
      <c r="N28" s="100">
        <f t="shared" si="2"/>
        <v>404</v>
      </c>
      <c r="O28" s="43">
        <f t="shared" si="3"/>
        <v>432.5</v>
      </c>
    </row>
    <row r="29" spans="1:15" ht="22.5" customHeight="1" x14ac:dyDescent="0.3">
      <c r="A29" s="149" t="s">
        <v>198</v>
      </c>
      <c r="B29" s="44">
        <f>V_7!B29+V_8!B29+V_9!B29</f>
        <v>290</v>
      </c>
      <c r="C29" s="39">
        <f>V_7!C29+V_8!C29+V_9!C29</f>
        <v>131</v>
      </c>
      <c r="D29" s="39">
        <f>V_7!D29+V_8!D29+V_9!D29</f>
        <v>16</v>
      </c>
      <c r="E29" s="39">
        <f>V_7!E29+V_8!E29+V_9!E29</f>
        <v>15</v>
      </c>
      <c r="F29" s="152">
        <f>V_7!F29+V_8!F29+V_9!F29</f>
        <v>6</v>
      </c>
      <c r="G29" s="154">
        <f t="shared" si="0"/>
        <v>458</v>
      </c>
      <c r="H29" s="44">
        <f>V_7!H29+V_8!H29+V_9!H29</f>
        <v>0</v>
      </c>
      <c r="I29" s="39">
        <f>V_7!I29+V_8!I29+V_9!I29</f>
        <v>0</v>
      </c>
      <c r="J29" s="39">
        <f>V_7!J29+V_8!J29+V_9!J29</f>
        <v>0</v>
      </c>
      <c r="K29" s="45">
        <f>V_7!K29+V_8!K29+V_9!K29</f>
        <v>0</v>
      </c>
      <c r="L29" s="140">
        <f>V_7!L29+V_8!L29+V_9!L29</f>
        <v>1</v>
      </c>
      <c r="M29" s="149">
        <f t="shared" si="1"/>
        <v>1</v>
      </c>
      <c r="N29" s="100">
        <f t="shared" si="2"/>
        <v>459</v>
      </c>
      <c r="O29" s="43">
        <f t="shared" si="3"/>
        <v>459.5</v>
      </c>
    </row>
    <row r="30" spans="1:15" ht="22.5" customHeight="1" x14ac:dyDescent="0.3">
      <c r="A30" s="149" t="s">
        <v>199</v>
      </c>
      <c r="B30" s="44">
        <f>V_7!B30+V_8!B30+V_9!B30</f>
        <v>316</v>
      </c>
      <c r="C30" s="39">
        <f>V_7!C30+V_8!C30+V_9!C30</f>
        <v>180</v>
      </c>
      <c r="D30" s="39">
        <f>V_7!D30+V_8!D30+V_9!D30</f>
        <v>21</v>
      </c>
      <c r="E30" s="39">
        <f>V_7!E30+V_8!E30+V_9!E30</f>
        <v>14</v>
      </c>
      <c r="F30" s="152">
        <f>V_7!F30+V_8!F30+V_9!F30</f>
        <v>6</v>
      </c>
      <c r="G30" s="154">
        <f t="shared" si="0"/>
        <v>537</v>
      </c>
      <c r="H30" s="44">
        <f>V_7!H30+V_8!H30+V_9!H30</f>
        <v>0</v>
      </c>
      <c r="I30" s="39">
        <f>V_7!I30+V_8!I30+V_9!I30</f>
        <v>0</v>
      </c>
      <c r="J30" s="39">
        <f>V_7!J30+V_8!J30+V_9!J30</f>
        <v>0</v>
      </c>
      <c r="K30" s="45">
        <f>V_7!K30+V_8!K30+V_9!K30</f>
        <v>0</v>
      </c>
      <c r="L30" s="140">
        <f>V_7!L30+V_8!L30+V_9!L30</f>
        <v>4</v>
      </c>
      <c r="M30" s="149">
        <f t="shared" si="1"/>
        <v>4</v>
      </c>
      <c r="N30" s="100">
        <f t="shared" si="2"/>
        <v>541</v>
      </c>
      <c r="O30" s="43">
        <f t="shared" si="3"/>
        <v>538.5</v>
      </c>
    </row>
    <row r="31" spans="1:15" ht="22.5" customHeight="1" x14ac:dyDescent="0.3">
      <c r="A31" s="149" t="s">
        <v>200</v>
      </c>
      <c r="B31" s="44">
        <f>V_7!B31+V_8!B31+V_9!B31</f>
        <v>312</v>
      </c>
      <c r="C31" s="39">
        <f>V_7!C31+V_8!C31+V_9!C31</f>
        <v>178</v>
      </c>
      <c r="D31" s="39">
        <f>V_7!D31+V_8!D31+V_9!D31</f>
        <v>25</v>
      </c>
      <c r="E31" s="39">
        <f>V_7!E31+V_8!E31+V_9!E31</f>
        <v>15</v>
      </c>
      <c r="F31" s="152">
        <f>V_7!F31+V_8!F31+V_9!F31</f>
        <v>7</v>
      </c>
      <c r="G31" s="154">
        <f t="shared" si="0"/>
        <v>537</v>
      </c>
      <c r="H31" s="44">
        <f>V_7!H31+V_8!H31+V_9!H31</f>
        <v>0</v>
      </c>
      <c r="I31" s="39">
        <f>V_7!I31+V_8!I31+V_9!I31</f>
        <v>0</v>
      </c>
      <c r="J31" s="39">
        <f>V_7!J31+V_8!J31+V_9!J31</f>
        <v>0</v>
      </c>
      <c r="K31" s="45">
        <f>V_7!K31+V_8!K31+V_9!K31</f>
        <v>0</v>
      </c>
      <c r="L31" s="140">
        <f>V_7!L31+V_8!L31+V_9!L31</f>
        <v>2</v>
      </c>
      <c r="M31" s="149">
        <f t="shared" si="1"/>
        <v>2</v>
      </c>
      <c r="N31" s="100">
        <f t="shared" si="2"/>
        <v>539</v>
      </c>
      <c r="O31" s="43">
        <f t="shared" si="3"/>
        <v>531</v>
      </c>
    </row>
    <row r="32" spans="1:15" ht="22.5" customHeight="1" x14ac:dyDescent="0.3">
      <c r="A32" s="149" t="s">
        <v>201</v>
      </c>
      <c r="B32" s="44">
        <f>V_7!B32+V_8!B32+V_9!B32</f>
        <v>211</v>
      </c>
      <c r="C32" s="39">
        <f>V_7!C32+V_8!C32+V_9!C32</f>
        <v>136</v>
      </c>
      <c r="D32" s="39">
        <f>V_7!D32+V_8!D32+V_9!D32</f>
        <v>8</v>
      </c>
      <c r="E32" s="39">
        <f>V_7!E32+V_8!E32+V_9!E32</f>
        <v>27</v>
      </c>
      <c r="F32" s="152">
        <f>V_7!F32+V_8!F32+V_9!F32</f>
        <v>5</v>
      </c>
      <c r="G32" s="154">
        <f t="shared" si="0"/>
        <v>387</v>
      </c>
      <c r="H32" s="44">
        <f>V_7!H32+V_8!H32+V_9!H32</f>
        <v>0</v>
      </c>
      <c r="I32" s="39">
        <f>V_7!I32+V_8!I32+V_9!I32</f>
        <v>0</v>
      </c>
      <c r="J32" s="39">
        <f>V_7!J32+V_8!J32+V_9!J32</f>
        <v>0</v>
      </c>
      <c r="K32" s="45">
        <f>V_7!K32+V_8!K32+V_9!K32</f>
        <v>0</v>
      </c>
      <c r="L32" s="140">
        <f>V_7!L32+V_8!L32+V_9!L32</f>
        <v>1</v>
      </c>
      <c r="M32" s="149">
        <f t="shared" si="1"/>
        <v>1</v>
      </c>
      <c r="N32" s="100">
        <f t="shared" si="2"/>
        <v>388</v>
      </c>
      <c r="O32" s="43">
        <f t="shared" si="3"/>
        <v>402.5</v>
      </c>
    </row>
    <row r="33" spans="1:15" ht="22.5" customHeight="1" x14ac:dyDescent="0.3">
      <c r="A33" s="149" t="s">
        <v>202</v>
      </c>
      <c r="B33" s="44">
        <f>V_7!B33+V_8!B33+V_9!B33</f>
        <v>216</v>
      </c>
      <c r="C33" s="39">
        <f>V_7!C33+V_8!C33+V_9!C33</f>
        <v>150</v>
      </c>
      <c r="D33" s="39">
        <f>V_7!D33+V_8!D33+V_9!D33</f>
        <v>8</v>
      </c>
      <c r="E33" s="39">
        <f>V_7!E33+V_8!E33+V_9!E33</f>
        <v>31</v>
      </c>
      <c r="F33" s="152">
        <f>V_7!F33+V_8!F33+V_9!F33</f>
        <v>5</v>
      </c>
      <c r="G33" s="154">
        <f t="shared" si="0"/>
        <v>410</v>
      </c>
      <c r="H33" s="44">
        <f>V_7!H33+V_8!H33+V_9!H33</f>
        <v>0</v>
      </c>
      <c r="I33" s="39">
        <f>V_7!I33+V_8!I33+V_9!I33</f>
        <v>0</v>
      </c>
      <c r="J33" s="39">
        <f>V_7!J33+V_8!J33+V_9!J33</f>
        <v>0</v>
      </c>
      <c r="K33" s="45">
        <f>V_7!K33+V_8!K33+V_9!K33</f>
        <v>0</v>
      </c>
      <c r="L33" s="140">
        <f>V_7!L33+V_8!L33+V_9!L33</f>
        <v>2</v>
      </c>
      <c r="M33" s="149">
        <f t="shared" si="1"/>
        <v>2</v>
      </c>
      <c r="N33" s="100">
        <f t="shared" si="2"/>
        <v>412</v>
      </c>
      <c r="O33" s="43">
        <f t="shared" si="3"/>
        <v>434.5</v>
      </c>
    </row>
    <row r="34" spans="1:15" ht="22.5" customHeight="1" x14ac:dyDescent="0.3">
      <c r="A34" s="149" t="s">
        <v>203</v>
      </c>
      <c r="B34" s="44">
        <f>V_7!B34+V_8!B34+V_9!B34</f>
        <v>226</v>
      </c>
      <c r="C34" s="39">
        <f>V_7!C34+V_8!C34+V_9!C34</f>
        <v>161</v>
      </c>
      <c r="D34" s="39">
        <f>V_7!D34+V_8!D34+V_9!D34</f>
        <v>12</v>
      </c>
      <c r="E34" s="39">
        <f>V_7!E34+V_8!E34+V_9!E34</f>
        <v>24</v>
      </c>
      <c r="F34" s="152">
        <f>V_7!F34+V_8!F34+V_9!F34</f>
        <v>5</v>
      </c>
      <c r="G34" s="154">
        <f t="shared" si="0"/>
        <v>428</v>
      </c>
      <c r="H34" s="44">
        <f>V_7!H34+V_8!H34+V_9!H34</f>
        <v>0</v>
      </c>
      <c r="I34" s="39">
        <f>V_7!I34+V_8!I34+V_9!I34</f>
        <v>0</v>
      </c>
      <c r="J34" s="39">
        <f>V_7!J34+V_8!J34+V_9!J34</f>
        <v>0</v>
      </c>
      <c r="K34" s="45">
        <f>V_7!K34+V_8!K34+V_9!K34</f>
        <v>0</v>
      </c>
      <c r="L34" s="140">
        <f>V_7!L34+V_8!L34+V_9!L34</f>
        <v>0</v>
      </c>
      <c r="M34" s="149">
        <f t="shared" si="1"/>
        <v>0</v>
      </c>
      <c r="N34" s="100">
        <f t="shared" si="2"/>
        <v>428</v>
      </c>
      <c r="O34" s="43">
        <f t="shared" si="3"/>
        <v>419</v>
      </c>
    </row>
    <row r="35" spans="1:15" ht="22.5" customHeight="1" x14ac:dyDescent="0.3">
      <c r="A35" s="149" t="s">
        <v>204</v>
      </c>
      <c r="B35" s="44">
        <f>V_7!B35+V_8!B35+V_9!B35</f>
        <v>247</v>
      </c>
      <c r="C35" s="39">
        <f>V_7!C35+V_8!C35+V_9!C35</f>
        <v>183</v>
      </c>
      <c r="D35" s="39">
        <f>V_7!D35+V_8!D35+V_9!D35</f>
        <v>6</v>
      </c>
      <c r="E35" s="39">
        <f>V_7!E35+V_8!E35+V_9!E35</f>
        <v>30</v>
      </c>
      <c r="F35" s="152">
        <f>V_7!F35+V_8!F35+V_9!F35</f>
        <v>8</v>
      </c>
      <c r="G35" s="154">
        <f t="shared" si="0"/>
        <v>474</v>
      </c>
      <c r="H35" s="44">
        <f>V_7!H35+V_8!H35+V_9!H35</f>
        <v>0</v>
      </c>
      <c r="I35" s="39">
        <f>V_7!I35+V_8!I35+V_9!I35</f>
        <v>0</v>
      </c>
      <c r="J35" s="39">
        <f>V_7!J35+V_8!J35+V_9!J35</f>
        <v>0</v>
      </c>
      <c r="K35" s="45">
        <f>V_7!K35+V_8!K35+V_9!K35</f>
        <v>0</v>
      </c>
      <c r="L35" s="140">
        <f>V_7!L35+V_8!L35+V_9!L35</f>
        <v>2</v>
      </c>
      <c r="M35" s="149">
        <f t="shared" si="1"/>
        <v>2</v>
      </c>
      <c r="N35" s="100">
        <f t="shared" si="2"/>
        <v>476</v>
      </c>
      <c r="O35" s="43">
        <f t="shared" si="3"/>
        <v>489.5</v>
      </c>
    </row>
    <row r="36" spans="1:15" ht="22.5" customHeight="1" x14ac:dyDescent="0.3">
      <c r="A36" s="149" t="s">
        <v>205</v>
      </c>
      <c r="B36" s="44">
        <f>V_7!B36+V_8!B36+V_9!B36</f>
        <v>245</v>
      </c>
      <c r="C36" s="39">
        <f>V_7!C36+V_8!C36+V_9!C36</f>
        <v>176</v>
      </c>
      <c r="D36" s="39">
        <f>V_7!D36+V_8!D36+V_9!D36</f>
        <v>15</v>
      </c>
      <c r="E36" s="39">
        <f>V_7!E36+V_8!E36+V_9!E36</f>
        <v>37</v>
      </c>
      <c r="F36" s="152">
        <f>V_7!F36+V_8!F36+V_9!F36</f>
        <v>11</v>
      </c>
      <c r="G36" s="154">
        <f t="shared" si="0"/>
        <v>484</v>
      </c>
      <c r="H36" s="44">
        <f>V_7!H36+V_8!H36+V_9!H36</f>
        <v>0</v>
      </c>
      <c r="I36" s="39">
        <f>V_7!I36+V_8!I36+V_9!I36</f>
        <v>0</v>
      </c>
      <c r="J36" s="39">
        <f>V_7!J36+V_8!J36+V_9!J36</f>
        <v>0</v>
      </c>
      <c r="K36" s="45">
        <f>V_7!K36+V_8!K36+V_9!K36</f>
        <v>0</v>
      </c>
      <c r="L36" s="140">
        <f>V_7!L36+V_8!L36+V_9!L36</f>
        <v>1</v>
      </c>
      <c r="M36" s="149">
        <f t="shared" si="1"/>
        <v>1</v>
      </c>
      <c r="N36" s="100">
        <f t="shared" si="2"/>
        <v>485</v>
      </c>
      <c r="O36" s="43">
        <f t="shared" si="3"/>
        <v>524</v>
      </c>
    </row>
    <row r="37" spans="1:15" ht="22.5" customHeight="1" x14ac:dyDescent="0.3">
      <c r="A37" s="149" t="s">
        <v>206</v>
      </c>
      <c r="B37" s="44">
        <f>V_7!B37+V_8!B37+V_9!B37</f>
        <v>262</v>
      </c>
      <c r="C37" s="39">
        <f>V_7!C37+V_8!C37+V_9!C37</f>
        <v>180</v>
      </c>
      <c r="D37" s="39">
        <f>V_7!D37+V_8!D37+V_9!D37</f>
        <v>13</v>
      </c>
      <c r="E37" s="39">
        <f>V_7!E37+V_8!E37+V_9!E37</f>
        <v>30</v>
      </c>
      <c r="F37" s="152">
        <f>V_7!F37+V_8!F37+V_9!F37</f>
        <v>9</v>
      </c>
      <c r="G37" s="154">
        <f t="shared" si="0"/>
        <v>494</v>
      </c>
      <c r="H37" s="44">
        <f>V_7!H37+V_8!H37+V_9!H37</f>
        <v>0</v>
      </c>
      <c r="I37" s="39">
        <f>V_7!I37+V_8!I37+V_9!I37</f>
        <v>0</v>
      </c>
      <c r="J37" s="39">
        <f>V_7!J37+V_8!J37+V_9!J37</f>
        <v>0</v>
      </c>
      <c r="K37" s="45">
        <f>V_7!K37+V_8!K37+V_9!K37</f>
        <v>0</v>
      </c>
      <c r="L37" s="140">
        <f>V_7!L37+V_8!L37+V_9!L37</f>
        <v>1</v>
      </c>
      <c r="M37" s="149">
        <f t="shared" si="1"/>
        <v>1</v>
      </c>
      <c r="N37" s="100">
        <f t="shared" si="2"/>
        <v>495</v>
      </c>
      <c r="O37" s="43">
        <f t="shared" si="3"/>
        <v>510</v>
      </c>
    </row>
    <row r="38" spans="1:15" ht="22.5" customHeight="1" x14ac:dyDescent="0.3">
      <c r="A38" s="149" t="s">
        <v>207</v>
      </c>
      <c r="B38" s="44">
        <f>V_7!B38+V_8!B38+V_9!B38</f>
        <v>297</v>
      </c>
      <c r="C38" s="39">
        <f>V_7!C38+V_8!C38+V_9!C38</f>
        <v>169</v>
      </c>
      <c r="D38" s="39">
        <f>V_7!D38+V_8!D38+V_9!D38</f>
        <v>14</v>
      </c>
      <c r="E38" s="39">
        <f>V_7!E38+V_8!E38+V_9!E38</f>
        <v>17</v>
      </c>
      <c r="F38" s="152">
        <f>V_7!F38+V_8!F38+V_9!F38</f>
        <v>10</v>
      </c>
      <c r="G38" s="154">
        <f t="shared" si="0"/>
        <v>507</v>
      </c>
      <c r="H38" s="44">
        <f>V_7!H38+V_8!H38+V_9!H38</f>
        <v>0</v>
      </c>
      <c r="I38" s="39">
        <f>V_7!I38+V_8!I38+V_9!I38</f>
        <v>0</v>
      </c>
      <c r="J38" s="39">
        <f>V_7!J38+V_8!J38+V_9!J38</f>
        <v>0</v>
      </c>
      <c r="K38" s="45">
        <f>V_7!K38+V_8!K38+V_9!K38</f>
        <v>0</v>
      </c>
      <c r="L38" s="140">
        <f>V_7!L38+V_8!L38+V_9!L38</f>
        <v>0</v>
      </c>
      <c r="M38" s="149">
        <f t="shared" si="1"/>
        <v>0</v>
      </c>
      <c r="N38" s="100">
        <f t="shared" si="2"/>
        <v>507</v>
      </c>
      <c r="O38" s="43">
        <f t="shared" si="3"/>
        <v>498.5</v>
      </c>
    </row>
    <row r="39" spans="1:15" ht="22.5" customHeight="1" x14ac:dyDescent="0.3">
      <c r="A39" s="149" t="s">
        <v>208</v>
      </c>
      <c r="B39" s="44">
        <f>V_7!B39+V_8!B39+V_9!B39</f>
        <v>265</v>
      </c>
      <c r="C39" s="39">
        <f>V_7!C39+V_8!C39+V_9!C39</f>
        <v>183</v>
      </c>
      <c r="D39" s="39">
        <f>V_7!D39+V_8!D39+V_9!D39</f>
        <v>18</v>
      </c>
      <c r="E39" s="39">
        <f>V_7!E39+V_8!E39+V_9!E39</f>
        <v>25</v>
      </c>
      <c r="F39" s="152">
        <f>V_7!F39+V_8!F39+V_9!F39</f>
        <v>5</v>
      </c>
      <c r="G39" s="154">
        <f t="shared" si="0"/>
        <v>496</v>
      </c>
      <c r="H39" s="44">
        <f>V_7!H39+V_8!H39+V_9!H39</f>
        <v>0</v>
      </c>
      <c r="I39" s="39">
        <f>V_7!I39+V_8!I39+V_9!I39</f>
        <v>0</v>
      </c>
      <c r="J39" s="39">
        <f>V_7!J39+V_8!J39+V_9!J39</f>
        <v>0</v>
      </c>
      <c r="K39" s="45">
        <f>V_7!K39+V_8!K39+V_9!K39</f>
        <v>0</v>
      </c>
      <c r="L39" s="140">
        <f>V_7!L39+V_8!L39+V_9!L39</f>
        <v>0</v>
      </c>
      <c r="M39" s="149">
        <f t="shared" si="1"/>
        <v>0</v>
      </c>
      <c r="N39" s="100">
        <f t="shared" si="2"/>
        <v>496</v>
      </c>
      <c r="O39" s="43">
        <f t="shared" si="3"/>
        <v>481</v>
      </c>
    </row>
    <row r="40" spans="1:15" ht="22.5" customHeight="1" x14ac:dyDescent="0.3">
      <c r="A40" s="149" t="s">
        <v>209</v>
      </c>
      <c r="B40" s="44">
        <f>V_7!B40+V_8!B40+V_9!B40</f>
        <v>291</v>
      </c>
      <c r="C40" s="39">
        <f>V_7!C40+V_8!C40+V_9!C40</f>
        <v>207</v>
      </c>
      <c r="D40" s="39">
        <f>V_7!D40+V_8!D40+V_9!D40</f>
        <v>11</v>
      </c>
      <c r="E40" s="39">
        <f>V_7!E40+V_8!E40+V_9!E40</f>
        <v>17</v>
      </c>
      <c r="F40" s="152">
        <f>V_7!F40+V_8!F40+V_9!F40</f>
        <v>5</v>
      </c>
      <c r="G40" s="154">
        <f t="shared" ref="G40:G71" si="4">SUM(B40:F40)</f>
        <v>531</v>
      </c>
      <c r="H40" s="44">
        <f>V_7!H40+V_8!H40+V_9!H40</f>
        <v>0</v>
      </c>
      <c r="I40" s="39">
        <f>V_7!I40+V_8!I40+V_9!I40</f>
        <v>0</v>
      </c>
      <c r="J40" s="39">
        <f>V_7!J40+V_8!J40+V_9!J40</f>
        <v>0</v>
      </c>
      <c r="K40" s="45">
        <f>V_7!K40+V_8!K40+V_9!K40</f>
        <v>0</v>
      </c>
      <c r="L40" s="140">
        <f>V_7!L40+V_8!L40+V_9!L40</f>
        <v>6</v>
      </c>
      <c r="M40" s="149">
        <f t="shared" si="1"/>
        <v>6</v>
      </c>
      <c r="N40" s="100">
        <f t="shared" si="2"/>
        <v>537</v>
      </c>
      <c r="O40" s="43">
        <f t="shared" si="3"/>
        <v>532.5</v>
      </c>
    </row>
    <row r="41" spans="1:15" ht="22.5" customHeight="1" x14ac:dyDescent="0.3">
      <c r="A41" s="149" t="s">
        <v>210</v>
      </c>
      <c r="B41" s="44">
        <f>V_7!B41+V_8!B41+V_9!B41</f>
        <v>257</v>
      </c>
      <c r="C41" s="39">
        <f>V_7!C41+V_8!C41+V_9!C41</f>
        <v>238</v>
      </c>
      <c r="D41" s="39">
        <f>V_7!D41+V_8!D41+V_9!D41</f>
        <v>16</v>
      </c>
      <c r="E41" s="39">
        <f>V_7!E41+V_8!E41+V_9!E41</f>
        <v>13</v>
      </c>
      <c r="F41" s="152">
        <f>V_7!F41+V_8!F41+V_9!F41</f>
        <v>12</v>
      </c>
      <c r="G41" s="154">
        <f t="shared" si="4"/>
        <v>536</v>
      </c>
      <c r="H41" s="44">
        <f>V_7!H41+V_8!H41+V_9!H41</f>
        <v>0</v>
      </c>
      <c r="I41" s="39">
        <f>V_7!I41+V_8!I41+V_9!I41</f>
        <v>0</v>
      </c>
      <c r="J41" s="39">
        <f>V_7!J41+V_8!J41+V_9!J41</f>
        <v>0</v>
      </c>
      <c r="K41" s="45">
        <f>V_7!K41+V_8!K41+V_9!K41</f>
        <v>0</v>
      </c>
      <c r="L41" s="140">
        <f>V_7!L41+V_8!L41+V_9!L41</f>
        <v>9</v>
      </c>
      <c r="M41" s="149">
        <f t="shared" si="1"/>
        <v>9</v>
      </c>
      <c r="N41" s="100">
        <f t="shared" si="2"/>
        <v>545</v>
      </c>
      <c r="O41" s="43">
        <f t="shared" si="3"/>
        <v>565</v>
      </c>
    </row>
    <row r="42" spans="1:15" ht="22.5" customHeight="1" x14ac:dyDescent="0.3">
      <c r="A42" s="149" t="s">
        <v>211</v>
      </c>
      <c r="B42" s="44">
        <f>V_7!B42+V_8!B42+V_9!B42</f>
        <v>304</v>
      </c>
      <c r="C42" s="39">
        <f>V_7!C42+V_8!C42+V_9!C42</f>
        <v>280</v>
      </c>
      <c r="D42" s="39">
        <f>V_7!D42+V_8!D42+V_9!D42</f>
        <v>12</v>
      </c>
      <c r="E42" s="39">
        <f>V_7!E42+V_8!E42+V_9!E42</f>
        <v>14</v>
      </c>
      <c r="F42" s="152">
        <f>V_7!F42+V_8!F42+V_9!F42</f>
        <v>10</v>
      </c>
      <c r="G42" s="154">
        <f t="shared" si="4"/>
        <v>620</v>
      </c>
      <c r="H42" s="44">
        <f>V_7!H42+V_8!H42+V_9!H42</f>
        <v>0</v>
      </c>
      <c r="I42" s="39">
        <f>V_7!I42+V_8!I42+V_9!I42</f>
        <v>0</v>
      </c>
      <c r="J42" s="39">
        <f>V_7!J42+V_8!J42+V_9!J42</f>
        <v>0</v>
      </c>
      <c r="K42" s="45">
        <f>V_7!K42+V_8!K42+V_9!K42</f>
        <v>0</v>
      </c>
      <c r="L42" s="140">
        <f>V_7!L42+V_8!L42+V_9!L42</f>
        <v>3</v>
      </c>
      <c r="M42" s="149">
        <f t="shared" si="1"/>
        <v>3</v>
      </c>
      <c r="N42" s="100">
        <f t="shared" si="2"/>
        <v>623</v>
      </c>
      <c r="O42" s="43">
        <f t="shared" si="3"/>
        <v>573</v>
      </c>
    </row>
    <row r="43" spans="1:15" ht="22.5" customHeight="1" x14ac:dyDescent="0.3">
      <c r="A43" s="149" t="s">
        <v>212</v>
      </c>
      <c r="B43" s="44">
        <f>V_7!B43+V_8!B43+V_9!B43</f>
        <v>342</v>
      </c>
      <c r="C43" s="39">
        <f>V_7!C43+V_8!C43+V_9!C43</f>
        <v>325</v>
      </c>
      <c r="D43" s="39">
        <f>V_7!D43+V_8!D43+V_9!D43</f>
        <v>21</v>
      </c>
      <c r="E43" s="39">
        <f>V_7!E43+V_8!E43+V_9!E43</f>
        <v>17</v>
      </c>
      <c r="F43" s="152">
        <f>V_7!F43+V_8!F43+V_9!F43</f>
        <v>13</v>
      </c>
      <c r="G43" s="154">
        <f t="shared" si="4"/>
        <v>718</v>
      </c>
      <c r="H43" s="44">
        <f>V_7!H43+V_8!H43+V_9!H43</f>
        <v>0</v>
      </c>
      <c r="I43" s="39">
        <f>V_7!I43+V_8!I43+V_9!I43</f>
        <v>0</v>
      </c>
      <c r="J43" s="39">
        <f>V_7!J43+V_8!J43+V_9!J43</f>
        <v>0</v>
      </c>
      <c r="K43" s="45">
        <f>V_7!K43+V_8!K43+V_9!K43</f>
        <v>0</v>
      </c>
      <c r="L43" s="140">
        <f>V_7!L43+V_8!L43+V_9!L43</f>
        <v>10</v>
      </c>
      <c r="M43" s="149">
        <f t="shared" si="1"/>
        <v>10</v>
      </c>
      <c r="N43" s="100">
        <f t="shared" si="2"/>
        <v>728</v>
      </c>
      <c r="O43" s="43">
        <f t="shared" si="3"/>
        <v>725.5</v>
      </c>
    </row>
    <row r="44" spans="1:15" ht="22.5" customHeight="1" x14ac:dyDescent="0.3">
      <c r="A44" s="149" t="s">
        <v>213</v>
      </c>
      <c r="B44" s="44">
        <f>V_7!B44+V_8!B44+V_9!B44</f>
        <v>364</v>
      </c>
      <c r="C44" s="39">
        <f>V_7!C44+V_8!C44+V_9!C44</f>
        <v>375</v>
      </c>
      <c r="D44" s="39">
        <f>V_7!D44+V_8!D44+V_9!D44</f>
        <v>21</v>
      </c>
      <c r="E44" s="39">
        <f>V_7!E44+V_8!E44+V_9!E44</f>
        <v>21</v>
      </c>
      <c r="F44" s="152">
        <f>V_7!F44+V_8!F44+V_9!F44</f>
        <v>10</v>
      </c>
      <c r="G44" s="154">
        <f t="shared" si="4"/>
        <v>791</v>
      </c>
      <c r="H44" s="44">
        <f>V_7!H44+V_8!H44+V_9!H44</f>
        <v>2</v>
      </c>
      <c r="I44" s="39">
        <f>V_7!I44+V_8!I44+V_9!I44</f>
        <v>0</v>
      </c>
      <c r="J44" s="39">
        <f>V_7!J44+V_8!J44+V_9!J44</f>
        <v>0</v>
      </c>
      <c r="K44" s="45">
        <f>V_7!K44+V_8!K44+V_9!K44</f>
        <v>0</v>
      </c>
      <c r="L44" s="140">
        <f>V_7!L44+V_8!L44+V_9!L44</f>
        <v>13</v>
      </c>
      <c r="M44" s="149">
        <f t="shared" si="1"/>
        <v>15</v>
      </c>
      <c r="N44" s="100">
        <f t="shared" si="2"/>
        <v>806</v>
      </c>
      <c r="O44" s="43">
        <f t="shared" si="3"/>
        <v>796</v>
      </c>
    </row>
    <row r="45" spans="1:15" ht="22.5" customHeight="1" x14ac:dyDescent="0.3">
      <c r="A45" s="149" t="s">
        <v>214</v>
      </c>
      <c r="B45" s="44">
        <f>V_7!B45+V_8!B45+V_9!B45</f>
        <v>370</v>
      </c>
      <c r="C45" s="39">
        <f>V_7!C45+V_8!C45+V_9!C45</f>
        <v>315</v>
      </c>
      <c r="D45" s="39">
        <f>V_7!D45+V_8!D45+V_9!D45</f>
        <v>15</v>
      </c>
      <c r="E45" s="39">
        <f>V_7!E45+V_8!E45+V_9!E45</f>
        <v>14</v>
      </c>
      <c r="F45" s="152">
        <f>V_7!F45+V_8!F45+V_9!F45</f>
        <v>7</v>
      </c>
      <c r="G45" s="154">
        <f t="shared" si="4"/>
        <v>721</v>
      </c>
      <c r="H45" s="44">
        <f>V_7!H45+V_8!H45+V_9!H45</f>
        <v>0</v>
      </c>
      <c r="I45" s="39">
        <f>V_7!I45+V_8!I45+V_9!I45</f>
        <v>0</v>
      </c>
      <c r="J45" s="39">
        <f>V_7!J45+V_8!J45+V_9!J45</f>
        <v>0</v>
      </c>
      <c r="K45" s="45">
        <f>V_7!K45+V_8!K45+V_9!K45</f>
        <v>0</v>
      </c>
      <c r="L45" s="140">
        <f>V_7!L45+V_8!L45+V_9!L45</f>
        <v>6</v>
      </c>
      <c r="M45" s="149">
        <f t="shared" si="1"/>
        <v>6</v>
      </c>
      <c r="N45" s="100">
        <f t="shared" si="2"/>
        <v>727</v>
      </c>
      <c r="O45" s="43">
        <f t="shared" si="3"/>
        <v>671.5</v>
      </c>
    </row>
    <row r="46" spans="1:15" ht="22.5" customHeight="1" x14ac:dyDescent="0.3">
      <c r="A46" s="149" t="s">
        <v>215</v>
      </c>
      <c r="B46" s="44">
        <f>V_7!B46+V_8!B46+V_9!B46</f>
        <v>239</v>
      </c>
      <c r="C46" s="39">
        <f>V_7!C46+V_8!C46+V_9!C46</f>
        <v>339</v>
      </c>
      <c r="D46" s="39">
        <f>V_7!D46+V_8!D46+V_9!D46</f>
        <v>15</v>
      </c>
      <c r="E46" s="39">
        <f>V_7!E46+V_8!E46+V_9!E46</f>
        <v>11</v>
      </c>
      <c r="F46" s="152">
        <f>V_7!F46+V_8!F46+V_9!F46</f>
        <v>10</v>
      </c>
      <c r="G46" s="154">
        <f t="shared" si="4"/>
        <v>614</v>
      </c>
      <c r="H46" s="44">
        <f>V_7!H46+V_8!H46+V_9!H46</f>
        <v>0</v>
      </c>
      <c r="I46" s="39">
        <f>V_7!I46+V_8!I46+V_9!I46</f>
        <v>0</v>
      </c>
      <c r="J46" s="39">
        <f>V_7!J46+V_8!J46+V_9!J46</f>
        <v>0</v>
      </c>
      <c r="K46" s="45">
        <f>V_7!K46+V_8!K46+V_9!K46</f>
        <v>0</v>
      </c>
      <c r="L46" s="140">
        <f>V_7!L46+V_8!L46+V_9!L46</f>
        <v>11</v>
      </c>
      <c r="M46" s="149">
        <f t="shared" si="1"/>
        <v>11</v>
      </c>
      <c r="N46" s="100">
        <f t="shared" si="2"/>
        <v>625</v>
      </c>
      <c r="O46" s="43">
        <f t="shared" si="3"/>
        <v>597</v>
      </c>
    </row>
    <row r="47" spans="1:15" ht="22.5" customHeight="1" x14ac:dyDescent="0.3">
      <c r="A47" s="149" t="s">
        <v>216</v>
      </c>
      <c r="B47" s="44">
        <f>V_7!B47+V_8!B47+V_9!B47</f>
        <v>319</v>
      </c>
      <c r="C47" s="39">
        <f>V_7!C47+V_8!C47+V_9!C47</f>
        <v>351</v>
      </c>
      <c r="D47" s="39">
        <f>V_7!D47+V_8!D47+V_9!D47</f>
        <v>15</v>
      </c>
      <c r="E47" s="39">
        <f>V_7!E47+V_8!E47+V_9!E47</f>
        <v>14</v>
      </c>
      <c r="F47" s="152">
        <f>V_7!F47+V_8!F47+V_9!F47</f>
        <v>8</v>
      </c>
      <c r="G47" s="154">
        <f t="shared" si="4"/>
        <v>707</v>
      </c>
      <c r="H47" s="44">
        <f>V_7!H47+V_8!H47+V_9!H47</f>
        <v>0</v>
      </c>
      <c r="I47" s="39">
        <f>V_7!I47+V_8!I47+V_9!I47</f>
        <v>0</v>
      </c>
      <c r="J47" s="39">
        <f>V_7!J47+V_8!J47+V_9!J47</f>
        <v>0</v>
      </c>
      <c r="K47" s="45">
        <f>V_7!K47+V_8!K47+V_9!K47</f>
        <v>0</v>
      </c>
      <c r="L47" s="140">
        <f>V_7!L47+V_8!L47+V_9!L47</f>
        <v>10</v>
      </c>
      <c r="M47" s="149">
        <f t="shared" si="1"/>
        <v>10</v>
      </c>
      <c r="N47" s="100">
        <f t="shared" si="2"/>
        <v>717</v>
      </c>
      <c r="O47" s="43">
        <f t="shared" si="3"/>
        <v>675</v>
      </c>
    </row>
    <row r="48" spans="1:15" ht="22.5" customHeight="1" x14ac:dyDescent="0.3">
      <c r="A48" s="149" t="s">
        <v>217</v>
      </c>
      <c r="B48" s="44">
        <f>V_7!B48+V_8!B48+V_9!B48</f>
        <v>336</v>
      </c>
      <c r="C48" s="39">
        <f>V_7!C48+V_8!C48+V_9!C48</f>
        <v>358</v>
      </c>
      <c r="D48" s="39">
        <f>V_7!D48+V_8!D48+V_9!D48</f>
        <v>21</v>
      </c>
      <c r="E48" s="39">
        <f>V_7!E48+V_8!E48+V_9!E48</f>
        <v>10</v>
      </c>
      <c r="F48" s="152">
        <f>V_7!F48+V_8!F48+V_9!F48</f>
        <v>6</v>
      </c>
      <c r="G48" s="154">
        <f t="shared" si="4"/>
        <v>731</v>
      </c>
      <c r="H48" s="44">
        <f>V_7!H48+V_8!H48+V_9!H48</f>
        <v>0</v>
      </c>
      <c r="I48" s="39">
        <f>V_7!I48+V_8!I48+V_9!I48</f>
        <v>0</v>
      </c>
      <c r="J48" s="39">
        <f>V_7!J48+V_8!J48+V_9!J48</f>
        <v>0</v>
      </c>
      <c r="K48" s="45">
        <f>V_7!K48+V_8!K48+V_9!K48</f>
        <v>0</v>
      </c>
      <c r="L48" s="140">
        <f>V_7!L48+V_8!L48+V_9!L48</f>
        <v>11</v>
      </c>
      <c r="M48" s="149">
        <f t="shared" si="1"/>
        <v>11</v>
      </c>
      <c r="N48" s="100">
        <f t="shared" si="2"/>
        <v>742</v>
      </c>
      <c r="O48" s="43">
        <f t="shared" si="3"/>
        <v>691.5</v>
      </c>
    </row>
    <row r="49" spans="1:15" ht="22.5" customHeight="1" x14ac:dyDescent="0.3">
      <c r="A49" s="149" t="s">
        <v>218</v>
      </c>
      <c r="B49" s="44">
        <f>V_7!B49+V_8!B49+V_9!B49</f>
        <v>327</v>
      </c>
      <c r="C49" s="39">
        <f>V_7!C49+V_8!C49+V_9!C49</f>
        <v>353</v>
      </c>
      <c r="D49" s="39">
        <f>V_7!D49+V_8!D49+V_9!D49</f>
        <v>23</v>
      </c>
      <c r="E49" s="39">
        <f>V_7!E49+V_8!E49+V_9!E49</f>
        <v>12</v>
      </c>
      <c r="F49" s="152">
        <f>V_7!F49+V_8!F49+V_9!F49</f>
        <v>5</v>
      </c>
      <c r="G49" s="154">
        <f t="shared" si="4"/>
        <v>720</v>
      </c>
      <c r="H49" s="44">
        <f>V_7!H49+V_8!H49+V_9!H49</f>
        <v>1</v>
      </c>
      <c r="I49" s="39">
        <f>V_7!I49+V_8!I49+V_9!I49</f>
        <v>0</v>
      </c>
      <c r="J49" s="39">
        <f>V_7!J49+V_8!J49+V_9!J49</f>
        <v>0</v>
      </c>
      <c r="K49" s="45">
        <f>V_7!K49+V_8!K49+V_9!K49</f>
        <v>0</v>
      </c>
      <c r="L49" s="140">
        <f>V_7!L49+V_8!L49+V_9!L49</f>
        <v>16</v>
      </c>
      <c r="M49" s="149">
        <f t="shared" si="1"/>
        <v>17</v>
      </c>
      <c r="N49" s="100">
        <f t="shared" si="2"/>
        <v>737</v>
      </c>
      <c r="O49" s="43">
        <f t="shared" si="3"/>
        <v>725</v>
      </c>
    </row>
    <row r="50" spans="1:15" ht="22.5" customHeight="1" x14ac:dyDescent="0.3">
      <c r="A50" s="149" t="s">
        <v>219</v>
      </c>
      <c r="B50" s="44">
        <f>V_7!B50+V_8!B50+V_9!B50</f>
        <v>378</v>
      </c>
      <c r="C50" s="39">
        <f>V_7!C50+V_8!C50+V_9!C50</f>
        <v>413</v>
      </c>
      <c r="D50" s="39">
        <f>V_7!D50+V_8!D50+V_9!D50</f>
        <v>11</v>
      </c>
      <c r="E50" s="39">
        <f>V_7!E50+V_8!E50+V_9!E50</f>
        <v>17</v>
      </c>
      <c r="F50" s="152">
        <f>V_7!F50+V_8!F50+V_9!F50</f>
        <v>6</v>
      </c>
      <c r="G50" s="154">
        <f t="shared" si="4"/>
        <v>825</v>
      </c>
      <c r="H50" s="44">
        <f>V_7!H50+V_8!H50+V_9!H50</f>
        <v>0</v>
      </c>
      <c r="I50" s="39">
        <f>V_7!I50+V_8!I50+V_9!I50</f>
        <v>0</v>
      </c>
      <c r="J50" s="39">
        <f>V_7!J50+V_8!J50+V_9!J50</f>
        <v>0</v>
      </c>
      <c r="K50" s="45">
        <f>V_7!K50+V_8!K50+V_9!K50</f>
        <v>0</v>
      </c>
      <c r="L50" s="140">
        <f>V_7!L50+V_8!L50+V_9!L50</f>
        <v>23</v>
      </c>
      <c r="M50" s="149">
        <f t="shared" si="1"/>
        <v>23</v>
      </c>
      <c r="N50" s="100">
        <f t="shared" si="2"/>
        <v>848</v>
      </c>
      <c r="O50" s="43">
        <f t="shared" si="3"/>
        <v>863</v>
      </c>
    </row>
    <row r="51" spans="1:15" ht="22.5" customHeight="1" x14ac:dyDescent="0.3">
      <c r="A51" s="149" t="s">
        <v>220</v>
      </c>
      <c r="B51" s="44">
        <f>V_7!B51+V_8!B51+V_9!B51</f>
        <v>299</v>
      </c>
      <c r="C51" s="39">
        <f>V_7!C51+V_8!C51+V_9!C51</f>
        <v>275</v>
      </c>
      <c r="D51" s="39">
        <f>V_7!D51+V_8!D51+V_9!D51</f>
        <v>13</v>
      </c>
      <c r="E51" s="39">
        <f>V_7!E51+V_8!E51+V_9!E51</f>
        <v>15</v>
      </c>
      <c r="F51" s="152">
        <f>V_7!F51+V_8!F51+V_9!F51</f>
        <v>2</v>
      </c>
      <c r="G51" s="154">
        <f t="shared" si="4"/>
        <v>604</v>
      </c>
      <c r="H51" s="44">
        <f>V_7!H51+V_8!H51+V_9!H51</f>
        <v>0</v>
      </c>
      <c r="I51" s="39">
        <f>V_7!I51+V_8!I51+V_9!I51</f>
        <v>0</v>
      </c>
      <c r="J51" s="39">
        <f>V_7!J51+V_8!J51+V_9!J51</f>
        <v>0</v>
      </c>
      <c r="K51" s="45">
        <f>V_7!K51+V_8!K51+V_9!K51</f>
        <v>0</v>
      </c>
      <c r="L51" s="140">
        <f>V_7!L51+V_8!L51+V_9!L51</f>
        <v>15</v>
      </c>
      <c r="M51" s="149">
        <f t="shared" si="1"/>
        <v>15</v>
      </c>
      <c r="N51" s="100">
        <f t="shared" si="2"/>
        <v>619</v>
      </c>
      <c r="O51" s="43">
        <f t="shared" si="3"/>
        <v>630</v>
      </c>
    </row>
    <row r="52" spans="1:15" ht="22.5" customHeight="1" x14ac:dyDescent="0.3">
      <c r="A52" s="149" t="s">
        <v>221</v>
      </c>
      <c r="B52" s="44">
        <f>V_7!B52+V_8!B52+V_9!B52</f>
        <v>230</v>
      </c>
      <c r="C52" s="39">
        <f>V_7!C52+V_8!C52+V_9!C52</f>
        <v>250</v>
      </c>
      <c r="D52" s="39">
        <f>V_7!D52+V_8!D52+V_9!D52</f>
        <v>15</v>
      </c>
      <c r="E52" s="39">
        <f>V_7!E52+V_8!E52+V_9!E52</f>
        <v>12</v>
      </c>
      <c r="F52" s="152">
        <f>V_7!F52+V_8!F52+V_9!F52</f>
        <v>4</v>
      </c>
      <c r="G52" s="154">
        <f t="shared" si="4"/>
        <v>511</v>
      </c>
      <c r="H52" s="44">
        <f>V_7!H52+V_8!H52+V_9!H52</f>
        <v>0</v>
      </c>
      <c r="I52" s="39">
        <f>V_7!I52+V_8!I52+V_9!I52</f>
        <v>0</v>
      </c>
      <c r="J52" s="39">
        <f>V_7!J52+V_8!J52+V_9!J52</f>
        <v>0</v>
      </c>
      <c r="K52" s="45">
        <f>V_7!K52+V_8!K52+V_9!K52</f>
        <v>0</v>
      </c>
      <c r="L52" s="140">
        <f>V_7!L52+V_8!L52+V_9!L52</f>
        <v>5</v>
      </c>
      <c r="M52" s="149">
        <f t="shared" si="1"/>
        <v>5</v>
      </c>
      <c r="N52" s="100">
        <f t="shared" si="2"/>
        <v>516</v>
      </c>
      <c r="O52" s="43">
        <f t="shared" si="3"/>
        <v>471.5</v>
      </c>
    </row>
    <row r="53" spans="1:15" ht="22.5" customHeight="1" x14ac:dyDescent="0.3">
      <c r="A53" s="149" t="s">
        <v>222</v>
      </c>
      <c r="B53" s="44">
        <f>V_7!B53+V_8!B53+V_9!B53</f>
        <v>301</v>
      </c>
      <c r="C53" s="39">
        <f>V_7!C53+V_8!C53+V_9!C53</f>
        <v>279</v>
      </c>
      <c r="D53" s="39">
        <f>V_7!D53+V_8!D53+V_9!D53</f>
        <v>19</v>
      </c>
      <c r="E53" s="39">
        <f>V_7!E53+V_8!E53+V_9!E53</f>
        <v>15</v>
      </c>
      <c r="F53" s="152">
        <f>V_7!F53+V_8!F53+V_9!F53</f>
        <v>10</v>
      </c>
      <c r="G53" s="154">
        <f t="shared" si="4"/>
        <v>624</v>
      </c>
      <c r="H53" s="44">
        <f>V_7!H53+V_8!H53+V_9!H53</f>
        <v>0</v>
      </c>
      <c r="I53" s="39">
        <f>V_7!I53+V_8!I53+V_9!I53</f>
        <v>0</v>
      </c>
      <c r="J53" s="39">
        <f>V_7!J53+V_8!J53+V_9!J53</f>
        <v>0</v>
      </c>
      <c r="K53" s="45">
        <f>V_7!K53+V_8!K53+V_9!K53</f>
        <v>0</v>
      </c>
      <c r="L53" s="140">
        <f>V_7!L53+V_8!L53+V_9!L53</f>
        <v>5</v>
      </c>
      <c r="M53" s="149">
        <f t="shared" si="1"/>
        <v>5</v>
      </c>
      <c r="N53" s="100">
        <f t="shared" si="2"/>
        <v>629</v>
      </c>
      <c r="O53" s="43">
        <f t="shared" si="3"/>
        <v>599</v>
      </c>
    </row>
    <row r="54" spans="1:15" ht="22.5" customHeight="1" x14ac:dyDescent="0.3">
      <c r="A54" s="149" t="s">
        <v>223</v>
      </c>
      <c r="B54" s="44">
        <f>V_7!B54+V_8!B54+V_9!B54</f>
        <v>353</v>
      </c>
      <c r="C54" s="39">
        <f>V_7!C54+V_8!C54+V_9!C54</f>
        <v>392</v>
      </c>
      <c r="D54" s="39">
        <f>V_7!D54+V_8!D54+V_9!D54</f>
        <v>18</v>
      </c>
      <c r="E54" s="39">
        <f>V_7!E54+V_8!E54+V_9!E54</f>
        <v>10</v>
      </c>
      <c r="F54" s="152">
        <f>V_7!F54+V_8!F54+V_9!F54</f>
        <v>6</v>
      </c>
      <c r="G54" s="154">
        <f t="shared" si="4"/>
        <v>779</v>
      </c>
      <c r="H54" s="44">
        <f>V_7!H54+V_8!H54+V_9!H54</f>
        <v>0</v>
      </c>
      <c r="I54" s="39">
        <f>V_7!I54+V_8!I54+V_9!I54</f>
        <v>0</v>
      </c>
      <c r="J54" s="39">
        <f>V_7!J54+V_8!J54+V_9!J54</f>
        <v>0</v>
      </c>
      <c r="K54" s="45">
        <f>V_7!K54+V_8!K54+V_9!K54</f>
        <v>0</v>
      </c>
      <c r="L54" s="140">
        <f>V_7!L54+V_8!L54+V_9!L54</f>
        <v>5</v>
      </c>
      <c r="M54" s="149">
        <f t="shared" si="1"/>
        <v>5</v>
      </c>
      <c r="N54" s="100">
        <f t="shared" si="2"/>
        <v>784</v>
      </c>
      <c r="O54" s="43">
        <f t="shared" si="3"/>
        <v>673</v>
      </c>
    </row>
    <row r="55" spans="1:15" ht="22.5" customHeight="1" x14ac:dyDescent="0.3">
      <c r="A55" s="149" t="s">
        <v>224</v>
      </c>
      <c r="B55" s="44">
        <f>V_7!B55+V_8!B55+V_9!B55</f>
        <v>356</v>
      </c>
      <c r="C55" s="39">
        <f>V_7!C55+V_8!C55+V_9!C55</f>
        <v>400</v>
      </c>
      <c r="D55" s="39">
        <f>V_7!D55+V_8!D55+V_9!D55</f>
        <v>12</v>
      </c>
      <c r="E55" s="39">
        <f>V_7!E55+V_8!E55+V_9!E55</f>
        <v>10</v>
      </c>
      <c r="F55" s="152">
        <f>V_7!F55+V_8!F55+V_9!F55</f>
        <v>15</v>
      </c>
      <c r="G55" s="154">
        <f t="shared" si="4"/>
        <v>793</v>
      </c>
      <c r="H55" s="44">
        <f>V_7!H55+V_8!H55+V_9!H55</f>
        <v>0</v>
      </c>
      <c r="I55" s="39">
        <f>V_7!I55+V_8!I55+V_9!I55</f>
        <v>0</v>
      </c>
      <c r="J55" s="39">
        <f>V_7!J55+V_8!J55+V_9!J55</f>
        <v>0</v>
      </c>
      <c r="K55" s="45">
        <f>V_7!K55+V_8!K55+V_9!K55</f>
        <v>0</v>
      </c>
      <c r="L55" s="140">
        <f>V_7!L55+V_8!L55+V_9!L55</f>
        <v>8</v>
      </c>
      <c r="M55" s="149">
        <f t="shared" si="1"/>
        <v>8</v>
      </c>
      <c r="N55" s="100">
        <f t="shared" si="2"/>
        <v>801</v>
      </c>
      <c r="O55" s="43">
        <f t="shared" si="3"/>
        <v>735.5</v>
      </c>
    </row>
    <row r="56" spans="1:15" ht="22.5" customHeight="1" x14ac:dyDescent="0.3">
      <c r="A56" s="149" t="s">
        <v>225</v>
      </c>
      <c r="B56" s="44">
        <f>V_7!B56+V_8!B56+V_9!B56</f>
        <v>391</v>
      </c>
      <c r="C56" s="39">
        <f>V_7!C56+V_8!C56+V_9!C56</f>
        <v>419</v>
      </c>
      <c r="D56" s="39">
        <f>V_7!D56+V_8!D56+V_9!D56</f>
        <v>12</v>
      </c>
      <c r="E56" s="39">
        <f>V_7!E56+V_8!E56+V_9!E56</f>
        <v>16</v>
      </c>
      <c r="F56" s="152">
        <f>V_7!F56+V_8!F56+V_9!F56</f>
        <v>9</v>
      </c>
      <c r="G56" s="154">
        <f t="shared" si="4"/>
        <v>847</v>
      </c>
      <c r="H56" s="44">
        <f>V_7!H56+V_8!H56+V_9!H56</f>
        <v>1</v>
      </c>
      <c r="I56" s="39">
        <f>V_7!I56+V_8!I56+V_9!I56</f>
        <v>0</v>
      </c>
      <c r="J56" s="39">
        <f>V_7!J56+V_8!J56+V_9!J56</f>
        <v>0</v>
      </c>
      <c r="K56" s="45">
        <f>V_7!K56+V_8!K56+V_9!K56</f>
        <v>0</v>
      </c>
      <c r="L56" s="140">
        <f>V_7!L56+V_8!L56+V_9!L56</f>
        <v>5</v>
      </c>
      <c r="M56" s="149">
        <f t="shared" si="1"/>
        <v>6</v>
      </c>
      <c r="N56" s="100">
        <f t="shared" si="2"/>
        <v>853</v>
      </c>
      <c r="O56" s="43">
        <f t="shared" si="3"/>
        <v>747.5</v>
      </c>
    </row>
    <row r="57" spans="1:15" ht="22.5" customHeight="1" x14ac:dyDescent="0.3">
      <c r="A57" s="149" t="s">
        <v>226</v>
      </c>
      <c r="B57" s="44">
        <f>V_7!B57+V_8!B57+V_9!B57</f>
        <v>398</v>
      </c>
      <c r="C57" s="39">
        <f>V_7!C57+V_8!C57+V_9!C57</f>
        <v>402</v>
      </c>
      <c r="D57" s="39">
        <f>V_7!D57+V_8!D57+V_9!D57</f>
        <v>7</v>
      </c>
      <c r="E57" s="39">
        <f>V_7!E57+V_8!E57+V_9!E57</f>
        <v>17</v>
      </c>
      <c r="F57" s="152">
        <f>V_7!F57+V_8!F57+V_9!F57</f>
        <v>6</v>
      </c>
      <c r="G57" s="154">
        <f t="shared" si="4"/>
        <v>830</v>
      </c>
      <c r="H57" s="44">
        <f>V_7!H57+V_8!H57+V_9!H57</f>
        <v>0</v>
      </c>
      <c r="I57" s="39">
        <f>V_7!I57+V_8!I57+V_9!I57</f>
        <v>0</v>
      </c>
      <c r="J57" s="39">
        <f>V_7!J57+V_8!J57+V_9!J57</f>
        <v>0</v>
      </c>
      <c r="K57" s="45">
        <f>V_7!K57+V_8!K57+V_9!K57</f>
        <v>0</v>
      </c>
      <c r="L57" s="140">
        <f>V_7!L57+V_8!L57+V_9!L57</f>
        <v>3</v>
      </c>
      <c r="M57" s="149">
        <f t="shared" si="1"/>
        <v>3</v>
      </c>
      <c r="N57" s="100">
        <f t="shared" si="2"/>
        <v>833</v>
      </c>
      <c r="O57" s="43">
        <f t="shared" si="3"/>
        <v>711.5</v>
      </c>
    </row>
    <row r="58" spans="1:15" ht="22.5" customHeight="1" x14ac:dyDescent="0.3">
      <c r="A58" s="149" t="s">
        <v>227</v>
      </c>
      <c r="B58" s="44">
        <f>V_7!B58+V_8!B58+V_9!B58</f>
        <v>341</v>
      </c>
      <c r="C58" s="39">
        <f>V_7!C58+V_8!C58+V_9!C58</f>
        <v>267</v>
      </c>
      <c r="D58" s="39">
        <f>V_7!D58+V_8!D58+V_9!D58</f>
        <v>9</v>
      </c>
      <c r="E58" s="39">
        <f>V_7!E58+V_8!E58+V_9!E58</f>
        <v>21</v>
      </c>
      <c r="F58" s="152">
        <f>V_7!F58+V_8!F58+V_9!F58</f>
        <v>10</v>
      </c>
      <c r="G58" s="154">
        <f t="shared" si="4"/>
        <v>648</v>
      </c>
      <c r="H58" s="44">
        <f>V_7!H58+V_8!H58+V_9!H58</f>
        <v>1</v>
      </c>
      <c r="I58" s="39">
        <f>V_7!I58+V_8!I58+V_9!I58</f>
        <v>0</v>
      </c>
      <c r="J58" s="39">
        <f>V_7!J58+V_8!J58+V_9!J58</f>
        <v>0</v>
      </c>
      <c r="K58" s="45">
        <f>V_7!K58+V_8!K58+V_9!K58</f>
        <v>0</v>
      </c>
      <c r="L58" s="140">
        <f>V_7!L58+V_8!L58+V_9!L58</f>
        <v>1</v>
      </c>
      <c r="M58" s="149">
        <f t="shared" si="1"/>
        <v>2</v>
      </c>
      <c r="N58" s="100">
        <f t="shared" si="2"/>
        <v>650</v>
      </c>
      <c r="O58" s="43">
        <f t="shared" si="3"/>
        <v>604.5</v>
      </c>
    </row>
    <row r="59" spans="1:15" ht="22.5" customHeight="1" x14ac:dyDescent="0.3">
      <c r="A59" s="149" t="s">
        <v>228</v>
      </c>
      <c r="B59" s="44">
        <f>V_7!B59+V_8!B59+V_9!B59</f>
        <v>306</v>
      </c>
      <c r="C59" s="39">
        <f>V_7!C59+V_8!C59+V_9!C59</f>
        <v>257</v>
      </c>
      <c r="D59" s="39">
        <f>V_7!D59+V_8!D59+V_9!D59</f>
        <v>5</v>
      </c>
      <c r="E59" s="39">
        <f>V_7!E59+V_8!E59+V_9!E59</f>
        <v>15</v>
      </c>
      <c r="F59" s="152">
        <f>V_7!F59+V_8!F59+V_9!F59</f>
        <v>6</v>
      </c>
      <c r="G59" s="154">
        <f t="shared" si="4"/>
        <v>589</v>
      </c>
      <c r="H59" s="44">
        <f>V_7!H59+V_8!H59+V_9!H59</f>
        <v>0</v>
      </c>
      <c r="I59" s="39">
        <f>V_7!I59+V_8!I59+V_9!I59</f>
        <v>0</v>
      </c>
      <c r="J59" s="39">
        <f>V_7!J59+V_8!J59+V_9!J59</f>
        <v>0</v>
      </c>
      <c r="K59" s="45">
        <f>V_7!K59+V_8!K59+V_9!K59</f>
        <v>0</v>
      </c>
      <c r="L59" s="140">
        <f>V_7!L59+V_8!L59+V_9!L59</f>
        <v>1</v>
      </c>
      <c r="M59" s="149">
        <f t="shared" si="1"/>
        <v>1</v>
      </c>
      <c r="N59" s="100">
        <f t="shared" si="2"/>
        <v>590</v>
      </c>
      <c r="O59" s="43">
        <f t="shared" si="3"/>
        <v>522</v>
      </c>
    </row>
    <row r="60" spans="1:15" ht="22.5" customHeight="1" x14ac:dyDescent="0.3">
      <c r="A60" s="149" t="s">
        <v>229</v>
      </c>
      <c r="B60" s="44">
        <f>V_7!B60+V_8!B60+V_9!B60</f>
        <v>285</v>
      </c>
      <c r="C60" s="39">
        <f>V_7!C60+V_8!C60+V_9!C60</f>
        <v>259</v>
      </c>
      <c r="D60" s="39">
        <f>V_7!D60+V_8!D60+V_9!D60</f>
        <v>10</v>
      </c>
      <c r="E60" s="39">
        <f>V_7!E60+V_8!E60+V_9!E60</f>
        <v>9</v>
      </c>
      <c r="F60" s="152">
        <f>V_7!F60+V_8!F60+V_9!F60</f>
        <v>8</v>
      </c>
      <c r="G60" s="154">
        <f t="shared" si="4"/>
        <v>571</v>
      </c>
      <c r="H60" s="44">
        <f>V_7!H60+V_8!H60+V_9!H60</f>
        <v>0</v>
      </c>
      <c r="I60" s="39">
        <f>V_7!I60+V_8!I60+V_9!I60</f>
        <v>0</v>
      </c>
      <c r="J60" s="39">
        <f>V_7!J60+V_8!J60+V_9!J60</f>
        <v>0</v>
      </c>
      <c r="K60" s="45">
        <f>V_7!K60+V_8!K60+V_9!K60</f>
        <v>0</v>
      </c>
      <c r="L60" s="140">
        <f>V_7!L60+V_8!L60+V_9!L60</f>
        <v>2</v>
      </c>
      <c r="M60" s="149">
        <f t="shared" si="1"/>
        <v>2</v>
      </c>
      <c r="N60" s="100">
        <f t="shared" si="2"/>
        <v>573</v>
      </c>
      <c r="O60" s="43">
        <f t="shared" si="3"/>
        <v>508.5</v>
      </c>
    </row>
    <row r="61" spans="1:15" ht="22.5" customHeight="1" x14ac:dyDescent="0.3">
      <c r="A61" s="149" t="s">
        <v>230</v>
      </c>
      <c r="B61" s="44">
        <f>V_7!B61+V_8!B61+V_9!B61</f>
        <v>248</v>
      </c>
      <c r="C61" s="39">
        <f>V_7!C61+V_8!C61+V_9!C61</f>
        <v>261</v>
      </c>
      <c r="D61" s="39">
        <f>V_7!D61+V_8!D61+V_9!D61</f>
        <v>6</v>
      </c>
      <c r="E61" s="39">
        <f>V_7!E61+V_8!E61+V_9!E61</f>
        <v>8</v>
      </c>
      <c r="F61" s="152">
        <f>V_7!F61+V_8!F61+V_9!F61</f>
        <v>11</v>
      </c>
      <c r="G61" s="154">
        <f t="shared" si="4"/>
        <v>534</v>
      </c>
      <c r="H61" s="44">
        <f>V_7!H61+V_8!H61+V_9!H61</f>
        <v>0</v>
      </c>
      <c r="I61" s="39">
        <f>V_7!I61+V_8!I61+V_9!I61</f>
        <v>0</v>
      </c>
      <c r="J61" s="39">
        <f>V_7!J61+V_8!J61+V_9!J61</f>
        <v>0</v>
      </c>
      <c r="K61" s="45">
        <f>V_7!K61+V_8!K61+V_9!K61</f>
        <v>0</v>
      </c>
      <c r="L61" s="140">
        <f>V_7!L61+V_8!L61+V_9!L61</f>
        <v>0</v>
      </c>
      <c r="M61" s="149">
        <f t="shared" si="1"/>
        <v>0</v>
      </c>
      <c r="N61" s="100">
        <f t="shared" si="2"/>
        <v>534</v>
      </c>
      <c r="O61" s="43">
        <f t="shared" si="3"/>
        <v>461</v>
      </c>
    </row>
    <row r="62" spans="1:15" ht="22.5" customHeight="1" x14ac:dyDescent="0.3">
      <c r="A62" s="149" t="s">
        <v>231</v>
      </c>
      <c r="B62" s="44">
        <f>V_7!B62+V_8!B62+V_9!B62</f>
        <v>183</v>
      </c>
      <c r="C62" s="39">
        <f>V_7!C62+V_8!C62+V_9!C62</f>
        <v>194</v>
      </c>
      <c r="D62" s="39">
        <f>V_7!D62+V_8!D62+V_9!D62</f>
        <v>7</v>
      </c>
      <c r="E62" s="39">
        <f>V_7!E62+V_8!E62+V_9!E62</f>
        <v>9</v>
      </c>
      <c r="F62" s="152">
        <f>V_7!F62+V_8!F62+V_9!F62</f>
        <v>12</v>
      </c>
      <c r="G62" s="154">
        <f t="shared" si="4"/>
        <v>405</v>
      </c>
      <c r="H62" s="44">
        <f>V_7!H62+V_8!H62+V_9!H62</f>
        <v>0</v>
      </c>
      <c r="I62" s="39">
        <f>V_7!I62+V_8!I62+V_9!I62</f>
        <v>0</v>
      </c>
      <c r="J62" s="39">
        <f>V_7!J62+V_8!J62+V_9!J62</f>
        <v>0</v>
      </c>
      <c r="K62" s="45">
        <f>V_7!K62+V_8!K62+V_9!K62</f>
        <v>0</v>
      </c>
      <c r="L62" s="140">
        <f>V_7!L62+V_8!L62+V_9!L62</f>
        <v>0</v>
      </c>
      <c r="M62" s="149">
        <f t="shared" si="1"/>
        <v>0</v>
      </c>
      <c r="N62" s="100">
        <f t="shared" si="2"/>
        <v>405</v>
      </c>
      <c r="O62" s="43">
        <f t="shared" si="3"/>
        <v>371.5</v>
      </c>
    </row>
    <row r="63" spans="1:15" ht="22.5" customHeight="1" x14ac:dyDescent="0.3">
      <c r="A63" s="149" t="s">
        <v>232</v>
      </c>
      <c r="B63" s="44">
        <f>V_7!B63+V_8!B63+V_9!B63</f>
        <v>156</v>
      </c>
      <c r="C63" s="39">
        <f>V_7!C63+V_8!C63+V_9!C63</f>
        <v>232</v>
      </c>
      <c r="D63" s="39">
        <f>V_7!D63+V_8!D63+V_9!D63</f>
        <v>5</v>
      </c>
      <c r="E63" s="39">
        <f>V_7!E63+V_8!E63+V_9!E63</f>
        <v>8</v>
      </c>
      <c r="F63" s="152">
        <f>V_7!F63+V_8!F63+V_9!F63</f>
        <v>9</v>
      </c>
      <c r="G63" s="154">
        <f t="shared" si="4"/>
        <v>410</v>
      </c>
      <c r="H63" s="44">
        <f>V_7!H63+V_8!H63+V_9!H63</f>
        <v>0</v>
      </c>
      <c r="I63" s="39">
        <f>V_7!I63+V_8!I63+V_9!I63</f>
        <v>0</v>
      </c>
      <c r="J63" s="39">
        <f>V_7!J63+V_8!J63+V_9!J63</f>
        <v>0</v>
      </c>
      <c r="K63" s="45">
        <f>V_7!K63+V_8!K63+V_9!K63</f>
        <v>0</v>
      </c>
      <c r="L63" s="140">
        <f>V_7!L63+V_8!L63+V_9!L63</f>
        <v>0</v>
      </c>
      <c r="M63" s="149">
        <f t="shared" si="1"/>
        <v>0</v>
      </c>
      <c r="N63" s="100">
        <f t="shared" si="2"/>
        <v>410</v>
      </c>
      <c r="O63" s="43">
        <f t="shared" si="3"/>
        <v>344</v>
      </c>
    </row>
    <row r="64" spans="1:15" ht="22.5" customHeight="1" x14ac:dyDescent="0.3">
      <c r="A64" s="149" t="s">
        <v>233</v>
      </c>
      <c r="B64" s="44">
        <f>V_7!B64+V_8!B64+V_9!B64</f>
        <v>145</v>
      </c>
      <c r="C64" s="39">
        <f>V_7!C64+V_8!C64+V_9!C64</f>
        <v>79</v>
      </c>
      <c r="D64" s="39">
        <f>V_7!D64+V_8!D64+V_9!D64</f>
        <v>9</v>
      </c>
      <c r="E64" s="39">
        <f>V_7!E64+V_8!E64+V_9!E64</f>
        <v>5</v>
      </c>
      <c r="F64" s="152">
        <f>V_7!F64+V_8!F64+V_9!F64</f>
        <v>8</v>
      </c>
      <c r="G64" s="154">
        <f t="shared" si="4"/>
        <v>246</v>
      </c>
      <c r="H64" s="44">
        <f>V_7!H64+V_8!H64+V_9!H64</f>
        <v>0</v>
      </c>
      <c r="I64" s="39">
        <f>V_7!I64+V_8!I64+V_9!I64</f>
        <v>0</v>
      </c>
      <c r="J64" s="39">
        <f>V_7!J64+V_8!J64+V_9!J64</f>
        <v>0</v>
      </c>
      <c r="K64" s="45">
        <f>V_7!K64+V_8!K64+V_9!K64</f>
        <v>0</v>
      </c>
      <c r="L64" s="140">
        <f>V_7!L64+V_8!L64+V_9!L64</f>
        <v>2</v>
      </c>
      <c r="M64" s="149">
        <f t="shared" si="1"/>
        <v>2</v>
      </c>
      <c r="N64" s="100">
        <f t="shared" si="2"/>
        <v>248</v>
      </c>
      <c r="O64" s="43">
        <f t="shared" si="3"/>
        <v>265</v>
      </c>
    </row>
    <row r="65" spans="1:15" ht="22.5" customHeight="1" x14ac:dyDescent="0.3">
      <c r="A65" s="149" t="s">
        <v>234</v>
      </c>
      <c r="B65" s="44">
        <f>V_7!B65+V_8!B65+V_9!B65</f>
        <v>136</v>
      </c>
      <c r="C65" s="39">
        <f>V_7!C65+V_8!C65+V_9!C65</f>
        <v>73</v>
      </c>
      <c r="D65" s="39">
        <f>V_7!D65+V_8!D65+V_9!D65</f>
        <v>19</v>
      </c>
      <c r="E65" s="39">
        <f>V_7!E65+V_8!E65+V_9!E65</f>
        <v>10</v>
      </c>
      <c r="F65" s="152">
        <f>V_7!F65+V_8!F65+V_9!F65</f>
        <v>14</v>
      </c>
      <c r="G65" s="154">
        <f t="shared" si="4"/>
        <v>252</v>
      </c>
      <c r="H65" s="44">
        <f>V_7!H65+V_8!H65+V_9!H65</f>
        <v>0</v>
      </c>
      <c r="I65" s="39">
        <f>V_7!I65+V_8!I65+V_9!I65</f>
        <v>0</v>
      </c>
      <c r="J65" s="39">
        <f>V_7!J65+V_8!J65+V_9!J65</f>
        <v>0</v>
      </c>
      <c r="K65" s="45">
        <f>V_7!K65+V_8!K65+V_9!K65</f>
        <v>0</v>
      </c>
      <c r="L65" s="140">
        <f>V_7!L65+V_8!L65+V_9!L65</f>
        <v>1</v>
      </c>
      <c r="M65" s="149">
        <f t="shared" si="1"/>
        <v>1</v>
      </c>
      <c r="N65" s="100">
        <f t="shared" si="2"/>
        <v>253</v>
      </c>
      <c r="O65" s="43">
        <f t="shared" si="3"/>
        <v>302</v>
      </c>
    </row>
    <row r="66" spans="1:15" ht="22.5" customHeight="1" x14ac:dyDescent="0.3">
      <c r="A66" s="149" t="s">
        <v>235</v>
      </c>
      <c r="B66" s="44">
        <f>V_7!B66+V_8!B66+V_9!B66</f>
        <v>95</v>
      </c>
      <c r="C66" s="39">
        <f>V_7!C66+V_8!C66+V_9!C66</f>
        <v>70</v>
      </c>
      <c r="D66" s="39">
        <f>V_7!D66+V_8!D66+V_9!D66</f>
        <v>12</v>
      </c>
      <c r="E66" s="39">
        <f>V_7!E66+V_8!E66+V_9!E66</f>
        <v>5</v>
      </c>
      <c r="F66" s="152">
        <f>V_7!F66+V_8!F66+V_9!F66</f>
        <v>11</v>
      </c>
      <c r="G66" s="154">
        <f t="shared" si="4"/>
        <v>193</v>
      </c>
      <c r="H66" s="44">
        <f>V_7!H66+V_8!H66+V_9!H66</f>
        <v>0</v>
      </c>
      <c r="I66" s="39">
        <f>V_7!I66+V_8!I66+V_9!I66</f>
        <v>0</v>
      </c>
      <c r="J66" s="39">
        <f>V_7!J66+V_8!J66+V_9!J66</f>
        <v>0</v>
      </c>
      <c r="K66" s="45">
        <f>V_7!K66+V_8!K66+V_9!K66</f>
        <v>0</v>
      </c>
      <c r="L66" s="140">
        <f>V_7!L66+V_8!L66+V_9!L66</f>
        <v>0</v>
      </c>
      <c r="M66" s="149">
        <f t="shared" si="1"/>
        <v>0</v>
      </c>
      <c r="N66" s="100">
        <f t="shared" si="2"/>
        <v>193</v>
      </c>
      <c r="O66" s="43">
        <f t="shared" si="3"/>
        <v>212.5</v>
      </c>
    </row>
    <row r="67" spans="1:15" ht="22.5" customHeight="1" x14ac:dyDescent="0.3">
      <c r="A67" s="149" t="s">
        <v>236</v>
      </c>
      <c r="B67" s="44">
        <f>V_7!B67+V_8!B67+V_9!B67</f>
        <v>123</v>
      </c>
      <c r="C67" s="39">
        <f>V_7!C67+V_8!C67+V_9!C67</f>
        <v>84</v>
      </c>
      <c r="D67" s="39">
        <f>V_7!D67+V_8!D67+V_9!D67</f>
        <v>9</v>
      </c>
      <c r="E67" s="39">
        <f>V_7!E67+V_8!E67+V_9!E67</f>
        <v>8</v>
      </c>
      <c r="F67" s="152">
        <f>V_7!F67+V_8!F67+V_9!F67</f>
        <v>12</v>
      </c>
      <c r="G67" s="154">
        <f t="shared" si="4"/>
        <v>236</v>
      </c>
      <c r="H67" s="44">
        <f>V_7!H67+V_8!H67+V_9!H67</f>
        <v>0</v>
      </c>
      <c r="I67" s="39">
        <f>V_7!I67+V_8!I67+V_9!I67</f>
        <v>0</v>
      </c>
      <c r="J67" s="39">
        <f>V_7!J67+V_8!J67+V_9!J67</f>
        <v>0</v>
      </c>
      <c r="K67" s="45">
        <f>V_7!K67+V_8!K67+V_9!K67</f>
        <v>0</v>
      </c>
      <c r="L67" s="140">
        <f>V_7!L67+V_8!L67+V_9!L67</f>
        <v>0</v>
      </c>
      <c r="M67" s="149">
        <f t="shared" si="1"/>
        <v>0</v>
      </c>
      <c r="N67" s="100">
        <f t="shared" si="2"/>
        <v>236</v>
      </c>
      <c r="O67" s="43">
        <f t="shared" si="3"/>
        <v>256.5</v>
      </c>
    </row>
    <row r="68" spans="1:15" ht="22.5" customHeight="1" x14ac:dyDescent="0.3">
      <c r="A68" s="149" t="s">
        <v>237</v>
      </c>
      <c r="B68" s="44">
        <f>V_7!B68+V_8!B68+V_9!B68</f>
        <v>113</v>
      </c>
      <c r="C68" s="39">
        <f>V_7!C68+V_8!C68+V_9!C68</f>
        <v>49</v>
      </c>
      <c r="D68" s="39">
        <f>V_7!D68+V_8!D68+V_9!D68</f>
        <v>16</v>
      </c>
      <c r="E68" s="39">
        <f>V_7!E68+V_8!E68+V_9!E68</f>
        <v>3</v>
      </c>
      <c r="F68" s="152">
        <f>V_7!F68+V_8!F68+V_9!F68</f>
        <v>15</v>
      </c>
      <c r="G68" s="154">
        <f t="shared" si="4"/>
        <v>196</v>
      </c>
      <c r="H68" s="44">
        <f>V_7!H68+V_8!H68+V_9!H68</f>
        <v>0</v>
      </c>
      <c r="I68" s="39">
        <f>V_7!I68+V_8!I68+V_9!I68</f>
        <v>0</v>
      </c>
      <c r="J68" s="39">
        <f>V_7!J68+V_8!J68+V_9!J68</f>
        <v>0</v>
      </c>
      <c r="K68" s="45">
        <f>V_7!K68+V_8!K68+V_9!K68</f>
        <v>0</v>
      </c>
      <c r="L68" s="140">
        <f>V_7!L68+V_8!L68+V_9!L68</f>
        <v>0</v>
      </c>
      <c r="M68" s="149">
        <f t="shared" si="1"/>
        <v>0</v>
      </c>
      <c r="N68" s="100">
        <f t="shared" si="2"/>
        <v>196</v>
      </c>
      <c r="O68" s="43">
        <f t="shared" si="3"/>
        <v>238</v>
      </c>
    </row>
    <row r="69" spans="1:15" ht="22.5" customHeight="1" x14ac:dyDescent="0.3">
      <c r="A69" s="149" t="s">
        <v>238</v>
      </c>
      <c r="B69" s="44">
        <f>V_7!B69+V_8!B69+V_9!B69</f>
        <v>139</v>
      </c>
      <c r="C69" s="39">
        <f>V_7!C69+V_8!C69+V_9!C69</f>
        <v>59</v>
      </c>
      <c r="D69" s="39">
        <f>V_7!D69+V_8!D69+V_9!D69</f>
        <v>5</v>
      </c>
      <c r="E69" s="39">
        <f>V_7!E69+V_8!E69+V_9!E69</f>
        <v>7</v>
      </c>
      <c r="F69" s="152">
        <f>V_7!F69+V_8!F69+V_9!F69</f>
        <v>9</v>
      </c>
      <c r="G69" s="154">
        <f t="shared" si="4"/>
        <v>219</v>
      </c>
      <c r="H69" s="44">
        <f>V_7!H69+V_8!H69+V_9!H69</f>
        <v>0</v>
      </c>
      <c r="I69" s="39">
        <f>V_7!I69+V_8!I69+V_9!I69</f>
        <v>0</v>
      </c>
      <c r="J69" s="39">
        <f>V_7!J69+V_8!J69+V_9!J69</f>
        <v>0</v>
      </c>
      <c r="K69" s="45">
        <f>V_7!K69+V_8!K69+V_9!K69</f>
        <v>0</v>
      </c>
      <c r="L69" s="140">
        <f>V_7!L69+V_8!L69+V_9!L69</f>
        <v>1</v>
      </c>
      <c r="M69" s="149">
        <f t="shared" si="1"/>
        <v>1</v>
      </c>
      <c r="N69" s="100">
        <f t="shared" si="2"/>
        <v>220</v>
      </c>
      <c r="O69" s="43">
        <f t="shared" si="3"/>
        <v>245.5</v>
      </c>
    </row>
    <row r="70" spans="1:15" ht="22.5" customHeight="1" x14ac:dyDescent="0.3">
      <c r="A70" s="149" t="s">
        <v>239</v>
      </c>
      <c r="B70" s="44">
        <f>V_7!B70+V_8!B70+V_9!B70</f>
        <v>86</v>
      </c>
      <c r="C70" s="39">
        <f>V_7!C70+V_8!C70+V_9!C70</f>
        <v>44</v>
      </c>
      <c r="D70" s="39">
        <f>V_7!D70+V_8!D70+V_9!D70</f>
        <v>11</v>
      </c>
      <c r="E70" s="39">
        <f>V_7!E70+V_8!E70+V_9!E70</f>
        <v>7</v>
      </c>
      <c r="F70" s="152">
        <f>V_7!F70+V_8!F70+V_9!F70</f>
        <v>19</v>
      </c>
      <c r="G70" s="154">
        <f t="shared" si="4"/>
        <v>167</v>
      </c>
      <c r="H70" s="44">
        <f>V_7!H70+V_8!H70+V_9!H70</f>
        <v>0</v>
      </c>
      <c r="I70" s="39">
        <f>V_7!I70+V_8!I70+V_9!I70</f>
        <v>0</v>
      </c>
      <c r="J70" s="39">
        <f>V_7!J70+V_8!J70+V_9!J70</f>
        <v>0</v>
      </c>
      <c r="K70" s="45">
        <f>V_7!K70+V_8!K70+V_9!K70</f>
        <v>0</v>
      </c>
      <c r="L70" s="140">
        <f>V_7!L70+V_8!L70+V_9!L70</f>
        <v>0</v>
      </c>
      <c r="M70" s="149">
        <f t="shared" si="1"/>
        <v>0</v>
      </c>
      <c r="N70" s="100">
        <f t="shared" si="2"/>
        <v>167</v>
      </c>
      <c r="O70" s="43">
        <f t="shared" si="3"/>
        <v>231</v>
      </c>
    </row>
    <row r="71" spans="1:15" ht="22.5" customHeight="1" x14ac:dyDescent="0.3">
      <c r="A71" s="149" t="s">
        <v>240</v>
      </c>
      <c r="B71" s="44">
        <f>V_7!B71+V_8!B71+V_9!B71</f>
        <v>91</v>
      </c>
      <c r="C71" s="39">
        <f>V_7!C71+V_8!C71+V_9!C71</f>
        <v>40</v>
      </c>
      <c r="D71" s="39">
        <f>V_7!D71+V_8!D71+V_9!D71</f>
        <v>4</v>
      </c>
      <c r="E71" s="39">
        <f>V_7!E71+V_8!E71+V_9!E71</f>
        <v>8</v>
      </c>
      <c r="F71" s="152">
        <f>V_7!F71+V_8!F71+V_9!F71</f>
        <v>14</v>
      </c>
      <c r="G71" s="154">
        <f t="shared" si="4"/>
        <v>157</v>
      </c>
      <c r="H71" s="44">
        <f>V_7!H71+V_8!H71+V_9!H71</f>
        <v>0</v>
      </c>
      <c r="I71" s="39">
        <f>V_7!I71+V_8!I71+V_9!I71</f>
        <v>0</v>
      </c>
      <c r="J71" s="39">
        <f>V_7!J71+V_8!J71+V_9!J71</f>
        <v>0</v>
      </c>
      <c r="K71" s="45">
        <f>V_7!K71+V_8!K71+V_9!K71</f>
        <v>0</v>
      </c>
      <c r="L71" s="140">
        <f>V_7!L71+V_8!L71+V_9!L71</f>
        <v>0</v>
      </c>
      <c r="M71" s="149">
        <f t="shared" si="1"/>
        <v>0</v>
      </c>
      <c r="N71" s="100">
        <f t="shared" si="2"/>
        <v>157</v>
      </c>
      <c r="O71" s="43">
        <f t="shared" si="3"/>
        <v>204</v>
      </c>
    </row>
    <row r="72" spans="1:15" ht="22.5" customHeight="1" x14ac:dyDescent="0.3">
      <c r="A72" s="149" t="s">
        <v>153</v>
      </c>
      <c r="B72" s="44">
        <f>V_7!B72+V_8!B72+V_9!B72</f>
        <v>64</v>
      </c>
      <c r="C72" s="39">
        <f>V_7!C72+V_8!C72+V_9!C72</f>
        <v>72</v>
      </c>
      <c r="D72" s="39">
        <f>V_7!D72+V_8!D72+V_9!D72</f>
        <v>9</v>
      </c>
      <c r="E72" s="39">
        <f>V_7!E72+V_8!E72+V_9!E72</f>
        <v>10</v>
      </c>
      <c r="F72" s="152">
        <f>V_7!F72+V_8!F72+V_9!F72</f>
        <v>10</v>
      </c>
      <c r="G72" s="154">
        <f t="shared" ref="G72:G103" si="5">SUM(B72:F72)</f>
        <v>165</v>
      </c>
      <c r="H72" s="44">
        <f>V_7!H72+V_8!H72+V_9!H72</f>
        <v>0</v>
      </c>
      <c r="I72" s="39">
        <f>V_7!I72+V_8!I72+V_9!I72</f>
        <v>0</v>
      </c>
      <c r="J72" s="39">
        <f>V_7!J72+V_8!J72+V_9!J72</f>
        <v>0</v>
      </c>
      <c r="K72" s="45">
        <f>V_7!K72+V_8!K72+V_9!K72</f>
        <v>0</v>
      </c>
      <c r="L72" s="140">
        <f>V_7!L72+V_8!L72+V_9!L72</f>
        <v>1</v>
      </c>
      <c r="M72" s="149">
        <f t="shared" si="1"/>
        <v>1</v>
      </c>
      <c r="N72" s="100">
        <f t="shared" si="2"/>
        <v>166</v>
      </c>
      <c r="O72" s="43">
        <f t="shared" si="3"/>
        <v>196.5</v>
      </c>
    </row>
    <row r="73" spans="1:15" ht="22.5" customHeight="1" x14ac:dyDescent="0.3">
      <c r="A73" s="149" t="s">
        <v>154</v>
      </c>
      <c r="B73" s="44">
        <f>V_7!B73+V_8!B73+V_9!B73</f>
        <v>39</v>
      </c>
      <c r="C73" s="39">
        <f>V_7!C73+V_8!C73+V_9!C73</f>
        <v>53</v>
      </c>
      <c r="D73" s="39">
        <f>V_7!D73+V_8!D73+V_9!D73</f>
        <v>8</v>
      </c>
      <c r="E73" s="39">
        <f>V_7!E73+V_8!E73+V_9!E73</f>
        <v>12</v>
      </c>
      <c r="F73" s="152">
        <f>V_7!F73+V_8!F73+V_9!F73</f>
        <v>9</v>
      </c>
      <c r="G73" s="154">
        <f t="shared" si="5"/>
        <v>121</v>
      </c>
      <c r="H73" s="44">
        <f>V_7!H73+V_8!H73+V_9!H73</f>
        <v>0</v>
      </c>
      <c r="I73" s="39">
        <f>V_7!I73+V_8!I73+V_9!I73</f>
        <v>0</v>
      </c>
      <c r="J73" s="39">
        <f>V_7!J73+V_8!J73+V_9!J73</f>
        <v>0</v>
      </c>
      <c r="K73" s="45">
        <f>V_7!K73+V_8!K73+V_9!K73</f>
        <v>0</v>
      </c>
      <c r="L73" s="140">
        <f>V_7!L73+V_8!L73+V_9!L73</f>
        <v>0</v>
      </c>
      <c r="M73" s="149">
        <f t="shared" ref="M73:M103" si="6">SUM(H73:L73)</f>
        <v>0</v>
      </c>
      <c r="N73" s="100">
        <f t="shared" ref="N73:N103" si="7">G73+M73</f>
        <v>121</v>
      </c>
      <c r="O73" s="43">
        <f t="shared" ref="O73:O103" si="8">B73*1+C73*0.5+D73*1.5+E73*3+F73*4.5+H73*0.5+I73*1.5+J73*3+K73*4+L73*8</f>
        <v>154</v>
      </c>
    </row>
    <row r="74" spans="1:15" ht="22.5" customHeight="1" x14ac:dyDescent="0.3">
      <c r="A74" s="149" t="s">
        <v>155</v>
      </c>
      <c r="B74" s="44">
        <f>V_7!B74+V_8!B74+V_9!B74</f>
        <v>39</v>
      </c>
      <c r="C74" s="39">
        <f>V_7!C74+V_8!C74+V_9!C74</f>
        <v>37</v>
      </c>
      <c r="D74" s="39">
        <f>V_7!D74+V_8!D74+V_9!D74</f>
        <v>13</v>
      </c>
      <c r="E74" s="39">
        <f>V_7!E74+V_8!E74+V_9!E74</f>
        <v>5</v>
      </c>
      <c r="F74" s="152">
        <f>V_7!F74+V_8!F74+V_9!F74</f>
        <v>6</v>
      </c>
      <c r="G74" s="154">
        <f t="shared" si="5"/>
        <v>100</v>
      </c>
      <c r="H74" s="44">
        <f>V_7!H74+V_8!H74+V_9!H74</f>
        <v>0</v>
      </c>
      <c r="I74" s="39">
        <f>V_7!I74+V_8!I74+V_9!I74</f>
        <v>0</v>
      </c>
      <c r="J74" s="39">
        <f>V_7!J74+V_8!J74+V_9!J74</f>
        <v>0</v>
      </c>
      <c r="K74" s="45">
        <f>V_7!K74+V_8!K74+V_9!K74</f>
        <v>0</v>
      </c>
      <c r="L74" s="140">
        <f>V_7!L74+V_8!L74+V_9!L74</f>
        <v>0</v>
      </c>
      <c r="M74" s="149">
        <f t="shared" si="6"/>
        <v>0</v>
      </c>
      <c r="N74" s="100">
        <f t="shared" si="7"/>
        <v>100</v>
      </c>
      <c r="O74" s="43">
        <f t="shared" si="8"/>
        <v>119</v>
      </c>
    </row>
    <row r="75" spans="1:15" ht="22.5" customHeight="1" x14ac:dyDescent="0.3">
      <c r="A75" s="149" t="s">
        <v>156</v>
      </c>
      <c r="B75" s="44">
        <f>V_7!B75+V_8!B75+V_9!B75</f>
        <v>48</v>
      </c>
      <c r="C75" s="39">
        <f>V_7!C75+V_8!C75+V_9!C75</f>
        <v>35</v>
      </c>
      <c r="D75" s="39">
        <f>V_7!D75+V_8!D75+V_9!D75</f>
        <v>9</v>
      </c>
      <c r="E75" s="39">
        <f>V_7!E75+V_8!E75+V_9!E75</f>
        <v>5</v>
      </c>
      <c r="F75" s="152">
        <f>V_7!F75+V_8!F75+V_9!F75</f>
        <v>9</v>
      </c>
      <c r="G75" s="154">
        <f t="shared" si="5"/>
        <v>106</v>
      </c>
      <c r="H75" s="44">
        <f>V_7!H75+V_8!H75+V_9!H75</f>
        <v>0</v>
      </c>
      <c r="I75" s="39">
        <f>V_7!I75+V_8!I75+V_9!I75</f>
        <v>0</v>
      </c>
      <c r="J75" s="39">
        <f>V_7!J75+V_8!J75+V_9!J75</f>
        <v>0</v>
      </c>
      <c r="K75" s="45">
        <f>V_7!K75+V_8!K75+V_9!K75</f>
        <v>0</v>
      </c>
      <c r="L75" s="140">
        <f>V_7!L75+V_8!L75+V_9!L75</f>
        <v>1</v>
      </c>
      <c r="M75" s="149">
        <f t="shared" si="6"/>
        <v>1</v>
      </c>
      <c r="N75" s="100">
        <f t="shared" si="7"/>
        <v>107</v>
      </c>
      <c r="O75" s="43">
        <f t="shared" si="8"/>
        <v>142.5</v>
      </c>
    </row>
    <row r="76" spans="1:15" ht="22.5" customHeight="1" x14ac:dyDescent="0.3">
      <c r="A76" s="149" t="s">
        <v>157</v>
      </c>
      <c r="B76" s="44">
        <f>V_7!B76+V_8!B76+V_9!B76</f>
        <v>50</v>
      </c>
      <c r="C76" s="39">
        <f>V_7!C76+V_8!C76+V_9!C76</f>
        <v>31</v>
      </c>
      <c r="D76" s="39">
        <f>V_7!D76+V_8!D76+V_9!D76</f>
        <v>12</v>
      </c>
      <c r="E76" s="39">
        <f>V_7!E76+V_8!E76+V_9!E76</f>
        <v>3</v>
      </c>
      <c r="F76" s="152">
        <f>V_7!F76+V_8!F76+V_9!F76</f>
        <v>7</v>
      </c>
      <c r="G76" s="154">
        <f t="shared" si="5"/>
        <v>103</v>
      </c>
      <c r="H76" s="44">
        <f>V_7!H76+V_8!H76+V_9!H76</f>
        <v>0</v>
      </c>
      <c r="I76" s="39">
        <f>V_7!I76+V_8!I76+V_9!I76</f>
        <v>0</v>
      </c>
      <c r="J76" s="39">
        <f>V_7!J76+V_8!J76+V_9!J76</f>
        <v>0</v>
      </c>
      <c r="K76" s="45">
        <f>V_7!K76+V_8!K76+V_9!K76</f>
        <v>0</v>
      </c>
      <c r="L76" s="140">
        <f>V_7!L76+V_8!L76+V_9!L76</f>
        <v>0</v>
      </c>
      <c r="M76" s="149">
        <f t="shared" si="6"/>
        <v>0</v>
      </c>
      <c r="N76" s="100">
        <f t="shared" si="7"/>
        <v>103</v>
      </c>
      <c r="O76" s="43">
        <f t="shared" si="8"/>
        <v>124</v>
      </c>
    </row>
    <row r="77" spans="1:15" ht="22.5" customHeight="1" x14ac:dyDescent="0.3">
      <c r="A77" s="149" t="s">
        <v>158</v>
      </c>
      <c r="B77" s="44">
        <f>V_7!B77+V_8!B77+V_9!B77</f>
        <v>52</v>
      </c>
      <c r="C77" s="39">
        <f>V_7!C77+V_8!C77+V_9!C77</f>
        <v>20</v>
      </c>
      <c r="D77" s="39">
        <f>V_7!D77+V_8!D77+V_9!D77</f>
        <v>6</v>
      </c>
      <c r="E77" s="39">
        <f>V_7!E77+V_8!E77+V_9!E77</f>
        <v>3</v>
      </c>
      <c r="F77" s="152">
        <f>V_7!F77+V_8!F77+V_9!F77</f>
        <v>8</v>
      </c>
      <c r="G77" s="154">
        <f t="shared" si="5"/>
        <v>89</v>
      </c>
      <c r="H77" s="44">
        <f>V_7!H77+V_8!H77+V_9!H77</f>
        <v>0</v>
      </c>
      <c r="I77" s="39">
        <f>V_7!I77+V_8!I77+V_9!I77</f>
        <v>0</v>
      </c>
      <c r="J77" s="39">
        <f>V_7!J77+V_8!J77+V_9!J77</f>
        <v>0</v>
      </c>
      <c r="K77" s="45">
        <f>V_7!K77+V_8!K77+V_9!K77</f>
        <v>0</v>
      </c>
      <c r="L77" s="140">
        <f>V_7!L77+V_8!L77+V_9!L77</f>
        <v>0</v>
      </c>
      <c r="M77" s="149">
        <f t="shared" si="6"/>
        <v>0</v>
      </c>
      <c r="N77" s="100">
        <f t="shared" si="7"/>
        <v>89</v>
      </c>
      <c r="O77" s="43">
        <f t="shared" si="8"/>
        <v>116</v>
      </c>
    </row>
    <row r="78" spans="1:15" ht="22.5" customHeight="1" x14ac:dyDescent="0.3">
      <c r="A78" s="149" t="s">
        <v>159</v>
      </c>
      <c r="B78" s="44">
        <f>V_7!B78+V_8!B78+V_9!B78</f>
        <v>42</v>
      </c>
      <c r="C78" s="39">
        <f>V_7!C78+V_8!C78+V_9!C78</f>
        <v>31</v>
      </c>
      <c r="D78" s="39">
        <f>V_7!D78+V_8!D78+V_9!D78</f>
        <v>7</v>
      </c>
      <c r="E78" s="39">
        <f>V_7!E78+V_8!E78+V_9!E78</f>
        <v>2</v>
      </c>
      <c r="F78" s="152">
        <f>V_7!F78+V_8!F78+V_9!F78</f>
        <v>10</v>
      </c>
      <c r="G78" s="154">
        <f t="shared" si="5"/>
        <v>92</v>
      </c>
      <c r="H78" s="44">
        <f>V_7!H78+V_8!H78+V_9!H78</f>
        <v>0</v>
      </c>
      <c r="I78" s="39">
        <f>V_7!I78+V_8!I78+V_9!I78</f>
        <v>0</v>
      </c>
      <c r="J78" s="39">
        <f>V_7!J78+V_8!J78+V_9!J78</f>
        <v>0</v>
      </c>
      <c r="K78" s="45">
        <f>V_7!K78+V_8!K78+V_9!K78</f>
        <v>0</v>
      </c>
      <c r="L78" s="140">
        <f>V_7!L78+V_8!L78+V_9!L78</f>
        <v>0</v>
      </c>
      <c r="M78" s="149">
        <f t="shared" si="6"/>
        <v>0</v>
      </c>
      <c r="N78" s="100">
        <f t="shared" si="7"/>
        <v>92</v>
      </c>
      <c r="O78" s="43">
        <f t="shared" si="8"/>
        <v>119</v>
      </c>
    </row>
    <row r="79" spans="1:15" ht="22.5" customHeight="1" x14ac:dyDescent="0.3">
      <c r="A79" s="149" t="s">
        <v>160</v>
      </c>
      <c r="B79" s="44">
        <f>V_7!B79+V_8!B79+V_9!B79</f>
        <v>35</v>
      </c>
      <c r="C79" s="39">
        <f>V_7!C79+V_8!C79+V_9!C79</f>
        <v>35</v>
      </c>
      <c r="D79" s="39">
        <f>V_7!D79+V_8!D79+V_9!D79</f>
        <v>8</v>
      </c>
      <c r="E79" s="39">
        <f>V_7!E79+V_8!E79+V_9!E79</f>
        <v>4</v>
      </c>
      <c r="F79" s="152">
        <f>V_7!F79+V_8!F79+V_9!F79</f>
        <v>10</v>
      </c>
      <c r="G79" s="154">
        <f t="shared" si="5"/>
        <v>92</v>
      </c>
      <c r="H79" s="44">
        <f>V_7!H79+V_8!H79+V_9!H79</f>
        <v>0</v>
      </c>
      <c r="I79" s="39">
        <f>V_7!I79+V_8!I79+V_9!I79</f>
        <v>0</v>
      </c>
      <c r="J79" s="39">
        <f>V_7!J79+V_8!J79+V_9!J79</f>
        <v>0</v>
      </c>
      <c r="K79" s="45">
        <f>V_7!K79+V_8!K79+V_9!K79</f>
        <v>0</v>
      </c>
      <c r="L79" s="140">
        <f>V_7!L79+V_8!L79+V_9!L79</f>
        <v>1</v>
      </c>
      <c r="M79" s="149">
        <f t="shared" si="6"/>
        <v>1</v>
      </c>
      <c r="N79" s="100">
        <f t="shared" si="7"/>
        <v>93</v>
      </c>
      <c r="O79" s="43">
        <f t="shared" si="8"/>
        <v>129.5</v>
      </c>
    </row>
    <row r="80" spans="1:15" ht="22.5" customHeight="1" x14ac:dyDescent="0.3">
      <c r="A80" s="149" t="s">
        <v>161</v>
      </c>
      <c r="B80" s="44">
        <f>V_7!B80+V_8!B80+V_9!B80</f>
        <v>30</v>
      </c>
      <c r="C80" s="39">
        <f>V_7!C80+V_8!C80+V_9!C80</f>
        <v>14</v>
      </c>
      <c r="D80" s="39">
        <f>V_7!D80+V_8!D80+V_9!D80</f>
        <v>6</v>
      </c>
      <c r="E80" s="39">
        <f>V_7!E80+V_8!E80+V_9!E80</f>
        <v>0</v>
      </c>
      <c r="F80" s="152">
        <f>V_7!F80+V_8!F80+V_9!F80</f>
        <v>5</v>
      </c>
      <c r="G80" s="154">
        <f t="shared" si="5"/>
        <v>55</v>
      </c>
      <c r="H80" s="44">
        <f>V_7!H80+V_8!H80+V_9!H80</f>
        <v>0</v>
      </c>
      <c r="I80" s="39">
        <f>V_7!I80+V_8!I80+V_9!I80</f>
        <v>0</v>
      </c>
      <c r="J80" s="39">
        <f>V_7!J80+V_8!J80+V_9!J80</f>
        <v>0</v>
      </c>
      <c r="K80" s="45">
        <f>V_7!K80+V_8!K80+V_9!K80</f>
        <v>0</v>
      </c>
      <c r="L80" s="140">
        <f>V_7!L80+V_8!L80+V_9!L80</f>
        <v>0</v>
      </c>
      <c r="M80" s="149">
        <f t="shared" si="6"/>
        <v>0</v>
      </c>
      <c r="N80" s="100">
        <f t="shared" si="7"/>
        <v>55</v>
      </c>
      <c r="O80" s="43">
        <f t="shared" si="8"/>
        <v>68.5</v>
      </c>
    </row>
    <row r="81" spans="1:15" ht="22.5" customHeight="1" x14ac:dyDescent="0.3">
      <c r="A81" s="149" t="s">
        <v>162</v>
      </c>
      <c r="B81" s="44">
        <f>V_7!B81+V_8!B81+V_9!B81</f>
        <v>38</v>
      </c>
      <c r="C81" s="39">
        <f>V_7!C81+V_8!C81+V_9!C81</f>
        <v>7</v>
      </c>
      <c r="D81" s="39">
        <f>V_7!D81+V_8!D81+V_9!D81</f>
        <v>5</v>
      </c>
      <c r="E81" s="39">
        <f>V_7!E81+V_8!E81+V_9!E81</f>
        <v>2</v>
      </c>
      <c r="F81" s="152">
        <f>V_7!F81+V_8!F81+V_9!F81</f>
        <v>6</v>
      </c>
      <c r="G81" s="154">
        <f t="shared" si="5"/>
        <v>58</v>
      </c>
      <c r="H81" s="44">
        <f>V_7!H81+V_8!H81+V_9!H81</f>
        <v>0</v>
      </c>
      <c r="I81" s="39">
        <f>V_7!I81+V_8!I81+V_9!I81</f>
        <v>0</v>
      </c>
      <c r="J81" s="39">
        <f>V_7!J81+V_8!J81+V_9!J81</f>
        <v>0</v>
      </c>
      <c r="K81" s="45">
        <f>V_7!K81+V_8!K81+V_9!K81</f>
        <v>0</v>
      </c>
      <c r="L81" s="140">
        <f>V_7!L81+V_8!L81+V_9!L81</f>
        <v>0</v>
      </c>
      <c r="M81" s="149">
        <f t="shared" si="6"/>
        <v>0</v>
      </c>
      <c r="N81" s="100">
        <f t="shared" si="7"/>
        <v>58</v>
      </c>
      <c r="O81" s="43">
        <f t="shared" si="8"/>
        <v>82</v>
      </c>
    </row>
    <row r="82" spans="1:15" ht="22.5" customHeight="1" x14ac:dyDescent="0.3">
      <c r="A82" s="149" t="s">
        <v>163</v>
      </c>
      <c r="B82" s="44">
        <f>V_7!B82+V_8!B82+V_9!B82</f>
        <v>34</v>
      </c>
      <c r="C82" s="39">
        <f>V_7!C82+V_8!C82+V_9!C82</f>
        <v>9</v>
      </c>
      <c r="D82" s="39">
        <f>V_7!D82+V_8!D82+V_9!D82</f>
        <v>10</v>
      </c>
      <c r="E82" s="39">
        <f>V_7!E82+V_8!E82+V_9!E82</f>
        <v>1</v>
      </c>
      <c r="F82" s="152">
        <f>V_7!F82+V_8!F82+V_9!F82</f>
        <v>2</v>
      </c>
      <c r="G82" s="154">
        <f t="shared" si="5"/>
        <v>56</v>
      </c>
      <c r="H82" s="44">
        <f>V_7!H82+V_8!H82+V_9!H82</f>
        <v>0</v>
      </c>
      <c r="I82" s="39">
        <f>V_7!I82+V_8!I82+V_9!I82</f>
        <v>0</v>
      </c>
      <c r="J82" s="39">
        <f>V_7!J82+V_8!J82+V_9!J82</f>
        <v>0</v>
      </c>
      <c r="K82" s="45">
        <f>V_7!K82+V_8!K82+V_9!K82</f>
        <v>0</v>
      </c>
      <c r="L82" s="140">
        <f>V_7!L82+V_8!L82+V_9!L82</f>
        <v>0</v>
      </c>
      <c r="M82" s="149">
        <f t="shared" si="6"/>
        <v>0</v>
      </c>
      <c r="N82" s="100">
        <f t="shared" si="7"/>
        <v>56</v>
      </c>
      <c r="O82" s="43">
        <f t="shared" si="8"/>
        <v>65.5</v>
      </c>
    </row>
    <row r="83" spans="1:15" ht="22.5" customHeight="1" x14ac:dyDescent="0.3">
      <c r="A83" s="149" t="s">
        <v>164</v>
      </c>
      <c r="B83" s="44">
        <f>V_7!B83+V_8!B83+V_9!B83</f>
        <v>27</v>
      </c>
      <c r="C83" s="39">
        <f>V_7!C83+V_8!C83+V_9!C83</f>
        <v>7</v>
      </c>
      <c r="D83" s="39">
        <f>V_7!D83+V_8!D83+V_9!D83</f>
        <v>4</v>
      </c>
      <c r="E83" s="39">
        <f>V_7!E83+V_8!E83+V_9!E83</f>
        <v>3</v>
      </c>
      <c r="F83" s="152">
        <f>V_7!F83+V_8!F83+V_9!F83</f>
        <v>5</v>
      </c>
      <c r="G83" s="154">
        <f t="shared" si="5"/>
        <v>46</v>
      </c>
      <c r="H83" s="44">
        <f>V_7!H83+V_8!H83+V_9!H83</f>
        <v>0</v>
      </c>
      <c r="I83" s="39">
        <f>V_7!I83+V_8!I83+V_9!I83</f>
        <v>0</v>
      </c>
      <c r="J83" s="39">
        <f>V_7!J83+V_8!J83+V_9!J83</f>
        <v>0</v>
      </c>
      <c r="K83" s="45">
        <f>V_7!K83+V_8!K83+V_9!K83</f>
        <v>0</v>
      </c>
      <c r="L83" s="140">
        <f>V_7!L83+V_8!L83+V_9!L83</f>
        <v>0</v>
      </c>
      <c r="M83" s="149">
        <f t="shared" si="6"/>
        <v>0</v>
      </c>
      <c r="N83" s="100">
        <f t="shared" si="7"/>
        <v>46</v>
      </c>
      <c r="O83" s="43">
        <f t="shared" si="8"/>
        <v>68</v>
      </c>
    </row>
    <row r="84" spans="1:15" ht="22.5" customHeight="1" x14ac:dyDescent="0.3">
      <c r="A84" s="149" t="s">
        <v>165</v>
      </c>
      <c r="B84" s="44">
        <f>V_7!B84+V_8!B84+V_9!B84</f>
        <v>20</v>
      </c>
      <c r="C84" s="39">
        <f>V_7!C84+V_8!C84+V_9!C84</f>
        <v>16</v>
      </c>
      <c r="D84" s="39">
        <f>V_7!D84+V_8!D84+V_9!D84</f>
        <v>3</v>
      </c>
      <c r="E84" s="39">
        <f>V_7!E84+V_8!E84+V_9!E84</f>
        <v>5</v>
      </c>
      <c r="F84" s="152">
        <f>V_7!F84+V_8!F84+V_9!F84</f>
        <v>1</v>
      </c>
      <c r="G84" s="154">
        <f t="shared" si="5"/>
        <v>45</v>
      </c>
      <c r="H84" s="44">
        <f>V_7!H84+V_8!H84+V_9!H84</f>
        <v>0</v>
      </c>
      <c r="I84" s="39">
        <f>V_7!I84+V_8!I84+V_9!I84</f>
        <v>0</v>
      </c>
      <c r="J84" s="39">
        <f>V_7!J84+V_8!J84+V_9!J84</f>
        <v>0</v>
      </c>
      <c r="K84" s="45">
        <f>V_7!K84+V_8!K84+V_9!K84</f>
        <v>0</v>
      </c>
      <c r="L84" s="140">
        <f>V_7!L84+V_8!L84+V_9!L84</f>
        <v>0</v>
      </c>
      <c r="M84" s="149">
        <f t="shared" si="6"/>
        <v>0</v>
      </c>
      <c r="N84" s="100">
        <f t="shared" si="7"/>
        <v>45</v>
      </c>
      <c r="O84" s="43">
        <f t="shared" si="8"/>
        <v>52</v>
      </c>
    </row>
    <row r="85" spans="1:15" ht="22.5" customHeight="1" x14ac:dyDescent="0.3">
      <c r="A85" s="149" t="s">
        <v>166</v>
      </c>
      <c r="B85" s="44">
        <f>V_7!B85+V_8!B85+V_9!B85</f>
        <v>26</v>
      </c>
      <c r="C85" s="39">
        <f>V_7!C85+V_8!C85+V_9!C85</f>
        <v>11</v>
      </c>
      <c r="D85" s="39">
        <f>V_7!D85+V_8!D85+V_9!D85</f>
        <v>5</v>
      </c>
      <c r="E85" s="39">
        <f>V_7!E85+V_8!E85+V_9!E85</f>
        <v>9</v>
      </c>
      <c r="F85" s="152">
        <f>V_7!F85+V_8!F85+V_9!F85</f>
        <v>1</v>
      </c>
      <c r="G85" s="154">
        <f t="shared" si="5"/>
        <v>52</v>
      </c>
      <c r="H85" s="44">
        <f>V_7!H85+V_8!H85+V_9!H85</f>
        <v>0</v>
      </c>
      <c r="I85" s="39">
        <f>V_7!I85+V_8!I85+V_9!I85</f>
        <v>0</v>
      </c>
      <c r="J85" s="39">
        <f>V_7!J85+V_8!J85+V_9!J85</f>
        <v>0</v>
      </c>
      <c r="K85" s="45">
        <f>V_7!K85+V_8!K85+V_9!K85</f>
        <v>0</v>
      </c>
      <c r="L85" s="140">
        <f>V_7!L85+V_8!L85+V_9!L85</f>
        <v>0</v>
      </c>
      <c r="M85" s="149">
        <f t="shared" si="6"/>
        <v>0</v>
      </c>
      <c r="N85" s="100">
        <f t="shared" si="7"/>
        <v>52</v>
      </c>
      <c r="O85" s="43">
        <f t="shared" si="8"/>
        <v>70.5</v>
      </c>
    </row>
    <row r="86" spans="1:15" ht="22.5" customHeight="1" x14ac:dyDescent="0.3">
      <c r="A86" s="149" t="s">
        <v>167</v>
      </c>
      <c r="B86" s="44">
        <f>V_7!B86+V_8!B86+V_9!B86</f>
        <v>35</v>
      </c>
      <c r="C86" s="39">
        <f>V_7!C86+V_8!C86+V_9!C86</f>
        <v>2</v>
      </c>
      <c r="D86" s="39">
        <f>V_7!D86+V_8!D86+V_9!D86</f>
        <v>6</v>
      </c>
      <c r="E86" s="39">
        <f>V_7!E86+V_8!E86+V_9!E86</f>
        <v>5</v>
      </c>
      <c r="F86" s="152">
        <f>V_7!F86+V_8!F86+V_9!F86</f>
        <v>2</v>
      </c>
      <c r="G86" s="154">
        <f t="shared" si="5"/>
        <v>50</v>
      </c>
      <c r="H86" s="44">
        <f>V_7!H86+V_8!H86+V_9!H86</f>
        <v>0</v>
      </c>
      <c r="I86" s="39">
        <f>V_7!I86+V_8!I86+V_9!I86</f>
        <v>0</v>
      </c>
      <c r="J86" s="39">
        <f>V_7!J86+V_8!J86+V_9!J86</f>
        <v>0</v>
      </c>
      <c r="K86" s="45">
        <f>V_7!K86+V_8!K86+V_9!K86</f>
        <v>0</v>
      </c>
      <c r="L86" s="140">
        <f>V_7!L86+V_8!L86+V_9!L86</f>
        <v>0</v>
      </c>
      <c r="M86" s="149">
        <f t="shared" si="6"/>
        <v>0</v>
      </c>
      <c r="N86" s="100">
        <f t="shared" si="7"/>
        <v>50</v>
      </c>
      <c r="O86" s="43">
        <f t="shared" si="8"/>
        <v>69</v>
      </c>
    </row>
    <row r="87" spans="1:15" ht="22.5" customHeight="1" x14ac:dyDescent="0.3">
      <c r="A87" s="149" t="s">
        <v>168</v>
      </c>
      <c r="B87" s="44">
        <f>V_7!B87+V_8!B87+V_9!B87</f>
        <v>26</v>
      </c>
      <c r="C87" s="39">
        <f>V_7!C87+V_8!C87+V_9!C87</f>
        <v>5</v>
      </c>
      <c r="D87" s="39">
        <f>V_7!D87+V_8!D87+V_9!D87</f>
        <v>2</v>
      </c>
      <c r="E87" s="39">
        <f>V_7!E87+V_8!E87+V_9!E87</f>
        <v>7</v>
      </c>
      <c r="F87" s="152">
        <f>V_7!F87+V_8!F87+V_9!F87</f>
        <v>8</v>
      </c>
      <c r="G87" s="154">
        <f t="shared" si="5"/>
        <v>48</v>
      </c>
      <c r="H87" s="44">
        <f>V_7!H87+V_8!H87+V_9!H87</f>
        <v>0</v>
      </c>
      <c r="I87" s="39">
        <f>V_7!I87+V_8!I87+V_9!I87</f>
        <v>0</v>
      </c>
      <c r="J87" s="39">
        <f>V_7!J87+V_8!J87+V_9!J87</f>
        <v>0</v>
      </c>
      <c r="K87" s="45">
        <f>V_7!K87+V_8!K87+V_9!K87</f>
        <v>0</v>
      </c>
      <c r="L87" s="140">
        <f>V_7!L87+V_8!L87+V_9!L87</f>
        <v>0</v>
      </c>
      <c r="M87" s="149">
        <f t="shared" si="6"/>
        <v>0</v>
      </c>
      <c r="N87" s="100">
        <f t="shared" si="7"/>
        <v>48</v>
      </c>
      <c r="O87" s="43">
        <f t="shared" si="8"/>
        <v>88.5</v>
      </c>
    </row>
    <row r="88" spans="1:15" ht="22.5" customHeight="1" x14ac:dyDescent="0.3">
      <c r="A88" s="149" t="s">
        <v>169</v>
      </c>
      <c r="B88" s="44">
        <f>V_7!B88+V_8!B88+V_9!B88</f>
        <v>33</v>
      </c>
      <c r="C88" s="39">
        <f>V_7!C88+V_8!C88+V_9!C88</f>
        <v>11</v>
      </c>
      <c r="D88" s="39">
        <f>V_7!D88+V_8!D88+V_9!D88</f>
        <v>8</v>
      </c>
      <c r="E88" s="39">
        <f>V_7!E88+V_8!E88+V_9!E88</f>
        <v>4</v>
      </c>
      <c r="F88" s="152">
        <f>V_7!F88+V_8!F88+V_9!F88</f>
        <v>7</v>
      </c>
      <c r="G88" s="154">
        <f t="shared" si="5"/>
        <v>63</v>
      </c>
      <c r="H88" s="44">
        <f>V_7!H88+V_8!H88+V_9!H88</f>
        <v>0</v>
      </c>
      <c r="I88" s="39">
        <f>V_7!I88+V_8!I88+V_9!I88</f>
        <v>0</v>
      </c>
      <c r="J88" s="39">
        <f>V_7!J88+V_8!J88+V_9!J88</f>
        <v>0</v>
      </c>
      <c r="K88" s="45">
        <f>V_7!K88+V_8!K88+V_9!K88</f>
        <v>0</v>
      </c>
      <c r="L88" s="140">
        <f>V_7!L88+V_8!L88+V_9!L88</f>
        <v>0</v>
      </c>
      <c r="M88" s="149">
        <f t="shared" si="6"/>
        <v>0</v>
      </c>
      <c r="N88" s="100">
        <f t="shared" si="7"/>
        <v>63</v>
      </c>
      <c r="O88" s="43">
        <f t="shared" si="8"/>
        <v>94</v>
      </c>
    </row>
    <row r="89" spans="1:15" ht="22.5" customHeight="1" x14ac:dyDescent="0.3">
      <c r="A89" s="149" t="s">
        <v>170</v>
      </c>
      <c r="B89" s="44">
        <f>V_7!B89+V_8!B89+V_9!B89</f>
        <v>30</v>
      </c>
      <c r="C89" s="39">
        <f>V_7!C89+V_8!C89+V_9!C89</f>
        <v>13</v>
      </c>
      <c r="D89" s="39">
        <f>V_7!D89+V_8!D89+V_9!D89</f>
        <v>7</v>
      </c>
      <c r="E89" s="39">
        <f>V_7!E89+V_8!E89+V_9!E89</f>
        <v>10</v>
      </c>
      <c r="F89" s="152">
        <f>V_7!F89+V_8!F89+V_9!F89</f>
        <v>4</v>
      </c>
      <c r="G89" s="154">
        <f t="shared" si="5"/>
        <v>64</v>
      </c>
      <c r="H89" s="44">
        <f>V_7!H89+V_8!H89+V_9!H89</f>
        <v>0</v>
      </c>
      <c r="I89" s="39">
        <f>V_7!I89+V_8!I89+V_9!I89</f>
        <v>0</v>
      </c>
      <c r="J89" s="39">
        <f>V_7!J89+V_8!J89+V_9!J89</f>
        <v>0</v>
      </c>
      <c r="K89" s="45">
        <f>V_7!K89+V_8!K89+V_9!K89</f>
        <v>0</v>
      </c>
      <c r="L89" s="140">
        <f>V_7!L89+V_8!L89+V_9!L89</f>
        <v>0</v>
      </c>
      <c r="M89" s="149">
        <f t="shared" si="6"/>
        <v>0</v>
      </c>
      <c r="N89" s="100">
        <f t="shared" si="7"/>
        <v>64</v>
      </c>
      <c r="O89" s="43">
        <f t="shared" si="8"/>
        <v>95</v>
      </c>
    </row>
    <row r="90" spans="1:15" ht="22.5" customHeight="1" x14ac:dyDescent="0.3">
      <c r="A90" s="149" t="s">
        <v>171</v>
      </c>
      <c r="B90" s="44">
        <f>V_7!B90+V_8!B90+V_9!B90</f>
        <v>56</v>
      </c>
      <c r="C90" s="39">
        <f>V_7!C90+V_8!C90+V_9!C90</f>
        <v>13</v>
      </c>
      <c r="D90" s="39">
        <f>V_7!D90+V_8!D90+V_9!D90</f>
        <v>12</v>
      </c>
      <c r="E90" s="39">
        <f>V_7!E90+V_8!E90+V_9!E90</f>
        <v>8</v>
      </c>
      <c r="F90" s="152">
        <f>V_7!F90+V_8!F90+V_9!F90</f>
        <v>2</v>
      </c>
      <c r="G90" s="154">
        <f t="shared" si="5"/>
        <v>91</v>
      </c>
      <c r="H90" s="44">
        <f>V_7!H90+V_8!H90+V_9!H90</f>
        <v>0</v>
      </c>
      <c r="I90" s="39">
        <f>V_7!I90+V_8!I90+V_9!I90</f>
        <v>0</v>
      </c>
      <c r="J90" s="39">
        <f>V_7!J90+V_8!J90+V_9!J90</f>
        <v>0</v>
      </c>
      <c r="K90" s="45">
        <f>V_7!K90+V_8!K90+V_9!K90</f>
        <v>0</v>
      </c>
      <c r="L90" s="140">
        <f>V_7!L90+V_8!L90+V_9!L90</f>
        <v>0</v>
      </c>
      <c r="M90" s="149">
        <f t="shared" si="6"/>
        <v>0</v>
      </c>
      <c r="N90" s="100">
        <f t="shared" si="7"/>
        <v>91</v>
      </c>
      <c r="O90" s="43">
        <f t="shared" si="8"/>
        <v>113.5</v>
      </c>
    </row>
    <row r="91" spans="1:15" ht="22.5" customHeight="1" x14ac:dyDescent="0.3">
      <c r="A91" s="149" t="s">
        <v>172</v>
      </c>
      <c r="B91" s="44">
        <f>V_7!B91+V_8!B91+V_9!B91</f>
        <v>43</v>
      </c>
      <c r="C91" s="39">
        <f>V_7!C91+V_8!C91+V_9!C91</f>
        <v>11</v>
      </c>
      <c r="D91" s="39">
        <f>V_7!D91+V_8!D91+V_9!D91</f>
        <v>6</v>
      </c>
      <c r="E91" s="39">
        <f>V_7!E91+V_8!E91+V_9!E91</f>
        <v>9</v>
      </c>
      <c r="F91" s="152">
        <f>V_7!F91+V_8!F91+V_9!F91</f>
        <v>2</v>
      </c>
      <c r="G91" s="154">
        <f t="shared" si="5"/>
        <v>71</v>
      </c>
      <c r="H91" s="44">
        <f>V_7!H91+V_8!H91+V_9!H91</f>
        <v>0</v>
      </c>
      <c r="I91" s="39">
        <f>V_7!I91+V_8!I91+V_9!I91</f>
        <v>0</v>
      </c>
      <c r="J91" s="39">
        <f>V_7!J91+V_8!J91+V_9!J91</f>
        <v>0</v>
      </c>
      <c r="K91" s="45">
        <f>V_7!K91+V_8!K91+V_9!K91</f>
        <v>0</v>
      </c>
      <c r="L91" s="140">
        <f>V_7!L91+V_8!L91+V_9!L91</f>
        <v>0</v>
      </c>
      <c r="M91" s="149">
        <f t="shared" si="6"/>
        <v>0</v>
      </c>
      <c r="N91" s="100">
        <f t="shared" si="7"/>
        <v>71</v>
      </c>
      <c r="O91" s="43">
        <f t="shared" si="8"/>
        <v>93.5</v>
      </c>
    </row>
    <row r="92" spans="1:15" ht="22.5" customHeight="1" x14ac:dyDescent="0.3">
      <c r="A92" s="149" t="s">
        <v>173</v>
      </c>
      <c r="B92" s="44">
        <f>V_7!B92+V_8!B92+V_9!B92</f>
        <v>62</v>
      </c>
      <c r="C92" s="39">
        <f>V_7!C92+V_8!C92+V_9!C92</f>
        <v>19</v>
      </c>
      <c r="D92" s="39">
        <f>V_7!D92+V_8!D92+V_9!D92</f>
        <v>7</v>
      </c>
      <c r="E92" s="39">
        <f>V_7!E92+V_8!E92+V_9!E92</f>
        <v>9</v>
      </c>
      <c r="F92" s="152">
        <f>V_7!F92+V_8!F92+V_9!F92</f>
        <v>2</v>
      </c>
      <c r="G92" s="154">
        <f t="shared" si="5"/>
        <v>99</v>
      </c>
      <c r="H92" s="44">
        <f>V_7!H92+V_8!H92+V_9!H92</f>
        <v>1</v>
      </c>
      <c r="I92" s="39">
        <f>V_7!I92+V_8!I92+V_9!I92</f>
        <v>0</v>
      </c>
      <c r="J92" s="39">
        <f>V_7!J92+V_8!J92+V_9!J92</f>
        <v>0</v>
      </c>
      <c r="K92" s="45">
        <f>V_7!K92+V_8!K92+V_9!K92</f>
        <v>0</v>
      </c>
      <c r="L92" s="140">
        <f>V_7!L92+V_8!L92+V_9!L92</f>
        <v>1</v>
      </c>
      <c r="M92" s="149">
        <f t="shared" si="6"/>
        <v>2</v>
      </c>
      <c r="N92" s="100">
        <f t="shared" si="7"/>
        <v>101</v>
      </c>
      <c r="O92" s="43">
        <f t="shared" si="8"/>
        <v>126.5</v>
      </c>
    </row>
    <row r="93" spans="1:15" ht="22.5" customHeight="1" x14ac:dyDescent="0.3">
      <c r="A93" s="149" t="s">
        <v>174</v>
      </c>
      <c r="B93" s="44">
        <f>V_7!B93+V_8!B93+V_9!B93</f>
        <v>16</v>
      </c>
      <c r="C93" s="39">
        <f>V_7!C93+V_8!C93+V_9!C93</f>
        <v>13</v>
      </c>
      <c r="D93" s="39">
        <f>V_7!D93+V_8!D93+V_9!D93</f>
        <v>9</v>
      </c>
      <c r="E93" s="39">
        <f>V_7!E93+V_8!E93+V_9!E93</f>
        <v>3</v>
      </c>
      <c r="F93" s="152">
        <f>V_7!F93+V_8!F93+V_9!F93</f>
        <v>3</v>
      </c>
      <c r="G93" s="154">
        <f t="shared" si="5"/>
        <v>44</v>
      </c>
      <c r="H93" s="44">
        <f>V_7!H93+V_8!H93+V_9!H93</f>
        <v>0</v>
      </c>
      <c r="I93" s="39">
        <f>V_7!I93+V_8!I93+V_9!I93</f>
        <v>0</v>
      </c>
      <c r="J93" s="39">
        <f>V_7!J93+V_8!J93+V_9!J93</f>
        <v>0</v>
      </c>
      <c r="K93" s="45">
        <f>V_7!K93+V_8!K93+V_9!K93</f>
        <v>0</v>
      </c>
      <c r="L93" s="140">
        <f>V_7!L93+V_8!L93+V_9!L93</f>
        <v>0</v>
      </c>
      <c r="M93" s="149">
        <f t="shared" si="6"/>
        <v>0</v>
      </c>
      <c r="N93" s="100">
        <f t="shared" si="7"/>
        <v>44</v>
      </c>
      <c r="O93" s="43">
        <f t="shared" si="8"/>
        <v>58.5</v>
      </c>
    </row>
    <row r="94" spans="1:15" ht="22.5" customHeight="1" x14ac:dyDescent="0.3">
      <c r="A94" s="149" t="s">
        <v>175</v>
      </c>
      <c r="B94" s="44">
        <f>V_7!B94+V_8!B94+V_9!B94</f>
        <v>87</v>
      </c>
      <c r="C94" s="39">
        <f>V_7!C94+V_8!C94+V_9!C94</f>
        <v>31</v>
      </c>
      <c r="D94" s="39">
        <f>V_7!D94+V_8!D94+V_9!D94</f>
        <v>4</v>
      </c>
      <c r="E94" s="39">
        <f>V_7!E94+V_8!E94+V_9!E94</f>
        <v>7</v>
      </c>
      <c r="F94" s="152">
        <f>V_7!F94+V_8!F94+V_9!F94</f>
        <v>2</v>
      </c>
      <c r="G94" s="154">
        <f t="shared" si="5"/>
        <v>131</v>
      </c>
      <c r="H94" s="44">
        <f>V_7!H94+V_8!H94+V_9!H94</f>
        <v>0</v>
      </c>
      <c r="I94" s="39">
        <f>V_7!I94+V_8!I94+V_9!I94</f>
        <v>0</v>
      </c>
      <c r="J94" s="39">
        <f>V_7!J94+V_8!J94+V_9!J94</f>
        <v>0</v>
      </c>
      <c r="K94" s="45">
        <f>V_7!K94+V_8!K94+V_9!K94</f>
        <v>0</v>
      </c>
      <c r="L94" s="140">
        <f>V_7!L94+V_8!L94+V_9!L94</f>
        <v>0</v>
      </c>
      <c r="M94" s="149">
        <f t="shared" si="6"/>
        <v>0</v>
      </c>
      <c r="N94" s="100">
        <f t="shared" si="7"/>
        <v>131</v>
      </c>
      <c r="O94" s="43">
        <f t="shared" si="8"/>
        <v>138.5</v>
      </c>
    </row>
    <row r="95" spans="1:15" ht="22.5" customHeight="1" x14ac:dyDescent="0.3">
      <c r="A95" s="149" t="s">
        <v>176</v>
      </c>
      <c r="B95" s="44">
        <f>V_7!B95+V_8!B95+V_9!B95</f>
        <v>106</v>
      </c>
      <c r="C95" s="39">
        <f>V_7!C95+V_8!C95+V_9!C95</f>
        <v>38</v>
      </c>
      <c r="D95" s="39">
        <f>V_7!D95+V_8!D95+V_9!D95</f>
        <v>6</v>
      </c>
      <c r="E95" s="39">
        <f>V_7!E95+V_8!E95+V_9!E95</f>
        <v>6</v>
      </c>
      <c r="F95" s="152">
        <f>V_7!F95+V_8!F95+V_9!F95</f>
        <v>4</v>
      </c>
      <c r="G95" s="154">
        <f t="shared" si="5"/>
        <v>160</v>
      </c>
      <c r="H95" s="44">
        <f>V_7!H95+V_8!H95+V_9!H95</f>
        <v>0</v>
      </c>
      <c r="I95" s="39">
        <f>V_7!I95+V_8!I95+V_9!I95</f>
        <v>0</v>
      </c>
      <c r="J95" s="39">
        <f>V_7!J95+V_8!J95+V_9!J95</f>
        <v>0</v>
      </c>
      <c r="K95" s="45">
        <f>V_7!K95+V_8!K95+V_9!K95</f>
        <v>0</v>
      </c>
      <c r="L95" s="140">
        <f>V_7!L95+V_8!L95+V_9!L95</f>
        <v>1</v>
      </c>
      <c r="M95" s="149">
        <f t="shared" si="6"/>
        <v>1</v>
      </c>
      <c r="N95" s="100">
        <f t="shared" si="7"/>
        <v>161</v>
      </c>
      <c r="O95" s="43">
        <f t="shared" si="8"/>
        <v>178</v>
      </c>
    </row>
    <row r="96" spans="1:15" ht="22.5" customHeight="1" x14ac:dyDescent="0.3">
      <c r="A96" s="149" t="s">
        <v>135</v>
      </c>
      <c r="B96" s="44">
        <f>V_7!B96+V_8!B96+V_9!B96</f>
        <v>96</v>
      </c>
      <c r="C96" s="39">
        <f>V_7!C96+V_8!C96+V_9!C96</f>
        <v>50</v>
      </c>
      <c r="D96" s="39">
        <f>V_7!D96+V_8!D96+V_9!D96</f>
        <v>6</v>
      </c>
      <c r="E96" s="39">
        <f>V_7!E96+V_8!E96+V_9!E96</f>
        <v>10</v>
      </c>
      <c r="F96" s="152">
        <f>V_7!F96+V_8!F96+V_9!F96</f>
        <v>1</v>
      </c>
      <c r="G96" s="154">
        <f t="shared" si="5"/>
        <v>163</v>
      </c>
      <c r="H96" s="44">
        <f>V_7!H96+V_8!H96+V_9!H96</f>
        <v>0</v>
      </c>
      <c r="I96" s="39">
        <f>V_7!I96+V_8!I96+V_9!I96</f>
        <v>0</v>
      </c>
      <c r="J96" s="39">
        <f>V_7!J96+V_8!J96+V_9!J96</f>
        <v>0</v>
      </c>
      <c r="K96" s="45">
        <f>V_7!K96+V_8!K96+V_9!K96</f>
        <v>0</v>
      </c>
      <c r="L96" s="140">
        <f>V_7!L96+V_8!L96+V_9!L96</f>
        <v>2</v>
      </c>
      <c r="M96" s="149">
        <f t="shared" si="6"/>
        <v>2</v>
      </c>
      <c r="N96" s="100">
        <f t="shared" si="7"/>
        <v>165</v>
      </c>
      <c r="O96" s="43">
        <f t="shared" si="8"/>
        <v>180.5</v>
      </c>
    </row>
    <row r="97" spans="1:15" ht="22.5" customHeight="1" x14ac:dyDescent="0.3">
      <c r="A97" s="149" t="s">
        <v>136</v>
      </c>
      <c r="B97" s="44">
        <f>V_7!B97+V_8!B97+V_9!B97</f>
        <v>107</v>
      </c>
      <c r="C97" s="39">
        <f>V_7!C97+V_8!C97+V_9!C97</f>
        <v>51</v>
      </c>
      <c r="D97" s="39">
        <f>V_7!D97+V_8!D97+V_9!D97</f>
        <v>5</v>
      </c>
      <c r="E97" s="39">
        <f>V_7!E97+V_8!E97+V_9!E97</f>
        <v>7</v>
      </c>
      <c r="F97" s="152">
        <f>V_7!F97+V_8!F97+V_9!F97</f>
        <v>2</v>
      </c>
      <c r="G97" s="154">
        <f t="shared" si="5"/>
        <v>172</v>
      </c>
      <c r="H97" s="44">
        <f>V_7!H97+V_8!H97+V_9!H97</f>
        <v>0</v>
      </c>
      <c r="I97" s="39">
        <f>V_7!I97+V_8!I97+V_9!I97</f>
        <v>0</v>
      </c>
      <c r="J97" s="39">
        <f>V_7!J97+V_8!J97+V_9!J97</f>
        <v>0</v>
      </c>
      <c r="K97" s="45">
        <f>V_7!K97+V_8!K97+V_9!K97</f>
        <v>0</v>
      </c>
      <c r="L97" s="140">
        <f>V_7!L97+V_8!L97+V_9!L97</f>
        <v>2</v>
      </c>
      <c r="M97" s="149">
        <f t="shared" si="6"/>
        <v>2</v>
      </c>
      <c r="N97" s="100">
        <f t="shared" si="7"/>
        <v>174</v>
      </c>
      <c r="O97" s="43">
        <f t="shared" si="8"/>
        <v>186</v>
      </c>
    </row>
    <row r="98" spans="1:15" ht="22.5" customHeight="1" x14ac:dyDescent="0.3">
      <c r="A98" s="149" t="s">
        <v>137</v>
      </c>
      <c r="B98" s="44">
        <f>V_7!B98+V_8!B98+V_9!B98</f>
        <v>140</v>
      </c>
      <c r="C98" s="39">
        <f>V_7!C98+V_8!C98+V_9!C98</f>
        <v>70</v>
      </c>
      <c r="D98" s="39">
        <f>V_7!D98+V_8!D98+V_9!D98</f>
        <v>5</v>
      </c>
      <c r="E98" s="39">
        <f>V_7!E98+V_8!E98+V_9!E98</f>
        <v>6</v>
      </c>
      <c r="F98" s="152">
        <f>V_7!F98+V_8!F98+V_9!F98</f>
        <v>4</v>
      </c>
      <c r="G98" s="154">
        <f t="shared" si="5"/>
        <v>225</v>
      </c>
      <c r="H98" s="44">
        <f>V_7!H98+V_8!H98+V_9!H98</f>
        <v>0</v>
      </c>
      <c r="I98" s="39">
        <f>V_7!I98+V_8!I98+V_9!I98</f>
        <v>0</v>
      </c>
      <c r="J98" s="39">
        <f>V_7!J98+V_8!J98+V_9!J98</f>
        <v>0</v>
      </c>
      <c r="K98" s="45">
        <f>V_7!K98+V_8!K98+V_9!K98</f>
        <v>0</v>
      </c>
      <c r="L98" s="140">
        <f>V_7!L98+V_8!L98+V_9!L98</f>
        <v>1</v>
      </c>
      <c r="M98" s="149">
        <f t="shared" si="6"/>
        <v>1</v>
      </c>
      <c r="N98" s="100">
        <f t="shared" si="7"/>
        <v>226</v>
      </c>
      <c r="O98" s="43">
        <f t="shared" si="8"/>
        <v>226.5</v>
      </c>
    </row>
    <row r="99" spans="1:15" ht="22.5" customHeight="1" x14ac:dyDescent="0.3">
      <c r="A99" s="149" t="s">
        <v>138</v>
      </c>
      <c r="B99" s="44">
        <f>V_7!B99+V_8!B99+V_9!B99</f>
        <v>119</v>
      </c>
      <c r="C99" s="39">
        <f>V_7!C99+V_8!C99+V_9!C99</f>
        <v>63</v>
      </c>
      <c r="D99" s="39">
        <f>V_7!D99+V_8!D99+V_9!D99</f>
        <v>7</v>
      </c>
      <c r="E99" s="39">
        <f>V_7!E99+V_8!E99+V_9!E99</f>
        <v>5</v>
      </c>
      <c r="F99" s="152">
        <f>V_7!F99+V_8!F99+V_9!F99</f>
        <v>4</v>
      </c>
      <c r="G99" s="154">
        <f t="shared" si="5"/>
        <v>198</v>
      </c>
      <c r="H99" s="44">
        <f>V_7!H99+V_8!H99+V_9!H99</f>
        <v>0</v>
      </c>
      <c r="I99" s="39">
        <f>V_7!I99+V_8!I99+V_9!I99</f>
        <v>0</v>
      </c>
      <c r="J99" s="39">
        <f>V_7!J99+V_8!J99+V_9!J99</f>
        <v>0</v>
      </c>
      <c r="K99" s="45">
        <f>V_7!K99+V_8!K99+V_9!K99</f>
        <v>0</v>
      </c>
      <c r="L99" s="140">
        <f>V_7!L99+V_8!L99+V_9!L99</f>
        <v>3</v>
      </c>
      <c r="M99" s="149">
        <f t="shared" si="6"/>
        <v>3</v>
      </c>
      <c r="N99" s="100">
        <f t="shared" si="7"/>
        <v>201</v>
      </c>
      <c r="O99" s="43">
        <f t="shared" si="8"/>
        <v>218</v>
      </c>
    </row>
    <row r="100" spans="1:15" ht="22.5" customHeight="1" x14ac:dyDescent="0.3">
      <c r="A100" s="149" t="s">
        <v>139</v>
      </c>
      <c r="B100" s="44">
        <f>V_7!B100+V_8!B100+V_9!B100</f>
        <v>198</v>
      </c>
      <c r="C100" s="39">
        <f>V_7!C100+V_8!C100+V_9!C100</f>
        <v>75</v>
      </c>
      <c r="D100" s="39">
        <f>V_7!D100+V_8!D100+V_9!D100</f>
        <v>8</v>
      </c>
      <c r="E100" s="39">
        <f>V_7!E100+V_8!E100+V_9!E100</f>
        <v>18</v>
      </c>
      <c r="F100" s="152">
        <f>V_7!F100+V_8!F100+V_9!F100</f>
        <v>7</v>
      </c>
      <c r="G100" s="154">
        <f t="shared" si="5"/>
        <v>306</v>
      </c>
      <c r="H100" s="44">
        <f>V_7!H100+V_8!H100+V_9!H100</f>
        <v>0</v>
      </c>
      <c r="I100" s="39">
        <f>V_7!I100+V_8!I100+V_9!I100</f>
        <v>0</v>
      </c>
      <c r="J100" s="39">
        <f>V_7!J100+V_8!J100+V_9!J100</f>
        <v>0</v>
      </c>
      <c r="K100" s="45">
        <f>V_7!K100+V_8!K100+V_9!K100</f>
        <v>0</v>
      </c>
      <c r="L100" s="140">
        <f>V_7!L100+V_8!L100+V_9!L100</f>
        <v>6</v>
      </c>
      <c r="M100" s="149">
        <f t="shared" si="6"/>
        <v>6</v>
      </c>
      <c r="N100" s="100">
        <f t="shared" si="7"/>
        <v>312</v>
      </c>
      <c r="O100" s="43">
        <f t="shared" si="8"/>
        <v>381</v>
      </c>
    </row>
    <row r="101" spans="1:15" ht="22.5" customHeight="1" x14ac:dyDescent="0.3">
      <c r="A101" s="149" t="s">
        <v>140</v>
      </c>
      <c r="B101" s="44">
        <f>V_7!B101+V_8!B101+V_9!B101</f>
        <v>219</v>
      </c>
      <c r="C101" s="39">
        <f>V_7!C101+V_8!C101+V_9!C101</f>
        <v>57</v>
      </c>
      <c r="D101" s="39">
        <f>V_7!D101+V_8!D101+V_9!D101</f>
        <v>17</v>
      </c>
      <c r="E101" s="39">
        <f>V_7!E101+V_8!E101+V_9!E101</f>
        <v>24</v>
      </c>
      <c r="F101" s="152">
        <f>V_7!F101+V_8!F101+V_9!F101</f>
        <v>5</v>
      </c>
      <c r="G101" s="154">
        <f t="shared" si="5"/>
        <v>322</v>
      </c>
      <c r="H101" s="44">
        <f>V_7!H101+V_8!H101+V_9!H101</f>
        <v>0</v>
      </c>
      <c r="I101" s="39">
        <f>V_7!I101+V_8!I101+V_9!I101</f>
        <v>0</v>
      </c>
      <c r="J101" s="39">
        <f>V_7!J101+V_8!J101+V_9!J101</f>
        <v>0</v>
      </c>
      <c r="K101" s="45">
        <f>V_7!K101+V_8!K101+V_9!K101</f>
        <v>0</v>
      </c>
      <c r="L101" s="140">
        <f>V_7!L101+V_8!L101+V_9!L101</f>
        <v>4</v>
      </c>
      <c r="M101" s="149">
        <f t="shared" si="6"/>
        <v>4</v>
      </c>
      <c r="N101" s="100">
        <f t="shared" si="7"/>
        <v>326</v>
      </c>
      <c r="O101" s="43">
        <f t="shared" si="8"/>
        <v>399.5</v>
      </c>
    </row>
    <row r="102" spans="1:15" ht="22.5" customHeight="1" x14ac:dyDescent="0.3">
      <c r="A102" s="149" t="s">
        <v>141</v>
      </c>
      <c r="B102" s="44">
        <f>V_7!B102+V_8!B102+V_9!B102</f>
        <v>199</v>
      </c>
      <c r="C102" s="39">
        <f>V_7!C102+V_8!C102+V_9!C102</f>
        <v>68</v>
      </c>
      <c r="D102" s="39">
        <f>V_7!D102+V_8!D102+V_9!D102</f>
        <v>9</v>
      </c>
      <c r="E102" s="39">
        <f>V_7!E102+V_8!E102+V_9!E102</f>
        <v>24</v>
      </c>
      <c r="F102" s="152">
        <f>V_7!F102+V_8!F102+V_9!F102</f>
        <v>7</v>
      </c>
      <c r="G102" s="154">
        <f t="shared" si="5"/>
        <v>307</v>
      </c>
      <c r="H102" s="44">
        <f>V_7!H102+V_8!H102+V_9!H102</f>
        <v>0</v>
      </c>
      <c r="I102" s="39">
        <f>V_7!I102+V_8!I102+V_9!I102</f>
        <v>0</v>
      </c>
      <c r="J102" s="39">
        <f>V_7!J102+V_8!J102+V_9!J102</f>
        <v>0</v>
      </c>
      <c r="K102" s="45">
        <f>V_7!K102+V_8!K102+V_9!K102</f>
        <v>0</v>
      </c>
      <c r="L102" s="140">
        <f>V_7!L102+V_8!L102+V_9!L102</f>
        <v>8</v>
      </c>
      <c r="M102" s="149">
        <f t="shared" si="6"/>
        <v>8</v>
      </c>
      <c r="N102" s="100">
        <f t="shared" si="7"/>
        <v>315</v>
      </c>
      <c r="O102" s="43">
        <f t="shared" si="8"/>
        <v>414</v>
      </c>
    </row>
    <row r="103" spans="1:15" ht="22.5" customHeight="1" thickBot="1" x14ac:dyDescent="0.35">
      <c r="A103" s="150" t="s">
        <v>142</v>
      </c>
      <c r="B103" s="46">
        <f>V_7!B103+V_8!B103+V_9!B103</f>
        <v>194</v>
      </c>
      <c r="C103" s="47">
        <f>V_7!C103+V_8!C103+V_9!C103</f>
        <v>83</v>
      </c>
      <c r="D103" s="47">
        <f>V_7!D103+V_8!D103+V_9!D103</f>
        <v>7</v>
      </c>
      <c r="E103" s="47">
        <f>V_7!E103+V_8!E103+V_9!E103</f>
        <v>20</v>
      </c>
      <c r="F103" s="153">
        <f>V_7!F103+V_8!F103+V_9!F103</f>
        <v>8</v>
      </c>
      <c r="G103" s="80">
        <f t="shared" si="5"/>
        <v>312</v>
      </c>
      <c r="H103" s="46">
        <f>V_7!H103+V_8!H103+V_9!H103</f>
        <v>0</v>
      </c>
      <c r="I103" s="47">
        <f>V_7!I103+V_8!I103+V_9!I103</f>
        <v>0</v>
      </c>
      <c r="J103" s="47">
        <f>V_7!J103+V_8!J103+V_9!J103</f>
        <v>0</v>
      </c>
      <c r="K103" s="48">
        <f>V_7!K103+V_8!K103+V_9!K103</f>
        <v>0</v>
      </c>
      <c r="L103" s="141">
        <f>V_7!L103+V_8!L103+V_9!L103</f>
        <v>7</v>
      </c>
      <c r="M103" s="150">
        <f t="shared" si="6"/>
        <v>7</v>
      </c>
      <c r="N103" s="101">
        <f t="shared" si="7"/>
        <v>319</v>
      </c>
      <c r="O103" s="84">
        <f t="shared" si="8"/>
        <v>398</v>
      </c>
    </row>
    <row r="104" spans="1:15" ht="22.5" customHeight="1" thickBot="1" x14ac:dyDescent="0.35">
      <c r="A104" s="41" t="s">
        <v>11</v>
      </c>
      <c r="B104" s="117">
        <f t="shared" ref="B104:N104" si="9">SUM(B8:B103)</f>
        <v>19384</v>
      </c>
      <c r="C104" s="117">
        <f t="shared" si="9"/>
        <v>14073</v>
      </c>
      <c r="D104" s="117">
        <f t="shared" si="9"/>
        <v>1049</v>
      </c>
      <c r="E104" s="117">
        <f t="shared" si="9"/>
        <v>1210</v>
      </c>
      <c r="F104" s="117">
        <f t="shared" si="9"/>
        <v>632</v>
      </c>
      <c r="G104" s="94">
        <f t="shared" si="9"/>
        <v>36348</v>
      </c>
      <c r="H104" s="117">
        <f t="shared" si="9"/>
        <v>10</v>
      </c>
      <c r="I104" s="117">
        <f t="shared" si="9"/>
        <v>1</v>
      </c>
      <c r="J104" s="117">
        <f t="shared" si="9"/>
        <v>0</v>
      </c>
      <c r="K104" s="118">
        <f t="shared" si="9"/>
        <v>0</v>
      </c>
      <c r="L104" s="118">
        <f t="shared" si="9"/>
        <v>383</v>
      </c>
      <c r="M104" s="94">
        <f>SUM(M8:M103)</f>
        <v>394</v>
      </c>
      <c r="N104" s="95">
        <f t="shared" si="9"/>
        <v>36742</v>
      </c>
      <c r="O104" s="142">
        <f>SUM(O8:O103)</f>
        <v>37538.5</v>
      </c>
    </row>
    <row r="105" spans="1:15" ht="22.5" customHeight="1" thickBot="1" x14ac:dyDescent="0.35">
      <c r="A105" s="41" t="s">
        <v>143</v>
      </c>
      <c r="B105" s="88">
        <f>+B104*1</f>
        <v>19384</v>
      </c>
      <c r="C105" s="88">
        <f>+C104*0.5</f>
        <v>7036.5</v>
      </c>
      <c r="D105" s="88">
        <f>+D104*1.5</f>
        <v>1573.5</v>
      </c>
      <c r="E105" s="88">
        <f>+E104*3</f>
        <v>3630</v>
      </c>
      <c r="F105" s="89">
        <f>+F104*4.5</f>
        <v>2844</v>
      </c>
      <c r="G105" s="90">
        <f>SUM(B105:F105)</f>
        <v>34468</v>
      </c>
      <c r="H105" s="88">
        <f>+H104*0.5</f>
        <v>5</v>
      </c>
      <c r="I105" s="89">
        <f>+I104*1.5</f>
        <v>1.5</v>
      </c>
      <c r="J105" s="89">
        <f>+J104*3</f>
        <v>0</v>
      </c>
      <c r="K105" s="96">
        <f>+K104*4</f>
        <v>0</v>
      </c>
      <c r="L105" s="96">
        <f>+L104*8</f>
        <v>3064</v>
      </c>
      <c r="M105" s="147">
        <f>SUM(H105:L105)</f>
        <v>3070.5</v>
      </c>
      <c r="N105" s="91"/>
      <c r="O105" s="92">
        <f>G105+M105</f>
        <v>37538.5</v>
      </c>
    </row>
    <row r="106" spans="1:15" ht="22.5" customHeight="1" thickBot="1" x14ac:dyDescent="0.35">
      <c r="A106" s="42" t="s">
        <v>12</v>
      </c>
      <c r="B106" s="93">
        <f t="shared" ref="B106:N106" si="10">B104/$N$104</f>
        <v>0.52757062761961793</v>
      </c>
      <c r="C106" s="93">
        <f t="shared" si="10"/>
        <v>0.38302215448260846</v>
      </c>
      <c r="D106" s="93">
        <f t="shared" si="10"/>
        <v>2.8550432747264709E-2</v>
      </c>
      <c r="E106" s="93">
        <f t="shared" si="10"/>
        <v>3.2932339012574169E-2</v>
      </c>
      <c r="F106" s="93">
        <f t="shared" si="10"/>
        <v>1.7201023352022209E-2</v>
      </c>
      <c r="G106" s="98">
        <f t="shared" si="10"/>
        <v>0.98927657721408746</v>
      </c>
      <c r="H106" s="93">
        <f t="shared" si="10"/>
        <v>2.7216809101300962E-4</v>
      </c>
      <c r="I106" s="93">
        <f t="shared" si="10"/>
        <v>2.7216809101300964E-5</v>
      </c>
      <c r="J106" s="93">
        <f t="shared" si="10"/>
        <v>0</v>
      </c>
      <c r="K106" s="97">
        <f t="shared" si="10"/>
        <v>0</v>
      </c>
      <c r="L106" s="97">
        <f t="shared" si="10"/>
        <v>1.0424037885798269E-2</v>
      </c>
      <c r="M106" s="98">
        <f t="shared" si="10"/>
        <v>1.072342278591258E-2</v>
      </c>
      <c r="N106" s="99">
        <f t="shared" si="10"/>
        <v>1</v>
      </c>
      <c r="O106" s="94"/>
    </row>
    <row r="108" spans="1:15" s="4" customFormat="1" x14ac:dyDescent="0.3">
      <c r="A108" s="4" t="s">
        <v>103</v>
      </c>
      <c r="B108" s="4" t="str">
        <f>B2</f>
        <v>TMC-14 Number (D2)</v>
      </c>
    </row>
    <row r="109" spans="1:15" s="4" customFormat="1" x14ac:dyDescent="0.3">
      <c r="A109" s="4" t="s">
        <v>102</v>
      </c>
      <c r="B109" s="4" t="str">
        <f>B3</f>
        <v>D2</v>
      </c>
    </row>
    <row r="110" spans="1:15" s="4" customFormat="1" x14ac:dyDescent="0.3">
      <c r="A110" s="4" t="s">
        <v>104</v>
      </c>
      <c r="B110" s="4" t="str">
        <f>B4</f>
        <v>Chomu Pulia</v>
      </c>
    </row>
    <row r="111" spans="1:15" ht="16.2" thickBot="1" x14ac:dyDescent="0.35"/>
    <row r="112" spans="1:15" ht="25.2" customHeight="1" x14ac:dyDescent="0.3">
      <c r="A112" s="252" t="s">
        <v>95</v>
      </c>
      <c r="B112" s="258" t="s">
        <v>280</v>
      </c>
      <c r="C112" s="254" t="s">
        <v>281</v>
      </c>
      <c r="D112" s="250" t="s">
        <v>282</v>
      </c>
      <c r="E112" s="260" t="s">
        <v>283</v>
      </c>
      <c r="F112" s="256" t="s">
        <v>284</v>
      </c>
      <c r="G112" s="250" t="s">
        <v>129</v>
      </c>
      <c r="H112" s="248" t="s">
        <v>150</v>
      </c>
      <c r="I112" s="250" t="s">
        <v>151</v>
      </c>
      <c r="J112" s="250" t="s">
        <v>285</v>
      </c>
      <c r="K112" s="248" t="s">
        <v>286</v>
      </c>
      <c r="L112" s="250" t="s">
        <v>287</v>
      </c>
      <c r="M112" s="250" t="s">
        <v>78</v>
      </c>
      <c r="N112" s="250" t="s">
        <v>131</v>
      </c>
      <c r="O112" s="250" t="s">
        <v>132</v>
      </c>
    </row>
    <row r="113" spans="1:15" ht="16.2" thickBot="1" x14ac:dyDescent="0.35">
      <c r="A113" s="253"/>
      <c r="B113" s="259"/>
      <c r="C113" s="255"/>
      <c r="D113" s="251"/>
      <c r="E113" s="261"/>
      <c r="F113" s="257"/>
      <c r="G113" s="259"/>
      <c r="H113" s="249"/>
      <c r="I113" s="251"/>
      <c r="J113" s="251"/>
      <c r="K113" s="249"/>
      <c r="L113" s="251"/>
      <c r="M113" s="251"/>
      <c r="N113" s="251"/>
      <c r="O113" s="251"/>
    </row>
    <row r="114" spans="1:15" ht="22.95" customHeight="1" x14ac:dyDescent="0.3">
      <c r="A114" s="52" t="s">
        <v>15</v>
      </c>
      <c r="B114" s="112">
        <f t="shared" ref="B114:M114" si="11">B8+B9+B10+B11</f>
        <v>1061</v>
      </c>
      <c r="C114" s="113">
        <f t="shared" si="11"/>
        <v>641</v>
      </c>
      <c r="D114" s="113">
        <f t="shared" si="11"/>
        <v>51</v>
      </c>
      <c r="E114" s="113">
        <f t="shared" si="11"/>
        <v>66</v>
      </c>
      <c r="F114" s="113">
        <f t="shared" si="11"/>
        <v>13</v>
      </c>
      <c r="G114" s="49">
        <f>G8+G9+G10+G11</f>
        <v>1832</v>
      </c>
      <c r="H114" s="112">
        <f t="shared" si="11"/>
        <v>3</v>
      </c>
      <c r="I114" s="113">
        <f t="shared" ref="I114:L114" si="12">I8+I9+I10+I11</f>
        <v>1</v>
      </c>
      <c r="J114" s="113">
        <f t="shared" si="12"/>
        <v>0</v>
      </c>
      <c r="K114" s="114">
        <f t="shared" si="12"/>
        <v>0</v>
      </c>
      <c r="L114" s="143">
        <f t="shared" si="12"/>
        <v>39</v>
      </c>
      <c r="M114" s="49">
        <f t="shared" si="11"/>
        <v>43</v>
      </c>
      <c r="N114" s="40">
        <f>G114+M114</f>
        <v>1875</v>
      </c>
      <c r="O114" s="115">
        <f>B114*1+C114*0.5+D114*1.5+E114*3+F114*4.5+H114*0.5+I114*1.5+J114*3+K114*4+L114*8</f>
        <v>2029.5</v>
      </c>
    </row>
    <row r="115" spans="1:15" ht="22.95" customHeight="1" x14ac:dyDescent="0.3">
      <c r="A115" s="52" t="s">
        <v>16</v>
      </c>
      <c r="B115" s="44">
        <f t="shared" ref="B115:M115" si="13">B9+B10+B11+B12</f>
        <v>1142</v>
      </c>
      <c r="C115" s="39">
        <f t="shared" si="13"/>
        <v>701</v>
      </c>
      <c r="D115" s="39">
        <f t="shared" si="13"/>
        <v>59</v>
      </c>
      <c r="E115" s="39">
        <f t="shared" si="13"/>
        <v>55</v>
      </c>
      <c r="F115" s="39">
        <f t="shared" si="13"/>
        <v>15</v>
      </c>
      <c r="G115" s="50">
        <f t="shared" si="13"/>
        <v>1972</v>
      </c>
      <c r="H115" s="44">
        <f t="shared" si="13"/>
        <v>3</v>
      </c>
      <c r="I115" s="39">
        <f t="shared" si="13"/>
        <v>1</v>
      </c>
      <c r="J115" s="39">
        <f t="shared" si="13"/>
        <v>0</v>
      </c>
      <c r="K115" s="45">
        <f t="shared" si="13"/>
        <v>0</v>
      </c>
      <c r="L115" s="144">
        <f t="shared" si="13"/>
        <v>40</v>
      </c>
      <c r="M115" s="50">
        <f t="shared" si="13"/>
        <v>44</v>
      </c>
      <c r="N115" s="40">
        <f t="shared" ref="N115:N178" si="14">G115+M115</f>
        <v>2016</v>
      </c>
      <c r="O115" s="43">
        <f t="shared" ref="O115:O178" si="15">B115*1+C115*0.5+D115*1.5+E115*3+F115*4.5+H115*0.5+I115*1.5+J115*3+K115*4+L115*8</f>
        <v>2136.5</v>
      </c>
    </row>
    <row r="116" spans="1:15" ht="22.95" customHeight="1" x14ac:dyDescent="0.3">
      <c r="A116" s="52" t="s">
        <v>17</v>
      </c>
      <c r="B116" s="44">
        <f t="shared" ref="B116:M116" si="16">B10+B11+B12+B13</f>
        <v>1235</v>
      </c>
      <c r="C116" s="39">
        <f t="shared" si="16"/>
        <v>786</v>
      </c>
      <c r="D116" s="39">
        <f t="shared" si="16"/>
        <v>57</v>
      </c>
      <c r="E116" s="39">
        <f t="shared" si="16"/>
        <v>49</v>
      </c>
      <c r="F116" s="39">
        <f t="shared" si="16"/>
        <v>13</v>
      </c>
      <c r="G116" s="50">
        <f t="shared" si="16"/>
        <v>2140</v>
      </c>
      <c r="H116" s="44">
        <f t="shared" si="16"/>
        <v>1</v>
      </c>
      <c r="I116" s="39">
        <f t="shared" si="16"/>
        <v>0</v>
      </c>
      <c r="J116" s="39">
        <f t="shared" si="16"/>
        <v>0</v>
      </c>
      <c r="K116" s="45">
        <f t="shared" si="16"/>
        <v>0</v>
      </c>
      <c r="L116" s="144">
        <f t="shared" si="16"/>
        <v>41</v>
      </c>
      <c r="M116" s="50">
        <f t="shared" si="16"/>
        <v>42</v>
      </c>
      <c r="N116" s="40">
        <f t="shared" si="14"/>
        <v>2182</v>
      </c>
      <c r="O116" s="43">
        <f t="shared" si="15"/>
        <v>2247.5</v>
      </c>
    </row>
    <row r="117" spans="1:15" ht="22.95" customHeight="1" x14ac:dyDescent="0.3">
      <c r="A117" s="52" t="s">
        <v>18</v>
      </c>
      <c r="B117" s="44">
        <f t="shared" ref="B117:M117" si="17">B11+B12+B13+B14</f>
        <v>1231</v>
      </c>
      <c r="C117" s="39">
        <f t="shared" si="17"/>
        <v>820</v>
      </c>
      <c r="D117" s="39">
        <f t="shared" si="17"/>
        <v>54</v>
      </c>
      <c r="E117" s="39">
        <f t="shared" si="17"/>
        <v>50</v>
      </c>
      <c r="F117" s="39">
        <f t="shared" si="17"/>
        <v>13</v>
      </c>
      <c r="G117" s="50">
        <f t="shared" si="17"/>
        <v>2168</v>
      </c>
      <c r="H117" s="44">
        <f t="shared" si="17"/>
        <v>1</v>
      </c>
      <c r="I117" s="39">
        <f t="shared" si="17"/>
        <v>0</v>
      </c>
      <c r="J117" s="39">
        <f t="shared" si="17"/>
        <v>0</v>
      </c>
      <c r="K117" s="45">
        <f t="shared" si="17"/>
        <v>0</v>
      </c>
      <c r="L117" s="144">
        <f t="shared" si="17"/>
        <v>43</v>
      </c>
      <c r="M117" s="50">
        <f t="shared" si="17"/>
        <v>44</v>
      </c>
      <c r="N117" s="40">
        <f t="shared" si="14"/>
        <v>2212</v>
      </c>
      <c r="O117" s="43">
        <f t="shared" si="15"/>
        <v>2275</v>
      </c>
    </row>
    <row r="118" spans="1:15" ht="22.95" customHeight="1" x14ac:dyDescent="0.3">
      <c r="A118" s="52" t="s">
        <v>19</v>
      </c>
      <c r="B118" s="44">
        <f t="shared" ref="B118:M118" si="18">B12+B13+B14+B15</f>
        <v>1165</v>
      </c>
      <c r="C118" s="39">
        <f t="shared" si="18"/>
        <v>748</v>
      </c>
      <c r="D118" s="39">
        <f t="shared" si="18"/>
        <v>52</v>
      </c>
      <c r="E118" s="39">
        <f t="shared" si="18"/>
        <v>46</v>
      </c>
      <c r="F118" s="39">
        <f t="shared" si="18"/>
        <v>8</v>
      </c>
      <c r="G118" s="50">
        <f t="shared" si="18"/>
        <v>2019</v>
      </c>
      <c r="H118" s="44">
        <f t="shared" si="18"/>
        <v>0</v>
      </c>
      <c r="I118" s="39">
        <f t="shared" si="18"/>
        <v>0</v>
      </c>
      <c r="J118" s="39">
        <f t="shared" si="18"/>
        <v>0</v>
      </c>
      <c r="K118" s="45">
        <f t="shared" si="18"/>
        <v>0</v>
      </c>
      <c r="L118" s="144">
        <f t="shared" si="18"/>
        <v>40</v>
      </c>
      <c r="M118" s="50">
        <f t="shared" si="18"/>
        <v>40</v>
      </c>
      <c r="N118" s="40">
        <f t="shared" si="14"/>
        <v>2059</v>
      </c>
      <c r="O118" s="43">
        <f t="shared" si="15"/>
        <v>2111</v>
      </c>
    </row>
    <row r="119" spans="1:15" ht="22.95" customHeight="1" x14ac:dyDescent="0.3">
      <c r="A119" s="52" t="s">
        <v>20</v>
      </c>
      <c r="B119" s="44">
        <f t="shared" ref="B119:M119" si="19">B13+B14+B15+B16</f>
        <v>1187</v>
      </c>
      <c r="C119" s="39">
        <f t="shared" si="19"/>
        <v>764</v>
      </c>
      <c r="D119" s="39">
        <f t="shared" si="19"/>
        <v>50</v>
      </c>
      <c r="E119" s="39">
        <f t="shared" si="19"/>
        <v>47</v>
      </c>
      <c r="F119" s="39">
        <f t="shared" si="19"/>
        <v>5</v>
      </c>
      <c r="G119" s="50">
        <f t="shared" si="19"/>
        <v>2053</v>
      </c>
      <c r="H119" s="44">
        <f t="shared" si="19"/>
        <v>1</v>
      </c>
      <c r="I119" s="39">
        <f t="shared" si="19"/>
        <v>0</v>
      </c>
      <c r="J119" s="39">
        <f t="shared" si="19"/>
        <v>0</v>
      </c>
      <c r="K119" s="45">
        <f t="shared" si="19"/>
        <v>0</v>
      </c>
      <c r="L119" s="144">
        <f t="shared" si="19"/>
        <v>42</v>
      </c>
      <c r="M119" s="50">
        <f t="shared" si="19"/>
        <v>43</v>
      </c>
      <c r="N119" s="40">
        <f t="shared" si="14"/>
        <v>2096</v>
      </c>
      <c r="O119" s="43">
        <f t="shared" si="15"/>
        <v>2144</v>
      </c>
    </row>
    <row r="120" spans="1:15" ht="22.95" customHeight="1" x14ac:dyDescent="0.3">
      <c r="A120" s="52" t="s">
        <v>21</v>
      </c>
      <c r="B120" s="44">
        <f t="shared" ref="B120:M120" si="20">B14+B15+B16+B17</f>
        <v>1120</v>
      </c>
      <c r="C120" s="39">
        <f t="shared" si="20"/>
        <v>688</v>
      </c>
      <c r="D120" s="39">
        <f t="shared" si="20"/>
        <v>47</v>
      </c>
      <c r="E120" s="39">
        <f t="shared" si="20"/>
        <v>40</v>
      </c>
      <c r="F120" s="39">
        <f t="shared" si="20"/>
        <v>9</v>
      </c>
      <c r="G120" s="50">
        <f t="shared" si="20"/>
        <v>1904</v>
      </c>
      <c r="H120" s="44">
        <f t="shared" si="20"/>
        <v>1</v>
      </c>
      <c r="I120" s="39">
        <f t="shared" si="20"/>
        <v>0</v>
      </c>
      <c r="J120" s="39">
        <f t="shared" si="20"/>
        <v>0</v>
      </c>
      <c r="K120" s="45">
        <f t="shared" si="20"/>
        <v>0</v>
      </c>
      <c r="L120" s="144">
        <f t="shared" si="20"/>
        <v>41</v>
      </c>
      <c r="M120" s="50">
        <f t="shared" si="20"/>
        <v>42</v>
      </c>
      <c r="N120" s="40">
        <f t="shared" si="14"/>
        <v>1946</v>
      </c>
      <c r="O120" s="43">
        <f t="shared" si="15"/>
        <v>2023.5</v>
      </c>
    </row>
    <row r="121" spans="1:15" ht="22.95" customHeight="1" x14ac:dyDescent="0.3">
      <c r="A121" s="52" t="s">
        <v>22</v>
      </c>
      <c r="B121" s="44">
        <f t="shared" ref="B121:M121" si="21">B15+B16+B17+B18</f>
        <v>1148</v>
      </c>
      <c r="C121" s="39">
        <f t="shared" si="21"/>
        <v>649</v>
      </c>
      <c r="D121" s="39">
        <f t="shared" si="21"/>
        <v>42</v>
      </c>
      <c r="E121" s="39">
        <f t="shared" si="21"/>
        <v>38</v>
      </c>
      <c r="F121" s="39">
        <f t="shared" si="21"/>
        <v>12</v>
      </c>
      <c r="G121" s="50">
        <f t="shared" si="21"/>
        <v>1889</v>
      </c>
      <c r="H121" s="44">
        <f t="shared" si="21"/>
        <v>1</v>
      </c>
      <c r="I121" s="39">
        <f t="shared" si="21"/>
        <v>0</v>
      </c>
      <c r="J121" s="39">
        <f t="shared" si="21"/>
        <v>0</v>
      </c>
      <c r="K121" s="45">
        <f t="shared" si="21"/>
        <v>0</v>
      </c>
      <c r="L121" s="144">
        <f t="shared" si="21"/>
        <v>38</v>
      </c>
      <c r="M121" s="50">
        <f t="shared" si="21"/>
        <v>39</v>
      </c>
      <c r="N121" s="40">
        <f t="shared" si="14"/>
        <v>1928</v>
      </c>
      <c r="O121" s="43">
        <f t="shared" si="15"/>
        <v>2008</v>
      </c>
    </row>
    <row r="122" spans="1:15" ht="22.95" customHeight="1" x14ac:dyDescent="0.3">
      <c r="A122" s="52" t="s">
        <v>23</v>
      </c>
      <c r="B122" s="44">
        <f t="shared" ref="B122:M122" si="22">B16+B17+B18+B19</f>
        <v>1196</v>
      </c>
      <c r="C122" s="39">
        <f t="shared" si="22"/>
        <v>667</v>
      </c>
      <c r="D122" s="39">
        <f t="shared" si="22"/>
        <v>40</v>
      </c>
      <c r="E122" s="39">
        <f t="shared" si="22"/>
        <v>44</v>
      </c>
      <c r="F122" s="39">
        <f t="shared" si="22"/>
        <v>15</v>
      </c>
      <c r="G122" s="50">
        <f t="shared" si="22"/>
        <v>1962</v>
      </c>
      <c r="H122" s="44">
        <f t="shared" si="22"/>
        <v>1</v>
      </c>
      <c r="I122" s="39">
        <f t="shared" si="22"/>
        <v>0</v>
      </c>
      <c r="J122" s="39">
        <f t="shared" si="22"/>
        <v>0</v>
      </c>
      <c r="K122" s="45">
        <f t="shared" si="22"/>
        <v>0</v>
      </c>
      <c r="L122" s="144">
        <f t="shared" si="22"/>
        <v>39</v>
      </c>
      <c r="M122" s="50">
        <f t="shared" si="22"/>
        <v>40</v>
      </c>
      <c r="N122" s="40">
        <f t="shared" si="14"/>
        <v>2002</v>
      </c>
      <c r="O122" s="43">
        <f t="shared" si="15"/>
        <v>2101.5</v>
      </c>
    </row>
    <row r="123" spans="1:15" ht="22.95" customHeight="1" x14ac:dyDescent="0.3">
      <c r="A123" s="52" t="s">
        <v>24</v>
      </c>
      <c r="B123" s="44">
        <f t="shared" ref="B123:M123" si="23">B17+B18+B19+B20</f>
        <v>1157</v>
      </c>
      <c r="C123" s="39">
        <f t="shared" si="23"/>
        <v>584</v>
      </c>
      <c r="D123" s="39">
        <f t="shared" si="23"/>
        <v>30</v>
      </c>
      <c r="E123" s="39">
        <f t="shared" si="23"/>
        <v>54</v>
      </c>
      <c r="F123" s="39">
        <f t="shared" si="23"/>
        <v>17</v>
      </c>
      <c r="G123" s="50">
        <f t="shared" si="23"/>
        <v>1842</v>
      </c>
      <c r="H123" s="44">
        <f t="shared" si="23"/>
        <v>0</v>
      </c>
      <c r="I123" s="39">
        <f t="shared" si="23"/>
        <v>0</v>
      </c>
      <c r="J123" s="39">
        <f t="shared" si="23"/>
        <v>0</v>
      </c>
      <c r="K123" s="45">
        <f t="shared" si="23"/>
        <v>0</v>
      </c>
      <c r="L123" s="144">
        <f t="shared" si="23"/>
        <v>34</v>
      </c>
      <c r="M123" s="50">
        <f t="shared" si="23"/>
        <v>34</v>
      </c>
      <c r="N123" s="40">
        <f t="shared" si="14"/>
        <v>1876</v>
      </c>
      <c r="O123" s="43">
        <f t="shared" si="15"/>
        <v>2004.5</v>
      </c>
    </row>
    <row r="124" spans="1:15" ht="22.95" customHeight="1" x14ac:dyDescent="0.3">
      <c r="A124" s="52" t="s">
        <v>25</v>
      </c>
      <c r="B124" s="44">
        <f t="shared" ref="B124:M124" si="24">B18+B19+B20+B21</f>
        <v>1204</v>
      </c>
      <c r="C124" s="39">
        <f t="shared" si="24"/>
        <v>581</v>
      </c>
      <c r="D124" s="39">
        <f t="shared" si="24"/>
        <v>34</v>
      </c>
      <c r="E124" s="39">
        <f t="shared" si="24"/>
        <v>68</v>
      </c>
      <c r="F124" s="39">
        <f t="shared" si="24"/>
        <v>20</v>
      </c>
      <c r="G124" s="50">
        <f t="shared" si="24"/>
        <v>1907</v>
      </c>
      <c r="H124" s="44">
        <f t="shared" si="24"/>
        <v>0</v>
      </c>
      <c r="I124" s="39">
        <f t="shared" si="24"/>
        <v>0</v>
      </c>
      <c r="J124" s="39">
        <f t="shared" si="24"/>
        <v>0</v>
      </c>
      <c r="K124" s="45">
        <f t="shared" si="24"/>
        <v>0</v>
      </c>
      <c r="L124" s="144">
        <f t="shared" si="24"/>
        <v>33</v>
      </c>
      <c r="M124" s="50">
        <f t="shared" si="24"/>
        <v>33</v>
      </c>
      <c r="N124" s="40">
        <f t="shared" si="14"/>
        <v>1940</v>
      </c>
      <c r="O124" s="43">
        <f t="shared" si="15"/>
        <v>2103.5</v>
      </c>
    </row>
    <row r="125" spans="1:15" ht="22.95" customHeight="1" x14ac:dyDescent="0.3">
      <c r="A125" s="52" t="s">
        <v>26</v>
      </c>
      <c r="B125" s="44">
        <f t="shared" ref="B125:M125" si="25">B19+B20+B21+B22</f>
        <v>1158</v>
      </c>
      <c r="C125" s="39">
        <f t="shared" si="25"/>
        <v>554</v>
      </c>
      <c r="D125" s="39">
        <f t="shared" si="25"/>
        <v>40</v>
      </c>
      <c r="E125" s="39">
        <f t="shared" si="25"/>
        <v>68</v>
      </c>
      <c r="F125" s="39">
        <f t="shared" si="25"/>
        <v>21</v>
      </c>
      <c r="G125" s="50">
        <f t="shared" si="25"/>
        <v>1841</v>
      </c>
      <c r="H125" s="44">
        <f t="shared" si="25"/>
        <v>0</v>
      </c>
      <c r="I125" s="39">
        <f t="shared" si="25"/>
        <v>0</v>
      </c>
      <c r="J125" s="39">
        <f t="shared" si="25"/>
        <v>0</v>
      </c>
      <c r="K125" s="45">
        <f t="shared" si="25"/>
        <v>0</v>
      </c>
      <c r="L125" s="144">
        <f t="shared" si="25"/>
        <v>32</v>
      </c>
      <c r="M125" s="50">
        <f t="shared" si="25"/>
        <v>32</v>
      </c>
      <c r="N125" s="40">
        <f t="shared" si="14"/>
        <v>1873</v>
      </c>
      <c r="O125" s="43">
        <f t="shared" si="15"/>
        <v>2049.5</v>
      </c>
    </row>
    <row r="126" spans="1:15" ht="22.95" customHeight="1" x14ac:dyDescent="0.3">
      <c r="A126" s="52" t="s">
        <v>27</v>
      </c>
      <c r="B126" s="44">
        <f t="shared" ref="B126:M126" si="26">B20+B21+B22+B23</f>
        <v>1127</v>
      </c>
      <c r="C126" s="39">
        <f t="shared" si="26"/>
        <v>522</v>
      </c>
      <c r="D126" s="39">
        <f t="shared" si="26"/>
        <v>40</v>
      </c>
      <c r="E126" s="39">
        <f t="shared" si="26"/>
        <v>67</v>
      </c>
      <c r="F126" s="39">
        <f t="shared" si="26"/>
        <v>24</v>
      </c>
      <c r="G126" s="50">
        <f t="shared" si="26"/>
        <v>1780</v>
      </c>
      <c r="H126" s="44">
        <f t="shared" si="26"/>
        <v>0</v>
      </c>
      <c r="I126" s="39">
        <f t="shared" si="26"/>
        <v>0</v>
      </c>
      <c r="J126" s="39">
        <f t="shared" si="26"/>
        <v>0</v>
      </c>
      <c r="K126" s="45">
        <f t="shared" si="26"/>
        <v>0</v>
      </c>
      <c r="L126" s="144">
        <f t="shared" si="26"/>
        <v>33</v>
      </c>
      <c r="M126" s="50">
        <f t="shared" si="26"/>
        <v>33</v>
      </c>
      <c r="N126" s="40">
        <f t="shared" si="14"/>
        <v>1813</v>
      </c>
      <c r="O126" s="43">
        <f t="shared" si="15"/>
        <v>2021</v>
      </c>
    </row>
    <row r="127" spans="1:15" ht="22.95" customHeight="1" x14ac:dyDescent="0.3">
      <c r="A127" s="52" t="s">
        <v>28</v>
      </c>
      <c r="B127" s="44">
        <f t="shared" ref="B127:M127" si="27">B21+B22+B23+B24</f>
        <v>1109</v>
      </c>
      <c r="C127" s="39">
        <f t="shared" si="27"/>
        <v>541</v>
      </c>
      <c r="D127" s="39">
        <f t="shared" si="27"/>
        <v>43</v>
      </c>
      <c r="E127" s="39">
        <f t="shared" si="27"/>
        <v>71</v>
      </c>
      <c r="F127" s="39">
        <f t="shared" si="27"/>
        <v>28</v>
      </c>
      <c r="G127" s="50">
        <f t="shared" si="27"/>
        <v>1792</v>
      </c>
      <c r="H127" s="44">
        <f t="shared" si="27"/>
        <v>0</v>
      </c>
      <c r="I127" s="39">
        <f t="shared" si="27"/>
        <v>0</v>
      </c>
      <c r="J127" s="39">
        <f t="shared" si="27"/>
        <v>0</v>
      </c>
      <c r="K127" s="45">
        <f t="shared" si="27"/>
        <v>0</v>
      </c>
      <c r="L127" s="144">
        <f t="shared" si="27"/>
        <v>25</v>
      </c>
      <c r="M127" s="50">
        <f t="shared" si="27"/>
        <v>25</v>
      </c>
      <c r="N127" s="40">
        <f t="shared" si="14"/>
        <v>1817</v>
      </c>
      <c r="O127" s="43">
        <f t="shared" si="15"/>
        <v>1983</v>
      </c>
    </row>
    <row r="128" spans="1:15" ht="22.95" customHeight="1" x14ac:dyDescent="0.3">
      <c r="A128" s="52" t="s">
        <v>29</v>
      </c>
      <c r="B128" s="44">
        <f t="shared" ref="B128:M128" si="28">B22+B23+B24+B25</f>
        <v>1070</v>
      </c>
      <c r="C128" s="39">
        <f t="shared" si="28"/>
        <v>528</v>
      </c>
      <c r="D128" s="39">
        <f t="shared" si="28"/>
        <v>43</v>
      </c>
      <c r="E128" s="39">
        <f t="shared" si="28"/>
        <v>70</v>
      </c>
      <c r="F128" s="39">
        <f t="shared" si="28"/>
        <v>22</v>
      </c>
      <c r="G128" s="50">
        <f t="shared" si="28"/>
        <v>1733</v>
      </c>
      <c r="H128" s="44">
        <f t="shared" si="28"/>
        <v>0</v>
      </c>
      <c r="I128" s="39">
        <f t="shared" si="28"/>
        <v>0</v>
      </c>
      <c r="J128" s="39">
        <f t="shared" si="28"/>
        <v>0</v>
      </c>
      <c r="K128" s="45">
        <f t="shared" si="28"/>
        <v>0</v>
      </c>
      <c r="L128" s="144">
        <f t="shared" si="28"/>
        <v>20</v>
      </c>
      <c r="M128" s="50">
        <f t="shared" si="28"/>
        <v>20</v>
      </c>
      <c r="N128" s="40">
        <f t="shared" si="14"/>
        <v>1753</v>
      </c>
      <c r="O128" s="43">
        <f t="shared" si="15"/>
        <v>1867.5</v>
      </c>
    </row>
    <row r="129" spans="1:15" ht="22.95" customHeight="1" x14ac:dyDescent="0.3">
      <c r="A129" s="52" t="s">
        <v>30</v>
      </c>
      <c r="B129" s="44">
        <f t="shared" ref="B129:M129" si="29">B23+B24+B25+B26</f>
        <v>1092</v>
      </c>
      <c r="C129" s="39">
        <f t="shared" si="29"/>
        <v>578</v>
      </c>
      <c r="D129" s="39">
        <f t="shared" si="29"/>
        <v>41</v>
      </c>
      <c r="E129" s="39">
        <f t="shared" si="29"/>
        <v>73</v>
      </c>
      <c r="F129" s="39">
        <f t="shared" si="29"/>
        <v>23</v>
      </c>
      <c r="G129" s="50">
        <f t="shared" si="29"/>
        <v>1807</v>
      </c>
      <c r="H129" s="44">
        <f t="shared" si="29"/>
        <v>0</v>
      </c>
      <c r="I129" s="39">
        <f t="shared" si="29"/>
        <v>0</v>
      </c>
      <c r="J129" s="39">
        <f t="shared" si="29"/>
        <v>0</v>
      </c>
      <c r="K129" s="45">
        <f t="shared" si="29"/>
        <v>0</v>
      </c>
      <c r="L129" s="144">
        <f t="shared" si="29"/>
        <v>15</v>
      </c>
      <c r="M129" s="50">
        <f t="shared" si="29"/>
        <v>15</v>
      </c>
      <c r="N129" s="40">
        <f t="shared" si="14"/>
        <v>1822</v>
      </c>
      <c r="O129" s="43">
        <f t="shared" si="15"/>
        <v>1885</v>
      </c>
    </row>
    <row r="130" spans="1:15" ht="22.95" customHeight="1" x14ac:dyDescent="0.3">
      <c r="A130" s="52" t="s">
        <v>31</v>
      </c>
      <c r="B130" s="44">
        <f t="shared" ref="B130:M130" si="30">B24+B25+B26+B27</f>
        <v>1102</v>
      </c>
      <c r="C130" s="39">
        <f t="shared" si="30"/>
        <v>560</v>
      </c>
      <c r="D130" s="39">
        <f t="shared" si="30"/>
        <v>52</v>
      </c>
      <c r="E130" s="39">
        <f t="shared" si="30"/>
        <v>71</v>
      </c>
      <c r="F130" s="39">
        <f t="shared" si="30"/>
        <v>23</v>
      </c>
      <c r="G130" s="50">
        <f t="shared" si="30"/>
        <v>1808</v>
      </c>
      <c r="H130" s="44">
        <f t="shared" si="30"/>
        <v>0</v>
      </c>
      <c r="I130" s="39">
        <f t="shared" si="30"/>
        <v>0</v>
      </c>
      <c r="J130" s="39">
        <f t="shared" si="30"/>
        <v>0</v>
      </c>
      <c r="K130" s="45">
        <f t="shared" si="30"/>
        <v>0</v>
      </c>
      <c r="L130" s="144">
        <f t="shared" si="30"/>
        <v>8</v>
      </c>
      <c r="M130" s="50">
        <f t="shared" si="30"/>
        <v>8</v>
      </c>
      <c r="N130" s="40">
        <f t="shared" si="14"/>
        <v>1816</v>
      </c>
      <c r="O130" s="43">
        <f t="shared" si="15"/>
        <v>1840.5</v>
      </c>
    </row>
    <row r="131" spans="1:15" ht="22.95" customHeight="1" x14ac:dyDescent="0.3">
      <c r="A131" s="52" t="s">
        <v>32</v>
      </c>
      <c r="B131" s="44">
        <f t="shared" ref="B131:M131" si="31">B25+B26+B27+B28</f>
        <v>1067</v>
      </c>
      <c r="C131" s="39">
        <f t="shared" si="31"/>
        <v>543</v>
      </c>
      <c r="D131" s="39">
        <f t="shared" si="31"/>
        <v>61</v>
      </c>
      <c r="E131" s="39">
        <f t="shared" si="31"/>
        <v>74</v>
      </c>
      <c r="F131" s="39">
        <f t="shared" si="31"/>
        <v>22</v>
      </c>
      <c r="G131" s="50">
        <f t="shared" si="31"/>
        <v>1767</v>
      </c>
      <c r="H131" s="44">
        <f t="shared" si="31"/>
        <v>0</v>
      </c>
      <c r="I131" s="39">
        <f t="shared" si="31"/>
        <v>0</v>
      </c>
      <c r="J131" s="39">
        <f t="shared" si="31"/>
        <v>0</v>
      </c>
      <c r="K131" s="45">
        <f t="shared" si="31"/>
        <v>0</v>
      </c>
      <c r="L131" s="144">
        <f t="shared" si="31"/>
        <v>8</v>
      </c>
      <c r="M131" s="50">
        <f t="shared" si="31"/>
        <v>8</v>
      </c>
      <c r="N131" s="40">
        <f t="shared" si="14"/>
        <v>1775</v>
      </c>
      <c r="O131" s="43">
        <f t="shared" si="15"/>
        <v>1815</v>
      </c>
    </row>
    <row r="132" spans="1:15" ht="22.95" customHeight="1" x14ac:dyDescent="0.3">
      <c r="A132" s="52" t="s">
        <v>33</v>
      </c>
      <c r="B132" s="44">
        <f t="shared" ref="B132:M132" si="32">B26+B27+B28+B29</f>
        <v>1085</v>
      </c>
      <c r="C132" s="39">
        <f t="shared" si="32"/>
        <v>541</v>
      </c>
      <c r="D132" s="39">
        <f t="shared" si="32"/>
        <v>67</v>
      </c>
      <c r="E132" s="39">
        <f t="shared" si="32"/>
        <v>71</v>
      </c>
      <c r="F132" s="39">
        <f t="shared" si="32"/>
        <v>26</v>
      </c>
      <c r="G132" s="50">
        <f t="shared" si="32"/>
        <v>1790</v>
      </c>
      <c r="H132" s="44">
        <f t="shared" si="32"/>
        <v>0</v>
      </c>
      <c r="I132" s="39">
        <f t="shared" si="32"/>
        <v>0</v>
      </c>
      <c r="J132" s="39">
        <f t="shared" si="32"/>
        <v>0</v>
      </c>
      <c r="K132" s="45">
        <f t="shared" si="32"/>
        <v>0</v>
      </c>
      <c r="L132" s="144">
        <f t="shared" si="32"/>
        <v>5</v>
      </c>
      <c r="M132" s="50">
        <f t="shared" si="32"/>
        <v>5</v>
      </c>
      <c r="N132" s="40">
        <f t="shared" si="14"/>
        <v>1795</v>
      </c>
      <c r="O132" s="43">
        <f t="shared" si="15"/>
        <v>1826</v>
      </c>
    </row>
    <row r="133" spans="1:15" ht="22.95" customHeight="1" x14ac:dyDescent="0.3">
      <c r="A133" s="52" t="s">
        <v>34</v>
      </c>
      <c r="B133" s="44">
        <f t="shared" ref="B133:M133" si="33">B27+B28+B29+B30</f>
        <v>1129</v>
      </c>
      <c r="C133" s="39">
        <f t="shared" si="33"/>
        <v>547</v>
      </c>
      <c r="D133" s="39">
        <f t="shared" si="33"/>
        <v>76</v>
      </c>
      <c r="E133" s="39">
        <f t="shared" si="33"/>
        <v>70</v>
      </c>
      <c r="F133" s="39">
        <f t="shared" si="33"/>
        <v>25</v>
      </c>
      <c r="G133" s="50">
        <f t="shared" si="33"/>
        <v>1847</v>
      </c>
      <c r="H133" s="44">
        <f t="shared" si="33"/>
        <v>0</v>
      </c>
      <c r="I133" s="39">
        <f t="shared" si="33"/>
        <v>0</v>
      </c>
      <c r="J133" s="39">
        <f t="shared" si="33"/>
        <v>0</v>
      </c>
      <c r="K133" s="45">
        <f t="shared" si="33"/>
        <v>0</v>
      </c>
      <c r="L133" s="144">
        <f t="shared" si="33"/>
        <v>7</v>
      </c>
      <c r="M133" s="50">
        <f t="shared" si="33"/>
        <v>7</v>
      </c>
      <c r="N133" s="40">
        <f t="shared" si="14"/>
        <v>1854</v>
      </c>
      <c r="O133" s="43">
        <f t="shared" si="15"/>
        <v>1895</v>
      </c>
    </row>
    <row r="134" spans="1:15" ht="22.95" customHeight="1" x14ac:dyDescent="0.3">
      <c r="A134" s="52" t="s">
        <v>35</v>
      </c>
      <c r="B134" s="44">
        <f t="shared" ref="B134:M134" si="34">B28+B29+B30+B31</f>
        <v>1152</v>
      </c>
      <c r="C134" s="39">
        <f t="shared" si="34"/>
        <v>607</v>
      </c>
      <c r="D134" s="39">
        <f t="shared" si="34"/>
        <v>80</v>
      </c>
      <c r="E134" s="39">
        <f t="shared" si="34"/>
        <v>71</v>
      </c>
      <c r="F134" s="39">
        <f t="shared" si="34"/>
        <v>26</v>
      </c>
      <c r="G134" s="50">
        <f t="shared" si="34"/>
        <v>1936</v>
      </c>
      <c r="H134" s="44">
        <f t="shared" si="34"/>
        <v>0</v>
      </c>
      <c r="I134" s="39">
        <f t="shared" si="34"/>
        <v>0</v>
      </c>
      <c r="J134" s="39">
        <f t="shared" si="34"/>
        <v>0</v>
      </c>
      <c r="K134" s="45">
        <f t="shared" si="34"/>
        <v>0</v>
      </c>
      <c r="L134" s="144">
        <f t="shared" si="34"/>
        <v>7</v>
      </c>
      <c r="M134" s="50">
        <f t="shared" si="34"/>
        <v>7</v>
      </c>
      <c r="N134" s="40">
        <f t="shared" si="14"/>
        <v>1943</v>
      </c>
      <c r="O134" s="43">
        <f t="shared" si="15"/>
        <v>1961.5</v>
      </c>
    </row>
    <row r="135" spans="1:15" ht="22.95" customHeight="1" x14ac:dyDescent="0.3">
      <c r="A135" s="52" t="s">
        <v>36</v>
      </c>
      <c r="B135" s="44">
        <f t="shared" ref="B135:M135" si="35">B29+B30+B31+B32</f>
        <v>1129</v>
      </c>
      <c r="C135" s="39">
        <f t="shared" si="35"/>
        <v>625</v>
      </c>
      <c r="D135" s="39">
        <f t="shared" si="35"/>
        <v>70</v>
      </c>
      <c r="E135" s="39">
        <f t="shared" si="35"/>
        <v>71</v>
      </c>
      <c r="F135" s="39">
        <f t="shared" si="35"/>
        <v>24</v>
      </c>
      <c r="G135" s="50">
        <f t="shared" si="35"/>
        <v>1919</v>
      </c>
      <c r="H135" s="44">
        <f t="shared" si="35"/>
        <v>0</v>
      </c>
      <c r="I135" s="39">
        <f t="shared" si="35"/>
        <v>0</v>
      </c>
      <c r="J135" s="39">
        <f t="shared" si="35"/>
        <v>0</v>
      </c>
      <c r="K135" s="45">
        <f t="shared" si="35"/>
        <v>0</v>
      </c>
      <c r="L135" s="144">
        <f t="shared" si="35"/>
        <v>8</v>
      </c>
      <c r="M135" s="50">
        <f t="shared" si="35"/>
        <v>8</v>
      </c>
      <c r="N135" s="40">
        <f t="shared" si="14"/>
        <v>1927</v>
      </c>
      <c r="O135" s="43">
        <f t="shared" si="15"/>
        <v>1931.5</v>
      </c>
    </row>
    <row r="136" spans="1:15" ht="22.95" customHeight="1" x14ac:dyDescent="0.3">
      <c r="A136" s="52" t="s">
        <v>37</v>
      </c>
      <c r="B136" s="44">
        <f t="shared" ref="B136:M136" si="36">B30+B31+B32+B33</f>
        <v>1055</v>
      </c>
      <c r="C136" s="39">
        <f t="shared" si="36"/>
        <v>644</v>
      </c>
      <c r="D136" s="39">
        <f t="shared" si="36"/>
        <v>62</v>
      </c>
      <c r="E136" s="39">
        <f t="shared" si="36"/>
        <v>87</v>
      </c>
      <c r="F136" s="39">
        <f t="shared" si="36"/>
        <v>23</v>
      </c>
      <c r="G136" s="50">
        <f t="shared" si="36"/>
        <v>1871</v>
      </c>
      <c r="H136" s="44">
        <f t="shared" si="36"/>
        <v>0</v>
      </c>
      <c r="I136" s="39">
        <f t="shared" si="36"/>
        <v>0</v>
      </c>
      <c r="J136" s="39">
        <f t="shared" si="36"/>
        <v>0</v>
      </c>
      <c r="K136" s="45">
        <f t="shared" si="36"/>
        <v>0</v>
      </c>
      <c r="L136" s="144">
        <f t="shared" si="36"/>
        <v>9</v>
      </c>
      <c r="M136" s="50">
        <f t="shared" si="36"/>
        <v>9</v>
      </c>
      <c r="N136" s="40">
        <f t="shared" si="14"/>
        <v>1880</v>
      </c>
      <c r="O136" s="43">
        <f t="shared" si="15"/>
        <v>1906.5</v>
      </c>
    </row>
    <row r="137" spans="1:15" ht="22.95" customHeight="1" x14ac:dyDescent="0.3">
      <c r="A137" s="52" t="s">
        <v>38</v>
      </c>
      <c r="B137" s="44">
        <f t="shared" ref="B137:M137" si="37">B31+B32+B33+B34</f>
        <v>965</v>
      </c>
      <c r="C137" s="39">
        <f t="shared" si="37"/>
        <v>625</v>
      </c>
      <c r="D137" s="39">
        <f t="shared" si="37"/>
        <v>53</v>
      </c>
      <c r="E137" s="39">
        <f t="shared" si="37"/>
        <v>97</v>
      </c>
      <c r="F137" s="39">
        <f t="shared" si="37"/>
        <v>22</v>
      </c>
      <c r="G137" s="50">
        <f t="shared" si="37"/>
        <v>1762</v>
      </c>
      <c r="H137" s="44">
        <f t="shared" si="37"/>
        <v>0</v>
      </c>
      <c r="I137" s="39">
        <f t="shared" si="37"/>
        <v>0</v>
      </c>
      <c r="J137" s="39">
        <f t="shared" si="37"/>
        <v>0</v>
      </c>
      <c r="K137" s="45">
        <f t="shared" si="37"/>
        <v>0</v>
      </c>
      <c r="L137" s="144">
        <f t="shared" si="37"/>
        <v>5</v>
      </c>
      <c r="M137" s="50">
        <f t="shared" si="37"/>
        <v>5</v>
      </c>
      <c r="N137" s="40">
        <f t="shared" si="14"/>
        <v>1767</v>
      </c>
      <c r="O137" s="43">
        <f t="shared" si="15"/>
        <v>1787</v>
      </c>
    </row>
    <row r="138" spans="1:15" ht="22.95" customHeight="1" x14ac:dyDescent="0.3">
      <c r="A138" s="52" t="s">
        <v>39</v>
      </c>
      <c r="B138" s="44">
        <f t="shared" ref="B138:M138" si="38">B32+B33+B34+B35</f>
        <v>900</v>
      </c>
      <c r="C138" s="39">
        <f t="shared" si="38"/>
        <v>630</v>
      </c>
      <c r="D138" s="39">
        <f t="shared" si="38"/>
        <v>34</v>
      </c>
      <c r="E138" s="39">
        <f t="shared" si="38"/>
        <v>112</v>
      </c>
      <c r="F138" s="39">
        <f t="shared" si="38"/>
        <v>23</v>
      </c>
      <c r="G138" s="50">
        <f t="shared" si="38"/>
        <v>1699</v>
      </c>
      <c r="H138" s="44">
        <f t="shared" si="38"/>
        <v>0</v>
      </c>
      <c r="I138" s="39">
        <f t="shared" si="38"/>
        <v>0</v>
      </c>
      <c r="J138" s="39">
        <f t="shared" si="38"/>
        <v>0</v>
      </c>
      <c r="K138" s="45">
        <f t="shared" si="38"/>
        <v>0</v>
      </c>
      <c r="L138" s="144">
        <f t="shared" si="38"/>
        <v>5</v>
      </c>
      <c r="M138" s="50">
        <f t="shared" si="38"/>
        <v>5</v>
      </c>
      <c r="N138" s="40">
        <f t="shared" si="14"/>
        <v>1704</v>
      </c>
      <c r="O138" s="43">
        <f t="shared" si="15"/>
        <v>1745.5</v>
      </c>
    </row>
    <row r="139" spans="1:15" ht="22.95" customHeight="1" x14ac:dyDescent="0.3">
      <c r="A139" s="52" t="s">
        <v>40</v>
      </c>
      <c r="B139" s="44">
        <f t="shared" ref="B139:M139" si="39">B33+B34+B35+B36</f>
        <v>934</v>
      </c>
      <c r="C139" s="39">
        <f t="shared" si="39"/>
        <v>670</v>
      </c>
      <c r="D139" s="39">
        <f t="shared" si="39"/>
        <v>41</v>
      </c>
      <c r="E139" s="39">
        <f t="shared" si="39"/>
        <v>122</v>
      </c>
      <c r="F139" s="39">
        <f t="shared" si="39"/>
        <v>29</v>
      </c>
      <c r="G139" s="50">
        <f t="shared" si="39"/>
        <v>1796</v>
      </c>
      <c r="H139" s="44">
        <f t="shared" si="39"/>
        <v>0</v>
      </c>
      <c r="I139" s="39">
        <f t="shared" si="39"/>
        <v>0</v>
      </c>
      <c r="J139" s="39">
        <f t="shared" si="39"/>
        <v>0</v>
      </c>
      <c r="K139" s="45">
        <f t="shared" si="39"/>
        <v>0</v>
      </c>
      <c r="L139" s="144">
        <f t="shared" si="39"/>
        <v>5</v>
      </c>
      <c r="M139" s="50">
        <f t="shared" si="39"/>
        <v>5</v>
      </c>
      <c r="N139" s="40">
        <f t="shared" si="14"/>
        <v>1801</v>
      </c>
      <c r="O139" s="43">
        <f t="shared" si="15"/>
        <v>1867</v>
      </c>
    </row>
    <row r="140" spans="1:15" ht="22.95" customHeight="1" x14ac:dyDescent="0.3">
      <c r="A140" s="52" t="s">
        <v>41</v>
      </c>
      <c r="B140" s="44">
        <f t="shared" ref="B140:M140" si="40">B34+B35+B36+B37</f>
        <v>980</v>
      </c>
      <c r="C140" s="39">
        <f t="shared" si="40"/>
        <v>700</v>
      </c>
      <c r="D140" s="39">
        <f t="shared" si="40"/>
        <v>46</v>
      </c>
      <c r="E140" s="39">
        <f t="shared" si="40"/>
        <v>121</v>
      </c>
      <c r="F140" s="39">
        <f t="shared" si="40"/>
        <v>33</v>
      </c>
      <c r="G140" s="50">
        <f t="shared" si="40"/>
        <v>1880</v>
      </c>
      <c r="H140" s="44">
        <f t="shared" si="40"/>
        <v>0</v>
      </c>
      <c r="I140" s="39">
        <f t="shared" si="40"/>
        <v>0</v>
      </c>
      <c r="J140" s="39">
        <f t="shared" si="40"/>
        <v>0</v>
      </c>
      <c r="K140" s="45">
        <f t="shared" si="40"/>
        <v>0</v>
      </c>
      <c r="L140" s="144">
        <f t="shared" si="40"/>
        <v>4</v>
      </c>
      <c r="M140" s="50">
        <f t="shared" si="40"/>
        <v>4</v>
      </c>
      <c r="N140" s="40">
        <f t="shared" si="14"/>
        <v>1884</v>
      </c>
      <c r="O140" s="43">
        <f t="shared" si="15"/>
        <v>1942.5</v>
      </c>
    </row>
    <row r="141" spans="1:15" ht="22.95" customHeight="1" x14ac:dyDescent="0.3">
      <c r="A141" s="52" t="s">
        <v>42</v>
      </c>
      <c r="B141" s="44">
        <f t="shared" ref="B141:M141" si="41">B35+B36+B37+B38</f>
        <v>1051</v>
      </c>
      <c r="C141" s="39">
        <f t="shared" si="41"/>
        <v>708</v>
      </c>
      <c r="D141" s="39">
        <f t="shared" si="41"/>
        <v>48</v>
      </c>
      <c r="E141" s="39">
        <f t="shared" si="41"/>
        <v>114</v>
      </c>
      <c r="F141" s="39">
        <f t="shared" si="41"/>
        <v>38</v>
      </c>
      <c r="G141" s="50">
        <f t="shared" si="41"/>
        <v>1959</v>
      </c>
      <c r="H141" s="44">
        <f t="shared" si="41"/>
        <v>0</v>
      </c>
      <c r="I141" s="39">
        <f t="shared" si="41"/>
        <v>0</v>
      </c>
      <c r="J141" s="39">
        <f t="shared" si="41"/>
        <v>0</v>
      </c>
      <c r="K141" s="45">
        <f t="shared" si="41"/>
        <v>0</v>
      </c>
      <c r="L141" s="144">
        <f t="shared" si="41"/>
        <v>4</v>
      </c>
      <c r="M141" s="50">
        <f t="shared" si="41"/>
        <v>4</v>
      </c>
      <c r="N141" s="40">
        <f t="shared" si="14"/>
        <v>1963</v>
      </c>
      <c r="O141" s="43">
        <f t="shared" si="15"/>
        <v>2022</v>
      </c>
    </row>
    <row r="142" spans="1:15" ht="22.95" customHeight="1" x14ac:dyDescent="0.3">
      <c r="A142" s="52" t="s">
        <v>43</v>
      </c>
      <c r="B142" s="44">
        <f t="shared" ref="B142:M142" si="42">B36+B37+B38+B39</f>
        <v>1069</v>
      </c>
      <c r="C142" s="39">
        <f t="shared" si="42"/>
        <v>708</v>
      </c>
      <c r="D142" s="39">
        <f t="shared" si="42"/>
        <v>60</v>
      </c>
      <c r="E142" s="39">
        <f t="shared" si="42"/>
        <v>109</v>
      </c>
      <c r="F142" s="39">
        <f t="shared" si="42"/>
        <v>35</v>
      </c>
      <c r="G142" s="50">
        <f t="shared" si="42"/>
        <v>1981</v>
      </c>
      <c r="H142" s="44">
        <f t="shared" si="42"/>
        <v>0</v>
      </c>
      <c r="I142" s="39">
        <f t="shared" si="42"/>
        <v>0</v>
      </c>
      <c r="J142" s="39">
        <f t="shared" si="42"/>
        <v>0</v>
      </c>
      <c r="K142" s="45">
        <f t="shared" si="42"/>
        <v>0</v>
      </c>
      <c r="L142" s="144">
        <f t="shared" si="42"/>
        <v>2</v>
      </c>
      <c r="M142" s="50">
        <f t="shared" si="42"/>
        <v>2</v>
      </c>
      <c r="N142" s="40">
        <f t="shared" si="14"/>
        <v>1983</v>
      </c>
      <c r="O142" s="43">
        <f t="shared" si="15"/>
        <v>2013.5</v>
      </c>
    </row>
    <row r="143" spans="1:15" ht="22.95" customHeight="1" x14ac:dyDescent="0.3">
      <c r="A143" s="52" t="s">
        <v>44</v>
      </c>
      <c r="B143" s="44">
        <f t="shared" ref="B143:M143" si="43">B37+B38+B39+B40</f>
        <v>1115</v>
      </c>
      <c r="C143" s="39">
        <f t="shared" si="43"/>
        <v>739</v>
      </c>
      <c r="D143" s="39">
        <f t="shared" si="43"/>
        <v>56</v>
      </c>
      <c r="E143" s="39">
        <f t="shared" si="43"/>
        <v>89</v>
      </c>
      <c r="F143" s="39">
        <f t="shared" si="43"/>
        <v>29</v>
      </c>
      <c r="G143" s="50">
        <f t="shared" si="43"/>
        <v>2028</v>
      </c>
      <c r="H143" s="44">
        <f t="shared" si="43"/>
        <v>0</v>
      </c>
      <c r="I143" s="39">
        <f t="shared" si="43"/>
        <v>0</v>
      </c>
      <c r="J143" s="39">
        <f t="shared" si="43"/>
        <v>0</v>
      </c>
      <c r="K143" s="45">
        <f t="shared" si="43"/>
        <v>0</v>
      </c>
      <c r="L143" s="144">
        <f t="shared" si="43"/>
        <v>7</v>
      </c>
      <c r="M143" s="50">
        <f t="shared" si="43"/>
        <v>7</v>
      </c>
      <c r="N143" s="40">
        <f t="shared" si="14"/>
        <v>2035</v>
      </c>
      <c r="O143" s="43">
        <f t="shared" si="15"/>
        <v>2022</v>
      </c>
    </row>
    <row r="144" spans="1:15" ht="22.95" customHeight="1" x14ac:dyDescent="0.3">
      <c r="A144" s="52" t="s">
        <v>45</v>
      </c>
      <c r="B144" s="44">
        <f t="shared" ref="B144:M144" si="44">B38+B39+B40+B41</f>
        <v>1110</v>
      </c>
      <c r="C144" s="39">
        <f t="shared" si="44"/>
        <v>797</v>
      </c>
      <c r="D144" s="39">
        <f t="shared" si="44"/>
        <v>59</v>
      </c>
      <c r="E144" s="39">
        <f t="shared" si="44"/>
        <v>72</v>
      </c>
      <c r="F144" s="39">
        <f t="shared" si="44"/>
        <v>32</v>
      </c>
      <c r="G144" s="50">
        <f t="shared" si="44"/>
        <v>2070</v>
      </c>
      <c r="H144" s="44">
        <f t="shared" si="44"/>
        <v>0</v>
      </c>
      <c r="I144" s="39">
        <f t="shared" si="44"/>
        <v>0</v>
      </c>
      <c r="J144" s="39">
        <f t="shared" si="44"/>
        <v>0</v>
      </c>
      <c r="K144" s="45">
        <f t="shared" si="44"/>
        <v>0</v>
      </c>
      <c r="L144" s="144">
        <f t="shared" si="44"/>
        <v>15</v>
      </c>
      <c r="M144" s="50">
        <f t="shared" si="44"/>
        <v>15</v>
      </c>
      <c r="N144" s="40">
        <f t="shared" si="14"/>
        <v>2085</v>
      </c>
      <c r="O144" s="43">
        <f t="shared" si="15"/>
        <v>2077</v>
      </c>
    </row>
    <row r="145" spans="1:15" ht="22.95" customHeight="1" x14ac:dyDescent="0.3">
      <c r="A145" s="52" t="s">
        <v>46</v>
      </c>
      <c r="B145" s="44">
        <f t="shared" ref="B145:M145" si="45">B39+B40+B41+B42</f>
        <v>1117</v>
      </c>
      <c r="C145" s="39">
        <f t="shared" si="45"/>
        <v>908</v>
      </c>
      <c r="D145" s="39">
        <f t="shared" si="45"/>
        <v>57</v>
      </c>
      <c r="E145" s="39">
        <f t="shared" si="45"/>
        <v>69</v>
      </c>
      <c r="F145" s="39">
        <f t="shared" si="45"/>
        <v>32</v>
      </c>
      <c r="G145" s="50">
        <f t="shared" si="45"/>
        <v>2183</v>
      </c>
      <c r="H145" s="44">
        <f t="shared" si="45"/>
        <v>0</v>
      </c>
      <c r="I145" s="39">
        <f t="shared" si="45"/>
        <v>0</v>
      </c>
      <c r="J145" s="39">
        <f t="shared" si="45"/>
        <v>0</v>
      </c>
      <c r="K145" s="45">
        <f t="shared" si="45"/>
        <v>0</v>
      </c>
      <c r="L145" s="144">
        <f t="shared" si="45"/>
        <v>18</v>
      </c>
      <c r="M145" s="50">
        <f t="shared" si="45"/>
        <v>18</v>
      </c>
      <c r="N145" s="40">
        <f t="shared" si="14"/>
        <v>2201</v>
      </c>
      <c r="O145" s="43">
        <f t="shared" si="15"/>
        <v>2151.5</v>
      </c>
    </row>
    <row r="146" spans="1:15" ht="22.95" customHeight="1" x14ac:dyDescent="0.3">
      <c r="A146" s="52" t="s">
        <v>47</v>
      </c>
      <c r="B146" s="44">
        <f t="shared" ref="B146:M146" si="46">B40+B41+B42+B43</f>
        <v>1194</v>
      </c>
      <c r="C146" s="39">
        <f t="shared" si="46"/>
        <v>1050</v>
      </c>
      <c r="D146" s="39">
        <f t="shared" si="46"/>
        <v>60</v>
      </c>
      <c r="E146" s="39">
        <f t="shared" si="46"/>
        <v>61</v>
      </c>
      <c r="F146" s="39">
        <f t="shared" si="46"/>
        <v>40</v>
      </c>
      <c r="G146" s="50">
        <f t="shared" si="46"/>
        <v>2405</v>
      </c>
      <c r="H146" s="44">
        <f t="shared" si="46"/>
        <v>0</v>
      </c>
      <c r="I146" s="39">
        <f t="shared" si="46"/>
        <v>0</v>
      </c>
      <c r="J146" s="39">
        <f t="shared" si="46"/>
        <v>0</v>
      </c>
      <c r="K146" s="45">
        <f t="shared" si="46"/>
        <v>0</v>
      </c>
      <c r="L146" s="144">
        <f t="shared" si="46"/>
        <v>28</v>
      </c>
      <c r="M146" s="50">
        <f t="shared" si="46"/>
        <v>28</v>
      </c>
      <c r="N146" s="40">
        <f t="shared" si="14"/>
        <v>2433</v>
      </c>
      <c r="O146" s="43">
        <f t="shared" si="15"/>
        <v>2396</v>
      </c>
    </row>
    <row r="147" spans="1:15" ht="22.95" customHeight="1" x14ac:dyDescent="0.3">
      <c r="A147" s="52" t="s">
        <v>48</v>
      </c>
      <c r="B147" s="44">
        <f t="shared" ref="B147:M147" si="47">B41+B42+B43+B44</f>
        <v>1267</v>
      </c>
      <c r="C147" s="39">
        <f t="shared" si="47"/>
        <v>1218</v>
      </c>
      <c r="D147" s="39">
        <f t="shared" si="47"/>
        <v>70</v>
      </c>
      <c r="E147" s="39">
        <f t="shared" si="47"/>
        <v>65</v>
      </c>
      <c r="F147" s="39">
        <f t="shared" si="47"/>
        <v>45</v>
      </c>
      <c r="G147" s="50">
        <f t="shared" si="47"/>
        <v>2665</v>
      </c>
      <c r="H147" s="44">
        <f t="shared" si="47"/>
        <v>2</v>
      </c>
      <c r="I147" s="39">
        <f t="shared" si="47"/>
        <v>0</v>
      </c>
      <c r="J147" s="39">
        <f t="shared" si="47"/>
        <v>0</v>
      </c>
      <c r="K147" s="45">
        <f t="shared" si="47"/>
        <v>0</v>
      </c>
      <c r="L147" s="144">
        <f t="shared" si="47"/>
        <v>35</v>
      </c>
      <c r="M147" s="50">
        <f t="shared" si="47"/>
        <v>37</v>
      </c>
      <c r="N147" s="40">
        <f t="shared" si="14"/>
        <v>2702</v>
      </c>
      <c r="O147" s="43">
        <f t="shared" si="15"/>
        <v>2659.5</v>
      </c>
    </row>
    <row r="148" spans="1:15" ht="22.95" customHeight="1" x14ac:dyDescent="0.3">
      <c r="A148" s="52" t="s">
        <v>49</v>
      </c>
      <c r="B148" s="44">
        <f t="shared" ref="B148:M148" si="48">B42+B43+B44+B45</f>
        <v>1380</v>
      </c>
      <c r="C148" s="39">
        <f t="shared" si="48"/>
        <v>1295</v>
      </c>
      <c r="D148" s="39">
        <f t="shared" si="48"/>
        <v>69</v>
      </c>
      <c r="E148" s="39">
        <f t="shared" si="48"/>
        <v>66</v>
      </c>
      <c r="F148" s="39">
        <f t="shared" si="48"/>
        <v>40</v>
      </c>
      <c r="G148" s="50">
        <f t="shared" si="48"/>
        <v>2850</v>
      </c>
      <c r="H148" s="44">
        <f t="shared" si="48"/>
        <v>2</v>
      </c>
      <c r="I148" s="39">
        <f t="shared" si="48"/>
        <v>0</v>
      </c>
      <c r="J148" s="39">
        <f t="shared" si="48"/>
        <v>0</v>
      </c>
      <c r="K148" s="45">
        <f t="shared" si="48"/>
        <v>0</v>
      </c>
      <c r="L148" s="144">
        <f t="shared" si="48"/>
        <v>32</v>
      </c>
      <c r="M148" s="50">
        <f t="shared" si="48"/>
        <v>34</v>
      </c>
      <c r="N148" s="40">
        <f t="shared" si="14"/>
        <v>2884</v>
      </c>
      <c r="O148" s="43">
        <f t="shared" si="15"/>
        <v>2766</v>
      </c>
    </row>
    <row r="149" spans="1:15" ht="22.95" customHeight="1" x14ac:dyDescent="0.3">
      <c r="A149" s="52" t="s">
        <v>50</v>
      </c>
      <c r="B149" s="44">
        <f t="shared" ref="B149:M149" si="49">B43+B44+B45+B46</f>
        <v>1315</v>
      </c>
      <c r="C149" s="39">
        <f t="shared" si="49"/>
        <v>1354</v>
      </c>
      <c r="D149" s="39">
        <f t="shared" si="49"/>
        <v>72</v>
      </c>
      <c r="E149" s="39">
        <f t="shared" si="49"/>
        <v>63</v>
      </c>
      <c r="F149" s="39">
        <f t="shared" si="49"/>
        <v>40</v>
      </c>
      <c r="G149" s="50">
        <f t="shared" si="49"/>
        <v>2844</v>
      </c>
      <c r="H149" s="44">
        <f t="shared" si="49"/>
        <v>2</v>
      </c>
      <c r="I149" s="39">
        <f t="shared" si="49"/>
        <v>0</v>
      </c>
      <c r="J149" s="39">
        <f t="shared" si="49"/>
        <v>0</v>
      </c>
      <c r="K149" s="45">
        <f t="shared" si="49"/>
        <v>0</v>
      </c>
      <c r="L149" s="144">
        <f t="shared" si="49"/>
        <v>40</v>
      </c>
      <c r="M149" s="50">
        <f t="shared" si="49"/>
        <v>42</v>
      </c>
      <c r="N149" s="40">
        <f t="shared" si="14"/>
        <v>2886</v>
      </c>
      <c r="O149" s="43">
        <f t="shared" si="15"/>
        <v>2790</v>
      </c>
    </row>
    <row r="150" spans="1:15" ht="22.95" customHeight="1" x14ac:dyDescent="0.3">
      <c r="A150" s="52" t="s">
        <v>51</v>
      </c>
      <c r="B150" s="44">
        <f t="shared" ref="B150:M150" si="50">B44+B45+B46+B47</f>
        <v>1292</v>
      </c>
      <c r="C150" s="39">
        <f t="shared" si="50"/>
        <v>1380</v>
      </c>
      <c r="D150" s="39">
        <f t="shared" si="50"/>
        <v>66</v>
      </c>
      <c r="E150" s="39">
        <f t="shared" si="50"/>
        <v>60</v>
      </c>
      <c r="F150" s="39">
        <f t="shared" si="50"/>
        <v>35</v>
      </c>
      <c r="G150" s="50">
        <f t="shared" si="50"/>
        <v>2833</v>
      </c>
      <c r="H150" s="44">
        <f t="shared" si="50"/>
        <v>2</v>
      </c>
      <c r="I150" s="39">
        <f t="shared" si="50"/>
        <v>0</v>
      </c>
      <c r="J150" s="39">
        <f t="shared" si="50"/>
        <v>0</v>
      </c>
      <c r="K150" s="45">
        <f t="shared" si="50"/>
        <v>0</v>
      </c>
      <c r="L150" s="144">
        <f t="shared" si="50"/>
        <v>40</v>
      </c>
      <c r="M150" s="50">
        <f t="shared" si="50"/>
        <v>42</v>
      </c>
      <c r="N150" s="40">
        <f t="shared" si="14"/>
        <v>2875</v>
      </c>
      <c r="O150" s="43">
        <f t="shared" si="15"/>
        <v>2739.5</v>
      </c>
    </row>
    <row r="151" spans="1:15" ht="22.95" customHeight="1" x14ac:dyDescent="0.3">
      <c r="A151" s="52" t="s">
        <v>52</v>
      </c>
      <c r="B151" s="44">
        <f t="shared" ref="B151:M151" si="51">B45+B46+B47+B48</f>
        <v>1264</v>
      </c>
      <c r="C151" s="39">
        <f t="shared" si="51"/>
        <v>1363</v>
      </c>
      <c r="D151" s="39">
        <f t="shared" si="51"/>
        <v>66</v>
      </c>
      <c r="E151" s="39">
        <f t="shared" si="51"/>
        <v>49</v>
      </c>
      <c r="F151" s="39">
        <f t="shared" si="51"/>
        <v>31</v>
      </c>
      <c r="G151" s="50">
        <f t="shared" si="51"/>
        <v>2773</v>
      </c>
      <c r="H151" s="44">
        <f t="shared" si="51"/>
        <v>0</v>
      </c>
      <c r="I151" s="39">
        <f t="shared" si="51"/>
        <v>0</v>
      </c>
      <c r="J151" s="39">
        <f t="shared" si="51"/>
        <v>0</v>
      </c>
      <c r="K151" s="45">
        <f t="shared" si="51"/>
        <v>0</v>
      </c>
      <c r="L151" s="144">
        <f t="shared" si="51"/>
        <v>38</v>
      </c>
      <c r="M151" s="50">
        <f t="shared" si="51"/>
        <v>38</v>
      </c>
      <c r="N151" s="40">
        <f t="shared" si="14"/>
        <v>2811</v>
      </c>
      <c r="O151" s="43">
        <f t="shared" si="15"/>
        <v>2635</v>
      </c>
    </row>
    <row r="152" spans="1:15" ht="22.95" customHeight="1" x14ac:dyDescent="0.3">
      <c r="A152" s="52" t="s">
        <v>53</v>
      </c>
      <c r="B152" s="44">
        <f t="shared" ref="B152:M152" si="52">B46+B47+B48+B49</f>
        <v>1221</v>
      </c>
      <c r="C152" s="39">
        <f t="shared" si="52"/>
        <v>1401</v>
      </c>
      <c r="D152" s="39">
        <f t="shared" si="52"/>
        <v>74</v>
      </c>
      <c r="E152" s="39">
        <f t="shared" si="52"/>
        <v>47</v>
      </c>
      <c r="F152" s="39">
        <f t="shared" si="52"/>
        <v>29</v>
      </c>
      <c r="G152" s="50">
        <f t="shared" si="52"/>
        <v>2772</v>
      </c>
      <c r="H152" s="44">
        <f t="shared" si="52"/>
        <v>1</v>
      </c>
      <c r="I152" s="39">
        <f t="shared" si="52"/>
        <v>0</v>
      </c>
      <c r="J152" s="39">
        <f t="shared" si="52"/>
        <v>0</v>
      </c>
      <c r="K152" s="45">
        <f t="shared" si="52"/>
        <v>0</v>
      </c>
      <c r="L152" s="144">
        <f t="shared" si="52"/>
        <v>48</v>
      </c>
      <c r="M152" s="50">
        <f t="shared" si="52"/>
        <v>49</v>
      </c>
      <c r="N152" s="40">
        <f t="shared" si="14"/>
        <v>2821</v>
      </c>
      <c r="O152" s="43">
        <f t="shared" si="15"/>
        <v>2688.5</v>
      </c>
    </row>
    <row r="153" spans="1:15" ht="22.95" customHeight="1" x14ac:dyDescent="0.3">
      <c r="A153" s="52" t="s">
        <v>54</v>
      </c>
      <c r="B153" s="44">
        <f t="shared" ref="B153:M153" si="53">B47+B48+B49+B50</f>
        <v>1360</v>
      </c>
      <c r="C153" s="39">
        <f t="shared" si="53"/>
        <v>1475</v>
      </c>
      <c r="D153" s="39">
        <f t="shared" si="53"/>
        <v>70</v>
      </c>
      <c r="E153" s="39">
        <f t="shared" si="53"/>
        <v>53</v>
      </c>
      <c r="F153" s="39">
        <f t="shared" si="53"/>
        <v>25</v>
      </c>
      <c r="G153" s="50">
        <f t="shared" si="53"/>
        <v>2983</v>
      </c>
      <c r="H153" s="44">
        <f t="shared" si="53"/>
        <v>1</v>
      </c>
      <c r="I153" s="39">
        <f t="shared" si="53"/>
        <v>0</v>
      </c>
      <c r="J153" s="39">
        <f t="shared" si="53"/>
        <v>0</v>
      </c>
      <c r="K153" s="45">
        <f t="shared" si="53"/>
        <v>0</v>
      </c>
      <c r="L153" s="144">
        <f t="shared" si="53"/>
        <v>60</v>
      </c>
      <c r="M153" s="50">
        <f t="shared" si="53"/>
        <v>61</v>
      </c>
      <c r="N153" s="40">
        <f t="shared" si="14"/>
        <v>3044</v>
      </c>
      <c r="O153" s="43">
        <f t="shared" si="15"/>
        <v>2954.5</v>
      </c>
    </row>
    <row r="154" spans="1:15" s="138" customFormat="1" ht="22.95" customHeight="1" x14ac:dyDescent="0.3">
      <c r="A154" s="52" t="s">
        <v>55</v>
      </c>
      <c r="B154" s="122">
        <f t="shared" ref="B154:M154" si="54">B48+B49+B50+B51</f>
        <v>1340</v>
      </c>
      <c r="C154" s="123">
        <f t="shared" si="54"/>
        <v>1399</v>
      </c>
      <c r="D154" s="123">
        <f t="shared" si="54"/>
        <v>68</v>
      </c>
      <c r="E154" s="123">
        <f t="shared" si="54"/>
        <v>54</v>
      </c>
      <c r="F154" s="123">
        <f t="shared" si="54"/>
        <v>19</v>
      </c>
      <c r="G154" s="125">
        <f t="shared" si="54"/>
        <v>2880</v>
      </c>
      <c r="H154" s="122">
        <f t="shared" si="54"/>
        <v>1</v>
      </c>
      <c r="I154" s="123">
        <f t="shared" si="54"/>
        <v>0</v>
      </c>
      <c r="J154" s="123">
        <f t="shared" si="54"/>
        <v>0</v>
      </c>
      <c r="K154" s="124">
        <f t="shared" si="54"/>
        <v>0</v>
      </c>
      <c r="L154" s="146">
        <f t="shared" si="54"/>
        <v>65</v>
      </c>
      <c r="M154" s="125">
        <f t="shared" si="54"/>
        <v>66</v>
      </c>
      <c r="N154" s="126">
        <f t="shared" si="14"/>
        <v>2946</v>
      </c>
      <c r="O154" s="43">
        <f t="shared" si="15"/>
        <v>2909.5</v>
      </c>
    </row>
    <row r="155" spans="1:15" ht="22.95" customHeight="1" x14ac:dyDescent="0.3">
      <c r="A155" s="52" t="s">
        <v>56</v>
      </c>
      <c r="B155" s="44">
        <f t="shared" ref="B155:M155" si="55">B49+B50+B51+B52</f>
        <v>1234</v>
      </c>
      <c r="C155" s="39">
        <f t="shared" si="55"/>
        <v>1291</v>
      </c>
      <c r="D155" s="39">
        <f t="shared" si="55"/>
        <v>62</v>
      </c>
      <c r="E155" s="39">
        <f t="shared" si="55"/>
        <v>56</v>
      </c>
      <c r="F155" s="39">
        <f t="shared" si="55"/>
        <v>17</v>
      </c>
      <c r="G155" s="50">
        <f t="shared" si="55"/>
        <v>2660</v>
      </c>
      <c r="H155" s="44">
        <f t="shared" si="55"/>
        <v>1</v>
      </c>
      <c r="I155" s="39">
        <f t="shared" si="55"/>
        <v>0</v>
      </c>
      <c r="J155" s="39">
        <f t="shared" si="55"/>
        <v>0</v>
      </c>
      <c r="K155" s="45">
        <f t="shared" si="55"/>
        <v>0</v>
      </c>
      <c r="L155" s="144">
        <f t="shared" si="55"/>
        <v>59</v>
      </c>
      <c r="M155" s="50">
        <f t="shared" si="55"/>
        <v>60</v>
      </c>
      <c r="N155" s="40">
        <f t="shared" si="14"/>
        <v>2720</v>
      </c>
      <c r="O155" s="43">
        <f t="shared" si="15"/>
        <v>2689.5</v>
      </c>
    </row>
    <row r="156" spans="1:15" ht="22.95" customHeight="1" x14ac:dyDescent="0.3">
      <c r="A156" s="52" t="s">
        <v>57</v>
      </c>
      <c r="B156" s="44">
        <f t="shared" ref="B156:M156" si="56">B50+B51+B52+B53</f>
        <v>1208</v>
      </c>
      <c r="C156" s="39">
        <f t="shared" si="56"/>
        <v>1217</v>
      </c>
      <c r="D156" s="39">
        <f t="shared" si="56"/>
        <v>58</v>
      </c>
      <c r="E156" s="39">
        <f t="shared" si="56"/>
        <v>59</v>
      </c>
      <c r="F156" s="39">
        <f t="shared" si="56"/>
        <v>22</v>
      </c>
      <c r="G156" s="50">
        <f t="shared" si="56"/>
        <v>2564</v>
      </c>
      <c r="H156" s="44">
        <f t="shared" si="56"/>
        <v>0</v>
      </c>
      <c r="I156" s="39">
        <f t="shared" si="56"/>
        <v>0</v>
      </c>
      <c r="J156" s="39">
        <f t="shared" si="56"/>
        <v>0</v>
      </c>
      <c r="K156" s="45">
        <f t="shared" si="56"/>
        <v>0</v>
      </c>
      <c r="L156" s="144">
        <f t="shared" si="56"/>
        <v>48</v>
      </c>
      <c r="M156" s="50">
        <f t="shared" si="56"/>
        <v>48</v>
      </c>
      <c r="N156" s="40">
        <f t="shared" si="14"/>
        <v>2612</v>
      </c>
      <c r="O156" s="43">
        <f t="shared" si="15"/>
        <v>2563.5</v>
      </c>
    </row>
    <row r="157" spans="1:15" ht="22.95" customHeight="1" x14ac:dyDescent="0.3">
      <c r="A157" s="52" t="s">
        <v>58</v>
      </c>
      <c r="B157" s="44">
        <f t="shared" ref="B157:M157" si="57">B51+B52+B53+B54</f>
        <v>1183</v>
      </c>
      <c r="C157" s="39">
        <f t="shared" si="57"/>
        <v>1196</v>
      </c>
      <c r="D157" s="39">
        <f t="shared" si="57"/>
        <v>65</v>
      </c>
      <c r="E157" s="39">
        <f t="shared" si="57"/>
        <v>52</v>
      </c>
      <c r="F157" s="39">
        <f t="shared" si="57"/>
        <v>22</v>
      </c>
      <c r="G157" s="50">
        <f t="shared" si="57"/>
        <v>2518</v>
      </c>
      <c r="H157" s="44">
        <f t="shared" si="57"/>
        <v>0</v>
      </c>
      <c r="I157" s="39">
        <f t="shared" si="57"/>
        <v>0</v>
      </c>
      <c r="J157" s="39">
        <f t="shared" si="57"/>
        <v>0</v>
      </c>
      <c r="K157" s="45">
        <f t="shared" si="57"/>
        <v>0</v>
      </c>
      <c r="L157" s="144">
        <f t="shared" si="57"/>
        <v>30</v>
      </c>
      <c r="M157" s="50">
        <f t="shared" si="57"/>
        <v>30</v>
      </c>
      <c r="N157" s="40">
        <f t="shared" si="14"/>
        <v>2548</v>
      </c>
      <c r="O157" s="43">
        <f t="shared" si="15"/>
        <v>2373.5</v>
      </c>
    </row>
    <row r="158" spans="1:15" ht="22.95" customHeight="1" x14ac:dyDescent="0.3">
      <c r="A158" s="52" t="s">
        <v>59</v>
      </c>
      <c r="B158" s="44">
        <f t="shared" ref="B158:M158" si="58">B52+B53+B54+B55</f>
        <v>1240</v>
      </c>
      <c r="C158" s="39">
        <f t="shared" si="58"/>
        <v>1321</v>
      </c>
      <c r="D158" s="39">
        <f t="shared" si="58"/>
        <v>64</v>
      </c>
      <c r="E158" s="39">
        <f t="shared" si="58"/>
        <v>47</v>
      </c>
      <c r="F158" s="39">
        <f t="shared" si="58"/>
        <v>35</v>
      </c>
      <c r="G158" s="50">
        <f t="shared" si="58"/>
        <v>2707</v>
      </c>
      <c r="H158" s="44">
        <f t="shared" si="58"/>
        <v>0</v>
      </c>
      <c r="I158" s="39">
        <f t="shared" si="58"/>
        <v>0</v>
      </c>
      <c r="J158" s="39">
        <f t="shared" si="58"/>
        <v>0</v>
      </c>
      <c r="K158" s="45">
        <f t="shared" si="58"/>
        <v>0</v>
      </c>
      <c r="L158" s="144">
        <f t="shared" si="58"/>
        <v>23</v>
      </c>
      <c r="M158" s="50">
        <f t="shared" si="58"/>
        <v>23</v>
      </c>
      <c r="N158" s="40">
        <f t="shared" si="14"/>
        <v>2730</v>
      </c>
      <c r="O158" s="43">
        <f t="shared" si="15"/>
        <v>2479</v>
      </c>
    </row>
    <row r="159" spans="1:15" ht="22.95" customHeight="1" x14ac:dyDescent="0.3">
      <c r="A159" s="52" t="s">
        <v>77</v>
      </c>
      <c r="B159" s="44">
        <f t="shared" ref="B159:M159" si="59">B53+B54+B55+B56</f>
        <v>1401</v>
      </c>
      <c r="C159" s="39">
        <f t="shared" si="59"/>
        <v>1490</v>
      </c>
      <c r="D159" s="39">
        <f t="shared" si="59"/>
        <v>61</v>
      </c>
      <c r="E159" s="39">
        <f t="shared" si="59"/>
        <v>51</v>
      </c>
      <c r="F159" s="39">
        <f t="shared" si="59"/>
        <v>40</v>
      </c>
      <c r="G159" s="50">
        <f t="shared" si="59"/>
        <v>3043</v>
      </c>
      <c r="H159" s="44">
        <f t="shared" si="59"/>
        <v>1</v>
      </c>
      <c r="I159" s="39">
        <f t="shared" si="59"/>
        <v>0</v>
      </c>
      <c r="J159" s="39">
        <f t="shared" si="59"/>
        <v>0</v>
      </c>
      <c r="K159" s="45">
        <f t="shared" si="59"/>
        <v>0</v>
      </c>
      <c r="L159" s="144">
        <f t="shared" si="59"/>
        <v>23</v>
      </c>
      <c r="M159" s="50">
        <f t="shared" si="59"/>
        <v>24</v>
      </c>
      <c r="N159" s="40">
        <f t="shared" si="14"/>
        <v>3067</v>
      </c>
      <c r="O159" s="43">
        <f t="shared" si="15"/>
        <v>2755</v>
      </c>
    </row>
    <row r="160" spans="1:15" ht="22.95" customHeight="1" x14ac:dyDescent="0.3">
      <c r="A160" s="52" t="s">
        <v>75</v>
      </c>
      <c r="B160" s="44">
        <f t="shared" ref="B160:M160" si="60">B54+B55+B56+B57</f>
        <v>1498</v>
      </c>
      <c r="C160" s="39">
        <f t="shared" si="60"/>
        <v>1613</v>
      </c>
      <c r="D160" s="39">
        <f t="shared" si="60"/>
        <v>49</v>
      </c>
      <c r="E160" s="39">
        <f t="shared" si="60"/>
        <v>53</v>
      </c>
      <c r="F160" s="39">
        <f t="shared" si="60"/>
        <v>36</v>
      </c>
      <c r="G160" s="50">
        <f t="shared" si="60"/>
        <v>3249</v>
      </c>
      <c r="H160" s="44">
        <f t="shared" si="60"/>
        <v>1</v>
      </c>
      <c r="I160" s="39">
        <f t="shared" si="60"/>
        <v>0</v>
      </c>
      <c r="J160" s="39">
        <f t="shared" si="60"/>
        <v>0</v>
      </c>
      <c r="K160" s="45">
        <f t="shared" si="60"/>
        <v>0</v>
      </c>
      <c r="L160" s="144">
        <f t="shared" si="60"/>
        <v>21</v>
      </c>
      <c r="M160" s="50">
        <f t="shared" si="60"/>
        <v>22</v>
      </c>
      <c r="N160" s="40">
        <f t="shared" si="14"/>
        <v>3271</v>
      </c>
      <c r="O160" s="43">
        <f t="shared" si="15"/>
        <v>2867.5</v>
      </c>
    </row>
    <row r="161" spans="1:15" ht="22.95" customHeight="1" x14ac:dyDescent="0.3">
      <c r="A161" s="52" t="s">
        <v>76</v>
      </c>
      <c r="B161" s="44">
        <f t="shared" ref="B161:M161" si="61">B55+B56+B57+B58</f>
        <v>1486</v>
      </c>
      <c r="C161" s="39">
        <f t="shared" si="61"/>
        <v>1488</v>
      </c>
      <c r="D161" s="39">
        <f t="shared" si="61"/>
        <v>40</v>
      </c>
      <c r="E161" s="39">
        <f t="shared" si="61"/>
        <v>64</v>
      </c>
      <c r="F161" s="39">
        <f t="shared" si="61"/>
        <v>40</v>
      </c>
      <c r="G161" s="50">
        <f t="shared" si="61"/>
        <v>3118</v>
      </c>
      <c r="H161" s="44">
        <f t="shared" si="61"/>
        <v>2</v>
      </c>
      <c r="I161" s="39">
        <f t="shared" si="61"/>
        <v>0</v>
      </c>
      <c r="J161" s="39">
        <f t="shared" si="61"/>
        <v>0</v>
      </c>
      <c r="K161" s="45">
        <f t="shared" si="61"/>
        <v>0</v>
      </c>
      <c r="L161" s="144">
        <f t="shared" si="61"/>
        <v>17</v>
      </c>
      <c r="M161" s="50">
        <f t="shared" si="61"/>
        <v>19</v>
      </c>
      <c r="N161" s="40">
        <f t="shared" si="14"/>
        <v>3137</v>
      </c>
      <c r="O161" s="43">
        <f t="shared" si="15"/>
        <v>2799</v>
      </c>
    </row>
    <row r="162" spans="1:15" ht="22.95" customHeight="1" x14ac:dyDescent="0.3">
      <c r="A162" s="52" t="s">
        <v>70</v>
      </c>
      <c r="B162" s="44">
        <f t="shared" ref="B162:M162" si="62">B56+B57+B58+B59</f>
        <v>1436</v>
      </c>
      <c r="C162" s="39">
        <f t="shared" si="62"/>
        <v>1345</v>
      </c>
      <c r="D162" s="39">
        <f t="shared" si="62"/>
        <v>33</v>
      </c>
      <c r="E162" s="39">
        <f t="shared" si="62"/>
        <v>69</v>
      </c>
      <c r="F162" s="39">
        <f t="shared" si="62"/>
        <v>31</v>
      </c>
      <c r="G162" s="50">
        <f t="shared" si="62"/>
        <v>2914</v>
      </c>
      <c r="H162" s="44">
        <f t="shared" si="62"/>
        <v>2</v>
      </c>
      <c r="I162" s="39">
        <f t="shared" si="62"/>
        <v>0</v>
      </c>
      <c r="J162" s="39">
        <f t="shared" si="62"/>
        <v>0</v>
      </c>
      <c r="K162" s="45">
        <f t="shared" si="62"/>
        <v>0</v>
      </c>
      <c r="L162" s="144">
        <f t="shared" si="62"/>
        <v>10</v>
      </c>
      <c r="M162" s="50">
        <f t="shared" si="62"/>
        <v>12</v>
      </c>
      <c r="N162" s="40">
        <f t="shared" si="14"/>
        <v>2926</v>
      </c>
      <c r="O162" s="43">
        <f t="shared" si="15"/>
        <v>2585.5</v>
      </c>
    </row>
    <row r="163" spans="1:15" ht="22.95" customHeight="1" x14ac:dyDescent="0.3">
      <c r="A163" s="52" t="s">
        <v>71</v>
      </c>
      <c r="B163" s="44">
        <f t="shared" ref="B163:M163" si="63">B57+B58+B59+B60</f>
        <v>1330</v>
      </c>
      <c r="C163" s="39">
        <f t="shared" si="63"/>
        <v>1185</v>
      </c>
      <c r="D163" s="39">
        <f t="shared" si="63"/>
        <v>31</v>
      </c>
      <c r="E163" s="39">
        <f t="shared" si="63"/>
        <v>62</v>
      </c>
      <c r="F163" s="39">
        <f t="shared" si="63"/>
        <v>30</v>
      </c>
      <c r="G163" s="50">
        <f t="shared" si="63"/>
        <v>2638</v>
      </c>
      <c r="H163" s="44">
        <f t="shared" si="63"/>
        <v>1</v>
      </c>
      <c r="I163" s="39">
        <f t="shared" si="63"/>
        <v>0</v>
      </c>
      <c r="J163" s="39">
        <f t="shared" si="63"/>
        <v>0</v>
      </c>
      <c r="K163" s="45">
        <f t="shared" si="63"/>
        <v>0</v>
      </c>
      <c r="L163" s="144">
        <f t="shared" si="63"/>
        <v>7</v>
      </c>
      <c r="M163" s="50">
        <f t="shared" si="63"/>
        <v>8</v>
      </c>
      <c r="N163" s="40">
        <f t="shared" si="14"/>
        <v>2646</v>
      </c>
      <c r="O163" s="43">
        <f t="shared" si="15"/>
        <v>2346.5</v>
      </c>
    </row>
    <row r="164" spans="1:15" ht="22.95" customHeight="1" x14ac:dyDescent="0.3">
      <c r="A164" s="52" t="s">
        <v>72</v>
      </c>
      <c r="B164" s="44">
        <f t="shared" ref="B164:M164" si="64">B58+B59+B60+B61</f>
        <v>1180</v>
      </c>
      <c r="C164" s="39">
        <f t="shared" si="64"/>
        <v>1044</v>
      </c>
      <c r="D164" s="39">
        <f t="shared" si="64"/>
        <v>30</v>
      </c>
      <c r="E164" s="39">
        <f t="shared" si="64"/>
        <v>53</v>
      </c>
      <c r="F164" s="39">
        <f t="shared" si="64"/>
        <v>35</v>
      </c>
      <c r="G164" s="50">
        <f t="shared" si="64"/>
        <v>2342</v>
      </c>
      <c r="H164" s="44">
        <f t="shared" si="64"/>
        <v>1</v>
      </c>
      <c r="I164" s="39">
        <f t="shared" si="64"/>
        <v>0</v>
      </c>
      <c r="J164" s="39">
        <f t="shared" si="64"/>
        <v>0</v>
      </c>
      <c r="K164" s="45">
        <f t="shared" si="64"/>
        <v>0</v>
      </c>
      <c r="L164" s="144">
        <f t="shared" si="64"/>
        <v>4</v>
      </c>
      <c r="M164" s="50">
        <f t="shared" si="64"/>
        <v>5</v>
      </c>
      <c r="N164" s="40">
        <f t="shared" si="14"/>
        <v>2347</v>
      </c>
      <c r="O164" s="43">
        <f t="shared" si="15"/>
        <v>2096</v>
      </c>
    </row>
    <row r="165" spans="1:15" ht="22.95" customHeight="1" x14ac:dyDescent="0.3">
      <c r="A165" s="52" t="s">
        <v>73</v>
      </c>
      <c r="B165" s="44">
        <f t="shared" ref="B165:M165" si="65">B59+B60+B61+B62</f>
        <v>1022</v>
      </c>
      <c r="C165" s="39">
        <f t="shared" si="65"/>
        <v>971</v>
      </c>
      <c r="D165" s="39">
        <f t="shared" si="65"/>
        <v>28</v>
      </c>
      <c r="E165" s="39">
        <f t="shared" si="65"/>
        <v>41</v>
      </c>
      <c r="F165" s="39">
        <f t="shared" si="65"/>
        <v>37</v>
      </c>
      <c r="G165" s="50">
        <f t="shared" si="65"/>
        <v>2099</v>
      </c>
      <c r="H165" s="44">
        <f t="shared" si="65"/>
        <v>0</v>
      </c>
      <c r="I165" s="39">
        <f t="shared" si="65"/>
        <v>0</v>
      </c>
      <c r="J165" s="39">
        <f t="shared" si="65"/>
        <v>0</v>
      </c>
      <c r="K165" s="45">
        <f t="shared" si="65"/>
        <v>0</v>
      </c>
      <c r="L165" s="144">
        <f t="shared" si="65"/>
        <v>3</v>
      </c>
      <c r="M165" s="50">
        <f t="shared" si="65"/>
        <v>3</v>
      </c>
      <c r="N165" s="40">
        <f t="shared" si="14"/>
        <v>2102</v>
      </c>
      <c r="O165" s="43">
        <f t="shared" si="15"/>
        <v>1863</v>
      </c>
    </row>
    <row r="166" spans="1:15" ht="22.95" customHeight="1" x14ac:dyDescent="0.3">
      <c r="A166" s="52" t="s">
        <v>74</v>
      </c>
      <c r="B166" s="44">
        <f t="shared" ref="B166:M166" si="66">B60+B61+B62+B63</f>
        <v>872</v>
      </c>
      <c r="C166" s="39">
        <f t="shared" si="66"/>
        <v>946</v>
      </c>
      <c r="D166" s="39">
        <f t="shared" si="66"/>
        <v>28</v>
      </c>
      <c r="E166" s="39">
        <f t="shared" si="66"/>
        <v>34</v>
      </c>
      <c r="F166" s="39">
        <f t="shared" si="66"/>
        <v>40</v>
      </c>
      <c r="G166" s="50">
        <f t="shared" si="66"/>
        <v>1920</v>
      </c>
      <c r="H166" s="44">
        <f t="shared" si="66"/>
        <v>0</v>
      </c>
      <c r="I166" s="39">
        <f t="shared" si="66"/>
        <v>0</v>
      </c>
      <c r="J166" s="39">
        <f t="shared" si="66"/>
        <v>0</v>
      </c>
      <c r="K166" s="45">
        <f t="shared" si="66"/>
        <v>0</v>
      </c>
      <c r="L166" s="144">
        <f t="shared" si="66"/>
        <v>2</v>
      </c>
      <c r="M166" s="50">
        <f t="shared" si="66"/>
        <v>2</v>
      </c>
      <c r="N166" s="40">
        <f t="shared" si="14"/>
        <v>1922</v>
      </c>
      <c r="O166" s="43">
        <f t="shared" si="15"/>
        <v>1685</v>
      </c>
    </row>
    <row r="167" spans="1:15" ht="22.95" customHeight="1" x14ac:dyDescent="0.3">
      <c r="A167" s="52" t="s">
        <v>262</v>
      </c>
      <c r="B167" s="44">
        <f t="shared" ref="B167:M167" si="67">B61+B62+B63+B64</f>
        <v>732</v>
      </c>
      <c r="C167" s="39">
        <f t="shared" si="67"/>
        <v>766</v>
      </c>
      <c r="D167" s="39">
        <f t="shared" si="67"/>
        <v>27</v>
      </c>
      <c r="E167" s="39">
        <f t="shared" si="67"/>
        <v>30</v>
      </c>
      <c r="F167" s="39">
        <f t="shared" si="67"/>
        <v>40</v>
      </c>
      <c r="G167" s="50">
        <f t="shared" si="67"/>
        <v>1595</v>
      </c>
      <c r="H167" s="44">
        <f t="shared" si="67"/>
        <v>0</v>
      </c>
      <c r="I167" s="39">
        <f t="shared" si="67"/>
        <v>0</v>
      </c>
      <c r="J167" s="39">
        <f t="shared" si="67"/>
        <v>0</v>
      </c>
      <c r="K167" s="45">
        <f t="shared" si="67"/>
        <v>0</v>
      </c>
      <c r="L167" s="144">
        <f t="shared" si="67"/>
        <v>2</v>
      </c>
      <c r="M167" s="50">
        <f t="shared" si="67"/>
        <v>2</v>
      </c>
      <c r="N167" s="40">
        <f t="shared" si="14"/>
        <v>1597</v>
      </c>
      <c r="O167" s="43">
        <f t="shared" si="15"/>
        <v>1441.5</v>
      </c>
    </row>
    <row r="168" spans="1:15" ht="22.95" customHeight="1" x14ac:dyDescent="0.3">
      <c r="A168" s="52" t="s">
        <v>263</v>
      </c>
      <c r="B168" s="44">
        <f t="shared" ref="B168:M168" si="68">B62+B63+B64+B65</f>
        <v>620</v>
      </c>
      <c r="C168" s="39">
        <f t="shared" si="68"/>
        <v>578</v>
      </c>
      <c r="D168" s="39">
        <f t="shared" si="68"/>
        <v>40</v>
      </c>
      <c r="E168" s="39">
        <f t="shared" si="68"/>
        <v>32</v>
      </c>
      <c r="F168" s="39">
        <f t="shared" si="68"/>
        <v>43</v>
      </c>
      <c r="G168" s="50">
        <f t="shared" si="68"/>
        <v>1313</v>
      </c>
      <c r="H168" s="44">
        <f t="shared" si="68"/>
        <v>0</v>
      </c>
      <c r="I168" s="39">
        <f t="shared" si="68"/>
        <v>0</v>
      </c>
      <c r="J168" s="39">
        <f t="shared" si="68"/>
        <v>0</v>
      </c>
      <c r="K168" s="45">
        <f t="shared" si="68"/>
        <v>0</v>
      </c>
      <c r="L168" s="144">
        <f t="shared" si="68"/>
        <v>3</v>
      </c>
      <c r="M168" s="50">
        <f t="shared" si="68"/>
        <v>3</v>
      </c>
      <c r="N168" s="40">
        <f t="shared" si="14"/>
        <v>1316</v>
      </c>
      <c r="O168" s="43">
        <f t="shared" si="15"/>
        <v>1282.5</v>
      </c>
    </row>
    <row r="169" spans="1:15" ht="22.95" customHeight="1" x14ac:dyDescent="0.3">
      <c r="A169" s="52" t="s">
        <v>264</v>
      </c>
      <c r="B169" s="44">
        <f t="shared" ref="B169:M169" si="69">B63+B64+B65+B66</f>
        <v>532</v>
      </c>
      <c r="C169" s="39">
        <f t="shared" si="69"/>
        <v>454</v>
      </c>
      <c r="D169" s="39">
        <f t="shared" si="69"/>
        <v>45</v>
      </c>
      <c r="E169" s="39">
        <f t="shared" si="69"/>
        <v>28</v>
      </c>
      <c r="F169" s="39">
        <f t="shared" si="69"/>
        <v>42</v>
      </c>
      <c r="G169" s="50">
        <f t="shared" si="69"/>
        <v>1101</v>
      </c>
      <c r="H169" s="44">
        <f t="shared" si="69"/>
        <v>0</v>
      </c>
      <c r="I169" s="39">
        <f t="shared" si="69"/>
        <v>0</v>
      </c>
      <c r="J169" s="39">
        <f t="shared" si="69"/>
        <v>0</v>
      </c>
      <c r="K169" s="45">
        <f t="shared" si="69"/>
        <v>0</v>
      </c>
      <c r="L169" s="144">
        <f t="shared" si="69"/>
        <v>3</v>
      </c>
      <c r="M169" s="50">
        <f t="shared" si="69"/>
        <v>3</v>
      </c>
      <c r="N169" s="40">
        <f t="shared" si="14"/>
        <v>1104</v>
      </c>
      <c r="O169" s="43">
        <f t="shared" si="15"/>
        <v>1123.5</v>
      </c>
    </row>
    <row r="170" spans="1:15" ht="22.95" customHeight="1" x14ac:dyDescent="0.3">
      <c r="A170" s="52" t="s">
        <v>265</v>
      </c>
      <c r="B170" s="44">
        <f t="shared" ref="B170:M170" si="70">B64+B65+B66+B67</f>
        <v>499</v>
      </c>
      <c r="C170" s="39">
        <f t="shared" si="70"/>
        <v>306</v>
      </c>
      <c r="D170" s="39">
        <f t="shared" si="70"/>
        <v>49</v>
      </c>
      <c r="E170" s="39">
        <f t="shared" si="70"/>
        <v>28</v>
      </c>
      <c r="F170" s="39">
        <f t="shared" si="70"/>
        <v>45</v>
      </c>
      <c r="G170" s="50">
        <f t="shared" si="70"/>
        <v>927</v>
      </c>
      <c r="H170" s="44">
        <f t="shared" si="70"/>
        <v>0</v>
      </c>
      <c r="I170" s="39">
        <f t="shared" si="70"/>
        <v>0</v>
      </c>
      <c r="J170" s="39">
        <f t="shared" si="70"/>
        <v>0</v>
      </c>
      <c r="K170" s="45">
        <f t="shared" si="70"/>
        <v>0</v>
      </c>
      <c r="L170" s="144">
        <f t="shared" si="70"/>
        <v>3</v>
      </c>
      <c r="M170" s="50">
        <f t="shared" si="70"/>
        <v>3</v>
      </c>
      <c r="N170" s="40">
        <f t="shared" si="14"/>
        <v>930</v>
      </c>
      <c r="O170" s="43">
        <f t="shared" si="15"/>
        <v>1036</v>
      </c>
    </row>
    <row r="171" spans="1:15" ht="22.95" customHeight="1" x14ac:dyDescent="0.3">
      <c r="A171" s="52" t="s">
        <v>266</v>
      </c>
      <c r="B171" s="44">
        <f t="shared" ref="B171:M171" si="71">B65+B66+B67+B68</f>
        <v>467</v>
      </c>
      <c r="C171" s="39">
        <f t="shared" si="71"/>
        <v>276</v>
      </c>
      <c r="D171" s="39">
        <f t="shared" si="71"/>
        <v>56</v>
      </c>
      <c r="E171" s="39">
        <f t="shared" si="71"/>
        <v>26</v>
      </c>
      <c r="F171" s="39">
        <f t="shared" si="71"/>
        <v>52</v>
      </c>
      <c r="G171" s="50">
        <f t="shared" si="71"/>
        <v>877</v>
      </c>
      <c r="H171" s="44">
        <f t="shared" si="71"/>
        <v>0</v>
      </c>
      <c r="I171" s="39">
        <f t="shared" si="71"/>
        <v>0</v>
      </c>
      <c r="J171" s="39">
        <f t="shared" si="71"/>
        <v>0</v>
      </c>
      <c r="K171" s="45">
        <f t="shared" si="71"/>
        <v>0</v>
      </c>
      <c r="L171" s="144">
        <f t="shared" si="71"/>
        <v>1</v>
      </c>
      <c r="M171" s="50">
        <f t="shared" si="71"/>
        <v>1</v>
      </c>
      <c r="N171" s="40">
        <f t="shared" si="14"/>
        <v>878</v>
      </c>
      <c r="O171" s="43">
        <f t="shared" si="15"/>
        <v>1009</v>
      </c>
    </row>
    <row r="172" spans="1:15" ht="22.95" customHeight="1" x14ac:dyDescent="0.3">
      <c r="A172" s="52" t="s">
        <v>267</v>
      </c>
      <c r="B172" s="44">
        <f t="shared" ref="B172:M172" si="72">B66+B67+B68+B69</f>
        <v>470</v>
      </c>
      <c r="C172" s="39">
        <f t="shared" si="72"/>
        <v>262</v>
      </c>
      <c r="D172" s="39">
        <f t="shared" si="72"/>
        <v>42</v>
      </c>
      <c r="E172" s="39">
        <f t="shared" si="72"/>
        <v>23</v>
      </c>
      <c r="F172" s="39">
        <f t="shared" si="72"/>
        <v>47</v>
      </c>
      <c r="G172" s="50">
        <f t="shared" si="72"/>
        <v>844</v>
      </c>
      <c r="H172" s="44">
        <f t="shared" si="72"/>
        <v>0</v>
      </c>
      <c r="I172" s="39">
        <f t="shared" si="72"/>
        <v>0</v>
      </c>
      <c r="J172" s="39">
        <f t="shared" si="72"/>
        <v>0</v>
      </c>
      <c r="K172" s="45">
        <f t="shared" si="72"/>
        <v>0</v>
      </c>
      <c r="L172" s="144">
        <f t="shared" si="72"/>
        <v>1</v>
      </c>
      <c r="M172" s="50">
        <f t="shared" si="72"/>
        <v>1</v>
      </c>
      <c r="N172" s="40">
        <f t="shared" si="14"/>
        <v>845</v>
      </c>
      <c r="O172" s="43">
        <f t="shared" si="15"/>
        <v>952.5</v>
      </c>
    </row>
    <row r="173" spans="1:15" ht="22.95" customHeight="1" x14ac:dyDescent="0.3">
      <c r="A173" s="52" t="s">
        <v>268</v>
      </c>
      <c r="B173" s="44">
        <f t="shared" ref="B173:M173" si="73">B67+B68+B69+B70</f>
        <v>461</v>
      </c>
      <c r="C173" s="39">
        <f t="shared" si="73"/>
        <v>236</v>
      </c>
      <c r="D173" s="39">
        <f t="shared" si="73"/>
        <v>41</v>
      </c>
      <c r="E173" s="39">
        <f t="shared" si="73"/>
        <v>25</v>
      </c>
      <c r="F173" s="39">
        <f t="shared" si="73"/>
        <v>55</v>
      </c>
      <c r="G173" s="50">
        <f t="shared" si="73"/>
        <v>818</v>
      </c>
      <c r="H173" s="44">
        <f t="shared" si="73"/>
        <v>0</v>
      </c>
      <c r="I173" s="39">
        <f t="shared" si="73"/>
        <v>0</v>
      </c>
      <c r="J173" s="39">
        <f t="shared" si="73"/>
        <v>0</v>
      </c>
      <c r="K173" s="45">
        <f t="shared" si="73"/>
        <v>0</v>
      </c>
      <c r="L173" s="144">
        <f t="shared" si="73"/>
        <v>1</v>
      </c>
      <c r="M173" s="50">
        <f t="shared" si="73"/>
        <v>1</v>
      </c>
      <c r="N173" s="40">
        <f t="shared" si="14"/>
        <v>819</v>
      </c>
      <c r="O173" s="43">
        <f t="shared" si="15"/>
        <v>971</v>
      </c>
    </row>
    <row r="174" spans="1:15" ht="22.95" customHeight="1" x14ac:dyDescent="0.3">
      <c r="A174" s="52" t="s">
        <v>269</v>
      </c>
      <c r="B174" s="44">
        <f t="shared" ref="B174:M174" si="74">B68+B69+B70+B71</f>
        <v>429</v>
      </c>
      <c r="C174" s="39">
        <f t="shared" si="74"/>
        <v>192</v>
      </c>
      <c r="D174" s="39">
        <f t="shared" si="74"/>
        <v>36</v>
      </c>
      <c r="E174" s="39">
        <f t="shared" si="74"/>
        <v>25</v>
      </c>
      <c r="F174" s="39">
        <f t="shared" si="74"/>
        <v>57</v>
      </c>
      <c r="G174" s="50">
        <f t="shared" si="74"/>
        <v>739</v>
      </c>
      <c r="H174" s="44">
        <f t="shared" si="74"/>
        <v>0</v>
      </c>
      <c r="I174" s="39">
        <f t="shared" si="74"/>
        <v>0</v>
      </c>
      <c r="J174" s="39">
        <f t="shared" si="74"/>
        <v>0</v>
      </c>
      <c r="K174" s="45">
        <f t="shared" si="74"/>
        <v>0</v>
      </c>
      <c r="L174" s="144">
        <f t="shared" si="74"/>
        <v>1</v>
      </c>
      <c r="M174" s="50">
        <f t="shared" si="74"/>
        <v>1</v>
      </c>
      <c r="N174" s="40">
        <f t="shared" si="14"/>
        <v>740</v>
      </c>
      <c r="O174" s="43">
        <f t="shared" si="15"/>
        <v>918.5</v>
      </c>
    </row>
    <row r="175" spans="1:15" ht="22.95" customHeight="1" x14ac:dyDescent="0.3">
      <c r="A175" s="54" t="s">
        <v>241</v>
      </c>
      <c r="B175" s="44">
        <f t="shared" ref="B175:M175" si="75">B69+B70+B71+B72</f>
        <v>380</v>
      </c>
      <c r="C175" s="39">
        <f t="shared" si="75"/>
        <v>215</v>
      </c>
      <c r="D175" s="39">
        <f t="shared" si="75"/>
        <v>29</v>
      </c>
      <c r="E175" s="39">
        <f t="shared" si="75"/>
        <v>32</v>
      </c>
      <c r="F175" s="39">
        <f t="shared" si="75"/>
        <v>52</v>
      </c>
      <c r="G175" s="50">
        <f t="shared" si="75"/>
        <v>708</v>
      </c>
      <c r="H175" s="44">
        <f t="shared" si="75"/>
        <v>0</v>
      </c>
      <c r="I175" s="39">
        <f t="shared" si="75"/>
        <v>0</v>
      </c>
      <c r="J175" s="39">
        <f t="shared" si="75"/>
        <v>0</v>
      </c>
      <c r="K175" s="45">
        <f t="shared" si="75"/>
        <v>0</v>
      </c>
      <c r="L175" s="144">
        <f t="shared" si="75"/>
        <v>2</v>
      </c>
      <c r="M175" s="50">
        <f t="shared" si="75"/>
        <v>2</v>
      </c>
      <c r="N175" s="40">
        <f t="shared" si="14"/>
        <v>710</v>
      </c>
      <c r="O175" s="43">
        <f t="shared" si="15"/>
        <v>877</v>
      </c>
    </row>
    <row r="176" spans="1:15" ht="22.95" customHeight="1" x14ac:dyDescent="0.3">
      <c r="A176" s="52" t="s">
        <v>242</v>
      </c>
      <c r="B176" s="44">
        <f t="shared" ref="B176:M176" si="76">B70+B71+B72+B73</f>
        <v>280</v>
      </c>
      <c r="C176" s="39">
        <f t="shared" si="76"/>
        <v>209</v>
      </c>
      <c r="D176" s="39">
        <f t="shared" si="76"/>
        <v>32</v>
      </c>
      <c r="E176" s="39">
        <f t="shared" si="76"/>
        <v>37</v>
      </c>
      <c r="F176" s="39">
        <f t="shared" si="76"/>
        <v>52</v>
      </c>
      <c r="G176" s="50">
        <f t="shared" si="76"/>
        <v>610</v>
      </c>
      <c r="H176" s="44">
        <f t="shared" si="76"/>
        <v>0</v>
      </c>
      <c r="I176" s="39">
        <f t="shared" si="76"/>
        <v>0</v>
      </c>
      <c r="J176" s="39">
        <f t="shared" si="76"/>
        <v>0</v>
      </c>
      <c r="K176" s="45">
        <f t="shared" si="76"/>
        <v>0</v>
      </c>
      <c r="L176" s="144">
        <f t="shared" si="76"/>
        <v>1</v>
      </c>
      <c r="M176" s="50">
        <f t="shared" si="76"/>
        <v>1</v>
      </c>
      <c r="N176" s="40">
        <f t="shared" si="14"/>
        <v>611</v>
      </c>
      <c r="O176" s="43">
        <f t="shared" si="15"/>
        <v>785.5</v>
      </c>
    </row>
    <row r="177" spans="1:15" ht="22.95" customHeight="1" x14ac:dyDescent="0.3">
      <c r="A177" s="52" t="s">
        <v>243</v>
      </c>
      <c r="B177" s="44">
        <f t="shared" ref="B177:M177" si="77">B71+B72+B73+B74</f>
        <v>233</v>
      </c>
      <c r="C177" s="39">
        <f t="shared" si="77"/>
        <v>202</v>
      </c>
      <c r="D177" s="39">
        <f t="shared" si="77"/>
        <v>34</v>
      </c>
      <c r="E177" s="39">
        <f t="shared" si="77"/>
        <v>35</v>
      </c>
      <c r="F177" s="39">
        <f t="shared" si="77"/>
        <v>39</v>
      </c>
      <c r="G177" s="50">
        <f t="shared" si="77"/>
        <v>543</v>
      </c>
      <c r="H177" s="44">
        <f t="shared" si="77"/>
        <v>0</v>
      </c>
      <c r="I177" s="39">
        <f t="shared" si="77"/>
        <v>0</v>
      </c>
      <c r="J177" s="39">
        <f t="shared" si="77"/>
        <v>0</v>
      </c>
      <c r="K177" s="45">
        <f t="shared" si="77"/>
        <v>0</v>
      </c>
      <c r="L177" s="144">
        <f t="shared" si="77"/>
        <v>1</v>
      </c>
      <c r="M177" s="50">
        <f t="shared" si="77"/>
        <v>1</v>
      </c>
      <c r="N177" s="40">
        <f t="shared" si="14"/>
        <v>544</v>
      </c>
      <c r="O177" s="43">
        <f t="shared" si="15"/>
        <v>673.5</v>
      </c>
    </row>
    <row r="178" spans="1:15" ht="22.95" customHeight="1" x14ac:dyDescent="0.3">
      <c r="A178" s="52" t="s">
        <v>244</v>
      </c>
      <c r="B178" s="44">
        <f t="shared" ref="B178:M178" si="78">B72+B73+B74+B75</f>
        <v>190</v>
      </c>
      <c r="C178" s="39">
        <f t="shared" si="78"/>
        <v>197</v>
      </c>
      <c r="D178" s="39">
        <f t="shared" si="78"/>
        <v>39</v>
      </c>
      <c r="E178" s="39">
        <f t="shared" si="78"/>
        <v>32</v>
      </c>
      <c r="F178" s="39">
        <f t="shared" si="78"/>
        <v>34</v>
      </c>
      <c r="G178" s="50">
        <f t="shared" si="78"/>
        <v>492</v>
      </c>
      <c r="H178" s="44">
        <f t="shared" si="78"/>
        <v>0</v>
      </c>
      <c r="I178" s="39">
        <f t="shared" si="78"/>
        <v>0</v>
      </c>
      <c r="J178" s="39">
        <f t="shared" si="78"/>
        <v>0</v>
      </c>
      <c r="K178" s="45">
        <f t="shared" si="78"/>
        <v>0</v>
      </c>
      <c r="L178" s="144">
        <f t="shared" si="78"/>
        <v>2</v>
      </c>
      <c r="M178" s="50">
        <f t="shared" si="78"/>
        <v>2</v>
      </c>
      <c r="N178" s="40">
        <f t="shared" si="14"/>
        <v>494</v>
      </c>
      <c r="O178" s="43">
        <f t="shared" si="15"/>
        <v>612</v>
      </c>
    </row>
    <row r="179" spans="1:15" ht="22.95" customHeight="1" x14ac:dyDescent="0.3">
      <c r="A179" s="52" t="s">
        <v>245</v>
      </c>
      <c r="B179" s="44">
        <f t="shared" ref="B179:M179" si="79">B73+B74+B75+B76</f>
        <v>176</v>
      </c>
      <c r="C179" s="39">
        <f t="shared" si="79"/>
        <v>156</v>
      </c>
      <c r="D179" s="39">
        <f t="shared" si="79"/>
        <v>42</v>
      </c>
      <c r="E179" s="39">
        <f t="shared" si="79"/>
        <v>25</v>
      </c>
      <c r="F179" s="39">
        <f t="shared" si="79"/>
        <v>31</v>
      </c>
      <c r="G179" s="50">
        <f t="shared" si="79"/>
        <v>430</v>
      </c>
      <c r="H179" s="44">
        <f t="shared" si="79"/>
        <v>0</v>
      </c>
      <c r="I179" s="39">
        <f t="shared" si="79"/>
        <v>0</v>
      </c>
      <c r="J179" s="39">
        <f t="shared" si="79"/>
        <v>0</v>
      </c>
      <c r="K179" s="45">
        <f t="shared" si="79"/>
        <v>0</v>
      </c>
      <c r="L179" s="144">
        <f t="shared" si="79"/>
        <v>1</v>
      </c>
      <c r="M179" s="50">
        <f t="shared" si="79"/>
        <v>1</v>
      </c>
      <c r="N179" s="40">
        <f t="shared" ref="N179:N206" si="80">G179+M179</f>
        <v>431</v>
      </c>
      <c r="O179" s="43">
        <f t="shared" ref="O179:O206" si="81">B179*1+C179*0.5+D179*1.5+E179*3+F179*4.5+H179*0.5+I179*1.5+J179*3+K179*4+L179*8</f>
        <v>539.5</v>
      </c>
    </row>
    <row r="180" spans="1:15" s="138" customFormat="1" ht="22.95" customHeight="1" x14ac:dyDescent="0.3">
      <c r="A180" s="52" t="s">
        <v>246</v>
      </c>
      <c r="B180" s="122">
        <f t="shared" ref="B180:M180" si="82">B74+B75+B76+B77</f>
        <v>189</v>
      </c>
      <c r="C180" s="123">
        <f t="shared" si="82"/>
        <v>123</v>
      </c>
      <c r="D180" s="123">
        <f t="shared" si="82"/>
        <v>40</v>
      </c>
      <c r="E180" s="123">
        <f t="shared" si="82"/>
        <v>16</v>
      </c>
      <c r="F180" s="123">
        <f t="shared" si="82"/>
        <v>30</v>
      </c>
      <c r="G180" s="125">
        <f t="shared" si="82"/>
        <v>398</v>
      </c>
      <c r="H180" s="122">
        <f t="shared" si="82"/>
        <v>0</v>
      </c>
      <c r="I180" s="123">
        <f t="shared" si="82"/>
        <v>0</v>
      </c>
      <c r="J180" s="123">
        <f t="shared" si="82"/>
        <v>0</v>
      </c>
      <c r="K180" s="124">
        <f t="shared" si="82"/>
        <v>0</v>
      </c>
      <c r="L180" s="146">
        <f t="shared" si="82"/>
        <v>1</v>
      </c>
      <c r="M180" s="125">
        <f t="shared" si="82"/>
        <v>1</v>
      </c>
      <c r="N180" s="126">
        <f t="shared" si="80"/>
        <v>399</v>
      </c>
      <c r="O180" s="43">
        <f t="shared" si="81"/>
        <v>501.5</v>
      </c>
    </row>
    <row r="181" spans="1:15" ht="22.95" customHeight="1" x14ac:dyDescent="0.3">
      <c r="A181" s="52" t="s">
        <v>247</v>
      </c>
      <c r="B181" s="44">
        <f t="shared" ref="B181:M181" si="83">B75+B76+B77+B78</f>
        <v>192</v>
      </c>
      <c r="C181" s="39">
        <f t="shared" si="83"/>
        <v>117</v>
      </c>
      <c r="D181" s="39">
        <f t="shared" si="83"/>
        <v>34</v>
      </c>
      <c r="E181" s="39">
        <f t="shared" si="83"/>
        <v>13</v>
      </c>
      <c r="F181" s="39">
        <f t="shared" si="83"/>
        <v>34</v>
      </c>
      <c r="G181" s="50">
        <f t="shared" si="83"/>
        <v>390</v>
      </c>
      <c r="H181" s="44">
        <f t="shared" si="83"/>
        <v>0</v>
      </c>
      <c r="I181" s="39">
        <f t="shared" si="83"/>
        <v>0</v>
      </c>
      <c r="J181" s="39">
        <f t="shared" si="83"/>
        <v>0</v>
      </c>
      <c r="K181" s="45">
        <f t="shared" si="83"/>
        <v>0</v>
      </c>
      <c r="L181" s="144">
        <f t="shared" si="83"/>
        <v>1</v>
      </c>
      <c r="M181" s="50">
        <f t="shared" si="83"/>
        <v>1</v>
      </c>
      <c r="N181" s="40">
        <f t="shared" si="80"/>
        <v>391</v>
      </c>
      <c r="O181" s="43">
        <f t="shared" si="81"/>
        <v>501.5</v>
      </c>
    </row>
    <row r="182" spans="1:15" ht="22.95" customHeight="1" x14ac:dyDescent="0.3">
      <c r="A182" s="52" t="s">
        <v>248</v>
      </c>
      <c r="B182" s="44">
        <f t="shared" ref="B182:M182" si="84">B76+B77+B78+B79</f>
        <v>179</v>
      </c>
      <c r="C182" s="39">
        <f t="shared" si="84"/>
        <v>117</v>
      </c>
      <c r="D182" s="39">
        <f t="shared" si="84"/>
        <v>33</v>
      </c>
      <c r="E182" s="39">
        <f t="shared" si="84"/>
        <v>12</v>
      </c>
      <c r="F182" s="39">
        <f t="shared" si="84"/>
        <v>35</v>
      </c>
      <c r="G182" s="50">
        <f t="shared" si="84"/>
        <v>376</v>
      </c>
      <c r="H182" s="44">
        <f t="shared" si="84"/>
        <v>0</v>
      </c>
      <c r="I182" s="39">
        <f t="shared" si="84"/>
        <v>0</v>
      </c>
      <c r="J182" s="39">
        <f t="shared" si="84"/>
        <v>0</v>
      </c>
      <c r="K182" s="45">
        <f t="shared" si="84"/>
        <v>0</v>
      </c>
      <c r="L182" s="144">
        <f t="shared" si="84"/>
        <v>1</v>
      </c>
      <c r="M182" s="50">
        <f t="shared" si="84"/>
        <v>1</v>
      </c>
      <c r="N182" s="40">
        <f t="shared" si="80"/>
        <v>377</v>
      </c>
      <c r="O182" s="43">
        <f t="shared" si="81"/>
        <v>488.5</v>
      </c>
    </row>
    <row r="183" spans="1:15" ht="22.95" customHeight="1" x14ac:dyDescent="0.3">
      <c r="A183" s="52" t="s">
        <v>249</v>
      </c>
      <c r="B183" s="44">
        <f t="shared" ref="B183:M183" si="85">B77+B78+B79+B80</f>
        <v>159</v>
      </c>
      <c r="C183" s="39">
        <f t="shared" si="85"/>
        <v>100</v>
      </c>
      <c r="D183" s="39">
        <f t="shared" si="85"/>
        <v>27</v>
      </c>
      <c r="E183" s="39">
        <f t="shared" si="85"/>
        <v>9</v>
      </c>
      <c r="F183" s="39">
        <f t="shared" si="85"/>
        <v>33</v>
      </c>
      <c r="G183" s="50">
        <f t="shared" si="85"/>
        <v>328</v>
      </c>
      <c r="H183" s="44">
        <f t="shared" si="85"/>
        <v>0</v>
      </c>
      <c r="I183" s="39">
        <f t="shared" si="85"/>
        <v>0</v>
      </c>
      <c r="J183" s="39">
        <f t="shared" si="85"/>
        <v>0</v>
      </c>
      <c r="K183" s="45">
        <f t="shared" si="85"/>
        <v>0</v>
      </c>
      <c r="L183" s="144">
        <f t="shared" si="85"/>
        <v>1</v>
      </c>
      <c r="M183" s="50">
        <f t="shared" si="85"/>
        <v>1</v>
      </c>
      <c r="N183" s="40">
        <f t="shared" si="80"/>
        <v>329</v>
      </c>
      <c r="O183" s="43">
        <f t="shared" si="81"/>
        <v>433</v>
      </c>
    </row>
    <row r="184" spans="1:15" ht="22.95" customHeight="1" x14ac:dyDescent="0.3">
      <c r="A184" s="52" t="s">
        <v>250</v>
      </c>
      <c r="B184" s="44">
        <f t="shared" ref="B184:M184" si="86">B78+B79+B80+B81</f>
        <v>145</v>
      </c>
      <c r="C184" s="39">
        <f t="shared" si="86"/>
        <v>87</v>
      </c>
      <c r="D184" s="39">
        <f t="shared" si="86"/>
        <v>26</v>
      </c>
      <c r="E184" s="39">
        <f t="shared" si="86"/>
        <v>8</v>
      </c>
      <c r="F184" s="39">
        <f t="shared" si="86"/>
        <v>31</v>
      </c>
      <c r="G184" s="50">
        <f t="shared" si="86"/>
        <v>297</v>
      </c>
      <c r="H184" s="44">
        <f t="shared" si="86"/>
        <v>0</v>
      </c>
      <c r="I184" s="39">
        <f t="shared" si="86"/>
        <v>0</v>
      </c>
      <c r="J184" s="39">
        <f t="shared" si="86"/>
        <v>0</v>
      </c>
      <c r="K184" s="45">
        <f t="shared" si="86"/>
        <v>0</v>
      </c>
      <c r="L184" s="144">
        <f t="shared" si="86"/>
        <v>1</v>
      </c>
      <c r="M184" s="50">
        <f t="shared" si="86"/>
        <v>1</v>
      </c>
      <c r="N184" s="40">
        <f t="shared" si="80"/>
        <v>298</v>
      </c>
      <c r="O184" s="43">
        <f t="shared" si="81"/>
        <v>399</v>
      </c>
    </row>
    <row r="185" spans="1:15" ht="22.95" customHeight="1" x14ac:dyDescent="0.3">
      <c r="A185" s="52" t="s">
        <v>251</v>
      </c>
      <c r="B185" s="44">
        <f t="shared" ref="B185:M185" si="87">B79+B80+B81+B82</f>
        <v>137</v>
      </c>
      <c r="C185" s="39">
        <f t="shared" si="87"/>
        <v>65</v>
      </c>
      <c r="D185" s="39">
        <f t="shared" si="87"/>
        <v>29</v>
      </c>
      <c r="E185" s="39">
        <f t="shared" si="87"/>
        <v>7</v>
      </c>
      <c r="F185" s="39">
        <f t="shared" si="87"/>
        <v>23</v>
      </c>
      <c r="G185" s="50">
        <f t="shared" si="87"/>
        <v>261</v>
      </c>
      <c r="H185" s="44">
        <f t="shared" si="87"/>
        <v>0</v>
      </c>
      <c r="I185" s="39">
        <f t="shared" si="87"/>
        <v>0</v>
      </c>
      <c r="J185" s="39">
        <f t="shared" si="87"/>
        <v>0</v>
      </c>
      <c r="K185" s="45">
        <f t="shared" si="87"/>
        <v>0</v>
      </c>
      <c r="L185" s="144">
        <f t="shared" si="87"/>
        <v>1</v>
      </c>
      <c r="M185" s="50">
        <f t="shared" si="87"/>
        <v>1</v>
      </c>
      <c r="N185" s="40">
        <f t="shared" si="80"/>
        <v>262</v>
      </c>
      <c r="O185" s="43">
        <f t="shared" si="81"/>
        <v>345.5</v>
      </c>
    </row>
    <row r="186" spans="1:15" ht="22.95" customHeight="1" x14ac:dyDescent="0.3">
      <c r="A186" s="52" t="s">
        <v>252</v>
      </c>
      <c r="B186" s="44">
        <f t="shared" ref="B186:M186" si="88">B80+B81+B82+B83</f>
        <v>129</v>
      </c>
      <c r="C186" s="39">
        <f t="shared" si="88"/>
        <v>37</v>
      </c>
      <c r="D186" s="39">
        <f t="shared" si="88"/>
        <v>25</v>
      </c>
      <c r="E186" s="39">
        <f t="shared" si="88"/>
        <v>6</v>
      </c>
      <c r="F186" s="39">
        <f t="shared" si="88"/>
        <v>18</v>
      </c>
      <c r="G186" s="50">
        <f t="shared" si="88"/>
        <v>215</v>
      </c>
      <c r="H186" s="44">
        <f t="shared" si="88"/>
        <v>0</v>
      </c>
      <c r="I186" s="39">
        <f t="shared" si="88"/>
        <v>0</v>
      </c>
      <c r="J186" s="39">
        <f t="shared" si="88"/>
        <v>0</v>
      </c>
      <c r="K186" s="45">
        <f t="shared" si="88"/>
        <v>0</v>
      </c>
      <c r="L186" s="144">
        <f t="shared" si="88"/>
        <v>0</v>
      </c>
      <c r="M186" s="50">
        <f t="shared" si="88"/>
        <v>0</v>
      </c>
      <c r="N186" s="40">
        <f t="shared" si="80"/>
        <v>215</v>
      </c>
      <c r="O186" s="43">
        <f t="shared" si="81"/>
        <v>284</v>
      </c>
    </row>
    <row r="187" spans="1:15" ht="22.95" customHeight="1" x14ac:dyDescent="0.3">
      <c r="A187" s="52" t="s">
        <v>253</v>
      </c>
      <c r="B187" s="44">
        <f t="shared" ref="B187:M187" si="89">B81+B82+B83+B84</f>
        <v>119</v>
      </c>
      <c r="C187" s="39">
        <f t="shared" si="89"/>
        <v>39</v>
      </c>
      <c r="D187" s="39">
        <f t="shared" si="89"/>
        <v>22</v>
      </c>
      <c r="E187" s="39">
        <f t="shared" si="89"/>
        <v>11</v>
      </c>
      <c r="F187" s="39">
        <f t="shared" si="89"/>
        <v>14</v>
      </c>
      <c r="G187" s="50">
        <f t="shared" si="89"/>
        <v>205</v>
      </c>
      <c r="H187" s="44">
        <f t="shared" si="89"/>
        <v>0</v>
      </c>
      <c r="I187" s="39">
        <f t="shared" si="89"/>
        <v>0</v>
      </c>
      <c r="J187" s="39">
        <f t="shared" si="89"/>
        <v>0</v>
      </c>
      <c r="K187" s="45">
        <f t="shared" si="89"/>
        <v>0</v>
      </c>
      <c r="L187" s="144">
        <f t="shared" si="89"/>
        <v>0</v>
      </c>
      <c r="M187" s="50">
        <f t="shared" si="89"/>
        <v>0</v>
      </c>
      <c r="N187" s="40">
        <f t="shared" si="80"/>
        <v>205</v>
      </c>
      <c r="O187" s="43">
        <f t="shared" si="81"/>
        <v>267.5</v>
      </c>
    </row>
    <row r="188" spans="1:15" ht="22.95" customHeight="1" x14ac:dyDescent="0.3">
      <c r="A188" s="52" t="s">
        <v>254</v>
      </c>
      <c r="B188" s="44">
        <f t="shared" ref="B188:M188" si="90">B82+B83+B84+B85</f>
        <v>107</v>
      </c>
      <c r="C188" s="39">
        <f t="shared" si="90"/>
        <v>43</v>
      </c>
      <c r="D188" s="39">
        <f t="shared" si="90"/>
        <v>22</v>
      </c>
      <c r="E188" s="39">
        <f t="shared" si="90"/>
        <v>18</v>
      </c>
      <c r="F188" s="39">
        <f t="shared" si="90"/>
        <v>9</v>
      </c>
      <c r="G188" s="50">
        <f t="shared" si="90"/>
        <v>199</v>
      </c>
      <c r="H188" s="44">
        <f t="shared" si="90"/>
        <v>0</v>
      </c>
      <c r="I188" s="39">
        <f t="shared" si="90"/>
        <v>0</v>
      </c>
      <c r="J188" s="39">
        <f t="shared" si="90"/>
        <v>0</v>
      </c>
      <c r="K188" s="45">
        <f t="shared" si="90"/>
        <v>0</v>
      </c>
      <c r="L188" s="144">
        <f t="shared" si="90"/>
        <v>0</v>
      </c>
      <c r="M188" s="50">
        <f t="shared" si="90"/>
        <v>0</v>
      </c>
      <c r="N188" s="40">
        <f t="shared" si="80"/>
        <v>199</v>
      </c>
      <c r="O188" s="43">
        <f t="shared" si="81"/>
        <v>256</v>
      </c>
    </row>
    <row r="189" spans="1:15" ht="22.95" customHeight="1" x14ac:dyDescent="0.3">
      <c r="A189" s="52" t="s">
        <v>255</v>
      </c>
      <c r="B189" s="44">
        <f t="shared" ref="B189:M189" si="91">B83+B84+B85+B86</f>
        <v>108</v>
      </c>
      <c r="C189" s="39">
        <f t="shared" si="91"/>
        <v>36</v>
      </c>
      <c r="D189" s="39">
        <f t="shared" si="91"/>
        <v>18</v>
      </c>
      <c r="E189" s="39">
        <f t="shared" si="91"/>
        <v>22</v>
      </c>
      <c r="F189" s="39">
        <f t="shared" si="91"/>
        <v>9</v>
      </c>
      <c r="G189" s="50">
        <f t="shared" si="91"/>
        <v>193</v>
      </c>
      <c r="H189" s="44">
        <f t="shared" si="91"/>
        <v>0</v>
      </c>
      <c r="I189" s="39">
        <f t="shared" si="91"/>
        <v>0</v>
      </c>
      <c r="J189" s="39">
        <f t="shared" si="91"/>
        <v>0</v>
      </c>
      <c r="K189" s="45">
        <f t="shared" si="91"/>
        <v>0</v>
      </c>
      <c r="L189" s="144">
        <f t="shared" si="91"/>
        <v>0</v>
      </c>
      <c r="M189" s="50">
        <f t="shared" si="91"/>
        <v>0</v>
      </c>
      <c r="N189" s="40">
        <f t="shared" si="80"/>
        <v>193</v>
      </c>
      <c r="O189" s="43">
        <f t="shared" si="81"/>
        <v>259.5</v>
      </c>
    </row>
    <row r="190" spans="1:15" ht="22.95" customHeight="1" x14ac:dyDescent="0.3">
      <c r="A190" s="52" t="s">
        <v>256</v>
      </c>
      <c r="B190" s="44">
        <f t="shared" ref="B190:M190" si="92">B84+B85+B86+B87</f>
        <v>107</v>
      </c>
      <c r="C190" s="39">
        <f t="shared" si="92"/>
        <v>34</v>
      </c>
      <c r="D190" s="39">
        <f t="shared" si="92"/>
        <v>16</v>
      </c>
      <c r="E190" s="39">
        <f t="shared" si="92"/>
        <v>26</v>
      </c>
      <c r="F190" s="39">
        <f t="shared" si="92"/>
        <v>12</v>
      </c>
      <c r="G190" s="50">
        <f t="shared" si="92"/>
        <v>195</v>
      </c>
      <c r="H190" s="44">
        <f t="shared" si="92"/>
        <v>0</v>
      </c>
      <c r="I190" s="39">
        <f t="shared" si="92"/>
        <v>0</v>
      </c>
      <c r="J190" s="39">
        <f t="shared" si="92"/>
        <v>0</v>
      </c>
      <c r="K190" s="45">
        <f t="shared" si="92"/>
        <v>0</v>
      </c>
      <c r="L190" s="144">
        <f t="shared" si="92"/>
        <v>0</v>
      </c>
      <c r="M190" s="50">
        <f t="shared" si="92"/>
        <v>0</v>
      </c>
      <c r="N190" s="40">
        <f t="shared" si="80"/>
        <v>195</v>
      </c>
      <c r="O190" s="43">
        <f t="shared" si="81"/>
        <v>280</v>
      </c>
    </row>
    <row r="191" spans="1:15" ht="22.95" customHeight="1" x14ac:dyDescent="0.3">
      <c r="A191" s="52" t="s">
        <v>257</v>
      </c>
      <c r="B191" s="44">
        <f t="shared" ref="B191:M191" si="93">B85+B86+B87+B88</f>
        <v>120</v>
      </c>
      <c r="C191" s="39">
        <f t="shared" si="93"/>
        <v>29</v>
      </c>
      <c r="D191" s="39">
        <f t="shared" si="93"/>
        <v>21</v>
      </c>
      <c r="E191" s="39">
        <f t="shared" si="93"/>
        <v>25</v>
      </c>
      <c r="F191" s="39">
        <f t="shared" si="93"/>
        <v>18</v>
      </c>
      <c r="G191" s="50">
        <f t="shared" si="93"/>
        <v>213</v>
      </c>
      <c r="H191" s="44">
        <f t="shared" si="93"/>
        <v>0</v>
      </c>
      <c r="I191" s="39">
        <f t="shared" si="93"/>
        <v>0</v>
      </c>
      <c r="J191" s="39">
        <f t="shared" si="93"/>
        <v>0</v>
      </c>
      <c r="K191" s="45">
        <f t="shared" si="93"/>
        <v>0</v>
      </c>
      <c r="L191" s="144">
        <f t="shared" si="93"/>
        <v>0</v>
      </c>
      <c r="M191" s="50">
        <f t="shared" si="93"/>
        <v>0</v>
      </c>
      <c r="N191" s="40">
        <f t="shared" si="80"/>
        <v>213</v>
      </c>
      <c r="O191" s="43">
        <f t="shared" si="81"/>
        <v>322</v>
      </c>
    </row>
    <row r="192" spans="1:15" ht="22.95" customHeight="1" x14ac:dyDescent="0.3">
      <c r="A192" s="52" t="s">
        <v>258</v>
      </c>
      <c r="B192" s="44">
        <f t="shared" ref="B192:M192" si="94">B86+B87+B88+B89</f>
        <v>124</v>
      </c>
      <c r="C192" s="39">
        <f t="shared" si="94"/>
        <v>31</v>
      </c>
      <c r="D192" s="39">
        <f t="shared" si="94"/>
        <v>23</v>
      </c>
      <c r="E192" s="39">
        <f t="shared" si="94"/>
        <v>26</v>
      </c>
      <c r="F192" s="39">
        <f t="shared" si="94"/>
        <v>21</v>
      </c>
      <c r="G192" s="50">
        <f t="shared" si="94"/>
        <v>225</v>
      </c>
      <c r="H192" s="44">
        <f t="shared" si="94"/>
        <v>0</v>
      </c>
      <c r="I192" s="39">
        <f t="shared" si="94"/>
        <v>0</v>
      </c>
      <c r="J192" s="39">
        <f t="shared" si="94"/>
        <v>0</v>
      </c>
      <c r="K192" s="45">
        <f t="shared" si="94"/>
        <v>0</v>
      </c>
      <c r="L192" s="144">
        <f t="shared" si="94"/>
        <v>0</v>
      </c>
      <c r="M192" s="50">
        <f t="shared" si="94"/>
        <v>0</v>
      </c>
      <c r="N192" s="40">
        <f t="shared" si="80"/>
        <v>225</v>
      </c>
      <c r="O192" s="43">
        <f t="shared" si="81"/>
        <v>346.5</v>
      </c>
    </row>
    <row r="193" spans="1:15" ht="22.95" customHeight="1" x14ac:dyDescent="0.3">
      <c r="A193" s="52" t="s">
        <v>259</v>
      </c>
      <c r="B193" s="44">
        <f t="shared" ref="B193:M193" si="95">B87+B88+B89+B90</f>
        <v>145</v>
      </c>
      <c r="C193" s="39">
        <f t="shared" si="95"/>
        <v>42</v>
      </c>
      <c r="D193" s="39">
        <f t="shared" si="95"/>
        <v>29</v>
      </c>
      <c r="E193" s="39">
        <f t="shared" si="95"/>
        <v>29</v>
      </c>
      <c r="F193" s="39">
        <f t="shared" si="95"/>
        <v>21</v>
      </c>
      <c r="G193" s="50">
        <f t="shared" si="95"/>
        <v>266</v>
      </c>
      <c r="H193" s="44">
        <f t="shared" si="95"/>
        <v>0</v>
      </c>
      <c r="I193" s="39">
        <f t="shared" si="95"/>
        <v>0</v>
      </c>
      <c r="J193" s="39">
        <f t="shared" si="95"/>
        <v>0</v>
      </c>
      <c r="K193" s="45">
        <f t="shared" si="95"/>
        <v>0</v>
      </c>
      <c r="L193" s="144">
        <f t="shared" si="95"/>
        <v>0</v>
      </c>
      <c r="M193" s="50">
        <f t="shared" si="95"/>
        <v>0</v>
      </c>
      <c r="N193" s="40">
        <f t="shared" si="80"/>
        <v>266</v>
      </c>
      <c r="O193" s="43">
        <f t="shared" si="81"/>
        <v>391</v>
      </c>
    </row>
    <row r="194" spans="1:15" ht="22.95" customHeight="1" x14ac:dyDescent="0.3">
      <c r="A194" s="52" t="s">
        <v>260</v>
      </c>
      <c r="B194" s="44">
        <f t="shared" ref="B194:M194" si="96">B88+B89+B90+B91</f>
        <v>162</v>
      </c>
      <c r="C194" s="39">
        <f t="shared" si="96"/>
        <v>48</v>
      </c>
      <c r="D194" s="39">
        <f t="shared" si="96"/>
        <v>33</v>
      </c>
      <c r="E194" s="39">
        <f t="shared" si="96"/>
        <v>31</v>
      </c>
      <c r="F194" s="39">
        <f t="shared" si="96"/>
        <v>15</v>
      </c>
      <c r="G194" s="50">
        <f t="shared" si="96"/>
        <v>289</v>
      </c>
      <c r="H194" s="44">
        <f t="shared" si="96"/>
        <v>0</v>
      </c>
      <c r="I194" s="39">
        <f t="shared" si="96"/>
        <v>0</v>
      </c>
      <c r="J194" s="39">
        <f t="shared" si="96"/>
        <v>0</v>
      </c>
      <c r="K194" s="45">
        <f t="shared" si="96"/>
        <v>0</v>
      </c>
      <c r="L194" s="144">
        <f t="shared" si="96"/>
        <v>0</v>
      </c>
      <c r="M194" s="50">
        <f t="shared" si="96"/>
        <v>0</v>
      </c>
      <c r="N194" s="40">
        <f t="shared" si="80"/>
        <v>289</v>
      </c>
      <c r="O194" s="43">
        <f t="shared" si="81"/>
        <v>396</v>
      </c>
    </row>
    <row r="195" spans="1:15" ht="22.95" customHeight="1" x14ac:dyDescent="0.3">
      <c r="A195" s="52" t="s">
        <v>261</v>
      </c>
      <c r="B195" s="44">
        <f t="shared" ref="B195:M195" si="97">B89+B90+B91+B92</f>
        <v>191</v>
      </c>
      <c r="C195" s="39">
        <f t="shared" si="97"/>
        <v>56</v>
      </c>
      <c r="D195" s="39">
        <f t="shared" si="97"/>
        <v>32</v>
      </c>
      <c r="E195" s="39">
        <f t="shared" si="97"/>
        <v>36</v>
      </c>
      <c r="F195" s="39">
        <f t="shared" si="97"/>
        <v>10</v>
      </c>
      <c r="G195" s="50">
        <f t="shared" si="97"/>
        <v>325</v>
      </c>
      <c r="H195" s="44">
        <f t="shared" si="97"/>
        <v>1</v>
      </c>
      <c r="I195" s="39">
        <f t="shared" si="97"/>
        <v>0</v>
      </c>
      <c r="J195" s="39">
        <f t="shared" si="97"/>
        <v>0</v>
      </c>
      <c r="K195" s="45">
        <f t="shared" si="97"/>
        <v>0</v>
      </c>
      <c r="L195" s="144">
        <f t="shared" si="97"/>
        <v>1</v>
      </c>
      <c r="M195" s="50">
        <f t="shared" si="97"/>
        <v>2</v>
      </c>
      <c r="N195" s="40">
        <f t="shared" si="80"/>
        <v>327</v>
      </c>
      <c r="O195" s="43">
        <f t="shared" si="81"/>
        <v>428.5</v>
      </c>
    </row>
    <row r="196" spans="1:15" ht="22.95" customHeight="1" x14ac:dyDescent="0.3">
      <c r="A196" s="52" t="s">
        <v>270</v>
      </c>
      <c r="B196" s="44">
        <f t="shared" ref="B196:M196" si="98">B90+B91+B92+B93</f>
        <v>177</v>
      </c>
      <c r="C196" s="39">
        <f t="shared" si="98"/>
        <v>56</v>
      </c>
      <c r="D196" s="39">
        <f t="shared" si="98"/>
        <v>34</v>
      </c>
      <c r="E196" s="39">
        <f t="shared" si="98"/>
        <v>29</v>
      </c>
      <c r="F196" s="39">
        <f t="shared" si="98"/>
        <v>9</v>
      </c>
      <c r="G196" s="50">
        <f t="shared" si="98"/>
        <v>305</v>
      </c>
      <c r="H196" s="44">
        <f t="shared" si="98"/>
        <v>1</v>
      </c>
      <c r="I196" s="39">
        <f t="shared" si="98"/>
        <v>0</v>
      </c>
      <c r="J196" s="39">
        <f t="shared" si="98"/>
        <v>0</v>
      </c>
      <c r="K196" s="45">
        <f t="shared" si="98"/>
        <v>0</v>
      </c>
      <c r="L196" s="144">
        <f t="shared" si="98"/>
        <v>1</v>
      </c>
      <c r="M196" s="50">
        <f t="shared" si="98"/>
        <v>2</v>
      </c>
      <c r="N196" s="40">
        <f t="shared" si="80"/>
        <v>307</v>
      </c>
      <c r="O196" s="43">
        <f t="shared" si="81"/>
        <v>392</v>
      </c>
    </row>
    <row r="197" spans="1:15" ht="22.95" customHeight="1" x14ac:dyDescent="0.3">
      <c r="A197" s="52" t="s">
        <v>271</v>
      </c>
      <c r="B197" s="44">
        <f t="shared" ref="B197:M197" si="99">B91+B92+B93+B94</f>
        <v>208</v>
      </c>
      <c r="C197" s="39">
        <f t="shared" si="99"/>
        <v>74</v>
      </c>
      <c r="D197" s="39">
        <f t="shared" si="99"/>
        <v>26</v>
      </c>
      <c r="E197" s="39">
        <f t="shared" si="99"/>
        <v>28</v>
      </c>
      <c r="F197" s="39">
        <f t="shared" si="99"/>
        <v>9</v>
      </c>
      <c r="G197" s="50">
        <f t="shared" si="99"/>
        <v>345</v>
      </c>
      <c r="H197" s="44">
        <f t="shared" si="99"/>
        <v>1</v>
      </c>
      <c r="I197" s="39">
        <f t="shared" si="99"/>
        <v>0</v>
      </c>
      <c r="J197" s="39">
        <f t="shared" si="99"/>
        <v>0</v>
      </c>
      <c r="K197" s="45">
        <f t="shared" si="99"/>
        <v>0</v>
      </c>
      <c r="L197" s="144">
        <f t="shared" si="99"/>
        <v>1</v>
      </c>
      <c r="M197" s="50">
        <f t="shared" si="99"/>
        <v>2</v>
      </c>
      <c r="N197" s="40">
        <f t="shared" si="80"/>
        <v>347</v>
      </c>
      <c r="O197" s="43">
        <f t="shared" si="81"/>
        <v>417</v>
      </c>
    </row>
    <row r="198" spans="1:15" ht="22.95" customHeight="1" x14ac:dyDescent="0.3">
      <c r="A198" s="52" t="s">
        <v>279</v>
      </c>
      <c r="B198" s="44">
        <f t="shared" ref="B198:M198" si="100">B92+B93+B94+B95</f>
        <v>271</v>
      </c>
      <c r="C198" s="39">
        <f t="shared" si="100"/>
        <v>101</v>
      </c>
      <c r="D198" s="39">
        <f t="shared" si="100"/>
        <v>26</v>
      </c>
      <c r="E198" s="39">
        <f t="shared" si="100"/>
        <v>25</v>
      </c>
      <c r="F198" s="39">
        <f t="shared" si="100"/>
        <v>11</v>
      </c>
      <c r="G198" s="50">
        <f t="shared" si="100"/>
        <v>434</v>
      </c>
      <c r="H198" s="44">
        <f t="shared" si="100"/>
        <v>1</v>
      </c>
      <c r="I198" s="39">
        <f t="shared" si="100"/>
        <v>0</v>
      </c>
      <c r="J198" s="39">
        <f t="shared" si="100"/>
        <v>0</v>
      </c>
      <c r="K198" s="45">
        <f t="shared" si="100"/>
        <v>0</v>
      </c>
      <c r="L198" s="144">
        <f t="shared" si="100"/>
        <v>2</v>
      </c>
      <c r="M198" s="50">
        <f t="shared" si="100"/>
        <v>3</v>
      </c>
      <c r="N198" s="40">
        <f t="shared" si="80"/>
        <v>437</v>
      </c>
      <c r="O198" s="43">
        <f t="shared" si="81"/>
        <v>501.5</v>
      </c>
    </row>
    <row r="199" spans="1:15" ht="22.95" customHeight="1" x14ac:dyDescent="0.3">
      <c r="A199" s="52" t="s">
        <v>62</v>
      </c>
      <c r="B199" s="44">
        <f t="shared" ref="B199:M199" si="101">B93+B94+B95+B96</f>
        <v>305</v>
      </c>
      <c r="C199" s="39">
        <f t="shared" si="101"/>
        <v>132</v>
      </c>
      <c r="D199" s="39">
        <f t="shared" si="101"/>
        <v>25</v>
      </c>
      <c r="E199" s="39">
        <f t="shared" si="101"/>
        <v>26</v>
      </c>
      <c r="F199" s="39">
        <f t="shared" si="101"/>
        <v>10</v>
      </c>
      <c r="G199" s="50">
        <f t="shared" si="101"/>
        <v>498</v>
      </c>
      <c r="H199" s="44">
        <f t="shared" si="101"/>
        <v>0</v>
      </c>
      <c r="I199" s="39">
        <f t="shared" si="101"/>
        <v>0</v>
      </c>
      <c r="J199" s="39">
        <f t="shared" si="101"/>
        <v>0</v>
      </c>
      <c r="K199" s="45">
        <f t="shared" si="101"/>
        <v>0</v>
      </c>
      <c r="L199" s="144">
        <f t="shared" si="101"/>
        <v>3</v>
      </c>
      <c r="M199" s="50">
        <f t="shared" si="101"/>
        <v>3</v>
      </c>
      <c r="N199" s="40">
        <f t="shared" si="80"/>
        <v>501</v>
      </c>
      <c r="O199" s="43">
        <f t="shared" si="81"/>
        <v>555.5</v>
      </c>
    </row>
    <row r="200" spans="1:15" ht="22.95" customHeight="1" x14ac:dyDescent="0.3">
      <c r="A200" s="52" t="s">
        <v>63</v>
      </c>
      <c r="B200" s="44">
        <f t="shared" ref="B200:M200" si="102">B94+B95+B96+B97</f>
        <v>396</v>
      </c>
      <c r="C200" s="39">
        <f t="shared" si="102"/>
        <v>170</v>
      </c>
      <c r="D200" s="39">
        <f t="shared" si="102"/>
        <v>21</v>
      </c>
      <c r="E200" s="39">
        <f t="shared" si="102"/>
        <v>30</v>
      </c>
      <c r="F200" s="39">
        <f t="shared" si="102"/>
        <v>9</v>
      </c>
      <c r="G200" s="50">
        <f t="shared" si="102"/>
        <v>626</v>
      </c>
      <c r="H200" s="44">
        <f t="shared" si="102"/>
        <v>0</v>
      </c>
      <c r="I200" s="39">
        <f t="shared" si="102"/>
        <v>0</v>
      </c>
      <c r="J200" s="39">
        <f t="shared" si="102"/>
        <v>0</v>
      </c>
      <c r="K200" s="45">
        <f t="shared" si="102"/>
        <v>0</v>
      </c>
      <c r="L200" s="144">
        <f t="shared" si="102"/>
        <v>5</v>
      </c>
      <c r="M200" s="50">
        <f t="shared" si="102"/>
        <v>5</v>
      </c>
      <c r="N200" s="40">
        <f t="shared" si="80"/>
        <v>631</v>
      </c>
      <c r="O200" s="43">
        <f t="shared" si="81"/>
        <v>683</v>
      </c>
    </row>
    <row r="201" spans="1:15" ht="22.95" customHeight="1" x14ac:dyDescent="0.3">
      <c r="A201" s="52" t="s">
        <v>64</v>
      </c>
      <c r="B201" s="44">
        <f t="shared" ref="B201:M201" si="103">B95+B96+B97+B98</f>
        <v>449</v>
      </c>
      <c r="C201" s="39">
        <f t="shared" si="103"/>
        <v>209</v>
      </c>
      <c r="D201" s="39">
        <f t="shared" si="103"/>
        <v>22</v>
      </c>
      <c r="E201" s="39">
        <f t="shared" si="103"/>
        <v>29</v>
      </c>
      <c r="F201" s="39">
        <f t="shared" si="103"/>
        <v>11</v>
      </c>
      <c r="G201" s="50">
        <f t="shared" si="103"/>
        <v>720</v>
      </c>
      <c r="H201" s="44">
        <f t="shared" si="103"/>
        <v>0</v>
      </c>
      <c r="I201" s="39">
        <f t="shared" si="103"/>
        <v>0</v>
      </c>
      <c r="J201" s="39">
        <f t="shared" si="103"/>
        <v>0</v>
      </c>
      <c r="K201" s="45">
        <f t="shared" si="103"/>
        <v>0</v>
      </c>
      <c r="L201" s="144">
        <f t="shared" si="103"/>
        <v>6</v>
      </c>
      <c r="M201" s="50">
        <f t="shared" si="103"/>
        <v>6</v>
      </c>
      <c r="N201" s="40">
        <f t="shared" si="80"/>
        <v>726</v>
      </c>
      <c r="O201" s="43">
        <f t="shared" si="81"/>
        <v>771</v>
      </c>
    </row>
    <row r="202" spans="1:15" ht="22.95" customHeight="1" x14ac:dyDescent="0.3">
      <c r="A202" s="52" t="s">
        <v>65</v>
      </c>
      <c r="B202" s="44">
        <f t="shared" ref="B202:M202" si="104">B96+B97+B98+B99</f>
        <v>462</v>
      </c>
      <c r="C202" s="39">
        <f t="shared" si="104"/>
        <v>234</v>
      </c>
      <c r="D202" s="39">
        <f t="shared" si="104"/>
        <v>23</v>
      </c>
      <c r="E202" s="39">
        <f t="shared" si="104"/>
        <v>28</v>
      </c>
      <c r="F202" s="39">
        <f t="shared" si="104"/>
        <v>11</v>
      </c>
      <c r="G202" s="50">
        <f t="shared" si="104"/>
        <v>758</v>
      </c>
      <c r="H202" s="44">
        <f t="shared" si="104"/>
        <v>0</v>
      </c>
      <c r="I202" s="39">
        <f t="shared" si="104"/>
        <v>0</v>
      </c>
      <c r="J202" s="39">
        <f t="shared" si="104"/>
        <v>0</v>
      </c>
      <c r="K202" s="45">
        <f t="shared" si="104"/>
        <v>0</v>
      </c>
      <c r="L202" s="144">
        <f t="shared" si="104"/>
        <v>8</v>
      </c>
      <c r="M202" s="50">
        <f t="shared" si="104"/>
        <v>8</v>
      </c>
      <c r="N202" s="40">
        <f t="shared" si="80"/>
        <v>766</v>
      </c>
      <c r="O202" s="43">
        <f t="shared" si="81"/>
        <v>811</v>
      </c>
    </row>
    <row r="203" spans="1:15" ht="22.95" customHeight="1" x14ac:dyDescent="0.3">
      <c r="A203" s="52" t="s">
        <v>66</v>
      </c>
      <c r="B203" s="44">
        <f t="shared" ref="B203:M203" si="105">B97+B98+B99+B100</f>
        <v>564</v>
      </c>
      <c r="C203" s="39">
        <f t="shared" si="105"/>
        <v>259</v>
      </c>
      <c r="D203" s="39">
        <f t="shared" si="105"/>
        <v>25</v>
      </c>
      <c r="E203" s="39">
        <f t="shared" si="105"/>
        <v>36</v>
      </c>
      <c r="F203" s="39">
        <f t="shared" si="105"/>
        <v>17</v>
      </c>
      <c r="G203" s="50">
        <f t="shared" si="105"/>
        <v>901</v>
      </c>
      <c r="H203" s="44">
        <f t="shared" si="105"/>
        <v>0</v>
      </c>
      <c r="I203" s="39">
        <f t="shared" si="105"/>
        <v>0</v>
      </c>
      <c r="J203" s="39">
        <f t="shared" si="105"/>
        <v>0</v>
      </c>
      <c r="K203" s="45">
        <f t="shared" si="105"/>
        <v>0</v>
      </c>
      <c r="L203" s="144">
        <f t="shared" si="105"/>
        <v>12</v>
      </c>
      <c r="M203" s="50">
        <f t="shared" si="105"/>
        <v>12</v>
      </c>
      <c r="N203" s="40">
        <f t="shared" si="80"/>
        <v>913</v>
      </c>
      <c r="O203" s="43">
        <f t="shared" si="81"/>
        <v>1011.5</v>
      </c>
    </row>
    <row r="204" spans="1:15" ht="22.95" customHeight="1" x14ac:dyDescent="0.3">
      <c r="A204" s="52" t="s">
        <v>67</v>
      </c>
      <c r="B204" s="44">
        <f t="shared" ref="B204:M204" si="106">B98+B99+B100+B101</f>
        <v>676</v>
      </c>
      <c r="C204" s="39">
        <f t="shared" si="106"/>
        <v>265</v>
      </c>
      <c r="D204" s="39">
        <f t="shared" si="106"/>
        <v>37</v>
      </c>
      <c r="E204" s="39">
        <f t="shared" si="106"/>
        <v>53</v>
      </c>
      <c r="F204" s="39">
        <f t="shared" si="106"/>
        <v>20</v>
      </c>
      <c r="G204" s="50">
        <f t="shared" si="106"/>
        <v>1051</v>
      </c>
      <c r="H204" s="44">
        <f t="shared" si="106"/>
        <v>0</v>
      </c>
      <c r="I204" s="39">
        <f t="shared" si="106"/>
        <v>0</v>
      </c>
      <c r="J204" s="39">
        <f t="shared" si="106"/>
        <v>0</v>
      </c>
      <c r="K204" s="45">
        <f t="shared" si="106"/>
        <v>0</v>
      </c>
      <c r="L204" s="144">
        <f t="shared" si="106"/>
        <v>14</v>
      </c>
      <c r="M204" s="50">
        <f t="shared" si="106"/>
        <v>14</v>
      </c>
      <c r="N204" s="40">
        <f t="shared" si="80"/>
        <v>1065</v>
      </c>
      <c r="O204" s="43">
        <f t="shared" si="81"/>
        <v>1225</v>
      </c>
    </row>
    <row r="205" spans="1:15" ht="22.95" customHeight="1" x14ac:dyDescent="0.3">
      <c r="A205" s="52" t="s">
        <v>68</v>
      </c>
      <c r="B205" s="44">
        <f t="shared" ref="B205:M205" si="107">B99+B100+B101+B102</f>
        <v>735</v>
      </c>
      <c r="C205" s="39">
        <f t="shared" si="107"/>
        <v>263</v>
      </c>
      <c r="D205" s="39">
        <f t="shared" si="107"/>
        <v>41</v>
      </c>
      <c r="E205" s="39">
        <f t="shared" si="107"/>
        <v>71</v>
      </c>
      <c r="F205" s="39">
        <f t="shared" si="107"/>
        <v>23</v>
      </c>
      <c r="G205" s="50">
        <f t="shared" si="107"/>
        <v>1133</v>
      </c>
      <c r="H205" s="44">
        <f t="shared" si="107"/>
        <v>0</v>
      </c>
      <c r="I205" s="39">
        <f t="shared" si="107"/>
        <v>0</v>
      </c>
      <c r="J205" s="39">
        <f t="shared" si="107"/>
        <v>0</v>
      </c>
      <c r="K205" s="45">
        <f t="shared" si="107"/>
        <v>0</v>
      </c>
      <c r="L205" s="144">
        <f t="shared" si="107"/>
        <v>21</v>
      </c>
      <c r="M205" s="50">
        <f t="shared" si="107"/>
        <v>21</v>
      </c>
      <c r="N205" s="40">
        <f t="shared" si="80"/>
        <v>1154</v>
      </c>
      <c r="O205" s="43">
        <f t="shared" si="81"/>
        <v>1412.5</v>
      </c>
    </row>
    <row r="206" spans="1:15" ht="22.95" customHeight="1" thickBot="1" x14ac:dyDescent="0.35">
      <c r="A206" s="52" t="s">
        <v>69</v>
      </c>
      <c r="B206" s="46">
        <f t="shared" ref="B206:M206" si="108">B100+B101+B102+B103</f>
        <v>810</v>
      </c>
      <c r="C206" s="47">
        <f t="shared" si="108"/>
        <v>283</v>
      </c>
      <c r="D206" s="47">
        <f t="shared" si="108"/>
        <v>41</v>
      </c>
      <c r="E206" s="47">
        <f t="shared" si="108"/>
        <v>86</v>
      </c>
      <c r="F206" s="47">
        <f t="shared" si="108"/>
        <v>27</v>
      </c>
      <c r="G206" s="50">
        <f t="shared" si="108"/>
        <v>1247</v>
      </c>
      <c r="H206" s="44">
        <f t="shared" si="108"/>
        <v>0</v>
      </c>
      <c r="I206" s="39">
        <f t="shared" si="108"/>
        <v>0</v>
      </c>
      <c r="J206" s="39">
        <f t="shared" si="108"/>
        <v>0</v>
      </c>
      <c r="K206" s="45">
        <f t="shared" si="108"/>
        <v>0</v>
      </c>
      <c r="L206" s="145">
        <f t="shared" si="108"/>
        <v>25</v>
      </c>
      <c r="M206" s="50">
        <f t="shared" si="108"/>
        <v>25</v>
      </c>
      <c r="N206" s="40">
        <f t="shared" si="80"/>
        <v>1272</v>
      </c>
      <c r="O206" s="43">
        <f t="shared" si="81"/>
        <v>1592.5</v>
      </c>
    </row>
  </sheetData>
  <mergeCells count="31">
    <mergeCell ref="N6:N7"/>
    <mergeCell ref="O6:O7"/>
    <mergeCell ref="N112:N113"/>
    <mergeCell ref="O112:O113"/>
    <mergeCell ref="L6:L7"/>
    <mergeCell ref="K112:K113"/>
    <mergeCell ref="M112:M113"/>
    <mergeCell ref="L112:L113"/>
    <mergeCell ref="K6:K7"/>
    <mergeCell ref="M6:M7"/>
    <mergeCell ref="J6:J7"/>
    <mergeCell ref="I112:I113"/>
    <mergeCell ref="G112:G113"/>
    <mergeCell ref="J112:J113"/>
    <mergeCell ref="I6:I7"/>
    <mergeCell ref="A1:H1"/>
    <mergeCell ref="A6:A7"/>
    <mergeCell ref="A112:A113"/>
    <mergeCell ref="H112:H113"/>
    <mergeCell ref="H6:H7"/>
    <mergeCell ref="C6:C7"/>
    <mergeCell ref="C112:C113"/>
    <mergeCell ref="G6:G7"/>
    <mergeCell ref="E6:E7"/>
    <mergeCell ref="F6:F7"/>
    <mergeCell ref="B6:B7"/>
    <mergeCell ref="B112:B113"/>
    <mergeCell ref="F112:F113"/>
    <mergeCell ref="D6:D7"/>
    <mergeCell ref="D112:D113"/>
    <mergeCell ref="E112:E113"/>
  </mergeCells>
  <pageMargins left="0.7" right="0.7" top="0.75" bottom="0.75" header="0.3" footer="0.3"/>
  <pageSetup paperSize="9" scale="29" orientation="portrait" r:id="rId1"/>
  <rowBreaks count="1" manualBreakCount="1">
    <brk id="106" max="16383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206"/>
  <sheetViews>
    <sheetView view="pageBreakPreview" zoomScale="60" zoomScaleNormal="70" workbookViewId="0">
      <selection activeCell="A114" sqref="A114:A206"/>
    </sheetView>
  </sheetViews>
  <sheetFormatPr defaultColWidth="9" defaultRowHeight="15.6" x14ac:dyDescent="0.3"/>
  <cols>
    <col min="1" max="1" width="17.59765625" customWidth="1"/>
    <col min="2" max="7" width="11.69921875" customWidth="1"/>
    <col min="8" max="8" width="15.09765625" bestFit="1" customWidth="1"/>
    <col min="9" max="15" width="11.69921875" customWidth="1"/>
  </cols>
  <sheetData>
    <row r="1" spans="1:15" x14ac:dyDescent="0.3">
      <c r="A1" s="247" t="s">
        <v>99</v>
      </c>
      <c r="B1" s="247"/>
      <c r="C1" s="247"/>
      <c r="D1" s="247"/>
      <c r="E1" s="247"/>
      <c r="F1" s="247"/>
      <c r="G1" s="247"/>
      <c r="H1" s="247"/>
      <c r="I1" s="247"/>
      <c r="J1" s="247"/>
    </row>
    <row r="2" spans="1:15" s="4" customFormat="1" x14ac:dyDescent="0.3">
      <c r="A2" s="4" t="s">
        <v>103</v>
      </c>
      <c r="B2" s="4" t="str">
        <f>Summary!B2</f>
        <v>TMC-14 Number (D2)</v>
      </c>
      <c r="H2" s="181">
        <f>+Summary!I1</f>
        <v>46245</v>
      </c>
    </row>
    <row r="3" spans="1:15" s="4" customFormat="1" x14ac:dyDescent="0.3">
      <c r="A3" s="4" t="s">
        <v>102</v>
      </c>
      <c r="B3" s="4" t="str">
        <f>Summary!B3</f>
        <v>D2</v>
      </c>
      <c r="H3" s="181" t="str">
        <f>+Summary!I2</f>
        <v>Tuesday</v>
      </c>
    </row>
    <row r="4" spans="1:15" s="4" customFormat="1" x14ac:dyDescent="0.3">
      <c r="A4" s="4" t="s">
        <v>104</v>
      </c>
      <c r="B4" s="4" t="str">
        <f>+Summary!A9</f>
        <v>Mansarover</v>
      </c>
    </row>
    <row r="5" spans="1:15" ht="16.2" thickBot="1" x14ac:dyDescent="0.35"/>
    <row r="6" spans="1:15" ht="25.2" customHeight="1" x14ac:dyDescent="0.3">
      <c r="A6" s="252" t="s">
        <v>95</v>
      </c>
      <c r="B6" s="258" t="s">
        <v>280</v>
      </c>
      <c r="C6" s="254" t="s">
        <v>281</v>
      </c>
      <c r="D6" s="250" t="s">
        <v>282</v>
      </c>
      <c r="E6" s="260" t="s">
        <v>283</v>
      </c>
      <c r="F6" s="256" t="s">
        <v>284</v>
      </c>
      <c r="G6" s="250" t="s">
        <v>129</v>
      </c>
      <c r="H6" s="248" t="s">
        <v>150</v>
      </c>
      <c r="I6" s="250" t="s">
        <v>151</v>
      </c>
      <c r="J6" s="250" t="s">
        <v>285</v>
      </c>
      <c r="K6" s="248" t="s">
        <v>286</v>
      </c>
      <c r="L6" s="250" t="s">
        <v>287</v>
      </c>
      <c r="M6" s="250" t="s">
        <v>78</v>
      </c>
      <c r="N6" s="250" t="s">
        <v>131</v>
      </c>
      <c r="O6" s="250" t="s">
        <v>132</v>
      </c>
    </row>
    <row r="7" spans="1:15" ht="43.5" customHeight="1" thickBot="1" x14ac:dyDescent="0.35">
      <c r="A7" s="253"/>
      <c r="B7" s="259"/>
      <c r="C7" s="255"/>
      <c r="D7" s="251"/>
      <c r="E7" s="261"/>
      <c r="F7" s="257"/>
      <c r="G7" s="259"/>
      <c r="H7" s="249"/>
      <c r="I7" s="251"/>
      <c r="J7" s="251"/>
      <c r="K7" s="249"/>
      <c r="L7" s="251"/>
      <c r="M7" s="251"/>
      <c r="N7" s="251"/>
      <c r="O7" s="251"/>
    </row>
    <row r="8" spans="1:15" ht="22.5" customHeight="1" x14ac:dyDescent="0.3">
      <c r="A8" s="148" t="s">
        <v>177</v>
      </c>
      <c r="B8" s="112">
        <f>V_10!B8+V_11!B8+V_12!B8</f>
        <v>286</v>
      </c>
      <c r="C8" s="113">
        <f>V_10!C8+V_11!C8+V_12!C8</f>
        <v>231</v>
      </c>
      <c r="D8" s="113">
        <f>V_10!D8+V_11!D8+V_12!D8</f>
        <v>10</v>
      </c>
      <c r="E8" s="113">
        <f>V_10!E8+V_11!E8+V_12!E8</f>
        <v>15</v>
      </c>
      <c r="F8" s="151">
        <f>V_10!F8+V_11!F8+V_12!F8</f>
        <v>35</v>
      </c>
      <c r="G8" s="79">
        <f t="shared" ref="G8:G39" si="0">SUM(B8:F8)</f>
        <v>577</v>
      </c>
      <c r="H8" s="112">
        <f>V_10!H8+V_11!H8+V_12!H8</f>
        <v>4</v>
      </c>
      <c r="I8" s="113">
        <f>V_10!I8+V_11!I8+V_12!I8</f>
        <v>0</v>
      </c>
      <c r="J8" s="113">
        <f>V_10!J8+V_11!J8+V_12!J8</f>
        <v>0</v>
      </c>
      <c r="K8" s="114">
        <f>V_10!K8+V_11!K8+V_12!K8</f>
        <v>0</v>
      </c>
      <c r="L8" s="139">
        <f>V_10!L8+V_11!L8+V_12!L8</f>
        <v>7</v>
      </c>
      <c r="M8" s="148">
        <f>SUM(H8:L8)</f>
        <v>11</v>
      </c>
      <c r="N8" s="43">
        <f>G8+M8</f>
        <v>588</v>
      </c>
      <c r="O8" s="115">
        <f>B8*1+C8*0.5+D8*1.5+E8*3+F8*4.5+H8*0.5+I8*1.5+J8*3+K8*4+L8*8</f>
        <v>677</v>
      </c>
    </row>
    <row r="9" spans="1:15" ht="22.5" customHeight="1" x14ac:dyDescent="0.3">
      <c r="A9" s="149" t="s">
        <v>178</v>
      </c>
      <c r="B9" s="44">
        <f>V_10!B9+V_11!B9+V_12!B9</f>
        <v>269</v>
      </c>
      <c r="C9" s="39">
        <f>V_10!C9+V_11!C9+V_12!C9</f>
        <v>228</v>
      </c>
      <c r="D9" s="39">
        <f>V_10!D9+V_11!D9+V_12!D9</f>
        <v>19</v>
      </c>
      <c r="E9" s="39">
        <f>V_10!E9+V_11!E9+V_12!E9</f>
        <v>16</v>
      </c>
      <c r="F9" s="152">
        <f>V_10!F9+V_11!F9+V_12!F9</f>
        <v>35</v>
      </c>
      <c r="G9" s="154">
        <f t="shared" si="0"/>
        <v>567</v>
      </c>
      <c r="H9" s="44">
        <f>V_10!H9+V_11!H9+V_12!H9</f>
        <v>6</v>
      </c>
      <c r="I9" s="39">
        <f>V_10!I9+V_11!I9+V_12!I9</f>
        <v>0</v>
      </c>
      <c r="J9" s="39">
        <f>V_10!J9+V_11!J9+V_12!J9</f>
        <v>0</v>
      </c>
      <c r="K9" s="45">
        <f>V_10!K9+V_11!K9+V_12!K9</f>
        <v>0</v>
      </c>
      <c r="L9" s="140">
        <f>V_10!L9+V_11!L9+V_12!L9</f>
        <v>11</v>
      </c>
      <c r="M9" s="149">
        <f t="shared" ref="M9:M72" si="1">SUM(H9:L9)</f>
        <v>17</v>
      </c>
      <c r="N9" s="100">
        <f t="shared" ref="N9:N72" si="2">G9+M9</f>
        <v>584</v>
      </c>
      <c r="O9" s="43">
        <f t="shared" ref="O9:O72" si="3">B9*1+C9*0.5+D9*1.5+E9*3+F9*4.5+H9*0.5+I9*1.5+J9*3+K9*4+L9*8</f>
        <v>708</v>
      </c>
    </row>
    <row r="10" spans="1:15" ht="22.5" customHeight="1" x14ac:dyDescent="0.3">
      <c r="A10" s="149" t="s">
        <v>179</v>
      </c>
      <c r="B10" s="44">
        <f>V_10!B10+V_11!B10+V_12!B10</f>
        <v>288</v>
      </c>
      <c r="C10" s="39">
        <f>V_10!C10+V_11!C10+V_12!C10</f>
        <v>325</v>
      </c>
      <c r="D10" s="39">
        <f>V_10!D10+V_11!D10+V_12!D10</f>
        <v>19</v>
      </c>
      <c r="E10" s="39">
        <f>V_10!E10+V_11!E10+V_12!E10</f>
        <v>15</v>
      </c>
      <c r="F10" s="152">
        <f>V_10!F10+V_11!F10+V_12!F10</f>
        <v>30</v>
      </c>
      <c r="G10" s="154">
        <f t="shared" si="0"/>
        <v>677</v>
      </c>
      <c r="H10" s="44">
        <f>V_10!H10+V_11!H10+V_12!H10</f>
        <v>7</v>
      </c>
      <c r="I10" s="39">
        <f>V_10!I10+V_11!I10+V_12!I10</f>
        <v>0</v>
      </c>
      <c r="J10" s="39">
        <f>V_10!J10+V_11!J10+V_12!J10</f>
        <v>0</v>
      </c>
      <c r="K10" s="45">
        <f>V_10!K10+V_11!K10+V_12!K10</f>
        <v>0</v>
      </c>
      <c r="L10" s="140">
        <f>V_10!L10+V_11!L10+V_12!L10</f>
        <v>10</v>
      </c>
      <c r="M10" s="149">
        <f t="shared" si="1"/>
        <v>17</v>
      </c>
      <c r="N10" s="100">
        <f t="shared" si="2"/>
        <v>694</v>
      </c>
      <c r="O10" s="43">
        <f t="shared" si="3"/>
        <v>742.5</v>
      </c>
    </row>
    <row r="11" spans="1:15" ht="22.5" customHeight="1" x14ac:dyDescent="0.3">
      <c r="A11" s="149" t="s">
        <v>180</v>
      </c>
      <c r="B11" s="44">
        <f>V_10!B11+V_11!B11+V_12!B11</f>
        <v>342</v>
      </c>
      <c r="C11" s="39">
        <f>V_10!C11+V_11!C11+V_12!C11</f>
        <v>385</v>
      </c>
      <c r="D11" s="39">
        <f>V_10!D11+V_11!D11+V_12!D11</f>
        <v>14</v>
      </c>
      <c r="E11" s="39">
        <f>V_10!E11+V_11!E11+V_12!E11</f>
        <v>10</v>
      </c>
      <c r="F11" s="152">
        <f>V_10!F11+V_11!F11+V_12!F11</f>
        <v>35</v>
      </c>
      <c r="G11" s="154">
        <f t="shared" si="0"/>
        <v>786</v>
      </c>
      <c r="H11" s="44">
        <f>V_10!H11+V_11!H11+V_12!H11</f>
        <v>5</v>
      </c>
      <c r="I11" s="39">
        <f>V_10!I11+V_11!I11+V_12!I11</f>
        <v>0</v>
      </c>
      <c r="J11" s="39">
        <f>V_10!J11+V_11!J11+V_12!J11</f>
        <v>0</v>
      </c>
      <c r="K11" s="45">
        <f>V_10!K11+V_11!K11+V_12!K11</f>
        <v>0</v>
      </c>
      <c r="L11" s="140">
        <f>V_10!L11+V_11!L11+V_12!L11</f>
        <v>11</v>
      </c>
      <c r="M11" s="149">
        <f t="shared" si="1"/>
        <v>16</v>
      </c>
      <c r="N11" s="100">
        <f t="shared" si="2"/>
        <v>802</v>
      </c>
      <c r="O11" s="43">
        <f t="shared" si="3"/>
        <v>833.5</v>
      </c>
    </row>
    <row r="12" spans="1:15" ht="22.5" customHeight="1" x14ac:dyDescent="0.3">
      <c r="A12" s="149" t="s">
        <v>181</v>
      </c>
      <c r="B12" s="44">
        <f>V_10!B12+V_11!B12+V_12!B12</f>
        <v>412</v>
      </c>
      <c r="C12" s="39">
        <f>V_10!C12+V_11!C12+V_12!C12</f>
        <v>376</v>
      </c>
      <c r="D12" s="39">
        <f>V_10!D12+V_11!D12+V_12!D12</f>
        <v>18</v>
      </c>
      <c r="E12" s="39">
        <f>V_10!E12+V_11!E12+V_12!E12</f>
        <v>13</v>
      </c>
      <c r="F12" s="152">
        <f>V_10!F12+V_11!F12+V_12!F12</f>
        <v>41</v>
      </c>
      <c r="G12" s="154">
        <f t="shared" si="0"/>
        <v>860</v>
      </c>
      <c r="H12" s="44">
        <f>V_10!H12+V_11!H12+V_12!H12</f>
        <v>5</v>
      </c>
      <c r="I12" s="39">
        <f>V_10!I12+V_11!I12+V_12!I12</f>
        <v>0</v>
      </c>
      <c r="J12" s="39">
        <f>V_10!J12+V_11!J12+V_12!J12</f>
        <v>0</v>
      </c>
      <c r="K12" s="45">
        <f>V_10!K12+V_11!K12+V_12!K12</f>
        <v>0</v>
      </c>
      <c r="L12" s="140">
        <f>V_10!L12+V_11!L12+V_12!L12</f>
        <v>18</v>
      </c>
      <c r="M12" s="149">
        <f t="shared" si="1"/>
        <v>23</v>
      </c>
      <c r="N12" s="100">
        <f t="shared" si="2"/>
        <v>883</v>
      </c>
      <c r="O12" s="43">
        <f t="shared" si="3"/>
        <v>997</v>
      </c>
    </row>
    <row r="13" spans="1:15" ht="22.5" customHeight="1" x14ac:dyDescent="0.3">
      <c r="A13" s="149" t="s">
        <v>182</v>
      </c>
      <c r="B13" s="44">
        <f>V_10!B13+V_11!B13+V_12!B13</f>
        <v>370</v>
      </c>
      <c r="C13" s="39">
        <f>V_10!C13+V_11!C13+V_12!C13</f>
        <v>345</v>
      </c>
      <c r="D13" s="39">
        <f>V_10!D13+V_11!D13+V_12!D13</f>
        <v>17</v>
      </c>
      <c r="E13" s="39">
        <f>V_10!E13+V_11!E13+V_12!E13</f>
        <v>9</v>
      </c>
      <c r="F13" s="152">
        <f>V_10!F13+V_11!F13+V_12!F13</f>
        <v>24</v>
      </c>
      <c r="G13" s="154">
        <f t="shared" si="0"/>
        <v>765</v>
      </c>
      <c r="H13" s="44">
        <f>V_10!H13+V_11!H13+V_12!H13</f>
        <v>4</v>
      </c>
      <c r="I13" s="39">
        <f>V_10!I13+V_11!I13+V_12!I13</f>
        <v>0</v>
      </c>
      <c r="J13" s="39">
        <f>V_10!J13+V_11!J13+V_12!J13</f>
        <v>0</v>
      </c>
      <c r="K13" s="45">
        <f>V_10!K13+V_11!K13+V_12!K13</f>
        <v>0</v>
      </c>
      <c r="L13" s="140">
        <f>V_10!L13+V_11!L13+V_12!L13</f>
        <v>12</v>
      </c>
      <c r="M13" s="149">
        <f t="shared" si="1"/>
        <v>16</v>
      </c>
      <c r="N13" s="100">
        <f t="shared" si="2"/>
        <v>781</v>
      </c>
      <c r="O13" s="43">
        <f t="shared" si="3"/>
        <v>801</v>
      </c>
    </row>
    <row r="14" spans="1:15" ht="22.5" customHeight="1" x14ac:dyDescent="0.3">
      <c r="A14" s="149" t="s">
        <v>183</v>
      </c>
      <c r="B14" s="44">
        <f>V_10!B14+V_11!B14+V_12!B14</f>
        <v>509</v>
      </c>
      <c r="C14" s="39">
        <f>V_10!C14+V_11!C14+V_12!C14</f>
        <v>471</v>
      </c>
      <c r="D14" s="39">
        <f>V_10!D14+V_11!D14+V_12!D14</f>
        <v>23</v>
      </c>
      <c r="E14" s="39">
        <f>V_10!E14+V_11!E14+V_12!E14</f>
        <v>9</v>
      </c>
      <c r="F14" s="152">
        <f>V_10!F14+V_11!F14+V_12!F14</f>
        <v>42</v>
      </c>
      <c r="G14" s="154">
        <f t="shared" si="0"/>
        <v>1054</v>
      </c>
      <c r="H14" s="44">
        <f>V_10!H14+V_11!H14+V_12!H14</f>
        <v>5</v>
      </c>
      <c r="I14" s="39">
        <f>V_10!I14+V_11!I14+V_12!I14</f>
        <v>0</v>
      </c>
      <c r="J14" s="39">
        <f>V_10!J14+V_11!J14+V_12!J14</f>
        <v>0</v>
      </c>
      <c r="K14" s="45">
        <f>V_10!K14+V_11!K14+V_12!K14</f>
        <v>0</v>
      </c>
      <c r="L14" s="140">
        <f>V_10!L14+V_11!L14+V_12!L14</f>
        <v>7</v>
      </c>
      <c r="M14" s="149">
        <f t="shared" si="1"/>
        <v>12</v>
      </c>
      <c r="N14" s="100">
        <f t="shared" si="2"/>
        <v>1066</v>
      </c>
      <c r="O14" s="43">
        <f t="shared" si="3"/>
        <v>1053.5</v>
      </c>
    </row>
    <row r="15" spans="1:15" ht="22.5" customHeight="1" x14ac:dyDescent="0.3">
      <c r="A15" s="149" t="s">
        <v>184</v>
      </c>
      <c r="B15" s="44">
        <f>V_10!B15+V_11!B15+V_12!B15</f>
        <v>492</v>
      </c>
      <c r="C15" s="39">
        <f>V_10!C15+V_11!C15+V_12!C15</f>
        <v>385</v>
      </c>
      <c r="D15" s="39">
        <f>V_10!D15+V_11!D15+V_12!D15</f>
        <v>25</v>
      </c>
      <c r="E15" s="39">
        <f>V_10!E15+V_11!E15+V_12!E15</f>
        <v>10</v>
      </c>
      <c r="F15" s="152">
        <f>V_10!F15+V_11!F15+V_12!F15</f>
        <v>26</v>
      </c>
      <c r="G15" s="154">
        <f t="shared" si="0"/>
        <v>938</v>
      </c>
      <c r="H15" s="44">
        <f>V_10!H15+V_11!H15+V_12!H15</f>
        <v>0</v>
      </c>
      <c r="I15" s="39">
        <f>V_10!I15+V_11!I15+V_12!I15</f>
        <v>0</v>
      </c>
      <c r="J15" s="39">
        <f>V_10!J15+V_11!J15+V_12!J15</f>
        <v>0</v>
      </c>
      <c r="K15" s="45">
        <f>V_10!K15+V_11!K15+V_12!K15</f>
        <v>0</v>
      </c>
      <c r="L15" s="140">
        <f>V_10!L15+V_11!L15+V_12!L15</f>
        <v>4</v>
      </c>
      <c r="M15" s="149">
        <f t="shared" si="1"/>
        <v>4</v>
      </c>
      <c r="N15" s="100">
        <f t="shared" si="2"/>
        <v>942</v>
      </c>
      <c r="O15" s="43">
        <f t="shared" si="3"/>
        <v>901</v>
      </c>
    </row>
    <row r="16" spans="1:15" ht="22.5" customHeight="1" x14ac:dyDescent="0.3">
      <c r="A16" s="149" t="s">
        <v>185</v>
      </c>
      <c r="B16" s="44">
        <f>V_10!B16+V_11!B16+V_12!B16</f>
        <v>488</v>
      </c>
      <c r="C16" s="39">
        <f>V_10!C16+V_11!C16+V_12!C16</f>
        <v>396</v>
      </c>
      <c r="D16" s="39">
        <f>V_10!D16+V_11!D16+V_12!D16</f>
        <v>16</v>
      </c>
      <c r="E16" s="39">
        <f>V_10!E16+V_11!E16+V_12!E16</f>
        <v>10</v>
      </c>
      <c r="F16" s="152">
        <f>V_10!F16+V_11!F16+V_12!F16</f>
        <v>34</v>
      </c>
      <c r="G16" s="154">
        <f t="shared" si="0"/>
        <v>944</v>
      </c>
      <c r="H16" s="44">
        <f>V_10!H16+V_11!H16+V_12!H16</f>
        <v>3</v>
      </c>
      <c r="I16" s="39">
        <f>V_10!I16+V_11!I16+V_12!I16</f>
        <v>0</v>
      </c>
      <c r="J16" s="39">
        <f>V_10!J16+V_11!J16+V_12!J16</f>
        <v>0</v>
      </c>
      <c r="K16" s="45">
        <f>V_10!K16+V_11!K16+V_12!K16</f>
        <v>0</v>
      </c>
      <c r="L16" s="140">
        <f>V_10!L16+V_11!L16+V_12!L16</f>
        <v>3</v>
      </c>
      <c r="M16" s="149">
        <f t="shared" si="1"/>
        <v>6</v>
      </c>
      <c r="N16" s="100">
        <f t="shared" si="2"/>
        <v>950</v>
      </c>
      <c r="O16" s="43">
        <f t="shared" si="3"/>
        <v>918.5</v>
      </c>
    </row>
    <row r="17" spans="1:15" ht="22.5" customHeight="1" x14ac:dyDescent="0.3">
      <c r="A17" s="149" t="s">
        <v>186</v>
      </c>
      <c r="B17" s="44">
        <f>V_10!B17+V_11!B17+V_12!B17</f>
        <v>505</v>
      </c>
      <c r="C17" s="39">
        <f>V_10!C17+V_11!C17+V_12!C17</f>
        <v>331</v>
      </c>
      <c r="D17" s="39">
        <f>V_10!D17+V_11!D17+V_12!D17</f>
        <v>25</v>
      </c>
      <c r="E17" s="39">
        <f>V_10!E17+V_11!E17+V_12!E17</f>
        <v>18</v>
      </c>
      <c r="F17" s="152">
        <f>V_10!F17+V_11!F17+V_12!F17</f>
        <v>31</v>
      </c>
      <c r="G17" s="154">
        <f t="shared" si="0"/>
        <v>910</v>
      </c>
      <c r="H17" s="44">
        <f>V_10!H17+V_11!H17+V_12!H17</f>
        <v>0</v>
      </c>
      <c r="I17" s="39">
        <f>V_10!I17+V_11!I17+V_12!I17</f>
        <v>0</v>
      </c>
      <c r="J17" s="39">
        <f>V_10!J17+V_11!J17+V_12!J17</f>
        <v>0</v>
      </c>
      <c r="K17" s="45">
        <f>V_10!K17+V_11!K17+V_12!K17</f>
        <v>0</v>
      </c>
      <c r="L17" s="140">
        <f>V_10!L17+V_11!L17+V_12!L17</f>
        <v>2</v>
      </c>
      <c r="M17" s="149">
        <f t="shared" si="1"/>
        <v>2</v>
      </c>
      <c r="N17" s="100">
        <f t="shared" si="2"/>
        <v>912</v>
      </c>
      <c r="O17" s="43">
        <f t="shared" si="3"/>
        <v>917.5</v>
      </c>
    </row>
    <row r="18" spans="1:15" ht="22.5" customHeight="1" x14ac:dyDescent="0.3">
      <c r="A18" s="149" t="s">
        <v>187</v>
      </c>
      <c r="B18" s="44">
        <f>V_10!B18+V_11!B18+V_12!B18</f>
        <v>482</v>
      </c>
      <c r="C18" s="39">
        <f>V_10!C18+V_11!C18+V_12!C18</f>
        <v>317</v>
      </c>
      <c r="D18" s="39">
        <f>V_10!D18+V_11!D18+V_12!D18</f>
        <v>20</v>
      </c>
      <c r="E18" s="39">
        <f>V_10!E18+V_11!E18+V_12!E18</f>
        <v>17</v>
      </c>
      <c r="F18" s="152">
        <f>V_10!F18+V_11!F18+V_12!F18</f>
        <v>23</v>
      </c>
      <c r="G18" s="154">
        <f t="shared" si="0"/>
        <v>859</v>
      </c>
      <c r="H18" s="44">
        <f>V_10!H18+V_11!H18+V_12!H18</f>
        <v>1</v>
      </c>
      <c r="I18" s="39">
        <f>V_10!I18+V_11!I18+V_12!I18</f>
        <v>0</v>
      </c>
      <c r="J18" s="39">
        <f>V_10!J18+V_11!J18+V_12!J18</f>
        <v>0</v>
      </c>
      <c r="K18" s="45">
        <f>V_10!K18+V_11!K18+V_12!K18</f>
        <v>0</v>
      </c>
      <c r="L18" s="140">
        <f>V_10!L18+V_11!L18+V_12!L18</f>
        <v>2</v>
      </c>
      <c r="M18" s="149">
        <f t="shared" si="1"/>
        <v>3</v>
      </c>
      <c r="N18" s="100">
        <f t="shared" si="2"/>
        <v>862</v>
      </c>
      <c r="O18" s="43">
        <f t="shared" si="3"/>
        <v>841.5</v>
      </c>
    </row>
    <row r="19" spans="1:15" ht="22.5" customHeight="1" x14ac:dyDescent="0.3">
      <c r="A19" s="149" t="s">
        <v>188</v>
      </c>
      <c r="B19" s="44">
        <f>V_10!B19+V_11!B19+V_12!B19</f>
        <v>482</v>
      </c>
      <c r="C19" s="39">
        <f>V_10!C19+V_11!C19+V_12!C19</f>
        <v>292</v>
      </c>
      <c r="D19" s="39">
        <f>V_10!D19+V_11!D19+V_12!D19</f>
        <v>30</v>
      </c>
      <c r="E19" s="39">
        <f>V_10!E19+V_11!E19+V_12!E19</f>
        <v>10</v>
      </c>
      <c r="F19" s="152">
        <f>V_10!F19+V_11!F19+V_12!F19</f>
        <v>40</v>
      </c>
      <c r="G19" s="154">
        <f t="shared" si="0"/>
        <v>854</v>
      </c>
      <c r="H19" s="44">
        <f>V_10!H19+V_11!H19+V_12!H19</f>
        <v>0</v>
      </c>
      <c r="I19" s="39">
        <f>V_10!I19+V_11!I19+V_12!I19</f>
        <v>0</v>
      </c>
      <c r="J19" s="39">
        <f>V_10!J19+V_11!J19+V_12!J19</f>
        <v>0</v>
      </c>
      <c r="K19" s="45">
        <f>V_10!K19+V_11!K19+V_12!K19</f>
        <v>0</v>
      </c>
      <c r="L19" s="140">
        <f>V_10!L19+V_11!L19+V_12!L19</f>
        <v>4</v>
      </c>
      <c r="M19" s="149">
        <f t="shared" si="1"/>
        <v>4</v>
      </c>
      <c r="N19" s="100">
        <f t="shared" si="2"/>
        <v>858</v>
      </c>
      <c r="O19" s="43">
        <f t="shared" si="3"/>
        <v>915</v>
      </c>
    </row>
    <row r="20" spans="1:15" ht="22.5" customHeight="1" x14ac:dyDescent="0.3">
      <c r="A20" s="149" t="s">
        <v>189</v>
      </c>
      <c r="B20" s="44">
        <f>V_10!B20+V_11!B20+V_12!B20</f>
        <v>404</v>
      </c>
      <c r="C20" s="39">
        <f>V_10!C20+V_11!C20+V_12!C20</f>
        <v>252</v>
      </c>
      <c r="D20" s="39">
        <f>V_10!D20+V_11!D20+V_12!D20</f>
        <v>19</v>
      </c>
      <c r="E20" s="39">
        <f>V_10!E20+V_11!E20+V_12!E20</f>
        <v>13</v>
      </c>
      <c r="F20" s="152">
        <f>V_10!F20+V_11!F20+V_12!F20</f>
        <v>40</v>
      </c>
      <c r="G20" s="154">
        <f t="shared" si="0"/>
        <v>728</v>
      </c>
      <c r="H20" s="44">
        <f>V_10!H20+V_11!H20+V_12!H20</f>
        <v>0</v>
      </c>
      <c r="I20" s="39">
        <f>V_10!I20+V_11!I20+V_12!I20</f>
        <v>0</v>
      </c>
      <c r="J20" s="39">
        <f>V_10!J20+V_11!J20+V_12!J20</f>
        <v>0</v>
      </c>
      <c r="K20" s="45">
        <f>V_10!K20+V_11!K20+V_12!K20</f>
        <v>0</v>
      </c>
      <c r="L20" s="140">
        <f>V_10!L20+V_11!L20+V_12!L20</f>
        <v>4</v>
      </c>
      <c r="M20" s="149">
        <f t="shared" si="1"/>
        <v>4</v>
      </c>
      <c r="N20" s="100">
        <f t="shared" si="2"/>
        <v>732</v>
      </c>
      <c r="O20" s="43">
        <f t="shared" si="3"/>
        <v>809.5</v>
      </c>
    </row>
    <row r="21" spans="1:15" ht="22.5" customHeight="1" x14ac:dyDescent="0.3">
      <c r="A21" s="149" t="s">
        <v>190</v>
      </c>
      <c r="B21" s="44">
        <f>V_10!B21+V_11!B21+V_12!B21</f>
        <v>522</v>
      </c>
      <c r="C21" s="39">
        <f>V_10!C21+V_11!C21+V_12!C21</f>
        <v>308</v>
      </c>
      <c r="D21" s="39">
        <f>V_10!D21+V_11!D21+V_12!D21</f>
        <v>21</v>
      </c>
      <c r="E21" s="39">
        <f>V_10!E21+V_11!E21+V_12!E21</f>
        <v>11</v>
      </c>
      <c r="F21" s="152">
        <f>V_10!F21+V_11!F21+V_12!F21</f>
        <v>53</v>
      </c>
      <c r="G21" s="154">
        <f t="shared" si="0"/>
        <v>915</v>
      </c>
      <c r="H21" s="44">
        <f>V_10!H21+V_11!H21+V_12!H21</f>
        <v>2</v>
      </c>
      <c r="I21" s="39">
        <f>V_10!I21+V_11!I21+V_12!I21</f>
        <v>0</v>
      </c>
      <c r="J21" s="39">
        <f>V_10!J21+V_11!J21+V_12!J21</f>
        <v>0</v>
      </c>
      <c r="K21" s="45">
        <f>V_10!K21+V_11!K21+V_12!K21</f>
        <v>0</v>
      </c>
      <c r="L21" s="140">
        <f>V_10!L21+V_11!L21+V_12!L21</f>
        <v>4</v>
      </c>
      <c r="M21" s="149">
        <f t="shared" si="1"/>
        <v>6</v>
      </c>
      <c r="N21" s="100">
        <f t="shared" si="2"/>
        <v>921</v>
      </c>
      <c r="O21" s="43">
        <f t="shared" si="3"/>
        <v>1012</v>
      </c>
    </row>
    <row r="22" spans="1:15" ht="22.5" customHeight="1" x14ac:dyDescent="0.3">
      <c r="A22" s="149" t="s">
        <v>191</v>
      </c>
      <c r="B22" s="44">
        <f>V_10!B22+V_11!B22+V_12!B22</f>
        <v>421</v>
      </c>
      <c r="C22" s="39">
        <f>V_10!C22+V_11!C22+V_12!C22</f>
        <v>210</v>
      </c>
      <c r="D22" s="39">
        <f>V_10!D22+V_11!D22+V_12!D22</f>
        <v>23</v>
      </c>
      <c r="E22" s="39">
        <f>V_10!E22+V_11!E22+V_12!E22</f>
        <v>9</v>
      </c>
      <c r="F22" s="152">
        <f>V_10!F22+V_11!F22+V_12!F22</f>
        <v>36</v>
      </c>
      <c r="G22" s="154">
        <f t="shared" si="0"/>
        <v>699</v>
      </c>
      <c r="H22" s="44">
        <f>V_10!H22+V_11!H22+V_12!H22</f>
        <v>0</v>
      </c>
      <c r="I22" s="39">
        <f>V_10!I22+V_11!I22+V_12!I22</f>
        <v>0</v>
      </c>
      <c r="J22" s="39">
        <f>V_10!J22+V_11!J22+V_12!J22</f>
        <v>0</v>
      </c>
      <c r="K22" s="45">
        <f>V_10!K22+V_11!K22+V_12!K22</f>
        <v>0</v>
      </c>
      <c r="L22" s="140">
        <f>V_10!L22+V_11!L22+V_12!L22</f>
        <v>6</v>
      </c>
      <c r="M22" s="149">
        <f t="shared" si="1"/>
        <v>6</v>
      </c>
      <c r="N22" s="100">
        <f t="shared" si="2"/>
        <v>705</v>
      </c>
      <c r="O22" s="43">
        <f t="shared" si="3"/>
        <v>797.5</v>
      </c>
    </row>
    <row r="23" spans="1:15" ht="22.5" customHeight="1" x14ac:dyDescent="0.3">
      <c r="A23" s="149" t="s">
        <v>192</v>
      </c>
      <c r="B23" s="44">
        <f>V_10!B23+V_11!B23+V_12!B23</f>
        <v>468</v>
      </c>
      <c r="C23" s="39">
        <f>V_10!C23+V_11!C23+V_12!C23</f>
        <v>208</v>
      </c>
      <c r="D23" s="39">
        <f>V_10!D23+V_11!D23+V_12!D23</f>
        <v>23</v>
      </c>
      <c r="E23" s="39">
        <f>V_10!E23+V_11!E23+V_12!E23</f>
        <v>10</v>
      </c>
      <c r="F23" s="152">
        <f>V_10!F23+V_11!F23+V_12!F23</f>
        <v>48</v>
      </c>
      <c r="G23" s="154">
        <f t="shared" si="0"/>
        <v>757</v>
      </c>
      <c r="H23" s="44">
        <f>V_10!H23+V_11!H23+V_12!H23</f>
        <v>1</v>
      </c>
      <c r="I23" s="39">
        <f>V_10!I23+V_11!I23+V_12!I23</f>
        <v>0</v>
      </c>
      <c r="J23" s="39">
        <f>V_10!J23+V_11!J23+V_12!J23</f>
        <v>0</v>
      </c>
      <c r="K23" s="45">
        <f>V_10!K23+V_11!K23+V_12!K23</f>
        <v>0</v>
      </c>
      <c r="L23" s="140">
        <f>V_10!L23+V_11!L23+V_12!L23</f>
        <v>4</v>
      </c>
      <c r="M23" s="149">
        <f t="shared" si="1"/>
        <v>5</v>
      </c>
      <c r="N23" s="100">
        <f t="shared" si="2"/>
        <v>762</v>
      </c>
      <c r="O23" s="43">
        <f t="shared" si="3"/>
        <v>885</v>
      </c>
    </row>
    <row r="24" spans="1:15" ht="22.5" customHeight="1" x14ac:dyDescent="0.3">
      <c r="A24" s="149" t="s">
        <v>193</v>
      </c>
      <c r="B24" s="44">
        <f>V_10!B24+V_11!B24+V_12!B24</f>
        <v>387</v>
      </c>
      <c r="C24" s="39">
        <f>V_10!C24+V_11!C24+V_12!C24</f>
        <v>225</v>
      </c>
      <c r="D24" s="39">
        <f>V_10!D24+V_11!D24+V_12!D24</f>
        <v>31</v>
      </c>
      <c r="E24" s="39">
        <f>V_10!E24+V_11!E24+V_12!E24</f>
        <v>12</v>
      </c>
      <c r="F24" s="152">
        <f>V_10!F24+V_11!F24+V_12!F24</f>
        <v>39</v>
      </c>
      <c r="G24" s="154">
        <f t="shared" si="0"/>
        <v>694</v>
      </c>
      <c r="H24" s="44">
        <f>V_10!H24+V_11!H24+V_12!H24</f>
        <v>0</v>
      </c>
      <c r="I24" s="39">
        <f>V_10!I24+V_11!I24+V_12!I24</f>
        <v>0</v>
      </c>
      <c r="J24" s="39">
        <f>V_10!J24+V_11!J24+V_12!J24</f>
        <v>0</v>
      </c>
      <c r="K24" s="45">
        <f>V_10!K24+V_11!K24+V_12!K24</f>
        <v>0</v>
      </c>
      <c r="L24" s="140">
        <f>V_10!L24+V_11!L24+V_12!L24</f>
        <v>3</v>
      </c>
      <c r="M24" s="149">
        <f t="shared" si="1"/>
        <v>3</v>
      </c>
      <c r="N24" s="100">
        <f t="shared" si="2"/>
        <v>697</v>
      </c>
      <c r="O24" s="43">
        <f t="shared" si="3"/>
        <v>781.5</v>
      </c>
    </row>
    <row r="25" spans="1:15" ht="22.5" customHeight="1" x14ac:dyDescent="0.3">
      <c r="A25" s="149" t="s">
        <v>194</v>
      </c>
      <c r="B25" s="44">
        <f>V_10!B25+V_11!B25+V_12!B25</f>
        <v>408</v>
      </c>
      <c r="C25" s="39">
        <f>V_10!C25+V_11!C25+V_12!C25</f>
        <v>163</v>
      </c>
      <c r="D25" s="39">
        <f>V_10!D25+V_11!D25+V_12!D25</f>
        <v>34</v>
      </c>
      <c r="E25" s="39">
        <f>V_10!E25+V_11!E25+V_12!E25</f>
        <v>10</v>
      </c>
      <c r="F25" s="152">
        <f>V_10!F25+V_11!F25+V_12!F25</f>
        <v>35</v>
      </c>
      <c r="G25" s="154">
        <f t="shared" si="0"/>
        <v>650</v>
      </c>
      <c r="H25" s="44">
        <f>V_10!H25+V_11!H25+V_12!H25</f>
        <v>0</v>
      </c>
      <c r="I25" s="39">
        <f>V_10!I25+V_11!I25+V_12!I25</f>
        <v>0</v>
      </c>
      <c r="J25" s="39">
        <f>V_10!J25+V_11!J25+V_12!J25</f>
        <v>0</v>
      </c>
      <c r="K25" s="45">
        <f>V_10!K25+V_11!K25+V_12!K25</f>
        <v>0</v>
      </c>
      <c r="L25" s="140">
        <f>V_10!L25+V_11!L25+V_12!L25</f>
        <v>0</v>
      </c>
      <c r="M25" s="149">
        <f t="shared" si="1"/>
        <v>0</v>
      </c>
      <c r="N25" s="100">
        <f t="shared" si="2"/>
        <v>650</v>
      </c>
      <c r="O25" s="43">
        <f t="shared" si="3"/>
        <v>728</v>
      </c>
    </row>
    <row r="26" spans="1:15" ht="22.5" customHeight="1" x14ac:dyDescent="0.3">
      <c r="A26" s="149" t="s">
        <v>195</v>
      </c>
      <c r="B26" s="44">
        <f>V_10!B26+V_11!B26+V_12!B26</f>
        <v>344</v>
      </c>
      <c r="C26" s="39">
        <f>V_10!C26+V_11!C26+V_12!C26</f>
        <v>166</v>
      </c>
      <c r="D26" s="39">
        <f>V_10!D26+V_11!D26+V_12!D26</f>
        <v>34</v>
      </c>
      <c r="E26" s="39">
        <f>V_10!E26+V_11!E26+V_12!E26</f>
        <v>21</v>
      </c>
      <c r="F26" s="152">
        <f>V_10!F26+V_11!F26+V_12!F26</f>
        <v>37</v>
      </c>
      <c r="G26" s="154">
        <f t="shared" si="0"/>
        <v>602</v>
      </c>
      <c r="H26" s="44">
        <f>V_10!H26+V_11!H26+V_12!H26</f>
        <v>0</v>
      </c>
      <c r="I26" s="39">
        <f>V_10!I26+V_11!I26+V_12!I26</f>
        <v>0</v>
      </c>
      <c r="J26" s="39">
        <f>V_10!J26+V_11!J26+V_12!J26</f>
        <v>1</v>
      </c>
      <c r="K26" s="45">
        <f>V_10!K26+V_11!K26+V_12!K26</f>
        <v>0</v>
      </c>
      <c r="L26" s="140">
        <f>V_10!L26+V_11!L26+V_12!L26</f>
        <v>4</v>
      </c>
      <c r="M26" s="149">
        <f t="shared" si="1"/>
        <v>5</v>
      </c>
      <c r="N26" s="100">
        <f t="shared" si="2"/>
        <v>607</v>
      </c>
      <c r="O26" s="43">
        <f t="shared" si="3"/>
        <v>742.5</v>
      </c>
    </row>
    <row r="27" spans="1:15" ht="22.5" customHeight="1" x14ac:dyDescent="0.3">
      <c r="A27" s="149" t="s">
        <v>196</v>
      </c>
      <c r="B27" s="44">
        <f>V_10!B27+V_11!B27+V_12!B27</f>
        <v>325</v>
      </c>
      <c r="C27" s="39">
        <f>V_10!C27+V_11!C27+V_12!C27</f>
        <v>192</v>
      </c>
      <c r="D27" s="39">
        <f>V_10!D27+V_11!D27+V_12!D27</f>
        <v>33</v>
      </c>
      <c r="E27" s="39">
        <f>V_10!E27+V_11!E27+V_12!E27</f>
        <v>13</v>
      </c>
      <c r="F27" s="152">
        <f>V_10!F27+V_11!F27+V_12!F27</f>
        <v>44</v>
      </c>
      <c r="G27" s="154">
        <f t="shared" si="0"/>
        <v>607</v>
      </c>
      <c r="H27" s="44">
        <f>V_10!H27+V_11!H27+V_12!H27</f>
        <v>0</v>
      </c>
      <c r="I27" s="39">
        <f>V_10!I27+V_11!I27+V_12!I27</f>
        <v>0</v>
      </c>
      <c r="J27" s="39">
        <f>V_10!J27+V_11!J27+V_12!J27</f>
        <v>0</v>
      </c>
      <c r="K27" s="45">
        <f>V_10!K27+V_11!K27+V_12!K27</f>
        <v>0</v>
      </c>
      <c r="L27" s="140">
        <f>V_10!L27+V_11!L27+V_12!L27</f>
        <v>3</v>
      </c>
      <c r="M27" s="149">
        <f t="shared" si="1"/>
        <v>3</v>
      </c>
      <c r="N27" s="100">
        <f t="shared" si="2"/>
        <v>610</v>
      </c>
      <c r="O27" s="43">
        <f t="shared" si="3"/>
        <v>731.5</v>
      </c>
    </row>
    <row r="28" spans="1:15" ht="22.5" customHeight="1" x14ac:dyDescent="0.3">
      <c r="A28" s="149" t="s">
        <v>197</v>
      </c>
      <c r="B28" s="44">
        <f>V_10!B28+V_11!B28+V_12!B28</f>
        <v>370</v>
      </c>
      <c r="C28" s="39">
        <f>V_10!C28+V_11!C28+V_12!C28</f>
        <v>167</v>
      </c>
      <c r="D28" s="39">
        <f>V_10!D28+V_11!D28+V_12!D28</f>
        <v>35</v>
      </c>
      <c r="E28" s="39">
        <f>V_10!E28+V_11!E28+V_12!E28</f>
        <v>13</v>
      </c>
      <c r="F28" s="152">
        <f>V_10!F28+V_11!F28+V_12!F28</f>
        <v>50</v>
      </c>
      <c r="G28" s="154">
        <f t="shared" si="0"/>
        <v>635</v>
      </c>
      <c r="H28" s="44">
        <f>V_10!H28+V_11!H28+V_12!H28</f>
        <v>0</v>
      </c>
      <c r="I28" s="39">
        <f>V_10!I28+V_11!I28+V_12!I28</f>
        <v>0</v>
      </c>
      <c r="J28" s="39">
        <f>V_10!J28+V_11!J28+V_12!J28</f>
        <v>1</v>
      </c>
      <c r="K28" s="45">
        <f>V_10!K28+V_11!K28+V_12!K28</f>
        <v>0</v>
      </c>
      <c r="L28" s="140">
        <f>V_10!L28+V_11!L28+V_12!L28</f>
        <v>0</v>
      </c>
      <c r="M28" s="149">
        <f t="shared" si="1"/>
        <v>1</v>
      </c>
      <c r="N28" s="100">
        <f t="shared" si="2"/>
        <v>636</v>
      </c>
      <c r="O28" s="43">
        <f t="shared" si="3"/>
        <v>773</v>
      </c>
    </row>
    <row r="29" spans="1:15" ht="22.5" customHeight="1" x14ac:dyDescent="0.3">
      <c r="A29" s="149" t="s">
        <v>198</v>
      </c>
      <c r="B29" s="44">
        <f>V_10!B29+V_11!B29+V_12!B29</f>
        <v>395</v>
      </c>
      <c r="C29" s="39">
        <f>V_10!C29+V_11!C29+V_12!C29</f>
        <v>176</v>
      </c>
      <c r="D29" s="39">
        <f>V_10!D29+V_11!D29+V_12!D29</f>
        <v>34</v>
      </c>
      <c r="E29" s="39">
        <f>V_10!E29+V_11!E29+V_12!E29</f>
        <v>10</v>
      </c>
      <c r="F29" s="152">
        <f>V_10!F29+V_11!F29+V_12!F29</f>
        <v>41</v>
      </c>
      <c r="G29" s="154">
        <f t="shared" si="0"/>
        <v>656</v>
      </c>
      <c r="H29" s="44">
        <f>V_10!H29+V_11!H29+V_12!H29</f>
        <v>2</v>
      </c>
      <c r="I29" s="39">
        <f>V_10!I29+V_11!I29+V_12!I29</f>
        <v>0</v>
      </c>
      <c r="J29" s="39">
        <f>V_10!J29+V_11!J29+V_12!J29</f>
        <v>0</v>
      </c>
      <c r="K29" s="45">
        <f>V_10!K29+V_11!K29+V_12!K29</f>
        <v>0</v>
      </c>
      <c r="L29" s="140">
        <f>V_10!L29+V_11!L29+V_12!L29</f>
        <v>0</v>
      </c>
      <c r="M29" s="149">
        <f t="shared" si="1"/>
        <v>2</v>
      </c>
      <c r="N29" s="100">
        <f t="shared" si="2"/>
        <v>658</v>
      </c>
      <c r="O29" s="43">
        <f t="shared" si="3"/>
        <v>749.5</v>
      </c>
    </row>
    <row r="30" spans="1:15" ht="22.5" customHeight="1" x14ac:dyDescent="0.3">
      <c r="A30" s="149" t="s">
        <v>199</v>
      </c>
      <c r="B30" s="44">
        <f>V_10!B30+V_11!B30+V_12!B30</f>
        <v>363</v>
      </c>
      <c r="C30" s="39">
        <f>V_10!C30+V_11!C30+V_12!C30</f>
        <v>181</v>
      </c>
      <c r="D30" s="39">
        <f>V_10!D30+V_11!D30+V_12!D30</f>
        <v>44</v>
      </c>
      <c r="E30" s="39">
        <f>V_10!E30+V_11!E30+V_12!E30</f>
        <v>10</v>
      </c>
      <c r="F30" s="152">
        <f>V_10!F30+V_11!F30+V_12!F30</f>
        <v>43</v>
      </c>
      <c r="G30" s="154">
        <f t="shared" si="0"/>
        <v>641</v>
      </c>
      <c r="H30" s="44">
        <f>V_10!H30+V_11!H30+V_12!H30</f>
        <v>2</v>
      </c>
      <c r="I30" s="39">
        <f>V_10!I30+V_11!I30+V_12!I30</f>
        <v>0</v>
      </c>
      <c r="J30" s="39">
        <f>V_10!J30+V_11!J30+V_12!J30</f>
        <v>0</v>
      </c>
      <c r="K30" s="45">
        <f>V_10!K30+V_11!K30+V_12!K30</f>
        <v>0</v>
      </c>
      <c r="L30" s="140">
        <f>V_10!L30+V_11!L30+V_12!L30</f>
        <v>3</v>
      </c>
      <c r="M30" s="149">
        <f t="shared" si="1"/>
        <v>5</v>
      </c>
      <c r="N30" s="100">
        <f t="shared" si="2"/>
        <v>646</v>
      </c>
      <c r="O30" s="43">
        <f t="shared" si="3"/>
        <v>768</v>
      </c>
    </row>
    <row r="31" spans="1:15" ht="22.5" customHeight="1" x14ac:dyDescent="0.3">
      <c r="A31" s="149" t="s">
        <v>200</v>
      </c>
      <c r="B31" s="44">
        <f>V_10!B31+V_11!B31+V_12!B31</f>
        <v>405</v>
      </c>
      <c r="C31" s="39">
        <f>V_10!C31+V_11!C31+V_12!C31</f>
        <v>187</v>
      </c>
      <c r="D31" s="39">
        <f>V_10!D31+V_11!D31+V_12!D31</f>
        <v>28</v>
      </c>
      <c r="E31" s="39">
        <f>V_10!E31+V_11!E31+V_12!E31</f>
        <v>10</v>
      </c>
      <c r="F31" s="152">
        <f>V_10!F31+V_11!F31+V_12!F31</f>
        <v>59</v>
      </c>
      <c r="G31" s="154">
        <f t="shared" si="0"/>
        <v>689</v>
      </c>
      <c r="H31" s="44">
        <f>V_10!H31+V_11!H31+V_12!H31</f>
        <v>0</v>
      </c>
      <c r="I31" s="39">
        <f>V_10!I31+V_11!I31+V_12!I31</f>
        <v>0</v>
      </c>
      <c r="J31" s="39">
        <f>V_10!J31+V_11!J31+V_12!J31</f>
        <v>0</v>
      </c>
      <c r="K31" s="45">
        <f>V_10!K31+V_11!K31+V_12!K31</f>
        <v>0</v>
      </c>
      <c r="L31" s="140">
        <f>V_10!L31+V_11!L31+V_12!L31</f>
        <v>2</v>
      </c>
      <c r="M31" s="149">
        <f t="shared" si="1"/>
        <v>2</v>
      </c>
      <c r="N31" s="100">
        <f t="shared" si="2"/>
        <v>691</v>
      </c>
      <c r="O31" s="43">
        <f t="shared" si="3"/>
        <v>852</v>
      </c>
    </row>
    <row r="32" spans="1:15" ht="22.5" customHeight="1" x14ac:dyDescent="0.3">
      <c r="A32" s="149" t="s">
        <v>201</v>
      </c>
      <c r="B32" s="44">
        <f>V_10!B32+V_11!B32+V_12!B32</f>
        <v>330</v>
      </c>
      <c r="C32" s="39">
        <f>V_10!C32+V_11!C32+V_12!C32</f>
        <v>158</v>
      </c>
      <c r="D32" s="39">
        <f>V_10!D32+V_11!D32+V_12!D32</f>
        <v>40</v>
      </c>
      <c r="E32" s="39">
        <f>V_10!E32+V_11!E32+V_12!E32</f>
        <v>15</v>
      </c>
      <c r="F32" s="152">
        <f>V_10!F32+V_11!F32+V_12!F32</f>
        <v>55</v>
      </c>
      <c r="G32" s="154">
        <f t="shared" si="0"/>
        <v>598</v>
      </c>
      <c r="H32" s="44">
        <f>V_10!H32+V_11!H32+V_12!H32</f>
        <v>0</v>
      </c>
      <c r="I32" s="39">
        <f>V_10!I32+V_11!I32+V_12!I32</f>
        <v>0</v>
      </c>
      <c r="J32" s="39">
        <f>V_10!J32+V_11!J32+V_12!J32</f>
        <v>0</v>
      </c>
      <c r="K32" s="45">
        <f>V_10!K32+V_11!K32+V_12!K32</f>
        <v>0</v>
      </c>
      <c r="L32" s="140">
        <f>V_10!L32+V_11!L32+V_12!L32</f>
        <v>2</v>
      </c>
      <c r="M32" s="149">
        <f t="shared" si="1"/>
        <v>2</v>
      </c>
      <c r="N32" s="100">
        <f t="shared" si="2"/>
        <v>600</v>
      </c>
      <c r="O32" s="43">
        <f t="shared" si="3"/>
        <v>777.5</v>
      </c>
    </row>
    <row r="33" spans="1:15" ht="22.5" customHeight="1" x14ac:dyDescent="0.3">
      <c r="A33" s="149" t="s">
        <v>202</v>
      </c>
      <c r="B33" s="44">
        <f>V_10!B33+V_11!B33+V_12!B33</f>
        <v>294</v>
      </c>
      <c r="C33" s="39">
        <f>V_10!C33+V_11!C33+V_12!C33</f>
        <v>118</v>
      </c>
      <c r="D33" s="39">
        <f>V_10!D33+V_11!D33+V_12!D33</f>
        <v>39</v>
      </c>
      <c r="E33" s="39">
        <f>V_10!E33+V_11!E33+V_12!E33</f>
        <v>13</v>
      </c>
      <c r="F33" s="152">
        <f>V_10!F33+V_11!F33+V_12!F33</f>
        <v>61</v>
      </c>
      <c r="G33" s="154">
        <f t="shared" si="0"/>
        <v>525</v>
      </c>
      <c r="H33" s="44">
        <f>V_10!H33+V_11!H33+V_12!H33</f>
        <v>0</v>
      </c>
      <c r="I33" s="39">
        <f>V_10!I33+V_11!I33+V_12!I33</f>
        <v>0</v>
      </c>
      <c r="J33" s="39">
        <f>V_10!J33+V_11!J33+V_12!J33</f>
        <v>0</v>
      </c>
      <c r="K33" s="45">
        <f>V_10!K33+V_11!K33+V_12!K33</f>
        <v>0</v>
      </c>
      <c r="L33" s="140">
        <f>V_10!L33+V_11!L33+V_12!L33</f>
        <v>4</v>
      </c>
      <c r="M33" s="149">
        <f t="shared" si="1"/>
        <v>4</v>
      </c>
      <c r="N33" s="100">
        <f t="shared" si="2"/>
        <v>529</v>
      </c>
      <c r="O33" s="43">
        <f t="shared" si="3"/>
        <v>757</v>
      </c>
    </row>
    <row r="34" spans="1:15" ht="22.5" customHeight="1" x14ac:dyDescent="0.3">
      <c r="A34" s="149" t="s">
        <v>203</v>
      </c>
      <c r="B34" s="44">
        <f>V_10!B34+V_11!B34+V_12!B34</f>
        <v>355</v>
      </c>
      <c r="C34" s="39">
        <f>V_10!C34+V_11!C34+V_12!C34</f>
        <v>141</v>
      </c>
      <c r="D34" s="39">
        <f>V_10!D34+V_11!D34+V_12!D34</f>
        <v>38</v>
      </c>
      <c r="E34" s="39">
        <f>V_10!E34+V_11!E34+V_12!E34</f>
        <v>14</v>
      </c>
      <c r="F34" s="152">
        <f>V_10!F34+V_11!F34+V_12!F34</f>
        <v>56</v>
      </c>
      <c r="G34" s="154">
        <f t="shared" si="0"/>
        <v>604</v>
      </c>
      <c r="H34" s="44">
        <f>V_10!H34+V_11!H34+V_12!H34</f>
        <v>0</v>
      </c>
      <c r="I34" s="39">
        <f>V_10!I34+V_11!I34+V_12!I34</f>
        <v>0</v>
      </c>
      <c r="J34" s="39">
        <f>V_10!J34+V_11!J34+V_12!J34</f>
        <v>1</v>
      </c>
      <c r="K34" s="45">
        <f>V_10!K34+V_11!K34+V_12!K34</f>
        <v>0</v>
      </c>
      <c r="L34" s="140">
        <f>V_10!L34+V_11!L34+V_12!L34</f>
        <v>1</v>
      </c>
      <c r="M34" s="149">
        <f t="shared" si="1"/>
        <v>2</v>
      </c>
      <c r="N34" s="100">
        <f t="shared" si="2"/>
        <v>606</v>
      </c>
      <c r="O34" s="43">
        <f t="shared" si="3"/>
        <v>787.5</v>
      </c>
    </row>
    <row r="35" spans="1:15" ht="22.5" customHeight="1" x14ac:dyDescent="0.3">
      <c r="A35" s="149" t="s">
        <v>204</v>
      </c>
      <c r="B35" s="44">
        <f>V_10!B35+V_11!B35+V_12!B35</f>
        <v>352</v>
      </c>
      <c r="C35" s="39">
        <f>V_10!C35+V_11!C35+V_12!C35</f>
        <v>145</v>
      </c>
      <c r="D35" s="39">
        <f>V_10!D35+V_11!D35+V_12!D35</f>
        <v>44</v>
      </c>
      <c r="E35" s="39">
        <f>V_10!E35+V_11!E35+V_12!E35</f>
        <v>15</v>
      </c>
      <c r="F35" s="152">
        <f>V_10!F35+V_11!F35+V_12!F35</f>
        <v>41</v>
      </c>
      <c r="G35" s="154">
        <f t="shared" si="0"/>
        <v>597</v>
      </c>
      <c r="H35" s="44">
        <f>V_10!H35+V_11!H35+V_12!H35</f>
        <v>0</v>
      </c>
      <c r="I35" s="39">
        <f>V_10!I35+V_11!I35+V_12!I35</f>
        <v>0</v>
      </c>
      <c r="J35" s="39">
        <f>V_10!J35+V_11!J35+V_12!J35</f>
        <v>0</v>
      </c>
      <c r="K35" s="45">
        <f>V_10!K35+V_11!K35+V_12!K35</f>
        <v>0</v>
      </c>
      <c r="L35" s="140">
        <f>V_10!L35+V_11!L35+V_12!L35</f>
        <v>2</v>
      </c>
      <c r="M35" s="149">
        <f t="shared" si="1"/>
        <v>2</v>
      </c>
      <c r="N35" s="100">
        <f t="shared" si="2"/>
        <v>599</v>
      </c>
      <c r="O35" s="43">
        <f t="shared" si="3"/>
        <v>736</v>
      </c>
    </row>
    <row r="36" spans="1:15" ht="22.5" customHeight="1" x14ac:dyDescent="0.3">
      <c r="A36" s="149" t="s">
        <v>205</v>
      </c>
      <c r="B36" s="44">
        <f>V_10!B36+V_11!B36+V_12!B36</f>
        <v>375</v>
      </c>
      <c r="C36" s="39">
        <f>V_10!C36+V_11!C36+V_12!C36</f>
        <v>113</v>
      </c>
      <c r="D36" s="39">
        <f>V_10!D36+V_11!D36+V_12!D36</f>
        <v>39</v>
      </c>
      <c r="E36" s="39">
        <f>V_10!E36+V_11!E36+V_12!E36</f>
        <v>13</v>
      </c>
      <c r="F36" s="152">
        <f>V_10!F36+V_11!F36+V_12!F36</f>
        <v>70</v>
      </c>
      <c r="G36" s="154">
        <f t="shared" si="0"/>
        <v>610</v>
      </c>
      <c r="H36" s="44">
        <f>V_10!H36+V_11!H36+V_12!H36</f>
        <v>0</v>
      </c>
      <c r="I36" s="39">
        <f>V_10!I36+V_11!I36+V_12!I36</f>
        <v>0</v>
      </c>
      <c r="J36" s="39">
        <f>V_10!J36+V_11!J36+V_12!J36</f>
        <v>2</v>
      </c>
      <c r="K36" s="45">
        <f>V_10!K36+V_11!K36+V_12!K36</f>
        <v>0</v>
      </c>
      <c r="L36" s="140">
        <f>V_10!L36+V_11!L36+V_12!L36</f>
        <v>2</v>
      </c>
      <c r="M36" s="149">
        <f t="shared" si="1"/>
        <v>4</v>
      </c>
      <c r="N36" s="100">
        <f t="shared" si="2"/>
        <v>614</v>
      </c>
      <c r="O36" s="43">
        <f t="shared" si="3"/>
        <v>866</v>
      </c>
    </row>
    <row r="37" spans="1:15" ht="22.5" customHeight="1" x14ac:dyDescent="0.3">
      <c r="A37" s="149" t="s">
        <v>206</v>
      </c>
      <c r="B37" s="44">
        <f>V_10!B37+V_11!B37+V_12!B37</f>
        <v>435</v>
      </c>
      <c r="C37" s="39">
        <f>V_10!C37+V_11!C37+V_12!C37</f>
        <v>146</v>
      </c>
      <c r="D37" s="39">
        <f>V_10!D37+V_11!D37+V_12!D37</f>
        <v>30</v>
      </c>
      <c r="E37" s="39">
        <f>V_10!E37+V_11!E37+V_12!E37</f>
        <v>18</v>
      </c>
      <c r="F37" s="152">
        <f>V_10!F37+V_11!F37+V_12!F37</f>
        <v>56</v>
      </c>
      <c r="G37" s="154">
        <f t="shared" si="0"/>
        <v>685</v>
      </c>
      <c r="H37" s="44">
        <f>V_10!H37+V_11!H37+V_12!H37</f>
        <v>0</v>
      </c>
      <c r="I37" s="39">
        <f>V_10!I37+V_11!I37+V_12!I37</f>
        <v>0</v>
      </c>
      <c r="J37" s="39">
        <f>V_10!J37+V_11!J37+V_12!J37</f>
        <v>0</v>
      </c>
      <c r="K37" s="45">
        <f>V_10!K37+V_11!K37+V_12!K37</f>
        <v>0</v>
      </c>
      <c r="L37" s="140">
        <f>V_10!L37+V_11!L37+V_12!L37</f>
        <v>1</v>
      </c>
      <c r="M37" s="149">
        <f t="shared" si="1"/>
        <v>1</v>
      </c>
      <c r="N37" s="100">
        <f t="shared" si="2"/>
        <v>686</v>
      </c>
      <c r="O37" s="43">
        <f t="shared" si="3"/>
        <v>867</v>
      </c>
    </row>
    <row r="38" spans="1:15" ht="22.5" customHeight="1" x14ac:dyDescent="0.3">
      <c r="A38" s="149" t="s">
        <v>207</v>
      </c>
      <c r="B38" s="44">
        <f>V_10!B38+V_11!B38+V_12!B38</f>
        <v>397</v>
      </c>
      <c r="C38" s="39">
        <f>V_10!C38+V_11!C38+V_12!C38</f>
        <v>102</v>
      </c>
      <c r="D38" s="39">
        <f>V_10!D38+V_11!D38+V_12!D38</f>
        <v>25</v>
      </c>
      <c r="E38" s="39">
        <f>V_10!E38+V_11!E38+V_12!E38</f>
        <v>18</v>
      </c>
      <c r="F38" s="152">
        <f>V_10!F38+V_11!F38+V_12!F38</f>
        <v>57</v>
      </c>
      <c r="G38" s="154">
        <f t="shared" si="0"/>
        <v>599</v>
      </c>
      <c r="H38" s="44">
        <f>V_10!H38+V_11!H38+V_12!H38</f>
        <v>0</v>
      </c>
      <c r="I38" s="39">
        <f>V_10!I38+V_11!I38+V_12!I38</f>
        <v>0</v>
      </c>
      <c r="J38" s="39">
        <f>V_10!J38+V_11!J38+V_12!J38</f>
        <v>0</v>
      </c>
      <c r="K38" s="45">
        <f>V_10!K38+V_11!K38+V_12!K38</f>
        <v>0</v>
      </c>
      <c r="L38" s="140">
        <f>V_10!L38+V_11!L38+V_12!L38</f>
        <v>3</v>
      </c>
      <c r="M38" s="149">
        <f t="shared" si="1"/>
        <v>3</v>
      </c>
      <c r="N38" s="100">
        <f t="shared" si="2"/>
        <v>602</v>
      </c>
      <c r="O38" s="43">
        <f t="shared" si="3"/>
        <v>820</v>
      </c>
    </row>
    <row r="39" spans="1:15" ht="22.5" customHeight="1" x14ac:dyDescent="0.3">
      <c r="A39" s="149" t="s">
        <v>208</v>
      </c>
      <c r="B39" s="44">
        <f>V_10!B39+V_11!B39+V_12!B39</f>
        <v>401</v>
      </c>
      <c r="C39" s="39">
        <f>V_10!C39+V_11!C39+V_12!C39</f>
        <v>135</v>
      </c>
      <c r="D39" s="39">
        <f>V_10!D39+V_11!D39+V_12!D39</f>
        <v>35</v>
      </c>
      <c r="E39" s="39">
        <f>V_10!E39+V_11!E39+V_12!E39</f>
        <v>27</v>
      </c>
      <c r="F39" s="152">
        <f>V_10!F39+V_11!F39+V_12!F39</f>
        <v>52</v>
      </c>
      <c r="G39" s="154">
        <f t="shared" si="0"/>
        <v>650</v>
      </c>
      <c r="H39" s="44">
        <f>V_10!H39+V_11!H39+V_12!H39</f>
        <v>0</v>
      </c>
      <c r="I39" s="39">
        <f>V_10!I39+V_11!I39+V_12!I39</f>
        <v>0</v>
      </c>
      <c r="J39" s="39">
        <f>V_10!J39+V_11!J39+V_12!J39</f>
        <v>0</v>
      </c>
      <c r="K39" s="45">
        <f>V_10!K39+V_11!K39+V_12!K39</f>
        <v>0</v>
      </c>
      <c r="L39" s="140">
        <f>V_10!L39+V_11!L39+V_12!L39</f>
        <v>0</v>
      </c>
      <c r="M39" s="149">
        <f t="shared" si="1"/>
        <v>0</v>
      </c>
      <c r="N39" s="100">
        <f t="shared" si="2"/>
        <v>650</v>
      </c>
      <c r="O39" s="43">
        <f t="shared" si="3"/>
        <v>836</v>
      </c>
    </row>
    <row r="40" spans="1:15" ht="22.5" customHeight="1" x14ac:dyDescent="0.3">
      <c r="A40" s="149" t="s">
        <v>209</v>
      </c>
      <c r="B40" s="44">
        <f>V_10!B40+V_11!B40+V_12!B40</f>
        <v>384</v>
      </c>
      <c r="C40" s="39">
        <f>V_10!C40+V_11!C40+V_12!C40</f>
        <v>142</v>
      </c>
      <c r="D40" s="39">
        <f>V_10!D40+V_11!D40+V_12!D40</f>
        <v>25</v>
      </c>
      <c r="E40" s="39">
        <f>V_10!E40+V_11!E40+V_12!E40</f>
        <v>10</v>
      </c>
      <c r="F40" s="152">
        <f>V_10!F40+V_11!F40+V_12!F40</f>
        <v>60</v>
      </c>
      <c r="G40" s="154">
        <f t="shared" ref="G40:G71" si="4">SUM(B40:F40)</f>
        <v>621</v>
      </c>
      <c r="H40" s="44">
        <f>V_10!H40+V_11!H40+V_12!H40</f>
        <v>1</v>
      </c>
      <c r="I40" s="39">
        <f>V_10!I40+V_11!I40+V_12!I40</f>
        <v>0</v>
      </c>
      <c r="J40" s="39">
        <f>V_10!J40+V_11!J40+V_12!J40</f>
        <v>1</v>
      </c>
      <c r="K40" s="45">
        <f>V_10!K40+V_11!K40+V_12!K40</f>
        <v>0</v>
      </c>
      <c r="L40" s="140">
        <f>V_10!L40+V_11!L40+V_12!L40</f>
        <v>2</v>
      </c>
      <c r="M40" s="149">
        <f t="shared" si="1"/>
        <v>4</v>
      </c>
      <c r="N40" s="100">
        <f t="shared" si="2"/>
        <v>625</v>
      </c>
      <c r="O40" s="43">
        <f t="shared" si="3"/>
        <v>812</v>
      </c>
    </row>
    <row r="41" spans="1:15" ht="22.5" customHeight="1" x14ac:dyDescent="0.3">
      <c r="A41" s="149" t="s">
        <v>210</v>
      </c>
      <c r="B41" s="44">
        <f>V_10!B41+V_11!B41+V_12!B41</f>
        <v>312</v>
      </c>
      <c r="C41" s="39">
        <f>V_10!C41+V_11!C41+V_12!C41</f>
        <v>161</v>
      </c>
      <c r="D41" s="39">
        <f>V_10!D41+V_11!D41+V_12!D41</f>
        <v>28</v>
      </c>
      <c r="E41" s="39">
        <f>V_10!E41+V_11!E41+V_12!E41</f>
        <v>18</v>
      </c>
      <c r="F41" s="152">
        <f>V_10!F41+V_11!F41+V_12!F41</f>
        <v>36</v>
      </c>
      <c r="G41" s="154">
        <f t="shared" si="4"/>
        <v>555</v>
      </c>
      <c r="H41" s="44">
        <f>V_10!H41+V_11!H41+V_12!H41</f>
        <v>0</v>
      </c>
      <c r="I41" s="39">
        <f>V_10!I41+V_11!I41+V_12!I41</f>
        <v>0</v>
      </c>
      <c r="J41" s="39">
        <f>V_10!J41+V_11!J41+V_12!J41</f>
        <v>2</v>
      </c>
      <c r="K41" s="45">
        <f>V_10!K41+V_11!K41+V_12!K41</f>
        <v>0</v>
      </c>
      <c r="L41" s="140">
        <f>V_10!L41+V_11!L41+V_12!L41</f>
        <v>4</v>
      </c>
      <c r="M41" s="149">
        <f t="shared" si="1"/>
        <v>6</v>
      </c>
      <c r="N41" s="100">
        <f t="shared" si="2"/>
        <v>561</v>
      </c>
      <c r="O41" s="43">
        <f t="shared" si="3"/>
        <v>688.5</v>
      </c>
    </row>
    <row r="42" spans="1:15" ht="22.5" customHeight="1" x14ac:dyDescent="0.3">
      <c r="A42" s="149" t="s">
        <v>211</v>
      </c>
      <c r="B42" s="44">
        <f>V_10!B42+V_11!B42+V_12!B42</f>
        <v>402</v>
      </c>
      <c r="C42" s="39">
        <f>V_10!C42+V_11!C42+V_12!C42</f>
        <v>177</v>
      </c>
      <c r="D42" s="39">
        <f>V_10!D42+V_11!D42+V_12!D42</f>
        <v>32</v>
      </c>
      <c r="E42" s="39">
        <f>V_10!E42+V_11!E42+V_12!E42</f>
        <v>21</v>
      </c>
      <c r="F42" s="152">
        <f>V_10!F42+V_11!F42+V_12!F42</f>
        <v>51</v>
      </c>
      <c r="G42" s="154">
        <f t="shared" si="4"/>
        <v>683</v>
      </c>
      <c r="H42" s="44">
        <f>V_10!H42+V_11!H42+V_12!H42</f>
        <v>0</v>
      </c>
      <c r="I42" s="39">
        <f>V_10!I42+V_11!I42+V_12!I42</f>
        <v>0</v>
      </c>
      <c r="J42" s="39">
        <f>V_10!J42+V_11!J42+V_12!J42</f>
        <v>0</v>
      </c>
      <c r="K42" s="45">
        <f>V_10!K42+V_11!K42+V_12!K42</f>
        <v>0</v>
      </c>
      <c r="L42" s="140">
        <f>V_10!L42+V_11!L42+V_12!L42</f>
        <v>3</v>
      </c>
      <c r="M42" s="149">
        <f t="shared" si="1"/>
        <v>3</v>
      </c>
      <c r="N42" s="100">
        <f t="shared" si="2"/>
        <v>686</v>
      </c>
      <c r="O42" s="43">
        <f t="shared" si="3"/>
        <v>855</v>
      </c>
    </row>
    <row r="43" spans="1:15" ht="22.5" customHeight="1" x14ac:dyDescent="0.3">
      <c r="A43" s="149" t="s">
        <v>212</v>
      </c>
      <c r="B43" s="44">
        <f>V_10!B43+V_11!B43+V_12!B43</f>
        <v>349</v>
      </c>
      <c r="C43" s="39">
        <f>V_10!C43+V_11!C43+V_12!C43</f>
        <v>155</v>
      </c>
      <c r="D43" s="39">
        <f>V_10!D43+V_11!D43+V_12!D43</f>
        <v>23</v>
      </c>
      <c r="E43" s="39">
        <f>V_10!E43+V_11!E43+V_12!E43</f>
        <v>13</v>
      </c>
      <c r="F43" s="152">
        <f>V_10!F43+V_11!F43+V_12!F43</f>
        <v>38</v>
      </c>
      <c r="G43" s="154">
        <f t="shared" si="4"/>
        <v>578</v>
      </c>
      <c r="H43" s="44">
        <f>V_10!H43+V_11!H43+V_12!H43</f>
        <v>0</v>
      </c>
      <c r="I43" s="39">
        <f>V_10!I43+V_11!I43+V_12!I43</f>
        <v>0</v>
      </c>
      <c r="J43" s="39">
        <f>V_10!J43+V_11!J43+V_12!J43</f>
        <v>0</v>
      </c>
      <c r="K43" s="45">
        <f>V_10!K43+V_11!K43+V_12!K43</f>
        <v>0</v>
      </c>
      <c r="L43" s="140">
        <f>V_10!L43+V_11!L43+V_12!L43</f>
        <v>6</v>
      </c>
      <c r="M43" s="149">
        <f t="shared" si="1"/>
        <v>6</v>
      </c>
      <c r="N43" s="100">
        <f t="shared" si="2"/>
        <v>584</v>
      </c>
      <c r="O43" s="43">
        <f t="shared" si="3"/>
        <v>719</v>
      </c>
    </row>
    <row r="44" spans="1:15" ht="22.5" customHeight="1" x14ac:dyDescent="0.3">
      <c r="A44" s="149" t="s">
        <v>213</v>
      </c>
      <c r="B44" s="44">
        <f>V_10!B44+V_11!B44+V_12!B44</f>
        <v>390</v>
      </c>
      <c r="C44" s="39">
        <f>V_10!C44+V_11!C44+V_12!C44</f>
        <v>176</v>
      </c>
      <c r="D44" s="39">
        <f>V_10!D44+V_11!D44+V_12!D44</f>
        <v>33</v>
      </c>
      <c r="E44" s="39">
        <f>V_10!E44+V_11!E44+V_12!E44</f>
        <v>12</v>
      </c>
      <c r="F44" s="152">
        <f>V_10!F44+V_11!F44+V_12!F44</f>
        <v>48</v>
      </c>
      <c r="G44" s="154">
        <f t="shared" si="4"/>
        <v>659</v>
      </c>
      <c r="H44" s="44">
        <f>V_10!H44+V_11!H44+V_12!H44</f>
        <v>0</v>
      </c>
      <c r="I44" s="39">
        <f>V_10!I44+V_11!I44+V_12!I44</f>
        <v>0</v>
      </c>
      <c r="J44" s="39">
        <f>V_10!J44+V_11!J44+V_12!J44</f>
        <v>0</v>
      </c>
      <c r="K44" s="45">
        <f>V_10!K44+V_11!K44+V_12!K44</f>
        <v>0</v>
      </c>
      <c r="L44" s="140">
        <f>V_10!L44+V_11!L44+V_12!L44</f>
        <v>4</v>
      </c>
      <c r="M44" s="149">
        <f t="shared" si="1"/>
        <v>4</v>
      </c>
      <c r="N44" s="100">
        <f t="shared" si="2"/>
        <v>663</v>
      </c>
      <c r="O44" s="43">
        <f t="shared" si="3"/>
        <v>811.5</v>
      </c>
    </row>
    <row r="45" spans="1:15" ht="22.5" customHeight="1" x14ac:dyDescent="0.3">
      <c r="A45" s="149" t="s">
        <v>214</v>
      </c>
      <c r="B45" s="44">
        <f>V_10!B45+V_11!B45+V_12!B45</f>
        <v>401</v>
      </c>
      <c r="C45" s="39">
        <f>V_10!C45+V_11!C45+V_12!C45</f>
        <v>207</v>
      </c>
      <c r="D45" s="39">
        <f>V_10!D45+V_11!D45+V_12!D45</f>
        <v>29</v>
      </c>
      <c r="E45" s="39">
        <f>V_10!E45+V_11!E45+V_12!E45</f>
        <v>13</v>
      </c>
      <c r="F45" s="152">
        <f>V_10!F45+V_11!F45+V_12!F45</f>
        <v>31</v>
      </c>
      <c r="G45" s="154">
        <f t="shared" si="4"/>
        <v>681</v>
      </c>
      <c r="H45" s="44">
        <f>V_10!H45+V_11!H45+V_12!H45</f>
        <v>0</v>
      </c>
      <c r="I45" s="39">
        <f>V_10!I45+V_11!I45+V_12!I45</f>
        <v>0</v>
      </c>
      <c r="J45" s="39">
        <f>V_10!J45+V_11!J45+V_12!J45</f>
        <v>1</v>
      </c>
      <c r="K45" s="45">
        <f>V_10!K45+V_11!K45+V_12!K45</f>
        <v>0</v>
      </c>
      <c r="L45" s="140">
        <f>V_10!L45+V_11!L45+V_12!L45</f>
        <v>7</v>
      </c>
      <c r="M45" s="149">
        <f t="shared" si="1"/>
        <v>8</v>
      </c>
      <c r="N45" s="100">
        <f t="shared" si="2"/>
        <v>689</v>
      </c>
      <c r="O45" s="43">
        <f t="shared" si="3"/>
        <v>785.5</v>
      </c>
    </row>
    <row r="46" spans="1:15" ht="22.5" customHeight="1" x14ac:dyDescent="0.3">
      <c r="A46" s="149" t="s">
        <v>215</v>
      </c>
      <c r="B46" s="44">
        <f>V_10!B46+V_11!B46+V_12!B46</f>
        <v>398</v>
      </c>
      <c r="C46" s="39">
        <f>V_10!C46+V_11!C46+V_12!C46</f>
        <v>193</v>
      </c>
      <c r="D46" s="39">
        <f>V_10!D46+V_11!D46+V_12!D46</f>
        <v>35</v>
      </c>
      <c r="E46" s="39">
        <f>V_10!E46+V_11!E46+V_12!E46</f>
        <v>14</v>
      </c>
      <c r="F46" s="152">
        <f>V_10!F46+V_11!F46+V_12!F46</f>
        <v>39</v>
      </c>
      <c r="G46" s="154">
        <f t="shared" si="4"/>
        <v>679</v>
      </c>
      <c r="H46" s="44">
        <f>V_10!H46+V_11!H46+V_12!H46</f>
        <v>1</v>
      </c>
      <c r="I46" s="39">
        <f>V_10!I46+V_11!I46+V_12!I46</f>
        <v>0</v>
      </c>
      <c r="J46" s="39">
        <f>V_10!J46+V_11!J46+V_12!J46</f>
        <v>1</v>
      </c>
      <c r="K46" s="45">
        <f>V_10!K46+V_11!K46+V_12!K46</f>
        <v>0</v>
      </c>
      <c r="L46" s="140">
        <f>V_10!L46+V_11!L46+V_12!L46</f>
        <v>7</v>
      </c>
      <c r="M46" s="149">
        <f t="shared" si="1"/>
        <v>9</v>
      </c>
      <c r="N46" s="100">
        <f t="shared" si="2"/>
        <v>688</v>
      </c>
      <c r="O46" s="43">
        <f t="shared" si="3"/>
        <v>824</v>
      </c>
    </row>
    <row r="47" spans="1:15" ht="22.5" customHeight="1" x14ac:dyDescent="0.3">
      <c r="A47" s="149" t="s">
        <v>216</v>
      </c>
      <c r="B47" s="44">
        <f>V_10!B47+V_11!B47+V_12!B47</f>
        <v>398</v>
      </c>
      <c r="C47" s="39">
        <f>V_10!C47+V_11!C47+V_12!C47</f>
        <v>200</v>
      </c>
      <c r="D47" s="39">
        <f>V_10!D47+V_11!D47+V_12!D47</f>
        <v>21</v>
      </c>
      <c r="E47" s="39">
        <f>V_10!E47+V_11!E47+V_12!E47</f>
        <v>17</v>
      </c>
      <c r="F47" s="152">
        <f>V_10!F47+V_11!F47+V_12!F47</f>
        <v>34</v>
      </c>
      <c r="G47" s="154">
        <f t="shared" si="4"/>
        <v>670</v>
      </c>
      <c r="H47" s="44">
        <f>V_10!H47+V_11!H47+V_12!H47</f>
        <v>0</v>
      </c>
      <c r="I47" s="39">
        <f>V_10!I47+V_11!I47+V_12!I47</f>
        <v>0</v>
      </c>
      <c r="J47" s="39">
        <f>V_10!J47+V_11!J47+V_12!J47</f>
        <v>0</v>
      </c>
      <c r="K47" s="45">
        <f>V_10!K47+V_11!K47+V_12!K47</f>
        <v>0</v>
      </c>
      <c r="L47" s="140">
        <f>V_10!L47+V_11!L47+V_12!L47</f>
        <v>5</v>
      </c>
      <c r="M47" s="149">
        <f t="shared" si="1"/>
        <v>5</v>
      </c>
      <c r="N47" s="100">
        <f t="shared" si="2"/>
        <v>675</v>
      </c>
      <c r="O47" s="43">
        <f t="shared" si="3"/>
        <v>773.5</v>
      </c>
    </row>
    <row r="48" spans="1:15" ht="22.5" customHeight="1" x14ac:dyDescent="0.3">
      <c r="A48" s="149" t="s">
        <v>217</v>
      </c>
      <c r="B48" s="44">
        <f>V_10!B48+V_11!B48+V_12!B48</f>
        <v>353</v>
      </c>
      <c r="C48" s="39">
        <f>V_10!C48+V_11!C48+V_12!C48</f>
        <v>194</v>
      </c>
      <c r="D48" s="39">
        <f>V_10!D48+V_11!D48+V_12!D48</f>
        <v>35</v>
      </c>
      <c r="E48" s="39">
        <f>V_10!E48+V_11!E48+V_12!E48</f>
        <v>13</v>
      </c>
      <c r="F48" s="152">
        <f>V_10!F48+V_11!F48+V_12!F48</f>
        <v>38</v>
      </c>
      <c r="G48" s="154">
        <f t="shared" si="4"/>
        <v>633</v>
      </c>
      <c r="H48" s="44">
        <f>V_10!H48+V_11!H48+V_12!H48</f>
        <v>2</v>
      </c>
      <c r="I48" s="39">
        <f>V_10!I48+V_11!I48+V_12!I48</f>
        <v>0</v>
      </c>
      <c r="J48" s="39">
        <f>V_10!J48+V_11!J48+V_12!J48</f>
        <v>0</v>
      </c>
      <c r="K48" s="45">
        <f>V_10!K48+V_11!K48+V_12!K48</f>
        <v>0</v>
      </c>
      <c r="L48" s="140">
        <f>V_10!L48+V_11!L48+V_12!L48</f>
        <v>4</v>
      </c>
      <c r="M48" s="149">
        <f t="shared" si="1"/>
        <v>6</v>
      </c>
      <c r="N48" s="100">
        <f t="shared" si="2"/>
        <v>639</v>
      </c>
      <c r="O48" s="43">
        <f t="shared" si="3"/>
        <v>745.5</v>
      </c>
    </row>
    <row r="49" spans="1:15" ht="22.5" customHeight="1" x14ac:dyDescent="0.3">
      <c r="A49" s="149" t="s">
        <v>218</v>
      </c>
      <c r="B49" s="44">
        <f>V_10!B49+V_11!B49+V_12!B49</f>
        <v>381</v>
      </c>
      <c r="C49" s="39">
        <f>V_10!C49+V_11!C49+V_12!C49</f>
        <v>245</v>
      </c>
      <c r="D49" s="39">
        <f>V_10!D49+V_11!D49+V_12!D49</f>
        <v>36</v>
      </c>
      <c r="E49" s="39">
        <f>V_10!E49+V_11!E49+V_12!E49</f>
        <v>12</v>
      </c>
      <c r="F49" s="152">
        <f>V_10!F49+V_11!F49+V_12!F49</f>
        <v>35</v>
      </c>
      <c r="G49" s="154">
        <f t="shared" si="4"/>
        <v>709</v>
      </c>
      <c r="H49" s="44">
        <f>V_10!H49+V_11!H49+V_12!H49</f>
        <v>0</v>
      </c>
      <c r="I49" s="39">
        <f>V_10!I49+V_11!I49+V_12!I49</f>
        <v>0</v>
      </c>
      <c r="J49" s="39">
        <f>V_10!J49+V_11!J49+V_12!J49</f>
        <v>0</v>
      </c>
      <c r="K49" s="45">
        <f>V_10!K49+V_11!K49+V_12!K49</f>
        <v>0</v>
      </c>
      <c r="L49" s="140">
        <f>V_10!L49+V_11!L49+V_12!L49</f>
        <v>7</v>
      </c>
      <c r="M49" s="149">
        <f t="shared" si="1"/>
        <v>7</v>
      </c>
      <c r="N49" s="100">
        <f t="shared" si="2"/>
        <v>716</v>
      </c>
      <c r="O49" s="43">
        <f t="shared" si="3"/>
        <v>807</v>
      </c>
    </row>
    <row r="50" spans="1:15" ht="22.5" customHeight="1" x14ac:dyDescent="0.3">
      <c r="A50" s="149" t="s">
        <v>219</v>
      </c>
      <c r="B50" s="44">
        <f>V_10!B50+V_11!B50+V_12!B50</f>
        <v>413</v>
      </c>
      <c r="C50" s="39">
        <f>V_10!C50+V_11!C50+V_12!C50</f>
        <v>266</v>
      </c>
      <c r="D50" s="39">
        <f>V_10!D50+V_11!D50+V_12!D50</f>
        <v>32</v>
      </c>
      <c r="E50" s="39">
        <f>V_10!E50+V_11!E50+V_12!E50</f>
        <v>23</v>
      </c>
      <c r="F50" s="152">
        <f>V_10!F50+V_11!F50+V_12!F50</f>
        <v>33</v>
      </c>
      <c r="G50" s="154">
        <f t="shared" si="4"/>
        <v>767</v>
      </c>
      <c r="H50" s="44">
        <f>V_10!H50+V_11!H50+V_12!H50</f>
        <v>1</v>
      </c>
      <c r="I50" s="39">
        <f>V_10!I50+V_11!I50+V_12!I50</f>
        <v>0</v>
      </c>
      <c r="J50" s="39">
        <f>V_10!J50+V_11!J50+V_12!J50</f>
        <v>0</v>
      </c>
      <c r="K50" s="45">
        <f>V_10!K50+V_11!K50+V_12!K50</f>
        <v>0</v>
      </c>
      <c r="L50" s="140">
        <f>V_10!L50+V_11!L50+V_12!L50</f>
        <v>8</v>
      </c>
      <c r="M50" s="149">
        <f t="shared" si="1"/>
        <v>9</v>
      </c>
      <c r="N50" s="100">
        <f t="shared" si="2"/>
        <v>776</v>
      </c>
      <c r="O50" s="43">
        <f t="shared" si="3"/>
        <v>876</v>
      </c>
    </row>
    <row r="51" spans="1:15" ht="22.5" customHeight="1" x14ac:dyDescent="0.3">
      <c r="A51" s="149" t="s">
        <v>220</v>
      </c>
      <c r="B51" s="44">
        <f>V_10!B51+V_11!B51+V_12!B51</f>
        <v>386</v>
      </c>
      <c r="C51" s="39">
        <f>V_10!C51+V_11!C51+V_12!C51</f>
        <v>235</v>
      </c>
      <c r="D51" s="39">
        <f>V_10!D51+V_11!D51+V_12!D51</f>
        <v>38</v>
      </c>
      <c r="E51" s="39">
        <f>V_10!E51+V_11!E51+V_12!E51</f>
        <v>14</v>
      </c>
      <c r="F51" s="152">
        <f>V_10!F51+V_11!F51+V_12!F51</f>
        <v>37</v>
      </c>
      <c r="G51" s="154">
        <f t="shared" si="4"/>
        <v>710</v>
      </c>
      <c r="H51" s="44">
        <f>V_10!H51+V_11!H51+V_12!H51</f>
        <v>1</v>
      </c>
      <c r="I51" s="39">
        <f>V_10!I51+V_11!I51+V_12!I51</f>
        <v>0</v>
      </c>
      <c r="J51" s="39">
        <f>V_10!J51+V_11!J51+V_12!J51</f>
        <v>0</v>
      </c>
      <c r="K51" s="45">
        <f>V_10!K51+V_11!K51+V_12!K51</f>
        <v>0</v>
      </c>
      <c r="L51" s="140">
        <f>V_10!L51+V_11!L51+V_12!L51</f>
        <v>3</v>
      </c>
      <c r="M51" s="149">
        <f t="shared" si="1"/>
        <v>4</v>
      </c>
      <c r="N51" s="100">
        <f t="shared" si="2"/>
        <v>714</v>
      </c>
      <c r="O51" s="43">
        <f t="shared" si="3"/>
        <v>793.5</v>
      </c>
    </row>
    <row r="52" spans="1:15" ht="22.5" customHeight="1" x14ac:dyDescent="0.3">
      <c r="A52" s="149" t="s">
        <v>221</v>
      </c>
      <c r="B52" s="44">
        <f>V_10!B52+V_11!B52+V_12!B52</f>
        <v>292</v>
      </c>
      <c r="C52" s="39">
        <f>V_10!C52+V_11!C52+V_12!C52</f>
        <v>155</v>
      </c>
      <c r="D52" s="39">
        <f>V_10!D52+V_11!D52+V_12!D52</f>
        <v>34</v>
      </c>
      <c r="E52" s="39">
        <f>V_10!E52+V_11!E52+V_12!E52</f>
        <v>19</v>
      </c>
      <c r="F52" s="152">
        <f>V_10!F52+V_11!F52+V_12!F52</f>
        <v>30</v>
      </c>
      <c r="G52" s="154">
        <f t="shared" si="4"/>
        <v>530</v>
      </c>
      <c r="H52" s="44">
        <f>V_10!H52+V_11!H52+V_12!H52</f>
        <v>1</v>
      </c>
      <c r="I52" s="39">
        <f>V_10!I52+V_11!I52+V_12!I52</f>
        <v>0</v>
      </c>
      <c r="J52" s="39">
        <f>V_10!J52+V_11!J52+V_12!J52</f>
        <v>0</v>
      </c>
      <c r="K52" s="45">
        <f>V_10!K52+V_11!K52+V_12!K52</f>
        <v>0</v>
      </c>
      <c r="L52" s="140">
        <f>V_10!L52+V_11!L52+V_12!L52</f>
        <v>1</v>
      </c>
      <c r="M52" s="149">
        <f t="shared" si="1"/>
        <v>2</v>
      </c>
      <c r="N52" s="100">
        <f t="shared" si="2"/>
        <v>532</v>
      </c>
      <c r="O52" s="43">
        <f t="shared" si="3"/>
        <v>621</v>
      </c>
    </row>
    <row r="53" spans="1:15" ht="22.5" customHeight="1" x14ac:dyDescent="0.3">
      <c r="A53" s="149" t="s">
        <v>222</v>
      </c>
      <c r="B53" s="44">
        <f>V_10!B53+V_11!B53+V_12!B53</f>
        <v>304</v>
      </c>
      <c r="C53" s="39">
        <f>V_10!C53+V_11!C53+V_12!C53</f>
        <v>179</v>
      </c>
      <c r="D53" s="39">
        <f>V_10!D53+V_11!D53+V_12!D53</f>
        <v>36</v>
      </c>
      <c r="E53" s="39">
        <f>V_10!E53+V_11!E53+V_12!E53</f>
        <v>10</v>
      </c>
      <c r="F53" s="152">
        <f>V_10!F53+V_11!F53+V_12!F53</f>
        <v>31</v>
      </c>
      <c r="G53" s="154">
        <f t="shared" si="4"/>
        <v>560</v>
      </c>
      <c r="H53" s="44">
        <f>V_10!H53+V_11!H53+V_12!H53</f>
        <v>0</v>
      </c>
      <c r="I53" s="39">
        <f>V_10!I53+V_11!I53+V_12!I53</f>
        <v>0</v>
      </c>
      <c r="J53" s="39">
        <f>V_10!J53+V_11!J53+V_12!J53</f>
        <v>0</v>
      </c>
      <c r="K53" s="45">
        <f>V_10!K53+V_11!K53+V_12!K53</f>
        <v>0</v>
      </c>
      <c r="L53" s="140">
        <f>V_10!L53+V_11!L53+V_12!L53</f>
        <v>5</v>
      </c>
      <c r="M53" s="149">
        <f t="shared" si="1"/>
        <v>5</v>
      </c>
      <c r="N53" s="100">
        <f t="shared" si="2"/>
        <v>565</v>
      </c>
      <c r="O53" s="43">
        <f t="shared" si="3"/>
        <v>657</v>
      </c>
    </row>
    <row r="54" spans="1:15" ht="22.5" customHeight="1" x14ac:dyDescent="0.3">
      <c r="A54" s="149" t="s">
        <v>223</v>
      </c>
      <c r="B54" s="44">
        <f>V_10!B54+V_11!B54+V_12!B54</f>
        <v>322</v>
      </c>
      <c r="C54" s="39">
        <f>V_10!C54+V_11!C54+V_12!C54</f>
        <v>176</v>
      </c>
      <c r="D54" s="39">
        <f>V_10!D54+V_11!D54+V_12!D54</f>
        <v>33</v>
      </c>
      <c r="E54" s="39">
        <f>V_10!E54+V_11!E54+V_12!E54</f>
        <v>11</v>
      </c>
      <c r="F54" s="152">
        <f>V_10!F54+V_11!F54+V_12!F54</f>
        <v>57</v>
      </c>
      <c r="G54" s="154">
        <f t="shared" si="4"/>
        <v>599</v>
      </c>
      <c r="H54" s="44">
        <f>V_10!H54+V_11!H54+V_12!H54</f>
        <v>3</v>
      </c>
      <c r="I54" s="39">
        <f>V_10!I54+V_11!I54+V_12!I54</f>
        <v>0</v>
      </c>
      <c r="J54" s="39">
        <f>V_10!J54+V_11!J54+V_12!J54</f>
        <v>0</v>
      </c>
      <c r="K54" s="45">
        <f>V_10!K54+V_11!K54+V_12!K54</f>
        <v>0</v>
      </c>
      <c r="L54" s="140">
        <f>V_10!L54+V_11!L54+V_12!L54</f>
        <v>6</v>
      </c>
      <c r="M54" s="149">
        <f t="shared" si="1"/>
        <v>9</v>
      </c>
      <c r="N54" s="100">
        <f t="shared" si="2"/>
        <v>608</v>
      </c>
      <c r="O54" s="43">
        <f t="shared" si="3"/>
        <v>798.5</v>
      </c>
    </row>
    <row r="55" spans="1:15" ht="22.5" customHeight="1" x14ac:dyDescent="0.3">
      <c r="A55" s="149" t="s">
        <v>224</v>
      </c>
      <c r="B55" s="44">
        <f>V_10!B55+V_11!B55+V_12!B55</f>
        <v>310</v>
      </c>
      <c r="C55" s="39">
        <f>V_10!C55+V_11!C55+V_12!C55</f>
        <v>163</v>
      </c>
      <c r="D55" s="39">
        <f>V_10!D55+V_11!D55+V_12!D55</f>
        <v>34</v>
      </c>
      <c r="E55" s="39">
        <f>V_10!E55+V_11!E55+V_12!E55</f>
        <v>10</v>
      </c>
      <c r="F55" s="152">
        <f>V_10!F55+V_11!F55+V_12!F55</f>
        <v>33</v>
      </c>
      <c r="G55" s="154">
        <f t="shared" si="4"/>
        <v>550</v>
      </c>
      <c r="H55" s="44">
        <f>V_10!H55+V_11!H55+V_12!H55</f>
        <v>0</v>
      </c>
      <c r="I55" s="39">
        <f>V_10!I55+V_11!I55+V_12!I55</f>
        <v>0</v>
      </c>
      <c r="J55" s="39">
        <f>V_10!J55+V_11!J55+V_12!J55</f>
        <v>0</v>
      </c>
      <c r="K55" s="45">
        <f>V_10!K55+V_11!K55+V_12!K55</f>
        <v>0</v>
      </c>
      <c r="L55" s="140">
        <f>V_10!L55+V_11!L55+V_12!L55</f>
        <v>4</v>
      </c>
      <c r="M55" s="149">
        <f t="shared" si="1"/>
        <v>4</v>
      </c>
      <c r="N55" s="100">
        <f t="shared" si="2"/>
        <v>554</v>
      </c>
      <c r="O55" s="43">
        <f t="shared" si="3"/>
        <v>653</v>
      </c>
    </row>
    <row r="56" spans="1:15" ht="22.5" customHeight="1" x14ac:dyDescent="0.3">
      <c r="A56" s="149" t="s">
        <v>225</v>
      </c>
      <c r="B56" s="44">
        <f>V_10!B56+V_11!B56+V_12!B56</f>
        <v>247</v>
      </c>
      <c r="C56" s="39">
        <f>V_10!C56+V_11!C56+V_12!C56</f>
        <v>209</v>
      </c>
      <c r="D56" s="39">
        <f>V_10!D56+V_11!D56+V_12!D56</f>
        <v>29</v>
      </c>
      <c r="E56" s="39">
        <f>V_10!E56+V_11!E56+V_12!E56</f>
        <v>8</v>
      </c>
      <c r="F56" s="152">
        <f>V_10!F56+V_11!F56+V_12!F56</f>
        <v>23</v>
      </c>
      <c r="G56" s="154">
        <f t="shared" si="4"/>
        <v>516</v>
      </c>
      <c r="H56" s="44">
        <f>V_10!H56+V_11!H56+V_12!H56</f>
        <v>0</v>
      </c>
      <c r="I56" s="39">
        <f>V_10!I56+V_11!I56+V_12!I56</f>
        <v>0</v>
      </c>
      <c r="J56" s="39">
        <f>V_10!J56+V_11!J56+V_12!J56</f>
        <v>0</v>
      </c>
      <c r="K56" s="45">
        <f>V_10!K56+V_11!K56+V_12!K56</f>
        <v>0</v>
      </c>
      <c r="L56" s="140">
        <f>V_10!L56+V_11!L56+V_12!L56</f>
        <v>4</v>
      </c>
      <c r="M56" s="149">
        <f t="shared" si="1"/>
        <v>4</v>
      </c>
      <c r="N56" s="100">
        <f t="shared" si="2"/>
        <v>520</v>
      </c>
      <c r="O56" s="43">
        <f t="shared" si="3"/>
        <v>554.5</v>
      </c>
    </row>
    <row r="57" spans="1:15" ht="22.5" customHeight="1" x14ac:dyDescent="0.3">
      <c r="A57" s="149" t="s">
        <v>226</v>
      </c>
      <c r="B57" s="44">
        <f>V_10!B57+V_11!B57+V_12!B57</f>
        <v>262</v>
      </c>
      <c r="C57" s="39">
        <f>V_10!C57+V_11!C57+V_12!C57</f>
        <v>184</v>
      </c>
      <c r="D57" s="39">
        <f>V_10!D57+V_11!D57+V_12!D57</f>
        <v>19</v>
      </c>
      <c r="E57" s="39">
        <f>V_10!E57+V_11!E57+V_12!E57</f>
        <v>8</v>
      </c>
      <c r="F57" s="152">
        <f>V_10!F57+V_11!F57+V_12!F57</f>
        <v>34</v>
      </c>
      <c r="G57" s="154">
        <f t="shared" si="4"/>
        <v>507</v>
      </c>
      <c r="H57" s="44">
        <f>V_10!H57+V_11!H57+V_12!H57</f>
        <v>0</v>
      </c>
      <c r="I57" s="39">
        <f>V_10!I57+V_11!I57+V_12!I57</f>
        <v>0</v>
      </c>
      <c r="J57" s="39">
        <f>V_10!J57+V_11!J57+V_12!J57</f>
        <v>2</v>
      </c>
      <c r="K57" s="45">
        <f>V_10!K57+V_11!K57+V_12!K57</f>
        <v>0</v>
      </c>
      <c r="L57" s="140">
        <f>V_10!L57+V_11!L57+V_12!L57</f>
        <v>1</v>
      </c>
      <c r="M57" s="149">
        <f t="shared" si="1"/>
        <v>3</v>
      </c>
      <c r="N57" s="100">
        <f t="shared" si="2"/>
        <v>510</v>
      </c>
      <c r="O57" s="43">
        <f t="shared" si="3"/>
        <v>573.5</v>
      </c>
    </row>
    <row r="58" spans="1:15" ht="22.5" customHeight="1" x14ac:dyDescent="0.3">
      <c r="A58" s="149" t="s">
        <v>227</v>
      </c>
      <c r="B58" s="44">
        <f>V_10!B58+V_11!B58+V_12!B58</f>
        <v>275</v>
      </c>
      <c r="C58" s="39">
        <f>V_10!C58+V_11!C58+V_12!C58</f>
        <v>111</v>
      </c>
      <c r="D58" s="39">
        <f>V_10!D58+V_11!D58+V_12!D58</f>
        <v>20</v>
      </c>
      <c r="E58" s="39">
        <f>V_10!E58+V_11!E58+V_12!E58</f>
        <v>9</v>
      </c>
      <c r="F58" s="152">
        <f>V_10!F58+V_11!F58+V_12!F58</f>
        <v>48</v>
      </c>
      <c r="G58" s="154">
        <f t="shared" si="4"/>
        <v>463</v>
      </c>
      <c r="H58" s="44">
        <f>V_10!H58+V_11!H58+V_12!H58</f>
        <v>0</v>
      </c>
      <c r="I58" s="39">
        <f>V_10!I58+V_11!I58+V_12!I58</f>
        <v>0</v>
      </c>
      <c r="J58" s="39">
        <f>V_10!J58+V_11!J58+V_12!J58</f>
        <v>0</v>
      </c>
      <c r="K58" s="45">
        <f>V_10!K58+V_11!K58+V_12!K58</f>
        <v>0</v>
      </c>
      <c r="L58" s="140">
        <f>V_10!L58+V_11!L58+V_12!L58</f>
        <v>0</v>
      </c>
      <c r="M58" s="149">
        <f t="shared" si="1"/>
        <v>0</v>
      </c>
      <c r="N58" s="100">
        <f t="shared" si="2"/>
        <v>463</v>
      </c>
      <c r="O58" s="43">
        <f t="shared" si="3"/>
        <v>603.5</v>
      </c>
    </row>
    <row r="59" spans="1:15" ht="22.5" customHeight="1" x14ac:dyDescent="0.3">
      <c r="A59" s="149" t="s">
        <v>228</v>
      </c>
      <c r="B59" s="44">
        <f>V_10!B59+V_11!B59+V_12!B59</f>
        <v>284</v>
      </c>
      <c r="C59" s="39">
        <f>V_10!C59+V_11!C59+V_12!C59</f>
        <v>133</v>
      </c>
      <c r="D59" s="39">
        <f>V_10!D59+V_11!D59+V_12!D59</f>
        <v>21</v>
      </c>
      <c r="E59" s="39">
        <f>V_10!E59+V_11!E59+V_12!E59</f>
        <v>8</v>
      </c>
      <c r="F59" s="152">
        <f>V_10!F59+V_11!F59+V_12!F59</f>
        <v>49</v>
      </c>
      <c r="G59" s="154">
        <f t="shared" si="4"/>
        <v>495</v>
      </c>
      <c r="H59" s="44">
        <f>V_10!H59+V_11!H59+V_12!H59</f>
        <v>0</v>
      </c>
      <c r="I59" s="39">
        <f>V_10!I59+V_11!I59+V_12!I59</f>
        <v>0</v>
      </c>
      <c r="J59" s="39">
        <f>V_10!J59+V_11!J59+V_12!J59</f>
        <v>0</v>
      </c>
      <c r="K59" s="45">
        <f>V_10!K59+V_11!K59+V_12!K59</f>
        <v>0</v>
      </c>
      <c r="L59" s="140">
        <f>V_10!L59+V_11!L59+V_12!L59</f>
        <v>0</v>
      </c>
      <c r="M59" s="149">
        <f t="shared" si="1"/>
        <v>0</v>
      </c>
      <c r="N59" s="100">
        <f t="shared" si="2"/>
        <v>495</v>
      </c>
      <c r="O59" s="43">
        <f t="shared" si="3"/>
        <v>626.5</v>
      </c>
    </row>
    <row r="60" spans="1:15" ht="22.5" customHeight="1" x14ac:dyDescent="0.3">
      <c r="A60" s="149" t="s">
        <v>229</v>
      </c>
      <c r="B60" s="44">
        <f>V_10!B60+V_11!B60+V_12!B60</f>
        <v>232</v>
      </c>
      <c r="C60" s="39">
        <f>V_10!C60+V_11!C60+V_12!C60</f>
        <v>102</v>
      </c>
      <c r="D60" s="39">
        <f>V_10!D60+V_11!D60+V_12!D60</f>
        <v>20</v>
      </c>
      <c r="E60" s="39">
        <f>V_10!E60+V_11!E60+V_12!E60</f>
        <v>12</v>
      </c>
      <c r="F60" s="152">
        <f>V_10!F60+V_11!F60+V_12!F60</f>
        <v>51</v>
      </c>
      <c r="G60" s="154">
        <f t="shared" si="4"/>
        <v>417</v>
      </c>
      <c r="H60" s="44">
        <f>V_10!H60+V_11!H60+V_12!H60</f>
        <v>0</v>
      </c>
      <c r="I60" s="39">
        <f>V_10!I60+V_11!I60+V_12!I60</f>
        <v>0</v>
      </c>
      <c r="J60" s="39">
        <f>V_10!J60+V_11!J60+V_12!J60</f>
        <v>0</v>
      </c>
      <c r="K60" s="45">
        <f>V_10!K60+V_11!K60+V_12!K60</f>
        <v>0</v>
      </c>
      <c r="L60" s="140">
        <f>V_10!L60+V_11!L60+V_12!L60</f>
        <v>2</v>
      </c>
      <c r="M60" s="149">
        <f t="shared" si="1"/>
        <v>2</v>
      </c>
      <c r="N60" s="100">
        <f t="shared" si="2"/>
        <v>419</v>
      </c>
      <c r="O60" s="43">
        <f t="shared" si="3"/>
        <v>594.5</v>
      </c>
    </row>
    <row r="61" spans="1:15" ht="22.5" customHeight="1" x14ac:dyDescent="0.3">
      <c r="A61" s="149" t="s">
        <v>230</v>
      </c>
      <c r="B61" s="44">
        <f>V_10!B61+V_11!B61+V_12!B61</f>
        <v>214</v>
      </c>
      <c r="C61" s="39">
        <f>V_10!C61+V_11!C61+V_12!C61</f>
        <v>85</v>
      </c>
      <c r="D61" s="39">
        <f>V_10!D61+V_11!D61+V_12!D61</f>
        <v>22</v>
      </c>
      <c r="E61" s="39">
        <f>V_10!E61+V_11!E61+V_12!E61</f>
        <v>15</v>
      </c>
      <c r="F61" s="152">
        <f>V_10!F61+V_11!F61+V_12!F61</f>
        <v>46</v>
      </c>
      <c r="G61" s="154">
        <f t="shared" si="4"/>
        <v>382</v>
      </c>
      <c r="H61" s="44">
        <f>V_10!H61+V_11!H61+V_12!H61</f>
        <v>0</v>
      </c>
      <c r="I61" s="39">
        <f>V_10!I61+V_11!I61+V_12!I61</f>
        <v>0</v>
      </c>
      <c r="J61" s="39">
        <f>V_10!J61+V_11!J61+V_12!J61</f>
        <v>0</v>
      </c>
      <c r="K61" s="45">
        <f>V_10!K61+V_11!K61+V_12!K61</f>
        <v>0</v>
      </c>
      <c r="L61" s="140">
        <f>V_10!L61+V_11!L61+V_12!L61</f>
        <v>4</v>
      </c>
      <c r="M61" s="149">
        <f t="shared" si="1"/>
        <v>4</v>
      </c>
      <c r="N61" s="100">
        <f t="shared" si="2"/>
        <v>386</v>
      </c>
      <c r="O61" s="43">
        <f t="shared" si="3"/>
        <v>573.5</v>
      </c>
    </row>
    <row r="62" spans="1:15" ht="22.5" customHeight="1" x14ac:dyDescent="0.3">
      <c r="A62" s="149" t="s">
        <v>231</v>
      </c>
      <c r="B62" s="44">
        <f>V_10!B62+V_11!B62+V_12!B62</f>
        <v>236</v>
      </c>
      <c r="C62" s="39">
        <f>V_10!C62+V_11!C62+V_12!C62</f>
        <v>74</v>
      </c>
      <c r="D62" s="39">
        <f>V_10!D62+V_11!D62+V_12!D62</f>
        <v>7</v>
      </c>
      <c r="E62" s="39">
        <f>V_10!E62+V_11!E62+V_12!E62</f>
        <v>13</v>
      </c>
      <c r="F62" s="152">
        <f>V_10!F62+V_11!F62+V_12!F62</f>
        <v>53</v>
      </c>
      <c r="G62" s="154">
        <f t="shared" si="4"/>
        <v>383</v>
      </c>
      <c r="H62" s="44">
        <f>V_10!H62+V_11!H62+V_12!H62</f>
        <v>0</v>
      </c>
      <c r="I62" s="39">
        <f>V_10!I62+V_11!I62+V_12!I62</f>
        <v>0</v>
      </c>
      <c r="J62" s="39">
        <f>V_10!J62+V_11!J62+V_12!J62</f>
        <v>0</v>
      </c>
      <c r="K62" s="45">
        <f>V_10!K62+V_11!K62+V_12!K62</f>
        <v>0</v>
      </c>
      <c r="L62" s="140">
        <f>V_10!L62+V_11!L62+V_12!L62</f>
        <v>2</v>
      </c>
      <c r="M62" s="149">
        <f t="shared" si="1"/>
        <v>2</v>
      </c>
      <c r="N62" s="100">
        <f t="shared" si="2"/>
        <v>385</v>
      </c>
      <c r="O62" s="43">
        <f t="shared" si="3"/>
        <v>577</v>
      </c>
    </row>
    <row r="63" spans="1:15" ht="22.5" customHeight="1" x14ac:dyDescent="0.3">
      <c r="A63" s="149" t="s">
        <v>232</v>
      </c>
      <c r="B63" s="44">
        <f>V_10!B63+V_11!B63+V_12!B63</f>
        <v>208</v>
      </c>
      <c r="C63" s="39">
        <f>V_10!C63+V_11!C63+V_12!C63</f>
        <v>41</v>
      </c>
      <c r="D63" s="39">
        <f>V_10!D63+V_11!D63+V_12!D63</f>
        <v>12</v>
      </c>
      <c r="E63" s="39">
        <f>V_10!E63+V_11!E63+V_12!E63</f>
        <v>11</v>
      </c>
      <c r="F63" s="152">
        <f>V_10!F63+V_11!F63+V_12!F63</f>
        <v>47</v>
      </c>
      <c r="G63" s="154">
        <f t="shared" si="4"/>
        <v>319</v>
      </c>
      <c r="H63" s="44">
        <f>V_10!H63+V_11!H63+V_12!H63</f>
        <v>0</v>
      </c>
      <c r="I63" s="39">
        <f>V_10!I63+V_11!I63+V_12!I63</f>
        <v>0</v>
      </c>
      <c r="J63" s="39">
        <f>V_10!J63+V_11!J63+V_12!J63</f>
        <v>0</v>
      </c>
      <c r="K63" s="45">
        <f>V_10!K63+V_11!K63+V_12!K63</f>
        <v>0</v>
      </c>
      <c r="L63" s="140">
        <f>V_10!L63+V_11!L63+V_12!L63</f>
        <v>1</v>
      </c>
      <c r="M63" s="149">
        <f t="shared" si="1"/>
        <v>1</v>
      </c>
      <c r="N63" s="100">
        <f t="shared" si="2"/>
        <v>320</v>
      </c>
      <c r="O63" s="43">
        <f t="shared" si="3"/>
        <v>499</v>
      </c>
    </row>
    <row r="64" spans="1:15" ht="22.5" customHeight="1" x14ac:dyDescent="0.3">
      <c r="A64" s="149" t="s">
        <v>233</v>
      </c>
      <c r="B64" s="44">
        <f>V_10!B64+V_11!B64+V_12!B64</f>
        <v>155</v>
      </c>
      <c r="C64" s="39">
        <f>V_10!C64+V_11!C64+V_12!C64</f>
        <v>59</v>
      </c>
      <c r="D64" s="39">
        <f>V_10!D64+V_11!D64+V_12!D64</f>
        <v>20</v>
      </c>
      <c r="E64" s="39">
        <f>V_10!E64+V_11!E64+V_12!E64</f>
        <v>11</v>
      </c>
      <c r="F64" s="152">
        <f>V_10!F64+V_11!F64+V_12!F64</f>
        <v>40</v>
      </c>
      <c r="G64" s="154">
        <f t="shared" si="4"/>
        <v>285</v>
      </c>
      <c r="H64" s="44">
        <f>V_10!H64+V_11!H64+V_12!H64</f>
        <v>0</v>
      </c>
      <c r="I64" s="39">
        <f>V_10!I64+V_11!I64+V_12!I64</f>
        <v>0</v>
      </c>
      <c r="J64" s="39">
        <f>V_10!J64+V_11!J64+V_12!J64</f>
        <v>0</v>
      </c>
      <c r="K64" s="45">
        <f>V_10!K64+V_11!K64+V_12!K64</f>
        <v>0</v>
      </c>
      <c r="L64" s="140">
        <f>V_10!L64+V_11!L64+V_12!L64</f>
        <v>0</v>
      </c>
      <c r="M64" s="149">
        <f t="shared" si="1"/>
        <v>0</v>
      </c>
      <c r="N64" s="100">
        <f t="shared" si="2"/>
        <v>285</v>
      </c>
      <c r="O64" s="43">
        <f t="shared" si="3"/>
        <v>427.5</v>
      </c>
    </row>
    <row r="65" spans="1:15" ht="22.5" customHeight="1" x14ac:dyDescent="0.3">
      <c r="A65" s="149" t="s">
        <v>234</v>
      </c>
      <c r="B65" s="44">
        <f>V_10!B65+V_11!B65+V_12!B65</f>
        <v>160</v>
      </c>
      <c r="C65" s="39">
        <f>V_10!C65+V_11!C65+V_12!C65</f>
        <v>51</v>
      </c>
      <c r="D65" s="39">
        <f>V_10!D65+V_11!D65+V_12!D65</f>
        <v>16</v>
      </c>
      <c r="E65" s="39">
        <f>V_10!E65+V_11!E65+V_12!E65</f>
        <v>12</v>
      </c>
      <c r="F65" s="152">
        <f>V_10!F65+V_11!F65+V_12!F65</f>
        <v>62</v>
      </c>
      <c r="G65" s="154">
        <f t="shared" si="4"/>
        <v>301</v>
      </c>
      <c r="H65" s="44">
        <f>V_10!H65+V_11!H65+V_12!H65</f>
        <v>0</v>
      </c>
      <c r="I65" s="39">
        <f>V_10!I65+V_11!I65+V_12!I65</f>
        <v>0</v>
      </c>
      <c r="J65" s="39">
        <f>V_10!J65+V_11!J65+V_12!J65</f>
        <v>0</v>
      </c>
      <c r="K65" s="45">
        <f>V_10!K65+V_11!K65+V_12!K65</f>
        <v>0</v>
      </c>
      <c r="L65" s="140">
        <f>V_10!L65+V_11!L65+V_12!L65</f>
        <v>0</v>
      </c>
      <c r="M65" s="149">
        <f t="shared" si="1"/>
        <v>0</v>
      </c>
      <c r="N65" s="100">
        <f t="shared" si="2"/>
        <v>301</v>
      </c>
      <c r="O65" s="43">
        <f t="shared" si="3"/>
        <v>524.5</v>
      </c>
    </row>
    <row r="66" spans="1:15" ht="22.5" customHeight="1" x14ac:dyDescent="0.3">
      <c r="A66" s="149" t="s">
        <v>235</v>
      </c>
      <c r="B66" s="44">
        <f>V_10!B66+V_11!B66+V_12!B66</f>
        <v>144</v>
      </c>
      <c r="C66" s="39">
        <f>V_10!C66+V_11!C66+V_12!C66</f>
        <v>64</v>
      </c>
      <c r="D66" s="39">
        <f>V_10!D66+V_11!D66+V_12!D66</f>
        <v>13</v>
      </c>
      <c r="E66" s="39">
        <f>V_10!E66+V_11!E66+V_12!E66</f>
        <v>10</v>
      </c>
      <c r="F66" s="152">
        <f>V_10!F66+V_11!F66+V_12!F66</f>
        <v>62</v>
      </c>
      <c r="G66" s="154">
        <f t="shared" si="4"/>
        <v>293</v>
      </c>
      <c r="H66" s="44">
        <f>V_10!H66+V_11!H66+V_12!H66</f>
        <v>0</v>
      </c>
      <c r="I66" s="39">
        <f>V_10!I66+V_11!I66+V_12!I66</f>
        <v>0</v>
      </c>
      <c r="J66" s="39">
        <f>V_10!J66+V_11!J66+V_12!J66</f>
        <v>0</v>
      </c>
      <c r="K66" s="45">
        <f>V_10!K66+V_11!K66+V_12!K66</f>
        <v>0</v>
      </c>
      <c r="L66" s="140">
        <f>V_10!L66+V_11!L66+V_12!L66</f>
        <v>1</v>
      </c>
      <c r="M66" s="149">
        <f t="shared" si="1"/>
        <v>1</v>
      </c>
      <c r="N66" s="100">
        <f t="shared" si="2"/>
        <v>294</v>
      </c>
      <c r="O66" s="43">
        <f t="shared" si="3"/>
        <v>512.5</v>
      </c>
    </row>
    <row r="67" spans="1:15" ht="22.5" customHeight="1" x14ac:dyDescent="0.3">
      <c r="A67" s="149" t="s">
        <v>236</v>
      </c>
      <c r="B67" s="44">
        <f>V_10!B67+V_11!B67+V_12!B67</f>
        <v>91</v>
      </c>
      <c r="C67" s="39">
        <f>V_10!C67+V_11!C67+V_12!C67</f>
        <v>30</v>
      </c>
      <c r="D67" s="39">
        <f>V_10!D67+V_11!D67+V_12!D67</f>
        <v>21</v>
      </c>
      <c r="E67" s="39">
        <f>V_10!E67+V_11!E67+V_12!E67</f>
        <v>8</v>
      </c>
      <c r="F67" s="152">
        <f>V_10!F67+V_11!F67+V_12!F67</f>
        <v>43</v>
      </c>
      <c r="G67" s="154">
        <f t="shared" si="4"/>
        <v>193</v>
      </c>
      <c r="H67" s="44">
        <f>V_10!H67+V_11!H67+V_12!H67</f>
        <v>0</v>
      </c>
      <c r="I67" s="39">
        <f>V_10!I67+V_11!I67+V_12!I67</f>
        <v>0</v>
      </c>
      <c r="J67" s="39">
        <f>V_10!J67+V_11!J67+V_12!J67</f>
        <v>0</v>
      </c>
      <c r="K67" s="45">
        <f>V_10!K67+V_11!K67+V_12!K67</f>
        <v>0</v>
      </c>
      <c r="L67" s="140">
        <f>V_10!L67+V_11!L67+V_12!L67</f>
        <v>0</v>
      </c>
      <c r="M67" s="149">
        <f t="shared" si="1"/>
        <v>0</v>
      </c>
      <c r="N67" s="100">
        <f t="shared" si="2"/>
        <v>193</v>
      </c>
      <c r="O67" s="43">
        <f t="shared" si="3"/>
        <v>355</v>
      </c>
    </row>
    <row r="68" spans="1:15" ht="22.5" customHeight="1" x14ac:dyDescent="0.3">
      <c r="A68" s="149" t="s">
        <v>237</v>
      </c>
      <c r="B68" s="44">
        <f>V_10!B68+V_11!B68+V_12!B68</f>
        <v>87</v>
      </c>
      <c r="C68" s="39">
        <f>V_10!C68+V_11!C68+V_12!C68</f>
        <v>34</v>
      </c>
      <c r="D68" s="39">
        <f>V_10!D68+V_11!D68+V_12!D68</f>
        <v>24</v>
      </c>
      <c r="E68" s="39">
        <f>V_10!E68+V_11!E68+V_12!E68</f>
        <v>17</v>
      </c>
      <c r="F68" s="152">
        <f>V_10!F68+V_11!F68+V_12!F68</f>
        <v>42</v>
      </c>
      <c r="G68" s="154">
        <f t="shared" si="4"/>
        <v>204</v>
      </c>
      <c r="H68" s="44">
        <f>V_10!H68+V_11!H68+V_12!H68</f>
        <v>0</v>
      </c>
      <c r="I68" s="39">
        <f>V_10!I68+V_11!I68+V_12!I68</f>
        <v>0</v>
      </c>
      <c r="J68" s="39">
        <f>V_10!J68+V_11!J68+V_12!J68</f>
        <v>0</v>
      </c>
      <c r="K68" s="45">
        <f>V_10!K68+V_11!K68+V_12!K68</f>
        <v>0</v>
      </c>
      <c r="L68" s="140">
        <f>V_10!L68+V_11!L68+V_12!L68</f>
        <v>0</v>
      </c>
      <c r="M68" s="149">
        <f t="shared" si="1"/>
        <v>0</v>
      </c>
      <c r="N68" s="100">
        <f t="shared" si="2"/>
        <v>204</v>
      </c>
      <c r="O68" s="43">
        <f t="shared" si="3"/>
        <v>380</v>
      </c>
    </row>
    <row r="69" spans="1:15" ht="22.5" customHeight="1" x14ac:dyDescent="0.3">
      <c r="A69" s="149" t="s">
        <v>238</v>
      </c>
      <c r="B69" s="44">
        <f>V_10!B69+V_11!B69+V_12!B69</f>
        <v>82</v>
      </c>
      <c r="C69" s="39">
        <f>V_10!C69+V_11!C69+V_12!C69</f>
        <v>25</v>
      </c>
      <c r="D69" s="39">
        <f>V_10!D69+V_11!D69+V_12!D69</f>
        <v>9</v>
      </c>
      <c r="E69" s="39">
        <f>V_10!E69+V_11!E69+V_12!E69</f>
        <v>19</v>
      </c>
      <c r="F69" s="152">
        <f>V_10!F69+V_11!F69+V_12!F69</f>
        <v>46</v>
      </c>
      <c r="G69" s="154">
        <f t="shared" si="4"/>
        <v>181</v>
      </c>
      <c r="H69" s="44">
        <f>V_10!H69+V_11!H69+V_12!H69</f>
        <v>0</v>
      </c>
      <c r="I69" s="39">
        <f>V_10!I69+V_11!I69+V_12!I69</f>
        <v>0</v>
      </c>
      <c r="J69" s="39">
        <f>V_10!J69+V_11!J69+V_12!J69</f>
        <v>0</v>
      </c>
      <c r="K69" s="45">
        <f>V_10!K69+V_11!K69+V_12!K69</f>
        <v>0</v>
      </c>
      <c r="L69" s="140">
        <f>V_10!L69+V_11!L69+V_12!L69</f>
        <v>0</v>
      </c>
      <c r="M69" s="149">
        <f t="shared" si="1"/>
        <v>0</v>
      </c>
      <c r="N69" s="100">
        <f t="shared" si="2"/>
        <v>181</v>
      </c>
      <c r="O69" s="43">
        <f t="shared" si="3"/>
        <v>372</v>
      </c>
    </row>
    <row r="70" spans="1:15" ht="22.5" customHeight="1" x14ac:dyDescent="0.3">
      <c r="A70" s="149" t="s">
        <v>239</v>
      </c>
      <c r="B70" s="44">
        <f>V_10!B70+V_11!B70+V_12!B70</f>
        <v>80</v>
      </c>
      <c r="C70" s="39">
        <f>V_10!C70+V_11!C70+V_12!C70</f>
        <v>25</v>
      </c>
      <c r="D70" s="39">
        <f>V_10!D70+V_11!D70+V_12!D70</f>
        <v>14</v>
      </c>
      <c r="E70" s="39">
        <f>V_10!E70+V_11!E70+V_12!E70</f>
        <v>22</v>
      </c>
      <c r="F70" s="152">
        <f>V_10!F70+V_11!F70+V_12!F70</f>
        <v>59</v>
      </c>
      <c r="G70" s="154">
        <f t="shared" si="4"/>
        <v>200</v>
      </c>
      <c r="H70" s="44">
        <f>V_10!H70+V_11!H70+V_12!H70</f>
        <v>0</v>
      </c>
      <c r="I70" s="39">
        <f>V_10!I70+V_11!I70+V_12!I70</f>
        <v>0</v>
      </c>
      <c r="J70" s="39">
        <f>V_10!J70+V_11!J70+V_12!J70</f>
        <v>0</v>
      </c>
      <c r="K70" s="45">
        <f>V_10!K70+V_11!K70+V_12!K70</f>
        <v>0</v>
      </c>
      <c r="L70" s="140">
        <f>V_10!L70+V_11!L70+V_12!L70</f>
        <v>0</v>
      </c>
      <c r="M70" s="149">
        <f t="shared" si="1"/>
        <v>0</v>
      </c>
      <c r="N70" s="100">
        <f t="shared" si="2"/>
        <v>200</v>
      </c>
      <c r="O70" s="43">
        <f t="shared" si="3"/>
        <v>445</v>
      </c>
    </row>
    <row r="71" spans="1:15" ht="22.5" customHeight="1" x14ac:dyDescent="0.3">
      <c r="A71" s="149" t="s">
        <v>240</v>
      </c>
      <c r="B71" s="44">
        <f>V_10!B71+V_11!B71+V_12!B71</f>
        <v>69</v>
      </c>
      <c r="C71" s="39">
        <f>V_10!C71+V_11!C71+V_12!C71</f>
        <v>17</v>
      </c>
      <c r="D71" s="39">
        <f>V_10!D71+V_11!D71+V_12!D71</f>
        <v>11</v>
      </c>
      <c r="E71" s="39">
        <f>V_10!E71+V_11!E71+V_12!E71</f>
        <v>21</v>
      </c>
      <c r="F71" s="152">
        <f>V_10!F71+V_11!F71+V_12!F71</f>
        <v>55</v>
      </c>
      <c r="G71" s="154">
        <f t="shared" si="4"/>
        <v>173</v>
      </c>
      <c r="H71" s="44">
        <f>V_10!H71+V_11!H71+V_12!H71</f>
        <v>0</v>
      </c>
      <c r="I71" s="39">
        <f>V_10!I71+V_11!I71+V_12!I71</f>
        <v>0</v>
      </c>
      <c r="J71" s="39">
        <f>V_10!J71+V_11!J71+V_12!J71</f>
        <v>0</v>
      </c>
      <c r="K71" s="45">
        <f>V_10!K71+V_11!K71+V_12!K71</f>
        <v>0</v>
      </c>
      <c r="L71" s="140">
        <f>V_10!L71+V_11!L71+V_12!L71</f>
        <v>0</v>
      </c>
      <c r="M71" s="149">
        <f t="shared" si="1"/>
        <v>0</v>
      </c>
      <c r="N71" s="100">
        <f t="shared" si="2"/>
        <v>173</v>
      </c>
      <c r="O71" s="43">
        <f t="shared" si="3"/>
        <v>404.5</v>
      </c>
    </row>
    <row r="72" spans="1:15" ht="22.5" customHeight="1" x14ac:dyDescent="0.3">
      <c r="A72" s="149" t="s">
        <v>153</v>
      </c>
      <c r="B72" s="44">
        <f>V_10!B72+V_11!B72+V_12!B72</f>
        <v>22</v>
      </c>
      <c r="C72" s="39">
        <f>V_10!C72+V_11!C72+V_12!C72</f>
        <v>17</v>
      </c>
      <c r="D72" s="39">
        <f>V_10!D72+V_11!D72+V_12!D72</f>
        <v>32</v>
      </c>
      <c r="E72" s="39">
        <f>V_10!E72+V_11!E72+V_12!E72</f>
        <v>3</v>
      </c>
      <c r="F72" s="152">
        <f>V_10!F72+V_11!F72+V_12!F72</f>
        <v>39</v>
      </c>
      <c r="G72" s="154">
        <f t="shared" ref="G72:G103" si="5">SUM(B72:F72)</f>
        <v>113</v>
      </c>
      <c r="H72" s="44">
        <f>V_10!H72+V_11!H72+V_12!H72</f>
        <v>0</v>
      </c>
      <c r="I72" s="39">
        <f>V_10!I72+V_11!I72+V_12!I72</f>
        <v>0</v>
      </c>
      <c r="J72" s="39">
        <f>V_10!J72+V_11!J72+V_12!J72</f>
        <v>0</v>
      </c>
      <c r="K72" s="45">
        <f>V_10!K72+V_11!K72+V_12!K72</f>
        <v>0</v>
      </c>
      <c r="L72" s="140">
        <f>V_10!L72+V_11!L72+V_12!L72</f>
        <v>0</v>
      </c>
      <c r="M72" s="149">
        <f t="shared" si="1"/>
        <v>0</v>
      </c>
      <c r="N72" s="100">
        <f t="shared" si="2"/>
        <v>113</v>
      </c>
      <c r="O72" s="43">
        <f t="shared" si="3"/>
        <v>263</v>
      </c>
    </row>
    <row r="73" spans="1:15" ht="22.5" customHeight="1" x14ac:dyDescent="0.3">
      <c r="A73" s="149" t="s">
        <v>154</v>
      </c>
      <c r="B73" s="44">
        <f>V_10!B73+V_11!B73+V_12!B73</f>
        <v>49</v>
      </c>
      <c r="C73" s="39">
        <f>V_10!C73+V_11!C73+V_12!C73</f>
        <v>15</v>
      </c>
      <c r="D73" s="39">
        <f>V_10!D73+V_11!D73+V_12!D73</f>
        <v>19</v>
      </c>
      <c r="E73" s="39">
        <f>V_10!E73+V_11!E73+V_12!E73</f>
        <v>5</v>
      </c>
      <c r="F73" s="152">
        <f>V_10!F73+V_11!F73+V_12!F73</f>
        <v>32</v>
      </c>
      <c r="G73" s="154">
        <f t="shared" si="5"/>
        <v>120</v>
      </c>
      <c r="H73" s="44">
        <f>V_10!H73+V_11!H73+V_12!H73</f>
        <v>0</v>
      </c>
      <c r="I73" s="39">
        <f>V_10!I73+V_11!I73+V_12!I73</f>
        <v>0</v>
      </c>
      <c r="J73" s="39">
        <f>V_10!J73+V_11!J73+V_12!J73</f>
        <v>0</v>
      </c>
      <c r="K73" s="45">
        <f>V_10!K73+V_11!K73+V_12!K73</f>
        <v>0</v>
      </c>
      <c r="L73" s="140">
        <f>V_10!L73+V_11!L73+V_12!L73</f>
        <v>0</v>
      </c>
      <c r="M73" s="149">
        <f t="shared" ref="M73:M103" si="6">SUM(H73:L73)</f>
        <v>0</v>
      </c>
      <c r="N73" s="100">
        <f t="shared" ref="N73:N103" si="7">G73+M73</f>
        <v>120</v>
      </c>
      <c r="O73" s="43">
        <f t="shared" ref="O73:O103" si="8">B73*1+C73*0.5+D73*1.5+E73*3+F73*4.5+H73*0.5+I73*1.5+J73*3+K73*4+L73*8</f>
        <v>244</v>
      </c>
    </row>
    <row r="74" spans="1:15" ht="22.5" customHeight="1" x14ac:dyDescent="0.3">
      <c r="A74" s="149" t="s">
        <v>155</v>
      </c>
      <c r="B74" s="44">
        <f>V_10!B74+V_11!B74+V_12!B74</f>
        <v>60</v>
      </c>
      <c r="C74" s="39">
        <f>V_10!C74+V_11!C74+V_12!C74</f>
        <v>12</v>
      </c>
      <c r="D74" s="39">
        <f>V_10!D74+V_11!D74+V_12!D74</f>
        <v>27</v>
      </c>
      <c r="E74" s="39">
        <f>V_10!E74+V_11!E74+V_12!E74</f>
        <v>15</v>
      </c>
      <c r="F74" s="152">
        <f>V_10!F74+V_11!F74+V_12!F74</f>
        <v>37</v>
      </c>
      <c r="G74" s="154">
        <f t="shared" si="5"/>
        <v>151</v>
      </c>
      <c r="H74" s="44">
        <f>V_10!H74+V_11!H74+V_12!H74</f>
        <v>0</v>
      </c>
      <c r="I74" s="39">
        <f>V_10!I74+V_11!I74+V_12!I74</f>
        <v>0</v>
      </c>
      <c r="J74" s="39">
        <f>V_10!J74+V_11!J74+V_12!J74</f>
        <v>0</v>
      </c>
      <c r="K74" s="45">
        <f>V_10!K74+V_11!K74+V_12!K74</f>
        <v>0</v>
      </c>
      <c r="L74" s="140">
        <f>V_10!L74+V_11!L74+V_12!L74</f>
        <v>0</v>
      </c>
      <c r="M74" s="149">
        <f t="shared" si="6"/>
        <v>0</v>
      </c>
      <c r="N74" s="100">
        <f t="shared" si="7"/>
        <v>151</v>
      </c>
      <c r="O74" s="43">
        <f t="shared" si="8"/>
        <v>318</v>
      </c>
    </row>
    <row r="75" spans="1:15" ht="22.5" customHeight="1" x14ac:dyDescent="0.3">
      <c r="A75" s="149" t="s">
        <v>156</v>
      </c>
      <c r="B75" s="44">
        <f>V_10!B75+V_11!B75+V_12!B75</f>
        <v>53</v>
      </c>
      <c r="C75" s="39">
        <f>V_10!C75+V_11!C75+V_12!C75</f>
        <v>11</v>
      </c>
      <c r="D75" s="39">
        <f>V_10!D75+V_11!D75+V_12!D75</f>
        <v>24</v>
      </c>
      <c r="E75" s="39">
        <f>V_10!E75+V_11!E75+V_12!E75</f>
        <v>19</v>
      </c>
      <c r="F75" s="152">
        <f>V_10!F75+V_11!F75+V_12!F75</f>
        <v>23</v>
      </c>
      <c r="G75" s="154">
        <f t="shared" si="5"/>
        <v>130</v>
      </c>
      <c r="H75" s="44">
        <f>V_10!H75+V_11!H75+V_12!H75</f>
        <v>0</v>
      </c>
      <c r="I75" s="39">
        <f>V_10!I75+V_11!I75+V_12!I75</f>
        <v>0</v>
      </c>
      <c r="J75" s="39">
        <f>V_10!J75+V_11!J75+V_12!J75</f>
        <v>0</v>
      </c>
      <c r="K75" s="45">
        <f>V_10!K75+V_11!K75+V_12!K75</f>
        <v>0</v>
      </c>
      <c r="L75" s="140">
        <f>V_10!L75+V_11!L75+V_12!L75</f>
        <v>0</v>
      </c>
      <c r="M75" s="149">
        <f t="shared" si="6"/>
        <v>0</v>
      </c>
      <c r="N75" s="100">
        <f t="shared" si="7"/>
        <v>130</v>
      </c>
      <c r="O75" s="43">
        <f t="shared" si="8"/>
        <v>255</v>
      </c>
    </row>
    <row r="76" spans="1:15" ht="22.5" customHeight="1" x14ac:dyDescent="0.3">
      <c r="A76" s="149" t="s">
        <v>157</v>
      </c>
      <c r="B76" s="44">
        <f>V_10!B76+V_11!B76+V_12!B76</f>
        <v>39</v>
      </c>
      <c r="C76" s="39">
        <f>V_10!C76+V_11!C76+V_12!C76</f>
        <v>4</v>
      </c>
      <c r="D76" s="39">
        <f>V_10!D76+V_11!D76+V_12!D76</f>
        <v>19</v>
      </c>
      <c r="E76" s="39">
        <f>V_10!E76+V_11!E76+V_12!E76</f>
        <v>9</v>
      </c>
      <c r="F76" s="152">
        <f>V_10!F76+V_11!F76+V_12!F76</f>
        <v>18</v>
      </c>
      <c r="G76" s="154">
        <f t="shared" si="5"/>
        <v>89</v>
      </c>
      <c r="H76" s="44">
        <f>V_10!H76+V_11!H76+V_12!H76</f>
        <v>0</v>
      </c>
      <c r="I76" s="39">
        <f>V_10!I76+V_11!I76+V_12!I76</f>
        <v>0</v>
      </c>
      <c r="J76" s="39">
        <f>V_10!J76+V_11!J76+V_12!J76</f>
        <v>0</v>
      </c>
      <c r="K76" s="45">
        <f>V_10!K76+V_11!K76+V_12!K76</f>
        <v>0</v>
      </c>
      <c r="L76" s="140">
        <f>V_10!L76+V_11!L76+V_12!L76</f>
        <v>0</v>
      </c>
      <c r="M76" s="149">
        <f t="shared" si="6"/>
        <v>0</v>
      </c>
      <c r="N76" s="100">
        <f t="shared" si="7"/>
        <v>89</v>
      </c>
      <c r="O76" s="43">
        <f t="shared" si="8"/>
        <v>177.5</v>
      </c>
    </row>
    <row r="77" spans="1:15" ht="22.5" customHeight="1" x14ac:dyDescent="0.3">
      <c r="A77" s="149" t="s">
        <v>158</v>
      </c>
      <c r="B77" s="44">
        <f>V_10!B77+V_11!B77+V_12!B77</f>
        <v>33</v>
      </c>
      <c r="C77" s="39">
        <f>V_10!C77+V_11!C77+V_12!C77</f>
        <v>6</v>
      </c>
      <c r="D77" s="39">
        <f>V_10!D77+V_11!D77+V_12!D77</f>
        <v>23</v>
      </c>
      <c r="E77" s="39">
        <f>V_10!E77+V_11!E77+V_12!E77</f>
        <v>15</v>
      </c>
      <c r="F77" s="152">
        <f>V_10!F77+V_11!F77+V_12!F77</f>
        <v>14</v>
      </c>
      <c r="G77" s="154">
        <f t="shared" si="5"/>
        <v>91</v>
      </c>
      <c r="H77" s="44">
        <f>V_10!H77+V_11!H77+V_12!H77</f>
        <v>0</v>
      </c>
      <c r="I77" s="39">
        <f>V_10!I77+V_11!I77+V_12!I77</f>
        <v>0</v>
      </c>
      <c r="J77" s="39">
        <f>V_10!J77+V_11!J77+V_12!J77</f>
        <v>0</v>
      </c>
      <c r="K77" s="45">
        <f>V_10!K77+V_11!K77+V_12!K77</f>
        <v>0</v>
      </c>
      <c r="L77" s="140">
        <f>V_10!L77+V_11!L77+V_12!L77</f>
        <v>0</v>
      </c>
      <c r="M77" s="149">
        <f t="shared" si="6"/>
        <v>0</v>
      </c>
      <c r="N77" s="100">
        <f t="shared" si="7"/>
        <v>91</v>
      </c>
      <c r="O77" s="43">
        <f t="shared" si="8"/>
        <v>178.5</v>
      </c>
    </row>
    <row r="78" spans="1:15" ht="22.5" customHeight="1" x14ac:dyDescent="0.3">
      <c r="A78" s="149" t="s">
        <v>159</v>
      </c>
      <c r="B78" s="44">
        <f>V_10!B78+V_11!B78+V_12!B78</f>
        <v>33</v>
      </c>
      <c r="C78" s="39">
        <f>V_10!C78+V_11!C78+V_12!C78</f>
        <v>8</v>
      </c>
      <c r="D78" s="39">
        <f>V_10!D78+V_11!D78+V_12!D78</f>
        <v>6</v>
      </c>
      <c r="E78" s="39">
        <f>V_10!E78+V_11!E78+V_12!E78</f>
        <v>15</v>
      </c>
      <c r="F78" s="152">
        <f>V_10!F78+V_11!F78+V_12!F78</f>
        <v>26</v>
      </c>
      <c r="G78" s="154">
        <f t="shared" si="5"/>
        <v>88</v>
      </c>
      <c r="H78" s="44">
        <f>V_10!H78+V_11!H78+V_12!H78</f>
        <v>0</v>
      </c>
      <c r="I78" s="39">
        <f>V_10!I78+V_11!I78+V_12!I78</f>
        <v>0</v>
      </c>
      <c r="J78" s="39">
        <f>V_10!J78+V_11!J78+V_12!J78</f>
        <v>0</v>
      </c>
      <c r="K78" s="45">
        <f>V_10!K78+V_11!K78+V_12!K78</f>
        <v>0</v>
      </c>
      <c r="L78" s="140">
        <f>V_10!L78+V_11!L78+V_12!L78</f>
        <v>0</v>
      </c>
      <c r="M78" s="149">
        <f t="shared" si="6"/>
        <v>0</v>
      </c>
      <c r="N78" s="100">
        <f t="shared" si="7"/>
        <v>88</v>
      </c>
      <c r="O78" s="43">
        <f t="shared" si="8"/>
        <v>208</v>
      </c>
    </row>
    <row r="79" spans="1:15" ht="22.5" customHeight="1" x14ac:dyDescent="0.3">
      <c r="A79" s="149" t="s">
        <v>160</v>
      </c>
      <c r="B79" s="44">
        <f>V_10!B79+V_11!B79+V_12!B79</f>
        <v>26</v>
      </c>
      <c r="C79" s="39">
        <f>V_10!C79+V_11!C79+V_12!C79</f>
        <v>6</v>
      </c>
      <c r="D79" s="39">
        <f>V_10!D79+V_11!D79+V_12!D79</f>
        <v>9</v>
      </c>
      <c r="E79" s="39">
        <f>V_10!E79+V_11!E79+V_12!E79</f>
        <v>12</v>
      </c>
      <c r="F79" s="152">
        <f>V_10!F79+V_11!F79+V_12!F79</f>
        <v>26</v>
      </c>
      <c r="G79" s="154">
        <f t="shared" si="5"/>
        <v>79</v>
      </c>
      <c r="H79" s="44">
        <f>V_10!H79+V_11!H79+V_12!H79</f>
        <v>0</v>
      </c>
      <c r="I79" s="39">
        <f>V_10!I79+V_11!I79+V_12!I79</f>
        <v>0</v>
      </c>
      <c r="J79" s="39">
        <f>V_10!J79+V_11!J79+V_12!J79</f>
        <v>0</v>
      </c>
      <c r="K79" s="45">
        <f>V_10!K79+V_11!K79+V_12!K79</f>
        <v>0</v>
      </c>
      <c r="L79" s="140">
        <f>V_10!L79+V_11!L79+V_12!L79</f>
        <v>0</v>
      </c>
      <c r="M79" s="149">
        <f t="shared" si="6"/>
        <v>0</v>
      </c>
      <c r="N79" s="100">
        <f t="shared" si="7"/>
        <v>79</v>
      </c>
      <c r="O79" s="43">
        <f t="shared" si="8"/>
        <v>195.5</v>
      </c>
    </row>
    <row r="80" spans="1:15" ht="22.5" customHeight="1" x14ac:dyDescent="0.3">
      <c r="A80" s="149" t="s">
        <v>161</v>
      </c>
      <c r="B80" s="44">
        <f>V_10!B80+V_11!B80+V_12!B80</f>
        <v>37</v>
      </c>
      <c r="C80" s="39">
        <f>V_10!C80+V_11!C80+V_12!C80</f>
        <v>8</v>
      </c>
      <c r="D80" s="39">
        <f>V_10!D80+V_11!D80+V_12!D80</f>
        <v>19</v>
      </c>
      <c r="E80" s="39">
        <f>V_10!E80+V_11!E80+V_12!E80</f>
        <v>7</v>
      </c>
      <c r="F80" s="152">
        <f>V_10!F80+V_11!F80+V_12!F80</f>
        <v>25</v>
      </c>
      <c r="G80" s="154">
        <f t="shared" si="5"/>
        <v>96</v>
      </c>
      <c r="H80" s="44">
        <f>V_10!H80+V_11!H80+V_12!H80</f>
        <v>0</v>
      </c>
      <c r="I80" s="39">
        <f>V_10!I80+V_11!I80+V_12!I80</f>
        <v>0</v>
      </c>
      <c r="J80" s="39">
        <f>V_10!J80+V_11!J80+V_12!J80</f>
        <v>0</v>
      </c>
      <c r="K80" s="45">
        <f>V_10!K80+V_11!K80+V_12!K80</f>
        <v>0</v>
      </c>
      <c r="L80" s="140">
        <f>V_10!L80+V_11!L80+V_12!L80</f>
        <v>0</v>
      </c>
      <c r="M80" s="149">
        <f t="shared" si="6"/>
        <v>0</v>
      </c>
      <c r="N80" s="100">
        <f t="shared" si="7"/>
        <v>96</v>
      </c>
      <c r="O80" s="43">
        <f t="shared" si="8"/>
        <v>203</v>
      </c>
    </row>
    <row r="81" spans="1:15" ht="22.5" customHeight="1" x14ac:dyDescent="0.3">
      <c r="A81" s="149" t="s">
        <v>162</v>
      </c>
      <c r="B81" s="44">
        <f>V_10!B81+V_11!B81+V_12!B81</f>
        <v>26</v>
      </c>
      <c r="C81" s="39">
        <f>V_10!C81+V_11!C81+V_12!C81</f>
        <v>1</v>
      </c>
      <c r="D81" s="39">
        <f>V_10!D81+V_11!D81+V_12!D81</f>
        <v>9</v>
      </c>
      <c r="E81" s="39">
        <f>V_10!E81+V_11!E81+V_12!E81</f>
        <v>7</v>
      </c>
      <c r="F81" s="152">
        <f>V_10!F81+V_11!F81+V_12!F81</f>
        <v>17</v>
      </c>
      <c r="G81" s="154">
        <f t="shared" si="5"/>
        <v>60</v>
      </c>
      <c r="H81" s="44">
        <f>V_10!H81+V_11!H81+V_12!H81</f>
        <v>0</v>
      </c>
      <c r="I81" s="39">
        <f>V_10!I81+V_11!I81+V_12!I81</f>
        <v>0</v>
      </c>
      <c r="J81" s="39">
        <f>V_10!J81+V_11!J81+V_12!J81</f>
        <v>0</v>
      </c>
      <c r="K81" s="45">
        <f>V_10!K81+V_11!K81+V_12!K81</f>
        <v>0</v>
      </c>
      <c r="L81" s="140">
        <f>V_10!L81+V_11!L81+V_12!L81</f>
        <v>0</v>
      </c>
      <c r="M81" s="149">
        <f t="shared" si="6"/>
        <v>0</v>
      </c>
      <c r="N81" s="100">
        <f t="shared" si="7"/>
        <v>60</v>
      </c>
      <c r="O81" s="43">
        <f t="shared" si="8"/>
        <v>137.5</v>
      </c>
    </row>
    <row r="82" spans="1:15" ht="22.5" customHeight="1" x14ac:dyDescent="0.3">
      <c r="A82" s="149" t="s">
        <v>163</v>
      </c>
      <c r="B82" s="44">
        <f>V_10!B82+V_11!B82+V_12!B82</f>
        <v>32</v>
      </c>
      <c r="C82" s="39">
        <f>V_10!C82+V_11!C82+V_12!C82</f>
        <v>3</v>
      </c>
      <c r="D82" s="39">
        <f>V_10!D82+V_11!D82+V_12!D82</f>
        <v>18</v>
      </c>
      <c r="E82" s="39">
        <f>V_10!E82+V_11!E82+V_12!E82</f>
        <v>7</v>
      </c>
      <c r="F82" s="152">
        <f>V_10!F82+V_11!F82+V_12!F82</f>
        <v>18</v>
      </c>
      <c r="G82" s="154">
        <f t="shared" si="5"/>
        <v>78</v>
      </c>
      <c r="H82" s="44">
        <f>V_10!H82+V_11!H82+V_12!H82</f>
        <v>0</v>
      </c>
      <c r="I82" s="39">
        <f>V_10!I82+V_11!I82+V_12!I82</f>
        <v>0</v>
      </c>
      <c r="J82" s="39">
        <f>V_10!J82+V_11!J82+V_12!J82</f>
        <v>0</v>
      </c>
      <c r="K82" s="45">
        <f>V_10!K82+V_11!K82+V_12!K82</f>
        <v>0</v>
      </c>
      <c r="L82" s="140">
        <f>V_10!L82+V_11!L82+V_12!L82</f>
        <v>0</v>
      </c>
      <c r="M82" s="149">
        <f t="shared" si="6"/>
        <v>0</v>
      </c>
      <c r="N82" s="100">
        <f t="shared" si="7"/>
        <v>78</v>
      </c>
      <c r="O82" s="43">
        <f t="shared" si="8"/>
        <v>162.5</v>
      </c>
    </row>
    <row r="83" spans="1:15" ht="22.5" customHeight="1" x14ac:dyDescent="0.3">
      <c r="A83" s="149" t="s">
        <v>164</v>
      </c>
      <c r="B83" s="44">
        <f>V_10!B83+V_11!B83+V_12!B83</f>
        <v>24</v>
      </c>
      <c r="C83" s="39">
        <f>V_10!C83+V_11!C83+V_12!C83</f>
        <v>3</v>
      </c>
      <c r="D83" s="39">
        <f>V_10!D83+V_11!D83+V_12!D83</f>
        <v>9</v>
      </c>
      <c r="E83" s="39">
        <f>V_10!E83+V_11!E83+V_12!E83</f>
        <v>10</v>
      </c>
      <c r="F83" s="152">
        <f>V_10!F83+V_11!F83+V_12!F83</f>
        <v>15</v>
      </c>
      <c r="G83" s="154">
        <f t="shared" si="5"/>
        <v>61</v>
      </c>
      <c r="H83" s="44">
        <f>V_10!H83+V_11!H83+V_12!H83</f>
        <v>0</v>
      </c>
      <c r="I83" s="39">
        <f>V_10!I83+V_11!I83+V_12!I83</f>
        <v>0</v>
      </c>
      <c r="J83" s="39">
        <f>V_10!J83+V_11!J83+V_12!J83</f>
        <v>0</v>
      </c>
      <c r="K83" s="45">
        <f>V_10!K83+V_11!K83+V_12!K83</f>
        <v>0</v>
      </c>
      <c r="L83" s="140">
        <f>V_10!L83+V_11!L83+V_12!L83</f>
        <v>0</v>
      </c>
      <c r="M83" s="149">
        <f t="shared" si="6"/>
        <v>0</v>
      </c>
      <c r="N83" s="100">
        <f t="shared" si="7"/>
        <v>61</v>
      </c>
      <c r="O83" s="43">
        <f t="shared" si="8"/>
        <v>136.5</v>
      </c>
    </row>
    <row r="84" spans="1:15" ht="22.5" customHeight="1" x14ac:dyDescent="0.3">
      <c r="A84" s="149" t="s">
        <v>165</v>
      </c>
      <c r="B84" s="44">
        <f>V_10!B84+V_11!B84+V_12!B84</f>
        <v>36</v>
      </c>
      <c r="C84" s="39">
        <f>V_10!C84+V_11!C84+V_12!C84</f>
        <v>4</v>
      </c>
      <c r="D84" s="39">
        <f>V_10!D84+V_11!D84+V_12!D84</f>
        <v>5</v>
      </c>
      <c r="E84" s="39">
        <f>V_10!E84+V_11!E84+V_12!E84</f>
        <v>10</v>
      </c>
      <c r="F84" s="152">
        <f>V_10!F84+V_11!F84+V_12!F84</f>
        <v>17</v>
      </c>
      <c r="G84" s="154">
        <f t="shared" si="5"/>
        <v>72</v>
      </c>
      <c r="H84" s="44">
        <f>V_10!H84+V_11!H84+V_12!H84</f>
        <v>0</v>
      </c>
      <c r="I84" s="39">
        <f>V_10!I84+V_11!I84+V_12!I84</f>
        <v>0</v>
      </c>
      <c r="J84" s="39">
        <f>V_10!J84+V_11!J84+V_12!J84</f>
        <v>0</v>
      </c>
      <c r="K84" s="45">
        <f>V_10!K84+V_11!K84+V_12!K84</f>
        <v>0</v>
      </c>
      <c r="L84" s="140">
        <f>V_10!L84+V_11!L84+V_12!L84</f>
        <v>0</v>
      </c>
      <c r="M84" s="149">
        <f t="shared" si="6"/>
        <v>0</v>
      </c>
      <c r="N84" s="100">
        <f t="shared" si="7"/>
        <v>72</v>
      </c>
      <c r="O84" s="43">
        <f t="shared" si="8"/>
        <v>152</v>
      </c>
    </row>
    <row r="85" spans="1:15" ht="22.5" customHeight="1" x14ac:dyDescent="0.3">
      <c r="A85" s="149" t="s">
        <v>166</v>
      </c>
      <c r="B85" s="44">
        <f>V_10!B85+V_11!B85+V_12!B85</f>
        <v>33</v>
      </c>
      <c r="C85" s="39">
        <f>V_10!C85+V_11!C85+V_12!C85</f>
        <v>4</v>
      </c>
      <c r="D85" s="39">
        <f>V_10!D85+V_11!D85+V_12!D85</f>
        <v>4</v>
      </c>
      <c r="E85" s="39">
        <f>V_10!E85+V_11!E85+V_12!E85</f>
        <v>10</v>
      </c>
      <c r="F85" s="152">
        <f>V_10!F85+V_11!F85+V_12!F85</f>
        <v>21</v>
      </c>
      <c r="G85" s="154">
        <f t="shared" si="5"/>
        <v>72</v>
      </c>
      <c r="H85" s="44">
        <f>V_10!H85+V_11!H85+V_12!H85</f>
        <v>0</v>
      </c>
      <c r="I85" s="39">
        <f>V_10!I85+V_11!I85+V_12!I85</f>
        <v>0</v>
      </c>
      <c r="J85" s="39">
        <f>V_10!J85+V_11!J85+V_12!J85</f>
        <v>0</v>
      </c>
      <c r="K85" s="45">
        <f>V_10!K85+V_11!K85+V_12!K85</f>
        <v>0</v>
      </c>
      <c r="L85" s="140">
        <f>V_10!L85+V_11!L85+V_12!L85</f>
        <v>0</v>
      </c>
      <c r="M85" s="149">
        <f t="shared" si="6"/>
        <v>0</v>
      </c>
      <c r="N85" s="100">
        <f t="shared" si="7"/>
        <v>72</v>
      </c>
      <c r="O85" s="43">
        <f t="shared" si="8"/>
        <v>165.5</v>
      </c>
    </row>
    <row r="86" spans="1:15" ht="22.5" customHeight="1" x14ac:dyDescent="0.3">
      <c r="A86" s="149" t="s">
        <v>167</v>
      </c>
      <c r="B86" s="44">
        <f>V_10!B86+V_11!B86+V_12!B86</f>
        <v>33</v>
      </c>
      <c r="C86" s="39">
        <f>V_10!C86+V_11!C86+V_12!C86</f>
        <v>4</v>
      </c>
      <c r="D86" s="39">
        <f>V_10!D86+V_11!D86+V_12!D86</f>
        <v>7</v>
      </c>
      <c r="E86" s="39">
        <f>V_10!E86+V_11!E86+V_12!E86</f>
        <v>7</v>
      </c>
      <c r="F86" s="152">
        <f>V_10!F86+V_11!F86+V_12!F86</f>
        <v>23</v>
      </c>
      <c r="G86" s="154">
        <f t="shared" si="5"/>
        <v>74</v>
      </c>
      <c r="H86" s="44">
        <f>V_10!H86+V_11!H86+V_12!H86</f>
        <v>0</v>
      </c>
      <c r="I86" s="39">
        <f>V_10!I86+V_11!I86+V_12!I86</f>
        <v>0</v>
      </c>
      <c r="J86" s="39">
        <f>V_10!J86+V_11!J86+V_12!J86</f>
        <v>0</v>
      </c>
      <c r="K86" s="45">
        <f>V_10!K86+V_11!K86+V_12!K86</f>
        <v>0</v>
      </c>
      <c r="L86" s="140">
        <f>V_10!L86+V_11!L86+V_12!L86</f>
        <v>0</v>
      </c>
      <c r="M86" s="149">
        <f t="shared" si="6"/>
        <v>0</v>
      </c>
      <c r="N86" s="100">
        <f t="shared" si="7"/>
        <v>74</v>
      </c>
      <c r="O86" s="43">
        <f t="shared" si="8"/>
        <v>170</v>
      </c>
    </row>
    <row r="87" spans="1:15" ht="22.5" customHeight="1" x14ac:dyDescent="0.3">
      <c r="A87" s="149" t="s">
        <v>168</v>
      </c>
      <c r="B87" s="44">
        <f>V_10!B87+V_11!B87+V_12!B87</f>
        <v>30</v>
      </c>
      <c r="C87" s="39">
        <f>V_10!C87+V_11!C87+V_12!C87</f>
        <v>8</v>
      </c>
      <c r="D87" s="39">
        <f>V_10!D87+V_11!D87+V_12!D87</f>
        <v>11</v>
      </c>
      <c r="E87" s="39">
        <f>V_10!E87+V_11!E87+V_12!E87</f>
        <v>14</v>
      </c>
      <c r="F87" s="152">
        <f>V_10!F87+V_11!F87+V_12!F87</f>
        <v>26</v>
      </c>
      <c r="G87" s="154">
        <f t="shared" si="5"/>
        <v>89</v>
      </c>
      <c r="H87" s="44">
        <f>V_10!H87+V_11!H87+V_12!H87</f>
        <v>0</v>
      </c>
      <c r="I87" s="39">
        <f>V_10!I87+V_11!I87+V_12!I87</f>
        <v>0</v>
      </c>
      <c r="J87" s="39">
        <f>V_10!J87+V_11!J87+V_12!J87</f>
        <v>0</v>
      </c>
      <c r="K87" s="45">
        <f>V_10!K87+V_11!K87+V_12!K87</f>
        <v>0</v>
      </c>
      <c r="L87" s="140">
        <f>V_10!L87+V_11!L87+V_12!L87</f>
        <v>0</v>
      </c>
      <c r="M87" s="149">
        <f t="shared" si="6"/>
        <v>0</v>
      </c>
      <c r="N87" s="100">
        <f t="shared" si="7"/>
        <v>89</v>
      </c>
      <c r="O87" s="43">
        <f t="shared" si="8"/>
        <v>209.5</v>
      </c>
    </row>
    <row r="88" spans="1:15" ht="22.5" customHeight="1" x14ac:dyDescent="0.3">
      <c r="A88" s="149" t="s">
        <v>169</v>
      </c>
      <c r="B88" s="44">
        <f>V_10!B88+V_11!B88+V_12!B88</f>
        <v>57</v>
      </c>
      <c r="C88" s="39">
        <f>V_10!C88+V_11!C88+V_12!C88</f>
        <v>4</v>
      </c>
      <c r="D88" s="39">
        <f>V_10!D88+V_11!D88+V_12!D88</f>
        <v>15</v>
      </c>
      <c r="E88" s="39">
        <f>V_10!E88+V_11!E88+V_12!E88</f>
        <v>8</v>
      </c>
      <c r="F88" s="152">
        <f>V_10!F88+V_11!F88+V_12!F88</f>
        <v>25</v>
      </c>
      <c r="G88" s="154">
        <f t="shared" si="5"/>
        <v>109</v>
      </c>
      <c r="H88" s="44">
        <f>V_10!H88+V_11!H88+V_12!H88</f>
        <v>0</v>
      </c>
      <c r="I88" s="39">
        <f>V_10!I88+V_11!I88+V_12!I88</f>
        <v>0</v>
      </c>
      <c r="J88" s="39">
        <f>V_10!J88+V_11!J88+V_12!J88</f>
        <v>0</v>
      </c>
      <c r="K88" s="45">
        <f>V_10!K88+V_11!K88+V_12!K88</f>
        <v>0</v>
      </c>
      <c r="L88" s="140">
        <f>V_10!L88+V_11!L88+V_12!L88</f>
        <v>0</v>
      </c>
      <c r="M88" s="149">
        <f t="shared" si="6"/>
        <v>0</v>
      </c>
      <c r="N88" s="100">
        <f t="shared" si="7"/>
        <v>109</v>
      </c>
      <c r="O88" s="43">
        <f t="shared" si="8"/>
        <v>218</v>
      </c>
    </row>
    <row r="89" spans="1:15" ht="22.5" customHeight="1" x14ac:dyDescent="0.3">
      <c r="A89" s="149" t="s">
        <v>170</v>
      </c>
      <c r="B89" s="44">
        <f>V_10!B89+V_11!B89+V_12!B89</f>
        <v>53</v>
      </c>
      <c r="C89" s="39">
        <f>V_10!C89+V_11!C89+V_12!C89</f>
        <v>9</v>
      </c>
      <c r="D89" s="39">
        <f>V_10!D89+V_11!D89+V_12!D89</f>
        <v>12</v>
      </c>
      <c r="E89" s="39">
        <f>V_10!E89+V_11!E89+V_12!E89</f>
        <v>6</v>
      </c>
      <c r="F89" s="152">
        <f>V_10!F89+V_11!F89+V_12!F89</f>
        <v>22</v>
      </c>
      <c r="G89" s="154">
        <f t="shared" si="5"/>
        <v>102</v>
      </c>
      <c r="H89" s="44">
        <f>V_10!H89+V_11!H89+V_12!H89</f>
        <v>1</v>
      </c>
      <c r="I89" s="39">
        <f>V_10!I89+V_11!I89+V_12!I89</f>
        <v>0</v>
      </c>
      <c r="J89" s="39">
        <f>V_10!J89+V_11!J89+V_12!J89</f>
        <v>0</v>
      </c>
      <c r="K89" s="45">
        <f>V_10!K89+V_11!K89+V_12!K89</f>
        <v>0</v>
      </c>
      <c r="L89" s="140">
        <f>V_10!L89+V_11!L89+V_12!L89</f>
        <v>0</v>
      </c>
      <c r="M89" s="149">
        <f t="shared" si="6"/>
        <v>1</v>
      </c>
      <c r="N89" s="100">
        <f t="shared" si="7"/>
        <v>103</v>
      </c>
      <c r="O89" s="43">
        <f t="shared" si="8"/>
        <v>193</v>
      </c>
    </row>
    <row r="90" spans="1:15" ht="22.5" customHeight="1" x14ac:dyDescent="0.3">
      <c r="A90" s="149" t="s">
        <v>171</v>
      </c>
      <c r="B90" s="44">
        <f>V_10!B90+V_11!B90+V_12!B90</f>
        <v>48</v>
      </c>
      <c r="C90" s="39">
        <f>V_10!C90+V_11!C90+V_12!C90</f>
        <v>15</v>
      </c>
      <c r="D90" s="39">
        <f>V_10!D90+V_11!D90+V_12!D90</f>
        <v>6</v>
      </c>
      <c r="E90" s="39">
        <f>V_10!E90+V_11!E90+V_12!E90</f>
        <v>4</v>
      </c>
      <c r="F90" s="152">
        <f>V_10!F90+V_11!F90+V_12!F90</f>
        <v>29</v>
      </c>
      <c r="G90" s="154">
        <f t="shared" si="5"/>
        <v>102</v>
      </c>
      <c r="H90" s="44">
        <f>V_10!H90+V_11!H90+V_12!H90</f>
        <v>0</v>
      </c>
      <c r="I90" s="39">
        <f>V_10!I90+V_11!I90+V_12!I90</f>
        <v>0</v>
      </c>
      <c r="J90" s="39">
        <f>V_10!J90+V_11!J90+V_12!J90</f>
        <v>0</v>
      </c>
      <c r="K90" s="45">
        <f>V_10!K90+V_11!K90+V_12!K90</f>
        <v>0</v>
      </c>
      <c r="L90" s="140">
        <f>V_10!L90+V_11!L90+V_12!L90</f>
        <v>0</v>
      </c>
      <c r="M90" s="149">
        <f t="shared" si="6"/>
        <v>0</v>
      </c>
      <c r="N90" s="100">
        <f t="shared" si="7"/>
        <v>102</v>
      </c>
      <c r="O90" s="43">
        <f t="shared" si="8"/>
        <v>207</v>
      </c>
    </row>
    <row r="91" spans="1:15" ht="22.5" customHeight="1" x14ac:dyDescent="0.3">
      <c r="A91" s="149" t="s">
        <v>172</v>
      </c>
      <c r="B91" s="44">
        <f>V_10!B91+V_11!B91+V_12!B91</f>
        <v>44</v>
      </c>
      <c r="C91" s="39">
        <f>V_10!C91+V_11!C91+V_12!C91</f>
        <v>16</v>
      </c>
      <c r="D91" s="39">
        <f>V_10!D91+V_11!D91+V_12!D91</f>
        <v>6</v>
      </c>
      <c r="E91" s="39">
        <f>V_10!E91+V_11!E91+V_12!E91</f>
        <v>4</v>
      </c>
      <c r="F91" s="152">
        <f>V_10!F91+V_11!F91+V_12!F91</f>
        <v>24</v>
      </c>
      <c r="G91" s="154">
        <f t="shared" si="5"/>
        <v>94</v>
      </c>
      <c r="H91" s="44">
        <f>V_10!H91+V_11!H91+V_12!H91</f>
        <v>0</v>
      </c>
      <c r="I91" s="39">
        <f>V_10!I91+V_11!I91+V_12!I91</f>
        <v>0</v>
      </c>
      <c r="J91" s="39">
        <f>V_10!J91+V_11!J91+V_12!J91</f>
        <v>0</v>
      </c>
      <c r="K91" s="45">
        <f>V_10!K91+V_11!K91+V_12!K91</f>
        <v>0</v>
      </c>
      <c r="L91" s="140">
        <f>V_10!L91+V_11!L91+V_12!L91</f>
        <v>0</v>
      </c>
      <c r="M91" s="149">
        <f t="shared" si="6"/>
        <v>0</v>
      </c>
      <c r="N91" s="100">
        <f t="shared" si="7"/>
        <v>94</v>
      </c>
      <c r="O91" s="43">
        <f t="shared" si="8"/>
        <v>181</v>
      </c>
    </row>
    <row r="92" spans="1:15" ht="22.5" customHeight="1" x14ac:dyDescent="0.3">
      <c r="A92" s="149" t="s">
        <v>173</v>
      </c>
      <c r="B92" s="44">
        <f>V_10!B92+V_11!B92+V_12!B92</f>
        <v>50</v>
      </c>
      <c r="C92" s="39">
        <f>V_10!C92+V_11!C92+V_12!C92</f>
        <v>16</v>
      </c>
      <c r="D92" s="39">
        <f>V_10!D92+V_11!D92+V_12!D92</f>
        <v>4</v>
      </c>
      <c r="E92" s="39">
        <f>V_10!E92+V_11!E92+V_12!E92</f>
        <v>6</v>
      </c>
      <c r="F92" s="152">
        <f>V_10!F92+V_11!F92+V_12!F92</f>
        <v>28</v>
      </c>
      <c r="G92" s="154">
        <f t="shared" si="5"/>
        <v>104</v>
      </c>
      <c r="H92" s="44">
        <f>V_10!H92+V_11!H92+V_12!H92</f>
        <v>0</v>
      </c>
      <c r="I92" s="39">
        <f>V_10!I92+V_11!I92+V_12!I92</f>
        <v>0</v>
      </c>
      <c r="J92" s="39">
        <f>V_10!J92+V_11!J92+V_12!J92</f>
        <v>0</v>
      </c>
      <c r="K92" s="45">
        <f>V_10!K92+V_11!K92+V_12!K92</f>
        <v>0</v>
      </c>
      <c r="L92" s="140">
        <f>V_10!L92+V_11!L92+V_12!L92</f>
        <v>0</v>
      </c>
      <c r="M92" s="149">
        <f t="shared" si="6"/>
        <v>0</v>
      </c>
      <c r="N92" s="100">
        <f t="shared" si="7"/>
        <v>104</v>
      </c>
      <c r="O92" s="43">
        <f t="shared" si="8"/>
        <v>208</v>
      </c>
    </row>
    <row r="93" spans="1:15" ht="22.5" customHeight="1" x14ac:dyDescent="0.3">
      <c r="A93" s="149" t="s">
        <v>174</v>
      </c>
      <c r="B93" s="44">
        <f>V_10!B93+V_11!B93+V_12!B93</f>
        <v>48</v>
      </c>
      <c r="C93" s="39">
        <f>V_10!C93+V_11!C93+V_12!C93</f>
        <v>15</v>
      </c>
      <c r="D93" s="39">
        <f>V_10!D93+V_11!D93+V_12!D93</f>
        <v>13</v>
      </c>
      <c r="E93" s="39">
        <f>V_10!E93+V_11!E93+V_12!E93</f>
        <v>5</v>
      </c>
      <c r="F93" s="152">
        <f>V_10!F93+V_11!F93+V_12!F93</f>
        <v>30</v>
      </c>
      <c r="G93" s="154">
        <f t="shared" si="5"/>
        <v>111</v>
      </c>
      <c r="H93" s="44">
        <f>V_10!H93+V_11!H93+V_12!H93</f>
        <v>1</v>
      </c>
      <c r="I93" s="39">
        <f>V_10!I93+V_11!I93+V_12!I93</f>
        <v>0</v>
      </c>
      <c r="J93" s="39">
        <f>V_10!J93+V_11!J93+V_12!J93</f>
        <v>0</v>
      </c>
      <c r="K93" s="45">
        <f>V_10!K93+V_11!K93+V_12!K93</f>
        <v>0</v>
      </c>
      <c r="L93" s="140">
        <f>V_10!L93+V_11!L93+V_12!L93</f>
        <v>0</v>
      </c>
      <c r="M93" s="149">
        <f t="shared" si="6"/>
        <v>1</v>
      </c>
      <c r="N93" s="100">
        <f t="shared" si="7"/>
        <v>112</v>
      </c>
      <c r="O93" s="43">
        <f t="shared" si="8"/>
        <v>225.5</v>
      </c>
    </row>
    <row r="94" spans="1:15" ht="22.5" customHeight="1" x14ac:dyDescent="0.3">
      <c r="A94" s="149" t="s">
        <v>175</v>
      </c>
      <c r="B94" s="44">
        <f>V_10!B94+V_11!B94+V_12!B94</f>
        <v>107</v>
      </c>
      <c r="C94" s="39">
        <f>V_10!C94+V_11!C94+V_12!C94</f>
        <v>35</v>
      </c>
      <c r="D94" s="39">
        <f>V_10!D94+V_11!D94+V_12!D94</f>
        <v>17</v>
      </c>
      <c r="E94" s="39">
        <f>V_10!E94+V_11!E94+V_12!E94</f>
        <v>18</v>
      </c>
      <c r="F94" s="152">
        <f>V_10!F94+V_11!F94+V_12!F94</f>
        <v>42</v>
      </c>
      <c r="G94" s="154">
        <f t="shared" si="5"/>
        <v>219</v>
      </c>
      <c r="H94" s="44">
        <f>V_10!H94+V_11!H94+V_12!H94</f>
        <v>2</v>
      </c>
      <c r="I94" s="39">
        <f>V_10!I94+V_11!I94+V_12!I94</f>
        <v>0</v>
      </c>
      <c r="J94" s="39">
        <f>V_10!J94+V_11!J94+V_12!J94</f>
        <v>0</v>
      </c>
      <c r="K94" s="45">
        <f>V_10!K94+V_11!K94+V_12!K94</f>
        <v>0</v>
      </c>
      <c r="L94" s="140">
        <f>V_10!L94+V_11!L94+V_12!L94</f>
        <v>0</v>
      </c>
      <c r="M94" s="149">
        <f t="shared" si="6"/>
        <v>2</v>
      </c>
      <c r="N94" s="100">
        <f t="shared" si="7"/>
        <v>221</v>
      </c>
      <c r="O94" s="43">
        <f t="shared" si="8"/>
        <v>394</v>
      </c>
    </row>
    <row r="95" spans="1:15" ht="22.5" customHeight="1" x14ac:dyDescent="0.3">
      <c r="A95" s="149" t="s">
        <v>176</v>
      </c>
      <c r="B95" s="44">
        <f>V_10!B95+V_11!B95+V_12!B95</f>
        <v>137</v>
      </c>
      <c r="C95" s="39">
        <f>V_10!C95+V_11!C95+V_12!C95</f>
        <v>40</v>
      </c>
      <c r="D95" s="39">
        <f>V_10!D95+V_11!D95+V_12!D95</f>
        <v>12</v>
      </c>
      <c r="E95" s="39">
        <f>V_10!E95+V_11!E95+V_12!E95</f>
        <v>14</v>
      </c>
      <c r="F95" s="152">
        <f>V_10!F95+V_11!F95+V_12!F95</f>
        <v>47</v>
      </c>
      <c r="G95" s="154">
        <f t="shared" si="5"/>
        <v>250</v>
      </c>
      <c r="H95" s="44">
        <f>V_10!H95+V_11!H95+V_12!H95</f>
        <v>0</v>
      </c>
      <c r="I95" s="39">
        <f>V_10!I95+V_11!I95+V_12!I95</f>
        <v>0</v>
      </c>
      <c r="J95" s="39">
        <f>V_10!J95+V_11!J95+V_12!J95</f>
        <v>0</v>
      </c>
      <c r="K95" s="45">
        <f>V_10!K95+V_11!K95+V_12!K95</f>
        <v>0</v>
      </c>
      <c r="L95" s="140">
        <f>V_10!L95+V_11!L95+V_12!L95</f>
        <v>1</v>
      </c>
      <c r="M95" s="149">
        <f t="shared" si="6"/>
        <v>1</v>
      </c>
      <c r="N95" s="100">
        <f t="shared" si="7"/>
        <v>251</v>
      </c>
      <c r="O95" s="43">
        <f t="shared" si="8"/>
        <v>436.5</v>
      </c>
    </row>
    <row r="96" spans="1:15" ht="22.5" customHeight="1" x14ac:dyDescent="0.3">
      <c r="A96" s="149" t="s">
        <v>135</v>
      </c>
      <c r="B96" s="44">
        <f>V_10!B96+V_11!B96+V_12!B96</f>
        <v>102</v>
      </c>
      <c r="C96" s="39">
        <f>V_10!C96+V_11!C96+V_12!C96</f>
        <v>71</v>
      </c>
      <c r="D96" s="39">
        <f>V_10!D96+V_11!D96+V_12!D96</f>
        <v>21</v>
      </c>
      <c r="E96" s="39">
        <f>V_10!E96+V_11!E96+V_12!E96</f>
        <v>13</v>
      </c>
      <c r="F96" s="152">
        <f>V_10!F96+V_11!F96+V_12!F96</f>
        <v>43</v>
      </c>
      <c r="G96" s="154">
        <f t="shared" si="5"/>
        <v>250</v>
      </c>
      <c r="H96" s="44">
        <f>V_10!H96+V_11!H96+V_12!H96</f>
        <v>1</v>
      </c>
      <c r="I96" s="39">
        <f>V_10!I96+V_11!I96+V_12!I96</f>
        <v>0</v>
      </c>
      <c r="J96" s="39">
        <f>V_10!J96+V_11!J96+V_12!J96</f>
        <v>0</v>
      </c>
      <c r="K96" s="45">
        <f>V_10!K96+V_11!K96+V_12!K96</f>
        <v>0</v>
      </c>
      <c r="L96" s="140">
        <f>V_10!L96+V_11!L96+V_12!L96</f>
        <v>0</v>
      </c>
      <c r="M96" s="149">
        <f t="shared" si="6"/>
        <v>1</v>
      </c>
      <c r="N96" s="100">
        <f t="shared" si="7"/>
        <v>251</v>
      </c>
      <c r="O96" s="43">
        <f t="shared" si="8"/>
        <v>402</v>
      </c>
    </row>
    <row r="97" spans="1:15" ht="22.5" customHeight="1" x14ac:dyDescent="0.3">
      <c r="A97" s="149" t="s">
        <v>136</v>
      </c>
      <c r="B97" s="44">
        <f>V_10!B97+V_11!B97+V_12!B97</f>
        <v>114</v>
      </c>
      <c r="C97" s="39">
        <f>V_10!C97+V_11!C97+V_12!C97</f>
        <v>82</v>
      </c>
      <c r="D97" s="39">
        <f>V_10!D97+V_11!D97+V_12!D97</f>
        <v>17</v>
      </c>
      <c r="E97" s="39">
        <f>V_10!E97+V_11!E97+V_12!E97</f>
        <v>13</v>
      </c>
      <c r="F97" s="152">
        <f>V_10!F97+V_11!F97+V_12!F97</f>
        <v>41</v>
      </c>
      <c r="G97" s="154">
        <f t="shared" si="5"/>
        <v>267</v>
      </c>
      <c r="H97" s="44">
        <f>V_10!H97+V_11!H97+V_12!H97</f>
        <v>2</v>
      </c>
      <c r="I97" s="39">
        <f>V_10!I97+V_11!I97+V_12!I97</f>
        <v>0</v>
      </c>
      <c r="J97" s="39">
        <f>V_10!J97+V_11!J97+V_12!J97</f>
        <v>0</v>
      </c>
      <c r="K97" s="45">
        <f>V_10!K97+V_11!K97+V_12!K97</f>
        <v>0</v>
      </c>
      <c r="L97" s="140">
        <f>V_10!L97+V_11!L97+V_12!L97</f>
        <v>0</v>
      </c>
      <c r="M97" s="149">
        <f t="shared" si="6"/>
        <v>2</v>
      </c>
      <c r="N97" s="100">
        <f t="shared" si="7"/>
        <v>269</v>
      </c>
      <c r="O97" s="43">
        <f t="shared" si="8"/>
        <v>405</v>
      </c>
    </row>
    <row r="98" spans="1:15" ht="22.5" customHeight="1" x14ac:dyDescent="0.3">
      <c r="A98" s="149" t="s">
        <v>137</v>
      </c>
      <c r="B98" s="44">
        <f>V_10!B98+V_11!B98+V_12!B98</f>
        <v>144</v>
      </c>
      <c r="C98" s="39">
        <f>V_10!C98+V_11!C98+V_12!C98</f>
        <v>84</v>
      </c>
      <c r="D98" s="39">
        <f>V_10!D98+V_11!D98+V_12!D98</f>
        <v>22</v>
      </c>
      <c r="E98" s="39">
        <f>V_10!E98+V_11!E98+V_12!E98</f>
        <v>12</v>
      </c>
      <c r="F98" s="152">
        <f>V_10!F98+V_11!F98+V_12!F98</f>
        <v>48</v>
      </c>
      <c r="G98" s="154">
        <f t="shared" si="5"/>
        <v>310</v>
      </c>
      <c r="H98" s="44">
        <f>V_10!H98+V_11!H98+V_12!H98</f>
        <v>3</v>
      </c>
      <c r="I98" s="39">
        <f>V_10!I98+V_11!I98+V_12!I98</f>
        <v>0</v>
      </c>
      <c r="J98" s="39">
        <f>V_10!J98+V_11!J98+V_12!J98</f>
        <v>0</v>
      </c>
      <c r="K98" s="45">
        <f>V_10!K98+V_11!K98+V_12!K98</f>
        <v>0</v>
      </c>
      <c r="L98" s="140">
        <f>V_10!L98+V_11!L98+V_12!L98</f>
        <v>1</v>
      </c>
      <c r="M98" s="149">
        <f t="shared" si="6"/>
        <v>4</v>
      </c>
      <c r="N98" s="100">
        <f t="shared" si="7"/>
        <v>314</v>
      </c>
      <c r="O98" s="43">
        <f t="shared" si="8"/>
        <v>480.5</v>
      </c>
    </row>
    <row r="99" spans="1:15" ht="22.5" customHeight="1" x14ac:dyDescent="0.3">
      <c r="A99" s="149" t="s">
        <v>138</v>
      </c>
      <c r="B99" s="44">
        <f>V_10!B99+V_11!B99+V_12!B99</f>
        <v>159</v>
      </c>
      <c r="C99" s="39">
        <f>V_10!C99+V_11!C99+V_12!C99</f>
        <v>108</v>
      </c>
      <c r="D99" s="39">
        <f>V_10!D99+V_11!D99+V_12!D99</f>
        <v>18</v>
      </c>
      <c r="E99" s="39">
        <f>V_10!E99+V_11!E99+V_12!E99</f>
        <v>21</v>
      </c>
      <c r="F99" s="152">
        <f>V_10!F99+V_11!F99+V_12!F99</f>
        <v>37</v>
      </c>
      <c r="G99" s="154">
        <f t="shared" si="5"/>
        <v>343</v>
      </c>
      <c r="H99" s="44">
        <f>V_10!H99+V_11!H99+V_12!H99</f>
        <v>1</v>
      </c>
      <c r="I99" s="39">
        <f>V_10!I99+V_11!I99+V_12!I99</f>
        <v>0</v>
      </c>
      <c r="J99" s="39">
        <f>V_10!J99+V_11!J99+V_12!J99</f>
        <v>0</v>
      </c>
      <c r="K99" s="45">
        <f>V_10!K99+V_11!K99+V_12!K99</f>
        <v>0</v>
      </c>
      <c r="L99" s="140">
        <f>V_10!L99+V_11!L99+V_12!L99</f>
        <v>1</v>
      </c>
      <c r="M99" s="149">
        <f t="shared" si="6"/>
        <v>2</v>
      </c>
      <c r="N99" s="100">
        <f t="shared" si="7"/>
        <v>345</v>
      </c>
      <c r="O99" s="43">
        <f t="shared" si="8"/>
        <v>478</v>
      </c>
    </row>
    <row r="100" spans="1:15" ht="22.5" customHeight="1" x14ac:dyDescent="0.3">
      <c r="A100" s="149" t="s">
        <v>139</v>
      </c>
      <c r="B100" s="44">
        <f>V_10!B100+V_11!B100+V_12!B100</f>
        <v>147</v>
      </c>
      <c r="C100" s="39">
        <f>V_10!C100+V_11!C100+V_12!C100</f>
        <v>127</v>
      </c>
      <c r="D100" s="39">
        <f>V_10!D100+V_11!D100+V_12!D100</f>
        <v>24</v>
      </c>
      <c r="E100" s="39">
        <f>V_10!E100+V_11!E100+V_12!E100</f>
        <v>23</v>
      </c>
      <c r="F100" s="152">
        <f>V_10!F100+V_11!F100+V_12!F100</f>
        <v>32</v>
      </c>
      <c r="G100" s="154">
        <f t="shared" si="5"/>
        <v>353</v>
      </c>
      <c r="H100" s="44">
        <f>V_10!H100+V_11!H100+V_12!H100</f>
        <v>2</v>
      </c>
      <c r="I100" s="39">
        <f>V_10!I100+V_11!I100+V_12!I100</f>
        <v>0</v>
      </c>
      <c r="J100" s="39">
        <f>V_10!J100+V_11!J100+V_12!J100</f>
        <v>0</v>
      </c>
      <c r="K100" s="45">
        <f>V_10!K100+V_11!K100+V_12!K100</f>
        <v>0</v>
      </c>
      <c r="L100" s="140">
        <f>V_10!L100+V_11!L100+V_12!L100</f>
        <v>3</v>
      </c>
      <c r="M100" s="149">
        <f t="shared" si="6"/>
        <v>5</v>
      </c>
      <c r="N100" s="100">
        <f t="shared" si="7"/>
        <v>358</v>
      </c>
      <c r="O100" s="43">
        <f t="shared" si="8"/>
        <v>484.5</v>
      </c>
    </row>
    <row r="101" spans="1:15" ht="22.5" customHeight="1" x14ac:dyDescent="0.3">
      <c r="A101" s="149" t="s">
        <v>140</v>
      </c>
      <c r="B101" s="44">
        <f>V_10!B101+V_11!B101+V_12!B101</f>
        <v>192</v>
      </c>
      <c r="C101" s="39">
        <f>V_10!C101+V_11!C101+V_12!C101</f>
        <v>107</v>
      </c>
      <c r="D101" s="39">
        <f>V_10!D101+V_11!D101+V_12!D101</f>
        <v>16</v>
      </c>
      <c r="E101" s="39">
        <f>V_10!E101+V_11!E101+V_12!E101</f>
        <v>16</v>
      </c>
      <c r="F101" s="152">
        <f>V_10!F101+V_11!F101+V_12!F101</f>
        <v>41</v>
      </c>
      <c r="G101" s="154">
        <f t="shared" si="5"/>
        <v>372</v>
      </c>
      <c r="H101" s="44">
        <f>V_10!H101+V_11!H101+V_12!H101</f>
        <v>4</v>
      </c>
      <c r="I101" s="39">
        <f>V_10!I101+V_11!I101+V_12!I101</f>
        <v>0</v>
      </c>
      <c r="J101" s="39">
        <f>V_10!J101+V_11!J101+V_12!J101</f>
        <v>0</v>
      </c>
      <c r="K101" s="45">
        <f>V_10!K101+V_11!K101+V_12!K101</f>
        <v>0</v>
      </c>
      <c r="L101" s="140">
        <f>V_10!L101+V_11!L101+V_12!L101</f>
        <v>4</v>
      </c>
      <c r="M101" s="149">
        <f t="shared" si="6"/>
        <v>8</v>
      </c>
      <c r="N101" s="100">
        <f t="shared" si="7"/>
        <v>380</v>
      </c>
      <c r="O101" s="43">
        <f t="shared" si="8"/>
        <v>536</v>
      </c>
    </row>
    <row r="102" spans="1:15" ht="22.5" customHeight="1" x14ac:dyDescent="0.3">
      <c r="A102" s="149" t="s">
        <v>141</v>
      </c>
      <c r="B102" s="44">
        <f>V_10!B102+V_11!B102+V_12!B102</f>
        <v>203</v>
      </c>
      <c r="C102" s="39">
        <f>V_10!C102+V_11!C102+V_12!C102</f>
        <v>123</v>
      </c>
      <c r="D102" s="39">
        <f>V_10!D102+V_11!D102+V_12!D102</f>
        <v>23</v>
      </c>
      <c r="E102" s="39">
        <f>V_10!E102+V_11!E102+V_12!E102</f>
        <v>15</v>
      </c>
      <c r="F102" s="152">
        <f>V_10!F102+V_11!F102+V_12!F102</f>
        <v>49</v>
      </c>
      <c r="G102" s="154">
        <f t="shared" si="5"/>
        <v>413</v>
      </c>
      <c r="H102" s="44">
        <f>V_10!H102+V_11!H102+V_12!H102</f>
        <v>6</v>
      </c>
      <c r="I102" s="39">
        <f>V_10!I102+V_11!I102+V_12!I102</f>
        <v>0</v>
      </c>
      <c r="J102" s="39">
        <f>V_10!J102+V_11!J102+V_12!J102</f>
        <v>0</v>
      </c>
      <c r="K102" s="45">
        <f>V_10!K102+V_11!K102+V_12!K102</f>
        <v>0</v>
      </c>
      <c r="L102" s="140">
        <f>V_10!L102+V_11!L102+V_12!L102</f>
        <v>6</v>
      </c>
      <c r="M102" s="149">
        <f t="shared" si="6"/>
        <v>12</v>
      </c>
      <c r="N102" s="100">
        <f t="shared" si="7"/>
        <v>425</v>
      </c>
      <c r="O102" s="43">
        <f t="shared" si="8"/>
        <v>615.5</v>
      </c>
    </row>
    <row r="103" spans="1:15" ht="22.5" customHeight="1" thickBot="1" x14ac:dyDescent="0.35">
      <c r="A103" s="150" t="s">
        <v>142</v>
      </c>
      <c r="B103" s="46">
        <f>V_10!B103+V_11!B103+V_12!B103</f>
        <v>210</v>
      </c>
      <c r="C103" s="47">
        <f>V_10!C103+V_11!C103+V_12!C103</f>
        <v>139</v>
      </c>
      <c r="D103" s="47">
        <f>V_10!D103+V_11!D103+V_12!D103</f>
        <v>26</v>
      </c>
      <c r="E103" s="47">
        <f>V_10!E103+V_11!E103+V_12!E103</f>
        <v>14</v>
      </c>
      <c r="F103" s="153">
        <f>V_10!F103+V_11!F103+V_12!F103</f>
        <v>28</v>
      </c>
      <c r="G103" s="80">
        <f t="shared" si="5"/>
        <v>417</v>
      </c>
      <c r="H103" s="46">
        <f>V_10!H103+V_11!H103+V_12!H103</f>
        <v>5</v>
      </c>
      <c r="I103" s="47">
        <f>V_10!I103+V_11!I103+V_12!I103</f>
        <v>0</v>
      </c>
      <c r="J103" s="47">
        <f>V_10!J103+V_11!J103+V_12!J103</f>
        <v>0</v>
      </c>
      <c r="K103" s="48">
        <f>V_10!K103+V_11!K103+V_12!K103</f>
        <v>0</v>
      </c>
      <c r="L103" s="141">
        <f>V_10!L103+V_11!L103+V_12!L103</f>
        <v>2</v>
      </c>
      <c r="M103" s="150">
        <f t="shared" si="6"/>
        <v>7</v>
      </c>
      <c r="N103" s="101">
        <f t="shared" si="7"/>
        <v>424</v>
      </c>
      <c r="O103" s="84">
        <f t="shared" si="8"/>
        <v>505</v>
      </c>
    </row>
    <row r="104" spans="1:15" ht="22.5" customHeight="1" thickBot="1" x14ac:dyDescent="0.35">
      <c r="A104" s="41" t="s">
        <v>11</v>
      </c>
      <c r="B104" s="117">
        <f t="shared" ref="B104:N104" si="9">SUM(B8:B103)</f>
        <v>23678</v>
      </c>
      <c r="C104" s="117">
        <f t="shared" si="9"/>
        <v>12948</v>
      </c>
      <c r="D104" s="117">
        <f t="shared" si="9"/>
        <v>2160</v>
      </c>
      <c r="E104" s="117">
        <f t="shared" si="9"/>
        <v>1218</v>
      </c>
      <c r="F104" s="117">
        <f t="shared" si="9"/>
        <v>3703</v>
      </c>
      <c r="G104" s="94">
        <f t="shared" si="9"/>
        <v>43707</v>
      </c>
      <c r="H104" s="117">
        <f t="shared" si="9"/>
        <v>85</v>
      </c>
      <c r="I104" s="117">
        <f t="shared" si="9"/>
        <v>0</v>
      </c>
      <c r="J104" s="117">
        <f t="shared" si="9"/>
        <v>12</v>
      </c>
      <c r="K104" s="118">
        <f t="shared" si="9"/>
        <v>0</v>
      </c>
      <c r="L104" s="118">
        <f t="shared" si="9"/>
        <v>248</v>
      </c>
      <c r="M104" s="94">
        <f>SUM(M8:M103)</f>
        <v>345</v>
      </c>
      <c r="N104" s="95">
        <f t="shared" si="9"/>
        <v>44052</v>
      </c>
      <c r="O104" s="142">
        <f>SUM(O8:O103)</f>
        <v>55772</v>
      </c>
    </row>
    <row r="105" spans="1:15" ht="22.5" customHeight="1" thickBot="1" x14ac:dyDescent="0.35">
      <c r="A105" s="41" t="s">
        <v>143</v>
      </c>
      <c r="B105" s="88">
        <f>+B104*1</f>
        <v>23678</v>
      </c>
      <c r="C105" s="88">
        <f>+C104*0.5</f>
        <v>6474</v>
      </c>
      <c r="D105" s="88">
        <f>+D104*1.5</f>
        <v>3240</v>
      </c>
      <c r="E105" s="88">
        <f>+E104*3</f>
        <v>3654</v>
      </c>
      <c r="F105" s="89">
        <f>+F104*4.5</f>
        <v>16663.5</v>
      </c>
      <c r="G105" s="90">
        <f>SUM(B105:F105)</f>
        <v>53709.5</v>
      </c>
      <c r="H105" s="88">
        <f>+H104*0.5</f>
        <v>42.5</v>
      </c>
      <c r="I105" s="89">
        <f>+I104*1.5</f>
        <v>0</v>
      </c>
      <c r="J105" s="89">
        <f>+J104*3</f>
        <v>36</v>
      </c>
      <c r="K105" s="96">
        <f>+K104*4</f>
        <v>0</v>
      </c>
      <c r="L105" s="96">
        <f>+L104*8</f>
        <v>1984</v>
      </c>
      <c r="M105" s="147">
        <f>SUM(H105:L105)</f>
        <v>2062.5</v>
      </c>
      <c r="N105" s="91"/>
      <c r="O105" s="92">
        <f>G105+M105</f>
        <v>55772</v>
      </c>
    </row>
    <row r="106" spans="1:15" ht="22.5" customHeight="1" thickBot="1" x14ac:dyDescent="0.35">
      <c r="A106" s="42" t="s">
        <v>12</v>
      </c>
      <c r="B106" s="93">
        <f t="shared" ref="B106:N106" si="10">B104/$N$104</f>
        <v>0.53750113502224639</v>
      </c>
      <c r="C106" s="93">
        <f t="shared" si="10"/>
        <v>0.29392536093707439</v>
      </c>
      <c r="D106" s="93">
        <f t="shared" si="10"/>
        <v>4.9032961046036501E-2</v>
      </c>
      <c r="E106" s="93">
        <f t="shared" si="10"/>
        <v>2.7649141923181693E-2</v>
      </c>
      <c r="F106" s="93">
        <f t="shared" si="10"/>
        <v>8.405974757105239E-2</v>
      </c>
      <c r="G106" s="98">
        <f t="shared" si="10"/>
        <v>0.9921683464995914</v>
      </c>
      <c r="H106" s="93">
        <f t="shared" si="10"/>
        <v>1.9295378189412512E-3</v>
      </c>
      <c r="I106" s="93">
        <f t="shared" si="10"/>
        <v>0</v>
      </c>
      <c r="J106" s="93">
        <f t="shared" si="10"/>
        <v>2.7240533914464724E-4</v>
      </c>
      <c r="K106" s="97">
        <f t="shared" si="10"/>
        <v>0</v>
      </c>
      <c r="L106" s="97">
        <f t="shared" si="10"/>
        <v>5.6297103423227097E-3</v>
      </c>
      <c r="M106" s="98">
        <f t="shared" si="10"/>
        <v>7.8316535004086078E-3</v>
      </c>
      <c r="N106" s="99">
        <f t="shared" si="10"/>
        <v>1</v>
      </c>
      <c r="O106" s="94"/>
    </row>
    <row r="108" spans="1:15" s="4" customFormat="1" x14ac:dyDescent="0.3">
      <c r="A108" s="4" t="s">
        <v>103</v>
      </c>
      <c r="B108" s="4" t="str">
        <f>B2</f>
        <v>TMC-14 Number (D2)</v>
      </c>
    </row>
    <row r="109" spans="1:15" s="4" customFormat="1" x14ac:dyDescent="0.3">
      <c r="A109" s="4" t="s">
        <v>102</v>
      </c>
      <c r="B109" s="4" t="str">
        <f>B3</f>
        <v>D2</v>
      </c>
    </row>
    <row r="110" spans="1:15" s="4" customFormat="1" x14ac:dyDescent="0.3">
      <c r="A110" s="4" t="s">
        <v>104</v>
      </c>
      <c r="B110" s="4" t="str">
        <f>B4</f>
        <v>Mansarover</v>
      </c>
    </row>
    <row r="111" spans="1:15" ht="16.2" thickBot="1" x14ac:dyDescent="0.35"/>
    <row r="112" spans="1:15" ht="25.2" customHeight="1" x14ac:dyDescent="0.3">
      <c r="A112" s="252" t="s">
        <v>95</v>
      </c>
      <c r="B112" s="258" t="s">
        <v>280</v>
      </c>
      <c r="C112" s="254" t="s">
        <v>281</v>
      </c>
      <c r="D112" s="250" t="s">
        <v>282</v>
      </c>
      <c r="E112" s="260" t="s">
        <v>283</v>
      </c>
      <c r="F112" s="256" t="s">
        <v>284</v>
      </c>
      <c r="G112" s="250" t="s">
        <v>129</v>
      </c>
      <c r="H112" s="248" t="s">
        <v>150</v>
      </c>
      <c r="I112" s="250" t="s">
        <v>151</v>
      </c>
      <c r="J112" s="250" t="s">
        <v>285</v>
      </c>
      <c r="K112" s="248" t="s">
        <v>286</v>
      </c>
      <c r="L112" s="250" t="s">
        <v>287</v>
      </c>
      <c r="M112" s="250" t="s">
        <v>78</v>
      </c>
      <c r="N112" s="250" t="s">
        <v>131</v>
      </c>
      <c r="O112" s="250" t="s">
        <v>132</v>
      </c>
    </row>
    <row r="113" spans="1:15" ht="16.2" thickBot="1" x14ac:dyDescent="0.35">
      <c r="A113" s="253"/>
      <c r="B113" s="259"/>
      <c r="C113" s="255"/>
      <c r="D113" s="251"/>
      <c r="E113" s="261"/>
      <c r="F113" s="257"/>
      <c r="G113" s="259"/>
      <c r="H113" s="249"/>
      <c r="I113" s="251"/>
      <c r="J113" s="251"/>
      <c r="K113" s="249"/>
      <c r="L113" s="251"/>
      <c r="M113" s="251"/>
      <c r="N113" s="251"/>
      <c r="O113" s="251"/>
    </row>
    <row r="114" spans="1:15" ht="22.95" customHeight="1" x14ac:dyDescent="0.3">
      <c r="A114" s="52" t="s">
        <v>15</v>
      </c>
      <c r="B114" s="112">
        <f t="shared" ref="B114:M114" si="11">B8+B9+B10+B11</f>
        <v>1185</v>
      </c>
      <c r="C114" s="113">
        <f t="shared" si="11"/>
        <v>1169</v>
      </c>
      <c r="D114" s="113">
        <f t="shared" si="11"/>
        <v>62</v>
      </c>
      <c r="E114" s="113">
        <f t="shared" si="11"/>
        <v>56</v>
      </c>
      <c r="F114" s="113">
        <f t="shared" si="11"/>
        <v>135</v>
      </c>
      <c r="G114" s="49">
        <f>G8+G9+G10+G11</f>
        <v>2607</v>
      </c>
      <c r="H114" s="112">
        <f t="shared" si="11"/>
        <v>22</v>
      </c>
      <c r="I114" s="113">
        <f t="shared" ref="I114:L114" si="12">I8+I9+I10+I11</f>
        <v>0</v>
      </c>
      <c r="J114" s="113">
        <f t="shared" si="12"/>
        <v>0</v>
      </c>
      <c r="K114" s="114">
        <f t="shared" si="12"/>
        <v>0</v>
      </c>
      <c r="L114" s="143">
        <f t="shared" si="12"/>
        <v>39</v>
      </c>
      <c r="M114" s="49">
        <f t="shared" si="11"/>
        <v>61</v>
      </c>
      <c r="N114" s="40">
        <f>G114+M114</f>
        <v>2668</v>
      </c>
      <c r="O114" s="115">
        <f>B114*1+C114*0.5+D114*1.5+E114*3+F114*4.5+H114*0.5+I114*1.5+J114*3+K114*4+L114*8</f>
        <v>2961</v>
      </c>
    </row>
    <row r="115" spans="1:15" ht="22.95" customHeight="1" x14ac:dyDescent="0.3">
      <c r="A115" s="52" t="s">
        <v>16</v>
      </c>
      <c r="B115" s="44">
        <f t="shared" ref="B115:M115" si="13">B9+B10+B11+B12</f>
        <v>1311</v>
      </c>
      <c r="C115" s="39">
        <f t="shared" si="13"/>
        <v>1314</v>
      </c>
      <c r="D115" s="39">
        <f t="shared" si="13"/>
        <v>70</v>
      </c>
      <c r="E115" s="39">
        <f t="shared" si="13"/>
        <v>54</v>
      </c>
      <c r="F115" s="39">
        <f t="shared" si="13"/>
        <v>141</v>
      </c>
      <c r="G115" s="50">
        <f t="shared" si="13"/>
        <v>2890</v>
      </c>
      <c r="H115" s="44">
        <f t="shared" si="13"/>
        <v>23</v>
      </c>
      <c r="I115" s="39">
        <f t="shared" si="13"/>
        <v>0</v>
      </c>
      <c r="J115" s="39">
        <f t="shared" si="13"/>
        <v>0</v>
      </c>
      <c r="K115" s="45">
        <f t="shared" si="13"/>
        <v>0</v>
      </c>
      <c r="L115" s="144">
        <f t="shared" si="13"/>
        <v>50</v>
      </c>
      <c r="M115" s="50">
        <f t="shared" si="13"/>
        <v>73</v>
      </c>
      <c r="N115" s="40">
        <f t="shared" ref="N115:N178" si="14">G115+M115</f>
        <v>2963</v>
      </c>
      <c r="O115" s="43">
        <f t="shared" ref="O115:O178" si="15">B115*1+C115*0.5+D115*1.5+E115*3+F115*4.5+H115*0.5+I115*1.5+J115*3+K115*4+L115*8</f>
        <v>3281</v>
      </c>
    </row>
    <row r="116" spans="1:15" ht="22.95" customHeight="1" x14ac:dyDescent="0.3">
      <c r="A116" s="52" t="s">
        <v>17</v>
      </c>
      <c r="B116" s="44">
        <f t="shared" ref="B116:M116" si="16">B10+B11+B12+B13</f>
        <v>1412</v>
      </c>
      <c r="C116" s="39">
        <f t="shared" si="16"/>
        <v>1431</v>
      </c>
      <c r="D116" s="39">
        <f t="shared" si="16"/>
        <v>68</v>
      </c>
      <c r="E116" s="39">
        <f t="shared" si="16"/>
        <v>47</v>
      </c>
      <c r="F116" s="39">
        <f t="shared" si="16"/>
        <v>130</v>
      </c>
      <c r="G116" s="50">
        <f t="shared" si="16"/>
        <v>3088</v>
      </c>
      <c r="H116" s="44">
        <f t="shared" si="16"/>
        <v>21</v>
      </c>
      <c r="I116" s="39">
        <f t="shared" si="16"/>
        <v>0</v>
      </c>
      <c r="J116" s="39">
        <f t="shared" si="16"/>
        <v>0</v>
      </c>
      <c r="K116" s="45">
        <f t="shared" si="16"/>
        <v>0</v>
      </c>
      <c r="L116" s="144">
        <f t="shared" si="16"/>
        <v>51</v>
      </c>
      <c r="M116" s="50">
        <f t="shared" si="16"/>
        <v>72</v>
      </c>
      <c r="N116" s="40">
        <f t="shared" si="14"/>
        <v>3160</v>
      </c>
      <c r="O116" s="43">
        <f t="shared" si="15"/>
        <v>3374</v>
      </c>
    </row>
    <row r="117" spans="1:15" ht="22.95" customHeight="1" x14ac:dyDescent="0.3">
      <c r="A117" s="52" t="s">
        <v>18</v>
      </c>
      <c r="B117" s="44">
        <f t="shared" ref="B117:M117" si="17">B11+B12+B13+B14</f>
        <v>1633</v>
      </c>
      <c r="C117" s="39">
        <f t="shared" si="17"/>
        <v>1577</v>
      </c>
      <c r="D117" s="39">
        <f t="shared" si="17"/>
        <v>72</v>
      </c>
      <c r="E117" s="39">
        <f t="shared" si="17"/>
        <v>41</v>
      </c>
      <c r="F117" s="39">
        <f t="shared" si="17"/>
        <v>142</v>
      </c>
      <c r="G117" s="50">
        <f t="shared" si="17"/>
        <v>3465</v>
      </c>
      <c r="H117" s="44">
        <f t="shared" si="17"/>
        <v>19</v>
      </c>
      <c r="I117" s="39">
        <f t="shared" si="17"/>
        <v>0</v>
      </c>
      <c r="J117" s="39">
        <f t="shared" si="17"/>
        <v>0</v>
      </c>
      <c r="K117" s="45">
        <f t="shared" si="17"/>
        <v>0</v>
      </c>
      <c r="L117" s="144">
        <f t="shared" si="17"/>
        <v>48</v>
      </c>
      <c r="M117" s="50">
        <f t="shared" si="17"/>
        <v>67</v>
      </c>
      <c r="N117" s="40">
        <f t="shared" si="14"/>
        <v>3532</v>
      </c>
      <c r="O117" s="43">
        <f t="shared" si="15"/>
        <v>3685</v>
      </c>
    </row>
    <row r="118" spans="1:15" ht="22.95" customHeight="1" x14ac:dyDescent="0.3">
      <c r="A118" s="52" t="s">
        <v>19</v>
      </c>
      <c r="B118" s="44">
        <f t="shared" ref="B118:M118" si="18">B12+B13+B14+B15</f>
        <v>1783</v>
      </c>
      <c r="C118" s="39">
        <f t="shared" si="18"/>
        <v>1577</v>
      </c>
      <c r="D118" s="39">
        <f t="shared" si="18"/>
        <v>83</v>
      </c>
      <c r="E118" s="39">
        <f t="shared" si="18"/>
        <v>41</v>
      </c>
      <c r="F118" s="39">
        <f t="shared" si="18"/>
        <v>133</v>
      </c>
      <c r="G118" s="50">
        <f t="shared" si="18"/>
        <v>3617</v>
      </c>
      <c r="H118" s="44">
        <f t="shared" si="18"/>
        <v>14</v>
      </c>
      <c r="I118" s="39">
        <f t="shared" si="18"/>
        <v>0</v>
      </c>
      <c r="J118" s="39">
        <f t="shared" si="18"/>
        <v>0</v>
      </c>
      <c r="K118" s="45">
        <f t="shared" si="18"/>
        <v>0</v>
      </c>
      <c r="L118" s="144">
        <f t="shared" si="18"/>
        <v>41</v>
      </c>
      <c r="M118" s="50">
        <f t="shared" si="18"/>
        <v>55</v>
      </c>
      <c r="N118" s="40">
        <f t="shared" si="14"/>
        <v>3672</v>
      </c>
      <c r="O118" s="43">
        <f t="shared" si="15"/>
        <v>3752.5</v>
      </c>
    </row>
    <row r="119" spans="1:15" ht="22.95" customHeight="1" x14ac:dyDescent="0.3">
      <c r="A119" s="52" t="s">
        <v>20</v>
      </c>
      <c r="B119" s="44">
        <f t="shared" ref="B119:M119" si="19">B13+B14+B15+B16</f>
        <v>1859</v>
      </c>
      <c r="C119" s="39">
        <f t="shared" si="19"/>
        <v>1597</v>
      </c>
      <c r="D119" s="39">
        <f t="shared" si="19"/>
        <v>81</v>
      </c>
      <c r="E119" s="39">
        <f t="shared" si="19"/>
        <v>38</v>
      </c>
      <c r="F119" s="39">
        <f t="shared" si="19"/>
        <v>126</v>
      </c>
      <c r="G119" s="50">
        <f t="shared" si="19"/>
        <v>3701</v>
      </c>
      <c r="H119" s="44">
        <f t="shared" si="19"/>
        <v>12</v>
      </c>
      <c r="I119" s="39">
        <f t="shared" si="19"/>
        <v>0</v>
      </c>
      <c r="J119" s="39">
        <f t="shared" si="19"/>
        <v>0</v>
      </c>
      <c r="K119" s="45">
        <f t="shared" si="19"/>
        <v>0</v>
      </c>
      <c r="L119" s="144">
        <f t="shared" si="19"/>
        <v>26</v>
      </c>
      <c r="M119" s="50">
        <f t="shared" si="19"/>
        <v>38</v>
      </c>
      <c r="N119" s="40">
        <f t="shared" si="14"/>
        <v>3739</v>
      </c>
      <c r="O119" s="43">
        <f t="shared" si="15"/>
        <v>3674</v>
      </c>
    </row>
    <row r="120" spans="1:15" ht="22.95" customHeight="1" x14ac:dyDescent="0.3">
      <c r="A120" s="52" t="s">
        <v>21</v>
      </c>
      <c r="B120" s="44">
        <f t="shared" ref="B120:M120" si="20">B14+B15+B16+B17</f>
        <v>1994</v>
      </c>
      <c r="C120" s="39">
        <f t="shared" si="20"/>
        <v>1583</v>
      </c>
      <c r="D120" s="39">
        <f t="shared" si="20"/>
        <v>89</v>
      </c>
      <c r="E120" s="39">
        <f t="shared" si="20"/>
        <v>47</v>
      </c>
      <c r="F120" s="39">
        <f t="shared" si="20"/>
        <v>133</v>
      </c>
      <c r="G120" s="50">
        <f t="shared" si="20"/>
        <v>3846</v>
      </c>
      <c r="H120" s="44">
        <f t="shared" si="20"/>
        <v>8</v>
      </c>
      <c r="I120" s="39">
        <f t="shared" si="20"/>
        <v>0</v>
      </c>
      <c r="J120" s="39">
        <f t="shared" si="20"/>
        <v>0</v>
      </c>
      <c r="K120" s="45">
        <f t="shared" si="20"/>
        <v>0</v>
      </c>
      <c r="L120" s="144">
        <f t="shared" si="20"/>
        <v>16</v>
      </c>
      <c r="M120" s="50">
        <f t="shared" si="20"/>
        <v>24</v>
      </c>
      <c r="N120" s="40">
        <f t="shared" si="14"/>
        <v>3870</v>
      </c>
      <c r="O120" s="43">
        <f t="shared" si="15"/>
        <v>3790.5</v>
      </c>
    </row>
    <row r="121" spans="1:15" ht="22.95" customHeight="1" x14ac:dyDescent="0.3">
      <c r="A121" s="52" t="s">
        <v>22</v>
      </c>
      <c r="B121" s="44">
        <f t="shared" ref="B121:M121" si="21">B15+B16+B17+B18</f>
        <v>1967</v>
      </c>
      <c r="C121" s="39">
        <f t="shared" si="21"/>
        <v>1429</v>
      </c>
      <c r="D121" s="39">
        <f t="shared" si="21"/>
        <v>86</v>
      </c>
      <c r="E121" s="39">
        <f t="shared" si="21"/>
        <v>55</v>
      </c>
      <c r="F121" s="39">
        <f t="shared" si="21"/>
        <v>114</v>
      </c>
      <c r="G121" s="50">
        <f t="shared" si="21"/>
        <v>3651</v>
      </c>
      <c r="H121" s="44">
        <f t="shared" si="21"/>
        <v>4</v>
      </c>
      <c r="I121" s="39">
        <f t="shared" si="21"/>
        <v>0</v>
      </c>
      <c r="J121" s="39">
        <f t="shared" si="21"/>
        <v>0</v>
      </c>
      <c r="K121" s="45">
        <f t="shared" si="21"/>
        <v>0</v>
      </c>
      <c r="L121" s="144">
        <f t="shared" si="21"/>
        <v>11</v>
      </c>
      <c r="M121" s="50">
        <f t="shared" si="21"/>
        <v>15</v>
      </c>
      <c r="N121" s="40">
        <f t="shared" si="14"/>
        <v>3666</v>
      </c>
      <c r="O121" s="43">
        <f t="shared" si="15"/>
        <v>3578.5</v>
      </c>
    </row>
    <row r="122" spans="1:15" ht="22.95" customHeight="1" x14ac:dyDescent="0.3">
      <c r="A122" s="52" t="s">
        <v>23</v>
      </c>
      <c r="B122" s="44">
        <f t="shared" ref="B122:M122" si="22">B16+B17+B18+B19</f>
        <v>1957</v>
      </c>
      <c r="C122" s="39">
        <f t="shared" si="22"/>
        <v>1336</v>
      </c>
      <c r="D122" s="39">
        <f t="shared" si="22"/>
        <v>91</v>
      </c>
      <c r="E122" s="39">
        <f t="shared" si="22"/>
        <v>55</v>
      </c>
      <c r="F122" s="39">
        <f t="shared" si="22"/>
        <v>128</v>
      </c>
      <c r="G122" s="50">
        <f t="shared" si="22"/>
        <v>3567</v>
      </c>
      <c r="H122" s="44">
        <f t="shared" si="22"/>
        <v>4</v>
      </c>
      <c r="I122" s="39">
        <f t="shared" si="22"/>
        <v>0</v>
      </c>
      <c r="J122" s="39">
        <f t="shared" si="22"/>
        <v>0</v>
      </c>
      <c r="K122" s="45">
        <f t="shared" si="22"/>
        <v>0</v>
      </c>
      <c r="L122" s="144">
        <f t="shared" si="22"/>
        <v>11</v>
      </c>
      <c r="M122" s="50">
        <f t="shared" si="22"/>
        <v>15</v>
      </c>
      <c r="N122" s="40">
        <f t="shared" si="14"/>
        <v>3582</v>
      </c>
      <c r="O122" s="43">
        <f t="shared" si="15"/>
        <v>3592.5</v>
      </c>
    </row>
    <row r="123" spans="1:15" ht="22.95" customHeight="1" x14ac:dyDescent="0.3">
      <c r="A123" s="52" t="s">
        <v>24</v>
      </c>
      <c r="B123" s="44">
        <f t="shared" ref="B123:M123" si="23">B17+B18+B19+B20</f>
        <v>1873</v>
      </c>
      <c r="C123" s="39">
        <f t="shared" si="23"/>
        <v>1192</v>
      </c>
      <c r="D123" s="39">
        <f t="shared" si="23"/>
        <v>94</v>
      </c>
      <c r="E123" s="39">
        <f t="shared" si="23"/>
        <v>58</v>
      </c>
      <c r="F123" s="39">
        <f t="shared" si="23"/>
        <v>134</v>
      </c>
      <c r="G123" s="50">
        <f t="shared" si="23"/>
        <v>3351</v>
      </c>
      <c r="H123" s="44">
        <f t="shared" si="23"/>
        <v>1</v>
      </c>
      <c r="I123" s="39">
        <f t="shared" si="23"/>
        <v>0</v>
      </c>
      <c r="J123" s="39">
        <f t="shared" si="23"/>
        <v>0</v>
      </c>
      <c r="K123" s="45">
        <f t="shared" si="23"/>
        <v>0</v>
      </c>
      <c r="L123" s="144">
        <f t="shared" si="23"/>
        <v>12</v>
      </c>
      <c r="M123" s="50">
        <f t="shared" si="23"/>
        <v>13</v>
      </c>
      <c r="N123" s="40">
        <f t="shared" si="14"/>
        <v>3364</v>
      </c>
      <c r="O123" s="43">
        <f t="shared" si="15"/>
        <v>3483.5</v>
      </c>
    </row>
    <row r="124" spans="1:15" ht="22.95" customHeight="1" x14ac:dyDescent="0.3">
      <c r="A124" s="52" t="s">
        <v>25</v>
      </c>
      <c r="B124" s="44">
        <f t="shared" ref="B124:M124" si="24">B18+B19+B20+B21</f>
        <v>1890</v>
      </c>
      <c r="C124" s="39">
        <f t="shared" si="24"/>
        <v>1169</v>
      </c>
      <c r="D124" s="39">
        <f t="shared" si="24"/>
        <v>90</v>
      </c>
      <c r="E124" s="39">
        <f t="shared" si="24"/>
        <v>51</v>
      </c>
      <c r="F124" s="39">
        <f t="shared" si="24"/>
        <v>156</v>
      </c>
      <c r="G124" s="50">
        <f t="shared" si="24"/>
        <v>3356</v>
      </c>
      <c r="H124" s="44">
        <f t="shared" si="24"/>
        <v>3</v>
      </c>
      <c r="I124" s="39">
        <f t="shared" si="24"/>
        <v>0</v>
      </c>
      <c r="J124" s="39">
        <f t="shared" si="24"/>
        <v>0</v>
      </c>
      <c r="K124" s="45">
        <f t="shared" si="24"/>
        <v>0</v>
      </c>
      <c r="L124" s="144">
        <f t="shared" si="24"/>
        <v>14</v>
      </c>
      <c r="M124" s="50">
        <f t="shared" si="24"/>
        <v>17</v>
      </c>
      <c r="N124" s="40">
        <f t="shared" si="14"/>
        <v>3373</v>
      </c>
      <c r="O124" s="43">
        <f t="shared" si="15"/>
        <v>3578</v>
      </c>
    </row>
    <row r="125" spans="1:15" ht="22.95" customHeight="1" x14ac:dyDescent="0.3">
      <c r="A125" s="52" t="s">
        <v>26</v>
      </c>
      <c r="B125" s="44">
        <f t="shared" ref="B125:M125" si="25">B19+B20+B21+B22</f>
        <v>1829</v>
      </c>
      <c r="C125" s="39">
        <f t="shared" si="25"/>
        <v>1062</v>
      </c>
      <c r="D125" s="39">
        <f t="shared" si="25"/>
        <v>93</v>
      </c>
      <c r="E125" s="39">
        <f t="shared" si="25"/>
        <v>43</v>
      </c>
      <c r="F125" s="39">
        <f t="shared" si="25"/>
        <v>169</v>
      </c>
      <c r="G125" s="50">
        <f t="shared" si="25"/>
        <v>3196</v>
      </c>
      <c r="H125" s="44">
        <f t="shared" si="25"/>
        <v>2</v>
      </c>
      <c r="I125" s="39">
        <f t="shared" si="25"/>
        <v>0</v>
      </c>
      <c r="J125" s="39">
        <f t="shared" si="25"/>
        <v>0</v>
      </c>
      <c r="K125" s="45">
        <f t="shared" si="25"/>
        <v>0</v>
      </c>
      <c r="L125" s="144">
        <f t="shared" si="25"/>
        <v>18</v>
      </c>
      <c r="M125" s="50">
        <f t="shared" si="25"/>
        <v>20</v>
      </c>
      <c r="N125" s="40">
        <f t="shared" si="14"/>
        <v>3216</v>
      </c>
      <c r="O125" s="43">
        <f t="shared" si="15"/>
        <v>3534</v>
      </c>
    </row>
    <row r="126" spans="1:15" ht="22.95" customHeight="1" x14ac:dyDescent="0.3">
      <c r="A126" s="52" t="s">
        <v>27</v>
      </c>
      <c r="B126" s="44">
        <f t="shared" ref="B126:M126" si="26">B20+B21+B22+B23</f>
        <v>1815</v>
      </c>
      <c r="C126" s="39">
        <f t="shared" si="26"/>
        <v>978</v>
      </c>
      <c r="D126" s="39">
        <f t="shared" si="26"/>
        <v>86</v>
      </c>
      <c r="E126" s="39">
        <f t="shared" si="26"/>
        <v>43</v>
      </c>
      <c r="F126" s="39">
        <f t="shared" si="26"/>
        <v>177</v>
      </c>
      <c r="G126" s="50">
        <f t="shared" si="26"/>
        <v>3099</v>
      </c>
      <c r="H126" s="44">
        <f t="shared" si="26"/>
        <v>3</v>
      </c>
      <c r="I126" s="39">
        <f t="shared" si="26"/>
        <v>0</v>
      </c>
      <c r="J126" s="39">
        <f t="shared" si="26"/>
        <v>0</v>
      </c>
      <c r="K126" s="45">
        <f t="shared" si="26"/>
        <v>0</v>
      </c>
      <c r="L126" s="144">
        <f t="shared" si="26"/>
        <v>18</v>
      </c>
      <c r="M126" s="50">
        <f t="shared" si="26"/>
        <v>21</v>
      </c>
      <c r="N126" s="40">
        <f t="shared" si="14"/>
        <v>3120</v>
      </c>
      <c r="O126" s="43">
        <f t="shared" si="15"/>
        <v>3504</v>
      </c>
    </row>
    <row r="127" spans="1:15" ht="22.95" customHeight="1" x14ac:dyDescent="0.3">
      <c r="A127" s="52" t="s">
        <v>28</v>
      </c>
      <c r="B127" s="44">
        <f t="shared" ref="B127:M127" si="27">B21+B22+B23+B24</f>
        <v>1798</v>
      </c>
      <c r="C127" s="39">
        <f t="shared" si="27"/>
        <v>951</v>
      </c>
      <c r="D127" s="39">
        <f t="shared" si="27"/>
        <v>98</v>
      </c>
      <c r="E127" s="39">
        <f t="shared" si="27"/>
        <v>42</v>
      </c>
      <c r="F127" s="39">
        <f t="shared" si="27"/>
        <v>176</v>
      </c>
      <c r="G127" s="50">
        <f t="shared" si="27"/>
        <v>3065</v>
      </c>
      <c r="H127" s="44">
        <f t="shared" si="27"/>
        <v>3</v>
      </c>
      <c r="I127" s="39">
        <f t="shared" si="27"/>
        <v>0</v>
      </c>
      <c r="J127" s="39">
        <f t="shared" si="27"/>
        <v>0</v>
      </c>
      <c r="K127" s="45">
        <f t="shared" si="27"/>
        <v>0</v>
      </c>
      <c r="L127" s="144">
        <f t="shared" si="27"/>
        <v>17</v>
      </c>
      <c r="M127" s="50">
        <f t="shared" si="27"/>
        <v>20</v>
      </c>
      <c r="N127" s="40">
        <f t="shared" si="14"/>
        <v>3085</v>
      </c>
      <c r="O127" s="43">
        <f t="shared" si="15"/>
        <v>3476</v>
      </c>
    </row>
    <row r="128" spans="1:15" ht="22.95" customHeight="1" x14ac:dyDescent="0.3">
      <c r="A128" s="52" t="s">
        <v>29</v>
      </c>
      <c r="B128" s="44">
        <f t="shared" ref="B128:M128" si="28">B22+B23+B24+B25</f>
        <v>1684</v>
      </c>
      <c r="C128" s="39">
        <f t="shared" si="28"/>
        <v>806</v>
      </c>
      <c r="D128" s="39">
        <f t="shared" si="28"/>
        <v>111</v>
      </c>
      <c r="E128" s="39">
        <f t="shared" si="28"/>
        <v>41</v>
      </c>
      <c r="F128" s="39">
        <f t="shared" si="28"/>
        <v>158</v>
      </c>
      <c r="G128" s="50">
        <f t="shared" si="28"/>
        <v>2800</v>
      </c>
      <c r="H128" s="44">
        <f t="shared" si="28"/>
        <v>1</v>
      </c>
      <c r="I128" s="39">
        <f t="shared" si="28"/>
        <v>0</v>
      </c>
      <c r="J128" s="39">
        <f t="shared" si="28"/>
        <v>0</v>
      </c>
      <c r="K128" s="45">
        <f t="shared" si="28"/>
        <v>0</v>
      </c>
      <c r="L128" s="144">
        <f t="shared" si="28"/>
        <v>13</v>
      </c>
      <c r="M128" s="50">
        <f t="shared" si="28"/>
        <v>14</v>
      </c>
      <c r="N128" s="40">
        <f t="shared" si="14"/>
        <v>2814</v>
      </c>
      <c r="O128" s="43">
        <f t="shared" si="15"/>
        <v>3192</v>
      </c>
    </row>
    <row r="129" spans="1:15" ht="22.95" customHeight="1" x14ac:dyDescent="0.3">
      <c r="A129" s="52" t="s">
        <v>30</v>
      </c>
      <c r="B129" s="44">
        <f t="shared" ref="B129:M129" si="29">B23+B24+B25+B26</f>
        <v>1607</v>
      </c>
      <c r="C129" s="39">
        <f t="shared" si="29"/>
        <v>762</v>
      </c>
      <c r="D129" s="39">
        <f t="shared" si="29"/>
        <v>122</v>
      </c>
      <c r="E129" s="39">
        <f t="shared" si="29"/>
        <v>53</v>
      </c>
      <c r="F129" s="39">
        <f t="shared" si="29"/>
        <v>159</v>
      </c>
      <c r="G129" s="50">
        <f t="shared" si="29"/>
        <v>2703</v>
      </c>
      <c r="H129" s="44">
        <f t="shared" si="29"/>
        <v>1</v>
      </c>
      <c r="I129" s="39">
        <f t="shared" si="29"/>
        <v>0</v>
      </c>
      <c r="J129" s="39">
        <f t="shared" si="29"/>
        <v>1</v>
      </c>
      <c r="K129" s="45">
        <f t="shared" si="29"/>
        <v>0</v>
      </c>
      <c r="L129" s="144">
        <f t="shared" si="29"/>
        <v>11</v>
      </c>
      <c r="M129" s="50">
        <f t="shared" si="29"/>
        <v>13</v>
      </c>
      <c r="N129" s="40">
        <f t="shared" si="14"/>
        <v>2716</v>
      </c>
      <c r="O129" s="43">
        <f t="shared" si="15"/>
        <v>3137</v>
      </c>
    </row>
    <row r="130" spans="1:15" ht="22.95" customHeight="1" x14ac:dyDescent="0.3">
      <c r="A130" s="52" t="s">
        <v>31</v>
      </c>
      <c r="B130" s="44">
        <f t="shared" ref="B130:M130" si="30">B24+B25+B26+B27</f>
        <v>1464</v>
      </c>
      <c r="C130" s="39">
        <f t="shared" si="30"/>
        <v>746</v>
      </c>
      <c r="D130" s="39">
        <f t="shared" si="30"/>
        <v>132</v>
      </c>
      <c r="E130" s="39">
        <f t="shared" si="30"/>
        <v>56</v>
      </c>
      <c r="F130" s="39">
        <f t="shared" si="30"/>
        <v>155</v>
      </c>
      <c r="G130" s="50">
        <f t="shared" si="30"/>
        <v>2553</v>
      </c>
      <c r="H130" s="44">
        <f t="shared" si="30"/>
        <v>0</v>
      </c>
      <c r="I130" s="39">
        <f t="shared" si="30"/>
        <v>0</v>
      </c>
      <c r="J130" s="39">
        <f t="shared" si="30"/>
        <v>1</v>
      </c>
      <c r="K130" s="45">
        <f t="shared" si="30"/>
        <v>0</v>
      </c>
      <c r="L130" s="144">
        <f t="shared" si="30"/>
        <v>10</v>
      </c>
      <c r="M130" s="50">
        <f t="shared" si="30"/>
        <v>11</v>
      </c>
      <c r="N130" s="40">
        <f t="shared" si="14"/>
        <v>2564</v>
      </c>
      <c r="O130" s="43">
        <f t="shared" si="15"/>
        <v>2983.5</v>
      </c>
    </row>
    <row r="131" spans="1:15" ht="22.95" customHeight="1" x14ac:dyDescent="0.3">
      <c r="A131" s="52" t="s">
        <v>32</v>
      </c>
      <c r="B131" s="44">
        <f t="shared" ref="B131:M131" si="31">B25+B26+B27+B28</f>
        <v>1447</v>
      </c>
      <c r="C131" s="39">
        <f t="shared" si="31"/>
        <v>688</v>
      </c>
      <c r="D131" s="39">
        <f t="shared" si="31"/>
        <v>136</v>
      </c>
      <c r="E131" s="39">
        <f t="shared" si="31"/>
        <v>57</v>
      </c>
      <c r="F131" s="39">
        <f t="shared" si="31"/>
        <v>166</v>
      </c>
      <c r="G131" s="50">
        <f t="shared" si="31"/>
        <v>2494</v>
      </c>
      <c r="H131" s="44">
        <f t="shared" si="31"/>
        <v>0</v>
      </c>
      <c r="I131" s="39">
        <f t="shared" si="31"/>
        <v>0</v>
      </c>
      <c r="J131" s="39">
        <f t="shared" si="31"/>
        <v>2</v>
      </c>
      <c r="K131" s="45">
        <f t="shared" si="31"/>
        <v>0</v>
      </c>
      <c r="L131" s="144">
        <f t="shared" si="31"/>
        <v>7</v>
      </c>
      <c r="M131" s="50">
        <f t="shared" si="31"/>
        <v>9</v>
      </c>
      <c r="N131" s="40">
        <f t="shared" si="14"/>
        <v>2503</v>
      </c>
      <c r="O131" s="43">
        <f t="shared" si="15"/>
        <v>2975</v>
      </c>
    </row>
    <row r="132" spans="1:15" ht="22.95" customHeight="1" x14ac:dyDescent="0.3">
      <c r="A132" s="52" t="s">
        <v>33</v>
      </c>
      <c r="B132" s="44">
        <f t="shared" ref="B132:M132" si="32">B26+B27+B28+B29</f>
        <v>1434</v>
      </c>
      <c r="C132" s="39">
        <f t="shared" si="32"/>
        <v>701</v>
      </c>
      <c r="D132" s="39">
        <f t="shared" si="32"/>
        <v>136</v>
      </c>
      <c r="E132" s="39">
        <f t="shared" si="32"/>
        <v>57</v>
      </c>
      <c r="F132" s="39">
        <f t="shared" si="32"/>
        <v>172</v>
      </c>
      <c r="G132" s="50">
        <f t="shared" si="32"/>
        <v>2500</v>
      </c>
      <c r="H132" s="44">
        <f t="shared" si="32"/>
        <v>2</v>
      </c>
      <c r="I132" s="39">
        <f t="shared" si="32"/>
        <v>0</v>
      </c>
      <c r="J132" s="39">
        <f t="shared" si="32"/>
        <v>2</v>
      </c>
      <c r="K132" s="45">
        <f t="shared" si="32"/>
        <v>0</v>
      </c>
      <c r="L132" s="144">
        <f t="shared" si="32"/>
        <v>7</v>
      </c>
      <c r="M132" s="50">
        <f t="shared" si="32"/>
        <v>11</v>
      </c>
      <c r="N132" s="40">
        <f t="shared" si="14"/>
        <v>2511</v>
      </c>
      <c r="O132" s="43">
        <f t="shared" si="15"/>
        <v>2996.5</v>
      </c>
    </row>
    <row r="133" spans="1:15" ht="22.95" customHeight="1" x14ac:dyDescent="0.3">
      <c r="A133" s="52" t="s">
        <v>34</v>
      </c>
      <c r="B133" s="44">
        <f t="shared" ref="B133:M133" si="33">B27+B28+B29+B30</f>
        <v>1453</v>
      </c>
      <c r="C133" s="39">
        <f t="shared" si="33"/>
        <v>716</v>
      </c>
      <c r="D133" s="39">
        <f t="shared" si="33"/>
        <v>146</v>
      </c>
      <c r="E133" s="39">
        <f t="shared" si="33"/>
        <v>46</v>
      </c>
      <c r="F133" s="39">
        <f t="shared" si="33"/>
        <v>178</v>
      </c>
      <c r="G133" s="50">
        <f t="shared" si="33"/>
        <v>2539</v>
      </c>
      <c r="H133" s="44">
        <f t="shared" si="33"/>
        <v>4</v>
      </c>
      <c r="I133" s="39">
        <f t="shared" si="33"/>
        <v>0</v>
      </c>
      <c r="J133" s="39">
        <f t="shared" si="33"/>
        <v>1</v>
      </c>
      <c r="K133" s="45">
        <f t="shared" si="33"/>
        <v>0</v>
      </c>
      <c r="L133" s="144">
        <f t="shared" si="33"/>
        <v>6</v>
      </c>
      <c r="M133" s="50">
        <f t="shared" si="33"/>
        <v>11</v>
      </c>
      <c r="N133" s="40">
        <f t="shared" si="14"/>
        <v>2550</v>
      </c>
      <c r="O133" s="43">
        <f t="shared" si="15"/>
        <v>3022</v>
      </c>
    </row>
    <row r="134" spans="1:15" ht="22.95" customHeight="1" x14ac:dyDescent="0.3">
      <c r="A134" s="52" t="s">
        <v>35</v>
      </c>
      <c r="B134" s="44">
        <f t="shared" ref="B134:M134" si="34">B28+B29+B30+B31</f>
        <v>1533</v>
      </c>
      <c r="C134" s="39">
        <f t="shared" si="34"/>
        <v>711</v>
      </c>
      <c r="D134" s="39">
        <f t="shared" si="34"/>
        <v>141</v>
      </c>
      <c r="E134" s="39">
        <f t="shared" si="34"/>
        <v>43</v>
      </c>
      <c r="F134" s="39">
        <f t="shared" si="34"/>
        <v>193</v>
      </c>
      <c r="G134" s="50">
        <f t="shared" si="34"/>
        <v>2621</v>
      </c>
      <c r="H134" s="44">
        <f t="shared" si="34"/>
        <v>4</v>
      </c>
      <c r="I134" s="39">
        <f t="shared" si="34"/>
        <v>0</v>
      </c>
      <c r="J134" s="39">
        <f t="shared" si="34"/>
        <v>1</v>
      </c>
      <c r="K134" s="45">
        <f t="shared" si="34"/>
        <v>0</v>
      </c>
      <c r="L134" s="144">
        <f t="shared" si="34"/>
        <v>5</v>
      </c>
      <c r="M134" s="50">
        <f t="shared" si="34"/>
        <v>10</v>
      </c>
      <c r="N134" s="40">
        <f t="shared" si="14"/>
        <v>2631</v>
      </c>
      <c r="O134" s="43">
        <f t="shared" si="15"/>
        <v>3142.5</v>
      </c>
    </row>
    <row r="135" spans="1:15" ht="22.95" customHeight="1" x14ac:dyDescent="0.3">
      <c r="A135" s="52" t="s">
        <v>36</v>
      </c>
      <c r="B135" s="44">
        <f t="shared" ref="B135:M135" si="35">B29+B30+B31+B32</f>
        <v>1493</v>
      </c>
      <c r="C135" s="39">
        <f t="shared" si="35"/>
        <v>702</v>
      </c>
      <c r="D135" s="39">
        <f t="shared" si="35"/>
        <v>146</v>
      </c>
      <c r="E135" s="39">
        <f t="shared" si="35"/>
        <v>45</v>
      </c>
      <c r="F135" s="39">
        <f t="shared" si="35"/>
        <v>198</v>
      </c>
      <c r="G135" s="50">
        <f t="shared" si="35"/>
        <v>2584</v>
      </c>
      <c r="H135" s="44">
        <f t="shared" si="35"/>
        <v>4</v>
      </c>
      <c r="I135" s="39">
        <f t="shared" si="35"/>
        <v>0</v>
      </c>
      <c r="J135" s="39">
        <f t="shared" si="35"/>
        <v>0</v>
      </c>
      <c r="K135" s="45">
        <f t="shared" si="35"/>
        <v>0</v>
      </c>
      <c r="L135" s="144">
        <f t="shared" si="35"/>
        <v>7</v>
      </c>
      <c r="M135" s="50">
        <f t="shared" si="35"/>
        <v>11</v>
      </c>
      <c r="N135" s="40">
        <f t="shared" si="14"/>
        <v>2595</v>
      </c>
      <c r="O135" s="43">
        <f t="shared" si="15"/>
        <v>3147</v>
      </c>
    </row>
    <row r="136" spans="1:15" ht="22.95" customHeight="1" x14ac:dyDescent="0.3">
      <c r="A136" s="52" t="s">
        <v>37</v>
      </c>
      <c r="B136" s="44">
        <f t="shared" ref="B136:M136" si="36">B30+B31+B32+B33</f>
        <v>1392</v>
      </c>
      <c r="C136" s="39">
        <f t="shared" si="36"/>
        <v>644</v>
      </c>
      <c r="D136" s="39">
        <f t="shared" si="36"/>
        <v>151</v>
      </c>
      <c r="E136" s="39">
        <f t="shared" si="36"/>
        <v>48</v>
      </c>
      <c r="F136" s="39">
        <f t="shared" si="36"/>
        <v>218</v>
      </c>
      <c r="G136" s="50">
        <f t="shared" si="36"/>
        <v>2453</v>
      </c>
      <c r="H136" s="44">
        <f t="shared" si="36"/>
        <v>2</v>
      </c>
      <c r="I136" s="39">
        <f t="shared" si="36"/>
        <v>0</v>
      </c>
      <c r="J136" s="39">
        <f t="shared" si="36"/>
        <v>0</v>
      </c>
      <c r="K136" s="45">
        <f t="shared" si="36"/>
        <v>0</v>
      </c>
      <c r="L136" s="144">
        <f t="shared" si="36"/>
        <v>11</v>
      </c>
      <c r="M136" s="50">
        <f t="shared" si="36"/>
        <v>13</v>
      </c>
      <c r="N136" s="40">
        <f t="shared" si="14"/>
        <v>2466</v>
      </c>
      <c r="O136" s="43">
        <f t="shared" si="15"/>
        <v>3154.5</v>
      </c>
    </row>
    <row r="137" spans="1:15" ht="22.95" customHeight="1" x14ac:dyDescent="0.3">
      <c r="A137" s="52" t="s">
        <v>38</v>
      </c>
      <c r="B137" s="44">
        <f t="shared" ref="B137:M137" si="37">B31+B32+B33+B34</f>
        <v>1384</v>
      </c>
      <c r="C137" s="39">
        <f t="shared" si="37"/>
        <v>604</v>
      </c>
      <c r="D137" s="39">
        <f t="shared" si="37"/>
        <v>145</v>
      </c>
      <c r="E137" s="39">
        <f t="shared" si="37"/>
        <v>52</v>
      </c>
      <c r="F137" s="39">
        <f t="shared" si="37"/>
        <v>231</v>
      </c>
      <c r="G137" s="50">
        <f t="shared" si="37"/>
        <v>2416</v>
      </c>
      <c r="H137" s="44">
        <f t="shared" si="37"/>
        <v>0</v>
      </c>
      <c r="I137" s="39">
        <f t="shared" si="37"/>
        <v>0</v>
      </c>
      <c r="J137" s="39">
        <f t="shared" si="37"/>
        <v>1</v>
      </c>
      <c r="K137" s="45">
        <f t="shared" si="37"/>
        <v>0</v>
      </c>
      <c r="L137" s="144">
        <f t="shared" si="37"/>
        <v>9</v>
      </c>
      <c r="M137" s="50">
        <f t="shared" si="37"/>
        <v>10</v>
      </c>
      <c r="N137" s="40">
        <f t="shared" si="14"/>
        <v>2426</v>
      </c>
      <c r="O137" s="43">
        <f t="shared" si="15"/>
        <v>3174</v>
      </c>
    </row>
    <row r="138" spans="1:15" ht="22.95" customHeight="1" x14ac:dyDescent="0.3">
      <c r="A138" s="52" t="s">
        <v>39</v>
      </c>
      <c r="B138" s="44">
        <f t="shared" ref="B138:M138" si="38">B32+B33+B34+B35</f>
        <v>1331</v>
      </c>
      <c r="C138" s="39">
        <f t="shared" si="38"/>
        <v>562</v>
      </c>
      <c r="D138" s="39">
        <f t="shared" si="38"/>
        <v>161</v>
      </c>
      <c r="E138" s="39">
        <f t="shared" si="38"/>
        <v>57</v>
      </c>
      <c r="F138" s="39">
        <f t="shared" si="38"/>
        <v>213</v>
      </c>
      <c r="G138" s="50">
        <f t="shared" si="38"/>
        <v>2324</v>
      </c>
      <c r="H138" s="44">
        <f t="shared" si="38"/>
        <v>0</v>
      </c>
      <c r="I138" s="39">
        <f t="shared" si="38"/>
        <v>0</v>
      </c>
      <c r="J138" s="39">
        <f t="shared" si="38"/>
        <v>1</v>
      </c>
      <c r="K138" s="45">
        <f t="shared" si="38"/>
        <v>0</v>
      </c>
      <c r="L138" s="144">
        <f t="shared" si="38"/>
        <v>9</v>
      </c>
      <c r="M138" s="50">
        <f t="shared" si="38"/>
        <v>10</v>
      </c>
      <c r="N138" s="40">
        <f t="shared" si="14"/>
        <v>2334</v>
      </c>
      <c r="O138" s="43">
        <f t="shared" si="15"/>
        <v>3058</v>
      </c>
    </row>
    <row r="139" spans="1:15" ht="22.95" customHeight="1" x14ac:dyDescent="0.3">
      <c r="A139" s="52" t="s">
        <v>40</v>
      </c>
      <c r="B139" s="44">
        <f t="shared" ref="B139:M139" si="39">B33+B34+B35+B36</f>
        <v>1376</v>
      </c>
      <c r="C139" s="39">
        <f t="shared" si="39"/>
        <v>517</v>
      </c>
      <c r="D139" s="39">
        <f t="shared" si="39"/>
        <v>160</v>
      </c>
      <c r="E139" s="39">
        <f t="shared" si="39"/>
        <v>55</v>
      </c>
      <c r="F139" s="39">
        <f t="shared" si="39"/>
        <v>228</v>
      </c>
      <c r="G139" s="50">
        <f t="shared" si="39"/>
        <v>2336</v>
      </c>
      <c r="H139" s="44">
        <f t="shared" si="39"/>
        <v>0</v>
      </c>
      <c r="I139" s="39">
        <f t="shared" si="39"/>
        <v>0</v>
      </c>
      <c r="J139" s="39">
        <f t="shared" si="39"/>
        <v>3</v>
      </c>
      <c r="K139" s="45">
        <f t="shared" si="39"/>
        <v>0</v>
      </c>
      <c r="L139" s="144">
        <f t="shared" si="39"/>
        <v>9</v>
      </c>
      <c r="M139" s="50">
        <f t="shared" si="39"/>
        <v>12</v>
      </c>
      <c r="N139" s="40">
        <f t="shared" si="14"/>
        <v>2348</v>
      </c>
      <c r="O139" s="43">
        <f t="shared" si="15"/>
        <v>3146.5</v>
      </c>
    </row>
    <row r="140" spans="1:15" ht="22.95" customHeight="1" x14ac:dyDescent="0.3">
      <c r="A140" s="52" t="s">
        <v>41</v>
      </c>
      <c r="B140" s="44">
        <f t="shared" ref="B140:M140" si="40">B34+B35+B36+B37</f>
        <v>1517</v>
      </c>
      <c r="C140" s="39">
        <f t="shared" si="40"/>
        <v>545</v>
      </c>
      <c r="D140" s="39">
        <f t="shared" si="40"/>
        <v>151</v>
      </c>
      <c r="E140" s="39">
        <f t="shared" si="40"/>
        <v>60</v>
      </c>
      <c r="F140" s="39">
        <f t="shared" si="40"/>
        <v>223</v>
      </c>
      <c r="G140" s="50">
        <f t="shared" si="40"/>
        <v>2496</v>
      </c>
      <c r="H140" s="44">
        <f t="shared" si="40"/>
        <v>0</v>
      </c>
      <c r="I140" s="39">
        <f t="shared" si="40"/>
        <v>0</v>
      </c>
      <c r="J140" s="39">
        <f t="shared" si="40"/>
        <v>3</v>
      </c>
      <c r="K140" s="45">
        <f t="shared" si="40"/>
        <v>0</v>
      </c>
      <c r="L140" s="144">
        <f t="shared" si="40"/>
        <v>6</v>
      </c>
      <c r="M140" s="50">
        <f t="shared" si="40"/>
        <v>9</v>
      </c>
      <c r="N140" s="40">
        <f t="shared" si="14"/>
        <v>2505</v>
      </c>
      <c r="O140" s="43">
        <f t="shared" si="15"/>
        <v>3256.5</v>
      </c>
    </row>
    <row r="141" spans="1:15" ht="22.95" customHeight="1" x14ac:dyDescent="0.3">
      <c r="A141" s="52" t="s">
        <v>42</v>
      </c>
      <c r="B141" s="44">
        <f t="shared" ref="B141:M141" si="41">B35+B36+B37+B38</f>
        <v>1559</v>
      </c>
      <c r="C141" s="39">
        <f t="shared" si="41"/>
        <v>506</v>
      </c>
      <c r="D141" s="39">
        <f t="shared" si="41"/>
        <v>138</v>
      </c>
      <c r="E141" s="39">
        <f t="shared" si="41"/>
        <v>64</v>
      </c>
      <c r="F141" s="39">
        <f t="shared" si="41"/>
        <v>224</v>
      </c>
      <c r="G141" s="50">
        <f t="shared" si="41"/>
        <v>2491</v>
      </c>
      <c r="H141" s="44">
        <f t="shared" si="41"/>
        <v>0</v>
      </c>
      <c r="I141" s="39">
        <f t="shared" si="41"/>
        <v>0</v>
      </c>
      <c r="J141" s="39">
        <f t="shared" si="41"/>
        <v>2</v>
      </c>
      <c r="K141" s="45">
        <f t="shared" si="41"/>
        <v>0</v>
      </c>
      <c r="L141" s="144">
        <f t="shared" si="41"/>
        <v>8</v>
      </c>
      <c r="M141" s="50">
        <f t="shared" si="41"/>
        <v>10</v>
      </c>
      <c r="N141" s="40">
        <f t="shared" si="14"/>
        <v>2501</v>
      </c>
      <c r="O141" s="43">
        <f t="shared" si="15"/>
        <v>3289</v>
      </c>
    </row>
    <row r="142" spans="1:15" ht="22.95" customHeight="1" x14ac:dyDescent="0.3">
      <c r="A142" s="52" t="s">
        <v>43</v>
      </c>
      <c r="B142" s="44">
        <f t="shared" ref="B142:M142" si="42">B36+B37+B38+B39</f>
        <v>1608</v>
      </c>
      <c r="C142" s="39">
        <f t="shared" si="42"/>
        <v>496</v>
      </c>
      <c r="D142" s="39">
        <f t="shared" si="42"/>
        <v>129</v>
      </c>
      <c r="E142" s="39">
        <f t="shared" si="42"/>
        <v>76</v>
      </c>
      <c r="F142" s="39">
        <f t="shared" si="42"/>
        <v>235</v>
      </c>
      <c r="G142" s="50">
        <f t="shared" si="42"/>
        <v>2544</v>
      </c>
      <c r="H142" s="44">
        <f t="shared" si="42"/>
        <v>0</v>
      </c>
      <c r="I142" s="39">
        <f t="shared" si="42"/>
        <v>0</v>
      </c>
      <c r="J142" s="39">
        <f t="shared" si="42"/>
        <v>2</v>
      </c>
      <c r="K142" s="45">
        <f t="shared" si="42"/>
        <v>0</v>
      </c>
      <c r="L142" s="144">
        <f t="shared" si="42"/>
        <v>6</v>
      </c>
      <c r="M142" s="50">
        <f t="shared" si="42"/>
        <v>8</v>
      </c>
      <c r="N142" s="40">
        <f t="shared" si="14"/>
        <v>2552</v>
      </c>
      <c r="O142" s="43">
        <f t="shared" si="15"/>
        <v>3389</v>
      </c>
    </row>
    <row r="143" spans="1:15" ht="22.95" customHeight="1" x14ac:dyDescent="0.3">
      <c r="A143" s="52" t="s">
        <v>44</v>
      </c>
      <c r="B143" s="44">
        <f t="shared" ref="B143:M143" si="43">B37+B38+B39+B40</f>
        <v>1617</v>
      </c>
      <c r="C143" s="39">
        <f t="shared" si="43"/>
        <v>525</v>
      </c>
      <c r="D143" s="39">
        <f t="shared" si="43"/>
        <v>115</v>
      </c>
      <c r="E143" s="39">
        <f t="shared" si="43"/>
        <v>73</v>
      </c>
      <c r="F143" s="39">
        <f t="shared" si="43"/>
        <v>225</v>
      </c>
      <c r="G143" s="50">
        <f t="shared" si="43"/>
        <v>2555</v>
      </c>
      <c r="H143" s="44">
        <f t="shared" si="43"/>
        <v>1</v>
      </c>
      <c r="I143" s="39">
        <f t="shared" si="43"/>
        <v>0</v>
      </c>
      <c r="J143" s="39">
        <f t="shared" si="43"/>
        <v>1</v>
      </c>
      <c r="K143" s="45">
        <f t="shared" si="43"/>
        <v>0</v>
      </c>
      <c r="L143" s="144">
        <f t="shared" si="43"/>
        <v>6</v>
      </c>
      <c r="M143" s="50">
        <f t="shared" si="43"/>
        <v>8</v>
      </c>
      <c r="N143" s="40">
        <f t="shared" si="14"/>
        <v>2563</v>
      </c>
      <c r="O143" s="43">
        <f t="shared" si="15"/>
        <v>3335</v>
      </c>
    </row>
    <row r="144" spans="1:15" ht="22.95" customHeight="1" x14ac:dyDescent="0.3">
      <c r="A144" s="52" t="s">
        <v>45</v>
      </c>
      <c r="B144" s="44">
        <f t="shared" ref="B144:M144" si="44">B38+B39+B40+B41</f>
        <v>1494</v>
      </c>
      <c r="C144" s="39">
        <f t="shared" si="44"/>
        <v>540</v>
      </c>
      <c r="D144" s="39">
        <f t="shared" si="44"/>
        <v>113</v>
      </c>
      <c r="E144" s="39">
        <f t="shared" si="44"/>
        <v>73</v>
      </c>
      <c r="F144" s="39">
        <f t="shared" si="44"/>
        <v>205</v>
      </c>
      <c r="G144" s="50">
        <f t="shared" si="44"/>
        <v>2425</v>
      </c>
      <c r="H144" s="44">
        <f t="shared" si="44"/>
        <v>1</v>
      </c>
      <c r="I144" s="39">
        <f t="shared" si="44"/>
        <v>0</v>
      </c>
      <c r="J144" s="39">
        <f t="shared" si="44"/>
        <v>3</v>
      </c>
      <c r="K144" s="45">
        <f t="shared" si="44"/>
        <v>0</v>
      </c>
      <c r="L144" s="144">
        <f t="shared" si="44"/>
        <v>9</v>
      </c>
      <c r="M144" s="50">
        <f t="shared" si="44"/>
        <v>13</v>
      </c>
      <c r="N144" s="40">
        <f t="shared" si="14"/>
        <v>2438</v>
      </c>
      <c r="O144" s="43">
        <f t="shared" si="15"/>
        <v>3156.5</v>
      </c>
    </row>
    <row r="145" spans="1:15" ht="22.95" customHeight="1" x14ac:dyDescent="0.3">
      <c r="A145" s="52" t="s">
        <v>46</v>
      </c>
      <c r="B145" s="44">
        <f t="shared" ref="B145:M145" si="45">B39+B40+B41+B42</f>
        <v>1499</v>
      </c>
      <c r="C145" s="39">
        <f t="shared" si="45"/>
        <v>615</v>
      </c>
      <c r="D145" s="39">
        <f t="shared" si="45"/>
        <v>120</v>
      </c>
      <c r="E145" s="39">
        <f t="shared" si="45"/>
        <v>76</v>
      </c>
      <c r="F145" s="39">
        <f t="shared" si="45"/>
        <v>199</v>
      </c>
      <c r="G145" s="50">
        <f t="shared" si="45"/>
        <v>2509</v>
      </c>
      <c r="H145" s="44">
        <f t="shared" si="45"/>
        <v>1</v>
      </c>
      <c r="I145" s="39">
        <f t="shared" si="45"/>
        <v>0</v>
      </c>
      <c r="J145" s="39">
        <f t="shared" si="45"/>
        <v>3</v>
      </c>
      <c r="K145" s="45">
        <f t="shared" si="45"/>
        <v>0</v>
      </c>
      <c r="L145" s="144">
        <f t="shared" si="45"/>
        <v>9</v>
      </c>
      <c r="M145" s="50">
        <f t="shared" si="45"/>
        <v>13</v>
      </c>
      <c r="N145" s="40">
        <f t="shared" si="14"/>
        <v>2522</v>
      </c>
      <c r="O145" s="43">
        <f t="shared" si="15"/>
        <v>3191.5</v>
      </c>
    </row>
    <row r="146" spans="1:15" ht="22.95" customHeight="1" x14ac:dyDescent="0.3">
      <c r="A146" s="52" t="s">
        <v>47</v>
      </c>
      <c r="B146" s="44">
        <f t="shared" ref="B146:M146" si="46">B40+B41+B42+B43</f>
        <v>1447</v>
      </c>
      <c r="C146" s="39">
        <f t="shared" si="46"/>
        <v>635</v>
      </c>
      <c r="D146" s="39">
        <f t="shared" si="46"/>
        <v>108</v>
      </c>
      <c r="E146" s="39">
        <f t="shared" si="46"/>
        <v>62</v>
      </c>
      <c r="F146" s="39">
        <f t="shared" si="46"/>
        <v>185</v>
      </c>
      <c r="G146" s="50">
        <f t="shared" si="46"/>
        <v>2437</v>
      </c>
      <c r="H146" s="44">
        <f t="shared" si="46"/>
        <v>1</v>
      </c>
      <c r="I146" s="39">
        <f t="shared" si="46"/>
        <v>0</v>
      </c>
      <c r="J146" s="39">
        <f t="shared" si="46"/>
        <v>3</v>
      </c>
      <c r="K146" s="45">
        <f t="shared" si="46"/>
        <v>0</v>
      </c>
      <c r="L146" s="144">
        <f t="shared" si="46"/>
        <v>15</v>
      </c>
      <c r="M146" s="50">
        <f t="shared" si="46"/>
        <v>19</v>
      </c>
      <c r="N146" s="40">
        <f t="shared" si="14"/>
        <v>2456</v>
      </c>
      <c r="O146" s="43">
        <f t="shared" si="15"/>
        <v>3074.5</v>
      </c>
    </row>
    <row r="147" spans="1:15" ht="22.95" customHeight="1" x14ac:dyDescent="0.3">
      <c r="A147" s="52" t="s">
        <v>48</v>
      </c>
      <c r="B147" s="44">
        <f t="shared" ref="B147:M147" si="47">B41+B42+B43+B44</f>
        <v>1453</v>
      </c>
      <c r="C147" s="39">
        <f t="shared" si="47"/>
        <v>669</v>
      </c>
      <c r="D147" s="39">
        <f t="shared" si="47"/>
        <v>116</v>
      </c>
      <c r="E147" s="39">
        <f t="shared" si="47"/>
        <v>64</v>
      </c>
      <c r="F147" s="39">
        <f t="shared" si="47"/>
        <v>173</v>
      </c>
      <c r="G147" s="50">
        <f t="shared" si="47"/>
        <v>2475</v>
      </c>
      <c r="H147" s="44">
        <f t="shared" si="47"/>
        <v>0</v>
      </c>
      <c r="I147" s="39">
        <f t="shared" si="47"/>
        <v>0</v>
      </c>
      <c r="J147" s="39">
        <f t="shared" si="47"/>
        <v>2</v>
      </c>
      <c r="K147" s="45">
        <f t="shared" si="47"/>
        <v>0</v>
      </c>
      <c r="L147" s="144">
        <f t="shared" si="47"/>
        <v>17</v>
      </c>
      <c r="M147" s="50">
        <f t="shared" si="47"/>
        <v>19</v>
      </c>
      <c r="N147" s="40">
        <f t="shared" si="14"/>
        <v>2494</v>
      </c>
      <c r="O147" s="43">
        <f t="shared" si="15"/>
        <v>3074</v>
      </c>
    </row>
    <row r="148" spans="1:15" ht="22.95" customHeight="1" x14ac:dyDescent="0.3">
      <c r="A148" s="52" t="s">
        <v>49</v>
      </c>
      <c r="B148" s="44">
        <f t="shared" ref="B148:M148" si="48">B42+B43+B44+B45</f>
        <v>1542</v>
      </c>
      <c r="C148" s="39">
        <f t="shared" si="48"/>
        <v>715</v>
      </c>
      <c r="D148" s="39">
        <f t="shared" si="48"/>
        <v>117</v>
      </c>
      <c r="E148" s="39">
        <f t="shared" si="48"/>
        <v>59</v>
      </c>
      <c r="F148" s="39">
        <f t="shared" si="48"/>
        <v>168</v>
      </c>
      <c r="G148" s="50">
        <f t="shared" si="48"/>
        <v>2601</v>
      </c>
      <c r="H148" s="44">
        <f t="shared" si="48"/>
        <v>0</v>
      </c>
      <c r="I148" s="39">
        <f t="shared" si="48"/>
        <v>0</v>
      </c>
      <c r="J148" s="39">
        <f t="shared" si="48"/>
        <v>1</v>
      </c>
      <c r="K148" s="45">
        <f t="shared" si="48"/>
        <v>0</v>
      </c>
      <c r="L148" s="144">
        <f t="shared" si="48"/>
        <v>20</v>
      </c>
      <c r="M148" s="50">
        <f t="shared" si="48"/>
        <v>21</v>
      </c>
      <c r="N148" s="40">
        <f t="shared" si="14"/>
        <v>2622</v>
      </c>
      <c r="O148" s="43">
        <f t="shared" si="15"/>
        <v>3171</v>
      </c>
    </row>
    <row r="149" spans="1:15" ht="22.95" customHeight="1" x14ac:dyDescent="0.3">
      <c r="A149" s="52" t="s">
        <v>50</v>
      </c>
      <c r="B149" s="44">
        <f t="shared" ref="B149:M149" si="49">B43+B44+B45+B46</f>
        <v>1538</v>
      </c>
      <c r="C149" s="39">
        <f t="shared" si="49"/>
        <v>731</v>
      </c>
      <c r="D149" s="39">
        <f t="shared" si="49"/>
        <v>120</v>
      </c>
      <c r="E149" s="39">
        <f t="shared" si="49"/>
        <v>52</v>
      </c>
      <c r="F149" s="39">
        <f t="shared" si="49"/>
        <v>156</v>
      </c>
      <c r="G149" s="50">
        <f t="shared" si="49"/>
        <v>2597</v>
      </c>
      <c r="H149" s="44">
        <f t="shared" si="49"/>
        <v>1</v>
      </c>
      <c r="I149" s="39">
        <f t="shared" si="49"/>
        <v>0</v>
      </c>
      <c r="J149" s="39">
        <f t="shared" si="49"/>
        <v>2</v>
      </c>
      <c r="K149" s="45">
        <f t="shared" si="49"/>
        <v>0</v>
      </c>
      <c r="L149" s="144">
        <f t="shared" si="49"/>
        <v>24</v>
      </c>
      <c r="M149" s="50">
        <f t="shared" si="49"/>
        <v>27</v>
      </c>
      <c r="N149" s="40">
        <f t="shared" si="14"/>
        <v>2624</v>
      </c>
      <c r="O149" s="43">
        <f t="shared" si="15"/>
        <v>3140</v>
      </c>
    </row>
    <row r="150" spans="1:15" ht="22.95" customHeight="1" x14ac:dyDescent="0.3">
      <c r="A150" s="52" t="s">
        <v>51</v>
      </c>
      <c r="B150" s="44">
        <f t="shared" ref="B150:M150" si="50">B44+B45+B46+B47</f>
        <v>1587</v>
      </c>
      <c r="C150" s="39">
        <f t="shared" si="50"/>
        <v>776</v>
      </c>
      <c r="D150" s="39">
        <f t="shared" si="50"/>
        <v>118</v>
      </c>
      <c r="E150" s="39">
        <f t="shared" si="50"/>
        <v>56</v>
      </c>
      <c r="F150" s="39">
        <f t="shared" si="50"/>
        <v>152</v>
      </c>
      <c r="G150" s="50">
        <f t="shared" si="50"/>
        <v>2689</v>
      </c>
      <c r="H150" s="44">
        <f t="shared" si="50"/>
        <v>1</v>
      </c>
      <c r="I150" s="39">
        <f t="shared" si="50"/>
        <v>0</v>
      </c>
      <c r="J150" s="39">
        <f t="shared" si="50"/>
        <v>2</v>
      </c>
      <c r="K150" s="45">
        <f t="shared" si="50"/>
        <v>0</v>
      </c>
      <c r="L150" s="144">
        <f t="shared" si="50"/>
        <v>23</v>
      </c>
      <c r="M150" s="50">
        <f t="shared" si="50"/>
        <v>26</v>
      </c>
      <c r="N150" s="40">
        <f t="shared" si="14"/>
        <v>2715</v>
      </c>
      <c r="O150" s="43">
        <f t="shared" si="15"/>
        <v>3194.5</v>
      </c>
    </row>
    <row r="151" spans="1:15" ht="22.95" customHeight="1" x14ac:dyDescent="0.3">
      <c r="A151" s="52" t="s">
        <v>52</v>
      </c>
      <c r="B151" s="44">
        <f t="shared" ref="B151:M151" si="51">B45+B46+B47+B48</f>
        <v>1550</v>
      </c>
      <c r="C151" s="39">
        <f t="shared" si="51"/>
        <v>794</v>
      </c>
      <c r="D151" s="39">
        <f t="shared" si="51"/>
        <v>120</v>
      </c>
      <c r="E151" s="39">
        <f t="shared" si="51"/>
        <v>57</v>
      </c>
      <c r="F151" s="39">
        <f t="shared" si="51"/>
        <v>142</v>
      </c>
      <c r="G151" s="50">
        <f t="shared" si="51"/>
        <v>2663</v>
      </c>
      <c r="H151" s="44">
        <f t="shared" si="51"/>
        <v>3</v>
      </c>
      <c r="I151" s="39">
        <f t="shared" si="51"/>
        <v>0</v>
      </c>
      <c r="J151" s="39">
        <f t="shared" si="51"/>
        <v>2</v>
      </c>
      <c r="K151" s="45">
        <f t="shared" si="51"/>
        <v>0</v>
      </c>
      <c r="L151" s="144">
        <f t="shared" si="51"/>
        <v>23</v>
      </c>
      <c r="M151" s="50">
        <f t="shared" si="51"/>
        <v>28</v>
      </c>
      <c r="N151" s="40">
        <f t="shared" si="14"/>
        <v>2691</v>
      </c>
      <c r="O151" s="43">
        <f t="shared" si="15"/>
        <v>3128.5</v>
      </c>
    </row>
    <row r="152" spans="1:15" ht="22.95" customHeight="1" x14ac:dyDescent="0.3">
      <c r="A152" s="52" t="s">
        <v>53</v>
      </c>
      <c r="B152" s="44">
        <f t="shared" ref="B152:M152" si="52">B46+B47+B48+B49</f>
        <v>1530</v>
      </c>
      <c r="C152" s="39">
        <f t="shared" si="52"/>
        <v>832</v>
      </c>
      <c r="D152" s="39">
        <f t="shared" si="52"/>
        <v>127</v>
      </c>
      <c r="E152" s="39">
        <f t="shared" si="52"/>
        <v>56</v>
      </c>
      <c r="F152" s="39">
        <f t="shared" si="52"/>
        <v>146</v>
      </c>
      <c r="G152" s="50">
        <f t="shared" si="52"/>
        <v>2691</v>
      </c>
      <c r="H152" s="44">
        <f t="shared" si="52"/>
        <v>3</v>
      </c>
      <c r="I152" s="39">
        <f t="shared" si="52"/>
        <v>0</v>
      </c>
      <c r="J152" s="39">
        <f t="shared" si="52"/>
        <v>1</v>
      </c>
      <c r="K152" s="45">
        <f t="shared" si="52"/>
        <v>0</v>
      </c>
      <c r="L152" s="144">
        <f t="shared" si="52"/>
        <v>23</v>
      </c>
      <c r="M152" s="50">
        <f t="shared" si="52"/>
        <v>27</v>
      </c>
      <c r="N152" s="40">
        <f t="shared" si="14"/>
        <v>2718</v>
      </c>
      <c r="O152" s="43">
        <f t="shared" si="15"/>
        <v>3150</v>
      </c>
    </row>
    <row r="153" spans="1:15" ht="22.95" customHeight="1" x14ac:dyDescent="0.3">
      <c r="A153" s="52" t="s">
        <v>54</v>
      </c>
      <c r="B153" s="44">
        <f t="shared" ref="B153:M153" si="53">B47+B48+B49+B50</f>
        <v>1545</v>
      </c>
      <c r="C153" s="39">
        <f t="shared" si="53"/>
        <v>905</v>
      </c>
      <c r="D153" s="39">
        <f t="shared" si="53"/>
        <v>124</v>
      </c>
      <c r="E153" s="39">
        <f t="shared" si="53"/>
        <v>65</v>
      </c>
      <c r="F153" s="39">
        <f t="shared" si="53"/>
        <v>140</v>
      </c>
      <c r="G153" s="50">
        <f t="shared" si="53"/>
        <v>2779</v>
      </c>
      <c r="H153" s="44">
        <f t="shared" si="53"/>
        <v>3</v>
      </c>
      <c r="I153" s="39">
        <f t="shared" si="53"/>
        <v>0</v>
      </c>
      <c r="J153" s="39">
        <f t="shared" si="53"/>
        <v>0</v>
      </c>
      <c r="K153" s="45">
        <f t="shared" si="53"/>
        <v>0</v>
      </c>
      <c r="L153" s="144">
        <f t="shared" si="53"/>
        <v>24</v>
      </c>
      <c r="M153" s="50">
        <f t="shared" si="53"/>
        <v>27</v>
      </c>
      <c r="N153" s="40">
        <f t="shared" si="14"/>
        <v>2806</v>
      </c>
      <c r="O153" s="43">
        <f t="shared" si="15"/>
        <v>3202</v>
      </c>
    </row>
    <row r="154" spans="1:15" s="138" customFormat="1" ht="22.95" customHeight="1" x14ac:dyDescent="0.3">
      <c r="A154" s="52" t="s">
        <v>55</v>
      </c>
      <c r="B154" s="122">
        <f t="shared" ref="B154:M154" si="54">B48+B49+B50+B51</f>
        <v>1533</v>
      </c>
      <c r="C154" s="123">
        <f t="shared" si="54"/>
        <v>940</v>
      </c>
      <c r="D154" s="123">
        <f t="shared" si="54"/>
        <v>141</v>
      </c>
      <c r="E154" s="123">
        <f t="shared" si="54"/>
        <v>62</v>
      </c>
      <c r="F154" s="123">
        <f t="shared" si="54"/>
        <v>143</v>
      </c>
      <c r="G154" s="125">
        <f t="shared" si="54"/>
        <v>2819</v>
      </c>
      <c r="H154" s="122">
        <f t="shared" si="54"/>
        <v>4</v>
      </c>
      <c r="I154" s="123">
        <f t="shared" si="54"/>
        <v>0</v>
      </c>
      <c r="J154" s="123">
        <f t="shared" si="54"/>
        <v>0</v>
      </c>
      <c r="K154" s="124">
        <f t="shared" si="54"/>
        <v>0</v>
      </c>
      <c r="L154" s="146">
        <f t="shared" si="54"/>
        <v>22</v>
      </c>
      <c r="M154" s="125">
        <f t="shared" si="54"/>
        <v>26</v>
      </c>
      <c r="N154" s="126">
        <f t="shared" si="14"/>
        <v>2845</v>
      </c>
      <c r="O154" s="43">
        <f t="shared" si="15"/>
        <v>3222</v>
      </c>
    </row>
    <row r="155" spans="1:15" ht="22.95" customHeight="1" x14ac:dyDescent="0.3">
      <c r="A155" s="52" t="s">
        <v>56</v>
      </c>
      <c r="B155" s="44">
        <f t="shared" ref="B155:M155" si="55">B49+B50+B51+B52</f>
        <v>1472</v>
      </c>
      <c r="C155" s="39">
        <f t="shared" si="55"/>
        <v>901</v>
      </c>
      <c r="D155" s="39">
        <f t="shared" si="55"/>
        <v>140</v>
      </c>
      <c r="E155" s="39">
        <f t="shared" si="55"/>
        <v>68</v>
      </c>
      <c r="F155" s="39">
        <f t="shared" si="55"/>
        <v>135</v>
      </c>
      <c r="G155" s="50">
        <f t="shared" si="55"/>
        <v>2716</v>
      </c>
      <c r="H155" s="44">
        <f t="shared" si="55"/>
        <v>3</v>
      </c>
      <c r="I155" s="39">
        <f t="shared" si="55"/>
        <v>0</v>
      </c>
      <c r="J155" s="39">
        <f t="shared" si="55"/>
        <v>0</v>
      </c>
      <c r="K155" s="45">
        <f t="shared" si="55"/>
        <v>0</v>
      </c>
      <c r="L155" s="144">
        <f t="shared" si="55"/>
        <v>19</v>
      </c>
      <c r="M155" s="50">
        <f t="shared" si="55"/>
        <v>22</v>
      </c>
      <c r="N155" s="40">
        <f t="shared" si="14"/>
        <v>2738</v>
      </c>
      <c r="O155" s="43">
        <f t="shared" si="15"/>
        <v>3097.5</v>
      </c>
    </row>
    <row r="156" spans="1:15" ht="22.95" customHeight="1" x14ac:dyDescent="0.3">
      <c r="A156" s="52" t="s">
        <v>57</v>
      </c>
      <c r="B156" s="44">
        <f t="shared" ref="B156:M156" si="56">B50+B51+B52+B53</f>
        <v>1395</v>
      </c>
      <c r="C156" s="39">
        <f t="shared" si="56"/>
        <v>835</v>
      </c>
      <c r="D156" s="39">
        <f t="shared" si="56"/>
        <v>140</v>
      </c>
      <c r="E156" s="39">
        <f t="shared" si="56"/>
        <v>66</v>
      </c>
      <c r="F156" s="39">
        <f t="shared" si="56"/>
        <v>131</v>
      </c>
      <c r="G156" s="50">
        <f t="shared" si="56"/>
        <v>2567</v>
      </c>
      <c r="H156" s="44">
        <f t="shared" si="56"/>
        <v>3</v>
      </c>
      <c r="I156" s="39">
        <f t="shared" si="56"/>
        <v>0</v>
      </c>
      <c r="J156" s="39">
        <f t="shared" si="56"/>
        <v>0</v>
      </c>
      <c r="K156" s="45">
        <f t="shared" si="56"/>
        <v>0</v>
      </c>
      <c r="L156" s="144">
        <f t="shared" si="56"/>
        <v>17</v>
      </c>
      <c r="M156" s="50">
        <f t="shared" si="56"/>
        <v>20</v>
      </c>
      <c r="N156" s="40">
        <f t="shared" si="14"/>
        <v>2587</v>
      </c>
      <c r="O156" s="43">
        <f t="shared" si="15"/>
        <v>2947.5</v>
      </c>
    </row>
    <row r="157" spans="1:15" ht="22.95" customHeight="1" x14ac:dyDescent="0.3">
      <c r="A157" s="52" t="s">
        <v>58</v>
      </c>
      <c r="B157" s="44">
        <f t="shared" ref="B157:M157" si="57">B51+B52+B53+B54</f>
        <v>1304</v>
      </c>
      <c r="C157" s="39">
        <f t="shared" si="57"/>
        <v>745</v>
      </c>
      <c r="D157" s="39">
        <f t="shared" si="57"/>
        <v>141</v>
      </c>
      <c r="E157" s="39">
        <f t="shared" si="57"/>
        <v>54</v>
      </c>
      <c r="F157" s="39">
        <f t="shared" si="57"/>
        <v>155</v>
      </c>
      <c r="G157" s="50">
        <f t="shared" si="57"/>
        <v>2399</v>
      </c>
      <c r="H157" s="44">
        <f t="shared" si="57"/>
        <v>5</v>
      </c>
      <c r="I157" s="39">
        <f t="shared" si="57"/>
        <v>0</v>
      </c>
      <c r="J157" s="39">
        <f t="shared" si="57"/>
        <v>0</v>
      </c>
      <c r="K157" s="45">
        <f t="shared" si="57"/>
        <v>0</v>
      </c>
      <c r="L157" s="144">
        <f t="shared" si="57"/>
        <v>15</v>
      </c>
      <c r="M157" s="50">
        <f t="shared" si="57"/>
        <v>20</v>
      </c>
      <c r="N157" s="40">
        <f t="shared" si="14"/>
        <v>2419</v>
      </c>
      <c r="O157" s="43">
        <f t="shared" si="15"/>
        <v>2870</v>
      </c>
    </row>
    <row r="158" spans="1:15" ht="22.95" customHeight="1" x14ac:dyDescent="0.3">
      <c r="A158" s="52" t="s">
        <v>59</v>
      </c>
      <c r="B158" s="44">
        <f t="shared" ref="B158:M158" si="58">B52+B53+B54+B55</f>
        <v>1228</v>
      </c>
      <c r="C158" s="39">
        <f t="shared" si="58"/>
        <v>673</v>
      </c>
      <c r="D158" s="39">
        <f t="shared" si="58"/>
        <v>137</v>
      </c>
      <c r="E158" s="39">
        <f t="shared" si="58"/>
        <v>50</v>
      </c>
      <c r="F158" s="39">
        <f t="shared" si="58"/>
        <v>151</v>
      </c>
      <c r="G158" s="50">
        <f t="shared" si="58"/>
        <v>2239</v>
      </c>
      <c r="H158" s="44">
        <f t="shared" si="58"/>
        <v>4</v>
      </c>
      <c r="I158" s="39">
        <f t="shared" si="58"/>
        <v>0</v>
      </c>
      <c r="J158" s="39">
        <f t="shared" si="58"/>
        <v>0</v>
      </c>
      <c r="K158" s="45">
        <f t="shared" si="58"/>
        <v>0</v>
      </c>
      <c r="L158" s="144">
        <f t="shared" si="58"/>
        <v>16</v>
      </c>
      <c r="M158" s="50">
        <f t="shared" si="58"/>
        <v>20</v>
      </c>
      <c r="N158" s="40">
        <f t="shared" si="14"/>
        <v>2259</v>
      </c>
      <c r="O158" s="43">
        <f t="shared" si="15"/>
        <v>2729.5</v>
      </c>
    </row>
    <row r="159" spans="1:15" ht="22.95" customHeight="1" x14ac:dyDescent="0.3">
      <c r="A159" s="52" t="s">
        <v>77</v>
      </c>
      <c r="B159" s="44">
        <f t="shared" ref="B159:M159" si="59">B53+B54+B55+B56</f>
        <v>1183</v>
      </c>
      <c r="C159" s="39">
        <f t="shared" si="59"/>
        <v>727</v>
      </c>
      <c r="D159" s="39">
        <f t="shared" si="59"/>
        <v>132</v>
      </c>
      <c r="E159" s="39">
        <f t="shared" si="59"/>
        <v>39</v>
      </c>
      <c r="F159" s="39">
        <f t="shared" si="59"/>
        <v>144</v>
      </c>
      <c r="G159" s="50">
        <f t="shared" si="59"/>
        <v>2225</v>
      </c>
      <c r="H159" s="44">
        <f t="shared" si="59"/>
        <v>3</v>
      </c>
      <c r="I159" s="39">
        <f t="shared" si="59"/>
        <v>0</v>
      </c>
      <c r="J159" s="39">
        <f t="shared" si="59"/>
        <v>0</v>
      </c>
      <c r="K159" s="45">
        <f t="shared" si="59"/>
        <v>0</v>
      </c>
      <c r="L159" s="144">
        <f t="shared" si="59"/>
        <v>19</v>
      </c>
      <c r="M159" s="50">
        <f t="shared" si="59"/>
        <v>22</v>
      </c>
      <c r="N159" s="40">
        <f t="shared" si="14"/>
        <v>2247</v>
      </c>
      <c r="O159" s="43">
        <f t="shared" si="15"/>
        <v>2663</v>
      </c>
    </row>
    <row r="160" spans="1:15" ht="22.95" customHeight="1" x14ac:dyDescent="0.3">
      <c r="A160" s="52" t="s">
        <v>75</v>
      </c>
      <c r="B160" s="44">
        <f t="shared" ref="B160:M160" si="60">B54+B55+B56+B57</f>
        <v>1141</v>
      </c>
      <c r="C160" s="39">
        <f t="shared" si="60"/>
        <v>732</v>
      </c>
      <c r="D160" s="39">
        <f t="shared" si="60"/>
        <v>115</v>
      </c>
      <c r="E160" s="39">
        <f t="shared" si="60"/>
        <v>37</v>
      </c>
      <c r="F160" s="39">
        <f t="shared" si="60"/>
        <v>147</v>
      </c>
      <c r="G160" s="50">
        <f t="shared" si="60"/>
        <v>2172</v>
      </c>
      <c r="H160" s="44">
        <f t="shared" si="60"/>
        <v>3</v>
      </c>
      <c r="I160" s="39">
        <f t="shared" si="60"/>
        <v>0</v>
      </c>
      <c r="J160" s="39">
        <f t="shared" si="60"/>
        <v>2</v>
      </c>
      <c r="K160" s="45">
        <f t="shared" si="60"/>
        <v>0</v>
      </c>
      <c r="L160" s="144">
        <f t="shared" si="60"/>
        <v>15</v>
      </c>
      <c r="M160" s="50">
        <f t="shared" si="60"/>
        <v>20</v>
      </c>
      <c r="N160" s="40">
        <f t="shared" si="14"/>
        <v>2192</v>
      </c>
      <c r="O160" s="43">
        <f t="shared" si="15"/>
        <v>2579.5</v>
      </c>
    </row>
    <row r="161" spans="1:15" ht="22.95" customHeight="1" x14ac:dyDescent="0.3">
      <c r="A161" s="52" t="s">
        <v>76</v>
      </c>
      <c r="B161" s="44">
        <f t="shared" ref="B161:M161" si="61">B55+B56+B57+B58</f>
        <v>1094</v>
      </c>
      <c r="C161" s="39">
        <f t="shared" si="61"/>
        <v>667</v>
      </c>
      <c r="D161" s="39">
        <f t="shared" si="61"/>
        <v>102</v>
      </c>
      <c r="E161" s="39">
        <f t="shared" si="61"/>
        <v>35</v>
      </c>
      <c r="F161" s="39">
        <f t="shared" si="61"/>
        <v>138</v>
      </c>
      <c r="G161" s="50">
        <f t="shared" si="61"/>
        <v>2036</v>
      </c>
      <c r="H161" s="44">
        <f t="shared" si="61"/>
        <v>0</v>
      </c>
      <c r="I161" s="39">
        <f t="shared" si="61"/>
        <v>0</v>
      </c>
      <c r="J161" s="39">
        <f t="shared" si="61"/>
        <v>2</v>
      </c>
      <c r="K161" s="45">
        <f t="shared" si="61"/>
        <v>0</v>
      </c>
      <c r="L161" s="144">
        <f t="shared" si="61"/>
        <v>9</v>
      </c>
      <c r="M161" s="50">
        <f t="shared" si="61"/>
        <v>11</v>
      </c>
      <c r="N161" s="40">
        <f t="shared" si="14"/>
        <v>2047</v>
      </c>
      <c r="O161" s="43">
        <f t="shared" si="15"/>
        <v>2384.5</v>
      </c>
    </row>
    <row r="162" spans="1:15" ht="22.95" customHeight="1" x14ac:dyDescent="0.3">
      <c r="A162" s="52" t="s">
        <v>70</v>
      </c>
      <c r="B162" s="44">
        <f t="shared" ref="B162:M162" si="62">B56+B57+B58+B59</f>
        <v>1068</v>
      </c>
      <c r="C162" s="39">
        <f t="shared" si="62"/>
        <v>637</v>
      </c>
      <c r="D162" s="39">
        <f t="shared" si="62"/>
        <v>89</v>
      </c>
      <c r="E162" s="39">
        <f t="shared" si="62"/>
        <v>33</v>
      </c>
      <c r="F162" s="39">
        <f t="shared" si="62"/>
        <v>154</v>
      </c>
      <c r="G162" s="50">
        <f t="shared" si="62"/>
        <v>1981</v>
      </c>
      <c r="H162" s="44">
        <f t="shared" si="62"/>
        <v>0</v>
      </c>
      <c r="I162" s="39">
        <f t="shared" si="62"/>
        <v>0</v>
      </c>
      <c r="J162" s="39">
        <f t="shared" si="62"/>
        <v>2</v>
      </c>
      <c r="K162" s="45">
        <f t="shared" si="62"/>
        <v>0</v>
      </c>
      <c r="L162" s="144">
        <f t="shared" si="62"/>
        <v>5</v>
      </c>
      <c r="M162" s="50">
        <f t="shared" si="62"/>
        <v>7</v>
      </c>
      <c r="N162" s="40">
        <f t="shared" si="14"/>
        <v>1988</v>
      </c>
      <c r="O162" s="43">
        <f t="shared" si="15"/>
        <v>2358</v>
      </c>
    </row>
    <row r="163" spans="1:15" ht="22.95" customHeight="1" x14ac:dyDescent="0.3">
      <c r="A163" s="52" t="s">
        <v>71</v>
      </c>
      <c r="B163" s="44">
        <f t="shared" ref="B163:M163" si="63">B57+B58+B59+B60</f>
        <v>1053</v>
      </c>
      <c r="C163" s="39">
        <f t="shared" si="63"/>
        <v>530</v>
      </c>
      <c r="D163" s="39">
        <f t="shared" si="63"/>
        <v>80</v>
      </c>
      <c r="E163" s="39">
        <f t="shared" si="63"/>
        <v>37</v>
      </c>
      <c r="F163" s="39">
        <f t="shared" si="63"/>
        <v>182</v>
      </c>
      <c r="G163" s="50">
        <f t="shared" si="63"/>
        <v>1882</v>
      </c>
      <c r="H163" s="44">
        <f t="shared" si="63"/>
        <v>0</v>
      </c>
      <c r="I163" s="39">
        <f t="shared" si="63"/>
        <v>0</v>
      </c>
      <c r="J163" s="39">
        <f t="shared" si="63"/>
        <v>2</v>
      </c>
      <c r="K163" s="45">
        <f t="shared" si="63"/>
        <v>0</v>
      </c>
      <c r="L163" s="144">
        <f t="shared" si="63"/>
        <v>3</v>
      </c>
      <c r="M163" s="50">
        <f t="shared" si="63"/>
        <v>5</v>
      </c>
      <c r="N163" s="40">
        <f t="shared" si="14"/>
        <v>1887</v>
      </c>
      <c r="O163" s="43">
        <f t="shared" si="15"/>
        <v>2398</v>
      </c>
    </row>
    <row r="164" spans="1:15" ht="22.95" customHeight="1" x14ac:dyDescent="0.3">
      <c r="A164" s="52" t="s">
        <v>72</v>
      </c>
      <c r="B164" s="44">
        <f t="shared" ref="B164:M164" si="64">B58+B59+B60+B61</f>
        <v>1005</v>
      </c>
      <c r="C164" s="39">
        <f t="shared" si="64"/>
        <v>431</v>
      </c>
      <c r="D164" s="39">
        <f t="shared" si="64"/>
        <v>83</v>
      </c>
      <c r="E164" s="39">
        <f t="shared" si="64"/>
        <v>44</v>
      </c>
      <c r="F164" s="39">
        <f t="shared" si="64"/>
        <v>194</v>
      </c>
      <c r="G164" s="50">
        <f t="shared" si="64"/>
        <v>1757</v>
      </c>
      <c r="H164" s="44">
        <f t="shared" si="64"/>
        <v>0</v>
      </c>
      <c r="I164" s="39">
        <f t="shared" si="64"/>
        <v>0</v>
      </c>
      <c r="J164" s="39">
        <f t="shared" si="64"/>
        <v>0</v>
      </c>
      <c r="K164" s="45">
        <f t="shared" si="64"/>
        <v>0</v>
      </c>
      <c r="L164" s="144">
        <f t="shared" si="64"/>
        <v>6</v>
      </c>
      <c r="M164" s="50">
        <f t="shared" si="64"/>
        <v>6</v>
      </c>
      <c r="N164" s="40">
        <f t="shared" si="14"/>
        <v>1763</v>
      </c>
      <c r="O164" s="43">
        <f t="shared" si="15"/>
        <v>2398</v>
      </c>
    </row>
    <row r="165" spans="1:15" ht="22.95" customHeight="1" x14ac:dyDescent="0.3">
      <c r="A165" s="52" t="s">
        <v>73</v>
      </c>
      <c r="B165" s="44">
        <f t="shared" ref="B165:M165" si="65">B59+B60+B61+B62</f>
        <v>966</v>
      </c>
      <c r="C165" s="39">
        <f t="shared" si="65"/>
        <v>394</v>
      </c>
      <c r="D165" s="39">
        <f t="shared" si="65"/>
        <v>70</v>
      </c>
      <c r="E165" s="39">
        <f t="shared" si="65"/>
        <v>48</v>
      </c>
      <c r="F165" s="39">
        <f t="shared" si="65"/>
        <v>199</v>
      </c>
      <c r="G165" s="50">
        <f t="shared" si="65"/>
        <v>1677</v>
      </c>
      <c r="H165" s="44">
        <f t="shared" si="65"/>
        <v>0</v>
      </c>
      <c r="I165" s="39">
        <f t="shared" si="65"/>
        <v>0</v>
      </c>
      <c r="J165" s="39">
        <f t="shared" si="65"/>
        <v>0</v>
      </c>
      <c r="K165" s="45">
        <f t="shared" si="65"/>
        <v>0</v>
      </c>
      <c r="L165" s="144">
        <f t="shared" si="65"/>
        <v>8</v>
      </c>
      <c r="M165" s="50">
        <f t="shared" si="65"/>
        <v>8</v>
      </c>
      <c r="N165" s="40">
        <f t="shared" si="14"/>
        <v>1685</v>
      </c>
      <c r="O165" s="43">
        <f t="shared" si="15"/>
        <v>2371.5</v>
      </c>
    </row>
    <row r="166" spans="1:15" ht="22.95" customHeight="1" x14ac:dyDescent="0.3">
      <c r="A166" s="52" t="s">
        <v>74</v>
      </c>
      <c r="B166" s="44">
        <f t="shared" ref="B166:M166" si="66">B60+B61+B62+B63</f>
        <v>890</v>
      </c>
      <c r="C166" s="39">
        <f t="shared" si="66"/>
        <v>302</v>
      </c>
      <c r="D166" s="39">
        <f t="shared" si="66"/>
        <v>61</v>
      </c>
      <c r="E166" s="39">
        <f t="shared" si="66"/>
        <v>51</v>
      </c>
      <c r="F166" s="39">
        <f t="shared" si="66"/>
        <v>197</v>
      </c>
      <c r="G166" s="50">
        <f t="shared" si="66"/>
        <v>1501</v>
      </c>
      <c r="H166" s="44">
        <f t="shared" si="66"/>
        <v>0</v>
      </c>
      <c r="I166" s="39">
        <f t="shared" si="66"/>
        <v>0</v>
      </c>
      <c r="J166" s="39">
        <f t="shared" si="66"/>
        <v>0</v>
      </c>
      <c r="K166" s="45">
        <f t="shared" si="66"/>
        <v>0</v>
      </c>
      <c r="L166" s="144">
        <f t="shared" si="66"/>
        <v>9</v>
      </c>
      <c r="M166" s="50">
        <f t="shared" si="66"/>
        <v>9</v>
      </c>
      <c r="N166" s="40">
        <f t="shared" si="14"/>
        <v>1510</v>
      </c>
      <c r="O166" s="43">
        <f t="shared" si="15"/>
        <v>2244</v>
      </c>
    </row>
    <row r="167" spans="1:15" ht="22.95" customHeight="1" x14ac:dyDescent="0.3">
      <c r="A167" s="52" t="s">
        <v>262</v>
      </c>
      <c r="B167" s="44">
        <f t="shared" ref="B167:M167" si="67">B61+B62+B63+B64</f>
        <v>813</v>
      </c>
      <c r="C167" s="39">
        <f t="shared" si="67"/>
        <v>259</v>
      </c>
      <c r="D167" s="39">
        <f t="shared" si="67"/>
        <v>61</v>
      </c>
      <c r="E167" s="39">
        <f t="shared" si="67"/>
        <v>50</v>
      </c>
      <c r="F167" s="39">
        <f t="shared" si="67"/>
        <v>186</v>
      </c>
      <c r="G167" s="50">
        <f t="shared" si="67"/>
        <v>1369</v>
      </c>
      <c r="H167" s="44">
        <f t="shared" si="67"/>
        <v>0</v>
      </c>
      <c r="I167" s="39">
        <f t="shared" si="67"/>
        <v>0</v>
      </c>
      <c r="J167" s="39">
        <f t="shared" si="67"/>
        <v>0</v>
      </c>
      <c r="K167" s="45">
        <f t="shared" si="67"/>
        <v>0</v>
      </c>
      <c r="L167" s="144">
        <f t="shared" si="67"/>
        <v>7</v>
      </c>
      <c r="M167" s="50">
        <f t="shared" si="67"/>
        <v>7</v>
      </c>
      <c r="N167" s="40">
        <f t="shared" si="14"/>
        <v>1376</v>
      </c>
      <c r="O167" s="43">
        <f t="shared" si="15"/>
        <v>2077</v>
      </c>
    </row>
    <row r="168" spans="1:15" ht="22.95" customHeight="1" x14ac:dyDescent="0.3">
      <c r="A168" s="52" t="s">
        <v>263</v>
      </c>
      <c r="B168" s="44">
        <f t="shared" ref="B168:M168" si="68">B62+B63+B64+B65</f>
        <v>759</v>
      </c>
      <c r="C168" s="39">
        <f t="shared" si="68"/>
        <v>225</v>
      </c>
      <c r="D168" s="39">
        <f t="shared" si="68"/>
        <v>55</v>
      </c>
      <c r="E168" s="39">
        <f t="shared" si="68"/>
        <v>47</v>
      </c>
      <c r="F168" s="39">
        <f t="shared" si="68"/>
        <v>202</v>
      </c>
      <c r="G168" s="50">
        <f t="shared" si="68"/>
        <v>1288</v>
      </c>
      <c r="H168" s="44">
        <f t="shared" si="68"/>
        <v>0</v>
      </c>
      <c r="I168" s="39">
        <f t="shared" si="68"/>
        <v>0</v>
      </c>
      <c r="J168" s="39">
        <f t="shared" si="68"/>
        <v>0</v>
      </c>
      <c r="K168" s="45">
        <f t="shared" si="68"/>
        <v>0</v>
      </c>
      <c r="L168" s="144">
        <f t="shared" si="68"/>
        <v>3</v>
      </c>
      <c r="M168" s="50">
        <f t="shared" si="68"/>
        <v>3</v>
      </c>
      <c r="N168" s="40">
        <f t="shared" si="14"/>
        <v>1291</v>
      </c>
      <c r="O168" s="43">
        <f t="shared" si="15"/>
        <v>2028</v>
      </c>
    </row>
    <row r="169" spans="1:15" ht="22.95" customHeight="1" x14ac:dyDescent="0.3">
      <c r="A169" s="52" t="s">
        <v>264</v>
      </c>
      <c r="B169" s="44">
        <f t="shared" ref="B169:M169" si="69">B63+B64+B65+B66</f>
        <v>667</v>
      </c>
      <c r="C169" s="39">
        <f t="shared" si="69"/>
        <v>215</v>
      </c>
      <c r="D169" s="39">
        <f t="shared" si="69"/>
        <v>61</v>
      </c>
      <c r="E169" s="39">
        <f t="shared" si="69"/>
        <v>44</v>
      </c>
      <c r="F169" s="39">
        <f t="shared" si="69"/>
        <v>211</v>
      </c>
      <c r="G169" s="50">
        <f t="shared" si="69"/>
        <v>1198</v>
      </c>
      <c r="H169" s="44">
        <f t="shared" si="69"/>
        <v>0</v>
      </c>
      <c r="I169" s="39">
        <f t="shared" si="69"/>
        <v>0</v>
      </c>
      <c r="J169" s="39">
        <f t="shared" si="69"/>
        <v>0</v>
      </c>
      <c r="K169" s="45">
        <f t="shared" si="69"/>
        <v>0</v>
      </c>
      <c r="L169" s="144">
        <f t="shared" si="69"/>
        <v>2</v>
      </c>
      <c r="M169" s="50">
        <f t="shared" si="69"/>
        <v>2</v>
      </c>
      <c r="N169" s="40">
        <f t="shared" si="14"/>
        <v>1200</v>
      </c>
      <c r="O169" s="43">
        <f t="shared" si="15"/>
        <v>1963.5</v>
      </c>
    </row>
    <row r="170" spans="1:15" ht="22.95" customHeight="1" x14ac:dyDescent="0.3">
      <c r="A170" s="52" t="s">
        <v>265</v>
      </c>
      <c r="B170" s="44">
        <f t="shared" ref="B170:M170" si="70">B64+B65+B66+B67</f>
        <v>550</v>
      </c>
      <c r="C170" s="39">
        <f t="shared" si="70"/>
        <v>204</v>
      </c>
      <c r="D170" s="39">
        <f t="shared" si="70"/>
        <v>70</v>
      </c>
      <c r="E170" s="39">
        <f t="shared" si="70"/>
        <v>41</v>
      </c>
      <c r="F170" s="39">
        <f t="shared" si="70"/>
        <v>207</v>
      </c>
      <c r="G170" s="50">
        <f t="shared" si="70"/>
        <v>1072</v>
      </c>
      <c r="H170" s="44">
        <f t="shared" si="70"/>
        <v>0</v>
      </c>
      <c r="I170" s="39">
        <f t="shared" si="70"/>
        <v>0</v>
      </c>
      <c r="J170" s="39">
        <f t="shared" si="70"/>
        <v>0</v>
      </c>
      <c r="K170" s="45">
        <f t="shared" si="70"/>
        <v>0</v>
      </c>
      <c r="L170" s="144">
        <f t="shared" si="70"/>
        <v>1</v>
      </c>
      <c r="M170" s="50">
        <f t="shared" si="70"/>
        <v>1</v>
      </c>
      <c r="N170" s="40">
        <f t="shared" si="14"/>
        <v>1073</v>
      </c>
      <c r="O170" s="43">
        <f t="shared" si="15"/>
        <v>1819.5</v>
      </c>
    </row>
    <row r="171" spans="1:15" ht="22.95" customHeight="1" x14ac:dyDescent="0.3">
      <c r="A171" s="52" t="s">
        <v>266</v>
      </c>
      <c r="B171" s="44">
        <f t="shared" ref="B171:M171" si="71">B65+B66+B67+B68</f>
        <v>482</v>
      </c>
      <c r="C171" s="39">
        <f t="shared" si="71"/>
        <v>179</v>
      </c>
      <c r="D171" s="39">
        <f t="shared" si="71"/>
        <v>74</v>
      </c>
      <c r="E171" s="39">
        <f t="shared" si="71"/>
        <v>47</v>
      </c>
      <c r="F171" s="39">
        <f t="shared" si="71"/>
        <v>209</v>
      </c>
      <c r="G171" s="50">
        <f t="shared" si="71"/>
        <v>991</v>
      </c>
      <c r="H171" s="44">
        <f t="shared" si="71"/>
        <v>0</v>
      </c>
      <c r="I171" s="39">
        <f t="shared" si="71"/>
        <v>0</v>
      </c>
      <c r="J171" s="39">
        <f t="shared" si="71"/>
        <v>0</v>
      </c>
      <c r="K171" s="45">
        <f t="shared" si="71"/>
        <v>0</v>
      </c>
      <c r="L171" s="144">
        <f t="shared" si="71"/>
        <v>1</v>
      </c>
      <c r="M171" s="50">
        <f t="shared" si="71"/>
        <v>1</v>
      </c>
      <c r="N171" s="40">
        <f t="shared" si="14"/>
        <v>992</v>
      </c>
      <c r="O171" s="43">
        <f t="shared" si="15"/>
        <v>1772</v>
      </c>
    </row>
    <row r="172" spans="1:15" ht="22.95" customHeight="1" x14ac:dyDescent="0.3">
      <c r="A172" s="52" t="s">
        <v>267</v>
      </c>
      <c r="B172" s="44">
        <f t="shared" ref="B172:M172" si="72">B66+B67+B68+B69</f>
        <v>404</v>
      </c>
      <c r="C172" s="39">
        <f t="shared" si="72"/>
        <v>153</v>
      </c>
      <c r="D172" s="39">
        <f t="shared" si="72"/>
        <v>67</v>
      </c>
      <c r="E172" s="39">
        <f t="shared" si="72"/>
        <v>54</v>
      </c>
      <c r="F172" s="39">
        <f t="shared" si="72"/>
        <v>193</v>
      </c>
      <c r="G172" s="50">
        <f t="shared" si="72"/>
        <v>871</v>
      </c>
      <c r="H172" s="44">
        <f t="shared" si="72"/>
        <v>0</v>
      </c>
      <c r="I172" s="39">
        <f t="shared" si="72"/>
        <v>0</v>
      </c>
      <c r="J172" s="39">
        <f t="shared" si="72"/>
        <v>0</v>
      </c>
      <c r="K172" s="45">
        <f t="shared" si="72"/>
        <v>0</v>
      </c>
      <c r="L172" s="144">
        <f t="shared" si="72"/>
        <v>1</v>
      </c>
      <c r="M172" s="50">
        <f t="shared" si="72"/>
        <v>1</v>
      </c>
      <c r="N172" s="40">
        <f t="shared" si="14"/>
        <v>872</v>
      </c>
      <c r="O172" s="43">
        <f t="shared" si="15"/>
        <v>1619.5</v>
      </c>
    </row>
    <row r="173" spans="1:15" ht="22.95" customHeight="1" x14ac:dyDescent="0.3">
      <c r="A173" s="52" t="s">
        <v>268</v>
      </c>
      <c r="B173" s="44">
        <f t="shared" ref="B173:M173" si="73">B67+B68+B69+B70</f>
        <v>340</v>
      </c>
      <c r="C173" s="39">
        <f t="shared" si="73"/>
        <v>114</v>
      </c>
      <c r="D173" s="39">
        <f t="shared" si="73"/>
        <v>68</v>
      </c>
      <c r="E173" s="39">
        <f t="shared" si="73"/>
        <v>66</v>
      </c>
      <c r="F173" s="39">
        <f t="shared" si="73"/>
        <v>190</v>
      </c>
      <c r="G173" s="50">
        <f t="shared" si="73"/>
        <v>778</v>
      </c>
      <c r="H173" s="44">
        <f t="shared" si="73"/>
        <v>0</v>
      </c>
      <c r="I173" s="39">
        <f t="shared" si="73"/>
        <v>0</v>
      </c>
      <c r="J173" s="39">
        <f t="shared" si="73"/>
        <v>0</v>
      </c>
      <c r="K173" s="45">
        <f t="shared" si="73"/>
        <v>0</v>
      </c>
      <c r="L173" s="144">
        <f t="shared" si="73"/>
        <v>0</v>
      </c>
      <c r="M173" s="50">
        <f t="shared" si="73"/>
        <v>0</v>
      </c>
      <c r="N173" s="40">
        <f t="shared" si="14"/>
        <v>778</v>
      </c>
      <c r="O173" s="43">
        <f t="shared" si="15"/>
        <v>1552</v>
      </c>
    </row>
    <row r="174" spans="1:15" ht="22.95" customHeight="1" x14ac:dyDescent="0.3">
      <c r="A174" s="52" t="s">
        <v>269</v>
      </c>
      <c r="B174" s="44">
        <f t="shared" ref="B174:M174" si="74">B68+B69+B70+B71</f>
        <v>318</v>
      </c>
      <c r="C174" s="39">
        <f t="shared" si="74"/>
        <v>101</v>
      </c>
      <c r="D174" s="39">
        <f t="shared" si="74"/>
        <v>58</v>
      </c>
      <c r="E174" s="39">
        <f t="shared" si="74"/>
        <v>79</v>
      </c>
      <c r="F174" s="39">
        <f t="shared" si="74"/>
        <v>202</v>
      </c>
      <c r="G174" s="50">
        <f t="shared" si="74"/>
        <v>758</v>
      </c>
      <c r="H174" s="44">
        <f t="shared" si="74"/>
        <v>0</v>
      </c>
      <c r="I174" s="39">
        <f t="shared" si="74"/>
        <v>0</v>
      </c>
      <c r="J174" s="39">
        <f t="shared" si="74"/>
        <v>0</v>
      </c>
      <c r="K174" s="45">
        <f t="shared" si="74"/>
        <v>0</v>
      </c>
      <c r="L174" s="144">
        <f t="shared" si="74"/>
        <v>0</v>
      </c>
      <c r="M174" s="50">
        <f t="shared" si="74"/>
        <v>0</v>
      </c>
      <c r="N174" s="40">
        <f t="shared" si="14"/>
        <v>758</v>
      </c>
      <c r="O174" s="43">
        <f t="shared" si="15"/>
        <v>1601.5</v>
      </c>
    </row>
    <row r="175" spans="1:15" ht="22.95" customHeight="1" x14ac:dyDescent="0.3">
      <c r="A175" s="54" t="s">
        <v>241</v>
      </c>
      <c r="B175" s="44">
        <f t="shared" ref="B175:M175" si="75">B69+B70+B71+B72</f>
        <v>253</v>
      </c>
      <c r="C175" s="39">
        <f t="shared" si="75"/>
        <v>84</v>
      </c>
      <c r="D175" s="39">
        <f t="shared" si="75"/>
        <v>66</v>
      </c>
      <c r="E175" s="39">
        <f t="shared" si="75"/>
        <v>65</v>
      </c>
      <c r="F175" s="39">
        <f t="shared" si="75"/>
        <v>199</v>
      </c>
      <c r="G175" s="50">
        <f t="shared" si="75"/>
        <v>667</v>
      </c>
      <c r="H175" s="44">
        <f t="shared" si="75"/>
        <v>0</v>
      </c>
      <c r="I175" s="39">
        <f t="shared" si="75"/>
        <v>0</v>
      </c>
      <c r="J175" s="39">
        <f t="shared" si="75"/>
        <v>0</v>
      </c>
      <c r="K175" s="45">
        <f t="shared" si="75"/>
        <v>0</v>
      </c>
      <c r="L175" s="144">
        <f t="shared" si="75"/>
        <v>0</v>
      </c>
      <c r="M175" s="50">
        <f t="shared" si="75"/>
        <v>0</v>
      </c>
      <c r="N175" s="40">
        <f t="shared" si="14"/>
        <v>667</v>
      </c>
      <c r="O175" s="43">
        <f t="shared" si="15"/>
        <v>1484.5</v>
      </c>
    </row>
    <row r="176" spans="1:15" ht="22.95" customHeight="1" x14ac:dyDescent="0.3">
      <c r="A176" s="52" t="s">
        <v>242</v>
      </c>
      <c r="B176" s="44">
        <f t="shared" ref="B176:M176" si="76">B70+B71+B72+B73</f>
        <v>220</v>
      </c>
      <c r="C176" s="39">
        <f t="shared" si="76"/>
        <v>74</v>
      </c>
      <c r="D176" s="39">
        <f t="shared" si="76"/>
        <v>76</v>
      </c>
      <c r="E176" s="39">
        <f t="shared" si="76"/>
        <v>51</v>
      </c>
      <c r="F176" s="39">
        <f t="shared" si="76"/>
        <v>185</v>
      </c>
      <c r="G176" s="50">
        <f t="shared" si="76"/>
        <v>606</v>
      </c>
      <c r="H176" s="44">
        <f t="shared" si="76"/>
        <v>0</v>
      </c>
      <c r="I176" s="39">
        <f t="shared" si="76"/>
        <v>0</v>
      </c>
      <c r="J176" s="39">
        <f t="shared" si="76"/>
        <v>0</v>
      </c>
      <c r="K176" s="45">
        <f t="shared" si="76"/>
        <v>0</v>
      </c>
      <c r="L176" s="144">
        <f t="shared" si="76"/>
        <v>0</v>
      </c>
      <c r="M176" s="50">
        <f t="shared" si="76"/>
        <v>0</v>
      </c>
      <c r="N176" s="40">
        <f t="shared" si="14"/>
        <v>606</v>
      </c>
      <c r="O176" s="43">
        <f t="shared" si="15"/>
        <v>1356.5</v>
      </c>
    </row>
    <row r="177" spans="1:15" ht="22.95" customHeight="1" x14ac:dyDescent="0.3">
      <c r="A177" s="52" t="s">
        <v>243</v>
      </c>
      <c r="B177" s="44">
        <f t="shared" ref="B177:M177" si="77">B71+B72+B73+B74</f>
        <v>200</v>
      </c>
      <c r="C177" s="39">
        <f t="shared" si="77"/>
        <v>61</v>
      </c>
      <c r="D177" s="39">
        <f t="shared" si="77"/>
        <v>89</v>
      </c>
      <c r="E177" s="39">
        <f t="shared" si="77"/>
        <v>44</v>
      </c>
      <c r="F177" s="39">
        <f t="shared" si="77"/>
        <v>163</v>
      </c>
      <c r="G177" s="50">
        <f t="shared" si="77"/>
        <v>557</v>
      </c>
      <c r="H177" s="44">
        <f t="shared" si="77"/>
        <v>0</v>
      </c>
      <c r="I177" s="39">
        <f t="shared" si="77"/>
        <v>0</v>
      </c>
      <c r="J177" s="39">
        <f t="shared" si="77"/>
        <v>0</v>
      </c>
      <c r="K177" s="45">
        <f t="shared" si="77"/>
        <v>0</v>
      </c>
      <c r="L177" s="144">
        <f t="shared" si="77"/>
        <v>0</v>
      </c>
      <c r="M177" s="50">
        <f t="shared" si="77"/>
        <v>0</v>
      </c>
      <c r="N177" s="40">
        <f t="shared" si="14"/>
        <v>557</v>
      </c>
      <c r="O177" s="43">
        <f t="shared" si="15"/>
        <v>1229.5</v>
      </c>
    </row>
    <row r="178" spans="1:15" ht="22.95" customHeight="1" x14ac:dyDescent="0.3">
      <c r="A178" s="52" t="s">
        <v>244</v>
      </c>
      <c r="B178" s="44">
        <f t="shared" ref="B178:M178" si="78">B72+B73+B74+B75</f>
        <v>184</v>
      </c>
      <c r="C178" s="39">
        <f t="shared" si="78"/>
        <v>55</v>
      </c>
      <c r="D178" s="39">
        <f t="shared" si="78"/>
        <v>102</v>
      </c>
      <c r="E178" s="39">
        <f t="shared" si="78"/>
        <v>42</v>
      </c>
      <c r="F178" s="39">
        <f t="shared" si="78"/>
        <v>131</v>
      </c>
      <c r="G178" s="50">
        <f t="shared" si="78"/>
        <v>514</v>
      </c>
      <c r="H178" s="44">
        <f t="shared" si="78"/>
        <v>0</v>
      </c>
      <c r="I178" s="39">
        <f t="shared" si="78"/>
        <v>0</v>
      </c>
      <c r="J178" s="39">
        <f t="shared" si="78"/>
        <v>0</v>
      </c>
      <c r="K178" s="45">
        <f t="shared" si="78"/>
        <v>0</v>
      </c>
      <c r="L178" s="144">
        <f t="shared" si="78"/>
        <v>0</v>
      </c>
      <c r="M178" s="50">
        <f t="shared" si="78"/>
        <v>0</v>
      </c>
      <c r="N178" s="40">
        <f t="shared" si="14"/>
        <v>514</v>
      </c>
      <c r="O178" s="43">
        <f t="shared" si="15"/>
        <v>1080</v>
      </c>
    </row>
    <row r="179" spans="1:15" ht="22.95" customHeight="1" x14ac:dyDescent="0.3">
      <c r="A179" s="52" t="s">
        <v>245</v>
      </c>
      <c r="B179" s="44">
        <f t="shared" ref="B179:M179" si="79">B73+B74+B75+B76</f>
        <v>201</v>
      </c>
      <c r="C179" s="39">
        <f t="shared" si="79"/>
        <v>42</v>
      </c>
      <c r="D179" s="39">
        <f t="shared" si="79"/>
        <v>89</v>
      </c>
      <c r="E179" s="39">
        <f t="shared" si="79"/>
        <v>48</v>
      </c>
      <c r="F179" s="39">
        <f t="shared" si="79"/>
        <v>110</v>
      </c>
      <c r="G179" s="50">
        <f t="shared" si="79"/>
        <v>490</v>
      </c>
      <c r="H179" s="44">
        <f t="shared" si="79"/>
        <v>0</v>
      </c>
      <c r="I179" s="39">
        <f t="shared" si="79"/>
        <v>0</v>
      </c>
      <c r="J179" s="39">
        <f t="shared" si="79"/>
        <v>0</v>
      </c>
      <c r="K179" s="45">
        <f t="shared" si="79"/>
        <v>0</v>
      </c>
      <c r="L179" s="144">
        <f t="shared" si="79"/>
        <v>0</v>
      </c>
      <c r="M179" s="50">
        <f t="shared" si="79"/>
        <v>0</v>
      </c>
      <c r="N179" s="40">
        <f t="shared" ref="N179:N206" si="80">G179+M179</f>
        <v>490</v>
      </c>
      <c r="O179" s="43">
        <f t="shared" ref="O179:O206" si="81">B179*1+C179*0.5+D179*1.5+E179*3+F179*4.5+H179*0.5+I179*1.5+J179*3+K179*4+L179*8</f>
        <v>994.5</v>
      </c>
    </row>
    <row r="180" spans="1:15" s="138" customFormat="1" ht="22.95" customHeight="1" x14ac:dyDescent="0.3">
      <c r="A180" s="52" t="s">
        <v>246</v>
      </c>
      <c r="B180" s="122">
        <f t="shared" ref="B180:M180" si="82">B74+B75+B76+B77</f>
        <v>185</v>
      </c>
      <c r="C180" s="123">
        <f t="shared" si="82"/>
        <v>33</v>
      </c>
      <c r="D180" s="123">
        <f t="shared" si="82"/>
        <v>93</v>
      </c>
      <c r="E180" s="123">
        <f t="shared" si="82"/>
        <v>58</v>
      </c>
      <c r="F180" s="123">
        <f t="shared" si="82"/>
        <v>92</v>
      </c>
      <c r="G180" s="125">
        <f t="shared" si="82"/>
        <v>461</v>
      </c>
      <c r="H180" s="122">
        <f t="shared" si="82"/>
        <v>0</v>
      </c>
      <c r="I180" s="123">
        <f t="shared" si="82"/>
        <v>0</v>
      </c>
      <c r="J180" s="123">
        <f t="shared" si="82"/>
        <v>0</v>
      </c>
      <c r="K180" s="124">
        <f t="shared" si="82"/>
        <v>0</v>
      </c>
      <c r="L180" s="146">
        <f t="shared" si="82"/>
        <v>0</v>
      </c>
      <c r="M180" s="125">
        <f t="shared" si="82"/>
        <v>0</v>
      </c>
      <c r="N180" s="126">
        <f t="shared" si="80"/>
        <v>461</v>
      </c>
      <c r="O180" s="43">
        <f t="shared" si="81"/>
        <v>929</v>
      </c>
    </row>
    <row r="181" spans="1:15" ht="22.95" customHeight="1" x14ac:dyDescent="0.3">
      <c r="A181" s="52" t="s">
        <v>247</v>
      </c>
      <c r="B181" s="44">
        <f t="shared" ref="B181:M181" si="83">B75+B76+B77+B78</f>
        <v>158</v>
      </c>
      <c r="C181" s="39">
        <f t="shared" si="83"/>
        <v>29</v>
      </c>
      <c r="D181" s="39">
        <f t="shared" si="83"/>
        <v>72</v>
      </c>
      <c r="E181" s="39">
        <f t="shared" si="83"/>
        <v>58</v>
      </c>
      <c r="F181" s="39">
        <f t="shared" si="83"/>
        <v>81</v>
      </c>
      <c r="G181" s="50">
        <f t="shared" si="83"/>
        <v>398</v>
      </c>
      <c r="H181" s="44">
        <f t="shared" si="83"/>
        <v>0</v>
      </c>
      <c r="I181" s="39">
        <f t="shared" si="83"/>
        <v>0</v>
      </c>
      <c r="J181" s="39">
        <f t="shared" si="83"/>
        <v>0</v>
      </c>
      <c r="K181" s="45">
        <f t="shared" si="83"/>
        <v>0</v>
      </c>
      <c r="L181" s="144">
        <f t="shared" si="83"/>
        <v>0</v>
      </c>
      <c r="M181" s="50">
        <f t="shared" si="83"/>
        <v>0</v>
      </c>
      <c r="N181" s="40">
        <f t="shared" si="80"/>
        <v>398</v>
      </c>
      <c r="O181" s="43">
        <f t="shared" si="81"/>
        <v>819</v>
      </c>
    </row>
    <row r="182" spans="1:15" ht="22.95" customHeight="1" x14ac:dyDescent="0.3">
      <c r="A182" s="52" t="s">
        <v>248</v>
      </c>
      <c r="B182" s="44">
        <f t="shared" ref="B182:M182" si="84">B76+B77+B78+B79</f>
        <v>131</v>
      </c>
      <c r="C182" s="39">
        <f t="shared" si="84"/>
        <v>24</v>
      </c>
      <c r="D182" s="39">
        <f t="shared" si="84"/>
        <v>57</v>
      </c>
      <c r="E182" s="39">
        <f t="shared" si="84"/>
        <v>51</v>
      </c>
      <c r="F182" s="39">
        <f t="shared" si="84"/>
        <v>84</v>
      </c>
      <c r="G182" s="50">
        <f t="shared" si="84"/>
        <v>347</v>
      </c>
      <c r="H182" s="44">
        <f t="shared" si="84"/>
        <v>0</v>
      </c>
      <c r="I182" s="39">
        <f t="shared" si="84"/>
        <v>0</v>
      </c>
      <c r="J182" s="39">
        <f t="shared" si="84"/>
        <v>0</v>
      </c>
      <c r="K182" s="45">
        <f t="shared" si="84"/>
        <v>0</v>
      </c>
      <c r="L182" s="144">
        <f t="shared" si="84"/>
        <v>0</v>
      </c>
      <c r="M182" s="50">
        <f t="shared" si="84"/>
        <v>0</v>
      </c>
      <c r="N182" s="40">
        <f t="shared" si="80"/>
        <v>347</v>
      </c>
      <c r="O182" s="43">
        <f t="shared" si="81"/>
        <v>759.5</v>
      </c>
    </row>
    <row r="183" spans="1:15" ht="22.95" customHeight="1" x14ac:dyDescent="0.3">
      <c r="A183" s="52" t="s">
        <v>249</v>
      </c>
      <c r="B183" s="44">
        <f t="shared" ref="B183:M183" si="85">B77+B78+B79+B80</f>
        <v>129</v>
      </c>
      <c r="C183" s="39">
        <f t="shared" si="85"/>
        <v>28</v>
      </c>
      <c r="D183" s="39">
        <f t="shared" si="85"/>
        <v>57</v>
      </c>
      <c r="E183" s="39">
        <f t="shared" si="85"/>
        <v>49</v>
      </c>
      <c r="F183" s="39">
        <f t="shared" si="85"/>
        <v>91</v>
      </c>
      <c r="G183" s="50">
        <f t="shared" si="85"/>
        <v>354</v>
      </c>
      <c r="H183" s="44">
        <f t="shared" si="85"/>
        <v>0</v>
      </c>
      <c r="I183" s="39">
        <f t="shared" si="85"/>
        <v>0</v>
      </c>
      <c r="J183" s="39">
        <f t="shared" si="85"/>
        <v>0</v>
      </c>
      <c r="K183" s="45">
        <f t="shared" si="85"/>
        <v>0</v>
      </c>
      <c r="L183" s="144">
        <f t="shared" si="85"/>
        <v>0</v>
      </c>
      <c r="M183" s="50">
        <f t="shared" si="85"/>
        <v>0</v>
      </c>
      <c r="N183" s="40">
        <f t="shared" si="80"/>
        <v>354</v>
      </c>
      <c r="O183" s="43">
        <f t="shared" si="81"/>
        <v>785</v>
      </c>
    </row>
    <row r="184" spans="1:15" ht="22.95" customHeight="1" x14ac:dyDescent="0.3">
      <c r="A184" s="52" t="s">
        <v>250</v>
      </c>
      <c r="B184" s="44">
        <f t="shared" ref="B184:M184" si="86">B78+B79+B80+B81</f>
        <v>122</v>
      </c>
      <c r="C184" s="39">
        <f t="shared" si="86"/>
        <v>23</v>
      </c>
      <c r="D184" s="39">
        <f t="shared" si="86"/>
        <v>43</v>
      </c>
      <c r="E184" s="39">
        <f t="shared" si="86"/>
        <v>41</v>
      </c>
      <c r="F184" s="39">
        <f t="shared" si="86"/>
        <v>94</v>
      </c>
      <c r="G184" s="50">
        <f t="shared" si="86"/>
        <v>323</v>
      </c>
      <c r="H184" s="44">
        <f t="shared" si="86"/>
        <v>0</v>
      </c>
      <c r="I184" s="39">
        <f t="shared" si="86"/>
        <v>0</v>
      </c>
      <c r="J184" s="39">
        <f t="shared" si="86"/>
        <v>0</v>
      </c>
      <c r="K184" s="45">
        <f t="shared" si="86"/>
        <v>0</v>
      </c>
      <c r="L184" s="144">
        <f t="shared" si="86"/>
        <v>0</v>
      </c>
      <c r="M184" s="50">
        <f t="shared" si="86"/>
        <v>0</v>
      </c>
      <c r="N184" s="40">
        <f t="shared" si="80"/>
        <v>323</v>
      </c>
      <c r="O184" s="43">
        <f t="shared" si="81"/>
        <v>744</v>
      </c>
    </row>
    <row r="185" spans="1:15" ht="22.95" customHeight="1" x14ac:dyDescent="0.3">
      <c r="A185" s="52" t="s">
        <v>251</v>
      </c>
      <c r="B185" s="44">
        <f t="shared" ref="B185:M185" si="87">B79+B80+B81+B82</f>
        <v>121</v>
      </c>
      <c r="C185" s="39">
        <f t="shared" si="87"/>
        <v>18</v>
      </c>
      <c r="D185" s="39">
        <f t="shared" si="87"/>
        <v>55</v>
      </c>
      <c r="E185" s="39">
        <f t="shared" si="87"/>
        <v>33</v>
      </c>
      <c r="F185" s="39">
        <f t="shared" si="87"/>
        <v>86</v>
      </c>
      <c r="G185" s="50">
        <f t="shared" si="87"/>
        <v>313</v>
      </c>
      <c r="H185" s="44">
        <f t="shared" si="87"/>
        <v>0</v>
      </c>
      <c r="I185" s="39">
        <f t="shared" si="87"/>
        <v>0</v>
      </c>
      <c r="J185" s="39">
        <f t="shared" si="87"/>
        <v>0</v>
      </c>
      <c r="K185" s="45">
        <f t="shared" si="87"/>
        <v>0</v>
      </c>
      <c r="L185" s="144">
        <f t="shared" si="87"/>
        <v>0</v>
      </c>
      <c r="M185" s="50">
        <f t="shared" si="87"/>
        <v>0</v>
      </c>
      <c r="N185" s="40">
        <f t="shared" si="80"/>
        <v>313</v>
      </c>
      <c r="O185" s="43">
        <f t="shared" si="81"/>
        <v>698.5</v>
      </c>
    </row>
    <row r="186" spans="1:15" ht="22.95" customHeight="1" x14ac:dyDescent="0.3">
      <c r="A186" s="52" t="s">
        <v>252</v>
      </c>
      <c r="B186" s="44">
        <f t="shared" ref="B186:M186" si="88">B80+B81+B82+B83</f>
        <v>119</v>
      </c>
      <c r="C186" s="39">
        <f t="shared" si="88"/>
        <v>15</v>
      </c>
      <c r="D186" s="39">
        <f t="shared" si="88"/>
        <v>55</v>
      </c>
      <c r="E186" s="39">
        <f t="shared" si="88"/>
        <v>31</v>
      </c>
      <c r="F186" s="39">
        <f t="shared" si="88"/>
        <v>75</v>
      </c>
      <c r="G186" s="50">
        <f t="shared" si="88"/>
        <v>295</v>
      </c>
      <c r="H186" s="44">
        <f t="shared" si="88"/>
        <v>0</v>
      </c>
      <c r="I186" s="39">
        <f t="shared" si="88"/>
        <v>0</v>
      </c>
      <c r="J186" s="39">
        <f t="shared" si="88"/>
        <v>0</v>
      </c>
      <c r="K186" s="45">
        <f t="shared" si="88"/>
        <v>0</v>
      </c>
      <c r="L186" s="144">
        <f t="shared" si="88"/>
        <v>0</v>
      </c>
      <c r="M186" s="50">
        <f t="shared" si="88"/>
        <v>0</v>
      </c>
      <c r="N186" s="40">
        <f t="shared" si="80"/>
        <v>295</v>
      </c>
      <c r="O186" s="43">
        <f t="shared" si="81"/>
        <v>639.5</v>
      </c>
    </row>
    <row r="187" spans="1:15" ht="22.95" customHeight="1" x14ac:dyDescent="0.3">
      <c r="A187" s="52" t="s">
        <v>253</v>
      </c>
      <c r="B187" s="44">
        <f t="shared" ref="B187:M187" si="89">B81+B82+B83+B84</f>
        <v>118</v>
      </c>
      <c r="C187" s="39">
        <f t="shared" si="89"/>
        <v>11</v>
      </c>
      <c r="D187" s="39">
        <f t="shared" si="89"/>
        <v>41</v>
      </c>
      <c r="E187" s="39">
        <f t="shared" si="89"/>
        <v>34</v>
      </c>
      <c r="F187" s="39">
        <f t="shared" si="89"/>
        <v>67</v>
      </c>
      <c r="G187" s="50">
        <f t="shared" si="89"/>
        <v>271</v>
      </c>
      <c r="H187" s="44">
        <f t="shared" si="89"/>
        <v>0</v>
      </c>
      <c r="I187" s="39">
        <f t="shared" si="89"/>
        <v>0</v>
      </c>
      <c r="J187" s="39">
        <f t="shared" si="89"/>
        <v>0</v>
      </c>
      <c r="K187" s="45">
        <f t="shared" si="89"/>
        <v>0</v>
      </c>
      <c r="L187" s="144">
        <f t="shared" si="89"/>
        <v>0</v>
      </c>
      <c r="M187" s="50">
        <f t="shared" si="89"/>
        <v>0</v>
      </c>
      <c r="N187" s="40">
        <f t="shared" si="80"/>
        <v>271</v>
      </c>
      <c r="O187" s="43">
        <f t="shared" si="81"/>
        <v>588.5</v>
      </c>
    </row>
    <row r="188" spans="1:15" ht="22.95" customHeight="1" x14ac:dyDescent="0.3">
      <c r="A188" s="52" t="s">
        <v>254</v>
      </c>
      <c r="B188" s="44">
        <f t="shared" ref="B188:M188" si="90">B82+B83+B84+B85</f>
        <v>125</v>
      </c>
      <c r="C188" s="39">
        <f t="shared" si="90"/>
        <v>14</v>
      </c>
      <c r="D188" s="39">
        <f t="shared" si="90"/>
        <v>36</v>
      </c>
      <c r="E188" s="39">
        <f t="shared" si="90"/>
        <v>37</v>
      </c>
      <c r="F188" s="39">
        <f t="shared" si="90"/>
        <v>71</v>
      </c>
      <c r="G188" s="50">
        <f t="shared" si="90"/>
        <v>283</v>
      </c>
      <c r="H188" s="44">
        <f t="shared" si="90"/>
        <v>0</v>
      </c>
      <c r="I188" s="39">
        <f t="shared" si="90"/>
        <v>0</v>
      </c>
      <c r="J188" s="39">
        <f t="shared" si="90"/>
        <v>0</v>
      </c>
      <c r="K188" s="45">
        <f t="shared" si="90"/>
        <v>0</v>
      </c>
      <c r="L188" s="144">
        <f t="shared" si="90"/>
        <v>0</v>
      </c>
      <c r="M188" s="50">
        <f t="shared" si="90"/>
        <v>0</v>
      </c>
      <c r="N188" s="40">
        <f t="shared" si="80"/>
        <v>283</v>
      </c>
      <c r="O188" s="43">
        <f t="shared" si="81"/>
        <v>616.5</v>
      </c>
    </row>
    <row r="189" spans="1:15" ht="22.95" customHeight="1" x14ac:dyDescent="0.3">
      <c r="A189" s="52" t="s">
        <v>255</v>
      </c>
      <c r="B189" s="44">
        <f t="shared" ref="B189:M189" si="91">B83+B84+B85+B86</f>
        <v>126</v>
      </c>
      <c r="C189" s="39">
        <f t="shared" si="91"/>
        <v>15</v>
      </c>
      <c r="D189" s="39">
        <f t="shared" si="91"/>
        <v>25</v>
      </c>
      <c r="E189" s="39">
        <f t="shared" si="91"/>
        <v>37</v>
      </c>
      <c r="F189" s="39">
        <f t="shared" si="91"/>
        <v>76</v>
      </c>
      <c r="G189" s="50">
        <f t="shared" si="91"/>
        <v>279</v>
      </c>
      <c r="H189" s="44">
        <f t="shared" si="91"/>
        <v>0</v>
      </c>
      <c r="I189" s="39">
        <f t="shared" si="91"/>
        <v>0</v>
      </c>
      <c r="J189" s="39">
        <f t="shared" si="91"/>
        <v>0</v>
      </c>
      <c r="K189" s="45">
        <f t="shared" si="91"/>
        <v>0</v>
      </c>
      <c r="L189" s="144">
        <f t="shared" si="91"/>
        <v>0</v>
      </c>
      <c r="M189" s="50">
        <f t="shared" si="91"/>
        <v>0</v>
      </c>
      <c r="N189" s="40">
        <f t="shared" si="80"/>
        <v>279</v>
      </c>
      <c r="O189" s="43">
        <f t="shared" si="81"/>
        <v>624</v>
      </c>
    </row>
    <row r="190" spans="1:15" ht="22.95" customHeight="1" x14ac:dyDescent="0.3">
      <c r="A190" s="52" t="s">
        <v>256</v>
      </c>
      <c r="B190" s="44">
        <f t="shared" ref="B190:M190" si="92">B84+B85+B86+B87</f>
        <v>132</v>
      </c>
      <c r="C190" s="39">
        <f t="shared" si="92"/>
        <v>20</v>
      </c>
      <c r="D190" s="39">
        <f t="shared" si="92"/>
        <v>27</v>
      </c>
      <c r="E190" s="39">
        <f t="shared" si="92"/>
        <v>41</v>
      </c>
      <c r="F190" s="39">
        <f t="shared" si="92"/>
        <v>87</v>
      </c>
      <c r="G190" s="50">
        <f t="shared" si="92"/>
        <v>307</v>
      </c>
      <c r="H190" s="44">
        <f t="shared" si="92"/>
        <v>0</v>
      </c>
      <c r="I190" s="39">
        <f t="shared" si="92"/>
        <v>0</v>
      </c>
      <c r="J190" s="39">
        <f t="shared" si="92"/>
        <v>0</v>
      </c>
      <c r="K190" s="45">
        <f t="shared" si="92"/>
        <v>0</v>
      </c>
      <c r="L190" s="144">
        <f t="shared" si="92"/>
        <v>0</v>
      </c>
      <c r="M190" s="50">
        <f t="shared" si="92"/>
        <v>0</v>
      </c>
      <c r="N190" s="40">
        <f t="shared" si="80"/>
        <v>307</v>
      </c>
      <c r="O190" s="43">
        <f t="shared" si="81"/>
        <v>697</v>
      </c>
    </row>
    <row r="191" spans="1:15" ht="22.95" customHeight="1" x14ac:dyDescent="0.3">
      <c r="A191" s="52" t="s">
        <v>257</v>
      </c>
      <c r="B191" s="44">
        <f t="shared" ref="B191:M191" si="93">B85+B86+B87+B88</f>
        <v>153</v>
      </c>
      <c r="C191" s="39">
        <f t="shared" si="93"/>
        <v>20</v>
      </c>
      <c r="D191" s="39">
        <f t="shared" si="93"/>
        <v>37</v>
      </c>
      <c r="E191" s="39">
        <f t="shared" si="93"/>
        <v>39</v>
      </c>
      <c r="F191" s="39">
        <f t="shared" si="93"/>
        <v>95</v>
      </c>
      <c r="G191" s="50">
        <f t="shared" si="93"/>
        <v>344</v>
      </c>
      <c r="H191" s="44">
        <f t="shared" si="93"/>
        <v>0</v>
      </c>
      <c r="I191" s="39">
        <f t="shared" si="93"/>
        <v>0</v>
      </c>
      <c r="J191" s="39">
        <f t="shared" si="93"/>
        <v>0</v>
      </c>
      <c r="K191" s="45">
        <f t="shared" si="93"/>
        <v>0</v>
      </c>
      <c r="L191" s="144">
        <f t="shared" si="93"/>
        <v>0</v>
      </c>
      <c r="M191" s="50">
        <f t="shared" si="93"/>
        <v>0</v>
      </c>
      <c r="N191" s="40">
        <f t="shared" si="80"/>
        <v>344</v>
      </c>
      <c r="O191" s="43">
        <f t="shared" si="81"/>
        <v>763</v>
      </c>
    </row>
    <row r="192" spans="1:15" ht="22.95" customHeight="1" x14ac:dyDescent="0.3">
      <c r="A192" s="52" t="s">
        <v>258</v>
      </c>
      <c r="B192" s="44">
        <f t="shared" ref="B192:M192" si="94">B86+B87+B88+B89</f>
        <v>173</v>
      </c>
      <c r="C192" s="39">
        <f t="shared" si="94"/>
        <v>25</v>
      </c>
      <c r="D192" s="39">
        <f t="shared" si="94"/>
        <v>45</v>
      </c>
      <c r="E192" s="39">
        <f t="shared" si="94"/>
        <v>35</v>
      </c>
      <c r="F192" s="39">
        <f t="shared" si="94"/>
        <v>96</v>
      </c>
      <c r="G192" s="50">
        <f t="shared" si="94"/>
        <v>374</v>
      </c>
      <c r="H192" s="44">
        <f t="shared" si="94"/>
        <v>1</v>
      </c>
      <c r="I192" s="39">
        <f t="shared" si="94"/>
        <v>0</v>
      </c>
      <c r="J192" s="39">
        <f t="shared" si="94"/>
        <v>0</v>
      </c>
      <c r="K192" s="45">
        <f t="shared" si="94"/>
        <v>0</v>
      </c>
      <c r="L192" s="144">
        <f t="shared" si="94"/>
        <v>0</v>
      </c>
      <c r="M192" s="50">
        <f t="shared" si="94"/>
        <v>1</v>
      </c>
      <c r="N192" s="40">
        <f t="shared" si="80"/>
        <v>375</v>
      </c>
      <c r="O192" s="43">
        <f t="shared" si="81"/>
        <v>790.5</v>
      </c>
    </row>
    <row r="193" spans="1:15" ht="22.95" customHeight="1" x14ac:dyDescent="0.3">
      <c r="A193" s="52" t="s">
        <v>259</v>
      </c>
      <c r="B193" s="44">
        <f t="shared" ref="B193:M193" si="95">B87+B88+B89+B90</f>
        <v>188</v>
      </c>
      <c r="C193" s="39">
        <f t="shared" si="95"/>
        <v>36</v>
      </c>
      <c r="D193" s="39">
        <f t="shared" si="95"/>
        <v>44</v>
      </c>
      <c r="E193" s="39">
        <f t="shared" si="95"/>
        <v>32</v>
      </c>
      <c r="F193" s="39">
        <f t="shared" si="95"/>
        <v>102</v>
      </c>
      <c r="G193" s="50">
        <f t="shared" si="95"/>
        <v>402</v>
      </c>
      <c r="H193" s="44">
        <f t="shared" si="95"/>
        <v>1</v>
      </c>
      <c r="I193" s="39">
        <f t="shared" si="95"/>
        <v>0</v>
      </c>
      <c r="J193" s="39">
        <f t="shared" si="95"/>
        <v>0</v>
      </c>
      <c r="K193" s="45">
        <f t="shared" si="95"/>
        <v>0</v>
      </c>
      <c r="L193" s="144">
        <f t="shared" si="95"/>
        <v>0</v>
      </c>
      <c r="M193" s="50">
        <f t="shared" si="95"/>
        <v>1</v>
      </c>
      <c r="N193" s="40">
        <f t="shared" si="80"/>
        <v>403</v>
      </c>
      <c r="O193" s="43">
        <f t="shared" si="81"/>
        <v>827.5</v>
      </c>
    </row>
    <row r="194" spans="1:15" ht="22.95" customHeight="1" x14ac:dyDescent="0.3">
      <c r="A194" s="52" t="s">
        <v>260</v>
      </c>
      <c r="B194" s="44">
        <f t="shared" ref="B194:M194" si="96">B88+B89+B90+B91</f>
        <v>202</v>
      </c>
      <c r="C194" s="39">
        <f t="shared" si="96"/>
        <v>44</v>
      </c>
      <c r="D194" s="39">
        <f t="shared" si="96"/>
        <v>39</v>
      </c>
      <c r="E194" s="39">
        <f t="shared" si="96"/>
        <v>22</v>
      </c>
      <c r="F194" s="39">
        <f t="shared" si="96"/>
        <v>100</v>
      </c>
      <c r="G194" s="50">
        <f t="shared" si="96"/>
        <v>407</v>
      </c>
      <c r="H194" s="44">
        <f t="shared" si="96"/>
        <v>1</v>
      </c>
      <c r="I194" s="39">
        <f t="shared" si="96"/>
        <v>0</v>
      </c>
      <c r="J194" s="39">
        <f t="shared" si="96"/>
        <v>0</v>
      </c>
      <c r="K194" s="45">
        <f t="shared" si="96"/>
        <v>0</v>
      </c>
      <c r="L194" s="144">
        <f t="shared" si="96"/>
        <v>0</v>
      </c>
      <c r="M194" s="50">
        <f t="shared" si="96"/>
        <v>1</v>
      </c>
      <c r="N194" s="40">
        <f t="shared" si="80"/>
        <v>408</v>
      </c>
      <c r="O194" s="43">
        <f t="shared" si="81"/>
        <v>799</v>
      </c>
    </row>
    <row r="195" spans="1:15" ht="22.95" customHeight="1" x14ac:dyDescent="0.3">
      <c r="A195" s="52" t="s">
        <v>261</v>
      </c>
      <c r="B195" s="44">
        <f t="shared" ref="B195:M195" si="97">B89+B90+B91+B92</f>
        <v>195</v>
      </c>
      <c r="C195" s="39">
        <f t="shared" si="97"/>
        <v>56</v>
      </c>
      <c r="D195" s="39">
        <f t="shared" si="97"/>
        <v>28</v>
      </c>
      <c r="E195" s="39">
        <f t="shared" si="97"/>
        <v>20</v>
      </c>
      <c r="F195" s="39">
        <f t="shared" si="97"/>
        <v>103</v>
      </c>
      <c r="G195" s="50">
        <f t="shared" si="97"/>
        <v>402</v>
      </c>
      <c r="H195" s="44">
        <f t="shared" si="97"/>
        <v>1</v>
      </c>
      <c r="I195" s="39">
        <f t="shared" si="97"/>
        <v>0</v>
      </c>
      <c r="J195" s="39">
        <f t="shared" si="97"/>
        <v>0</v>
      </c>
      <c r="K195" s="45">
        <f t="shared" si="97"/>
        <v>0</v>
      </c>
      <c r="L195" s="144">
        <f t="shared" si="97"/>
        <v>0</v>
      </c>
      <c r="M195" s="50">
        <f t="shared" si="97"/>
        <v>1</v>
      </c>
      <c r="N195" s="40">
        <f t="shared" si="80"/>
        <v>403</v>
      </c>
      <c r="O195" s="43">
        <f t="shared" si="81"/>
        <v>789</v>
      </c>
    </row>
    <row r="196" spans="1:15" ht="22.95" customHeight="1" x14ac:dyDescent="0.3">
      <c r="A196" s="52" t="s">
        <v>270</v>
      </c>
      <c r="B196" s="44">
        <f t="shared" ref="B196:M196" si="98">B90+B91+B92+B93</f>
        <v>190</v>
      </c>
      <c r="C196" s="39">
        <f t="shared" si="98"/>
        <v>62</v>
      </c>
      <c r="D196" s="39">
        <f t="shared" si="98"/>
        <v>29</v>
      </c>
      <c r="E196" s="39">
        <f t="shared" si="98"/>
        <v>19</v>
      </c>
      <c r="F196" s="39">
        <f t="shared" si="98"/>
        <v>111</v>
      </c>
      <c r="G196" s="50">
        <f t="shared" si="98"/>
        <v>411</v>
      </c>
      <c r="H196" s="44">
        <f t="shared" si="98"/>
        <v>1</v>
      </c>
      <c r="I196" s="39">
        <f t="shared" si="98"/>
        <v>0</v>
      </c>
      <c r="J196" s="39">
        <f t="shared" si="98"/>
        <v>0</v>
      </c>
      <c r="K196" s="45">
        <f t="shared" si="98"/>
        <v>0</v>
      </c>
      <c r="L196" s="144">
        <f t="shared" si="98"/>
        <v>0</v>
      </c>
      <c r="M196" s="50">
        <f t="shared" si="98"/>
        <v>1</v>
      </c>
      <c r="N196" s="40">
        <f t="shared" si="80"/>
        <v>412</v>
      </c>
      <c r="O196" s="43">
        <f t="shared" si="81"/>
        <v>821.5</v>
      </c>
    </row>
    <row r="197" spans="1:15" ht="22.95" customHeight="1" x14ac:dyDescent="0.3">
      <c r="A197" s="52" t="s">
        <v>271</v>
      </c>
      <c r="B197" s="44">
        <f t="shared" ref="B197:M197" si="99">B91+B92+B93+B94</f>
        <v>249</v>
      </c>
      <c r="C197" s="39">
        <f t="shared" si="99"/>
        <v>82</v>
      </c>
      <c r="D197" s="39">
        <f t="shared" si="99"/>
        <v>40</v>
      </c>
      <c r="E197" s="39">
        <f t="shared" si="99"/>
        <v>33</v>
      </c>
      <c r="F197" s="39">
        <f t="shared" si="99"/>
        <v>124</v>
      </c>
      <c r="G197" s="50">
        <f t="shared" si="99"/>
        <v>528</v>
      </c>
      <c r="H197" s="44">
        <f t="shared" si="99"/>
        <v>3</v>
      </c>
      <c r="I197" s="39">
        <f t="shared" si="99"/>
        <v>0</v>
      </c>
      <c r="J197" s="39">
        <f t="shared" si="99"/>
        <v>0</v>
      </c>
      <c r="K197" s="45">
        <f t="shared" si="99"/>
        <v>0</v>
      </c>
      <c r="L197" s="144">
        <f t="shared" si="99"/>
        <v>0</v>
      </c>
      <c r="M197" s="50">
        <f t="shared" si="99"/>
        <v>3</v>
      </c>
      <c r="N197" s="40">
        <f t="shared" si="80"/>
        <v>531</v>
      </c>
      <c r="O197" s="43">
        <f t="shared" si="81"/>
        <v>1008.5</v>
      </c>
    </row>
    <row r="198" spans="1:15" ht="22.95" customHeight="1" x14ac:dyDescent="0.3">
      <c r="A198" s="52" t="s">
        <v>279</v>
      </c>
      <c r="B198" s="44">
        <f t="shared" ref="B198:M198" si="100">B92+B93+B94+B95</f>
        <v>342</v>
      </c>
      <c r="C198" s="39">
        <f t="shared" si="100"/>
        <v>106</v>
      </c>
      <c r="D198" s="39">
        <f t="shared" si="100"/>
        <v>46</v>
      </c>
      <c r="E198" s="39">
        <f t="shared" si="100"/>
        <v>43</v>
      </c>
      <c r="F198" s="39">
        <f t="shared" si="100"/>
        <v>147</v>
      </c>
      <c r="G198" s="50">
        <f t="shared" si="100"/>
        <v>684</v>
      </c>
      <c r="H198" s="44">
        <f t="shared" si="100"/>
        <v>3</v>
      </c>
      <c r="I198" s="39">
        <f t="shared" si="100"/>
        <v>0</v>
      </c>
      <c r="J198" s="39">
        <f t="shared" si="100"/>
        <v>0</v>
      </c>
      <c r="K198" s="45">
        <f t="shared" si="100"/>
        <v>0</v>
      </c>
      <c r="L198" s="144">
        <f t="shared" si="100"/>
        <v>1</v>
      </c>
      <c r="M198" s="50">
        <f t="shared" si="100"/>
        <v>4</v>
      </c>
      <c r="N198" s="40">
        <f t="shared" si="80"/>
        <v>688</v>
      </c>
      <c r="O198" s="43">
        <f t="shared" si="81"/>
        <v>1264</v>
      </c>
    </row>
    <row r="199" spans="1:15" ht="22.95" customHeight="1" x14ac:dyDescent="0.3">
      <c r="A199" s="52" t="s">
        <v>62</v>
      </c>
      <c r="B199" s="44">
        <f t="shared" ref="B199:M199" si="101">B93+B94+B95+B96</f>
        <v>394</v>
      </c>
      <c r="C199" s="39">
        <f t="shared" si="101"/>
        <v>161</v>
      </c>
      <c r="D199" s="39">
        <f t="shared" si="101"/>
        <v>63</v>
      </c>
      <c r="E199" s="39">
        <f t="shared" si="101"/>
        <v>50</v>
      </c>
      <c r="F199" s="39">
        <f t="shared" si="101"/>
        <v>162</v>
      </c>
      <c r="G199" s="50">
        <f t="shared" si="101"/>
        <v>830</v>
      </c>
      <c r="H199" s="44">
        <f t="shared" si="101"/>
        <v>4</v>
      </c>
      <c r="I199" s="39">
        <f t="shared" si="101"/>
        <v>0</v>
      </c>
      <c r="J199" s="39">
        <f t="shared" si="101"/>
        <v>0</v>
      </c>
      <c r="K199" s="45">
        <f t="shared" si="101"/>
        <v>0</v>
      </c>
      <c r="L199" s="144">
        <f t="shared" si="101"/>
        <v>1</v>
      </c>
      <c r="M199" s="50">
        <f t="shared" si="101"/>
        <v>5</v>
      </c>
      <c r="N199" s="40">
        <f t="shared" si="80"/>
        <v>835</v>
      </c>
      <c r="O199" s="43">
        <f t="shared" si="81"/>
        <v>1458</v>
      </c>
    </row>
    <row r="200" spans="1:15" ht="22.95" customHeight="1" x14ac:dyDescent="0.3">
      <c r="A200" s="52" t="s">
        <v>63</v>
      </c>
      <c r="B200" s="44">
        <f t="shared" ref="B200:M200" si="102">B94+B95+B96+B97</f>
        <v>460</v>
      </c>
      <c r="C200" s="39">
        <f t="shared" si="102"/>
        <v>228</v>
      </c>
      <c r="D200" s="39">
        <f t="shared" si="102"/>
        <v>67</v>
      </c>
      <c r="E200" s="39">
        <f t="shared" si="102"/>
        <v>58</v>
      </c>
      <c r="F200" s="39">
        <f t="shared" si="102"/>
        <v>173</v>
      </c>
      <c r="G200" s="50">
        <f t="shared" si="102"/>
        <v>986</v>
      </c>
      <c r="H200" s="44">
        <f t="shared" si="102"/>
        <v>5</v>
      </c>
      <c r="I200" s="39">
        <f t="shared" si="102"/>
        <v>0</v>
      </c>
      <c r="J200" s="39">
        <f t="shared" si="102"/>
        <v>0</v>
      </c>
      <c r="K200" s="45">
        <f t="shared" si="102"/>
        <v>0</v>
      </c>
      <c r="L200" s="144">
        <f t="shared" si="102"/>
        <v>1</v>
      </c>
      <c r="M200" s="50">
        <f t="shared" si="102"/>
        <v>6</v>
      </c>
      <c r="N200" s="40">
        <f t="shared" si="80"/>
        <v>992</v>
      </c>
      <c r="O200" s="43">
        <f t="shared" si="81"/>
        <v>1637.5</v>
      </c>
    </row>
    <row r="201" spans="1:15" ht="22.95" customHeight="1" x14ac:dyDescent="0.3">
      <c r="A201" s="52" t="s">
        <v>64</v>
      </c>
      <c r="B201" s="44">
        <f t="shared" ref="B201:M201" si="103">B95+B96+B97+B98</f>
        <v>497</v>
      </c>
      <c r="C201" s="39">
        <f t="shared" si="103"/>
        <v>277</v>
      </c>
      <c r="D201" s="39">
        <f t="shared" si="103"/>
        <v>72</v>
      </c>
      <c r="E201" s="39">
        <f t="shared" si="103"/>
        <v>52</v>
      </c>
      <c r="F201" s="39">
        <f t="shared" si="103"/>
        <v>179</v>
      </c>
      <c r="G201" s="50">
        <f t="shared" si="103"/>
        <v>1077</v>
      </c>
      <c r="H201" s="44">
        <f t="shared" si="103"/>
        <v>6</v>
      </c>
      <c r="I201" s="39">
        <f t="shared" si="103"/>
        <v>0</v>
      </c>
      <c r="J201" s="39">
        <f t="shared" si="103"/>
        <v>0</v>
      </c>
      <c r="K201" s="45">
        <f t="shared" si="103"/>
        <v>0</v>
      </c>
      <c r="L201" s="144">
        <f t="shared" si="103"/>
        <v>2</v>
      </c>
      <c r="M201" s="50">
        <f t="shared" si="103"/>
        <v>8</v>
      </c>
      <c r="N201" s="40">
        <f t="shared" si="80"/>
        <v>1085</v>
      </c>
      <c r="O201" s="43">
        <f t="shared" si="81"/>
        <v>1724</v>
      </c>
    </row>
    <row r="202" spans="1:15" ht="22.95" customHeight="1" x14ac:dyDescent="0.3">
      <c r="A202" s="52" t="s">
        <v>65</v>
      </c>
      <c r="B202" s="44">
        <f t="shared" ref="B202:M202" si="104">B96+B97+B98+B99</f>
        <v>519</v>
      </c>
      <c r="C202" s="39">
        <f t="shared" si="104"/>
        <v>345</v>
      </c>
      <c r="D202" s="39">
        <f t="shared" si="104"/>
        <v>78</v>
      </c>
      <c r="E202" s="39">
        <f t="shared" si="104"/>
        <v>59</v>
      </c>
      <c r="F202" s="39">
        <f t="shared" si="104"/>
        <v>169</v>
      </c>
      <c r="G202" s="50">
        <f t="shared" si="104"/>
        <v>1170</v>
      </c>
      <c r="H202" s="44">
        <f t="shared" si="104"/>
        <v>7</v>
      </c>
      <c r="I202" s="39">
        <f t="shared" si="104"/>
        <v>0</v>
      </c>
      <c r="J202" s="39">
        <f t="shared" si="104"/>
        <v>0</v>
      </c>
      <c r="K202" s="45">
        <f t="shared" si="104"/>
        <v>0</v>
      </c>
      <c r="L202" s="144">
        <f t="shared" si="104"/>
        <v>2</v>
      </c>
      <c r="M202" s="50">
        <f t="shared" si="104"/>
        <v>9</v>
      </c>
      <c r="N202" s="40">
        <f t="shared" si="80"/>
        <v>1179</v>
      </c>
      <c r="O202" s="43">
        <f t="shared" si="81"/>
        <v>1765.5</v>
      </c>
    </row>
    <row r="203" spans="1:15" ht="22.95" customHeight="1" x14ac:dyDescent="0.3">
      <c r="A203" s="52" t="s">
        <v>66</v>
      </c>
      <c r="B203" s="44">
        <f t="shared" ref="B203:M203" si="105">B97+B98+B99+B100</f>
        <v>564</v>
      </c>
      <c r="C203" s="39">
        <f t="shared" si="105"/>
        <v>401</v>
      </c>
      <c r="D203" s="39">
        <f t="shared" si="105"/>
        <v>81</v>
      </c>
      <c r="E203" s="39">
        <f t="shared" si="105"/>
        <v>69</v>
      </c>
      <c r="F203" s="39">
        <f t="shared" si="105"/>
        <v>158</v>
      </c>
      <c r="G203" s="50">
        <f t="shared" si="105"/>
        <v>1273</v>
      </c>
      <c r="H203" s="44">
        <f t="shared" si="105"/>
        <v>8</v>
      </c>
      <c r="I203" s="39">
        <f t="shared" si="105"/>
        <v>0</v>
      </c>
      <c r="J203" s="39">
        <f t="shared" si="105"/>
        <v>0</v>
      </c>
      <c r="K203" s="45">
        <f t="shared" si="105"/>
        <v>0</v>
      </c>
      <c r="L203" s="144">
        <f t="shared" si="105"/>
        <v>5</v>
      </c>
      <c r="M203" s="50">
        <f t="shared" si="105"/>
        <v>13</v>
      </c>
      <c r="N203" s="40">
        <f t="shared" si="80"/>
        <v>1286</v>
      </c>
      <c r="O203" s="43">
        <f t="shared" si="81"/>
        <v>1848</v>
      </c>
    </row>
    <row r="204" spans="1:15" ht="22.95" customHeight="1" x14ac:dyDescent="0.3">
      <c r="A204" s="52" t="s">
        <v>67</v>
      </c>
      <c r="B204" s="44">
        <f t="shared" ref="B204:M204" si="106">B98+B99+B100+B101</f>
        <v>642</v>
      </c>
      <c r="C204" s="39">
        <f t="shared" si="106"/>
        <v>426</v>
      </c>
      <c r="D204" s="39">
        <f t="shared" si="106"/>
        <v>80</v>
      </c>
      <c r="E204" s="39">
        <f t="shared" si="106"/>
        <v>72</v>
      </c>
      <c r="F204" s="39">
        <f t="shared" si="106"/>
        <v>158</v>
      </c>
      <c r="G204" s="50">
        <f t="shared" si="106"/>
        <v>1378</v>
      </c>
      <c r="H204" s="44">
        <f t="shared" si="106"/>
        <v>10</v>
      </c>
      <c r="I204" s="39">
        <f t="shared" si="106"/>
        <v>0</v>
      </c>
      <c r="J204" s="39">
        <f t="shared" si="106"/>
        <v>0</v>
      </c>
      <c r="K204" s="45">
        <f t="shared" si="106"/>
        <v>0</v>
      </c>
      <c r="L204" s="144">
        <f t="shared" si="106"/>
        <v>9</v>
      </c>
      <c r="M204" s="50">
        <f t="shared" si="106"/>
        <v>19</v>
      </c>
      <c r="N204" s="40">
        <f t="shared" si="80"/>
        <v>1397</v>
      </c>
      <c r="O204" s="43">
        <f t="shared" si="81"/>
        <v>1979</v>
      </c>
    </row>
    <row r="205" spans="1:15" ht="22.95" customHeight="1" x14ac:dyDescent="0.3">
      <c r="A205" s="52" t="s">
        <v>68</v>
      </c>
      <c r="B205" s="44">
        <f t="shared" ref="B205:M205" si="107">B99+B100+B101+B102</f>
        <v>701</v>
      </c>
      <c r="C205" s="39">
        <f t="shared" si="107"/>
        <v>465</v>
      </c>
      <c r="D205" s="39">
        <f t="shared" si="107"/>
        <v>81</v>
      </c>
      <c r="E205" s="39">
        <f t="shared" si="107"/>
        <v>75</v>
      </c>
      <c r="F205" s="39">
        <f t="shared" si="107"/>
        <v>159</v>
      </c>
      <c r="G205" s="50">
        <f t="shared" si="107"/>
        <v>1481</v>
      </c>
      <c r="H205" s="44">
        <f t="shared" si="107"/>
        <v>13</v>
      </c>
      <c r="I205" s="39">
        <f t="shared" si="107"/>
        <v>0</v>
      </c>
      <c r="J205" s="39">
        <f t="shared" si="107"/>
        <v>0</v>
      </c>
      <c r="K205" s="45">
        <f t="shared" si="107"/>
        <v>0</v>
      </c>
      <c r="L205" s="144">
        <f t="shared" si="107"/>
        <v>14</v>
      </c>
      <c r="M205" s="50">
        <f t="shared" si="107"/>
        <v>27</v>
      </c>
      <c r="N205" s="40">
        <f t="shared" si="80"/>
        <v>1508</v>
      </c>
      <c r="O205" s="43">
        <f t="shared" si="81"/>
        <v>2114</v>
      </c>
    </row>
    <row r="206" spans="1:15" ht="22.95" customHeight="1" thickBot="1" x14ac:dyDescent="0.35">
      <c r="A206" s="52" t="s">
        <v>69</v>
      </c>
      <c r="B206" s="46">
        <f t="shared" ref="B206:M206" si="108">B100+B101+B102+B103</f>
        <v>752</v>
      </c>
      <c r="C206" s="47">
        <f t="shared" si="108"/>
        <v>496</v>
      </c>
      <c r="D206" s="47">
        <f t="shared" si="108"/>
        <v>89</v>
      </c>
      <c r="E206" s="47">
        <f t="shared" si="108"/>
        <v>68</v>
      </c>
      <c r="F206" s="47">
        <f t="shared" si="108"/>
        <v>150</v>
      </c>
      <c r="G206" s="50">
        <f t="shared" si="108"/>
        <v>1555</v>
      </c>
      <c r="H206" s="44">
        <f t="shared" si="108"/>
        <v>17</v>
      </c>
      <c r="I206" s="39">
        <f t="shared" si="108"/>
        <v>0</v>
      </c>
      <c r="J206" s="39">
        <f t="shared" si="108"/>
        <v>0</v>
      </c>
      <c r="K206" s="45">
        <f t="shared" si="108"/>
        <v>0</v>
      </c>
      <c r="L206" s="145">
        <f t="shared" si="108"/>
        <v>15</v>
      </c>
      <c r="M206" s="50">
        <f t="shared" si="108"/>
        <v>32</v>
      </c>
      <c r="N206" s="40">
        <f t="shared" si="80"/>
        <v>1587</v>
      </c>
      <c r="O206" s="43">
        <f t="shared" si="81"/>
        <v>2141</v>
      </c>
    </row>
  </sheetData>
  <mergeCells count="31">
    <mergeCell ref="M112:M113"/>
    <mergeCell ref="N112:N113"/>
    <mergeCell ref="O112:O113"/>
    <mergeCell ref="D6:D7"/>
    <mergeCell ref="K6:K7"/>
    <mergeCell ref="M6:M7"/>
    <mergeCell ref="N6:N7"/>
    <mergeCell ref="I112:I113"/>
    <mergeCell ref="J112:J113"/>
    <mergeCell ref="L112:L113"/>
    <mergeCell ref="K112:K113"/>
    <mergeCell ref="A1:J1"/>
    <mergeCell ref="A6:A7"/>
    <mergeCell ref="B6:B7"/>
    <mergeCell ref="C6:C7"/>
    <mergeCell ref="O6:O7"/>
    <mergeCell ref="I6:I7"/>
    <mergeCell ref="J6:J7"/>
    <mergeCell ref="L6:L7"/>
    <mergeCell ref="A112:A113"/>
    <mergeCell ref="H6:H7"/>
    <mergeCell ref="H112:H113"/>
    <mergeCell ref="E6:E7"/>
    <mergeCell ref="G6:G7"/>
    <mergeCell ref="F112:F113"/>
    <mergeCell ref="G112:G113"/>
    <mergeCell ref="B112:B113"/>
    <mergeCell ref="C112:C113"/>
    <mergeCell ref="F6:F7"/>
    <mergeCell ref="D112:D113"/>
    <mergeCell ref="E112:E113"/>
  </mergeCells>
  <pageMargins left="0.7" right="0.7" top="0.75" bottom="0.75" header="0.3" footer="0.3"/>
  <pageSetup paperSize="9" scale="28" orientation="portrait" r:id="rId1"/>
  <rowBreaks count="1" manualBreakCount="1">
    <brk id="106" max="16383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206"/>
  <sheetViews>
    <sheetView view="pageBreakPreview" topLeftCell="A43" zoomScale="55" zoomScaleNormal="70" zoomScaleSheetLayoutView="55" workbookViewId="0">
      <selection activeCell="F49" sqref="F49"/>
    </sheetView>
  </sheetViews>
  <sheetFormatPr defaultColWidth="9" defaultRowHeight="15.6" x14ac:dyDescent="0.3"/>
  <cols>
    <col min="1" max="1" width="21.59765625" customWidth="1"/>
    <col min="2" max="7" width="11.69921875" customWidth="1"/>
    <col min="8" max="8" width="7.3984375" bestFit="1" customWidth="1"/>
    <col min="9" max="15" width="11.69921875" customWidth="1"/>
  </cols>
  <sheetData>
    <row r="1" spans="1:15" x14ac:dyDescent="0.3">
      <c r="A1" s="247" t="s">
        <v>99</v>
      </c>
      <c r="B1" s="247"/>
      <c r="C1" s="247"/>
      <c r="D1" s="247"/>
      <c r="E1" s="247"/>
      <c r="F1" s="247"/>
      <c r="G1" s="247"/>
      <c r="H1" s="247"/>
      <c r="I1" s="247"/>
    </row>
    <row r="2" spans="1:15" s="4" customFormat="1" x14ac:dyDescent="0.3">
      <c r="A2" s="4" t="s">
        <v>103</v>
      </c>
      <c r="B2" s="4" t="str">
        <f>Summary!B2</f>
        <v>TMC-14 Number (D2)</v>
      </c>
    </row>
    <row r="3" spans="1:15" s="4" customFormat="1" x14ac:dyDescent="0.3">
      <c r="A3" s="4" t="s">
        <v>102</v>
      </c>
      <c r="B3" s="4" t="str">
        <f>Summary!B3</f>
        <v>D2</v>
      </c>
    </row>
    <row r="4" spans="1:15" s="4" customFormat="1" x14ac:dyDescent="0.3">
      <c r="A4" s="4" t="s">
        <v>104</v>
      </c>
      <c r="B4" s="4" t="s">
        <v>97</v>
      </c>
    </row>
    <row r="5" spans="1:15" ht="16.2" thickBot="1" x14ac:dyDescent="0.35"/>
    <row r="6" spans="1:15" ht="25.2" customHeight="1" x14ac:dyDescent="0.3">
      <c r="A6" s="252" t="s">
        <v>95</v>
      </c>
      <c r="B6" s="258" t="s">
        <v>280</v>
      </c>
      <c r="C6" s="254" t="s">
        <v>281</v>
      </c>
      <c r="D6" s="250" t="s">
        <v>282</v>
      </c>
      <c r="E6" s="260" t="s">
        <v>283</v>
      </c>
      <c r="F6" s="256" t="s">
        <v>284</v>
      </c>
      <c r="G6" s="250" t="s">
        <v>129</v>
      </c>
      <c r="H6" s="248" t="s">
        <v>150</v>
      </c>
      <c r="I6" s="250" t="s">
        <v>151</v>
      </c>
      <c r="J6" s="250" t="s">
        <v>285</v>
      </c>
      <c r="K6" s="248" t="s">
        <v>286</v>
      </c>
      <c r="L6" s="250" t="s">
        <v>287</v>
      </c>
      <c r="M6" s="250" t="s">
        <v>78</v>
      </c>
      <c r="N6" s="250" t="s">
        <v>131</v>
      </c>
      <c r="O6" s="250" t="s">
        <v>132</v>
      </c>
    </row>
    <row r="7" spans="1:15" ht="55.5" customHeight="1" thickBot="1" x14ac:dyDescent="0.35">
      <c r="A7" s="253"/>
      <c r="B7" s="259"/>
      <c r="C7" s="255"/>
      <c r="D7" s="251"/>
      <c r="E7" s="261"/>
      <c r="F7" s="257"/>
      <c r="G7" s="259"/>
      <c r="H7" s="249"/>
      <c r="I7" s="251"/>
      <c r="J7" s="251"/>
      <c r="K7" s="249"/>
      <c r="L7" s="251"/>
      <c r="M7" s="251"/>
      <c r="N7" s="251"/>
      <c r="O7" s="251"/>
    </row>
    <row r="8" spans="1:15" ht="22.5" customHeight="1" x14ac:dyDescent="0.3">
      <c r="A8" s="148" t="s">
        <v>177</v>
      </c>
      <c r="B8" s="112">
        <f>IN_1!B8+IN_2!B8+IN_3!B8+IN_4!B8</f>
        <v>867</v>
      </c>
      <c r="C8" s="113">
        <f>IN_1!C8+IN_2!C8+IN_3!C8+IN_4!C8</f>
        <v>733</v>
      </c>
      <c r="D8" s="113">
        <f>IN_1!D8+IN_2!D8+IN_3!D8+IN_4!D8</f>
        <v>54</v>
      </c>
      <c r="E8" s="113">
        <f>IN_1!E8+IN_2!E8+IN_3!E8+IN_4!E8</f>
        <v>52</v>
      </c>
      <c r="F8" s="151">
        <f>IN_1!F8+IN_2!F8+IN_3!F8+IN_4!F8</f>
        <v>90</v>
      </c>
      <c r="G8" s="79">
        <f t="shared" ref="G8:G39" si="0">SUM(B8:F8)</f>
        <v>1796</v>
      </c>
      <c r="H8" s="112">
        <f>IN_1!H8+IN_2!H8+IN_3!H8+IN_4!H8</f>
        <v>6</v>
      </c>
      <c r="I8" s="113">
        <f>IN_1!I8+IN_2!I8+IN_3!I8+IN_4!I8</f>
        <v>0</v>
      </c>
      <c r="J8" s="113">
        <f>IN_1!J8+IN_2!J8+IN_3!J8+IN_4!J8</f>
        <v>0</v>
      </c>
      <c r="K8" s="114">
        <f>IN_1!K8+IN_2!K8+IN_3!K8+IN_4!K8</f>
        <v>0</v>
      </c>
      <c r="L8" s="139">
        <f>IN_1!L8+IN_2!L8+IN_3!L8+IN_4!L8</f>
        <v>28</v>
      </c>
      <c r="M8" s="148">
        <f>SUM(H8:L8)</f>
        <v>34</v>
      </c>
      <c r="N8" s="43">
        <f>G8+M8</f>
        <v>1830</v>
      </c>
      <c r="O8" s="115">
        <f>B8*1+C8*0.5+D8*1.5+E8*3+F8*4.5+H8*0.5+I8*1.5+J8*3+K8*4+L8*8</f>
        <v>2102.5</v>
      </c>
    </row>
    <row r="9" spans="1:15" ht="22.5" customHeight="1" x14ac:dyDescent="0.3">
      <c r="A9" s="149" t="s">
        <v>178</v>
      </c>
      <c r="B9" s="44">
        <f>IN_1!B9+IN_2!B9+IN_3!B9+IN_4!B9</f>
        <v>888</v>
      </c>
      <c r="C9" s="39">
        <f>IN_1!C9+IN_2!C9+IN_3!C9+IN_4!C9</f>
        <v>826</v>
      </c>
      <c r="D9" s="39">
        <f>IN_1!D9+IN_2!D9+IN_3!D9+IN_4!D9</f>
        <v>64</v>
      </c>
      <c r="E9" s="39">
        <f>IN_1!E9+IN_2!E9+IN_3!E9+IN_4!E9</f>
        <v>46</v>
      </c>
      <c r="F9" s="152">
        <f>IN_1!F9+IN_2!F9+IN_3!F9+IN_4!F9</f>
        <v>79</v>
      </c>
      <c r="G9" s="154">
        <f t="shared" si="0"/>
        <v>1903</v>
      </c>
      <c r="H9" s="44">
        <f>IN_1!H9+IN_2!H9+IN_3!H9+IN_4!H9</f>
        <v>9</v>
      </c>
      <c r="I9" s="39">
        <f>IN_1!I9+IN_2!I9+IN_3!I9+IN_4!I9</f>
        <v>1</v>
      </c>
      <c r="J9" s="39">
        <f>IN_1!J9+IN_2!J9+IN_3!J9+IN_4!J9</f>
        <v>0</v>
      </c>
      <c r="K9" s="45">
        <f>IN_1!K9+IN_2!K9+IN_3!K9+IN_4!K9</f>
        <v>0</v>
      </c>
      <c r="L9" s="140">
        <f>IN_1!L9+IN_2!L9+IN_3!L9+IN_4!L9</f>
        <v>24</v>
      </c>
      <c r="M9" s="149">
        <f t="shared" ref="M9:M72" si="1">SUM(H9:L9)</f>
        <v>34</v>
      </c>
      <c r="N9" s="100">
        <f t="shared" ref="N9:N72" si="2">G9+M9</f>
        <v>1937</v>
      </c>
      <c r="O9" s="43">
        <f t="shared" ref="O9:O72" si="3">B9*1+C9*0.5+D9*1.5+E9*3+F9*4.5+H9*0.5+I9*1.5+J9*3+K9*4+L9*8</f>
        <v>2088.5</v>
      </c>
    </row>
    <row r="10" spans="1:15" ht="22.5" customHeight="1" x14ac:dyDescent="0.3">
      <c r="A10" s="149" t="s">
        <v>179</v>
      </c>
      <c r="B10" s="44">
        <f>IN_1!B10+IN_2!B10+IN_3!B10+IN_4!B10</f>
        <v>950</v>
      </c>
      <c r="C10" s="39">
        <f>IN_1!C10+IN_2!C10+IN_3!C10+IN_4!C10</f>
        <v>984</v>
      </c>
      <c r="D10" s="39">
        <f>IN_1!D10+IN_2!D10+IN_3!D10+IN_4!D10</f>
        <v>69</v>
      </c>
      <c r="E10" s="39">
        <f>IN_1!E10+IN_2!E10+IN_3!E10+IN_4!E10</f>
        <v>50</v>
      </c>
      <c r="F10" s="152">
        <f>IN_1!F10+IN_2!F10+IN_3!F10+IN_4!F10</f>
        <v>77</v>
      </c>
      <c r="G10" s="154">
        <f t="shared" si="0"/>
        <v>2130</v>
      </c>
      <c r="H10" s="44">
        <f>IN_1!H10+IN_2!H10+IN_3!H10+IN_4!H10</f>
        <v>7</v>
      </c>
      <c r="I10" s="39">
        <f>IN_1!I10+IN_2!I10+IN_3!I10+IN_4!I10</f>
        <v>0</v>
      </c>
      <c r="J10" s="39">
        <f>IN_1!J10+IN_2!J10+IN_3!J10+IN_4!J10</f>
        <v>0</v>
      </c>
      <c r="K10" s="45">
        <f>IN_1!K10+IN_2!K10+IN_3!K10+IN_4!K10</f>
        <v>0</v>
      </c>
      <c r="L10" s="140">
        <f>IN_1!L10+IN_2!L10+IN_3!L10+IN_4!L10</f>
        <v>24</v>
      </c>
      <c r="M10" s="149">
        <f t="shared" si="1"/>
        <v>31</v>
      </c>
      <c r="N10" s="100">
        <f t="shared" si="2"/>
        <v>2161</v>
      </c>
      <c r="O10" s="43">
        <f t="shared" si="3"/>
        <v>2237.5</v>
      </c>
    </row>
    <row r="11" spans="1:15" ht="22.5" customHeight="1" x14ac:dyDescent="0.3">
      <c r="A11" s="149" t="s">
        <v>180</v>
      </c>
      <c r="B11" s="44">
        <f>IN_1!B11+IN_2!B11+IN_3!B11+IN_4!B11</f>
        <v>1005</v>
      </c>
      <c r="C11" s="39">
        <f>IN_1!C11+IN_2!C11+IN_3!C11+IN_4!C11</f>
        <v>1055</v>
      </c>
      <c r="D11" s="39">
        <f>IN_1!D11+IN_2!D11+IN_3!D11+IN_4!D11</f>
        <v>54</v>
      </c>
      <c r="E11" s="39">
        <f>IN_1!E11+IN_2!E11+IN_3!E11+IN_4!E11</f>
        <v>37</v>
      </c>
      <c r="F11" s="152">
        <f>IN_1!F11+IN_2!F11+IN_3!F11+IN_4!F11</f>
        <v>68</v>
      </c>
      <c r="G11" s="154">
        <f t="shared" si="0"/>
        <v>2219</v>
      </c>
      <c r="H11" s="44">
        <f>IN_1!H11+IN_2!H11+IN_3!H11+IN_4!H11</f>
        <v>7</v>
      </c>
      <c r="I11" s="39">
        <f>IN_1!I11+IN_2!I11+IN_3!I11+IN_4!I11</f>
        <v>0</v>
      </c>
      <c r="J11" s="39">
        <f>IN_1!J11+IN_2!J11+IN_3!J11+IN_4!J11</f>
        <v>0</v>
      </c>
      <c r="K11" s="45">
        <f>IN_1!K11+IN_2!K11+IN_3!K11+IN_4!K11</f>
        <v>0</v>
      </c>
      <c r="L11" s="140">
        <f>IN_1!L11+IN_2!L11+IN_3!L11+IN_4!L11</f>
        <v>26</v>
      </c>
      <c r="M11" s="149">
        <f t="shared" si="1"/>
        <v>33</v>
      </c>
      <c r="N11" s="100">
        <f t="shared" si="2"/>
        <v>2252</v>
      </c>
      <c r="O11" s="43">
        <f t="shared" si="3"/>
        <v>2242</v>
      </c>
    </row>
    <row r="12" spans="1:15" ht="22.5" customHeight="1" x14ac:dyDescent="0.3">
      <c r="A12" s="149" t="s">
        <v>181</v>
      </c>
      <c r="B12" s="44">
        <f>IN_1!B12+IN_2!B12+IN_3!B12+IN_4!B12</f>
        <v>1106</v>
      </c>
      <c r="C12" s="39">
        <f>IN_1!C12+IN_2!C12+IN_3!C12+IN_4!C12</f>
        <v>1057</v>
      </c>
      <c r="D12" s="39">
        <f>IN_1!D12+IN_2!D12+IN_3!D12+IN_4!D12</f>
        <v>53</v>
      </c>
      <c r="E12" s="39">
        <f>IN_1!E12+IN_2!E12+IN_3!E12+IN_4!E12</f>
        <v>38</v>
      </c>
      <c r="F12" s="152">
        <f>IN_1!F12+IN_2!F12+IN_3!F12+IN_4!F12</f>
        <v>91</v>
      </c>
      <c r="G12" s="154">
        <f t="shared" si="0"/>
        <v>2345</v>
      </c>
      <c r="H12" s="44">
        <f>IN_1!H12+IN_2!H12+IN_3!H12+IN_4!H12</f>
        <v>7</v>
      </c>
      <c r="I12" s="39">
        <f>IN_1!I12+IN_2!I12+IN_3!I12+IN_4!I12</f>
        <v>0</v>
      </c>
      <c r="J12" s="39">
        <f>IN_1!J12+IN_2!J12+IN_3!J12+IN_4!J12</f>
        <v>0</v>
      </c>
      <c r="K12" s="45">
        <f>IN_1!K12+IN_2!K12+IN_3!K12+IN_4!K12</f>
        <v>0</v>
      </c>
      <c r="L12" s="140">
        <f>IN_1!L12+IN_2!L12+IN_3!L12+IN_4!L12</f>
        <v>37</v>
      </c>
      <c r="M12" s="149">
        <f t="shared" si="1"/>
        <v>44</v>
      </c>
      <c r="N12" s="100">
        <f t="shared" si="2"/>
        <v>2389</v>
      </c>
      <c r="O12" s="43">
        <f t="shared" si="3"/>
        <v>2537</v>
      </c>
    </row>
    <row r="13" spans="1:15" ht="22.5" customHeight="1" x14ac:dyDescent="0.3">
      <c r="A13" s="149" t="s">
        <v>182</v>
      </c>
      <c r="B13" s="44">
        <f>IN_1!B13+IN_2!B13+IN_3!B13+IN_4!B13</f>
        <v>1089</v>
      </c>
      <c r="C13" s="39">
        <f>IN_1!C13+IN_2!C13+IN_3!C13+IN_4!C13</f>
        <v>1061</v>
      </c>
      <c r="D13" s="39">
        <f>IN_1!D13+IN_2!D13+IN_3!D13+IN_4!D13</f>
        <v>52</v>
      </c>
      <c r="E13" s="39">
        <f>IN_1!E13+IN_2!E13+IN_3!E13+IN_4!E13</f>
        <v>35</v>
      </c>
      <c r="F13" s="152">
        <f>IN_1!F13+IN_2!F13+IN_3!F13+IN_4!F13</f>
        <v>48</v>
      </c>
      <c r="G13" s="154">
        <f t="shared" si="0"/>
        <v>2285</v>
      </c>
      <c r="H13" s="44">
        <f>IN_1!H13+IN_2!H13+IN_3!H13+IN_4!H13</f>
        <v>5</v>
      </c>
      <c r="I13" s="39">
        <f>IN_1!I13+IN_2!I13+IN_3!I13+IN_4!I13</f>
        <v>0</v>
      </c>
      <c r="J13" s="39">
        <f>IN_1!J13+IN_2!J13+IN_3!J13+IN_4!J13</f>
        <v>0</v>
      </c>
      <c r="K13" s="45">
        <f>IN_1!K13+IN_2!K13+IN_3!K13+IN_4!K13</f>
        <v>0</v>
      </c>
      <c r="L13" s="140">
        <f>IN_1!L13+IN_2!L13+IN_3!L13+IN_4!L13</f>
        <v>28</v>
      </c>
      <c r="M13" s="149">
        <f t="shared" si="1"/>
        <v>33</v>
      </c>
      <c r="N13" s="100">
        <f t="shared" si="2"/>
        <v>2318</v>
      </c>
      <c r="O13" s="43">
        <f t="shared" si="3"/>
        <v>2245</v>
      </c>
    </row>
    <row r="14" spans="1:15" ht="22.5" customHeight="1" x14ac:dyDescent="0.3">
      <c r="A14" s="183" t="s">
        <v>183</v>
      </c>
      <c r="B14" s="122">
        <f>IN_1!B14+IN_2!B14+IN_3!B14+IN_4!B14</f>
        <v>1272</v>
      </c>
      <c r="C14" s="123">
        <f>IN_1!C14+IN_2!C14+IN_3!C14+IN_4!C14</f>
        <v>1273</v>
      </c>
      <c r="D14" s="123">
        <f>IN_1!D14+IN_2!D14+IN_3!D14+IN_4!D14</f>
        <v>80</v>
      </c>
      <c r="E14" s="123">
        <f>IN_1!E14+IN_2!E14+IN_3!E14+IN_4!E14</f>
        <v>43</v>
      </c>
      <c r="F14" s="184">
        <f>IN_1!F14+IN_2!F14+IN_3!F14+IN_4!F14</f>
        <v>80</v>
      </c>
      <c r="G14" s="185">
        <f t="shared" si="0"/>
        <v>2748</v>
      </c>
      <c r="H14" s="122">
        <f>IN_1!H14+IN_2!H14+IN_3!H14+IN_4!H14</f>
        <v>5</v>
      </c>
      <c r="I14" s="123">
        <f>IN_1!I14+IN_2!I14+IN_3!I14+IN_4!I14</f>
        <v>0</v>
      </c>
      <c r="J14" s="123">
        <f>IN_1!J14+IN_2!J14+IN_3!J14+IN_4!J14</f>
        <v>0</v>
      </c>
      <c r="K14" s="124">
        <f>IN_1!K14+IN_2!K14+IN_3!K14+IN_4!K14</f>
        <v>0</v>
      </c>
      <c r="L14" s="186">
        <f>IN_1!L14+IN_2!L14+IN_3!L14+IN_4!L14</f>
        <v>31</v>
      </c>
      <c r="M14" s="183">
        <f t="shared" si="1"/>
        <v>36</v>
      </c>
      <c r="N14" s="187">
        <f t="shared" si="2"/>
        <v>2784</v>
      </c>
      <c r="O14" s="127">
        <f t="shared" si="3"/>
        <v>2768</v>
      </c>
    </row>
    <row r="15" spans="1:15" ht="22.5" customHeight="1" x14ac:dyDescent="0.3">
      <c r="A15" s="183" t="s">
        <v>184</v>
      </c>
      <c r="B15" s="122">
        <f>IN_1!B15+IN_2!B15+IN_3!B15+IN_4!B15</f>
        <v>1306</v>
      </c>
      <c r="C15" s="123">
        <f>IN_1!C15+IN_2!C15+IN_3!C15+IN_4!C15</f>
        <v>1023</v>
      </c>
      <c r="D15" s="123">
        <f>IN_1!D15+IN_2!D15+IN_3!D15+IN_4!D15</f>
        <v>84</v>
      </c>
      <c r="E15" s="123">
        <f>IN_1!E15+IN_2!E15+IN_3!E15+IN_4!E15</f>
        <v>51</v>
      </c>
      <c r="F15" s="184">
        <f>IN_1!F15+IN_2!F15+IN_3!F15+IN_4!F15</f>
        <v>64</v>
      </c>
      <c r="G15" s="185">
        <f t="shared" si="0"/>
        <v>2528</v>
      </c>
      <c r="H15" s="122">
        <f>IN_1!H15+IN_2!H15+IN_3!H15+IN_4!H15</f>
        <v>0</v>
      </c>
      <c r="I15" s="123">
        <f>IN_1!I15+IN_2!I15+IN_3!I15+IN_4!I15</f>
        <v>0</v>
      </c>
      <c r="J15" s="123">
        <f>IN_1!J15+IN_2!J15+IN_3!J15+IN_4!J15</f>
        <v>0</v>
      </c>
      <c r="K15" s="124">
        <f>IN_1!K15+IN_2!K15+IN_3!K15+IN_4!K15</f>
        <v>0</v>
      </c>
      <c r="L15" s="186">
        <f>IN_1!L15+IN_2!L15+IN_3!L15+IN_4!L15</f>
        <v>13</v>
      </c>
      <c r="M15" s="183">
        <f t="shared" si="1"/>
        <v>13</v>
      </c>
      <c r="N15" s="187">
        <f t="shared" si="2"/>
        <v>2541</v>
      </c>
      <c r="O15" s="127">
        <f t="shared" si="3"/>
        <v>2488.5</v>
      </c>
    </row>
    <row r="16" spans="1:15" ht="22.5" customHeight="1" x14ac:dyDescent="0.3">
      <c r="A16" s="183" t="s">
        <v>185</v>
      </c>
      <c r="B16" s="122">
        <f>IN_1!B16+IN_2!B16+IN_3!B16+IN_4!B16</f>
        <v>1267</v>
      </c>
      <c r="C16" s="123">
        <f>IN_1!C16+IN_2!C16+IN_3!C16+IN_4!C16</f>
        <v>1017</v>
      </c>
      <c r="D16" s="123">
        <f>IN_1!D16+IN_2!D16+IN_3!D16+IN_4!D16</f>
        <v>76</v>
      </c>
      <c r="E16" s="123">
        <f>IN_1!E16+IN_2!E16+IN_3!E16+IN_4!E16</f>
        <v>44</v>
      </c>
      <c r="F16" s="184">
        <f>IN_1!F16+IN_2!F16+IN_3!F16+IN_4!F16</f>
        <v>89</v>
      </c>
      <c r="G16" s="185">
        <f t="shared" si="0"/>
        <v>2493</v>
      </c>
      <c r="H16" s="122">
        <f>IN_1!H16+IN_2!H16+IN_3!H16+IN_4!H16</f>
        <v>5</v>
      </c>
      <c r="I16" s="123">
        <f>IN_1!I16+IN_2!I16+IN_3!I16+IN_4!I16</f>
        <v>0</v>
      </c>
      <c r="J16" s="123">
        <f>IN_1!J16+IN_2!J16+IN_3!J16+IN_4!J16</f>
        <v>0</v>
      </c>
      <c r="K16" s="124">
        <f>IN_1!K16+IN_2!K16+IN_3!K16+IN_4!K16</f>
        <v>0</v>
      </c>
      <c r="L16" s="186">
        <f>IN_1!L16+IN_2!L16+IN_3!L16+IN_4!L16</f>
        <v>20</v>
      </c>
      <c r="M16" s="183">
        <f t="shared" si="1"/>
        <v>25</v>
      </c>
      <c r="N16" s="187">
        <f t="shared" si="2"/>
        <v>2518</v>
      </c>
      <c r="O16" s="127">
        <f t="shared" si="3"/>
        <v>2584.5</v>
      </c>
    </row>
    <row r="17" spans="1:15" ht="22.5" customHeight="1" x14ac:dyDescent="0.3">
      <c r="A17" s="183" t="s">
        <v>186</v>
      </c>
      <c r="B17" s="122">
        <f>IN_1!B17+IN_2!B17+IN_3!B17+IN_4!B17</f>
        <v>1267</v>
      </c>
      <c r="C17" s="123">
        <f>IN_1!C17+IN_2!C17+IN_3!C17+IN_4!C17</f>
        <v>876</v>
      </c>
      <c r="D17" s="123">
        <f>IN_1!D17+IN_2!D17+IN_3!D17+IN_4!D17</f>
        <v>78</v>
      </c>
      <c r="E17" s="123">
        <f>IN_1!E17+IN_2!E17+IN_3!E17+IN_4!E17</f>
        <v>45</v>
      </c>
      <c r="F17" s="184">
        <f>IN_1!F17+IN_2!F17+IN_3!F17+IN_4!F17</f>
        <v>84</v>
      </c>
      <c r="G17" s="185">
        <f t="shared" si="0"/>
        <v>2350</v>
      </c>
      <c r="H17" s="122">
        <f>IN_1!H17+IN_2!H17+IN_3!H17+IN_4!H17</f>
        <v>0</v>
      </c>
      <c r="I17" s="123">
        <f>IN_1!I17+IN_2!I17+IN_3!I17+IN_4!I17</f>
        <v>0</v>
      </c>
      <c r="J17" s="123">
        <f>IN_1!J17+IN_2!J17+IN_3!J17+IN_4!J17</f>
        <v>0</v>
      </c>
      <c r="K17" s="124">
        <f>IN_1!K17+IN_2!K17+IN_3!K17+IN_4!K17</f>
        <v>0</v>
      </c>
      <c r="L17" s="186">
        <f>IN_1!L17+IN_2!L17+IN_3!L17+IN_4!L17</f>
        <v>14</v>
      </c>
      <c r="M17" s="183">
        <f t="shared" si="1"/>
        <v>14</v>
      </c>
      <c r="N17" s="187">
        <f t="shared" si="2"/>
        <v>2364</v>
      </c>
      <c r="O17" s="127">
        <f t="shared" si="3"/>
        <v>2447</v>
      </c>
    </row>
    <row r="18" spans="1:15" ht="22.5" customHeight="1" x14ac:dyDescent="0.3">
      <c r="A18" s="149" t="s">
        <v>187</v>
      </c>
      <c r="B18" s="44">
        <f>IN_1!B18+IN_2!B18+IN_3!B18+IN_4!B18</f>
        <v>1278</v>
      </c>
      <c r="C18" s="39">
        <f>IN_1!C18+IN_2!C18+IN_3!C18+IN_4!C18</f>
        <v>689</v>
      </c>
      <c r="D18" s="39">
        <f>IN_1!D18+IN_2!D18+IN_3!D18+IN_4!D18</f>
        <v>78</v>
      </c>
      <c r="E18" s="39">
        <f>IN_1!E18+IN_2!E18+IN_3!E18+IN_4!E18</f>
        <v>53</v>
      </c>
      <c r="F18" s="152">
        <f>IN_1!F18+IN_2!F18+IN_3!F18+IN_4!F18</f>
        <v>79</v>
      </c>
      <c r="G18" s="154">
        <f t="shared" si="0"/>
        <v>2177</v>
      </c>
      <c r="H18" s="44">
        <f>IN_1!H18+IN_2!H18+IN_3!H18+IN_4!H18</f>
        <v>1</v>
      </c>
      <c r="I18" s="39">
        <f>IN_1!I18+IN_2!I18+IN_3!I18+IN_4!I18</f>
        <v>0</v>
      </c>
      <c r="J18" s="39">
        <f>IN_1!J18+IN_2!J18+IN_3!J18+IN_4!J18</f>
        <v>0</v>
      </c>
      <c r="K18" s="45">
        <f>IN_1!K18+IN_2!K18+IN_3!K18+IN_4!K18</f>
        <v>0</v>
      </c>
      <c r="L18" s="140">
        <f>IN_1!L18+IN_2!L18+IN_3!L18+IN_4!L18</f>
        <v>14</v>
      </c>
      <c r="M18" s="149">
        <f t="shared" si="1"/>
        <v>15</v>
      </c>
      <c r="N18" s="100">
        <f t="shared" si="2"/>
        <v>2192</v>
      </c>
      <c r="O18" s="43">
        <f t="shared" si="3"/>
        <v>2366.5</v>
      </c>
    </row>
    <row r="19" spans="1:15" ht="22.5" customHeight="1" x14ac:dyDescent="0.3">
      <c r="A19" s="149" t="s">
        <v>188</v>
      </c>
      <c r="B19" s="44">
        <f>IN_1!B19+IN_2!B19+IN_3!B19+IN_4!B19</f>
        <v>1261</v>
      </c>
      <c r="C19" s="39">
        <f>IN_1!C19+IN_2!C19+IN_3!C19+IN_4!C19</f>
        <v>713</v>
      </c>
      <c r="D19" s="39">
        <f>IN_1!D19+IN_2!D19+IN_3!D19+IN_4!D19</f>
        <v>87</v>
      </c>
      <c r="E19" s="39">
        <f>IN_1!E19+IN_2!E19+IN_3!E19+IN_4!E19</f>
        <v>42</v>
      </c>
      <c r="F19" s="152">
        <f>IN_1!F19+IN_2!F19+IN_3!F19+IN_4!F19</f>
        <v>77</v>
      </c>
      <c r="G19" s="154">
        <f t="shared" si="0"/>
        <v>2180</v>
      </c>
      <c r="H19" s="44">
        <f>IN_1!H19+IN_2!H19+IN_3!H19+IN_4!H19</f>
        <v>0</v>
      </c>
      <c r="I19" s="39">
        <f>IN_1!I19+IN_2!I19+IN_3!I19+IN_4!I19</f>
        <v>0</v>
      </c>
      <c r="J19" s="39">
        <f>IN_1!J19+IN_2!J19+IN_3!J19+IN_4!J19</f>
        <v>0</v>
      </c>
      <c r="K19" s="45">
        <f>IN_1!K19+IN_2!K19+IN_3!K19+IN_4!K19</f>
        <v>0</v>
      </c>
      <c r="L19" s="140">
        <f>IN_1!L19+IN_2!L19+IN_3!L19+IN_4!L19</f>
        <v>17</v>
      </c>
      <c r="M19" s="149">
        <f t="shared" si="1"/>
        <v>17</v>
      </c>
      <c r="N19" s="100">
        <f t="shared" si="2"/>
        <v>2197</v>
      </c>
      <c r="O19" s="43">
        <f t="shared" si="3"/>
        <v>2356.5</v>
      </c>
    </row>
    <row r="20" spans="1:15" ht="22.5" customHeight="1" x14ac:dyDescent="0.3">
      <c r="A20" s="149" t="s">
        <v>189</v>
      </c>
      <c r="B20" s="44">
        <f>IN_1!B20+IN_2!B20+IN_3!B20+IN_4!B20</f>
        <v>1218</v>
      </c>
      <c r="C20" s="39">
        <f>IN_1!C20+IN_2!C20+IN_3!C20+IN_4!C20</f>
        <v>641</v>
      </c>
      <c r="D20" s="39">
        <f>IN_1!D20+IN_2!D20+IN_3!D20+IN_4!D20</f>
        <v>55</v>
      </c>
      <c r="E20" s="39">
        <f>IN_1!E20+IN_2!E20+IN_3!E20+IN_4!E20</f>
        <v>52</v>
      </c>
      <c r="F20" s="152">
        <f>IN_1!F20+IN_2!F20+IN_3!F20+IN_4!F20</f>
        <v>83</v>
      </c>
      <c r="G20" s="154">
        <f t="shared" si="0"/>
        <v>2049</v>
      </c>
      <c r="H20" s="44">
        <f>IN_1!H20+IN_2!H20+IN_3!H20+IN_4!H20</f>
        <v>0</v>
      </c>
      <c r="I20" s="39">
        <f>IN_1!I20+IN_2!I20+IN_3!I20+IN_4!I20</f>
        <v>0</v>
      </c>
      <c r="J20" s="39">
        <f>IN_1!J20+IN_2!J20+IN_3!J20+IN_4!J20</f>
        <v>0</v>
      </c>
      <c r="K20" s="45">
        <f>IN_1!K20+IN_2!K20+IN_3!K20+IN_4!K20</f>
        <v>0</v>
      </c>
      <c r="L20" s="140">
        <f>IN_1!L20+IN_2!L20+IN_3!L20+IN_4!L20</f>
        <v>15</v>
      </c>
      <c r="M20" s="149">
        <f t="shared" si="1"/>
        <v>15</v>
      </c>
      <c r="N20" s="100">
        <f t="shared" si="2"/>
        <v>2064</v>
      </c>
      <c r="O20" s="43">
        <f t="shared" si="3"/>
        <v>2270.5</v>
      </c>
    </row>
    <row r="21" spans="1:15" ht="22.5" customHeight="1" x14ac:dyDescent="0.3">
      <c r="A21" s="149" t="s">
        <v>190</v>
      </c>
      <c r="B21" s="44">
        <f>IN_1!B21+IN_2!B21+IN_3!B21+IN_4!B21</f>
        <v>1378</v>
      </c>
      <c r="C21" s="39">
        <f>IN_1!C21+IN_2!C21+IN_3!C21+IN_4!C21</f>
        <v>824</v>
      </c>
      <c r="D21" s="39">
        <f>IN_1!D21+IN_2!D21+IN_3!D21+IN_4!D21</f>
        <v>87</v>
      </c>
      <c r="E21" s="39">
        <f>IN_1!E21+IN_2!E21+IN_3!E21+IN_4!E21</f>
        <v>52</v>
      </c>
      <c r="F21" s="152">
        <f>IN_1!F21+IN_2!F21+IN_3!F21+IN_4!F21</f>
        <v>100</v>
      </c>
      <c r="G21" s="154">
        <f t="shared" si="0"/>
        <v>2441</v>
      </c>
      <c r="H21" s="44">
        <f>IN_1!H21+IN_2!H21+IN_3!H21+IN_4!H21</f>
        <v>2</v>
      </c>
      <c r="I21" s="39">
        <f>IN_1!I21+IN_2!I21+IN_3!I21+IN_4!I21</f>
        <v>0</v>
      </c>
      <c r="J21" s="39">
        <f>IN_1!J21+IN_2!J21+IN_3!J21+IN_4!J21</f>
        <v>0</v>
      </c>
      <c r="K21" s="45">
        <f>IN_1!K21+IN_2!K21+IN_3!K21+IN_4!K21</f>
        <v>0</v>
      </c>
      <c r="L21" s="140">
        <f>IN_1!L21+IN_2!L21+IN_3!L21+IN_4!L21</f>
        <v>17</v>
      </c>
      <c r="M21" s="149">
        <f t="shared" si="1"/>
        <v>19</v>
      </c>
      <c r="N21" s="100">
        <f t="shared" si="2"/>
        <v>2460</v>
      </c>
      <c r="O21" s="43">
        <f t="shared" si="3"/>
        <v>2663.5</v>
      </c>
    </row>
    <row r="22" spans="1:15" ht="22.5" customHeight="1" x14ac:dyDescent="0.3">
      <c r="A22" s="149" t="s">
        <v>191</v>
      </c>
      <c r="B22" s="44">
        <f>IN_1!B22+IN_2!B22+IN_3!B22+IN_4!B22</f>
        <v>1197</v>
      </c>
      <c r="C22" s="39">
        <f>IN_1!C22+IN_2!C22+IN_3!C22+IN_4!C22</f>
        <v>520</v>
      </c>
      <c r="D22" s="39">
        <f>IN_1!D22+IN_2!D22+IN_3!D22+IN_4!D22</f>
        <v>75</v>
      </c>
      <c r="E22" s="39">
        <f>IN_1!E22+IN_2!E22+IN_3!E22+IN_4!E22</f>
        <v>50</v>
      </c>
      <c r="F22" s="152">
        <f>IN_1!F22+IN_2!F22+IN_3!F22+IN_4!F22</f>
        <v>87</v>
      </c>
      <c r="G22" s="154">
        <f t="shared" si="0"/>
        <v>1929</v>
      </c>
      <c r="H22" s="44">
        <f>IN_1!H22+IN_2!H22+IN_3!H22+IN_4!H22</f>
        <v>0</v>
      </c>
      <c r="I22" s="39">
        <f>IN_1!I22+IN_2!I22+IN_3!I22+IN_4!I22</f>
        <v>1</v>
      </c>
      <c r="J22" s="39">
        <f>IN_1!J22+IN_2!J22+IN_3!J22+IN_4!J22</f>
        <v>0</v>
      </c>
      <c r="K22" s="45">
        <f>IN_1!K22+IN_2!K22+IN_3!K22+IN_4!K22</f>
        <v>0</v>
      </c>
      <c r="L22" s="140">
        <f>IN_1!L22+IN_2!L22+IN_3!L22+IN_4!L22</f>
        <v>14</v>
      </c>
      <c r="M22" s="149">
        <f t="shared" si="1"/>
        <v>15</v>
      </c>
      <c r="N22" s="100">
        <f t="shared" si="2"/>
        <v>1944</v>
      </c>
      <c r="O22" s="43">
        <f t="shared" si="3"/>
        <v>2224.5</v>
      </c>
    </row>
    <row r="23" spans="1:15" ht="22.5" customHeight="1" x14ac:dyDescent="0.3">
      <c r="A23" s="149" t="s">
        <v>192</v>
      </c>
      <c r="B23" s="44">
        <f>IN_1!B23+IN_2!B23+IN_3!B23+IN_4!B23</f>
        <v>1217</v>
      </c>
      <c r="C23" s="39">
        <f>IN_1!C23+IN_2!C23+IN_3!C23+IN_4!C23</f>
        <v>554</v>
      </c>
      <c r="D23" s="39">
        <f>IN_1!D23+IN_2!D23+IN_3!D23+IN_4!D23</f>
        <v>72</v>
      </c>
      <c r="E23" s="39">
        <f>IN_1!E23+IN_2!E23+IN_3!E23+IN_4!E23</f>
        <v>41</v>
      </c>
      <c r="F23" s="152">
        <f>IN_1!F23+IN_2!F23+IN_3!F23+IN_4!F23</f>
        <v>105</v>
      </c>
      <c r="G23" s="154">
        <f t="shared" si="0"/>
        <v>1989</v>
      </c>
      <c r="H23" s="44">
        <f>IN_1!H23+IN_2!H23+IN_3!H23+IN_4!H23</f>
        <v>2</v>
      </c>
      <c r="I23" s="39">
        <f>IN_1!I23+IN_2!I23+IN_3!I23+IN_4!I23</f>
        <v>0</v>
      </c>
      <c r="J23" s="39">
        <f>IN_1!J23+IN_2!J23+IN_3!J23+IN_4!J23</f>
        <v>0</v>
      </c>
      <c r="K23" s="45">
        <f>IN_1!K23+IN_2!K23+IN_3!K23+IN_4!K23</f>
        <v>0</v>
      </c>
      <c r="L23" s="140">
        <f>IN_1!L23+IN_2!L23+IN_3!L23+IN_4!L23</f>
        <v>16</v>
      </c>
      <c r="M23" s="149">
        <f t="shared" si="1"/>
        <v>18</v>
      </c>
      <c r="N23" s="100">
        <f t="shared" si="2"/>
        <v>2007</v>
      </c>
      <c r="O23" s="43">
        <f t="shared" si="3"/>
        <v>2326.5</v>
      </c>
    </row>
    <row r="24" spans="1:15" ht="22.5" customHeight="1" x14ac:dyDescent="0.3">
      <c r="A24" s="149" t="s">
        <v>193</v>
      </c>
      <c r="B24" s="44">
        <f>IN_1!B24+IN_2!B24+IN_3!B24+IN_4!B24</f>
        <v>1101</v>
      </c>
      <c r="C24" s="39">
        <f>IN_1!C24+IN_2!C24+IN_3!C24+IN_4!C24</f>
        <v>534</v>
      </c>
      <c r="D24" s="39">
        <f>IN_1!D24+IN_2!D24+IN_3!D24+IN_4!D24</f>
        <v>82</v>
      </c>
      <c r="E24" s="39">
        <f>IN_1!E24+IN_2!E24+IN_3!E24+IN_4!E24</f>
        <v>49</v>
      </c>
      <c r="F24" s="152">
        <f>IN_1!F24+IN_2!F24+IN_3!F24+IN_4!F24</f>
        <v>100</v>
      </c>
      <c r="G24" s="154">
        <f t="shared" si="0"/>
        <v>1866</v>
      </c>
      <c r="H24" s="44">
        <f>IN_1!H24+IN_2!H24+IN_3!H24+IN_4!H24</f>
        <v>0</v>
      </c>
      <c r="I24" s="39">
        <f>IN_1!I24+IN_2!I24+IN_3!I24+IN_4!I24</f>
        <v>0</v>
      </c>
      <c r="J24" s="39">
        <f>IN_1!J24+IN_2!J24+IN_3!J24+IN_4!J24</f>
        <v>0</v>
      </c>
      <c r="K24" s="45">
        <f>IN_1!K24+IN_2!K24+IN_3!K24+IN_4!K24</f>
        <v>0</v>
      </c>
      <c r="L24" s="140">
        <f>IN_1!L24+IN_2!L24+IN_3!L24+IN_4!L24</f>
        <v>7</v>
      </c>
      <c r="M24" s="149">
        <f t="shared" si="1"/>
        <v>7</v>
      </c>
      <c r="N24" s="100">
        <f t="shared" si="2"/>
        <v>1873</v>
      </c>
      <c r="O24" s="43">
        <f t="shared" si="3"/>
        <v>2144</v>
      </c>
    </row>
    <row r="25" spans="1:15" ht="22.5" customHeight="1" x14ac:dyDescent="0.3">
      <c r="A25" s="149" t="s">
        <v>194</v>
      </c>
      <c r="B25" s="44">
        <f>IN_1!B25+IN_2!B25+IN_3!B25+IN_4!B25</f>
        <v>1112</v>
      </c>
      <c r="C25" s="39">
        <f>IN_1!C25+IN_2!C25+IN_3!C25+IN_4!C25</f>
        <v>454</v>
      </c>
      <c r="D25" s="39">
        <f>IN_1!D25+IN_2!D25+IN_3!D25+IN_4!D25</f>
        <v>80</v>
      </c>
      <c r="E25" s="39">
        <f>IN_1!E25+IN_2!E25+IN_3!E25+IN_4!E25</f>
        <v>44</v>
      </c>
      <c r="F25" s="152">
        <f>IN_1!F25+IN_2!F25+IN_3!F25+IN_4!F25</f>
        <v>95</v>
      </c>
      <c r="G25" s="154">
        <f t="shared" si="0"/>
        <v>1785</v>
      </c>
      <c r="H25" s="44">
        <f>IN_1!H25+IN_2!H25+IN_3!H25+IN_4!H25</f>
        <v>0</v>
      </c>
      <c r="I25" s="39">
        <f>IN_1!I25+IN_2!I25+IN_3!I25+IN_4!I25</f>
        <v>0</v>
      </c>
      <c r="J25" s="39">
        <f>IN_1!J25+IN_2!J25+IN_3!J25+IN_4!J25</f>
        <v>0</v>
      </c>
      <c r="K25" s="45">
        <f>IN_1!K25+IN_2!K25+IN_3!K25+IN_4!K25</f>
        <v>0</v>
      </c>
      <c r="L25" s="140">
        <f>IN_1!L25+IN_2!L25+IN_3!L25+IN_4!L25</f>
        <v>8</v>
      </c>
      <c r="M25" s="149">
        <f t="shared" si="1"/>
        <v>8</v>
      </c>
      <c r="N25" s="100">
        <f t="shared" si="2"/>
        <v>1793</v>
      </c>
      <c r="O25" s="43">
        <f t="shared" si="3"/>
        <v>2082.5</v>
      </c>
    </row>
    <row r="26" spans="1:15" ht="22.5" customHeight="1" x14ac:dyDescent="0.3">
      <c r="A26" s="149" t="s">
        <v>195</v>
      </c>
      <c r="B26" s="44">
        <f>IN_1!B26+IN_2!B26+IN_3!B26+IN_4!B26</f>
        <v>1066</v>
      </c>
      <c r="C26" s="39">
        <f>IN_1!C26+IN_2!C26+IN_3!C26+IN_4!C26</f>
        <v>520</v>
      </c>
      <c r="D26" s="39">
        <f>IN_1!D26+IN_2!D26+IN_3!D26+IN_4!D26</f>
        <v>96</v>
      </c>
      <c r="E26" s="39">
        <f>IN_1!E26+IN_2!E26+IN_3!E26+IN_4!E26</f>
        <v>62</v>
      </c>
      <c r="F26" s="152">
        <f>IN_1!F26+IN_2!F26+IN_3!F26+IN_4!F26</f>
        <v>119</v>
      </c>
      <c r="G26" s="154">
        <f t="shared" si="0"/>
        <v>1863</v>
      </c>
      <c r="H26" s="44">
        <f>IN_1!H26+IN_2!H26+IN_3!H26+IN_4!H26</f>
        <v>0</v>
      </c>
      <c r="I26" s="39">
        <f>IN_1!I26+IN_2!I26+IN_3!I26+IN_4!I26</f>
        <v>0</v>
      </c>
      <c r="J26" s="39">
        <f>IN_1!J26+IN_2!J26+IN_3!J26+IN_4!J26</f>
        <v>1</v>
      </c>
      <c r="K26" s="45">
        <f>IN_1!K26+IN_2!K26+IN_3!K26+IN_4!K26</f>
        <v>0</v>
      </c>
      <c r="L26" s="140">
        <f>IN_1!L26+IN_2!L26+IN_3!L26+IN_4!L26</f>
        <v>10</v>
      </c>
      <c r="M26" s="149">
        <f t="shared" si="1"/>
        <v>11</v>
      </c>
      <c r="N26" s="100">
        <f t="shared" si="2"/>
        <v>1874</v>
      </c>
      <c r="O26" s="43">
        <f t="shared" si="3"/>
        <v>2274.5</v>
      </c>
    </row>
    <row r="27" spans="1:15" ht="22.5" customHeight="1" x14ac:dyDescent="0.3">
      <c r="A27" s="149" t="s">
        <v>196</v>
      </c>
      <c r="B27" s="44">
        <f>IN_1!B27+IN_2!B27+IN_3!B27+IN_4!B27</f>
        <v>998</v>
      </c>
      <c r="C27" s="39">
        <f>IN_1!C27+IN_2!C27+IN_3!C27+IN_4!C27</f>
        <v>497</v>
      </c>
      <c r="D27" s="39">
        <f>IN_1!D27+IN_2!D27+IN_3!D27+IN_4!D27</f>
        <v>91</v>
      </c>
      <c r="E27" s="39">
        <f>IN_1!E27+IN_2!E27+IN_3!E27+IN_4!E27</f>
        <v>46</v>
      </c>
      <c r="F27" s="152">
        <f>IN_1!F27+IN_2!F27+IN_3!F27+IN_4!F27</f>
        <v>104</v>
      </c>
      <c r="G27" s="154">
        <f t="shared" si="0"/>
        <v>1736</v>
      </c>
      <c r="H27" s="44">
        <f>IN_1!H27+IN_2!H27+IN_3!H27+IN_4!H27</f>
        <v>0</v>
      </c>
      <c r="I27" s="39">
        <f>IN_1!I27+IN_2!I27+IN_3!I27+IN_4!I27</f>
        <v>0</v>
      </c>
      <c r="J27" s="39">
        <f>IN_1!J27+IN_2!J27+IN_3!J27+IN_4!J27</f>
        <v>0</v>
      </c>
      <c r="K27" s="45">
        <f>IN_1!K27+IN_2!K27+IN_3!K27+IN_4!K27</f>
        <v>0</v>
      </c>
      <c r="L27" s="140">
        <f>IN_1!L27+IN_2!L27+IN_3!L27+IN_4!L27</f>
        <v>7</v>
      </c>
      <c r="M27" s="149">
        <f t="shared" si="1"/>
        <v>7</v>
      </c>
      <c r="N27" s="100">
        <f t="shared" si="2"/>
        <v>1743</v>
      </c>
      <c r="O27" s="43">
        <f t="shared" si="3"/>
        <v>2045</v>
      </c>
    </row>
    <row r="28" spans="1:15" ht="22.5" customHeight="1" x14ac:dyDescent="0.3">
      <c r="A28" s="149" t="s">
        <v>197</v>
      </c>
      <c r="B28" s="44">
        <f>IN_1!B28+IN_2!B28+IN_3!B28+IN_4!B28</f>
        <v>1066</v>
      </c>
      <c r="C28" s="39">
        <f>IN_1!C28+IN_2!C28+IN_3!C28+IN_4!C28</f>
        <v>522</v>
      </c>
      <c r="D28" s="39">
        <f>IN_1!D28+IN_2!D28+IN_3!D28+IN_4!D28</f>
        <v>89</v>
      </c>
      <c r="E28" s="39">
        <f>IN_1!E28+IN_2!E28+IN_3!E28+IN_4!E28</f>
        <v>61</v>
      </c>
      <c r="F28" s="152">
        <f>IN_1!F28+IN_2!F28+IN_3!F28+IN_4!F28</f>
        <v>108</v>
      </c>
      <c r="G28" s="154">
        <f t="shared" si="0"/>
        <v>1846</v>
      </c>
      <c r="H28" s="44">
        <f>IN_1!H28+IN_2!H28+IN_3!H28+IN_4!H28</f>
        <v>0</v>
      </c>
      <c r="I28" s="39">
        <f>IN_1!I28+IN_2!I28+IN_3!I28+IN_4!I28</f>
        <v>0</v>
      </c>
      <c r="J28" s="39">
        <f>IN_1!J28+IN_2!J28+IN_3!J28+IN_4!J28</f>
        <v>1</v>
      </c>
      <c r="K28" s="45">
        <f>IN_1!K28+IN_2!K28+IN_3!K28+IN_4!K28</f>
        <v>0</v>
      </c>
      <c r="L28" s="140">
        <f>IN_1!L28+IN_2!L28+IN_3!L28+IN_4!L28</f>
        <v>4</v>
      </c>
      <c r="M28" s="149">
        <f t="shared" si="1"/>
        <v>5</v>
      </c>
      <c r="N28" s="100">
        <f t="shared" si="2"/>
        <v>1851</v>
      </c>
      <c r="O28" s="43">
        <f t="shared" si="3"/>
        <v>2164.5</v>
      </c>
    </row>
    <row r="29" spans="1:15" ht="22.5" customHeight="1" x14ac:dyDescent="0.3">
      <c r="A29" s="149" t="s">
        <v>198</v>
      </c>
      <c r="B29" s="44">
        <f>IN_1!B29+IN_2!B29+IN_3!B29+IN_4!B29</f>
        <v>1083</v>
      </c>
      <c r="C29" s="39">
        <f>IN_1!C29+IN_2!C29+IN_3!C29+IN_4!C29</f>
        <v>503</v>
      </c>
      <c r="D29" s="39">
        <f>IN_1!D29+IN_2!D29+IN_3!D29+IN_4!D29</f>
        <v>86</v>
      </c>
      <c r="E29" s="39">
        <f>IN_1!E29+IN_2!E29+IN_3!E29+IN_4!E29</f>
        <v>40</v>
      </c>
      <c r="F29" s="152">
        <f>IN_1!F29+IN_2!F29+IN_3!F29+IN_4!F29</f>
        <v>98</v>
      </c>
      <c r="G29" s="154">
        <f t="shared" si="0"/>
        <v>1810</v>
      </c>
      <c r="H29" s="44">
        <f>IN_1!H29+IN_2!H29+IN_3!H29+IN_4!H29</f>
        <v>2</v>
      </c>
      <c r="I29" s="39">
        <f>IN_1!I29+IN_2!I29+IN_3!I29+IN_4!I29</f>
        <v>0</v>
      </c>
      <c r="J29" s="39">
        <f>IN_1!J29+IN_2!J29+IN_3!J29+IN_4!J29</f>
        <v>0</v>
      </c>
      <c r="K29" s="45">
        <f>IN_1!K29+IN_2!K29+IN_3!K29+IN_4!K29</f>
        <v>0</v>
      </c>
      <c r="L29" s="140">
        <f>IN_1!L29+IN_2!L29+IN_3!L29+IN_4!L29</f>
        <v>1</v>
      </c>
      <c r="M29" s="149">
        <f t="shared" si="1"/>
        <v>3</v>
      </c>
      <c r="N29" s="100">
        <f t="shared" si="2"/>
        <v>1813</v>
      </c>
      <c r="O29" s="43">
        <f t="shared" si="3"/>
        <v>2033.5</v>
      </c>
    </row>
    <row r="30" spans="1:15" ht="22.5" customHeight="1" x14ac:dyDescent="0.3">
      <c r="A30" s="149" t="s">
        <v>199</v>
      </c>
      <c r="B30" s="44">
        <f>IN_1!B30+IN_2!B30+IN_3!B30+IN_4!B30</f>
        <v>1086</v>
      </c>
      <c r="C30" s="39">
        <f>IN_1!C30+IN_2!C30+IN_3!C30+IN_4!C30</f>
        <v>568</v>
      </c>
      <c r="D30" s="39">
        <f>IN_1!D30+IN_2!D30+IN_3!D30+IN_4!D30</f>
        <v>105</v>
      </c>
      <c r="E30" s="39">
        <f>IN_1!E30+IN_2!E30+IN_3!E30+IN_4!E30</f>
        <v>42</v>
      </c>
      <c r="F30" s="152">
        <f>IN_1!F30+IN_2!F30+IN_3!F30+IN_4!F30</f>
        <v>90</v>
      </c>
      <c r="G30" s="154">
        <f t="shared" si="0"/>
        <v>1891</v>
      </c>
      <c r="H30" s="44">
        <f>IN_1!H30+IN_2!H30+IN_3!H30+IN_4!H30</f>
        <v>2</v>
      </c>
      <c r="I30" s="39">
        <f>IN_1!I30+IN_2!I30+IN_3!I30+IN_4!I30</f>
        <v>0</v>
      </c>
      <c r="J30" s="39">
        <f>IN_1!J30+IN_2!J30+IN_3!J30+IN_4!J30</f>
        <v>0</v>
      </c>
      <c r="K30" s="45">
        <f>IN_1!K30+IN_2!K30+IN_3!K30+IN_4!K30</f>
        <v>0</v>
      </c>
      <c r="L30" s="140">
        <f>IN_1!L30+IN_2!L30+IN_3!L30+IN_4!L30</f>
        <v>7</v>
      </c>
      <c r="M30" s="149">
        <f t="shared" si="1"/>
        <v>9</v>
      </c>
      <c r="N30" s="100">
        <f t="shared" si="2"/>
        <v>1900</v>
      </c>
      <c r="O30" s="43">
        <f t="shared" si="3"/>
        <v>2115.5</v>
      </c>
    </row>
    <row r="31" spans="1:15" ht="22.5" customHeight="1" x14ac:dyDescent="0.3">
      <c r="A31" s="149" t="s">
        <v>200</v>
      </c>
      <c r="B31" s="44">
        <f>IN_1!B31+IN_2!B31+IN_3!B31+IN_4!B31</f>
        <v>1120</v>
      </c>
      <c r="C31" s="39">
        <f>IN_1!C31+IN_2!C31+IN_3!C31+IN_4!C31</f>
        <v>589</v>
      </c>
      <c r="D31" s="39">
        <f>IN_1!D31+IN_2!D31+IN_3!D31+IN_4!D31</f>
        <v>88</v>
      </c>
      <c r="E31" s="39">
        <f>IN_1!E31+IN_2!E31+IN_3!E31+IN_4!E31</f>
        <v>41</v>
      </c>
      <c r="F31" s="152">
        <f>IN_1!F31+IN_2!F31+IN_3!F31+IN_4!F31</f>
        <v>115</v>
      </c>
      <c r="G31" s="154">
        <f t="shared" si="0"/>
        <v>1953</v>
      </c>
      <c r="H31" s="44">
        <f>IN_1!H31+IN_2!H31+IN_3!H31+IN_4!H31</f>
        <v>0</v>
      </c>
      <c r="I31" s="39">
        <f>IN_1!I31+IN_2!I31+IN_3!I31+IN_4!I31</f>
        <v>0</v>
      </c>
      <c r="J31" s="39">
        <f>IN_1!J31+IN_2!J31+IN_3!J31+IN_4!J31</f>
        <v>0</v>
      </c>
      <c r="K31" s="45">
        <f>IN_1!K31+IN_2!K31+IN_3!K31+IN_4!K31</f>
        <v>0</v>
      </c>
      <c r="L31" s="140">
        <f>IN_1!L31+IN_2!L31+IN_3!L31+IN_4!L31</f>
        <v>5</v>
      </c>
      <c r="M31" s="149">
        <f t="shared" si="1"/>
        <v>5</v>
      </c>
      <c r="N31" s="100">
        <f t="shared" si="2"/>
        <v>1958</v>
      </c>
      <c r="O31" s="43">
        <f t="shared" si="3"/>
        <v>2227</v>
      </c>
    </row>
    <row r="32" spans="1:15" ht="22.5" customHeight="1" x14ac:dyDescent="0.3">
      <c r="A32" s="149" t="s">
        <v>201</v>
      </c>
      <c r="B32" s="44">
        <f>IN_1!B32+IN_2!B32+IN_3!B32+IN_4!B32</f>
        <v>959</v>
      </c>
      <c r="C32" s="39">
        <f>IN_1!C32+IN_2!C32+IN_3!C32+IN_4!C32</f>
        <v>444</v>
      </c>
      <c r="D32" s="39">
        <f>IN_1!D32+IN_2!D32+IN_3!D32+IN_4!D32</f>
        <v>87</v>
      </c>
      <c r="E32" s="39">
        <f>IN_1!E32+IN_2!E32+IN_3!E32+IN_4!E32</f>
        <v>56</v>
      </c>
      <c r="F32" s="152">
        <f>IN_1!F32+IN_2!F32+IN_3!F32+IN_4!F32</f>
        <v>100</v>
      </c>
      <c r="G32" s="154">
        <f t="shared" si="0"/>
        <v>1646</v>
      </c>
      <c r="H32" s="44">
        <f>IN_1!H32+IN_2!H32+IN_3!H32+IN_4!H32</f>
        <v>0</v>
      </c>
      <c r="I32" s="39">
        <f>IN_1!I32+IN_2!I32+IN_3!I32+IN_4!I32</f>
        <v>0</v>
      </c>
      <c r="J32" s="39">
        <f>IN_1!J32+IN_2!J32+IN_3!J32+IN_4!J32</f>
        <v>0</v>
      </c>
      <c r="K32" s="45">
        <f>IN_1!K32+IN_2!K32+IN_3!K32+IN_4!K32</f>
        <v>0</v>
      </c>
      <c r="L32" s="140">
        <f>IN_1!L32+IN_2!L32+IN_3!L32+IN_4!L32</f>
        <v>7</v>
      </c>
      <c r="M32" s="149">
        <f t="shared" si="1"/>
        <v>7</v>
      </c>
      <c r="N32" s="100">
        <f t="shared" si="2"/>
        <v>1653</v>
      </c>
      <c r="O32" s="43">
        <f t="shared" si="3"/>
        <v>1985.5</v>
      </c>
    </row>
    <row r="33" spans="1:15" ht="22.5" customHeight="1" x14ac:dyDescent="0.3">
      <c r="A33" s="149" t="s">
        <v>202</v>
      </c>
      <c r="B33" s="44">
        <f>IN_1!B33+IN_2!B33+IN_3!B33+IN_4!B33</f>
        <v>899</v>
      </c>
      <c r="C33" s="39">
        <f>IN_1!C33+IN_2!C33+IN_3!C33+IN_4!C33</f>
        <v>421</v>
      </c>
      <c r="D33" s="39">
        <f>IN_1!D33+IN_2!D33+IN_3!D33+IN_4!D33</f>
        <v>111</v>
      </c>
      <c r="E33" s="39">
        <f>IN_1!E33+IN_2!E33+IN_3!E33+IN_4!E33</f>
        <v>60</v>
      </c>
      <c r="F33" s="152">
        <f>IN_1!F33+IN_2!F33+IN_3!F33+IN_4!F33</f>
        <v>100</v>
      </c>
      <c r="G33" s="154">
        <f t="shared" si="0"/>
        <v>1591</v>
      </c>
      <c r="H33" s="44">
        <f>IN_1!H33+IN_2!H33+IN_3!H33+IN_4!H33</f>
        <v>0</v>
      </c>
      <c r="I33" s="39">
        <f>IN_1!I33+IN_2!I33+IN_3!I33+IN_4!I33</f>
        <v>0</v>
      </c>
      <c r="J33" s="39">
        <f>IN_1!J33+IN_2!J33+IN_3!J33+IN_4!J33</f>
        <v>0</v>
      </c>
      <c r="K33" s="45">
        <f>IN_1!K33+IN_2!K33+IN_3!K33+IN_4!K33</f>
        <v>0</v>
      </c>
      <c r="L33" s="140">
        <f>IN_1!L33+IN_2!L33+IN_3!L33+IN_4!L33</f>
        <v>7</v>
      </c>
      <c r="M33" s="149">
        <f t="shared" si="1"/>
        <v>7</v>
      </c>
      <c r="N33" s="100">
        <f t="shared" si="2"/>
        <v>1598</v>
      </c>
      <c r="O33" s="43">
        <f t="shared" si="3"/>
        <v>1962</v>
      </c>
    </row>
    <row r="34" spans="1:15" ht="22.5" customHeight="1" x14ac:dyDescent="0.3">
      <c r="A34" s="149" t="s">
        <v>203</v>
      </c>
      <c r="B34" s="44">
        <f>IN_1!B34+IN_2!B34+IN_3!B34+IN_4!B34</f>
        <v>956</v>
      </c>
      <c r="C34" s="39">
        <f>IN_1!C34+IN_2!C34+IN_3!C34+IN_4!C34</f>
        <v>469</v>
      </c>
      <c r="D34" s="39">
        <f>IN_1!D34+IN_2!D34+IN_3!D34+IN_4!D34</f>
        <v>106</v>
      </c>
      <c r="E34" s="39">
        <f>IN_1!E34+IN_2!E34+IN_3!E34+IN_4!E34</f>
        <v>56</v>
      </c>
      <c r="F34" s="152">
        <f>IN_1!F34+IN_2!F34+IN_3!F34+IN_4!F34</f>
        <v>101</v>
      </c>
      <c r="G34" s="154">
        <f t="shared" si="0"/>
        <v>1688</v>
      </c>
      <c r="H34" s="44">
        <f>IN_1!H34+IN_2!H34+IN_3!H34+IN_4!H34</f>
        <v>0</v>
      </c>
      <c r="I34" s="39">
        <f>IN_1!I34+IN_2!I34+IN_3!I34+IN_4!I34</f>
        <v>0</v>
      </c>
      <c r="J34" s="39">
        <f>IN_1!J34+IN_2!J34+IN_3!J34+IN_4!J34</f>
        <v>1</v>
      </c>
      <c r="K34" s="45">
        <f>IN_1!K34+IN_2!K34+IN_3!K34+IN_4!K34</f>
        <v>0</v>
      </c>
      <c r="L34" s="140">
        <f>IN_1!L34+IN_2!L34+IN_3!L34+IN_4!L34</f>
        <v>3</v>
      </c>
      <c r="M34" s="149">
        <f t="shared" si="1"/>
        <v>4</v>
      </c>
      <c r="N34" s="100">
        <f t="shared" si="2"/>
        <v>1692</v>
      </c>
      <c r="O34" s="43">
        <f t="shared" si="3"/>
        <v>1999</v>
      </c>
    </row>
    <row r="35" spans="1:15" ht="22.5" customHeight="1" x14ac:dyDescent="0.3">
      <c r="A35" s="149" t="s">
        <v>204</v>
      </c>
      <c r="B35" s="44">
        <f>IN_1!B35+IN_2!B35+IN_3!B35+IN_4!B35</f>
        <v>949</v>
      </c>
      <c r="C35" s="39">
        <f>IN_1!C35+IN_2!C35+IN_3!C35+IN_4!C35</f>
        <v>507</v>
      </c>
      <c r="D35" s="39">
        <f>IN_1!D35+IN_2!D35+IN_3!D35+IN_4!D35</f>
        <v>105</v>
      </c>
      <c r="E35" s="39">
        <f>IN_1!E35+IN_2!E35+IN_3!E35+IN_4!E35</f>
        <v>64</v>
      </c>
      <c r="F35" s="152">
        <f>IN_1!F35+IN_2!F35+IN_3!F35+IN_4!F35</f>
        <v>64</v>
      </c>
      <c r="G35" s="154">
        <f t="shared" si="0"/>
        <v>1689</v>
      </c>
      <c r="H35" s="44">
        <f>IN_1!H35+IN_2!H35+IN_3!H35+IN_4!H35</f>
        <v>0</v>
      </c>
      <c r="I35" s="39">
        <f>IN_1!I35+IN_2!I35+IN_3!I35+IN_4!I35</f>
        <v>0</v>
      </c>
      <c r="J35" s="39">
        <f>IN_1!J35+IN_2!J35+IN_3!J35+IN_4!J35</f>
        <v>0</v>
      </c>
      <c r="K35" s="45">
        <f>IN_1!K35+IN_2!K35+IN_3!K35+IN_4!K35</f>
        <v>0</v>
      </c>
      <c r="L35" s="140">
        <f>IN_1!L35+IN_2!L35+IN_3!L35+IN_4!L35</f>
        <v>8</v>
      </c>
      <c r="M35" s="149">
        <f t="shared" si="1"/>
        <v>8</v>
      </c>
      <c r="N35" s="100">
        <f t="shared" si="2"/>
        <v>1697</v>
      </c>
      <c r="O35" s="43">
        <f t="shared" si="3"/>
        <v>1904</v>
      </c>
    </row>
    <row r="36" spans="1:15" ht="22.5" customHeight="1" x14ac:dyDescent="0.3">
      <c r="A36" s="149" t="s">
        <v>205</v>
      </c>
      <c r="B36" s="44">
        <f>IN_1!B36+IN_2!B36+IN_3!B36+IN_4!B36</f>
        <v>950</v>
      </c>
      <c r="C36" s="39">
        <f>IN_1!C36+IN_2!C36+IN_3!C36+IN_4!C36</f>
        <v>425</v>
      </c>
      <c r="D36" s="39">
        <f>IN_1!D36+IN_2!D36+IN_3!D36+IN_4!D36</f>
        <v>87</v>
      </c>
      <c r="E36" s="39">
        <f>IN_1!E36+IN_2!E36+IN_3!E36+IN_4!E36</f>
        <v>64</v>
      </c>
      <c r="F36" s="152">
        <f>IN_1!F36+IN_2!F36+IN_3!F36+IN_4!F36</f>
        <v>116</v>
      </c>
      <c r="G36" s="154">
        <f t="shared" si="0"/>
        <v>1642</v>
      </c>
      <c r="H36" s="44">
        <f>IN_1!H36+IN_2!H36+IN_3!H36+IN_4!H36</f>
        <v>0</v>
      </c>
      <c r="I36" s="39">
        <f>IN_1!I36+IN_2!I36+IN_3!I36+IN_4!I36</f>
        <v>0</v>
      </c>
      <c r="J36" s="39">
        <f>IN_1!J36+IN_2!J36+IN_3!J36+IN_4!J36</f>
        <v>2</v>
      </c>
      <c r="K36" s="45">
        <f>IN_1!K36+IN_2!K36+IN_3!K36+IN_4!K36</f>
        <v>0</v>
      </c>
      <c r="L36" s="140">
        <f>IN_1!L36+IN_2!L36+IN_3!L36+IN_4!L36</f>
        <v>5</v>
      </c>
      <c r="M36" s="149">
        <f t="shared" si="1"/>
        <v>7</v>
      </c>
      <c r="N36" s="100">
        <f t="shared" si="2"/>
        <v>1649</v>
      </c>
      <c r="O36" s="43">
        <f t="shared" si="3"/>
        <v>2053</v>
      </c>
    </row>
    <row r="37" spans="1:15" ht="22.5" customHeight="1" x14ac:dyDescent="0.3">
      <c r="A37" s="149" t="s">
        <v>206</v>
      </c>
      <c r="B37" s="44">
        <f>IN_1!B37+IN_2!B37+IN_3!B37+IN_4!B37</f>
        <v>1046</v>
      </c>
      <c r="C37" s="39">
        <f>IN_1!C37+IN_2!C37+IN_3!C37+IN_4!C37</f>
        <v>447</v>
      </c>
      <c r="D37" s="39">
        <f>IN_1!D37+IN_2!D37+IN_3!D37+IN_4!D37</f>
        <v>81</v>
      </c>
      <c r="E37" s="39">
        <f>IN_1!E37+IN_2!E37+IN_3!E37+IN_4!E37</f>
        <v>69</v>
      </c>
      <c r="F37" s="152">
        <f>IN_1!F37+IN_2!F37+IN_3!F37+IN_4!F37</f>
        <v>113</v>
      </c>
      <c r="G37" s="154">
        <f t="shared" si="0"/>
        <v>1756</v>
      </c>
      <c r="H37" s="44">
        <f>IN_1!H37+IN_2!H37+IN_3!H37+IN_4!H37</f>
        <v>0</v>
      </c>
      <c r="I37" s="39">
        <f>IN_1!I37+IN_2!I37+IN_3!I37+IN_4!I37</f>
        <v>0</v>
      </c>
      <c r="J37" s="39">
        <f>IN_1!J37+IN_2!J37+IN_3!J37+IN_4!J37</f>
        <v>0</v>
      </c>
      <c r="K37" s="45">
        <f>IN_1!K37+IN_2!K37+IN_3!K37+IN_4!K37</f>
        <v>0</v>
      </c>
      <c r="L37" s="140">
        <f>IN_1!L37+IN_2!L37+IN_3!L37+IN_4!L37</f>
        <v>6</v>
      </c>
      <c r="M37" s="149">
        <f t="shared" si="1"/>
        <v>6</v>
      </c>
      <c r="N37" s="100">
        <f t="shared" si="2"/>
        <v>1762</v>
      </c>
      <c r="O37" s="43">
        <f t="shared" si="3"/>
        <v>2154.5</v>
      </c>
    </row>
    <row r="38" spans="1:15" ht="22.5" customHeight="1" x14ac:dyDescent="0.3">
      <c r="A38" s="149" t="s">
        <v>207</v>
      </c>
      <c r="B38" s="44">
        <f>IN_1!B38+IN_2!B38+IN_3!B38+IN_4!B38</f>
        <v>1038</v>
      </c>
      <c r="C38" s="39">
        <f>IN_1!C38+IN_2!C38+IN_3!C38+IN_4!C38</f>
        <v>370</v>
      </c>
      <c r="D38" s="39">
        <f>IN_1!D38+IN_2!D38+IN_3!D38+IN_4!D38</f>
        <v>95</v>
      </c>
      <c r="E38" s="39">
        <f>IN_1!E38+IN_2!E38+IN_3!E38+IN_4!E38</f>
        <v>61</v>
      </c>
      <c r="F38" s="152">
        <f>IN_1!F38+IN_2!F38+IN_3!F38+IN_4!F38</f>
        <v>117</v>
      </c>
      <c r="G38" s="154">
        <f t="shared" si="0"/>
        <v>1681</v>
      </c>
      <c r="H38" s="44">
        <f>IN_1!H38+IN_2!H38+IN_3!H38+IN_4!H38</f>
        <v>0</v>
      </c>
      <c r="I38" s="39">
        <f>IN_1!I38+IN_2!I38+IN_3!I38+IN_4!I38</f>
        <v>0</v>
      </c>
      <c r="J38" s="39">
        <f>IN_1!J38+IN_2!J38+IN_3!J38+IN_4!J38</f>
        <v>0</v>
      </c>
      <c r="K38" s="45">
        <f>IN_1!K38+IN_2!K38+IN_3!K38+IN_4!K38</f>
        <v>0</v>
      </c>
      <c r="L38" s="140">
        <f>IN_1!L38+IN_2!L38+IN_3!L38+IN_4!L38</f>
        <v>3</v>
      </c>
      <c r="M38" s="149">
        <f t="shared" si="1"/>
        <v>3</v>
      </c>
      <c r="N38" s="100">
        <f t="shared" si="2"/>
        <v>1684</v>
      </c>
      <c r="O38" s="43">
        <f t="shared" si="3"/>
        <v>2099</v>
      </c>
    </row>
    <row r="39" spans="1:15" ht="22.5" customHeight="1" x14ac:dyDescent="0.3">
      <c r="A39" s="149" t="s">
        <v>208</v>
      </c>
      <c r="B39" s="44">
        <f>IN_1!B39+IN_2!B39+IN_3!B39+IN_4!B39</f>
        <v>1101</v>
      </c>
      <c r="C39" s="39">
        <f>IN_1!C39+IN_2!C39+IN_3!C39+IN_4!C39</f>
        <v>431</v>
      </c>
      <c r="D39" s="39">
        <f>IN_1!D39+IN_2!D39+IN_3!D39+IN_4!D39</f>
        <v>107</v>
      </c>
      <c r="E39" s="39">
        <f>IN_1!E39+IN_2!E39+IN_3!E39+IN_4!E39</f>
        <v>73</v>
      </c>
      <c r="F39" s="152">
        <f>IN_1!F39+IN_2!F39+IN_3!F39+IN_4!F39</f>
        <v>96</v>
      </c>
      <c r="G39" s="154">
        <f t="shared" si="0"/>
        <v>1808</v>
      </c>
      <c r="H39" s="44">
        <f>IN_1!H39+IN_2!H39+IN_3!H39+IN_4!H39</f>
        <v>0</v>
      </c>
      <c r="I39" s="39">
        <f>IN_1!I39+IN_2!I39+IN_3!I39+IN_4!I39</f>
        <v>0</v>
      </c>
      <c r="J39" s="39">
        <f>IN_1!J39+IN_2!J39+IN_3!J39+IN_4!J39</f>
        <v>0</v>
      </c>
      <c r="K39" s="45">
        <f>IN_1!K39+IN_2!K39+IN_3!K39+IN_4!K39</f>
        <v>0</v>
      </c>
      <c r="L39" s="140">
        <f>IN_1!L39+IN_2!L39+IN_3!L39+IN_4!L39</f>
        <v>1</v>
      </c>
      <c r="M39" s="149">
        <f t="shared" si="1"/>
        <v>1</v>
      </c>
      <c r="N39" s="100">
        <f t="shared" si="2"/>
        <v>1809</v>
      </c>
      <c r="O39" s="43">
        <f t="shared" si="3"/>
        <v>2136</v>
      </c>
    </row>
    <row r="40" spans="1:15" ht="22.5" customHeight="1" x14ac:dyDescent="0.3">
      <c r="A40" s="149" t="s">
        <v>209</v>
      </c>
      <c r="B40" s="44">
        <f>IN_1!B40+IN_2!B40+IN_3!B40+IN_4!B40</f>
        <v>1151</v>
      </c>
      <c r="C40" s="39">
        <f>IN_1!C40+IN_2!C40+IN_3!C40+IN_4!C40</f>
        <v>513</v>
      </c>
      <c r="D40" s="39">
        <f>IN_1!D40+IN_2!D40+IN_3!D40+IN_4!D40</f>
        <v>72</v>
      </c>
      <c r="E40" s="39">
        <f>IN_1!E40+IN_2!E40+IN_3!E40+IN_4!E40</f>
        <v>40</v>
      </c>
      <c r="F40" s="152">
        <f>IN_1!F40+IN_2!F40+IN_3!F40+IN_4!F40</f>
        <v>108</v>
      </c>
      <c r="G40" s="154">
        <f t="shared" ref="G40:G71" si="4">SUM(B40:F40)</f>
        <v>1884</v>
      </c>
      <c r="H40" s="44">
        <f>IN_1!H40+IN_2!H40+IN_3!H40+IN_4!H40</f>
        <v>1</v>
      </c>
      <c r="I40" s="39">
        <f>IN_1!I40+IN_2!I40+IN_3!I40+IN_4!I40</f>
        <v>0</v>
      </c>
      <c r="J40" s="39">
        <f>IN_1!J40+IN_2!J40+IN_3!J40+IN_4!J40</f>
        <v>1</v>
      </c>
      <c r="K40" s="45">
        <f>IN_1!K40+IN_2!K40+IN_3!K40+IN_4!K40</f>
        <v>0</v>
      </c>
      <c r="L40" s="140">
        <f>IN_1!L40+IN_2!L40+IN_3!L40+IN_4!L40</f>
        <v>10</v>
      </c>
      <c r="M40" s="149">
        <f t="shared" si="1"/>
        <v>12</v>
      </c>
      <c r="N40" s="100">
        <f t="shared" si="2"/>
        <v>1896</v>
      </c>
      <c r="O40" s="43">
        <f t="shared" si="3"/>
        <v>2205</v>
      </c>
    </row>
    <row r="41" spans="1:15" ht="22.5" customHeight="1" x14ac:dyDescent="0.3">
      <c r="A41" s="149" t="s">
        <v>210</v>
      </c>
      <c r="B41" s="44">
        <f>IN_1!B41+IN_2!B41+IN_3!B41+IN_4!B41</f>
        <v>1075</v>
      </c>
      <c r="C41" s="39">
        <f>IN_1!C41+IN_2!C41+IN_3!C41+IN_4!C41</f>
        <v>633</v>
      </c>
      <c r="D41" s="39">
        <f>IN_1!D41+IN_2!D41+IN_3!D41+IN_4!D41</f>
        <v>93</v>
      </c>
      <c r="E41" s="39">
        <f>IN_1!E41+IN_2!E41+IN_3!E41+IN_4!E41</f>
        <v>42</v>
      </c>
      <c r="F41" s="152">
        <f>IN_1!F41+IN_2!F41+IN_3!F41+IN_4!F41</f>
        <v>90</v>
      </c>
      <c r="G41" s="154">
        <f t="shared" si="4"/>
        <v>1933</v>
      </c>
      <c r="H41" s="44">
        <f>IN_1!H41+IN_2!H41+IN_3!H41+IN_4!H41</f>
        <v>0</v>
      </c>
      <c r="I41" s="39">
        <f>IN_1!I41+IN_2!I41+IN_3!I41+IN_4!I41</f>
        <v>0</v>
      </c>
      <c r="J41" s="39">
        <f>IN_1!J41+IN_2!J41+IN_3!J41+IN_4!J41</f>
        <v>2</v>
      </c>
      <c r="K41" s="45">
        <f>IN_1!K41+IN_2!K41+IN_3!K41+IN_4!K41</f>
        <v>0</v>
      </c>
      <c r="L41" s="140">
        <f>IN_1!L41+IN_2!L41+IN_3!L41+IN_4!L41</f>
        <v>15</v>
      </c>
      <c r="M41" s="149">
        <f t="shared" si="1"/>
        <v>17</v>
      </c>
      <c r="N41" s="100">
        <f t="shared" si="2"/>
        <v>1950</v>
      </c>
      <c r="O41" s="43">
        <f t="shared" si="3"/>
        <v>2188</v>
      </c>
    </row>
    <row r="42" spans="1:15" ht="22.5" customHeight="1" x14ac:dyDescent="0.3">
      <c r="A42" s="149" t="s">
        <v>211</v>
      </c>
      <c r="B42" s="44">
        <f>IN_1!B42+IN_2!B42+IN_3!B42+IN_4!B42</f>
        <v>1199</v>
      </c>
      <c r="C42" s="39">
        <f>IN_1!C42+IN_2!C42+IN_3!C42+IN_4!C42</f>
        <v>653</v>
      </c>
      <c r="D42" s="39">
        <f>IN_1!D42+IN_2!D42+IN_3!D42+IN_4!D42</f>
        <v>80</v>
      </c>
      <c r="E42" s="39">
        <f>IN_1!E42+IN_2!E42+IN_3!E42+IN_4!E42</f>
        <v>59</v>
      </c>
      <c r="F42" s="152">
        <f>IN_1!F42+IN_2!F42+IN_3!F42+IN_4!F42</f>
        <v>101</v>
      </c>
      <c r="G42" s="154">
        <f t="shared" si="4"/>
        <v>2092</v>
      </c>
      <c r="H42" s="44">
        <f>IN_1!H42+IN_2!H42+IN_3!H42+IN_4!H42</f>
        <v>0</v>
      </c>
      <c r="I42" s="39">
        <f>IN_1!I42+IN_2!I42+IN_3!I42+IN_4!I42</f>
        <v>0</v>
      </c>
      <c r="J42" s="39">
        <f>IN_1!J42+IN_2!J42+IN_3!J42+IN_4!J42</f>
        <v>0</v>
      </c>
      <c r="K42" s="45">
        <f>IN_1!K42+IN_2!K42+IN_3!K42+IN_4!K42</f>
        <v>0</v>
      </c>
      <c r="L42" s="140">
        <f>IN_1!L42+IN_2!L42+IN_3!L42+IN_4!L42</f>
        <v>11</v>
      </c>
      <c r="M42" s="149">
        <f t="shared" si="1"/>
        <v>11</v>
      </c>
      <c r="N42" s="100">
        <f t="shared" si="2"/>
        <v>2103</v>
      </c>
      <c r="O42" s="43">
        <f t="shared" si="3"/>
        <v>2365</v>
      </c>
    </row>
    <row r="43" spans="1:15" ht="22.5" customHeight="1" x14ac:dyDescent="0.3">
      <c r="A43" s="149" t="s">
        <v>212</v>
      </c>
      <c r="B43" s="44">
        <f>IN_1!B43+IN_2!B43+IN_3!B43+IN_4!B43</f>
        <v>1138</v>
      </c>
      <c r="C43" s="39">
        <f>IN_1!C43+IN_2!C43+IN_3!C43+IN_4!C43</f>
        <v>629</v>
      </c>
      <c r="D43" s="39">
        <f>IN_1!D43+IN_2!D43+IN_3!D43+IN_4!D43</f>
        <v>73</v>
      </c>
      <c r="E43" s="39">
        <f>IN_1!E43+IN_2!E43+IN_3!E43+IN_4!E43</f>
        <v>49</v>
      </c>
      <c r="F43" s="152">
        <f>IN_1!F43+IN_2!F43+IN_3!F43+IN_4!F43</f>
        <v>99</v>
      </c>
      <c r="G43" s="154">
        <f t="shared" si="4"/>
        <v>1988</v>
      </c>
      <c r="H43" s="44">
        <f>IN_1!H43+IN_2!H43+IN_3!H43+IN_4!H43</f>
        <v>1</v>
      </c>
      <c r="I43" s="39">
        <f>IN_1!I43+IN_2!I43+IN_3!I43+IN_4!I43</f>
        <v>0</v>
      </c>
      <c r="J43" s="39">
        <f>IN_1!J43+IN_2!J43+IN_3!J43+IN_4!J43</f>
        <v>0</v>
      </c>
      <c r="K43" s="45">
        <f>IN_1!K43+IN_2!K43+IN_3!K43+IN_4!K43</f>
        <v>0</v>
      </c>
      <c r="L43" s="140">
        <f>IN_1!L43+IN_2!L43+IN_3!L43+IN_4!L43</f>
        <v>17</v>
      </c>
      <c r="M43" s="149">
        <f t="shared" si="1"/>
        <v>18</v>
      </c>
      <c r="N43" s="100">
        <f t="shared" si="2"/>
        <v>2006</v>
      </c>
      <c r="O43" s="43">
        <f t="shared" si="3"/>
        <v>2291</v>
      </c>
    </row>
    <row r="44" spans="1:15" ht="22.5" customHeight="1" x14ac:dyDescent="0.3">
      <c r="A44" s="149" t="s">
        <v>213</v>
      </c>
      <c r="B44" s="44">
        <f>IN_1!B44+IN_2!B44+IN_3!B44+IN_4!B44</f>
        <v>1249</v>
      </c>
      <c r="C44" s="39">
        <f>IN_1!C44+IN_2!C44+IN_3!C44+IN_4!C44</f>
        <v>768</v>
      </c>
      <c r="D44" s="39">
        <f>IN_1!D44+IN_2!D44+IN_3!D44+IN_4!D44</f>
        <v>81</v>
      </c>
      <c r="E44" s="39">
        <f>IN_1!E44+IN_2!E44+IN_3!E44+IN_4!E44</f>
        <v>50</v>
      </c>
      <c r="F44" s="152">
        <f>IN_1!F44+IN_2!F44+IN_3!F44+IN_4!F44</f>
        <v>104</v>
      </c>
      <c r="G44" s="154">
        <f t="shared" si="4"/>
        <v>2252</v>
      </c>
      <c r="H44" s="44">
        <f>IN_1!H44+IN_2!H44+IN_3!H44+IN_4!H44</f>
        <v>2</v>
      </c>
      <c r="I44" s="39">
        <f>IN_1!I44+IN_2!I44+IN_3!I44+IN_4!I44</f>
        <v>0</v>
      </c>
      <c r="J44" s="39">
        <f>IN_1!J44+IN_2!J44+IN_3!J44+IN_4!J44</f>
        <v>0</v>
      </c>
      <c r="K44" s="45">
        <f>IN_1!K44+IN_2!K44+IN_3!K44+IN_4!K44</f>
        <v>0</v>
      </c>
      <c r="L44" s="140">
        <f>IN_1!L44+IN_2!L44+IN_3!L44+IN_4!L44</f>
        <v>19</v>
      </c>
      <c r="M44" s="149">
        <f t="shared" si="1"/>
        <v>21</v>
      </c>
      <c r="N44" s="100">
        <f t="shared" si="2"/>
        <v>2273</v>
      </c>
      <c r="O44" s="43">
        <f t="shared" si="3"/>
        <v>2525.5</v>
      </c>
    </row>
    <row r="45" spans="1:15" ht="22.5" customHeight="1" x14ac:dyDescent="0.3">
      <c r="A45" s="149" t="s">
        <v>214</v>
      </c>
      <c r="B45" s="44">
        <f>IN_1!B45+IN_2!B45+IN_3!B45+IN_4!B45</f>
        <v>1279</v>
      </c>
      <c r="C45" s="39">
        <f>IN_1!C45+IN_2!C45+IN_3!C45+IN_4!C45</f>
        <v>680</v>
      </c>
      <c r="D45" s="39">
        <f>IN_1!D45+IN_2!D45+IN_3!D45+IN_4!D45</f>
        <v>79</v>
      </c>
      <c r="E45" s="39">
        <f>IN_1!E45+IN_2!E45+IN_3!E45+IN_4!E45</f>
        <v>54</v>
      </c>
      <c r="F45" s="152">
        <f>IN_1!F45+IN_2!F45+IN_3!F45+IN_4!F45</f>
        <v>68</v>
      </c>
      <c r="G45" s="154">
        <f t="shared" si="4"/>
        <v>2160</v>
      </c>
      <c r="H45" s="44">
        <f>IN_1!H45+IN_2!H45+IN_3!H45+IN_4!H45</f>
        <v>0</v>
      </c>
      <c r="I45" s="39">
        <f>IN_1!I45+IN_2!I45+IN_3!I45+IN_4!I45</f>
        <v>0</v>
      </c>
      <c r="J45" s="39">
        <f>IN_1!J45+IN_2!J45+IN_3!J45+IN_4!J45</f>
        <v>1</v>
      </c>
      <c r="K45" s="45">
        <f>IN_1!K45+IN_2!K45+IN_3!K45+IN_4!K45</f>
        <v>0</v>
      </c>
      <c r="L45" s="140">
        <f>IN_1!L45+IN_2!L45+IN_3!L45+IN_4!L45</f>
        <v>18</v>
      </c>
      <c r="M45" s="149">
        <f t="shared" si="1"/>
        <v>19</v>
      </c>
      <c r="N45" s="100">
        <f t="shared" si="2"/>
        <v>2179</v>
      </c>
      <c r="O45" s="43">
        <f t="shared" si="3"/>
        <v>2352.5</v>
      </c>
    </row>
    <row r="46" spans="1:15" ht="22.5" customHeight="1" x14ac:dyDescent="0.3">
      <c r="A46" s="317" t="s">
        <v>215</v>
      </c>
      <c r="B46" s="310">
        <f>IN_1!B46+IN_2!B46+IN_3!B46+IN_4!B46</f>
        <v>1116</v>
      </c>
      <c r="C46" s="311">
        <f>IN_1!C46+IN_2!C46+IN_3!C46+IN_4!C46</f>
        <v>761</v>
      </c>
      <c r="D46" s="311">
        <f>IN_1!D46+IN_2!D46+IN_3!D46+IN_4!D46</f>
        <v>97</v>
      </c>
      <c r="E46" s="311">
        <f>IN_1!E46+IN_2!E46+IN_3!E46+IN_4!E46</f>
        <v>51</v>
      </c>
      <c r="F46" s="318">
        <f>IN_1!F46+IN_2!F46+IN_3!F46+IN_4!F46</f>
        <v>108</v>
      </c>
      <c r="G46" s="319">
        <f t="shared" si="4"/>
        <v>2133</v>
      </c>
      <c r="H46" s="310">
        <f>IN_1!H46+IN_2!H46+IN_3!H46+IN_4!H46</f>
        <v>1</v>
      </c>
      <c r="I46" s="311">
        <f>IN_1!I46+IN_2!I46+IN_3!I46+IN_4!I46</f>
        <v>0</v>
      </c>
      <c r="J46" s="311">
        <f>IN_1!J46+IN_2!J46+IN_3!J46+IN_4!J46</f>
        <v>1</v>
      </c>
      <c r="K46" s="313">
        <f>IN_1!K46+IN_2!K46+IN_3!K46+IN_4!K46</f>
        <v>0</v>
      </c>
      <c r="L46" s="320">
        <f>IN_1!L46+IN_2!L46+IN_3!L46+IN_4!L46</f>
        <v>24</v>
      </c>
      <c r="M46" s="317">
        <f t="shared" si="1"/>
        <v>26</v>
      </c>
      <c r="N46" s="321">
        <f t="shared" si="2"/>
        <v>2159</v>
      </c>
      <c r="O46" s="316">
        <f t="shared" si="3"/>
        <v>2476.5</v>
      </c>
    </row>
    <row r="47" spans="1:15" ht="22.5" customHeight="1" x14ac:dyDescent="0.3">
      <c r="A47" s="183" t="s">
        <v>216</v>
      </c>
      <c r="B47" s="122">
        <f>IN_1!B47+IN_2!B47+IN_3!B47+IN_4!B47</f>
        <v>1217</v>
      </c>
      <c r="C47" s="123">
        <f>IN_1!C47+IN_2!C47+IN_3!C47+IN_4!C47</f>
        <v>777</v>
      </c>
      <c r="D47" s="123">
        <f>IN_1!D47+IN_2!D47+IN_3!D47+IN_4!D47</f>
        <v>72</v>
      </c>
      <c r="E47" s="123">
        <f>IN_1!E47+IN_2!E47+IN_3!E47+IN_4!E47</f>
        <v>71</v>
      </c>
      <c r="F47" s="184">
        <f>IN_1!F47+IN_2!F47+IN_3!F47+IN_4!F47</f>
        <v>100</v>
      </c>
      <c r="G47" s="185">
        <f t="shared" si="4"/>
        <v>2237</v>
      </c>
      <c r="H47" s="122">
        <f>IN_1!H47+IN_2!H47+IN_3!H47+IN_4!H47</f>
        <v>0</v>
      </c>
      <c r="I47" s="123">
        <f>IN_1!I47+IN_2!I47+IN_3!I47+IN_4!I47</f>
        <v>0</v>
      </c>
      <c r="J47" s="123">
        <f>IN_1!J47+IN_2!J47+IN_3!J47+IN_4!J47</f>
        <v>0</v>
      </c>
      <c r="K47" s="124">
        <f>IN_1!K47+IN_2!K47+IN_3!K47+IN_4!K47</f>
        <v>0</v>
      </c>
      <c r="L47" s="186">
        <f>IN_1!L47+IN_2!L47+IN_3!L47+IN_4!L47</f>
        <v>15</v>
      </c>
      <c r="M47" s="183">
        <f t="shared" si="1"/>
        <v>15</v>
      </c>
      <c r="N47" s="187">
        <f t="shared" si="2"/>
        <v>2252</v>
      </c>
      <c r="O47" s="127">
        <f t="shared" si="3"/>
        <v>2496.5</v>
      </c>
    </row>
    <row r="48" spans="1:15" ht="22.5" customHeight="1" x14ac:dyDescent="0.3">
      <c r="A48" s="183" t="s">
        <v>217</v>
      </c>
      <c r="B48" s="122">
        <f>IN_1!B48+IN_2!B48+IN_3!B48+IN_4!B48</f>
        <v>1129</v>
      </c>
      <c r="C48" s="123">
        <f>IN_1!C48+IN_2!C48+IN_3!C48+IN_4!C48</f>
        <v>751</v>
      </c>
      <c r="D48" s="123">
        <f>IN_1!D48+IN_2!D48+IN_3!D48+IN_4!D48</f>
        <v>96</v>
      </c>
      <c r="E48" s="123">
        <f>IN_1!E48+IN_2!E48+IN_3!E48+IN_4!E48</f>
        <v>33</v>
      </c>
      <c r="F48" s="184">
        <f>IN_1!F48+IN_2!F48+IN_3!F48+IN_4!F48</f>
        <v>94</v>
      </c>
      <c r="G48" s="185">
        <f t="shared" si="4"/>
        <v>2103</v>
      </c>
      <c r="H48" s="122">
        <f>IN_1!H48+IN_2!H48+IN_3!H48+IN_4!H48</f>
        <v>2</v>
      </c>
      <c r="I48" s="123">
        <f>IN_1!I48+IN_2!I48+IN_3!I48+IN_4!I48</f>
        <v>0</v>
      </c>
      <c r="J48" s="123">
        <f>IN_1!J48+IN_2!J48+IN_3!J48+IN_4!J48</f>
        <v>0</v>
      </c>
      <c r="K48" s="124">
        <f>IN_1!K48+IN_2!K48+IN_3!K48+IN_4!K48</f>
        <v>0</v>
      </c>
      <c r="L48" s="186">
        <f>IN_1!L48+IN_2!L48+IN_3!L48+IN_4!L48</f>
        <v>21</v>
      </c>
      <c r="M48" s="183">
        <f t="shared" si="1"/>
        <v>23</v>
      </c>
      <c r="N48" s="187">
        <f t="shared" si="2"/>
        <v>2126</v>
      </c>
      <c r="O48" s="127">
        <f t="shared" si="3"/>
        <v>2339.5</v>
      </c>
    </row>
    <row r="49" spans="1:15" ht="22.5" customHeight="1" x14ac:dyDescent="0.3">
      <c r="A49" s="183" t="s">
        <v>218</v>
      </c>
      <c r="B49" s="122">
        <f>IN_1!B49+IN_2!B49+IN_3!B49+IN_4!B49</f>
        <v>1152</v>
      </c>
      <c r="C49" s="123">
        <f>IN_1!C49+IN_2!C49+IN_3!C49+IN_4!C49</f>
        <v>821</v>
      </c>
      <c r="D49" s="123">
        <f>IN_1!D49+IN_2!D49+IN_3!D49+IN_4!D49</f>
        <v>100</v>
      </c>
      <c r="E49" s="123">
        <f>IN_1!E49+IN_2!E49+IN_3!E49+IN_4!E49</f>
        <v>38</v>
      </c>
      <c r="F49" s="184">
        <f>IN_1!F49+IN_2!F49+IN_3!F49+IN_4!F49</f>
        <v>108</v>
      </c>
      <c r="G49" s="185">
        <f t="shared" si="4"/>
        <v>2219</v>
      </c>
      <c r="H49" s="122">
        <f>IN_1!H49+IN_2!H49+IN_3!H49+IN_4!H49</f>
        <v>1</v>
      </c>
      <c r="I49" s="123">
        <f>IN_1!I49+IN_2!I49+IN_3!I49+IN_4!I49</f>
        <v>0</v>
      </c>
      <c r="J49" s="123">
        <f>IN_1!J49+IN_2!J49+IN_3!J49+IN_4!J49</f>
        <v>0</v>
      </c>
      <c r="K49" s="124">
        <f>IN_1!K49+IN_2!K49+IN_3!K49+IN_4!K49</f>
        <v>0</v>
      </c>
      <c r="L49" s="186">
        <f>IN_1!L49+IN_2!L49+IN_3!L49+IN_4!L49</f>
        <v>24</v>
      </c>
      <c r="M49" s="183">
        <f t="shared" si="1"/>
        <v>25</v>
      </c>
      <c r="N49" s="187">
        <f t="shared" si="2"/>
        <v>2244</v>
      </c>
      <c r="O49" s="127">
        <f t="shared" si="3"/>
        <v>2505</v>
      </c>
    </row>
    <row r="50" spans="1:15" ht="22.5" customHeight="1" x14ac:dyDescent="0.3">
      <c r="A50" s="183" t="s">
        <v>219</v>
      </c>
      <c r="B50" s="122">
        <f>IN_1!B50+IN_2!B50+IN_3!B50+IN_4!B50</f>
        <v>1203</v>
      </c>
      <c r="C50" s="123">
        <f>IN_1!C50+IN_2!C50+IN_3!C50+IN_4!C50</f>
        <v>881</v>
      </c>
      <c r="D50" s="123">
        <f>IN_1!D50+IN_2!D50+IN_3!D50+IN_4!D50</f>
        <v>78</v>
      </c>
      <c r="E50" s="123">
        <f>IN_1!E50+IN_2!E50+IN_3!E50+IN_4!E50</f>
        <v>57</v>
      </c>
      <c r="F50" s="184">
        <f>IN_1!F50+IN_2!F50+IN_3!F50+IN_4!F50</f>
        <v>81</v>
      </c>
      <c r="G50" s="185">
        <f t="shared" si="4"/>
        <v>2300</v>
      </c>
      <c r="H50" s="122">
        <f>IN_1!H50+IN_2!H50+IN_3!H50+IN_4!H50</f>
        <v>1</v>
      </c>
      <c r="I50" s="123">
        <f>IN_1!I50+IN_2!I50+IN_3!I50+IN_4!I50</f>
        <v>0</v>
      </c>
      <c r="J50" s="123">
        <f>IN_1!J50+IN_2!J50+IN_3!J50+IN_4!J50</f>
        <v>0</v>
      </c>
      <c r="K50" s="124">
        <f>IN_1!K50+IN_2!K50+IN_3!K50+IN_4!K50</f>
        <v>0</v>
      </c>
      <c r="L50" s="186">
        <f>IN_1!L50+IN_2!L50+IN_3!L50+IN_4!L50</f>
        <v>34</v>
      </c>
      <c r="M50" s="183">
        <f t="shared" si="1"/>
        <v>35</v>
      </c>
      <c r="N50" s="187">
        <f t="shared" si="2"/>
        <v>2335</v>
      </c>
      <c r="O50" s="127">
        <f t="shared" si="3"/>
        <v>2568.5</v>
      </c>
    </row>
    <row r="51" spans="1:15" ht="22.5" customHeight="1" x14ac:dyDescent="0.3">
      <c r="A51" s="317" t="s">
        <v>220</v>
      </c>
      <c r="B51" s="310">
        <f>IN_1!B51+IN_2!B51+IN_3!B51+IN_4!B51</f>
        <v>1147</v>
      </c>
      <c r="C51" s="311">
        <f>IN_1!C51+IN_2!C51+IN_3!C51+IN_4!C51</f>
        <v>723</v>
      </c>
      <c r="D51" s="311">
        <f>IN_1!D51+IN_2!D51+IN_3!D51+IN_4!D51</f>
        <v>88</v>
      </c>
      <c r="E51" s="311">
        <f>IN_1!E51+IN_2!E51+IN_3!E51+IN_4!E51</f>
        <v>43</v>
      </c>
      <c r="F51" s="318">
        <f>IN_1!F51+IN_2!F51+IN_3!F51+IN_4!F51</f>
        <v>87</v>
      </c>
      <c r="G51" s="319">
        <f t="shared" si="4"/>
        <v>2088</v>
      </c>
      <c r="H51" s="310">
        <f>IN_1!H51+IN_2!H51+IN_3!H51+IN_4!H51</f>
        <v>1</v>
      </c>
      <c r="I51" s="311">
        <f>IN_1!I51+IN_2!I51+IN_3!I51+IN_4!I51</f>
        <v>0</v>
      </c>
      <c r="J51" s="311">
        <f>IN_1!J51+IN_2!J51+IN_3!J51+IN_4!J51</f>
        <v>0</v>
      </c>
      <c r="K51" s="313">
        <f>IN_1!K51+IN_2!K51+IN_3!K51+IN_4!K51</f>
        <v>0</v>
      </c>
      <c r="L51" s="320">
        <f>IN_1!L51+IN_2!L51+IN_3!L51+IN_4!L51</f>
        <v>23</v>
      </c>
      <c r="M51" s="317">
        <f t="shared" si="1"/>
        <v>24</v>
      </c>
      <c r="N51" s="321">
        <f t="shared" si="2"/>
        <v>2112</v>
      </c>
      <c r="O51" s="316">
        <f t="shared" si="3"/>
        <v>2345.5</v>
      </c>
    </row>
    <row r="52" spans="1:15" ht="22.5" customHeight="1" x14ac:dyDescent="0.3">
      <c r="A52" s="317" t="s">
        <v>221</v>
      </c>
      <c r="B52" s="310">
        <f>IN_1!B52+IN_2!B52+IN_3!B52+IN_4!B52</f>
        <v>996</v>
      </c>
      <c r="C52" s="311">
        <f>IN_1!C52+IN_2!C52+IN_3!C52+IN_4!C52</f>
        <v>633</v>
      </c>
      <c r="D52" s="311">
        <f>IN_1!D52+IN_2!D52+IN_3!D52+IN_4!D52</f>
        <v>85</v>
      </c>
      <c r="E52" s="311">
        <f>IN_1!E52+IN_2!E52+IN_3!E52+IN_4!E52</f>
        <v>51</v>
      </c>
      <c r="F52" s="318">
        <f>IN_1!F52+IN_2!F52+IN_3!F52+IN_4!F52</f>
        <v>80</v>
      </c>
      <c r="G52" s="319">
        <f t="shared" si="4"/>
        <v>1845</v>
      </c>
      <c r="H52" s="310">
        <f>IN_1!H52+IN_2!H52+IN_3!H52+IN_4!H52</f>
        <v>1</v>
      </c>
      <c r="I52" s="311">
        <f>IN_1!I52+IN_2!I52+IN_3!I52+IN_4!I52</f>
        <v>0</v>
      </c>
      <c r="J52" s="311">
        <f>IN_1!J52+IN_2!J52+IN_3!J52+IN_4!J52</f>
        <v>0</v>
      </c>
      <c r="K52" s="313">
        <f>IN_1!K52+IN_2!K52+IN_3!K52+IN_4!K52</f>
        <v>1</v>
      </c>
      <c r="L52" s="320">
        <f>IN_1!L52+IN_2!L52+IN_3!L52+IN_4!L52</f>
        <v>6</v>
      </c>
      <c r="M52" s="317">
        <f t="shared" si="1"/>
        <v>8</v>
      </c>
      <c r="N52" s="321">
        <f t="shared" si="2"/>
        <v>1853</v>
      </c>
      <c r="O52" s="316">
        <f t="shared" si="3"/>
        <v>2005.5</v>
      </c>
    </row>
    <row r="53" spans="1:15" ht="22.5" customHeight="1" x14ac:dyDescent="0.3">
      <c r="A53" s="317" t="s">
        <v>222</v>
      </c>
      <c r="B53" s="310">
        <f>IN_1!B53+IN_2!B53+IN_3!B53+IN_4!B53</f>
        <v>1039</v>
      </c>
      <c r="C53" s="311">
        <f>IN_1!C53+IN_2!C53+IN_3!C53+IN_4!C53</f>
        <v>668</v>
      </c>
      <c r="D53" s="311">
        <f>IN_1!D53+IN_2!D53+IN_3!D53+IN_4!D53</f>
        <v>84</v>
      </c>
      <c r="E53" s="311">
        <f>IN_1!E53+IN_2!E53+IN_3!E53+IN_4!E53</f>
        <v>33</v>
      </c>
      <c r="F53" s="318">
        <f>IN_1!F53+IN_2!F53+IN_3!F53+IN_4!F53</f>
        <v>116</v>
      </c>
      <c r="G53" s="319">
        <f t="shared" si="4"/>
        <v>1940</v>
      </c>
      <c r="H53" s="310">
        <f>IN_1!H53+IN_2!H53+IN_3!H53+IN_4!H53</f>
        <v>2</v>
      </c>
      <c r="I53" s="311">
        <f>IN_1!I53+IN_2!I53+IN_3!I53+IN_4!I53</f>
        <v>0</v>
      </c>
      <c r="J53" s="311">
        <f>IN_1!J53+IN_2!J53+IN_3!J53+IN_4!J53</f>
        <v>0</v>
      </c>
      <c r="K53" s="313">
        <f>IN_1!K53+IN_2!K53+IN_3!K53+IN_4!K53</f>
        <v>0</v>
      </c>
      <c r="L53" s="320">
        <f>IN_1!L53+IN_2!L53+IN_3!L53+IN_4!L53</f>
        <v>11</v>
      </c>
      <c r="M53" s="317">
        <f t="shared" si="1"/>
        <v>13</v>
      </c>
      <c r="N53" s="321">
        <f t="shared" si="2"/>
        <v>1953</v>
      </c>
      <c r="O53" s="316">
        <f t="shared" si="3"/>
        <v>2209</v>
      </c>
    </row>
    <row r="54" spans="1:15" ht="22.5" customHeight="1" x14ac:dyDescent="0.3">
      <c r="A54" s="149" t="s">
        <v>223</v>
      </c>
      <c r="B54" s="44">
        <f>IN_1!B54+IN_2!B54+IN_3!B54+IN_4!B54</f>
        <v>1075</v>
      </c>
      <c r="C54" s="39">
        <f>IN_1!C54+IN_2!C54+IN_3!C54+IN_4!C54</f>
        <v>726</v>
      </c>
      <c r="D54" s="39">
        <f>IN_1!D54+IN_2!D54+IN_3!D54+IN_4!D54</f>
        <v>76</v>
      </c>
      <c r="E54" s="39">
        <f>IN_1!E54+IN_2!E54+IN_3!E54+IN_4!E54</f>
        <v>39</v>
      </c>
      <c r="F54" s="152">
        <f>IN_1!F54+IN_2!F54+IN_3!F54+IN_4!F54</f>
        <v>118</v>
      </c>
      <c r="G54" s="154">
        <f t="shared" si="4"/>
        <v>2034</v>
      </c>
      <c r="H54" s="44">
        <f>IN_1!H54+IN_2!H54+IN_3!H54+IN_4!H54</f>
        <v>5</v>
      </c>
      <c r="I54" s="39">
        <f>IN_1!I54+IN_2!I54+IN_3!I54+IN_4!I54</f>
        <v>0</v>
      </c>
      <c r="J54" s="39">
        <f>IN_1!J54+IN_2!J54+IN_3!J54+IN_4!J54</f>
        <v>0</v>
      </c>
      <c r="K54" s="45">
        <f>IN_1!K54+IN_2!K54+IN_3!K54+IN_4!K54</f>
        <v>0</v>
      </c>
      <c r="L54" s="140">
        <f>IN_1!L54+IN_2!L54+IN_3!L54+IN_4!L54</f>
        <v>15</v>
      </c>
      <c r="M54" s="149">
        <f t="shared" si="1"/>
        <v>20</v>
      </c>
      <c r="N54" s="100">
        <f t="shared" si="2"/>
        <v>2054</v>
      </c>
      <c r="O54" s="43">
        <f t="shared" si="3"/>
        <v>2322.5</v>
      </c>
    </row>
    <row r="55" spans="1:15" ht="22.5" customHeight="1" x14ac:dyDescent="0.3">
      <c r="A55" s="149" t="s">
        <v>224</v>
      </c>
      <c r="B55" s="44">
        <f>IN_1!B55+IN_2!B55+IN_3!B55+IN_4!B55</f>
        <v>1037</v>
      </c>
      <c r="C55" s="39">
        <f>IN_1!C55+IN_2!C55+IN_3!C55+IN_4!C55</f>
        <v>687</v>
      </c>
      <c r="D55" s="39">
        <f>IN_1!D55+IN_2!D55+IN_3!D55+IN_4!D55</f>
        <v>81</v>
      </c>
      <c r="E55" s="39">
        <f>IN_1!E55+IN_2!E55+IN_3!E55+IN_4!E55</f>
        <v>45</v>
      </c>
      <c r="F55" s="152">
        <f>IN_1!F55+IN_2!F55+IN_3!F55+IN_4!F55</f>
        <v>102</v>
      </c>
      <c r="G55" s="154">
        <f t="shared" si="4"/>
        <v>1952</v>
      </c>
      <c r="H55" s="44">
        <f>IN_1!H55+IN_2!H55+IN_3!H55+IN_4!H55</f>
        <v>0</v>
      </c>
      <c r="I55" s="39">
        <f>IN_1!I55+IN_2!I55+IN_3!I55+IN_4!I55</f>
        <v>0</v>
      </c>
      <c r="J55" s="39">
        <f>IN_1!J55+IN_2!J55+IN_3!J55+IN_4!J55</f>
        <v>0</v>
      </c>
      <c r="K55" s="45">
        <f>IN_1!K55+IN_2!K55+IN_3!K55+IN_4!K55</f>
        <v>0</v>
      </c>
      <c r="L55" s="140">
        <f>IN_1!L55+IN_2!L55+IN_3!L55+IN_4!L55</f>
        <v>14</v>
      </c>
      <c r="M55" s="149">
        <f t="shared" si="1"/>
        <v>14</v>
      </c>
      <c r="N55" s="100">
        <f t="shared" si="2"/>
        <v>1966</v>
      </c>
      <c r="O55" s="43">
        <f t="shared" si="3"/>
        <v>2208</v>
      </c>
    </row>
    <row r="56" spans="1:15" ht="22.5" customHeight="1" x14ac:dyDescent="0.3">
      <c r="A56" s="149" t="s">
        <v>225</v>
      </c>
      <c r="B56" s="44">
        <f>IN_1!B56+IN_2!B56+IN_3!B56+IN_4!B56</f>
        <v>1023</v>
      </c>
      <c r="C56" s="39">
        <f>IN_1!C56+IN_2!C56+IN_3!C56+IN_4!C56</f>
        <v>788</v>
      </c>
      <c r="D56" s="39">
        <f>IN_1!D56+IN_2!D56+IN_3!D56+IN_4!D56</f>
        <v>61</v>
      </c>
      <c r="E56" s="39">
        <f>IN_1!E56+IN_2!E56+IN_3!E56+IN_4!E56</f>
        <v>48</v>
      </c>
      <c r="F56" s="152">
        <f>IN_1!F56+IN_2!F56+IN_3!F56+IN_4!F56</f>
        <v>83</v>
      </c>
      <c r="G56" s="154">
        <f t="shared" si="4"/>
        <v>2003</v>
      </c>
      <c r="H56" s="44">
        <f>IN_1!H56+IN_2!H56+IN_3!H56+IN_4!H56</f>
        <v>1</v>
      </c>
      <c r="I56" s="39">
        <f>IN_1!I56+IN_2!I56+IN_3!I56+IN_4!I56</f>
        <v>0</v>
      </c>
      <c r="J56" s="39">
        <f>IN_1!J56+IN_2!J56+IN_3!J56+IN_4!J56</f>
        <v>0</v>
      </c>
      <c r="K56" s="45">
        <f>IN_1!K56+IN_2!K56+IN_3!K56+IN_4!K56</f>
        <v>0</v>
      </c>
      <c r="L56" s="140">
        <f>IN_1!L56+IN_2!L56+IN_3!L56+IN_4!L56</f>
        <v>10</v>
      </c>
      <c r="M56" s="149">
        <f t="shared" si="1"/>
        <v>11</v>
      </c>
      <c r="N56" s="100">
        <f t="shared" si="2"/>
        <v>2014</v>
      </c>
      <c r="O56" s="43">
        <f t="shared" si="3"/>
        <v>2106.5</v>
      </c>
    </row>
    <row r="57" spans="1:15" ht="22.5" customHeight="1" x14ac:dyDescent="0.3">
      <c r="A57" s="149" t="s">
        <v>226</v>
      </c>
      <c r="B57" s="44">
        <f>IN_1!B57+IN_2!B57+IN_3!B57+IN_4!B57</f>
        <v>981</v>
      </c>
      <c r="C57" s="39">
        <f>IN_1!C57+IN_2!C57+IN_3!C57+IN_4!C57</f>
        <v>705</v>
      </c>
      <c r="D57" s="39">
        <f>IN_1!D57+IN_2!D57+IN_3!D57+IN_4!D57</f>
        <v>49</v>
      </c>
      <c r="E57" s="39">
        <f>IN_1!E57+IN_2!E57+IN_3!E57+IN_4!E57</f>
        <v>48</v>
      </c>
      <c r="F57" s="152">
        <f>IN_1!F57+IN_2!F57+IN_3!F57+IN_4!F57</f>
        <v>78</v>
      </c>
      <c r="G57" s="154">
        <f t="shared" si="4"/>
        <v>1861</v>
      </c>
      <c r="H57" s="44">
        <f>IN_1!H57+IN_2!H57+IN_3!H57+IN_4!H57</f>
        <v>0</v>
      </c>
      <c r="I57" s="39">
        <f>IN_1!I57+IN_2!I57+IN_3!I57+IN_4!I57</f>
        <v>0</v>
      </c>
      <c r="J57" s="39">
        <f>IN_1!J57+IN_2!J57+IN_3!J57+IN_4!J57</f>
        <v>2</v>
      </c>
      <c r="K57" s="45">
        <f>IN_1!K57+IN_2!K57+IN_3!K57+IN_4!K57</f>
        <v>0</v>
      </c>
      <c r="L57" s="140">
        <f>IN_1!L57+IN_2!L57+IN_3!L57+IN_4!L57</f>
        <v>4</v>
      </c>
      <c r="M57" s="149">
        <f t="shared" si="1"/>
        <v>6</v>
      </c>
      <c r="N57" s="100">
        <f t="shared" si="2"/>
        <v>1867</v>
      </c>
      <c r="O57" s="43">
        <f t="shared" si="3"/>
        <v>1940</v>
      </c>
    </row>
    <row r="58" spans="1:15" ht="22.5" customHeight="1" x14ac:dyDescent="0.3">
      <c r="A58" s="149" t="s">
        <v>227</v>
      </c>
      <c r="B58" s="44">
        <f>IN_1!B58+IN_2!B58+IN_3!B58+IN_4!B58</f>
        <v>914</v>
      </c>
      <c r="C58" s="39">
        <f>IN_1!C58+IN_2!C58+IN_3!C58+IN_4!C58</f>
        <v>486</v>
      </c>
      <c r="D58" s="39">
        <f>IN_1!D58+IN_2!D58+IN_3!D58+IN_4!D58</f>
        <v>47</v>
      </c>
      <c r="E58" s="39">
        <f>IN_1!E58+IN_2!E58+IN_3!E58+IN_4!E58</f>
        <v>47</v>
      </c>
      <c r="F58" s="152">
        <f>IN_1!F58+IN_2!F58+IN_3!F58+IN_4!F58</f>
        <v>117</v>
      </c>
      <c r="G58" s="154">
        <f t="shared" si="4"/>
        <v>1611</v>
      </c>
      <c r="H58" s="44">
        <f>IN_1!H58+IN_2!H58+IN_3!H58+IN_4!H58</f>
        <v>1</v>
      </c>
      <c r="I58" s="39">
        <f>IN_1!I58+IN_2!I58+IN_3!I58+IN_4!I58</f>
        <v>0</v>
      </c>
      <c r="J58" s="39">
        <f>IN_1!J58+IN_2!J58+IN_3!J58+IN_4!J58</f>
        <v>0</v>
      </c>
      <c r="K58" s="45">
        <f>IN_1!K58+IN_2!K58+IN_3!K58+IN_4!K58</f>
        <v>0</v>
      </c>
      <c r="L58" s="140">
        <f>IN_1!L58+IN_2!L58+IN_3!L58+IN_4!L58</f>
        <v>2</v>
      </c>
      <c r="M58" s="149">
        <f t="shared" si="1"/>
        <v>3</v>
      </c>
      <c r="N58" s="100">
        <f t="shared" si="2"/>
        <v>1614</v>
      </c>
      <c r="O58" s="43">
        <f t="shared" si="3"/>
        <v>1911.5</v>
      </c>
    </row>
    <row r="59" spans="1:15" ht="22.5" customHeight="1" x14ac:dyDescent="0.3">
      <c r="A59" s="149" t="s">
        <v>228</v>
      </c>
      <c r="B59" s="44">
        <f>IN_1!B59+IN_2!B59+IN_3!B59+IN_4!B59</f>
        <v>863</v>
      </c>
      <c r="C59" s="39">
        <f>IN_1!C59+IN_2!C59+IN_3!C59+IN_4!C59</f>
        <v>490</v>
      </c>
      <c r="D59" s="39">
        <f>IN_1!D59+IN_2!D59+IN_3!D59+IN_4!D59</f>
        <v>42</v>
      </c>
      <c r="E59" s="39">
        <f>IN_1!E59+IN_2!E59+IN_3!E59+IN_4!E59</f>
        <v>42</v>
      </c>
      <c r="F59" s="152">
        <f>IN_1!F59+IN_2!F59+IN_3!F59+IN_4!F59</f>
        <v>125</v>
      </c>
      <c r="G59" s="154">
        <f t="shared" si="4"/>
        <v>1562</v>
      </c>
      <c r="H59" s="44">
        <f>IN_1!H59+IN_2!H59+IN_3!H59+IN_4!H59</f>
        <v>0</v>
      </c>
      <c r="I59" s="39">
        <f>IN_1!I59+IN_2!I59+IN_3!I59+IN_4!I59</f>
        <v>0</v>
      </c>
      <c r="J59" s="39">
        <f>IN_1!J59+IN_2!J59+IN_3!J59+IN_4!J59</f>
        <v>0</v>
      </c>
      <c r="K59" s="45">
        <f>IN_1!K59+IN_2!K59+IN_3!K59+IN_4!K59</f>
        <v>0</v>
      </c>
      <c r="L59" s="140">
        <f>IN_1!L59+IN_2!L59+IN_3!L59+IN_4!L59</f>
        <v>1</v>
      </c>
      <c r="M59" s="149">
        <f t="shared" si="1"/>
        <v>1</v>
      </c>
      <c r="N59" s="100">
        <f t="shared" si="2"/>
        <v>1563</v>
      </c>
      <c r="O59" s="43">
        <f t="shared" si="3"/>
        <v>1867.5</v>
      </c>
    </row>
    <row r="60" spans="1:15" ht="22.5" customHeight="1" x14ac:dyDescent="0.3">
      <c r="A60" s="149" t="s">
        <v>229</v>
      </c>
      <c r="B60" s="44">
        <f>IN_1!B60+IN_2!B60+IN_3!B60+IN_4!B60</f>
        <v>802</v>
      </c>
      <c r="C60" s="39">
        <f>IN_1!C60+IN_2!C60+IN_3!C60+IN_4!C60</f>
        <v>434</v>
      </c>
      <c r="D60" s="39">
        <f>IN_1!D60+IN_2!D60+IN_3!D60+IN_4!D60</f>
        <v>53</v>
      </c>
      <c r="E60" s="39">
        <f>IN_1!E60+IN_2!E60+IN_3!E60+IN_4!E60</f>
        <v>33</v>
      </c>
      <c r="F60" s="152">
        <f>IN_1!F60+IN_2!F60+IN_3!F60+IN_4!F60</f>
        <v>128</v>
      </c>
      <c r="G60" s="154">
        <f t="shared" si="4"/>
        <v>1450</v>
      </c>
      <c r="H60" s="44">
        <f>IN_1!H60+IN_2!H60+IN_3!H60+IN_4!H60</f>
        <v>0</v>
      </c>
      <c r="I60" s="39">
        <f>IN_1!I60+IN_2!I60+IN_3!I60+IN_4!I60</f>
        <v>0</v>
      </c>
      <c r="J60" s="39">
        <f>IN_1!J60+IN_2!J60+IN_3!J60+IN_4!J60</f>
        <v>0</v>
      </c>
      <c r="K60" s="45">
        <f>IN_1!K60+IN_2!K60+IN_3!K60+IN_4!K60</f>
        <v>0</v>
      </c>
      <c r="L60" s="140">
        <f>IN_1!L60+IN_2!L60+IN_3!L60+IN_4!L60</f>
        <v>5</v>
      </c>
      <c r="M60" s="149">
        <f t="shared" si="1"/>
        <v>5</v>
      </c>
      <c r="N60" s="100">
        <f t="shared" si="2"/>
        <v>1455</v>
      </c>
      <c r="O60" s="43">
        <f t="shared" si="3"/>
        <v>1813.5</v>
      </c>
    </row>
    <row r="61" spans="1:15" ht="22.5" customHeight="1" x14ac:dyDescent="0.3">
      <c r="A61" s="149" t="s">
        <v>230</v>
      </c>
      <c r="B61" s="44">
        <f>IN_1!B61+IN_2!B61+IN_3!B61+IN_4!B61</f>
        <v>706</v>
      </c>
      <c r="C61" s="39">
        <f>IN_1!C61+IN_2!C61+IN_3!C61+IN_4!C61</f>
        <v>447</v>
      </c>
      <c r="D61" s="39">
        <f>IN_1!D61+IN_2!D61+IN_3!D61+IN_4!D61</f>
        <v>44</v>
      </c>
      <c r="E61" s="39">
        <f>IN_1!E61+IN_2!E61+IN_3!E61+IN_4!E61</f>
        <v>41</v>
      </c>
      <c r="F61" s="152">
        <f>IN_1!F61+IN_2!F61+IN_3!F61+IN_4!F61</f>
        <v>124</v>
      </c>
      <c r="G61" s="154">
        <f t="shared" si="4"/>
        <v>1362</v>
      </c>
      <c r="H61" s="44">
        <f>IN_1!H61+IN_2!H61+IN_3!H61+IN_4!H61</f>
        <v>0</v>
      </c>
      <c r="I61" s="39">
        <f>IN_1!I61+IN_2!I61+IN_3!I61+IN_4!I61</f>
        <v>0</v>
      </c>
      <c r="J61" s="39">
        <f>IN_1!J61+IN_2!J61+IN_3!J61+IN_4!J61</f>
        <v>0</v>
      </c>
      <c r="K61" s="45">
        <f>IN_1!K61+IN_2!K61+IN_3!K61+IN_4!K61</f>
        <v>0</v>
      </c>
      <c r="L61" s="140">
        <f>IN_1!L61+IN_2!L61+IN_3!L61+IN_4!L61</f>
        <v>4</v>
      </c>
      <c r="M61" s="149">
        <f t="shared" si="1"/>
        <v>4</v>
      </c>
      <c r="N61" s="100">
        <f t="shared" si="2"/>
        <v>1366</v>
      </c>
      <c r="O61" s="43">
        <f t="shared" si="3"/>
        <v>1708.5</v>
      </c>
    </row>
    <row r="62" spans="1:15" ht="22.5" customHeight="1" x14ac:dyDescent="0.3">
      <c r="A62" s="149" t="s">
        <v>231</v>
      </c>
      <c r="B62" s="44">
        <f>IN_1!B62+IN_2!B62+IN_3!B62+IN_4!B62</f>
        <v>710</v>
      </c>
      <c r="C62" s="39">
        <f>IN_1!C62+IN_2!C62+IN_3!C62+IN_4!C62</f>
        <v>327</v>
      </c>
      <c r="D62" s="39">
        <f>IN_1!D62+IN_2!D62+IN_3!D62+IN_4!D62</f>
        <v>43</v>
      </c>
      <c r="E62" s="39">
        <f>IN_1!E62+IN_2!E62+IN_3!E62+IN_4!E62</f>
        <v>40</v>
      </c>
      <c r="F62" s="152">
        <f>IN_1!F62+IN_2!F62+IN_3!F62+IN_4!F62</f>
        <v>149</v>
      </c>
      <c r="G62" s="154">
        <f t="shared" si="4"/>
        <v>1269</v>
      </c>
      <c r="H62" s="44">
        <f>IN_1!H62+IN_2!H62+IN_3!H62+IN_4!H62</f>
        <v>0</v>
      </c>
      <c r="I62" s="39">
        <f>IN_1!I62+IN_2!I62+IN_3!I62+IN_4!I62</f>
        <v>0</v>
      </c>
      <c r="J62" s="39">
        <f>IN_1!J62+IN_2!J62+IN_3!J62+IN_4!J62</f>
        <v>0</v>
      </c>
      <c r="K62" s="45">
        <f>IN_1!K62+IN_2!K62+IN_3!K62+IN_4!K62</f>
        <v>0</v>
      </c>
      <c r="L62" s="140">
        <f>IN_1!L62+IN_2!L62+IN_3!L62+IN_4!L62</f>
        <v>2</v>
      </c>
      <c r="M62" s="149">
        <f t="shared" si="1"/>
        <v>2</v>
      </c>
      <c r="N62" s="100">
        <f t="shared" si="2"/>
        <v>1271</v>
      </c>
      <c r="O62" s="43">
        <f t="shared" si="3"/>
        <v>1744.5</v>
      </c>
    </row>
    <row r="63" spans="1:15" ht="22.5" customHeight="1" x14ac:dyDescent="0.3">
      <c r="A63" s="149" t="s">
        <v>232</v>
      </c>
      <c r="B63" s="44">
        <f>IN_1!B63+IN_2!B63+IN_3!B63+IN_4!B63</f>
        <v>601</v>
      </c>
      <c r="C63" s="39">
        <f>IN_1!C63+IN_2!C63+IN_3!C63+IN_4!C63</f>
        <v>342</v>
      </c>
      <c r="D63" s="39">
        <f>IN_1!D63+IN_2!D63+IN_3!D63+IN_4!D63</f>
        <v>42</v>
      </c>
      <c r="E63" s="39">
        <f>IN_1!E63+IN_2!E63+IN_3!E63+IN_4!E63</f>
        <v>29</v>
      </c>
      <c r="F63" s="152">
        <f>IN_1!F63+IN_2!F63+IN_3!F63+IN_4!F63</f>
        <v>110</v>
      </c>
      <c r="G63" s="154">
        <f t="shared" si="4"/>
        <v>1124</v>
      </c>
      <c r="H63" s="44">
        <f>IN_1!H63+IN_2!H63+IN_3!H63+IN_4!H63</f>
        <v>0</v>
      </c>
      <c r="I63" s="39">
        <f>IN_1!I63+IN_2!I63+IN_3!I63+IN_4!I63</f>
        <v>0</v>
      </c>
      <c r="J63" s="39">
        <f>IN_1!J63+IN_2!J63+IN_3!J63+IN_4!J63</f>
        <v>0</v>
      </c>
      <c r="K63" s="45">
        <f>IN_1!K63+IN_2!K63+IN_3!K63+IN_4!K63</f>
        <v>0</v>
      </c>
      <c r="L63" s="140">
        <f>IN_1!L63+IN_2!L63+IN_3!L63+IN_4!L63</f>
        <v>2</v>
      </c>
      <c r="M63" s="149">
        <f t="shared" si="1"/>
        <v>2</v>
      </c>
      <c r="N63" s="100">
        <f t="shared" si="2"/>
        <v>1126</v>
      </c>
      <c r="O63" s="43">
        <f t="shared" si="3"/>
        <v>1433</v>
      </c>
    </row>
    <row r="64" spans="1:15" ht="22.5" customHeight="1" x14ac:dyDescent="0.3">
      <c r="A64" s="149" t="s">
        <v>233</v>
      </c>
      <c r="B64" s="44">
        <f>IN_1!B64+IN_2!B64+IN_3!B64+IN_4!B64</f>
        <v>539</v>
      </c>
      <c r="C64" s="39">
        <f>IN_1!C64+IN_2!C64+IN_3!C64+IN_4!C64</f>
        <v>197</v>
      </c>
      <c r="D64" s="39">
        <f>IN_1!D64+IN_2!D64+IN_3!D64+IN_4!D64</f>
        <v>61</v>
      </c>
      <c r="E64" s="39">
        <f>IN_1!E64+IN_2!E64+IN_3!E64+IN_4!E64</f>
        <v>39</v>
      </c>
      <c r="F64" s="152">
        <f>IN_1!F64+IN_2!F64+IN_3!F64+IN_4!F64</f>
        <v>107</v>
      </c>
      <c r="G64" s="154">
        <f t="shared" si="4"/>
        <v>943</v>
      </c>
      <c r="H64" s="44">
        <f>IN_1!H64+IN_2!H64+IN_3!H64+IN_4!H64</f>
        <v>0</v>
      </c>
      <c r="I64" s="39">
        <f>IN_1!I64+IN_2!I64+IN_3!I64+IN_4!I64</f>
        <v>0</v>
      </c>
      <c r="J64" s="39">
        <f>IN_1!J64+IN_2!J64+IN_3!J64+IN_4!J64</f>
        <v>0</v>
      </c>
      <c r="K64" s="45">
        <f>IN_1!K64+IN_2!K64+IN_3!K64+IN_4!K64</f>
        <v>0</v>
      </c>
      <c r="L64" s="140">
        <f>IN_1!L64+IN_2!L64+IN_3!L64+IN_4!L64</f>
        <v>2</v>
      </c>
      <c r="M64" s="149">
        <f t="shared" si="1"/>
        <v>2</v>
      </c>
      <c r="N64" s="100">
        <f t="shared" si="2"/>
        <v>945</v>
      </c>
      <c r="O64" s="43">
        <f t="shared" si="3"/>
        <v>1343.5</v>
      </c>
    </row>
    <row r="65" spans="1:15" ht="22.5" customHeight="1" x14ac:dyDescent="0.3">
      <c r="A65" s="149" t="s">
        <v>234</v>
      </c>
      <c r="B65" s="44">
        <f>IN_1!B65+IN_2!B65+IN_3!B65+IN_4!B65</f>
        <v>472</v>
      </c>
      <c r="C65" s="39">
        <f>IN_1!C65+IN_2!C65+IN_3!C65+IN_4!C65</f>
        <v>174</v>
      </c>
      <c r="D65" s="39">
        <f>IN_1!D65+IN_2!D65+IN_3!D65+IN_4!D65</f>
        <v>62</v>
      </c>
      <c r="E65" s="39">
        <f>IN_1!E65+IN_2!E65+IN_3!E65+IN_4!E65</f>
        <v>31</v>
      </c>
      <c r="F65" s="152">
        <f>IN_1!F65+IN_2!F65+IN_3!F65+IN_4!F65</f>
        <v>131</v>
      </c>
      <c r="G65" s="154">
        <f t="shared" si="4"/>
        <v>870</v>
      </c>
      <c r="H65" s="44">
        <f>IN_1!H65+IN_2!H65+IN_3!H65+IN_4!H65</f>
        <v>0</v>
      </c>
      <c r="I65" s="39">
        <f>IN_1!I65+IN_2!I65+IN_3!I65+IN_4!I65</f>
        <v>0</v>
      </c>
      <c r="J65" s="39">
        <f>IN_1!J65+IN_2!J65+IN_3!J65+IN_4!J65</f>
        <v>0</v>
      </c>
      <c r="K65" s="45">
        <f>IN_1!K65+IN_2!K65+IN_3!K65+IN_4!K65</f>
        <v>0</v>
      </c>
      <c r="L65" s="140">
        <f>IN_1!L65+IN_2!L65+IN_3!L65+IN_4!L65</f>
        <v>2</v>
      </c>
      <c r="M65" s="149">
        <f t="shared" si="1"/>
        <v>2</v>
      </c>
      <c r="N65" s="100">
        <f t="shared" si="2"/>
        <v>872</v>
      </c>
      <c r="O65" s="43">
        <f t="shared" si="3"/>
        <v>1350.5</v>
      </c>
    </row>
    <row r="66" spans="1:15" ht="22.5" customHeight="1" x14ac:dyDescent="0.3">
      <c r="A66" s="149" t="s">
        <v>235</v>
      </c>
      <c r="B66" s="44">
        <f>IN_1!B66+IN_2!B66+IN_3!B66+IN_4!B66</f>
        <v>421</v>
      </c>
      <c r="C66" s="39">
        <f>IN_1!C66+IN_2!C66+IN_3!C66+IN_4!C66</f>
        <v>176</v>
      </c>
      <c r="D66" s="39">
        <f>IN_1!D66+IN_2!D66+IN_3!D66+IN_4!D66</f>
        <v>53</v>
      </c>
      <c r="E66" s="39">
        <f>IN_1!E66+IN_2!E66+IN_3!E66+IN_4!E66</f>
        <v>34</v>
      </c>
      <c r="F66" s="152">
        <f>IN_1!F66+IN_2!F66+IN_3!F66+IN_4!F66</f>
        <v>132</v>
      </c>
      <c r="G66" s="154">
        <f t="shared" si="4"/>
        <v>816</v>
      </c>
      <c r="H66" s="44">
        <f>IN_1!H66+IN_2!H66+IN_3!H66+IN_4!H66</f>
        <v>0</v>
      </c>
      <c r="I66" s="39">
        <f>IN_1!I66+IN_2!I66+IN_3!I66+IN_4!I66</f>
        <v>0</v>
      </c>
      <c r="J66" s="39">
        <f>IN_1!J66+IN_2!J66+IN_3!J66+IN_4!J66</f>
        <v>0</v>
      </c>
      <c r="K66" s="45">
        <f>IN_1!K66+IN_2!K66+IN_3!K66+IN_4!K66</f>
        <v>0</v>
      </c>
      <c r="L66" s="140">
        <f>IN_1!L66+IN_2!L66+IN_3!L66+IN_4!L66</f>
        <v>2</v>
      </c>
      <c r="M66" s="149">
        <f t="shared" si="1"/>
        <v>2</v>
      </c>
      <c r="N66" s="100">
        <f t="shared" si="2"/>
        <v>818</v>
      </c>
      <c r="O66" s="43">
        <f t="shared" si="3"/>
        <v>1300.5</v>
      </c>
    </row>
    <row r="67" spans="1:15" ht="22.5" customHeight="1" x14ac:dyDescent="0.3">
      <c r="A67" s="149" t="s">
        <v>236</v>
      </c>
      <c r="B67" s="44">
        <f>IN_1!B67+IN_2!B67+IN_3!B67+IN_4!B67</f>
        <v>383</v>
      </c>
      <c r="C67" s="39">
        <f>IN_1!C67+IN_2!C67+IN_3!C67+IN_4!C67</f>
        <v>168</v>
      </c>
      <c r="D67" s="39">
        <f>IN_1!D67+IN_2!D67+IN_3!D67+IN_4!D67</f>
        <v>62</v>
      </c>
      <c r="E67" s="39">
        <f>IN_1!E67+IN_2!E67+IN_3!E67+IN_4!E67</f>
        <v>28</v>
      </c>
      <c r="F67" s="152">
        <f>IN_1!F67+IN_2!F67+IN_3!F67+IN_4!F67</f>
        <v>94</v>
      </c>
      <c r="G67" s="154">
        <f t="shared" si="4"/>
        <v>735</v>
      </c>
      <c r="H67" s="44">
        <f>IN_1!H67+IN_2!H67+IN_3!H67+IN_4!H67</f>
        <v>0</v>
      </c>
      <c r="I67" s="39">
        <f>IN_1!I67+IN_2!I67+IN_3!I67+IN_4!I67</f>
        <v>0</v>
      </c>
      <c r="J67" s="39">
        <f>IN_1!J67+IN_2!J67+IN_3!J67+IN_4!J67</f>
        <v>0</v>
      </c>
      <c r="K67" s="45">
        <f>IN_1!K67+IN_2!K67+IN_3!K67+IN_4!K67</f>
        <v>0</v>
      </c>
      <c r="L67" s="140">
        <f>IN_1!L67+IN_2!L67+IN_3!L67+IN_4!L67</f>
        <v>1</v>
      </c>
      <c r="M67" s="149">
        <f t="shared" si="1"/>
        <v>1</v>
      </c>
      <c r="N67" s="100">
        <f t="shared" si="2"/>
        <v>736</v>
      </c>
      <c r="O67" s="43">
        <f t="shared" si="3"/>
        <v>1075</v>
      </c>
    </row>
    <row r="68" spans="1:15" ht="22.5" customHeight="1" x14ac:dyDescent="0.3">
      <c r="A68" s="149" t="s">
        <v>237</v>
      </c>
      <c r="B68" s="44">
        <f>IN_1!B68+IN_2!B68+IN_3!B68+IN_4!B68</f>
        <v>350</v>
      </c>
      <c r="C68" s="39">
        <f>IN_1!C68+IN_2!C68+IN_3!C68+IN_4!C68</f>
        <v>123</v>
      </c>
      <c r="D68" s="39">
        <f>IN_1!D68+IN_2!D68+IN_3!D68+IN_4!D68</f>
        <v>59</v>
      </c>
      <c r="E68" s="39">
        <f>IN_1!E68+IN_2!E68+IN_3!E68+IN_4!E68</f>
        <v>37</v>
      </c>
      <c r="F68" s="152">
        <f>IN_1!F68+IN_2!F68+IN_3!F68+IN_4!F68</f>
        <v>113</v>
      </c>
      <c r="G68" s="154">
        <f t="shared" si="4"/>
        <v>682</v>
      </c>
      <c r="H68" s="44">
        <f>IN_1!H68+IN_2!H68+IN_3!H68+IN_4!H68</f>
        <v>0</v>
      </c>
      <c r="I68" s="39">
        <f>IN_1!I68+IN_2!I68+IN_3!I68+IN_4!I68</f>
        <v>0</v>
      </c>
      <c r="J68" s="39">
        <f>IN_1!J68+IN_2!J68+IN_3!J68+IN_4!J68</f>
        <v>0</v>
      </c>
      <c r="K68" s="45">
        <f>IN_1!K68+IN_2!K68+IN_3!K68+IN_4!K68</f>
        <v>0</v>
      </c>
      <c r="L68" s="140">
        <f>IN_1!L68+IN_2!L68+IN_3!L68+IN_4!L68</f>
        <v>0</v>
      </c>
      <c r="M68" s="149">
        <f t="shared" si="1"/>
        <v>0</v>
      </c>
      <c r="N68" s="100">
        <f t="shared" si="2"/>
        <v>682</v>
      </c>
      <c r="O68" s="43">
        <f t="shared" si="3"/>
        <v>1119.5</v>
      </c>
    </row>
    <row r="69" spans="1:15" ht="22.5" customHeight="1" x14ac:dyDescent="0.3">
      <c r="A69" s="149" t="s">
        <v>238</v>
      </c>
      <c r="B69" s="44">
        <f>IN_1!B69+IN_2!B69+IN_3!B69+IN_4!B69</f>
        <v>335</v>
      </c>
      <c r="C69" s="39">
        <f>IN_1!C69+IN_2!C69+IN_3!C69+IN_4!C69</f>
        <v>123</v>
      </c>
      <c r="D69" s="39">
        <f>IN_1!D69+IN_2!D69+IN_3!D69+IN_4!D69</f>
        <v>27</v>
      </c>
      <c r="E69" s="39">
        <f>IN_1!E69+IN_2!E69+IN_3!E69+IN_4!E69</f>
        <v>35</v>
      </c>
      <c r="F69" s="152">
        <f>IN_1!F69+IN_2!F69+IN_3!F69+IN_4!F69</f>
        <v>98</v>
      </c>
      <c r="G69" s="154">
        <f t="shared" si="4"/>
        <v>618</v>
      </c>
      <c r="H69" s="44">
        <f>IN_1!H69+IN_2!H69+IN_3!H69+IN_4!H69</f>
        <v>0</v>
      </c>
      <c r="I69" s="39">
        <f>IN_1!I69+IN_2!I69+IN_3!I69+IN_4!I69</f>
        <v>0</v>
      </c>
      <c r="J69" s="39">
        <f>IN_1!J69+IN_2!J69+IN_3!J69+IN_4!J69</f>
        <v>0</v>
      </c>
      <c r="K69" s="45">
        <f>IN_1!K69+IN_2!K69+IN_3!K69+IN_4!K69</f>
        <v>0</v>
      </c>
      <c r="L69" s="140">
        <f>IN_1!L69+IN_2!L69+IN_3!L69+IN_4!L69</f>
        <v>2</v>
      </c>
      <c r="M69" s="149">
        <f t="shared" si="1"/>
        <v>2</v>
      </c>
      <c r="N69" s="100">
        <f t="shared" si="2"/>
        <v>620</v>
      </c>
      <c r="O69" s="43">
        <f t="shared" si="3"/>
        <v>999</v>
      </c>
    </row>
    <row r="70" spans="1:15" ht="22.5" customHeight="1" x14ac:dyDescent="0.3">
      <c r="A70" s="149" t="s">
        <v>239</v>
      </c>
      <c r="B70" s="44">
        <f>IN_1!B70+IN_2!B70+IN_3!B70+IN_4!B70</f>
        <v>251</v>
      </c>
      <c r="C70" s="39">
        <f>IN_1!C70+IN_2!C70+IN_3!C70+IN_4!C70</f>
        <v>106</v>
      </c>
      <c r="D70" s="39">
        <f>IN_1!D70+IN_2!D70+IN_3!D70+IN_4!D70</f>
        <v>48</v>
      </c>
      <c r="E70" s="39">
        <f>IN_1!E70+IN_2!E70+IN_3!E70+IN_4!E70</f>
        <v>38</v>
      </c>
      <c r="F70" s="152">
        <f>IN_1!F70+IN_2!F70+IN_3!F70+IN_4!F70</f>
        <v>122</v>
      </c>
      <c r="G70" s="154">
        <f t="shared" si="4"/>
        <v>565</v>
      </c>
      <c r="H70" s="44">
        <f>IN_1!H70+IN_2!H70+IN_3!H70+IN_4!H70</f>
        <v>0</v>
      </c>
      <c r="I70" s="39">
        <f>IN_1!I70+IN_2!I70+IN_3!I70+IN_4!I70</f>
        <v>0</v>
      </c>
      <c r="J70" s="39">
        <f>IN_1!J70+IN_2!J70+IN_3!J70+IN_4!J70</f>
        <v>0</v>
      </c>
      <c r="K70" s="45">
        <f>IN_1!K70+IN_2!K70+IN_3!K70+IN_4!K70</f>
        <v>0</v>
      </c>
      <c r="L70" s="140">
        <f>IN_1!L70+IN_2!L70+IN_3!L70+IN_4!L70</f>
        <v>4</v>
      </c>
      <c r="M70" s="149">
        <f t="shared" si="1"/>
        <v>4</v>
      </c>
      <c r="N70" s="100">
        <f t="shared" si="2"/>
        <v>569</v>
      </c>
      <c r="O70" s="43">
        <f t="shared" si="3"/>
        <v>1071</v>
      </c>
    </row>
    <row r="71" spans="1:15" ht="22.5" customHeight="1" x14ac:dyDescent="0.3">
      <c r="A71" s="149" t="s">
        <v>240</v>
      </c>
      <c r="B71" s="44">
        <f>IN_1!B71+IN_2!B71+IN_3!B71+IN_4!B71</f>
        <v>217</v>
      </c>
      <c r="C71" s="39">
        <f>IN_1!C71+IN_2!C71+IN_3!C71+IN_4!C71</f>
        <v>81</v>
      </c>
      <c r="D71" s="39">
        <f>IN_1!D71+IN_2!D71+IN_3!D71+IN_4!D71</f>
        <v>30</v>
      </c>
      <c r="E71" s="39">
        <f>IN_1!E71+IN_2!E71+IN_3!E71+IN_4!E71</f>
        <v>37</v>
      </c>
      <c r="F71" s="152">
        <f>IN_1!F71+IN_2!F71+IN_3!F71+IN_4!F71</f>
        <v>113</v>
      </c>
      <c r="G71" s="154">
        <f t="shared" si="4"/>
        <v>478</v>
      </c>
      <c r="H71" s="44">
        <f>IN_1!H71+IN_2!H71+IN_3!H71+IN_4!H71</f>
        <v>0</v>
      </c>
      <c r="I71" s="39">
        <f>IN_1!I71+IN_2!I71+IN_3!I71+IN_4!I71</f>
        <v>0</v>
      </c>
      <c r="J71" s="39">
        <f>IN_1!J71+IN_2!J71+IN_3!J71+IN_4!J71</f>
        <v>0</v>
      </c>
      <c r="K71" s="45">
        <f>IN_1!K71+IN_2!K71+IN_3!K71+IN_4!K71</f>
        <v>0</v>
      </c>
      <c r="L71" s="140">
        <f>IN_1!L71+IN_2!L71+IN_3!L71+IN_4!L71</f>
        <v>3</v>
      </c>
      <c r="M71" s="149">
        <f t="shared" si="1"/>
        <v>3</v>
      </c>
      <c r="N71" s="100">
        <f t="shared" si="2"/>
        <v>481</v>
      </c>
      <c r="O71" s="43">
        <f t="shared" si="3"/>
        <v>946</v>
      </c>
    </row>
    <row r="72" spans="1:15" ht="22.5" customHeight="1" x14ac:dyDescent="0.3">
      <c r="A72" s="149" t="s">
        <v>153</v>
      </c>
      <c r="B72" s="44">
        <f>IN_1!B72+IN_2!B72+IN_3!B72+IN_4!B72</f>
        <v>158</v>
      </c>
      <c r="C72" s="39">
        <f>IN_1!C72+IN_2!C72+IN_3!C72+IN_4!C72</f>
        <v>120</v>
      </c>
      <c r="D72" s="39">
        <f>IN_1!D72+IN_2!D72+IN_3!D72+IN_4!D72</f>
        <v>63</v>
      </c>
      <c r="E72" s="39">
        <f>IN_1!E72+IN_2!E72+IN_3!E72+IN_4!E72</f>
        <v>19</v>
      </c>
      <c r="F72" s="152">
        <f>IN_1!F72+IN_2!F72+IN_3!F72+IN_4!F72</f>
        <v>87</v>
      </c>
      <c r="G72" s="154">
        <f t="shared" ref="G72:G103" si="5">SUM(B72:F72)</f>
        <v>447</v>
      </c>
      <c r="H72" s="44">
        <f>IN_1!H72+IN_2!H72+IN_3!H72+IN_4!H72</f>
        <v>0</v>
      </c>
      <c r="I72" s="39">
        <f>IN_1!I72+IN_2!I72+IN_3!I72+IN_4!I72</f>
        <v>0</v>
      </c>
      <c r="J72" s="39">
        <f>IN_1!J72+IN_2!J72+IN_3!J72+IN_4!J72</f>
        <v>0</v>
      </c>
      <c r="K72" s="45">
        <f>IN_1!K72+IN_2!K72+IN_3!K72+IN_4!K72</f>
        <v>0</v>
      </c>
      <c r="L72" s="140">
        <f>IN_1!L72+IN_2!L72+IN_3!L72+IN_4!L72</f>
        <v>5</v>
      </c>
      <c r="M72" s="149">
        <f t="shared" si="1"/>
        <v>5</v>
      </c>
      <c r="N72" s="100">
        <f t="shared" si="2"/>
        <v>452</v>
      </c>
      <c r="O72" s="43">
        <f t="shared" si="3"/>
        <v>801</v>
      </c>
    </row>
    <row r="73" spans="1:15" ht="22.5" customHeight="1" x14ac:dyDescent="0.3">
      <c r="A73" s="149" t="s">
        <v>154</v>
      </c>
      <c r="B73" s="44">
        <f>IN_1!B73+IN_2!B73+IN_3!B73+IN_4!B73</f>
        <v>170</v>
      </c>
      <c r="C73" s="39">
        <f>IN_1!C73+IN_2!C73+IN_3!C73+IN_4!C73</f>
        <v>89</v>
      </c>
      <c r="D73" s="39">
        <f>IN_1!D73+IN_2!D73+IN_3!D73+IN_4!D73</f>
        <v>49</v>
      </c>
      <c r="E73" s="39">
        <f>IN_1!E73+IN_2!E73+IN_3!E73+IN_4!E73</f>
        <v>27</v>
      </c>
      <c r="F73" s="152">
        <f>IN_1!F73+IN_2!F73+IN_3!F73+IN_4!F73</f>
        <v>63</v>
      </c>
      <c r="G73" s="154">
        <f t="shared" si="5"/>
        <v>398</v>
      </c>
      <c r="H73" s="44">
        <f>IN_1!H73+IN_2!H73+IN_3!H73+IN_4!H73</f>
        <v>1</v>
      </c>
      <c r="I73" s="39">
        <f>IN_1!I73+IN_2!I73+IN_3!I73+IN_4!I73</f>
        <v>0</v>
      </c>
      <c r="J73" s="39">
        <f>IN_1!J73+IN_2!J73+IN_3!J73+IN_4!J73</f>
        <v>0</v>
      </c>
      <c r="K73" s="45">
        <f>IN_1!K73+IN_2!K73+IN_3!K73+IN_4!K73</f>
        <v>0</v>
      </c>
      <c r="L73" s="140">
        <f>IN_1!L73+IN_2!L73+IN_3!L73+IN_4!L73</f>
        <v>0</v>
      </c>
      <c r="M73" s="149">
        <f t="shared" ref="M73:M103" si="6">SUM(H73:L73)</f>
        <v>1</v>
      </c>
      <c r="N73" s="100">
        <f t="shared" ref="N73:N103" si="7">G73+M73</f>
        <v>399</v>
      </c>
      <c r="O73" s="43">
        <f t="shared" ref="O73:O103" si="8">B73*1+C73*0.5+D73*1.5+E73*3+F73*4.5+H73*0.5+I73*1.5+J73*3+K73*4+L73*8</f>
        <v>653</v>
      </c>
    </row>
    <row r="74" spans="1:15" ht="22.5" customHeight="1" x14ac:dyDescent="0.3">
      <c r="A74" s="149" t="s">
        <v>155</v>
      </c>
      <c r="B74" s="44">
        <f>IN_1!B74+IN_2!B74+IN_3!B74+IN_4!B74</f>
        <v>166</v>
      </c>
      <c r="C74" s="39">
        <f>IN_1!C74+IN_2!C74+IN_3!C74+IN_4!C74</f>
        <v>63</v>
      </c>
      <c r="D74" s="39">
        <f>IN_1!D74+IN_2!D74+IN_3!D74+IN_4!D74</f>
        <v>58</v>
      </c>
      <c r="E74" s="39">
        <f>IN_1!E74+IN_2!E74+IN_3!E74+IN_4!E74</f>
        <v>29</v>
      </c>
      <c r="F74" s="152">
        <f>IN_1!F74+IN_2!F74+IN_3!F74+IN_4!F74</f>
        <v>67</v>
      </c>
      <c r="G74" s="154">
        <f t="shared" si="5"/>
        <v>383</v>
      </c>
      <c r="H74" s="44">
        <f>IN_1!H74+IN_2!H74+IN_3!H74+IN_4!H74</f>
        <v>0</v>
      </c>
      <c r="I74" s="39">
        <f>IN_1!I74+IN_2!I74+IN_3!I74+IN_4!I74</f>
        <v>0</v>
      </c>
      <c r="J74" s="39">
        <f>IN_1!J74+IN_2!J74+IN_3!J74+IN_4!J74</f>
        <v>0</v>
      </c>
      <c r="K74" s="45">
        <f>IN_1!K74+IN_2!K74+IN_3!K74+IN_4!K74</f>
        <v>0</v>
      </c>
      <c r="L74" s="140">
        <f>IN_1!L74+IN_2!L74+IN_3!L74+IN_4!L74</f>
        <v>0</v>
      </c>
      <c r="M74" s="149">
        <f t="shared" si="6"/>
        <v>0</v>
      </c>
      <c r="N74" s="100">
        <f t="shared" si="7"/>
        <v>383</v>
      </c>
      <c r="O74" s="43">
        <f t="shared" si="8"/>
        <v>673</v>
      </c>
    </row>
    <row r="75" spans="1:15" ht="22.5" customHeight="1" x14ac:dyDescent="0.3">
      <c r="A75" s="149" t="s">
        <v>156</v>
      </c>
      <c r="B75" s="44">
        <f>IN_1!B75+IN_2!B75+IN_3!B75+IN_4!B75</f>
        <v>150</v>
      </c>
      <c r="C75" s="39">
        <f>IN_1!C75+IN_2!C75+IN_3!C75+IN_4!C75</f>
        <v>64</v>
      </c>
      <c r="D75" s="39">
        <f>IN_1!D75+IN_2!D75+IN_3!D75+IN_4!D75</f>
        <v>53</v>
      </c>
      <c r="E75" s="39">
        <f>IN_1!E75+IN_2!E75+IN_3!E75+IN_4!E75</f>
        <v>29</v>
      </c>
      <c r="F75" s="152">
        <f>IN_1!F75+IN_2!F75+IN_3!F75+IN_4!F75</f>
        <v>70</v>
      </c>
      <c r="G75" s="154">
        <f t="shared" si="5"/>
        <v>366</v>
      </c>
      <c r="H75" s="44">
        <f>IN_1!H75+IN_2!H75+IN_3!H75+IN_4!H75</f>
        <v>0</v>
      </c>
      <c r="I75" s="39">
        <f>IN_1!I75+IN_2!I75+IN_3!I75+IN_4!I75</f>
        <v>0</v>
      </c>
      <c r="J75" s="39">
        <f>IN_1!J75+IN_2!J75+IN_3!J75+IN_4!J75</f>
        <v>0</v>
      </c>
      <c r="K75" s="45">
        <f>IN_1!K75+IN_2!K75+IN_3!K75+IN_4!K75</f>
        <v>0</v>
      </c>
      <c r="L75" s="140">
        <f>IN_1!L75+IN_2!L75+IN_3!L75+IN_4!L75</f>
        <v>1</v>
      </c>
      <c r="M75" s="149">
        <f t="shared" si="6"/>
        <v>1</v>
      </c>
      <c r="N75" s="100">
        <f t="shared" si="7"/>
        <v>367</v>
      </c>
      <c r="O75" s="43">
        <f t="shared" si="8"/>
        <v>671.5</v>
      </c>
    </row>
    <row r="76" spans="1:15" ht="22.5" customHeight="1" x14ac:dyDescent="0.3">
      <c r="A76" s="149" t="s">
        <v>157</v>
      </c>
      <c r="B76" s="44">
        <f>IN_1!B76+IN_2!B76+IN_3!B76+IN_4!B76</f>
        <v>134</v>
      </c>
      <c r="C76" s="39">
        <f>IN_1!C76+IN_2!C76+IN_3!C76+IN_4!C76</f>
        <v>60</v>
      </c>
      <c r="D76" s="39">
        <f>IN_1!D76+IN_2!D76+IN_3!D76+IN_4!D76</f>
        <v>49</v>
      </c>
      <c r="E76" s="39">
        <f>IN_1!E76+IN_2!E76+IN_3!E76+IN_4!E76</f>
        <v>13</v>
      </c>
      <c r="F76" s="152">
        <f>IN_1!F76+IN_2!F76+IN_3!F76+IN_4!F76</f>
        <v>58</v>
      </c>
      <c r="G76" s="154">
        <f t="shared" si="5"/>
        <v>314</v>
      </c>
      <c r="H76" s="44">
        <f>IN_1!H76+IN_2!H76+IN_3!H76+IN_4!H76</f>
        <v>1</v>
      </c>
      <c r="I76" s="39">
        <f>IN_1!I76+IN_2!I76+IN_3!I76+IN_4!I76</f>
        <v>0</v>
      </c>
      <c r="J76" s="39">
        <f>IN_1!J76+IN_2!J76+IN_3!J76+IN_4!J76</f>
        <v>0</v>
      </c>
      <c r="K76" s="45">
        <f>IN_1!K76+IN_2!K76+IN_3!K76+IN_4!K76</f>
        <v>0</v>
      </c>
      <c r="L76" s="140">
        <f>IN_1!L76+IN_2!L76+IN_3!L76+IN_4!L76</f>
        <v>0</v>
      </c>
      <c r="M76" s="149">
        <f t="shared" si="6"/>
        <v>1</v>
      </c>
      <c r="N76" s="100">
        <f t="shared" si="7"/>
        <v>315</v>
      </c>
      <c r="O76" s="43">
        <f t="shared" si="8"/>
        <v>538</v>
      </c>
    </row>
    <row r="77" spans="1:15" ht="22.5" customHeight="1" x14ac:dyDescent="0.3">
      <c r="A77" s="149" t="s">
        <v>158</v>
      </c>
      <c r="B77" s="44">
        <f>IN_1!B77+IN_2!B77+IN_3!B77+IN_4!B77</f>
        <v>126</v>
      </c>
      <c r="C77" s="39">
        <f>IN_1!C77+IN_2!C77+IN_3!C77+IN_4!C77</f>
        <v>37</v>
      </c>
      <c r="D77" s="39">
        <f>IN_1!D77+IN_2!D77+IN_3!D77+IN_4!D77</f>
        <v>43</v>
      </c>
      <c r="E77" s="39">
        <f>IN_1!E77+IN_2!E77+IN_3!E77+IN_4!E77</f>
        <v>22</v>
      </c>
      <c r="F77" s="152">
        <f>IN_1!F77+IN_2!F77+IN_3!F77+IN_4!F77</f>
        <v>51</v>
      </c>
      <c r="G77" s="154">
        <f t="shared" si="5"/>
        <v>279</v>
      </c>
      <c r="H77" s="44">
        <f>IN_1!H77+IN_2!H77+IN_3!H77+IN_4!H77</f>
        <v>0</v>
      </c>
      <c r="I77" s="39">
        <f>IN_1!I77+IN_2!I77+IN_3!I77+IN_4!I77</f>
        <v>0</v>
      </c>
      <c r="J77" s="39">
        <f>IN_1!J77+IN_2!J77+IN_3!J77+IN_4!J77</f>
        <v>0</v>
      </c>
      <c r="K77" s="45">
        <f>IN_1!K77+IN_2!K77+IN_3!K77+IN_4!K77</f>
        <v>0</v>
      </c>
      <c r="L77" s="140">
        <f>IN_1!L77+IN_2!L77+IN_3!L77+IN_4!L77</f>
        <v>0</v>
      </c>
      <c r="M77" s="149">
        <f t="shared" si="6"/>
        <v>0</v>
      </c>
      <c r="N77" s="100">
        <f t="shared" si="7"/>
        <v>279</v>
      </c>
      <c r="O77" s="43">
        <f t="shared" si="8"/>
        <v>504.5</v>
      </c>
    </row>
    <row r="78" spans="1:15" ht="22.5" customHeight="1" x14ac:dyDescent="0.3">
      <c r="A78" s="149" t="s">
        <v>159</v>
      </c>
      <c r="B78" s="44">
        <f>IN_1!B78+IN_2!B78+IN_3!B78+IN_4!B78</f>
        <v>115</v>
      </c>
      <c r="C78" s="39">
        <f>IN_1!C78+IN_2!C78+IN_3!C78+IN_4!C78</f>
        <v>47</v>
      </c>
      <c r="D78" s="39">
        <f>IN_1!D78+IN_2!D78+IN_3!D78+IN_4!D78</f>
        <v>16</v>
      </c>
      <c r="E78" s="39">
        <f>IN_1!E78+IN_2!E78+IN_3!E78+IN_4!E78</f>
        <v>20</v>
      </c>
      <c r="F78" s="152">
        <f>IN_1!F78+IN_2!F78+IN_3!F78+IN_4!F78</f>
        <v>60</v>
      </c>
      <c r="G78" s="154">
        <f t="shared" si="5"/>
        <v>258</v>
      </c>
      <c r="H78" s="44">
        <f>IN_1!H78+IN_2!H78+IN_3!H78+IN_4!H78</f>
        <v>0</v>
      </c>
      <c r="I78" s="39">
        <f>IN_1!I78+IN_2!I78+IN_3!I78+IN_4!I78</f>
        <v>0</v>
      </c>
      <c r="J78" s="39">
        <f>IN_1!J78+IN_2!J78+IN_3!J78+IN_4!J78</f>
        <v>0</v>
      </c>
      <c r="K78" s="45">
        <f>IN_1!K78+IN_2!K78+IN_3!K78+IN_4!K78</f>
        <v>0</v>
      </c>
      <c r="L78" s="140">
        <f>IN_1!L78+IN_2!L78+IN_3!L78+IN_4!L78</f>
        <v>0</v>
      </c>
      <c r="M78" s="149">
        <f t="shared" si="6"/>
        <v>0</v>
      </c>
      <c r="N78" s="100">
        <f t="shared" si="7"/>
        <v>258</v>
      </c>
      <c r="O78" s="43">
        <f t="shared" si="8"/>
        <v>492.5</v>
      </c>
    </row>
    <row r="79" spans="1:15" ht="22.5" customHeight="1" x14ac:dyDescent="0.3">
      <c r="A79" s="149" t="s">
        <v>160</v>
      </c>
      <c r="B79" s="44">
        <f>IN_1!B79+IN_2!B79+IN_3!B79+IN_4!B79</f>
        <v>92</v>
      </c>
      <c r="C79" s="39">
        <f>IN_1!C79+IN_2!C79+IN_3!C79+IN_4!C79</f>
        <v>54</v>
      </c>
      <c r="D79" s="39">
        <f>IN_1!D79+IN_2!D79+IN_3!D79+IN_4!D79</f>
        <v>20</v>
      </c>
      <c r="E79" s="39">
        <f>IN_1!E79+IN_2!E79+IN_3!E79+IN_4!E79</f>
        <v>21</v>
      </c>
      <c r="F79" s="152">
        <f>IN_1!F79+IN_2!F79+IN_3!F79+IN_4!F79</f>
        <v>71</v>
      </c>
      <c r="G79" s="154">
        <f t="shared" si="5"/>
        <v>258</v>
      </c>
      <c r="H79" s="44">
        <f>IN_1!H79+IN_2!H79+IN_3!H79+IN_4!H79</f>
        <v>0</v>
      </c>
      <c r="I79" s="39">
        <f>IN_1!I79+IN_2!I79+IN_3!I79+IN_4!I79</f>
        <v>0</v>
      </c>
      <c r="J79" s="39">
        <f>IN_1!J79+IN_2!J79+IN_3!J79+IN_4!J79</f>
        <v>0</v>
      </c>
      <c r="K79" s="45">
        <f>IN_1!K79+IN_2!K79+IN_3!K79+IN_4!K79</f>
        <v>0</v>
      </c>
      <c r="L79" s="140">
        <f>IN_1!L79+IN_2!L79+IN_3!L79+IN_4!L79</f>
        <v>1</v>
      </c>
      <c r="M79" s="149">
        <f t="shared" si="6"/>
        <v>1</v>
      </c>
      <c r="N79" s="100">
        <f t="shared" si="7"/>
        <v>259</v>
      </c>
      <c r="O79" s="43">
        <f t="shared" si="8"/>
        <v>539.5</v>
      </c>
    </row>
    <row r="80" spans="1:15" ht="22.5" customHeight="1" x14ac:dyDescent="0.3">
      <c r="A80" s="149" t="s">
        <v>161</v>
      </c>
      <c r="B80" s="44">
        <f>IN_1!B80+IN_2!B80+IN_3!B80+IN_4!B80</f>
        <v>83</v>
      </c>
      <c r="C80" s="39">
        <f>IN_1!C80+IN_2!C80+IN_3!C80+IN_4!C80</f>
        <v>27</v>
      </c>
      <c r="D80" s="39">
        <f>IN_1!D80+IN_2!D80+IN_3!D80+IN_4!D80</f>
        <v>38</v>
      </c>
      <c r="E80" s="39">
        <f>IN_1!E80+IN_2!E80+IN_3!E80+IN_4!E80</f>
        <v>11</v>
      </c>
      <c r="F80" s="152">
        <f>IN_1!F80+IN_2!F80+IN_3!F80+IN_4!F80</f>
        <v>51</v>
      </c>
      <c r="G80" s="154">
        <f t="shared" si="5"/>
        <v>210</v>
      </c>
      <c r="H80" s="44">
        <f>IN_1!H80+IN_2!H80+IN_3!H80+IN_4!H80</f>
        <v>0</v>
      </c>
      <c r="I80" s="39">
        <f>IN_1!I80+IN_2!I80+IN_3!I80+IN_4!I80</f>
        <v>0</v>
      </c>
      <c r="J80" s="39">
        <f>IN_1!J80+IN_2!J80+IN_3!J80+IN_4!J80</f>
        <v>0</v>
      </c>
      <c r="K80" s="45">
        <f>IN_1!K80+IN_2!K80+IN_3!K80+IN_4!K80</f>
        <v>0</v>
      </c>
      <c r="L80" s="140">
        <f>IN_1!L80+IN_2!L80+IN_3!L80+IN_4!L80</f>
        <v>0</v>
      </c>
      <c r="M80" s="149">
        <f t="shared" si="6"/>
        <v>0</v>
      </c>
      <c r="N80" s="100">
        <f t="shared" si="7"/>
        <v>210</v>
      </c>
      <c r="O80" s="43">
        <f t="shared" si="8"/>
        <v>416</v>
      </c>
    </row>
    <row r="81" spans="1:15" ht="22.5" customHeight="1" x14ac:dyDescent="0.3">
      <c r="A81" s="149" t="s">
        <v>162</v>
      </c>
      <c r="B81" s="44">
        <f>IN_1!B81+IN_2!B81+IN_3!B81+IN_4!B81</f>
        <v>95</v>
      </c>
      <c r="C81" s="39">
        <f>IN_1!C81+IN_2!C81+IN_3!C81+IN_4!C81</f>
        <v>29</v>
      </c>
      <c r="D81" s="39">
        <f>IN_1!D81+IN_2!D81+IN_3!D81+IN_4!D81</f>
        <v>22</v>
      </c>
      <c r="E81" s="39">
        <f>IN_1!E81+IN_2!E81+IN_3!E81+IN_4!E81</f>
        <v>15</v>
      </c>
      <c r="F81" s="152">
        <f>IN_1!F81+IN_2!F81+IN_3!F81+IN_4!F81</f>
        <v>36</v>
      </c>
      <c r="G81" s="154">
        <f t="shared" si="5"/>
        <v>197</v>
      </c>
      <c r="H81" s="44">
        <f>IN_1!H81+IN_2!H81+IN_3!H81+IN_4!H81</f>
        <v>1</v>
      </c>
      <c r="I81" s="39">
        <f>IN_1!I81+IN_2!I81+IN_3!I81+IN_4!I81</f>
        <v>0</v>
      </c>
      <c r="J81" s="39">
        <f>IN_1!J81+IN_2!J81+IN_3!J81+IN_4!J81</f>
        <v>0</v>
      </c>
      <c r="K81" s="45">
        <f>IN_1!K81+IN_2!K81+IN_3!K81+IN_4!K81</f>
        <v>0</v>
      </c>
      <c r="L81" s="140">
        <f>IN_1!L81+IN_2!L81+IN_3!L81+IN_4!L81</f>
        <v>0</v>
      </c>
      <c r="M81" s="149">
        <f t="shared" si="6"/>
        <v>1</v>
      </c>
      <c r="N81" s="100">
        <f t="shared" si="7"/>
        <v>198</v>
      </c>
      <c r="O81" s="43">
        <f t="shared" si="8"/>
        <v>350</v>
      </c>
    </row>
    <row r="82" spans="1:15" ht="22.5" customHeight="1" x14ac:dyDescent="0.3">
      <c r="A82" s="149" t="s">
        <v>163</v>
      </c>
      <c r="B82" s="44">
        <f>IN_1!B82+IN_2!B82+IN_3!B82+IN_4!B82</f>
        <v>105</v>
      </c>
      <c r="C82" s="39">
        <f>IN_1!C82+IN_2!C82+IN_3!C82+IN_4!C82</f>
        <v>29</v>
      </c>
      <c r="D82" s="39">
        <f>IN_1!D82+IN_2!D82+IN_3!D82+IN_4!D82</f>
        <v>40</v>
      </c>
      <c r="E82" s="39">
        <f>IN_1!E82+IN_2!E82+IN_3!E82+IN_4!E82</f>
        <v>12</v>
      </c>
      <c r="F82" s="152">
        <f>IN_1!F82+IN_2!F82+IN_3!F82+IN_4!F82</f>
        <v>38</v>
      </c>
      <c r="G82" s="154">
        <f t="shared" si="5"/>
        <v>224</v>
      </c>
      <c r="H82" s="44">
        <f>IN_1!H82+IN_2!H82+IN_3!H82+IN_4!H82</f>
        <v>0</v>
      </c>
      <c r="I82" s="39">
        <f>IN_1!I82+IN_2!I82+IN_3!I82+IN_4!I82</f>
        <v>0</v>
      </c>
      <c r="J82" s="39">
        <f>IN_1!J82+IN_2!J82+IN_3!J82+IN_4!J82</f>
        <v>0</v>
      </c>
      <c r="K82" s="45">
        <f>IN_1!K82+IN_2!K82+IN_3!K82+IN_4!K82</f>
        <v>0</v>
      </c>
      <c r="L82" s="140">
        <f>IN_1!L82+IN_2!L82+IN_3!L82+IN_4!L82</f>
        <v>0</v>
      </c>
      <c r="M82" s="149">
        <f t="shared" si="6"/>
        <v>0</v>
      </c>
      <c r="N82" s="100">
        <f t="shared" si="7"/>
        <v>224</v>
      </c>
      <c r="O82" s="43">
        <f t="shared" si="8"/>
        <v>386.5</v>
      </c>
    </row>
    <row r="83" spans="1:15" ht="22.5" customHeight="1" x14ac:dyDescent="0.3">
      <c r="A83" s="149" t="s">
        <v>164</v>
      </c>
      <c r="B83" s="44">
        <f>IN_1!B83+IN_2!B83+IN_3!B83+IN_4!B83</f>
        <v>83</v>
      </c>
      <c r="C83" s="39">
        <f>IN_1!C83+IN_2!C83+IN_3!C83+IN_4!C83</f>
        <v>14</v>
      </c>
      <c r="D83" s="39">
        <f>IN_1!D83+IN_2!D83+IN_3!D83+IN_4!D83</f>
        <v>34</v>
      </c>
      <c r="E83" s="39">
        <f>IN_1!E83+IN_2!E83+IN_3!E83+IN_4!E83</f>
        <v>21</v>
      </c>
      <c r="F83" s="152">
        <f>IN_1!F83+IN_2!F83+IN_3!F83+IN_4!F83</f>
        <v>32</v>
      </c>
      <c r="G83" s="154">
        <f t="shared" si="5"/>
        <v>184</v>
      </c>
      <c r="H83" s="44">
        <f>IN_1!H83+IN_2!H83+IN_3!H83+IN_4!H83</f>
        <v>0</v>
      </c>
      <c r="I83" s="39">
        <f>IN_1!I83+IN_2!I83+IN_3!I83+IN_4!I83</f>
        <v>0</v>
      </c>
      <c r="J83" s="39">
        <f>IN_1!J83+IN_2!J83+IN_3!J83+IN_4!J83</f>
        <v>0</v>
      </c>
      <c r="K83" s="45">
        <f>IN_1!K83+IN_2!K83+IN_3!K83+IN_4!K83</f>
        <v>0</v>
      </c>
      <c r="L83" s="140">
        <f>IN_1!L83+IN_2!L83+IN_3!L83+IN_4!L83</f>
        <v>0</v>
      </c>
      <c r="M83" s="149">
        <f t="shared" si="6"/>
        <v>0</v>
      </c>
      <c r="N83" s="100">
        <f t="shared" si="7"/>
        <v>184</v>
      </c>
      <c r="O83" s="43">
        <f t="shared" si="8"/>
        <v>348</v>
      </c>
    </row>
    <row r="84" spans="1:15" ht="22.5" customHeight="1" x14ac:dyDescent="0.3">
      <c r="A84" s="149" t="s">
        <v>165</v>
      </c>
      <c r="B84" s="44">
        <f>IN_1!B84+IN_2!B84+IN_3!B84+IN_4!B84</f>
        <v>87</v>
      </c>
      <c r="C84" s="39">
        <f>IN_1!C84+IN_2!C84+IN_3!C84+IN_4!C84</f>
        <v>31</v>
      </c>
      <c r="D84" s="39">
        <f>IN_1!D84+IN_2!D84+IN_3!D84+IN_4!D84</f>
        <v>28</v>
      </c>
      <c r="E84" s="39">
        <f>IN_1!E84+IN_2!E84+IN_3!E84+IN_4!E84</f>
        <v>19</v>
      </c>
      <c r="F84" s="152">
        <f>IN_1!F84+IN_2!F84+IN_3!F84+IN_4!F84</f>
        <v>32</v>
      </c>
      <c r="G84" s="154">
        <f t="shared" si="5"/>
        <v>197</v>
      </c>
      <c r="H84" s="44">
        <f>IN_1!H84+IN_2!H84+IN_3!H84+IN_4!H84</f>
        <v>0</v>
      </c>
      <c r="I84" s="39">
        <f>IN_1!I84+IN_2!I84+IN_3!I84+IN_4!I84</f>
        <v>0</v>
      </c>
      <c r="J84" s="39">
        <f>IN_1!J84+IN_2!J84+IN_3!J84+IN_4!J84</f>
        <v>0</v>
      </c>
      <c r="K84" s="45">
        <f>IN_1!K84+IN_2!K84+IN_3!K84+IN_4!K84</f>
        <v>0</v>
      </c>
      <c r="L84" s="140">
        <f>IN_1!L84+IN_2!L84+IN_3!L84+IN_4!L84</f>
        <v>0</v>
      </c>
      <c r="M84" s="149">
        <f t="shared" si="6"/>
        <v>0</v>
      </c>
      <c r="N84" s="100">
        <f t="shared" si="7"/>
        <v>197</v>
      </c>
      <c r="O84" s="43">
        <f t="shared" si="8"/>
        <v>345.5</v>
      </c>
    </row>
    <row r="85" spans="1:15" ht="22.5" customHeight="1" x14ac:dyDescent="0.3">
      <c r="A85" s="149" t="s">
        <v>166</v>
      </c>
      <c r="B85" s="44">
        <f>IN_1!B85+IN_2!B85+IN_3!B85+IN_4!B85</f>
        <v>82</v>
      </c>
      <c r="C85" s="39">
        <f>IN_1!C85+IN_2!C85+IN_3!C85+IN_4!C85</f>
        <v>28</v>
      </c>
      <c r="D85" s="39">
        <f>IN_1!D85+IN_2!D85+IN_3!D85+IN_4!D85</f>
        <v>29</v>
      </c>
      <c r="E85" s="39">
        <f>IN_1!E85+IN_2!E85+IN_3!E85+IN_4!E85</f>
        <v>26</v>
      </c>
      <c r="F85" s="152">
        <f>IN_1!F85+IN_2!F85+IN_3!F85+IN_4!F85</f>
        <v>39</v>
      </c>
      <c r="G85" s="154">
        <f t="shared" si="5"/>
        <v>204</v>
      </c>
      <c r="H85" s="44">
        <f>IN_1!H85+IN_2!H85+IN_3!H85+IN_4!H85</f>
        <v>0</v>
      </c>
      <c r="I85" s="39">
        <f>IN_1!I85+IN_2!I85+IN_3!I85+IN_4!I85</f>
        <v>0</v>
      </c>
      <c r="J85" s="39">
        <f>IN_1!J85+IN_2!J85+IN_3!J85+IN_4!J85</f>
        <v>0</v>
      </c>
      <c r="K85" s="45">
        <f>IN_1!K85+IN_2!K85+IN_3!K85+IN_4!K85</f>
        <v>0</v>
      </c>
      <c r="L85" s="140">
        <f>IN_1!L85+IN_2!L85+IN_3!L85+IN_4!L85</f>
        <v>0</v>
      </c>
      <c r="M85" s="149">
        <f t="shared" si="6"/>
        <v>0</v>
      </c>
      <c r="N85" s="100">
        <f t="shared" si="7"/>
        <v>204</v>
      </c>
      <c r="O85" s="43">
        <f t="shared" si="8"/>
        <v>393</v>
      </c>
    </row>
    <row r="86" spans="1:15" ht="22.5" customHeight="1" x14ac:dyDescent="0.3">
      <c r="A86" s="149" t="s">
        <v>167</v>
      </c>
      <c r="B86" s="44">
        <f>IN_1!B86+IN_2!B86+IN_3!B86+IN_4!B86</f>
        <v>90</v>
      </c>
      <c r="C86" s="39">
        <f>IN_1!C86+IN_2!C86+IN_3!C86+IN_4!C86</f>
        <v>30</v>
      </c>
      <c r="D86" s="39">
        <f>IN_1!D86+IN_2!D86+IN_3!D86+IN_4!D86</f>
        <v>36</v>
      </c>
      <c r="E86" s="39">
        <f>IN_1!E86+IN_2!E86+IN_3!E86+IN_4!E86</f>
        <v>21</v>
      </c>
      <c r="F86" s="152">
        <f>IN_1!F86+IN_2!F86+IN_3!F86+IN_4!F86</f>
        <v>47</v>
      </c>
      <c r="G86" s="154">
        <f t="shared" si="5"/>
        <v>224</v>
      </c>
      <c r="H86" s="44">
        <f>IN_1!H86+IN_2!H86+IN_3!H86+IN_4!H86</f>
        <v>0</v>
      </c>
      <c r="I86" s="39">
        <f>IN_1!I86+IN_2!I86+IN_3!I86+IN_4!I86</f>
        <v>0</v>
      </c>
      <c r="J86" s="39">
        <f>IN_1!J86+IN_2!J86+IN_3!J86+IN_4!J86</f>
        <v>0</v>
      </c>
      <c r="K86" s="45">
        <f>IN_1!K86+IN_2!K86+IN_3!K86+IN_4!K86</f>
        <v>0</v>
      </c>
      <c r="L86" s="140">
        <f>IN_1!L86+IN_2!L86+IN_3!L86+IN_4!L86</f>
        <v>0</v>
      </c>
      <c r="M86" s="149">
        <f t="shared" si="6"/>
        <v>0</v>
      </c>
      <c r="N86" s="100">
        <f t="shared" si="7"/>
        <v>224</v>
      </c>
      <c r="O86" s="43">
        <f t="shared" si="8"/>
        <v>433.5</v>
      </c>
    </row>
    <row r="87" spans="1:15" ht="22.5" customHeight="1" x14ac:dyDescent="0.3">
      <c r="A87" s="149" t="s">
        <v>168</v>
      </c>
      <c r="B87" s="44">
        <f>IN_1!B87+IN_2!B87+IN_3!B87+IN_4!B87</f>
        <v>79</v>
      </c>
      <c r="C87" s="39">
        <f>IN_1!C87+IN_2!C87+IN_3!C87+IN_4!C87</f>
        <v>37</v>
      </c>
      <c r="D87" s="39">
        <f>IN_1!D87+IN_2!D87+IN_3!D87+IN_4!D87</f>
        <v>25</v>
      </c>
      <c r="E87" s="39">
        <f>IN_1!E87+IN_2!E87+IN_3!E87+IN_4!E87</f>
        <v>29</v>
      </c>
      <c r="F87" s="152">
        <f>IN_1!F87+IN_2!F87+IN_3!F87+IN_4!F87</f>
        <v>51</v>
      </c>
      <c r="G87" s="154">
        <f t="shared" si="5"/>
        <v>221</v>
      </c>
      <c r="H87" s="44">
        <f>IN_1!H87+IN_2!H87+IN_3!H87+IN_4!H87</f>
        <v>0</v>
      </c>
      <c r="I87" s="39">
        <f>IN_1!I87+IN_2!I87+IN_3!I87+IN_4!I87</f>
        <v>0</v>
      </c>
      <c r="J87" s="39">
        <f>IN_1!J87+IN_2!J87+IN_3!J87+IN_4!J87</f>
        <v>0</v>
      </c>
      <c r="K87" s="45">
        <f>IN_1!K87+IN_2!K87+IN_3!K87+IN_4!K87</f>
        <v>0</v>
      </c>
      <c r="L87" s="140">
        <f>IN_1!L87+IN_2!L87+IN_3!L87+IN_4!L87</f>
        <v>0</v>
      </c>
      <c r="M87" s="149">
        <f t="shared" si="6"/>
        <v>0</v>
      </c>
      <c r="N87" s="100">
        <f t="shared" si="7"/>
        <v>221</v>
      </c>
      <c r="O87" s="43">
        <f t="shared" si="8"/>
        <v>451.5</v>
      </c>
    </row>
    <row r="88" spans="1:15" ht="22.5" customHeight="1" x14ac:dyDescent="0.3">
      <c r="A88" s="149" t="s">
        <v>169</v>
      </c>
      <c r="B88" s="44">
        <f>IN_1!B88+IN_2!B88+IN_3!B88+IN_4!B88</f>
        <v>129</v>
      </c>
      <c r="C88" s="39">
        <f>IN_1!C88+IN_2!C88+IN_3!C88+IN_4!C88</f>
        <v>49</v>
      </c>
      <c r="D88" s="39">
        <f>IN_1!D88+IN_2!D88+IN_3!D88+IN_4!D88</f>
        <v>36</v>
      </c>
      <c r="E88" s="39">
        <f>IN_1!E88+IN_2!E88+IN_3!E88+IN_4!E88</f>
        <v>16</v>
      </c>
      <c r="F88" s="152">
        <f>IN_1!F88+IN_2!F88+IN_3!F88+IN_4!F88</f>
        <v>52</v>
      </c>
      <c r="G88" s="154">
        <f t="shared" si="5"/>
        <v>282</v>
      </c>
      <c r="H88" s="44">
        <f>IN_1!H88+IN_2!H88+IN_3!H88+IN_4!H88</f>
        <v>1</v>
      </c>
      <c r="I88" s="39">
        <f>IN_1!I88+IN_2!I88+IN_3!I88+IN_4!I88</f>
        <v>0</v>
      </c>
      <c r="J88" s="39">
        <f>IN_1!J88+IN_2!J88+IN_3!J88+IN_4!J88</f>
        <v>0</v>
      </c>
      <c r="K88" s="45">
        <f>IN_1!K88+IN_2!K88+IN_3!K88+IN_4!K88</f>
        <v>0</v>
      </c>
      <c r="L88" s="140">
        <f>IN_1!L88+IN_2!L88+IN_3!L88+IN_4!L88</f>
        <v>0</v>
      </c>
      <c r="M88" s="149">
        <f t="shared" si="6"/>
        <v>1</v>
      </c>
      <c r="N88" s="100">
        <f t="shared" si="7"/>
        <v>283</v>
      </c>
      <c r="O88" s="43">
        <f t="shared" si="8"/>
        <v>490</v>
      </c>
    </row>
    <row r="89" spans="1:15" ht="22.5" customHeight="1" x14ac:dyDescent="0.3">
      <c r="A89" s="149" t="s">
        <v>170</v>
      </c>
      <c r="B89" s="44">
        <f>IN_1!B89+IN_2!B89+IN_3!B89+IN_4!B89</f>
        <v>114</v>
      </c>
      <c r="C89" s="39">
        <f>IN_1!C89+IN_2!C89+IN_3!C89+IN_4!C89</f>
        <v>53</v>
      </c>
      <c r="D89" s="39">
        <f>IN_1!D89+IN_2!D89+IN_3!D89+IN_4!D89</f>
        <v>35</v>
      </c>
      <c r="E89" s="39">
        <f>IN_1!E89+IN_2!E89+IN_3!E89+IN_4!E89</f>
        <v>26</v>
      </c>
      <c r="F89" s="152">
        <f>IN_1!F89+IN_2!F89+IN_3!F89+IN_4!F89</f>
        <v>44</v>
      </c>
      <c r="G89" s="154">
        <f t="shared" si="5"/>
        <v>272</v>
      </c>
      <c r="H89" s="44">
        <f>IN_1!H89+IN_2!H89+IN_3!H89+IN_4!H89</f>
        <v>1</v>
      </c>
      <c r="I89" s="39">
        <f>IN_1!I89+IN_2!I89+IN_3!I89+IN_4!I89</f>
        <v>0</v>
      </c>
      <c r="J89" s="39">
        <f>IN_1!J89+IN_2!J89+IN_3!J89+IN_4!J89</f>
        <v>0</v>
      </c>
      <c r="K89" s="45">
        <f>IN_1!K89+IN_2!K89+IN_3!K89+IN_4!K89</f>
        <v>0</v>
      </c>
      <c r="L89" s="140">
        <f>IN_1!L89+IN_2!L89+IN_3!L89+IN_4!L89</f>
        <v>0</v>
      </c>
      <c r="M89" s="149">
        <f t="shared" si="6"/>
        <v>1</v>
      </c>
      <c r="N89" s="100">
        <f t="shared" si="7"/>
        <v>273</v>
      </c>
      <c r="O89" s="43">
        <f t="shared" si="8"/>
        <v>469.5</v>
      </c>
    </row>
    <row r="90" spans="1:15" ht="22.5" customHeight="1" x14ac:dyDescent="0.3">
      <c r="A90" s="149" t="s">
        <v>171</v>
      </c>
      <c r="B90" s="44">
        <f>IN_1!B90+IN_2!B90+IN_3!B90+IN_4!B90</f>
        <v>141</v>
      </c>
      <c r="C90" s="39">
        <f>IN_1!C90+IN_2!C90+IN_3!C90+IN_4!C90</f>
        <v>68</v>
      </c>
      <c r="D90" s="39">
        <f>IN_1!D90+IN_2!D90+IN_3!D90+IN_4!D90</f>
        <v>41</v>
      </c>
      <c r="E90" s="39">
        <f>IN_1!E90+IN_2!E90+IN_3!E90+IN_4!E90</f>
        <v>16</v>
      </c>
      <c r="F90" s="152">
        <f>IN_1!F90+IN_2!F90+IN_3!F90+IN_4!F90</f>
        <v>51</v>
      </c>
      <c r="G90" s="154">
        <f t="shared" si="5"/>
        <v>317</v>
      </c>
      <c r="H90" s="44">
        <f>IN_1!H90+IN_2!H90+IN_3!H90+IN_4!H90</f>
        <v>1</v>
      </c>
      <c r="I90" s="39">
        <f>IN_1!I90+IN_2!I90+IN_3!I90+IN_4!I90</f>
        <v>0</v>
      </c>
      <c r="J90" s="39">
        <f>IN_1!J90+IN_2!J90+IN_3!J90+IN_4!J90</f>
        <v>0</v>
      </c>
      <c r="K90" s="45">
        <f>IN_1!K90+IN_2!K90+IN_3!K90+IN_4!K90</f>
        <v>0</v>
      </c>
      <c r="L90" s="140">
        <f>IN_1!L90+IN_2!L90+IN_3!L90+IN_4!L90</f>
        <v>0</v>
      </c>
      <c r="M90" s="149">
        <f t="shared" si="6"/>
        <v>1</v>
      </c>
      <c r="N90" s="100">
        <f t="shared" si="7"/>
        <v>318</v>
      </c>
      <c r="O90" s="43">
        <f t="shared" si="8"/>
        <v>514.5</v>
      </c>
    </row>
    <row r="91" spans="1:15" ht="22.5" customHeight="1" x14ac:dyDescent="0.3">
      <c r="A91" s="149" t="s">
        <v>172</v>
      </c>
      <c r="B91" s="44">
        <f>IN_1!B91+IN_2!B91+IN_3!B91+IN_4!B91</f>
        <v>120</v>
      </c>
      <c r="C91" s="39">
        <f>IN_1!C91+IN_2!C91+IN_3!C91+IN_4!C91</f>
        <v>68</v>
      </c>
      <c r="D91" s="39">
        <f>IN_1!D91+IN_2!D91+IN_3!D91+IN_4!D91</f>
        <v>24</v>
      </c>
      <c r="E91" s="39">
        <f>IN_1!E91+IN_2!E91+IN_3!E91+IN_4!E91</f>
        <v>23</v>
      </c>
      <c r="F91" s="152">
        <f>IN_1!F91+IN_2!F91+IN_3!F91+IN_4!F91</f>
        <v>43</v>
      </c>
      <c r="G91" s="154">
        <f t="shared" si="5"/>
        <v>278</v>
      </c>
      <c r="H91" s="44">
        <f>IN_1!H91+IN_2!H91+IN_3!H91+IN_4!H91</f>
        <v>0</v>
      </c>
      <c r="I91" s="39">
        <f>IN_1!I91+IN_2!I91+IN_3!I91+IN_4!I91</f>
        <v>0</v>
      </c>
      <c r="J91" s="39">
        <f>IN_1!J91+IN_2!J91+IN_3!J91+IN_4!J91</f>
        <v>0</v>
      </c>
      <c r="K91" s="45">
        <f>IN_1!K91+IN_2!K91+IN_3!K91+IN_4!K91</f>
        <v>0</v>
      </c>
      <c r="L91" s="140">
        <f>IN_1!L91+IN_2!L91+IN_3!L91+IN_4!L91</f>
        <v>0</v>
      </c>
      <c r="M91" s="149">
        <f t="shared" si="6"/>
        <v>0</v>
      </c>
      <c r="N91" s="100">
        <f t="shared" si="7"/>
        <v>278</v>
      </c>
      <c r="O91" s="43">
        <f t="shared" si="8"/>
        <v>452.5</v>
      </c>
    </row>
    <row r="92" spans="1:15" ht="22.5" customHeight="1" x14ac:dyDescent="0.3">
      <c r="A92" s="149" t="s">
        <v>173</v>
      </c>
      <c r="B92" s="44">
        <f>IN_1!B92+IN_2!B92+IN_3!B92+IN_4!B92</f>
        <v>151</v>
      </c>
      <c r="C92" s="39">
        <f>IN_1!C92+IN_2!C92+IN_3!C92+IN_4!C92</f>
        <v>93</v>
      </c>
      <c r="D92" s="39">
        <f>IN_1!D92+IN_2!D92+IN_3!D92+IN_4!D92</f>
        <v>32</v>
      </c>
      <c r="E92" s="39">
        <f>IN_1!E92+IN_2!E92+IN_3!E92+IN_4!E92</f>
        <v>20</v>
      </c>
      <c r="F92" s="152">
        <f>IN_1!F92+IN_2!F92+IN_3!F92+IN_4!F92</f>
        <v>52</v>
      </c>
      <c r="G92" s="154">
        <f t="shared" si="5"/>
        <v>348</v>
      </c>
      <c r="H92" s="44">
        <f>IN_1!H92+IN_2!H92+IN_3!H92+IN_4!H92</f>
        <v>1</v>
      </c>
      <c r="I92" s="39">
        <f>IN_1!I92+IN_2!I92+IN_3!I92+IN_4!I92</f>
        <v>0</v>
      </c>
      <c r="J92" s="39">
        <f>IN_1!J92+IN_2!J92+IN_3!J92+IN_4!J92</f>
        <v>0</v>
      </c>
      <c r="K92" s="45">
        <f>IN_1!K92+IN_2!K92+IN_3!K92+IN_4!K92</f>
        <v>0</v>
      </c>
      <c r="L92" s="140">
        <f>IN_1!L92+IN_2!L92+IN_3!L92+IN_4!L92</f>
        <v>1</v>
      </c>
      <c r="M92" s="149">
        <f t="shared" si="6"/>
        <v>2</v>
      </c>
      <c r="N92" s="100">
        <f t="shared" si="7"/>
        <v>350</v>
      </c>
      <c r="O92" s="43">
        <f t="shared" si="8"/>
        <v>548</v>
      </c>
    </row>
    <row r="93" spans="1:15" ht="22.5" customHeight="1" x14ac:dyDescent="0.3">
      <c r="A93" s="149" t="s">
        <v>174</v>
      </c>
      <c r="B93" s="44">
        <f>IN_1!B93+IN_2!B93+IN_3!B93+IN_4!B93</f>
        <v>130</v>
      </c>
      <c r="C93" s="39">
        <f>IN_1!C93+IN_2!C93+IN_3!C93+IN_4!C93</f>
        <v>121</v>
      </c>
      <c r="D93" s="39">
        <f>IN_1!D93+IN_2!D93+IN_3!D93+IN_4!D93</f>
        <v>43</v>
      </c>
      <c r="E93" s="39">
        <f>IN_1!E93+IN_2!E93+IN_3!E93+IN_4!E93</f>
        <v>19</v>
      </c>
      <c r="F93" s="152">
        <f>IN_1!F93+IN_2!F93+IN_3!F93+IN_4!F93</f>
        <v>65</v>
      </c>
      <c r="G93" s="154">
        <f t="shared" si="5"/>
        <v>378</v>
      </c>
      <c r="H93" s="44">
        <f>IN_1!H93+IN_2!H93+IN_3!H93+IN_4!H93</f>
        <v>1</v>
      </c>
      <c r="I93" s="39">
        <f>IN_1!I93+IN_2!I93+IN_3!I93+IN_4!I93</f>
        <v>0</v>
      </c>
      <c r="J93" s="39">
        <f>IN_1!J93+IN_2!J93+IN_3!J93+IN_4!J93</f>
        <v>0</v>
      </c>
      <c r="K93" s="45">
        <f>IN_1!K93+IN_2!K93+IN_3!K93+IN_4!K93</f>
        <v>0</v>
      </c>
      <c r="L93" s="140">
        <f>IN_1!L93+IN_2!L93+IN_3!L93+IN_4!L93</f>
        <v>0</v>
      </c>
      <c r="M93" s="149">
        <f t="shared" si="6"/>
        <v>1</v>
      </c>
      <c r="N93" s="100">
        <f t="shared" si="7"/>
        <v>379</v>
      </c>
      <c r="O93" s="43">
        <f t="shared" si="8"/>
        <v>605</v>
      </c>
    </row>
    <row r="94" spans="1:15" ht="22.5" customHeight="1" x14ac:dyDescent="0.3">
      <c r="A94" s="149" t="s">
        <v>175</v>
      </c>
      <c r="B94" s="44">
        <f>IN_1!B94+IN_2!B94+IN_3!B94+IN_4!B94</f>
        <v>288</v>
      </c>
      <c r="C94" s="39">
        <f>IN_1!C94+IN_2!C94+IN_3!C94+IN_4!C94</f>
        <v>198</v>
      </c>
      <c r="D94" s="39">
        <f>IN_1!D94+IN_2!D94+IN_3!D94+IN_4!D94</f>
        <v>37</v>
      </c>
      <c r="E94" s="39">
        <f>IN_1!E94+IN_2!E94+IN_3!E94+IN_4!E94</f>
        <v>30</v>
      </c>
      <c r="F94" s="152">
        <f>IN_1!F94+IN_2!F94+IN_3!F94+IN_4!F94</f>
        <v>74</v>
      </c>
      <c r="G94" s="154">
        <f t="shared" si="5"/>
        <v>627</v>
      </c>
      <c r="H94" s="44">
        <f>IN_1!H94+IN_2!H94+IN_3!H94+IN_4!H94</f>
        <v>3</v>
      </c>
      <c r="I94" s="39">
        <f>IN_1!I94+IN_2!I94+IN_3!I94+IN_4!I94</f>
        <v>0</v>
      </c>
      <c r="J94" s="39">
        <f>IN_1!J94+IN_2!J94+IN_3!J94+IN_4!J94</f>
        <v>0</v>
      </c>
      <c r="K94" s="45">
        <f>IN_1!K94+IN_2!K94+IN_3!K94+IN_4!K94</f>
        <v>0</v>
      </c>
      <c r="L94" s="140">
        <f>IN_1!L94+IN_2!L94+IN_3!L94+IN_4!L94</f>
        <v>2</v>
      </c>
      <c r="M94" s="149">
        <f t="shared" si="6"/>
        <v>5</v>
      </c>
      <c r="N94" s="100">
        <f t="shared" si="7"/>
        <v>632</v>
      </c>
      <c r="O94" s="43">
        <f t="shared" si="8"/>
        <v>883</v>
      </c>
    </row>
    <row r="95" spans="1:15" ht="22.5" customHeight="1" x14ac:dyDescent="0.3">
      <c r="A95" s="149" t="s">
        <v>176</v>
      </c>
      <c r="B95" s="44">
        <f>IN_1!B95+IN_2!B95+IN_3!B95+IN_4!B95</f>
        <v>356</v>
      </c>
      <c r="C95" s="39">
        <f>IN_1!C95+IN_2!C95+IN_3!C95+IN_4!C95</f>
        <v>253</v>
      </c>
      <c r="D95" s="39">
        <f>IN_1!D95+IN_2!D95+IN_3!D95+IN_4!D95</f>
        <v>33</v>
      </c>
      <c r="E95" s="39">
        <f>IN_1!E95+IN_2!E95+IN_3!E95+IN_4!E95</f>
        <v>27</v>
      </c>
      <c r="F95" s="152">
        <f>IN_1!F95+IN_2!F95+IN_3!F95+IN_4!F95</f>
        <v>76</v>
      </c>
      <c r="G95" s="154">
        <f t="shared" si="5"/>
        <v>745</v>
      </c>
      <c r="H95" s="44">
        <f>IN_1!H95+IN_2!H95+IN_3!H95+IN_4!H95</f>
        <v>0</v>
      </c>
      <c r="I95" s="39">
        <f>IN_1!I95+IN_2!I95+IN_3!I95+IN_4!I95</f>
        <v>0</v>
      </c>
      <c r="J95" s="39">
        <f>IN_1!J95+IN_2!J95+IN_3!J95+IN_4!J95</f>
        <v>0</v>
      </c>
      <c r="K95" s="45">
        <f>IN_1!K95+IN_2!K95+IN_3!K95+IN_4!K95</f>
        <v>0</v>
      </c>
      <c r="L95" s="140">
        <f>IN_1!L95+IN_2!L95+IN_3!L95+IN_4!L95</f>
        <v>4</v>
      </c>
      <c r="M95" s="149">
        <f t="shared" si="6"/>
        <v>4</v>
      </c>
      <c r="N95" s="100">
        <f t="shared" si="7"/>
        <v>749</v>
      </c>
      <c r="O95" s="43">
        <f t="shared" si="8"/>
        <v>987</v>
      </c>
    </row>
    <row r="96" spans="1:15" ht="22.5" customHeight="1" x14ac:dyDescent="0.3">
      <c r="A96" s="149" t="s">
        <v>135</v>
      </c>
      <c r="B96" s="44">
        <f>IN_1!B96+IN_2!B96+IN_3!B96+IN_4!B96</f>
        <v>357</v>
      </c>
      <c r="C96" s="39">
        <f>IN_1!C96+IN_2!C96+IN_3!C96+IN_4!C96</f>
        <v>346</v>
      </c>
      <c r="D96" s="39">
        <f>IN_1!D96+IN_2!D96+IN_3!D96+IN_4!D96</f>
        <v>43</v>
      </c>
      <c r="E96" s="39">
        <f>IN_1!E96+IN_2!E96+IN_3!E96+IN_4!E96</f>
        <v>28</v>
      </c>
      <c r="F96" s="152">
        <f>IN_1!F96+IN_2!F96+IN_3!F96+IN_4!F96</f>
        <v>72</v>
      </c>
      <c r="G96" s="154">
        <f t="shared" si="5"/>
        <v>846</v>
      </c>
      <c r="H96" s="44">
        <f>IN_1!H96+IN_2!H96+IN_3!H96+IN_4!H96</f>
        <v>1</v>
      </c>
      <c r="I96" s="39">
        <f>IN_1!I96+IN_2!I96+IN_3!I96+IN_4!I96</f>
        <v>0</v>
      </c>
      <c r="J96" s="39">
        <f>IN_1!J96+IN_2!J96+IN_3!J96+IN_4!J96</f>
        <v>0</v>
      </c>
      <c r="K96" s="45">
        <f>IN_1!K96+IN_2!K96+IN_3!K96+IN_4!K96</f>
        <v>0</v>
      </c>
      <c r="L96" s="140">
        <f>IN_1!L96+IN_2!L96+IN_3!L96+IN_4!L96</f>
        <v>3</v>
      </c>
      <c r="M96" s="149">
        <f t="shared" si="6"/>
        <v>4</v>
      </c>
      <c r="N96" s="100">
        <f t="shared" si="7"/>
        <v>850</v>
      </c>
      <c r="O96" s="43">
        <f t="shared" si="8"/>
        <v>1027</v>
      </c>
    </row>
    <row r="97" spans="1:15" ht="22.5" customHeight="1" x14ac:dyDescent="0.3">
      <c r="A97" s="149" t="s">
        <v>136</v>
      </c>
      <c r="B97" s="44">
        <f>IN_1!B97+IN_2!B97+IN_3!B97+IN_4!B97</f>
        <v>423</v>
      </c>
      <c r="C97" s="39">
        <f>IN_1!C97+IN_2!C97+IN_3!C97+IN_4!C97</f>
        <v>415</v>
      </c>
      <c r="D97" s="39">
        <f>IN_1!D97+IN_2!D97+IN_3!D97+IN_4!D97</f>
        <v>32</v>
      </c>
      <c r="E97" s="39">
        <f>IN_1!E97+IN_2!E97+IN_3!E97+IN_4!E97</f>
        <v>33</v>
      </c>
      <c r="F97" s="152">
        <f>IN_1!F97+IN_2!F97+IN_3!F97+IN_4!F97</f>
        <v>60</v>
      </c>
      <c r="G97" s="154">
        <f t="shared" si="5"/>
        <v>963</v>
      </c>
      <c r="H97" s="44">
        <f>IN_1!H97+IN_2!H97+IN_3!H97+IN_4!H97</f>
        <v>3</v>
      </c>
      <c r="I97" s="39">
        <f>IN_1!I97+IN_2!I97+IN_3!I97+IN_4!I97</f>
        <v>0</v>
      </c>
      <c r="J97" s="39">
        <f>IN_1!J97+IN_2!J97+IN_3!J97+IN_4!J97</f>
        <v>0</v>
      </c>
      <c r="K97" s="45">
        <f>IN_1!K97+IN_2!K97+IN_3!K97+IN_4!K97</f>
        <v>0</v>
      </c>
      <c r="L97" s="140">
        <f>IN_1!L97+IN_2!L97+IN_3!L97+IN_4!L97</f>
        <v>4</v>
      </c>
      <c r="M97" s="149">
        <f t="shared" si="6"/>
        <v>7</v>
      </c>
      <c r="N97" s="100">
        <f t="shared" si="7"/>
        <v>970</v>
      </c>
      <c r="O97" s="43">
        <f t="shared" si="8"/>
        <v>1081</v>
      </c>
    </row>
    <row r="98" spans="1:15" ht="22.5" customHeight="1" x14ac:dyDescent="0.3">
      <c r="A98" s="149" t="s">
        <v>137</v>
      </c>
      <c r="B98" s="44">
        <f>IN_1!B98+IN_2!B98+IN_3!B98+IN_4!B98</f>
        <v>586</v>
      </c>
      <c r="C98" s="39">
        <f>IN_1!C98+IN_2!C98+IN_3!C98+IN_4!C98</f>
        <v>522</v>
      </c>
      <c r="D98" s="39">
        <f>IN_1!D98+IN_2!D98+IN_3!D98+IN_4!D98</f>
        <v>39</v>
      </c>
      <c r="E98" s="39">
        <f>IN_1!E98+IN_2!E98+IN_3!E98+IN_4!E98</f>
        <v>30</v>
      </c>
      <c r="F98" s="152">
        <f>IN_1!F98+IN_2!F98+IN_3!F98+IN_4!F98</f>
        <v>73</v>
      </c>
      <c r="G98" s="154">
        <f t="shared" si="5"/>
        <v>1250</v>
      </c>
      <c r="H98" s="44">
        <f>IN_1!H98+IN_2!H98+IN_3!H98+IN_4!H98</f>
        <v>5</v>
      </c>
      <c r="I98" s="39">
        <f>IN_1!I98+IN_2!I98+IN_3!I98+IN_4!I98</f>
        <v>0</v>
      </c>
      <c r="J98" s="39">
        <f>IN_1!J98+IN_2!J98+IN_3!J98+IN_4!J98</f>
        <v>0</v>
      </c>
      <c r="K98" s="45">
        <f>IN_1!K98+IN_2!K98+IN_3!K98+IN_4!K98</f>
        <v>0</v>
      </c>
      <c r="L98" s="140">
        <f>IN_1!L98+IN_2!L98+IN_3!L98+IN_4!L98</f>
        <v>6</v>
      </c>
      <c r="M98" s="149">
        <f t="shared" si="6"/>
        <v>11</v>
      </c>
      <c r="N98" s="100">
        <f t="shared" si="7"/>
        <v>1261</v>
      </c>
      <c r="O98" s="43">
        <f t="shared" si="8"/>
        <v>1374.5</v>
      </c>
    </row>
    <row r="99" spans="1:15" ht="22.5" customHeight="1" x14ac:dyDescent="0.3">
      <c r="A99" s="149" t="s">
        <v>138</v>
      </c>
      <c r="B99" s="44">
        <f>IN_1!B99+IN_2!B99+IN_3!B99+IN_4!B99</f>
        <v>614</v>
      </c>
      <c r="C99" s="39">
        <f>IN_1!C99+IN_2!C99+IN_3!C99+IN_4!C99</f>
        <v>580</v>
      </c>
      <c r="D99" s="39">
        <f>IN_1!D99+IN_2!D99+IN_3!D99+IN_4!D99</f>
        <v>39</v>
      </c>
      <c r="E99" s="39">
        <f>IN_1!E99+IN_2!E99+IN_3!E99+IN_4!E99</f>
        <v>40</v>
      </c>
      <c r="F99" s="152">
        <f>IN_1!F99+IN_2!F99+IN_3!F99+IN_4!F99</f>
        <v>61</v>
      </c>
      <c r="G99" s="154">
        <f t="shared" si="5"/>
        <v>1334</v>
      </c>
      <c r="H99" s="44">
        <f>IN_1!H99+IN_2!H99+IN_3!H99+IN_4!H99</f>
        <v>1</v>
      </c>
      <c r="I99" s="39">
        <f>IN_1!I99+IN_2!I99+IN_3!I99+IN_4!I99</f>
        <v>0</v>
      </c>
      <c r="J99" s="39">
        <f>IN_1!J99+IN_2!J99+IN_3!J99+IN_4!J99</f>
        <v>0</v>
      </c>
      <c r="K99" s="45">
        <f>IN_1!K99+IN_2!K99+IN_3!K99+IN_4!K99</f>
        <v>0</v>
      </c>
      <c r="L99" s="140">
        <f>IN_1!L99+IN_2!L99+IN_3!L99+IN_4!L99</f>
        <v>6</v>
      </c>
      <c r="M99" s="149">
        <f t="shared" si="6"/>
        <v>7</v>
      </c>
      <c r="N99" s="100">
        <f t="shared" si="7"/>
        <v>1341</v>
      </c>
      <c r="O99" s="43">
        <f t="shared" si="8"/>
        <v>1405.5</v>
      </c>
    </row>
    <row r="100" spans="1:15" ht="22.5" customHeight="1" x14ac:dyDescent="0.3">
      <c r="A100" s="149" t="s">
        <v>139</v>
      </c>
      <c r="B100" s="44">
        <f>IN_1!B100+IN_2!B100+IN_3!B100+IN_4!B100</f>
        <v>702</v>
      </c>
      <c r="C100" s="39">
        <f>IN_1!C100+IN_2!C100+IN_3!C100+IN_4!C100</f>
        <v>652</v>
      </c>
      <c r="D100" s="39">
        <f>IN_1!D100+IN_2!D100+IN_3!D100+IN_4!D100</f>
        <v>53</v>
      </c>
      <c r="E100" s="39">
        <f>IN_1!E100+IN_2!E100+IN_3!E100+IN_4!E100</f>
        <v>49</v>
      </c>
      <c r="F100" s="152">
        <f>IN_1!F100+IN_2!F100+IN_3!F100+IN_4!F100</f>
        <v>67</v>
      </c>
      <c r="G100" s="154">
        <f t="shared" si="5"/>
        <v>1523</v>
      </c>
      <c r="H100" s="44">
        <f>IN_1!H100+IN_2!H100+IN_3!H100+IN_4!H100</f>
        <v>5</v>
      </c>
      <c r="I100" s="39">
        <f>IN_1!I100+IN_2!I100+IN_3!I100+IN_4!I100</f>
        <v>0</v>
      </c>
      <c r="J100" s="39">
        <f>IN_1!J100+IN_2!J100+IN_3!J100+IN_4!J100</f>
        <v>0</v>
      </c>
      <c r="K100" s="45">
        <f>IN_1!K100+IN_2!K100+IN_3!K100+IN_4!K100</f>
        <v>0</v>
      </c>
      <c r="L100" s="140">
        <f>IN_1!L100+IN_2!L100+IN_3!L100+IN_4!L100</f>
        <v>14</v>
      </c>
      <c r="M100" s="149">
        <f t="shared" si="6"/>
        <v>19</v>
      </c>
      <c r="N100" s="100">
        <f t="shared" si="7"/>
        <v>1542</v>
      </c>
      <c r="O100" s="43">
        <f t="shared" si="8"/>
        <v>1670.5</v>
      </c>
    </row>
    <row r="101" spans="1:15" ht="22.5" customHeight="1" x14ac:dyDescent="0.3">
      <c r="A101" s="149" t="s">
        <v>140</v>
      </c>
      <c r="B101" s="44">
        <f>IN_1!B101+IN_2!B101+IN_3!B101+IN_4!B101</f>
        <v>839</v>
      </c>
      <c r="C101" s="39">
        <f>IN_1!C101+IN_2!C101+IN_3!C101+IN_4!C101</f>
        <v>725</v>
      </c>
      <c r="D101" s="39">
        <f>IN_1!D101+IN_2!D101+IN_3!D101+IN_4!D101</f>
        <v>54</v>
      </c>
      <c r="E101" s="39">
        <f>IN_1!E101+IN_2!E101+IN_3!E101+IN_4!E101</f>
        <v>56</v>
      </c>
      <c r="F101" s="152">
        <f>IN_1!F101+IN_2!F101+IN_3!F101+IN_4!F101</f>
        <v>75</v>
      </c>
      <c r="G101" s="154">
        <f t="shared" si="5"/>
        <v>1749</v>
      </c>
      <c r="H101" s="44">
        <f>IN_1!H101+IN_2!H101+IN_3!H101+IN_4!H101</f>
        <v>6</v>
      </c>
      <c r="I101" s="39">
        <f>IN_1!I101+IN_2!I101+IN_3!I101+IN_4!I101</f>
        <v>0</v>
      </c>
      <c r="J101" s="39">
        <f>IN_1!J101+IN_2!J101+IN_3!J101+IN_4!J101</f>
        <v>0</v>
      </c>
      <c r="K101" s="45">
        <f>IN_1!K101+IN_2!K101+IN_3!K101+IN_4!K101</f>
        <v>0</v>
      </c>
      <c r="L101" s="140">
        <f>IN_1!L101+IN_2!L101+IN_3!L101+IN_4!L101</f>
        <v>10</v>
      </c>
      <c r="M101" s="149">
        <f t="shared" si="6"/>
        <v>16</v>
      </c>
      <c r="N101" s="100">
        <f t="shared" si="7"/>
        <v>1765</v>
      </c>
      <c r="O101" s="43">
        <f t="shared" si="8"/>
        <v>1871</v>
      </c>
    </row>
    <row r="102" spans="1:15" ht="22.5" customHeight="1" x14ac:dyDescent="0.3">
      <c r="A102" s="149" t="s">
        <v>141</v>
      </c>
      <c r="B102" s="44">
        <f>IN_1!B102+IN_2!B102+IN_3!B102+IN_4!B102</f>
        <v>861</v>
      </c>
      <c r="C102" s="39">
        <f>IN_1!C102+IN_2!C102+IN_3!C102+IN_4!C102</f>
        <v>844</v>
      </c>
      <c r="D102" s="39">
        <f>IN_1!D102+IN_2!D102+IN_3!D102+IN_4!D102</f>
        <v>41</v>
      </c>
      <c r="E102" s="39">
        <f>IN_1!E102+IN_2!E102+IN_3!E102+IN_4!E102</f>
        <v>52</v>
      </c>
      <c r="F102" s="152">
        <f>IN_1!F102+IN_2!F102+IN_3!F102+IN_4!F102</f>
        <v>77</v>
      </c>
      <c r="G102" s="154">
        <f t="shared" si="5"/>
        <v>1875</v>
      </c>
      <c r="H102" s="44">
        <f>IN_1!H102+IN_2!H102+IN_3!H102+IN_4!H102</f>
        <v>8</v>
      </c>
      <c r="I102" s="39">
        <f>IN_1!I102+IN_2!I102+IN_3!I102+IN_4!I102</f>
        <v>0</v>
      </c>
      <c r="J102" s="39">
        <f>IN_1!J102+IN_2!J102+IN_3!J102+IN_4!J102</f>
        <v>0</v>
      </c>
      <c r="K102" s="45">
        <f>IN_1!K102+IN_2!K102+IN_3!K102+IN_4!K102</f>
        <v>0</v>
      </c>
      <c r="L102" s="140">
        <f>IN_1!L102+IN_2!L102+IN_3!L102+IN_4!L102</f>
        <v>18</v>
      </c>
      <c r="M102" s="149">
        <f t="shared" si="6"/>
        <v>26</v>
      </c>
      <c r="N102" s="100">
        <f t="shared" si="7"/>
        <v>1901</v>
      </c>
      <c r="O102" s="43">
        <f t="shared" si="8"/>
        <v>1995</v>
      </c>
    </row>
    <row r="103" spans="1:15" ht="22.5" customHeight="1" thickBot="1" x14ac:dyDescent="0.35">
      <c r="A103" s="150" t="s">
        <v>142</v>
      </c>
      <c r="B103" s="46">
        <f>IN_1!B103+IN_2!B103+IN_3!B103+IN_4!B103</f>
        <v>942</v>
      </c>
      <c r="C103" s="47">
        <f>IN_1!C103+IN_2!C103+IN_3!C103+IN_4!C103</f>
        <v>934</v>
      </c>
      <c r="D103" s="47">
        <f>IN_1!D103+IN_2!D103+IN_3!D103+IN_4!D103</f>
        <v>56</v>
      </c>
      <c r="E103" s="47">
        <f>IN_1!E103+IN_2!E103+IN_3!E103+IN_4!E103</f>
        <v>47</v>
      </c>
      <c r="F103" s="153">
        <f>IN_1!F103+IN_2!F103+IN_3!F103+IN_4!F103</f>
        <v>62</v>
      </c>
      <c r="G103" s="80">
        <f t="shared" si="5"/>
        <v>2041</v>
      </c>
      <c r="H103" s="46">
        <f>IN_1!H103+IN_2!H103+IN_3!H103+IN_4!H103</f>
        <v>8</v>
      </c>
      <c r="I103" s="47">
        <f>IN_1!I103+IN_2!I103+IN_3!I103+IN_4!I103</f>
        <v>0</v>
      </c>
      <c r="J103" s="47">
        <f>IN_1!J103+IN_2!J103+IN_3!J103+IN_4!J103</f>
        <v>0</v>
      </c>
      <c r="K103" s="48">
        <f>IN_1!K103+IN_2!K103+IN_3!K103+IN_4!K103</f>
        <v>0</v>
      </c>
      <c r="L103" s="141">
        <f>IN_1!L103+IN_2!L103+IN_3!L103+IN_4!L103</f>
        <v>12</v>
      </c>
      <c r="M103" s="150">
        <f t="shared" si="6"/>
        <v>20</v>
      </c>
      <c r="N103" s="101">
        <f t="shared" si="7"/>
        <v>2061</v>
      </c>
      <c r="O103" s="84">
        <f t="shared" si="8"/>
        <v>2013</v>
      </c>
    </row>
    <row r="104" spans="1:15" ht="22.5" customHeight="1" thickBot="1" x14ac:dyDescent="0.35">
      <c r="A104" s="41" t="s">
        <v>11</v>
      </c>
      <c r="B104" s="117">
        <f t="shared" ref="B104:N104" si="9">SUM(B8:B103)</f>
        <v>71434</v>
      </c>
      <c r="C104" s="117">
        <f t="shared" si="9"/>
        <v>44698</v>
      </c>
      <c r="D104" s="117">
        <f t="shared" si="9"/>
        <v>5973</v>
      </c>
      <c r="E104" s="117">
        <f t="shared" si="9"/>
        <v>3827</v>
      </c>
      <c r="F104" s="117">
        <f t="shared" si="9"/>
        <v>8182</v>
      </c>
      <c r="G104" s="94">
        <f t="shared" si="9"/>
        <v>134114</v>
      </c>
      <c r="H104" s="117">
        <f t="shared" si="9"/>
        <v>128</v>
      </c>
      <c r="I104" s="117">
        <f t="shared" si="9"/>
        <v>2</v>
      </c>
      <c r="J104" s="117">
        <f t="shared" si="9"/>
        <v>12</v>
      </c>
      <c r="K104" s="118">
        <f t="shared" si="9"/>
        <v>1</v>
      </c>
      <c r="L104" s="118">
        <f t="shared" si="9"/>
        <v>837</v>
      </c>
      <c r="M104" s="94">
        <f>SUM(M8:M103)</f>
        <v>980</v>
      </c>
      <c r="N104" s="95">
        <f t="shared" si="9"/>
        <v>135094</v>
      </c>
      <c r="O104" s="142">
        <f>SUM(O8:O103)</f>
        <v>157845.5</v>
      </c>
    </row>
    <row r="105" spans="1:15" ht="22.5" customHeight="1" thickBot="1" x14ac:dyDescent="0.35">
      <c r="A105" s="41" t="s">
        <v>143</v>
      </c>
      <c r="B105" s="88">
        <f>+B104*1</f>
        <v>71434</v>
      </c>
      <c r="C105" s="88">
        <f>+C104*0.5</f>
        <v>22349</v>
      </c>
      <c r="D105" s="88">
        <f>+D104*1.5</f>
        <v>8959.5</v>
      </c>
      <c r="E105" s="88">
        <f>+E104*3</f>
        <v>11481</v>
      </c>
      <c r="F105" s="89">
        <f>+F104*4.5</f>
        <v>36819</v>
      </c>
      <c r="G105" s="90">
        <f>SUM(B105:F105)</f>
        <v>151042.5</v>
      </c>
      <c r="H105" s="88">
        <f>+H104*0.5</f>
        <v>64</v>
      </c>
      <c r="I105" s="89">
        <f>+I104*1.5</f>
        <v>3</v>
      </c>
      <c r="J105" s="89">
        <f>+J104*3</f>
        <v>36</v>
      </c>
      <c r="K105" s="96">
        <f>+K104*4</f>
        <v>4</v>
      </c>
      <c r="L105" s="96">
        <f>+L104*8</f>
        <v>6696</v>
      </c>
      <c r="M105" s="147">
        <f>SUM(H105:L105)</f>
        <v>6803</v>
      </c>
      <c r="N105" s="91"/>
      <c r="O105" s="92">
        <f>G105+M105</f>
        <v>157845.5</v>
      </c>
    </row>
    <row r="106" spans="1:15" ht="22.5" customHeight="1" thickBot="1" x14ac:dyDescent="0.35">
      <c r="A106" s="42" t="s">
        <v>12</v>
      </c>
      <c r="B106" s="93">
        <f t="shared" ref="B106:N106" si="10">B104/$N$104</f>
        <v>0.52877255836676684</v>
      </c>
      <c r="C106" s="93">
        <f t="shared" si="10"/>
        <v>0.33086591558470396</v>
      </c>
      <c r="D106" s="93">
        <f t="shared" si="10"/>
        <v>4.4213658637689314E-2</v>
      </c>
      <c r="E106" s="93">
        <f t="shared" si="10"/>
        <v>2.8328423172013562E-2</v>
      </c>
      <c r="F106" s="93">
        <f t="shared" si="10"/>
        <v>6.0565236057856013E-2</v>
      </c>
      <c r="G106" s="98">
        <f t="shared" si="10"/>
        <v>0.99274579181902967</v>
      </c>
      <c r="H106" s="93">
        <f t="shared" si="10"/>
        <v>9.4748841547367014E-4</v>
      </c>
      <c r="I106" s="93">
        <f t="shared" si="10"/>
        <v>1.4804506491776096E-5</v>
      </c>
      <c r="J106" s="93">
        <f t="shared" si="10"/>
        <v>8.8827038950656579E-5</v>
      </c>
      <c r="K106" s="97">
        <f t="shared" si="10"/>
        <v>7.4022532458880479E-6</v>
      </c>
      <c r="L106" s="97">
        <f t="shared" si="10"/>
        <v>6.1956859668082969E-3</v>
      </c>
      <c r="M106" s="98">
        <f t="shared" si="10"/>
        <v>7.2542081809702872E-3</v>
      </c>
      <c r="N106" s="99">
        <f t="shared" si="10"/>
        <v>1</v>
      </c>
      <c r="O106" s="94"/>
    </row>
    <row r="108" spans="1:15" s="4" customFormat="1" x14ac:dyDescent="0.3">
      <c r="A108" s="4" t="s">
        <v>103</v>
      </c>
      <c r="B108" s="4" t="str">
        <f>B2</f>
        <v>TMC-14 Number (D2)</v>
      </c>
    </row>
    <row r="109" spans="1:15" s="4" customFormat="1" x14ac:dyDescent="0.3">
      <c r="A109" s="4" t="s">
        <v>102</v>
      </c>
      <c r="B109" s="4" t="str">
        <f>B3</f>
        <v>D2</v>
      </c>
    </row>
    <row r="110" spans="1:15" s="4" customFormat="1" x14ac:dyDescent="0.3">
      <c r="A110" s="4" t="s">
        <v>104</v>
      </c>
      <c r="B110" s="4" t="str">
        <f>B4</f>
        <v>Total Inflow</v>
      </c>
    </row>
    <row r="111" spans="1:15" ht="16.2" thickBot="1" x14ac:dyDescent="0.35"/>
    <row r="112" spans="1:15" ht="25.2" customHeight="1" x14ac:dyDescent="0.3">
      <c r="A112" s="252" t="s">
        <v>95</v>
      </c>
      <c r="B112" s="258" t="s">
        <v>280</v>
      </c>
      <c r="C112" s="254" t="s">
        <v>281</v>
      </c>
      <c r="D112" s="250" t="s">
        <v>282</v>
      </c>
      <c r="E112" s="260" t="s">
        <v>283</v>
      </c>
      <c r="F112" s="256" t="s">
        <v>284</v>
      </c>
      <c r="G112" s="250" t="s">
        <v>129</v>
      </c>
      <c r="H112" s="248" t="s">
        <v>150</v>
      </c>
      <c r="I112" s="250" t="s">
        <v>151</v>
      </c>
      <c r="J112" s="250" t="s">
        <v>285</v>
      </c>
      <c r="K112" s="248" t="s">
        <v>286</v>
      </c>
      <c r="L112" s="250" t="s">
        <v>287</v>
      </c>
      <c r="M112" s="250" t="s">
        <v>78</v>
      </c>
      <c r="N112" s="250" t="s">
        <v>131</v>
      </c>
      <c r="O112" s="250" t="s">
        <v>132</v>
      </c>
    </row>
    <row r="113" spans="1:15" ht="16.2" thickBot="1" x14ac:dyDescent="0.35">
      <c r="A113" s="253"/>
      <c r="B113" s="259"/>
      <c r="C113" s="255"/>
      <c r="D113" s="251"/>
      <c r="E113" s="261"/>
      <c r="F113" s="257"/>
      <c r="G113" s="259"/>
      <c r="H113" s="249"/>
      <c r="I113" s="251"/>
      <c r="J113" s="251"/>
      <c r="K113" s="249"/>
      <c r="L113" s="251"/>
      <c r="M113" s="251"/>
      <c r="N113" s="251"/>
      <c r="O113" s="251"/>
    </row>
    <row r="114" spans="1:15" ht="22.95" customHeight="1" x14ac:dyDescent="0.3">
      <c r="A114" s="52" t="s">
        <v>15</v>
      </c>
      <c r="B114" s="112">
        <f t="shared" ref="B114:M114" si="11">B8+B9+B10+B11</f>
        <v>3710</v>
      </c>
      <c r="C114" s="113">
        <f t="shared" si="11"/>
        <v>3598</v>
      </c>
      <c r="D114" s="113">
        <f t="shared" si="11"/>
        <v>241</v>
      </c>
      <c r="E114" s="113">
        <f t="shared" si="11"/>
        <v>185</v>
      </c>
      <c r="F114" s="113">
        <f t="shared" si="11"/>
        <v>314</v>
      </c>
      <c r="G114" s="49">
        <f>G8+G9+G10+G11</f>
        <v>8048</v>
      </c>
      <c r="H114" s="112">
        <f t="shared" si="11"/>
        <v>29</v>
      </c>
      <c r="I114" s="113">
        <f t="shared" ref="I114:L114" si="12">I8+I9+I10+I11</f>
        <v>1</v>
      </c>
      <c r="J114" s="113">
        <f t="shared" si="12"/>
        <v>0</v>
      </c>
      <c r="K114" s="114">
        <f t="shared" si="12"/>
        <v>0</v>
      </c>
      <c r="L114" s="143">
        <f t="shared" si="12"/>
        <v>102</v>
      </c>
      <c r="M114" s="49">
        <f t="shared" si="11"/>
        <v>132</v>
      </c>
      <c r="N114" s="40">
        <f>G114+M114</f>
        <v>8180</v>
      </c>
      <c r="O114" s="115">
        <f>B114*1+C114*0.5+D114*1.5+E114*3+F114*4.5+H114*0.5+I114*1.5+J114*3+K114*4+L114*8</f>
        <v>8670.5</v>
      </c>
    </row>
    <row r="115" spans="1:15" ht="22.95" customHeight="1" x14ac:dyDescent="0.3">
      <c r="A115" s="52" t="s">
        <v>16</v>
      </c>
      <c r="B115" s="44">
        <f t="shared" ref="B115:M115" si="13">B9+B10+B11+B12</f>
        <v>3949</v>
      </c>
      <c r="C115" s="39">
        <f t="shared" si="13"/>
        <v>3922</v>
      </c>
      <c r="D115" s="39">
        <f t="shared" si="13"/>
        <v>240</v>
      </c>
      <c r="E115" s="39">
        <f t="shared" si="13"/>
        <v>171</v>
      </c>
      <c r="F115" s="39">
        <f t="shared" si="13"/>
        <v>315</v>
      </c>
      <c r="G115" s="50">
        <f t="shared" si="13"/>
        <v>8597</v>
      </c>
      <c r="H115" s="44">
        <f t="shared" si="13"/>
        <v>30</v>
      </c>
      <c r="I115" s="39">
        <f t="shared" si="13"/>
        <v>1</v>
      </c>
      <c r="J115" s="39">
        <f t="shared" si="13"/>
        <v>0</v>
      </c>
      <c r="K115" s="45">
        <f t="shared" si="13"/>
        <v>0</v>
      </c>
      <c r="L115" s="144">
        <f t="shared" si="13"/>
        <v>111</v>
      </c>
      <c r="M115" s="50">
        <f t="shared" si="13"/>
        <v>142</v>
      </c>
      <c r="N115" s="40">
        <f t="shared" ref="N115:N178" si="14">G115+M115</f>
        <v>8739</v>
      </c>
      <c r="O115" s="43">
        <f t="shared" ref="O115:O178" si="15">B115*1+C115*0.5+D115*1.5+E115*3+F115*4.5+H115*0.5+I115*1.5+J115*3+K115*4+L115*8</f>
        <v>9105</v>
      </c>
    </row>
    <row r="116" spans="1:15" ht="22.95" customHeight="1" x14ac:dyDescent="0.3">
      <c r="A116" s="52" t="s">
        <v>17</v>
      </c>
      <c r="B116" s="44">
        <f t="shared" ref="B116:M116" si="16">B10+B11+B12+B13</f>
        <v>4150</v>
      </c>
      <c r="C116" s="39">
        <f t="shared" si="16"/>
        <v>4157</v>
      </c>
      <c r="D116" s="39">
        <f t="shared" si="16"/>
        <v>228</v>
      </c>
      <c r="E116" s="39">
        <f t="shared" si="16"/>
        <v>160</v>
      </c>
      <c r="F116" s="39">
        <f t="shared" si="16"/>
        <v>284</v>
      </c>
      <c r="G116" s="50">
        <f t="shared" si="16"/>
        <v>8979</v>
      </c>
      <c r="H116" s="44">
        <f t="shared" si="16"/>
        <v>26</v>
      </c>
      <c r="I116" s="39">
        <f t="shared" si="16"/>
        <v>0</v>
      </c>
      <c r="J116" s="39">
        <f t="shared" si="16"/>
        <v>0</v>
      </c>
      <c r="K116" s="45">
        <f t="shared" si="16"/>
        <v>0</v>
      </c>
      <c r="L116" s="144">
        <f t="shared" si="16"/>
        <v>115</v>
      </c>
      <c r="M116" s="50">
        <f t="shared" si="16"/>
        <v>141</v>
      </c>
      <c r="N116" s="40">
        <f t="shared" si="14"/>
        <v>9120</v>
      </c>
      <c r="O116" s="43">
        <f t="shared" si="15"/>
        <v>9261.5</v>
      </c>
    </row>
    <row r="117" spans="1:15" ht="22.95" customHeight="1" x14ac:dyDescent="0.3">
      <c r="A117" s="52" t="s">
        <v>18</v>
      </c>
      <c r="B117" s="44">
        <f t="shared" ref="B117:M117" si="17">B11+B12+B13+B14</f>
        <v>4472</v>
      </c>
      <c r="C117" s="39">
        <f t="shared" si="17"/>
        <v>4446</v>
      </c>
      <c r="D117" s="39">
        <f t="shared" si="17"/>
        <v>239</v>
      </c>
      <c r="E117" s="39">
        <f t="shared" si="17"/>
        <v>153</v>
      </c>
      <c r="F117" s="39">
        <f t="shared" si="17"/>
        <v>287</v>
      </c>
      <c r="G117" s="50">
        <f t="shared" si="17"/>
        <v>9597</v>
      </c>
      <c r="H117" s="44">
        <f t="shared" si="17"/>
        <v>24</v>
      </c>
      <c r="I117" s="39">
        <f t="shared" si="17"/>
        <v>0</v>
      </c>
      <c r="J117" s="39">
        <f t="shared" si="17"/>
        <v>0</v>
      </c>
      <c r="K117" s="45">
        <f t="shared" si="17"/>
        <v>0</v>
      </c>
      <c r="L117" s="144">
        <f t="shared" si="17"/>
        <v>122</v>
      </c>
      <c r="M117" s="50">
        <f t="shared" si="17"/>
        <v>146</v>
      </c>
      <c r="N117" s="40">
        <f t="shared" si="14"/>
        <v>9743</v>
      </c>
      <c r="O117" s="43">
        <f t="shared" si="15"/>
        <v>9792</v>
      </c>
    </row>
    <row r="118" spans="1:15" ht="22.95" customHeight="1" x14ac:dyDescent="0.3">
      <c r="A118" s="52" t="s">
        <v>19</v>
      </c>
      <c r="B118" s="44">
        <f t="shared" ref="B118:M118" si="18">B12+B13+B14+B15</f>
        <v>4773</v>
      </c>
      <c r="C118" s="39">
        <f t="shared" si="18"/>
        <v>4414</v>
      </c>
      <c r="D118" s="39">
        <f t="shared" si="18"/>
        <v>269</v>
      </c>
      <c r="E118" s="39">
        <f t="shared" si="18"/>
        <v>167</v>
      </c>
      <c r="F118" s="39">
        <f t="shared" si="18"/>
        <v>283</v>
      </c>
      <c r="G118" s="50">
        <f t="shared" si="18"/>
        <v>9906</v>
      </c>
      <c r="H118" s="44">
        <f t="shared" si="18"/>
        <v>17</v>
      </c>
      <c r="I118" s="39">
        <f t="shared" si="18"/>
        <v>0</v>
      </c>
      <c r="J118" s="39">
        <f t="shared" si="18"/>
        <v>0</v>
      </c>
      <c r="K118" s="45">
        <f t="shared" si="18"/>
        <v>0</v>
      </c>
      <c r="L118" s="144">
        <f t="shared" si="18"/>
        <v>109</v>
      </c>
      <c r="M118" s="50">
        <f t="shared" si="18"/>
        <v>126</v>
      </c>
      <c r="N118" s="40">
        <f t="shared" si="14"/>
        <v>10032</v>
      </c>
      <c r="O118" s="43">
        <f t="shared" si="15"/>
        <v>10038.5</v>
      </c>
    </row>
    <row r="119" spans="1:15" ht="22.95" customHeight="1" x14ac:dyDescent="0.3">
      <c r="A119" s="52" t="s">
        <v>20</v>
      </c>
      <c r="B119" s="44">
        <f t="shared" ref="B119:M119" si="19">B13+B14+B15+B16</f>
        <v>4934</v>
      </c>
      <c r="C119" s="39">
        <f t="shared" si="19"/>
        <v>4374</v>
      </c>
      <c r="D119" s="39">
        <f t="shared" si="19"/>
        <v>292</v>
      </c>
      <c r="E119" s="39">
        <f t="shared" si="19"/>
        <v>173</v>
      </c>
      <c r="F119" s="39">
        <f t="shared" si="19"/>
        <v>281</v>
      </c>
      <c r="G119" s="50">
        <f t="shared" si="19"/>
        <v>10054</v>
      </c>
      <c r="H119" s="44">
        <f t="shared" si="19"/>
        <v>15</v>
      </c>
      <c r="I119" s="39">
        <f t="shared" si="19"/>
        <v>0</v>
      </c>
      <c r="J119" s="39">
        <f t="shared" si="19"/>
        <v>0</v>
      </c>
      <c r="K119" s="45">
        <f t="shared" si="19"/>
        <v>0</v>
      </c>
      <c r="L119" s="144">
        <f t="shared" si="19"/>
        <v>92</v>
      </c>
      <c r="M119" s="50">
        <f t="shared" si="19"/>
        <v>107</v>
      </c>
      <c r="N119" s="40">
        <f t="shared" si="14"/>
        <v>10161</v>
      </c>
      <c r="O119" s="43">
        <f t="shared" si="15"/>
        <v>10086</v>
      </c>
    </row>
    <row r="120" spans="1:15" ht="22.95" customHeight="1" x14ac:dyDescent="0.3">
      <c r="A120" s="182" t="s">
        <v>21</v>
      </c>
      <c r="B120" s="122">
        <f t="shared" ref="B120:M120" si="20">B14+B15+B16+B17</f>
        <v>5112</v>
      </c>
      <c r="C120" s="123">
        <f t="shared" si="20"/>
        <v>4189</v>
      </c>
      <c r="D120" s="123">
        <f t="shared" si="20"/>
        <v>318</v>
      </c>
      <c r="E120" s="123">
        <f t="shared" si="20"/>
        <v>183</v>
      </c>
      <c r="F120" s="123">
        <f t="shared" si="20"/>
        <v>317</v>
      </c>
      <c r="G120" s="125">
        <f t="shared" si="20"/>
        <v>10119</v>
      </c>
      <c r="H120" s="122">
        <f t="shared" si="20"/>
        <v>10</v>
      </c>
      <c r="I120" s="123">
        <f t="shared" si="20"/>
        <v>0</v>
      </c>
      <c r="J120" s="123">
        <f t="shared" si="20"/>
        <v>0</v>
      </c>
      <c r="K120" s="124">
        <f t="shared" si="20"/>
        <v>0</v>
      </c>
      <c r="L120" s="146">
        <f t="shared" si="20"/>
        <v>78</v>
      </c>
      <c r="M120" s="125">
        <f t="shared" si="20"/>
        <v>88</v>
      </c>
      <c r="N120" s="126">
        <f t="shared" si="14"/>
        <v>10207</v>
      </c>
      <c r="O120" s="127">
        <f t="shared" si="15"/>
        <v>10288</v>
      </c>
    </row>
    <row r="121" spans="1:15" ht="22.95" customHeight="1" x14ac:dyDescent="0.3">
      <c r="A121" s="52" t="s">
        <v>22</v>
      </c>
      <c r="B121" s="44">
        <f t="shared" ref="B121:M121" si="21">B15+B16+B17+B18</f>
        <v>5118</v>
      </c>
      <c r="C121" s="39">
        <f t="shared" si="21"/>
        <v>3605</v>
      </c>
      <c r="D121" s="39">
        <f t="shared" si="21"/>
        <v>316</v>
      </c>
      <c r="E121" s="39">
        <f t="shared" si="21"/>
        <v>193</v>
      </c>
      <c r="F121" s="39">
        <f t="shared" si="21"/>
        <v>316</v>
      </c>
      <c r="G121" s="50">
        <f t="shared" si="21"/>
        <v>9548</v>
      </c>
      <c r="H121" s="44">
        <f t="shared" si="21"/>
        <v>6</v>
      </c>
      <c r="I121" s="39">
        <f t="shared" si="21"/>
        <v>0</v>
      </c>
      <c r="J121" s="39">
        <f t="shared" si="21"/>
        <v>0</v>
      </c>
      <c r="K121" s="45">
        <f t="shared" si="21"/>
        <v>0</v>
      </c>
      <c r="L121" s="144">
        <f t="shared" si="21"/>
        <v>61</v>
      </c>
      <c r="M121" s="50">
        <f t="shared" si="21"/>
        <v>67</v>
      </c>
      <c r="N121" s="40">
        <f t="shared" si="14"/>
        <v>9615</v>
      </c>
      <c r="O121" s="43">
        <f t="shared" si="15"/>
        <v>9886.5</v>
      </c>
    </row>
    <row r="122" spans="1:15" ht="22.95" customHeight="1" x14ac:dyDescent="0.3">
      <c r="A122" s="52" t="s">
        <v>23</v>
      </c>
      <c r="B122" s="44">
        <f t="shared" ref="B122:M122" si="22">B16+B17+B18+B19</f>
        <v>5073</v>
      </c>
      <c r="C122" s="39">
        <f t="shared" si="22"/>
        <v>3295</v>
      </c>
      <c r="D122" s="39">
        <f t="shared" si="22"/>
        <v>319</v>
      </c>
      <c r="E122" s="39">
        <f t="shared" si="22"/>
        <v>184</v>
      </c>
      <c r="F122" s="39">
        <f t="shared" si="22"/>
        <v>329</v>
      </c>
      <c r="G122" s="50">
        <f t="shared" si="22"/>
        <v>9200</v>
      </c>
      <c r="H122" s="44">
        <f t="shared" si="22"/>
        <v>6</v>
      </c>
      <c r="I122" s="39">
        <f t="shared" si="22"/>
        <v>0</v>
      </c>
      <c r="J122" s="39">
        <f t="shared" si="22"/>
        <v>0</v>
      </c>
      <c r="K122" s="45">
        <f t="shared" si="22"/>
        <v>0</v>
      </c>
      <c r="L122" s="144">
        <f t="shared" si="22"/>
        <v>65</v>
      </c>
      <c r="M122" s="50">
        <f t="shared" si="22"/>
        <v>71</v>
      </c>
      <c r="N122" s="40">
        <f t="shared" si="14"/>
        <v>9271</v>
      </c>
      <c r="O122" s="43">
        <f t="shared" si="15"/>
        <v>9754.5</v>
      </c>
    </row>
    <row r="123" spans="1:15" ht="22.95" customHeight="1" x14ac:dyDescent="0.3">
      <c r="A123" s="52" t="s">
        <v>24</v>
      </c>
      <c r="B123" s="44">
        <f t="shared" ref="B123:M123" si="23">B17+B18+B19+B20</f>
        <v>5024</v>
      </c>
      <c r="C123" s="39">
        <f t="shared" si="23"/>
        <v>2919</v>
      </c>
      <c r="D123" s="39">
        <f t="shared" si="23"/>
        <v>298</v>
      </c>
      <c r="E123" s="39">
        <f t="shared" si="23"/>
        <v>192</v>
      </c>
      <c r="F123" s="39">
        <f t="shared" si="23"/>
        <v>323</v>
      </c>
      <c r="G123" s="50">
        <f t="shared" si="23"/>
        <v>8756</v>
      </c>
      <c r="H123" s="44">
        <f t="shared" si="23"/>
        <v>1</v>
      </c>
      <c r="I123" s="39">
        <f t="shared" si="23"/>
        <v>0</v>
      </c>
      <c r="J123" s="39">
        <f t="shared" si="23"/>
        <v>0</v>
      </c>
      <c r="K123" s="45">
        <f t="shared" si="23"/>
        <v>0</v>
      </c>
      <c r="L123" s="144">
        <f t="shared" si="23"/>
        <v>60</v>
      </c>
      <c r="M123" s="50">
        <f t="shared" si="23"/>
        <v>61</v>
      </c>
      <c r="N123" s="40">
        <f t="shared" si="14"/>
        <v>8817</v>
      </c>
      <c r="O123" s="43">
        <f t="shared" si="15"/>
        <v>9440.5</v>
      </c>
    </row>
    <row r="124" spans="1:15" ht="22.95" customHeight="1" x14ac:dyDescent="0.3">
      <c r="A124" s="52" t="s">
        <v>25</v>
      </c>
      <c r="B124" s="44">
        <f t="shared" ref="B124:M124" si="24">B18+B19+B20+B21</f>
        <v>5135</v>
      </c>
      <c r="C124" s="39">
        <f t="shared" si="24"/>
        <v>2867</v>
      </c>
      <c r="D124" s="39">
        <f t="shared" si="24"/>
        <v>307</v>
      </c>
      <c r="E124" s="39">
        <f t="shared" si="24"/>
        <v>199</v>
      </c>
      <c r="F124" s="39">
        <f t="shared" si="24"/>
        <v>339</v>
      </c>
      <c r="G124" s="50">
        <f t="shared" si="24"/>
        <v>8847</v>
      </c>
      <c r="H124" s="44">
        <f t="shared" si="24"/>
        <v>3</v>
      </c>
      <c r="I124" s="39">
        <f t="shared" si="24"/>
        <v>0</v>
      </c>
      <c r="J124" s="39">
        <f t="shared" si="24"/>
        <v>0</v>
      </c>
      <c r="K124" s="45">
        <f t="shared" si="24"/>
        <v>0</v>
      </c>
      <c r="L124" s="144">
        <f t="shared" si="24"/>
        <v>63</v>
      </c>
      <c r="M124" s="50">
        <f t="shared" si="24"/>
        <v>66</v>
      </c>
      <c r="N124" s="40">
        <f t="shared" si="14"/>
        <v>8913</v>
      </c>
      <c r="O124" s="43">
        <f t="shared" si="15"/>
        <v>9657</v>
      </c>
    </row>
    <row r="125" spans="1:15" ht="22.95" customHeight="1" x14ac:dyDescent="0.3">
      <c r="A125" s="52" t="s">
        <v>26</v>
      </c>
      <c r="B125" s="44">
        <f t="shared" ref="B125:M125" si="25">B19+B20+B21+B22</f>
        <v>5054</v>
      </c>
      <c r="C125" s="39">
        <f t="shared" si="25"/>
        <v>2698</v>
      </c>
      <c r="D125" s="39">
        <f t="shared" si="25"/>
        <v>304</v>
      </c>
      <c r="E125" s="39">
        <f t="shared" si="25"/>
        <v>196</v>
      </c>
      <c r="F125" s="39">
        <f t="shared" si="25"/>
        <v>347</v>
      </c>
      <c r="G125" s="50">
        <f t="shared" si="25"/>
        <v>8599</v>
      </c>
      <c r="H125" s="44">
        <f t="shared" si="25"/>
        <v>2</v>
      </c>
      <c r="I125" s="39">
        <f t="shared" si="25"/>
        <v>1</v>
      </c>
      <c r="J125" s="39">
        <f t="shared" si="25"/>
        <v>0</v>
      </c>
      <c r="K125" s="45">
        <f t="shared" si="25"/>
        <v>0</v>
      </c>
      <c r="L125" s="144">
        <f t="shared" si="25"/>
        <v>63</v>
      </c>
      <c r="M125" s="50">
        <f t="shared" si="25"/>
        <v>66</v>
      </c>
      <c r="N125" s="40">
        <f t="shared" si="14"/>
        <v>8665</v>
      </c>
      <c r="O125" s="43">
        <f t="shared" si="15"/>
        <v>9515</v>
      </c>
    </row>
    <row r="126" spans="1:15" ht="22.95" customHeight="1" x14ac:dyDescent="0.3">
      <c r="A126" s="52" t="s">
        <v>27</v>
      </c>
      <c r="B126" s="44">
        <f t="shared" ref="B126:M126" si="26">B20+B21+B22+B23</f>
        <v>5010</v>
      </c>
      <c r="C126" s="39">
        <f t="shared" si="26"/>
        <v>2539</v>
      </c>
      <c r="D126" s="39">
        <f t="shared" si="26"/>
        <v>289</v>
      </c>
      <c r="E126" s="39">
        <f t="shared" si="26"/>
        <v>195</v>
      </c>
      <c r="F126" s="39">
        <f t="shared" si="26"/>
        <v>375</v>
      </c>
      <c r="G126" s="50">
        <f t="shared" si="26"/>
        <v>8408</v>
      </c>
      <c r="H126" s="44">
        <f t="shared" si="26"/>
        <v>4</v>
      </c>
      <c r="I126" s="39">
        <f t="shared" si="26"/>
        <v>1</v>
      </c>
      <c r="J126" s="39">
        <f t="shared" si="26"/>
        <v>0</v>
      </c>
      <c r="K126" s="45">
        <f t="shared" si="26"/>
        <v>0</v>
      </c>
      <c r="L126" s="144">
        <f t="shared" si="26"/>
        <v>62</v>
      </c>
      <c r="M126" s="50">
        <f t="shared" si="26"/>
        <v>67</v>
      </c>
      <c r="N126" s="40">
        <f t="shared" si="14"/>
        <v>8475</v>
      </c>
      <c r="O126" s="43">
        <f t="shared" si="15"/>
        <v>9485</v>
      </c>
    </row>
    <row r="127" spans="1:15" ht="22.95" customHeight="1" x14ac:dyDescent="0.3">
      <c r="A127" s="52" t="s">
        <v>28</v>
      </c>
      <c r="B127" s="44">
        <f t="shared" ref="B127:M127" si="27">B21+B22+B23+B24</f>
        <v>4893</v>
      </c>
      <c r="C127" s="39">
        <f t="shared" si="27"/>
        <v>2432</v>
      </c>
      <c r="D127" s="39">
        <f t="shared" si="27"/>
        <v>316</v>
      </c>
      <c r="E127" s="39">
        <f t="shared" si="27"/>
        <v>192</v>
      </c>
      <c r="F127" s="39">
        <f t="shared" si="27"/>
        <v>392</v>
      </c>
      <c r="G127" s="50">
        <f t="shared" si="27"/>
        <v>8225</v>
      </c>
      <c r="H127" s="44">
        <f t="shared" si="27"/>
        <v>4</v>
      </c>
      <c r="I127" s="39">
        <f t="shared" si="27"/>
        <v>1</v>
      </c>
      <c r="J127" s="39">
        <f t="shared" si="27"/>
        <v>0</v>
      </c>
      <c r="K127" s="45">
        <f t="shared" si="27"/>
        <v>0</v>
      </c>
      <c r="L127" s="144">
        <f t="shared" si="27"/>
        <v>54</v>
      </c>
      <c r="M127" s="50">
        <f t="shared" si="27"/>
        <v>59</v>
      </c>
      <c r="N127" s="40">
        <f t="shared" si="14"/>
        <v>8284</v>
      </c>
      <c r="O127" s="43">
        <f t="shared" si="15"/>
        <v>9358.5</v>
      </c>
    </row>
    <row r="128" spans="1:15" ht="22.95" customHeight="1" x14ac:dyDescent="0.3">
      <c r="A128" s="52" t="s">
        <v>29</v>
      </c>
      <c r="B128" s="44">
        <f t="shared" ref="B128:M128" si="28">B22+B23+B24+B25</f>
        <v>4627</v>
      </c>
      <c r="C128" s="39">
        <f t="shared" si="28"/>
        <v>2062</v>
      </c>
      <c r="D128" s="39">
        <f t="shared" si="28"/>
        <v>309</v>
      </c>
      <c r="E128" s="39">
        <f t="shared" si="28"/>
        <v>184</v>
      </c>
      <c r="F128" s="39">
        <f t="shared" si="28"/>
        <v>387</v>
      </c>
      <c r="G128" s="50">
        <f t="shared" si="28"/>
        <v>7569</v>
      </c>
      <c r="H128" s="44">
        <f t="shared" si="28"/>
        <v>2</v>
      </c>
      <c r="I128" s="39">
        <f t="shared" si="28"/>
        <v>1</v>
      </c>
      <c r="J128" s="39">
        <f t="shared" si="28"/>
        <v>0</v>
      </c>
      <c r="K128" s="45">
        <f t="shared" si="28"/>
        <v>0</v>
      </c>
      <c r="L128" s="144">
        <f t="shared" si="28"/>
        <v>45</v>
      </c>
      <c r="M128" s="50">
        <f t="shared" si="28"/>
        <v>48</v>
      </c>
      <c r="N128" s="40">
        <f t="shared" si="14"/>
        <v>7617</v>
      </c>
      <c r="O128" s="43">
        <f t="shared" si="15"/>
        <v>8777.5</v>
      </c>
    </row>
    <row r="129" spans="1:15" ht="22.95" customHeight="1" x14ac:dyDescent="0.3">
      <c r="A129" s="52" t="s">
        <v>30</v>
      </c>
      <c r="B129" s="44">
        <f t="shared" ref="B129:M129" si="29">B23+B24+B25+B26</f>
        <v>4496</v>
      </c>
      <c r="C129" s="39">
        <f t="shared" si="29"/>
        <v>2062</v>
      </c>
      <c r="D129" s="39">
        <f t="shared" si="29"/>
        <v>330</v>
      </c>
      <c r="E129" s="39">
        <f t="shared" si="29"/>
        <v>196</v>
      </c>
      <c r="F129" s="39">
        <f t="shared" si="29"/>
        <v>419</v>
      </c>
      <c r="G129" s="50">
        <f t="shared" si="29"/>
        <v>7503</v>
      </c>
      <c r="H129" s="44">
        <f t="shared" si="29"/>
        <v>2</v>
      </c>
      <c r="I129" s="39">
        <f t="shared" si="29"/>
        <v>0</v>
      </c>
      <c r="J129" s="39">
        <f t="shared" si="29"/>
        <v>1</v>
      </c>
      <c r="K129" s="45">
        <f t="shared" si="29"/>
        <v>0</v>
      </c>
      <c r="L129" s="144">
        <f t="shared" si="29"/>
        <v>41</v>
      </c>
      <c r="M129" s="50">
        <f t="shared" si="29"/>
        <v>44</v>
      </c>
      <c r="N129" s="40">
        <f t="shared" si="14"/>
        <v>7547</v>
      </c>
      <c r="O129" s="43">
        <f t="shared" si="15"/>
        <v>8827.5</v>
      </c>
    </row>
    <row r="130" spans="1:15" ht="22.95" customHeight="1" x14ac:dyDescent="0.3">
      <c r="A130" s="52" t="s">
        <v>31</v>
      </c>
      <c r="B130" s="44">
        <f t="shared" ref="B130:M130" si="30">B24+B25+B26+B27</f>
        <v>4277</v>
      </c>
      <c r="C130" s="39">
        <f t="shared" si="30"/>
        <v>2005</v>
      </c>
      <c r="D130" s="39">
        <f t="shared" si="30"/>
        <v>349</v>
      </c>
      <c r="E130" s="39">
        <f t="shared" si="30"/>
        <v>201</v>
      </c>
      <c r="F130" s="39">
        <f t="shared" si="30"/>
        <v>418</v>
      </c>
      <c r="G130" s="50">
        <f t="shared" si="30"/>
        <v>7250</v>
      </c>
      <c r="H130" s="44">
        <f t="shared" si="30"/>
        <v>0</v>
      </c>
      <c r="I130" s="39">
        <f t="shared" si="30"/>
        <v>0</v>
      </c>
      <c r="J130" s="39">
        <f t="shared" si="30"/>
        <v>1</v>
      </c>
      <c r="K130" s="45">
        <f t="shared" si="30"/>
        <v>0</v>
      </c>
      <c r="L130" s="144">
        <f t="shared" si="30"/>
        <v>32</v>
      </c>
      <c r="M130" s="50">
        <f t="shared" si="30"/>
        <v>33</v>
      </c>
      <c r="N130" s="40">
        <f t="shared" si="14"/>
        <v>7283</v>
      </c>
      <c r="O130" s="43">
        <f t="shared" si="15"/>
        <v>8546</v>
      </c>
    </row>
    <row r="131" spans="1:15" ht="22.95" customHeight="1" x14ac:dyDescent="0.3">
      <c r="A131" s="52" t="s">
        <v>32</v>
      </c>
      <c r="B131" s="44">
        <f t="shared" ref="B131:M131" si="31">B25+B26+B27+B28</f>
        <v>4242</v>
      </c>
      <c r="C131" s="39">
        <f t="shared" si="31"/>
        <v>1993</v>
      </c>
      <c r="D131" s="39">
        <f t="shared" si="31"/>
        <v>356</v>
      </c>
      <c r="E131" s="39">
        <f t="shared" si="31"/>
        <v>213</v>
      </c>
      <c r="F131" s="39">
        <f t="shared" si="31"/>
        <v>426</v>
      </c>
      <c r="G131" s="50">
        <f t="shared" si="31"/>
        <v>7230</v>
      </c>
      <c r="H131" s="44">
        <f t="shared" si="31"/>
        <v>0</v>
      </c>
      <c r="I131" s="39">
        <f t="shared" si="31"/>
        <v>0</v>
      </c>
      <c r="J131" s="39">
        <f t="shared" si="31"/>
        <v>2</v>
      </c>
      <c r="K131" s="45">
        <f t="shared" si="31"/>
        <v>0</v>
      </c>
      <c r="L131" s="144">
        <f t="shared" si="31"/>
        <v>29</v>
      </c>
      <c r="M131" s="50">
        <f t="shared" si="31"/>
        <v>31</v>
      </c>
      <c r="N131" s="40">
        <f t="shared" si="14"/>
        <v>7261</v>
      </c>
      <c r="O131" s="43">
        <f t="shared" si="15"/>
        <v>8566.5</v>
      </c>
    </row>
    <row r="132" spans="1:15" ht="22.95" customHeight="1" x14ac:dyDescent="0.3">
      <c r="A132" s="52" t="s">
        <v>33</v>
      </c>
      <c r="B132" s="44">
        <f t="shared" ref="B132:M132" si="32">B26+B27+B28+B29</f>
        <v>4213</v>
      </c>
      <c r="C132" s="39">
        <f t="shared" si="32"/>
        <v>2042</v>
      </c>
      <c r="D132" s="39">
        <f t="shared" si="32"/>
        <v>362</v>
      </c>
      <c r="E132" s="39">
        <f t="shared" si="32"/>
        <v>209</v>
      </c>
      <c r="F132" s="39">
        <f t="shared" si="32"/>
        <v>429</v>
      </c>
      <c r="G132" s="50">
        <f t="shared" si="32"/>
        <v>7255</v>
      </c>
      <c r="H132" s="44">
        <f t="shared" si="32"/>
        <v>2</v>
      </c>
      <c r="I132" s="39">
        <f t="shared" si="32"/>
        <v>0</v>
      </c>
      <c r="J132" s="39">
        <f t="shared" si="32"/>
        <v>2</v>
      </c>
      <c r="K132" s="45">
        <f t="shared" si="32"/>
        <v>0</v>
      </c>
      <c r="L132" s="144">
        <f t="shared" si="32"/>
        <v>22</v>
      </c>
      <c r="M132" s="50">
        <f t="shared" si="32"/>
        <v>26</v>
      </c>
      <c r="N132" s="40">
        <f t="shared" si="14"/>
        <v>7281</v>
      </c>
      <c r="O132" s="43">
        <f t="shared" si="15"/>
        <v>8517.5</v>
      </c>
    </row>
    <row r="133" spans="1:15" ht="22.95" customHeight="1" x14ac:dyDescent="0.3">
      <c r="A133" s="52" t="s">
        <v>34</v>
      </c>
      <c r="B133" s="44">
        <f t="shared" ref="B133:M133" si="33">B27+B28+B29+B30</f>
        <v>4233</v>
      </c>
      <c r="C133" s="39">
        <f t="shared" si="33"/>
        <v>2090</v>
      </c>
      <c r="D133" s="39">
        <f t="shared" si="33"/>
        <v>371</v>
      </c>
      <c r="E133" s="39">
        <f t="shared" si="33"/>
        <v>189</v>
      </c>
      <c r="F133" s="39">
        <f t="shared" si="33"/>
        <v>400</v>
      </c>
      <c r="G133" s="50">
        <f t="shared" si="33"/>
        <v>7283</v>
      </c>
      <c r="H133" s="44">
        <f t="shared" si="33"/>
        <v>4</v>
      </c>
      <c r="I133" s="39">
        <f t="shared" si="33"/>
        <v>0</v>
      </c>
      <c r="J133" s="39">
        <f t="shared" si="33"/>
        <v>1</v>
      </c>
      <c r="K133" s="45">
        <f t="shared" si="33"/>
        <v>0</v>
      </c>
      <c r="L133" s="144">
        <f t="shared" si="33"/>
        <v>19</v>
      </c>
      <c r="M133" s="50">
        <f t="shared" si="33"/>
        <v>24</v>
      </c>
      <c r="N133" s="40">
        <f t="shared" si="14"/>
        <v>7307</v>
      </c>
      <c r="O133" s="43">
        <f t="shared" si="15"/>
        <v>8358.5</v>
      </c>
    </row>
    <row r="134" spans="1:15" ht="22.95" customHeight="1" x14ac:dyDescent="0.3">
      <c r="A134" s="52" t="s">
        <v>35</v>
      </c>
      <c r="B134" s="44">
        <f t="shared" ref="B134:M134" si="34">B28+B29+B30+B31</f>
        <v>4355</v>
      </c>
      <c r="C134" s="39">
        <f t="shared" si="34"/>
        <v>2182</v>
      </c>
      <c r="D134" s="39">
        <f t="shared" si="34"/>
        <v>368</v>
      </c>
      <c r="E134" s="39">
        <f t="shared" si="34"/>
        <v>184</v>
      </c>
      <c r="F134" s="39">
        <f t="shared" si="34"/>
        <v>411</v>
      </c>
      <c r="G134" s="50">
        <f t="shared" si="34"/>
        <v>7500</v>
      </c>
      <c r="H134" s="44">
        <f t="shared" si="34"/>
        <v>4</v>
      </c>
      <c r="I134" s="39">
        <f t="shared" si="34"/>
        <v>0</v>
      </c>
      <c r="J134" s="39">
        <f t="shared" si="34"/>
        <v>1</v>
      </c>
      <c r="K134" s="45">
        <f t="shared" si="34"/>
        <v>0</v>
      </c>
      <c r="L134" s="144">
        <f t="shared" si="34"/>
        <v>17</v>
      </c>
      <c r="M134" s="50">
        <f t="shared" si="34"/>
        <v>22</v>
      </c>
      <c r="N134" s="40">
        <f t="shared" si="14"/>
        <v>7522</v>
      </c>
      <c r="O134" s="43">
        <f t="shared" si="15"/>
        <v>8540.5</v>
      </c>
    </row>
    <row r="135" spans="1:15" ht="22.95" customHeight="1" x14ac:dyDescent="0.3">
      <c r="A135" s="52" t="s">
        <v>36</v>
      </c>
      <c r="B135" s="44">
        <f t="shared" ref="B135:M135" si="35">B29+B30+B31+B32</f>
        <v>4248</v>
      </c>
      <c r="C135" s="39">
        <f t="shared" si="35"/>
        <v>2104</v>
      </c>
      <c r="D135" s="39">
        <f t="shared" si="35"/>
        <v>366</v>
      </c>
      <c r="E135" s="39">
        <f t="shared" si="35"/>
        <v>179</v>
      </c>
      <c r="F135" s="39">
        <f t="shared" si="35"/>
        <v>403</v>
      </c>
      <c r="G135" s="50">
        <f t="shared" si="35"/>
        <v>7300</v>
      </c>
      <c r="H135" s="44">
        <f t="shared" si="35"/>
        <v>4</v>
      </c>
      <c r="I135" s="39">
        <f t="shared" si="35"/>
        <v>0</v>
      </c>
      <c r="J135" s="39">
        <f t="shared" si="35"/>
        <v>0</v>
      </c>
      <c r="K135" s="45">
        <f t="shared" si="35"/>
        <v>0</v>
      </c>
      <c r="L135" s="144">
        <f t="shared" si="35"/>
        <v>20</v>
      </c>
      <c r="M135" s="50">
        <f t="shared" si="35"/>
        <v>24</v>
      </c>
      <c r="N135" s="40">
        <f t="shared" si="14"/>
        <v>7324</v>
      </c>
      <c r="O135" s="43">
        <f t="shared" si="15"/>
        <v>8361.5</v>
      </c>
    </row>
    <row r="136" spans="1:15" ht="22.95" customHeight="1" x14ac:dyDescent="0.3">
      <c r="A136" s="52" t="s">
        <v>37</v>
      </c>
      <c r="B136" s="44">
        <f t="shared" ref="B136:M136" si="36">B30+B31+B32+B33</f>
        <v>4064</v>
      </c>
      <c r="C136" s="39">
        <f t="shared" si="36"/>
        <v>2022</v>
      </c>
      <c r="D136" s="39">
        <f t="shared" si="36"/>
        <v>391</v>
      </c>
      <c r="E136" s="39">
        <f t="shared" si="36"/>
        <v>199</v>
      </c>
      <c r="F136" s="39">
        <f t="shared" si="36"/>
        <v>405</v>
      </c>
      <c r="G136" s="50">
        <f t="shared" si="36"/>
        <v>7081</v>
      </c>
      <c r="H136" s="44">
        <f t="shared" si="36"/>
        <v>2</v>
      </c>
      <c r="I136" s="39">
        <f t="shared" si="36"/>
        <v>0</v>
      </c>
      <c r="J136" s="39">
        <f t="shared" si="36"/>
        <v>0</v>
      </c>
      <c r="K136" s="45">
        <f t="shared" si="36"/>
        <v>0</v>
      </c>
      <c r="L136" s="144">
        <f t="shared" si="36"/>
        <v>26</v>
      </c>
      <c r="M136" s="50">
        <f t="shared" si="36"/>
        <v>28</v>
      </c>
      <c r="N136" s="40">
        <f t="shared" si="14"/>
        <v>7109</v>
      </c>
      <c r="O136" s="43">
        <f t="shared" si="15"/>
        <v>8290</v>
      </c>
    </row>
    <row r="137" spans="1:15" ht="22.95" customHeight="1" x14ac:dyDescent="0.3">
      <c r="A137" s="52" t="s">
        <v>38</v>
      </c>
      <c r="B137" s="44">
        <f t="shared" ref="B137:M137" si="37">B31+B32+B33+B34</f>
        <v>3934</v>
      </c>
      <c r="C137" s="39">
        <f t="shared" si="37"/>
        <v>1923</v>
      </c>
      <c r="D137" s="39">
        <f t="shared" si="37"/>
        <v>392</v>
      </c>
      <c r="E137" s="39">
        <f t="shared" si="37"/>
        <v>213</v>
      </c>
      <c r="F137" s="39">
        <f t="shared" si="37"/>
        <v>416</v>
      </c>
      <c r="G137" s="50">
        <f t="shared" si="37"/>
        <v>6878</v>
      </c>
      <c r="H137" s="44">
        <f t="shared" si="37"/>
        <v>0</v>
      </c>
      <c r="I137" s="39">
        <f t="shared" si="37"/>
        <v>0</v>
      </c>
      <c r="J137" s="39">
        <f t="shared" si="37"/>
        <v>1</v>
      </c>
      <c r="K137" s="45">
        <f t="shared" si="37"/>
        <v>0</v>
      </c>
      <c r="L137" s="144">
        <f t="shared" si="37"/>
        <v>22</v>
      </c>
      <c r="M137" s="50">
        <f t="shared" si="37"/>
        <v>23</v>
      </c>
      <c r="N137" s="40">
        <f t="shared" si="14"/>
        <v>6901</v>
      </c>
      <c r="O137" s="43">
        <f t="shared" si="15"/>
        <v>8173.5</v>
      </c>
    </row>
    <row r="138" spans="1:15" ht="22.95" customHeight="1" x14ac:dyDescent="0.3">
      <c r="A138" s="52" t="s">
        <v>39</v>
      </c>
      <c r="B138" s="44">
        <f t="shared" ref="B138:M138" si="38">B32+B33+B34+B35</f>
        <v>3763</v>
      </c>
      <c r="C138" s="39">
        <f t="shared" si="38"/>
        <v>1841</v>
      </c>
      <c r="D138" s="39">
        <f t="shared" si="38"/>
        <v>409</v>
      </c>
      <c r="E138" s="39">
        <f t="shared" si="38"/>
        <v>236</v>
      </c>
      <c r="F138" s="39">
        <f t="shared" si="38"/>
        <v>365</v>
      </c>
      <c r="G138" s="50">
        <f t="shared" si="38"/>
        <v>6614</v>
      </c>
      <c r="H138" s="44">
        <f t="shared" si="38"/>
        <v>0</v>
      </c>
      <c r="I138" s="39">
        <f t="shared" si="38"/>
        <v>0</v>
      </c>
      <c r="J138" s="39">
        <f t="shared" si="38"/>
        <v>1</v>
      </c>
      <c r="K138" s="45">
        <f t="shared" si="38"/>
        <v>0</v>
      </c>
      <c r="L138" s="144">
        <f t="shared" si="38"/>
        <v>25</v>
      </c>
      <c r="M138" s="50">
        <f t="shared" si="38"/>
        <v>26</v>
      </c>
      <c r="N138" s="40">
        <f t="shared" si="14"/>
        <v>6640</v>
      </c>
      <c r="O138" s="43">
        <f t="shared" si="15"/>
        <v>7850.5</v>
      </c>
    </row>
    <row r="139" spans="1:15" ht="22.95" customHeight="1" x14ac:dyDescent="0.3">
      <c r="A139" s="52" t="s">
        <v>40</v>
      </c>
      <c r="B139" s="44">
        <f t="shared" ref="B139:M139" si="39">B33+B34+B35+B36</f>
        <v>3754</v>
      </c>
      <c r="C139" s="39">
        <f t="shared" si="39"/>
        <v>1822</v>
      </c>
      <c r="D139" s="39">
        <f t="shared" si="39"/>
        <v>409</v>
      </c>
      <c r="E139" s="39">
        <f t="shared" si="39"/>
        <v>244</v>
      </c>
      <c r="F139" s="39">
        <f t="shared" si="39"/>
        <v>381</v>
      </c>
      <c r="G139" s="50">
        <f t="shared" si="39"/>
        <v>6610</v>
      </c>
      <c r="H139" s="44">
        <f t="shared" si="39"/>
        <v>0</v>
      </c>
      <c r="I139" s="39">
        <f t="shared" si="39"/>
        <v>0</v>
      </c>
      <c r="J139" s="39">
        <f t="shared" si="39"/>
        <v>3</v>
      </c>
      <c r="K139" s="45">
        <f t="shared" si="39"/>
        <v>0</v>
      </c>
      <c r="L139" s="144">
        <f t="shared" si="39"/>
        <v>23</v>
      </c>
      <c r="M139" s="50">
        <f t="shared" si="39"/>
        <v>26</v>
      </c>
      <c r="N139" s="40">
        <f t="shared" si="14"/>
        <v>6636</v>
      </c>
      <c r="O139" s="43">
        <f t="shared" si="15"/>
        <v>7918</v>
      </c>
    </row>
    <row r="140" spans="1:15" ht="22.95" customHeight="1" x14ac:dyDescent="0.3">
      <c r="A140" s="52" t="s">
        <v>41</v>
      </c>
      <c r="B140" s="44">
        <f t="shared" ref="B140:M140" si="40">B34+B35+B36+B37</f>
        <v>3901</v>
      </c>
      <c r="C140" s="39">
        <f t="shared" si="40"/>
        <v>1848</v>
      </c>
      <c r="D140" s="39">
        <f t="shared" si="40"/>
        <v>379</v>
      </c>
      <c r="E140" s="39">
        <f t="shared" si="40"/>
        <v>253</v>
      </c>
      <c r="F140" s="39">
        <f t="shared" si="40"/>
        <v>394</v>
      </c>
      <c r="G140" s="50">
        <f t="shared" si="40"/>
        <v>6775</v>
      </c>
      <c r="H140" s="44">
        <f t="shared" si="40"/>
        <v>0</v>
      </c>
      <c r="I140" s="39">
        <f t="shared" si="40"/>
        <v>0</v>
      </c>
      <c r="J140" s="39">
        <f t="shared" si="40"/>
        <v>3</v>
      </c>
      <c r="K140" s="45">
        <f t="shared" si="40"/>
        <v>0</v>
      </c>
      <c r="L140" s="144">
        <f t="shared" si="40"/>
        <v>22</v>
      </c>
      <c r="M140" s="50">
        <f t="shared" si="40"/>
        <v>25</v>
      </c>
      <c r="N140" s="40">
        <f t="shared" si="14"/>
        <v>6800</v>
      </c>
      <c r="O140" s="43">
        <f t="shared" si="15"/>
        <v>8110.5</v>
      </c>
    </row>
    <row r="141" spans="1:15" ht="22.95" customHeight="1" x14ac:dyDescent="0.3">
      <c r="A141" s="52" t="s">
        <v>42</v>
      </c>
      <c r="B141" s="44">
        <f t="shared" ref="B141:M141" si="41">B35+B36+B37+B38</f>
        <v>3983</v>
      </c>
      <c r="C141" s="39">
        <f t="shared" si="41"/>
        <v>1749</v>
      </c>
      <c r="D141" s="39">
        <f t="shared" si="41"/>
        <v>368</v>
      </c>
      <c r="E141" s="39">
        <f t="shared" si="41"/>
        <v>258</v>
      </c>
      <c r="F141" s="39">
        <f t="shared" si="41"/>
        <v>410</v>
      </c>
      <c r="G141" s="50">
        <f t="shared" si="41"/>
        <v>6768</v>
      </c>
      <c r="H141" s="44">
        <f t="shared" si="41"/>
        <v>0</v>
      </c>
      <c r="I141" s="39">
        <f t="shared" si="41"/>
        <v>0</v>
      </c>
      <c r="J141" s="39">
        <f t="shared" si="41"/>
        <v>2</v>
      </c>
      <c r="K141" s="45">
        <f t="shared" si="41"/>
        <v>0</v>
      </c>
      <c r="L141" s="144">
        <f t="shared" si="41"/>
        <v>22</v>
      </c>
      <c r="M141" s="50">
        <f t="shared" si="41"/>
        <v>24</v>
      </c>
      <c r="N141" s="40">
        <f t="shared" si="14"/>
        <v>6792</v>
      </c>
      <c r="O141" s="43">
        <f t="shared" si="15"/>
        <v>8210.5</v>
      </c>
    </row>
    <row r="142" spans="1:15" ht="22.95" customHeight="1" x14ac:dyDescent="0.3">
      <c r="A142" s="52" t="s">
        <v>43</v>
      </c>
      <c r="B142" s="44">
        <f t="shared" ref="B142:M142" si="42">B36+B37+B38+B39</f>
        <v>4135</v>
      </c>
      <c r="C142" s="39">
        <f t="shared" si="42"/>
        <v>1673</v>
      </c>
      <c r="D142" s="39">
        <f t="shared" si="42"/>
        <v>370</v>
      </c>
      <c r="E142" s="39">
        <f t="shared" si="42"/>
        <v>267</v>
      </c>
      <c r="F142" s="39">
        <f t="shared" si="42"/>
        <v>442</v>
      </c>
      <c r="G142" s="50">
        <f t="shared" si="42"/>
        <v>6887</v>
      </c>
      <c r="H142" s="44">
        <f t="shared" si="42"/>
        <v>0</v>
      </c>
      <c r="I142" s="39">
        <f t="shared" si="42"/>
        <v>0</v>
      </c>
      <c r="J142" s="39">
        <f t="shared" si="42"/>
        <v>2</v>
      </c>
      <c r="K142" s="45">
        <f t="shared" si="42"/>
        <v>0</v>
      </c>
      <c r="L142" s="144">
        <f t="shared" si="42"/>
        <v>15</v>
      </c>
      <c r="M142" s="50">
        <f t="shared" si="42"/>
        <v>17</v>
      </c>
      <c r="N142" s="40">
        <f t="shared" si="14"/>
        <v>6904</v>
      </c>
      <c r="O142" s="43">
        <f t="shared" si="15"/>
        <v>8442.5</v>
      </c>
    </row>
    <row r="143" spans="1:15" ht="22.95" customHeight="1" x14ac:dyDescent="0.3">
      <c r="A143" s="52" t="s">
        <v>44</v>
      </c>
      <c r="B143" s="44">
        <f t="shared" ref="B143:M143" si="43">B37+B38+B39+B40</f>
        <v>4336</v>
      </c>
      <c r="C143" s="39">
        <f t="shared" si="43"/>
        <v>1761</v>
      </c>
      <c r="D143" s="39">
        <f t="shared" si="43"/>
        <v>355</v>
      </c>
      <c r="E143" s="39">
        <f t="shared" si="43"/>
        <v>243</v>
      </c>
      <c r="F143" s="39">
        <f t="shared" si="43"/>
        <v>434</v>
      </c>
      <c r="G143" s="50">
        <f t="shared" si="43"/>
        <v>7129</v>
      </c>
      <c r="H143" s="44">
        <f t="shared" si="43"/>
        <v>1</v>
      </c>
      <c r="I143" s="39">
        <f t="shared" si="43"/>
        <v>0</v>
      </c>
      <c r="J143" s="39">
        <f t="shared" si="43"/>
        <v>1</v>
      </c>
      <c r="K143" s="45">
        <f t="shared" si="43"/>
        <v>0</v>
      </c>
      <c r="L143" s="144">
        <f t="shared" si="43"/>
        <v>20</v>
      </c>
      <c r="M143" s="50">
        <f t="shared" si="43"/>
        <v>22</v>
      </c>
      <c r="N143" s="40">
        <f t="shared" si="14"/>
        <v>7151</v>
      </c>
      <c r="O143" s="43">
        <f t="shared" si="15"/>
        <v>8594.5</v>
      </c>
    </row>
    <row r="144" spans="1:15" ht="22.95" customHeight="1" x14ac:dyDescent="0.3">
      <c r="A144" s="52" t="s">
        <v>45</v>
      </c>
      <c r="B144" s="44">
        <f t="shared" ref="B144:M144" si="44">B38+B39+B40+B41</f>
        <v>4365</v>
      </c>
      <c r="C144" s="39">
        <f t="shared" si="44"/>
        <v>1947</v>
      </c>
      <c r="D144" s="39">
        <f t="shared" si="44"/>
        <v>367</v>
      </c>
      <c r="E144" s="39">
        <f t="shared" si="44"/>
        <v>216</v>
      </c>
      <c r="F144" s="39">
        <f t="shared" si="44"/>
        <v>411</v>
      </c>
      <c r="G144" s="50">
        <f t="shared" si="44"/>
        <v>7306</v>
      </c>
      <c r="H144" s="44">
        <f t="shared" si="44"/>
        <v>1</v>
      </c>
      <c r="I144" s="39">
        <f t="shared" si="44"/>
        <v>0</v>
      </c>
      <c r="J144" s="39">
        <f t="shared" si="44"/>
        <v>3</v>
      </c>
      <c r="K144" s="45">
        <f t="shared" si="44"/>
        <v>0</v>
      </c>
      <c r="L144" s="144">
        <f t="shared" si="44"/>
        <v>29</v>
      </c>
      <c r="M144" s="50">
        <f t="shared" si="44"/>
        <v>33</v>
      </c>
      <c r="N144" s="40">
        <f t="shared" si="14"/>
        <v>7339</v>
      </c>
      <c r="O144" s="43">
        <f t="shared" si="15"/>
        <v>8628</v>
      </c>
    </row>
    <row r="145" spans="1:15" ht="22.95" customHeight="1" x14ac:dyDescent="0.3">
      <c r="A145" s="52" t="s">
        <v>46</v>
      </c>
      <c r="B145" s="44">
        <f t="shared" ref="B145:M145" si="45">B39+B40+B41+B42</f>
        <v>4526</v>
      </c>
      <c r="C145" s="39">
        <f t="shared" si="45"/>
        <v>2230</v>
      </c>
      <c r="D145" s="39">
        <f t="shared" si="45"/>
        <v>352</v>
      </c>
      <c r="E145" s="39">
        <f t="shared" si="45"/>
        <v>214</v>
      </c>
      <c r="F145" s="39">
        <f t="shared" si="45"/>
        <v>395</v>
      </c>
      <c r="G145" s="50">
        <f t="shared" si="45"/>
        <v>7717</v>
      </c>
      <c r="H145" s="44">
        <f t="shared" si="45"/>
        <v>1</v>
      </c>
      <c r="I145" s="39">
        <f t="shared" si="45"/>
        <v>0</v>
      </c>
      <c r="J145" s="39">
        <f t="shared" si="45"/>
        <v>3</v>
      </c>
      <c r="K145" s="45">
        <f t="shared" si="45"/>
        <v>0</v>
      </c>
      <c r="L145" s="144">
        <f t="shared" si="45"/>
        <v>37</v>
      </c>
      <c r="M145" s="50">
        <f t="shared" si="45"/>
        <v>41</v>
      </c>
      <c r="N145" s="40">
        <f t="shared" si="14"/>
        <v>7758</v>
      </c>
      <c r="O145" s="43">
        <f t="shared" si="15"/>
        <v>8894</v>
      </c>
    </row>
    <row r="146" spans="1:15" ht="22.95" customHeight="1" x14ac:dyDescent="0.3">
      <c r="A146" s="52" t="s">
        <v>47</v>
      </c>
      <c r="B146" s="44">
        <f t="shared" ref="B146:M146" si="46">B40+B41+B42+B43</f>
        <v>4563</v>
      </c>
      <c r="C146" s="39">
        <f t="shared" si="46"/>
        <v>2428</v>
      </c>
      <c r="D146" s="39">
        <f t="shared" si="46"/>
        <v>318</v>
      </c>
      <c r="E146" s="39">
        <f t="shared" si="46"/>
        <v>190</v>
      </c>
      <c r="F146" s="39">
        <f t="shared" si="46"/>
        <v>398</v>
      </c>
      <c r="G146" s="50">
        <f t="shared" si="46"/>
        <v>7897</v>
      </c>
      <c r="H146" s="44">
        <f t="shared" si="46"/>
        <v>2</v>
      </c>
      <c r="I146" s="39">
        <f t="shared" si="46"/>
        <v>0</v>
      </c>
      <c r="J146" s="39">
        <f t="shared" si="46"/>
        <v>3</v>
      </c>
      <c r="K146" s="45">
        <f t="shared" si="46"/>
        <v>0</v>
      </c>
      <c r="L146" s="144">
        <f t="shared" si="46"/>
        <v>53</v>
      </c>
      <c r="M146" s="50">
        <f t="shared" si="46"/>
        <v>58</v>
      </c>
      <c r="N146" s="40">
        <f t="shared" si="14"/>
        <v>7955</v>
      </c>
      <c r="O146" s="43">
        <f t="shared" si="15"/>
        <v>9049</v>
      </c>
    </row>
    <row r="147" spans="1:15" ht="22.95" customHeight="1" x14ac:dyDescent="0.3">
      <c r="A147" s="52" t="s">
        <v>48</v>
      </c>
      <c r="B147" s="44">
        <f t="shared" ref="B147:M147" si="47">B41+B42+B43+B44</f>
        <v>4661</v>
      </c>
      <c r="C147" s="39">
        <f t="shared" si="47"/>
        <v>2683</v>
      </c>
      <c r="D147" s="39">
        <f t="shared" si="47"/>
        <v>327</v>
      </c>
      <c r="E147" s="39">
        <f t="shared" si="47"/>
        <v>200</v>
      </c>
      <c r="F147" s="39">
        <f t="shared" si="47"/>
        <v>394</v>
      </c>
      <c r="G147" s="50">
        <f t="shared" si="47"/>
        <v>8265</v>
      </c>
      <c r="H147" s="44">
        <f t="shared" si="47"/>
        <v>3</v>
      </c>
      <c r="I147" s="39">
        <f t="shared" si="47"/>
        <v>0</v>
      </c>
      <c r="J147" s="39">
        <f t="shared" si="47"/>
        <v>2</v>
      </c>
      <c r="K147" s="45">
        <f t="shared" si="47"/>
        <v>0</v>
      </c>
      <c r="L147" s="144">
        <f t="shared" si="47"/>
        <v>62</v>
      </c>
      <c r="M147" s="50">
        <f t="shared" si="47"/>
        <v>67</v>
      </c>
      <c r="N147" s="40">
        <f t="shared" si="14"/>
        <v>8332</v>
      </c>
      <c r="O147" s="43">
        <f t="shared" si="15"/>
        <v>9369.5</v>
      </c>
    </row>
    <row r="148" spans="1:15" ht="22.95" customHeight="1" x14ac:dyDescent="0.3">
      <c r="A148" s="52" t="s">
        <v>49</v>
      </c>
      <c r="B148" s="44">
        <f t="shared" ref="B148:M148" si="48">B42+B43+B44+B45</f>
        <v>4865</v>
      </c>
      <c r="C148" s="39">
        <f t="shared" si="48"/>
        <v>2730</v>
      </c>
      <c r="D148" s="39">
        <f t="shared" si="48"/>
        <v>313</v>
      </c>
      <c r="E148" s="39">
        <f t="shared" si="48"/>
        <v>212</v>
      </c>
      <c r="F148" s="39">
        <f t="shared" si="48"/>
        <v>372</v>
      </c>
      <c r="G148" s="50">
        <f t="shared" si="48"/>
        <v>8492</v>
      </c>
      <c r="H148" s="44">
        <f t="shared" si="48"/>
        <v>3</v>
      </c>
      <c r="I148" s="39">
        <f t="shared" si="48"/>
        <v>0</v>
      </c>
      <c r="J148" s="39">
        <f t="shared" si="48"/>
        <v>1</v>
      </c>
      <c r="K148" s="45">
        <f t="shared" si="48"/>
        <v>0</v>
      </c>
      <c r="L148" s="144">
        <f t="shared" si="48"/>
        <v>65</v>
      </c>
      <c r="M148" s="50">
        <f t="shared" si="48"/>
        <v>69</v>
      </c>
      <c r="N148" s="40">
        <f t="shared" si="14"/>
        <v>8561</v>
      </c>
      <c r="O148" s="43">
        <f t="shared" si="15"/>
        <v>9534</v>
      </c>
    </row>
    <row r="149" spans="1:15" ht="22.95" customHeight="1" x14ac:dyDescent="0.3">
      <c r="A149" s="52" t="s">
        <v>50</v>
      </c>
      <c r="B149" s="44">
        <f t="shared" ref="B149:M149" si="49">B43+B44+B45+B46</f>
        <v>4782</v>
      </c>
      <c r="C149" s="39">
        <f t="shared" si="49"/>
        <v>2838</v>
      </c>
      <c r="D149" s="39">
        <f t="shared" si="49"/>
        <v>330</v>
      </c>
      <c r="E149" s="39">
        <f t="shared" si="49"/>
        <v>204</v>
      </c>
      <c r="F149" s="39">
        <f t="shared" si="49"/>
        <v>379</v>
      </c>
      <c r="G149" s="50">
        <f t="shared" si="49"/>
        <v>8533</v>
      </c>
      <c r="H149" s="44">
        <f t="shared" si="49"/>
        <v>4</v>
      </c>
      <c r="I149" s="39">
        <f t="shared" si="49"/>
        <v>0</v>
      </c>
      <c r="J149" s="39">
        <f t="shared" si="49"/>
        <v>2</v>
      </c>
      <c r="K149" s="45">
        <f t="shared" si="49"/>
        <v>0</v>
      </c>
      <c r="L149" s="144">
        <f t="shared" si="49"/>
        <v>78</v>
      </c>
      <c r="M149" s="50">
        <f t="shared" si="49"/>
        <v>84</v>
      </c>
      <c r="N149" s="40">
        <f t="shared" si="14"/>
        <v>8617</v>
      </c>
      <c r="O149" s="43">
        <f t="shared" si="15"/>
        <v>9645.5</v>
      </c>
    </row>
    <row r="150" spans="1:15" ht="22.95" customHeight="1" x14ac:dyDescent="0.3">
      <c r="A150" s="52" t="s">
        <v>51</v>
      </c>
      <c r="B150" s="44">
        <f t="shared" ref="B150:M150" si="50">B44+B45+B46+B47</f>
        <v>4861</v>
      </c>
      <c r="C150" s="39">
        <f t="shared" si="50"/>
        <v>2986</v>
      </c>
      <c r="D150" s="39">
        <f t="shared" si="50"/>
        <v>329</v>
      </c>
      <c r="E150" s="39">
        <f t="shared" si="50"/>
        <v>226</v>
      </c>
      <c r="F150" s="39">
        <f t="shared" si="50"/>
        <v>380</v>
      </c>
      <c r="G150" s="50">
        <f t="shared" si="50"/>
        <v>8782</v>
      </c>
      <c r="H150" s="44">
        <f t="shared" si="50"/>
        <v>3</v>
      </c>
      <c r="I150" s="39">
        <f t="shared" si="50"/>
        <v>0</v>
      </c>
      <c r="J150" s="39">
        <f t="shared" si="50"/>
        <v>2</v>
      </c>
      <c r="K150" s="45">
        <f t="shared" si="50"/>
        <v>0</v>
      </c>
      <c r="L150" s="144">
        <f t="shared" si="50"/>
        <v>76</v>
      </c>
      <c r="M150" s="50">
        <f t="shared" si="50"/>
        <v>81</v>
      </c>
      <c r="N150" s="40">
        <f t="shared" si="14"/>
        <v>8863</v>
      </c>
      <c r="O150" s="43">
        <f t="shared" si="15"/>
        <v>9851</v>
      </c>
    </row>
    <row r="151" spans="1:15" ht="22.95" customHeight="1" x14ac:dyDescent="0.3">
      <c r="A151" s="52" t="s">
        <v>52</v>
      </c>
      <c r="B151" s="44">
        <f t="shared" ref="B151:M151" si="51">B45+B46+B47+B48</f>
        <v>4741</v>
      </c>
      <c r="C151" s="39">
        <f t="shared" si="51"/>
        <v>2969</v>
      </c>
      <c r="D151" s="39">
        <f t="shared" si="51"/>
        <v>344</v>
      </c>
      <c r="E151" s="39">
        <f t="shared" si="51"/>
        <v>209</v>
      </c>
      <c r="F151" s="39">
        <f t="shared" si="51"/>
        <v>370</v>
      </c>
      <c r="G151" s="50">
        <f t="shared" si="51"/>
        <v>8633</v>
      </c>
      <c r="H151" s="44">
        <f t="shared" si="51"/>
        <v>3</v>
      </c>
      <c r="I151" s="39">
        <f t="shared" si="51"/>
        <v>0</v>
      </c>
      <c r="J151" s="39">
        <f t="shared" si="51"/>
        <v>2</v>
      </c>
      <c r="K151" s="45">
        <f t="shared" si="51"/>
        <v>0</v>
      </c>
      <c r="L151" s="144">
        <f t="shared" si="51"/>
        <v>78</v>
      </c>
      <c r="M151" s="50">
        <f t="shared" si="51"/>
        <v>83</v>
      </c>
      <c r="N151" s="40">
        <f t="shared" si="14"/>
        <v>8716</v>
      </c>
      <c r="O151" s="43">
        <f t="shared" si="15"/>
        <v>9665</v>
      </c>
    </row>
    <row r="152" spans="1:15" ht="22.95" customHeight="1" x14ac:dyDescent="0.3">
      <c r="A152" s="52" t="s">
        <v>53</v>
      </c>
      <c r="B152" s="44">
        <f t="shared" ref="B152:M152" si="52">B46+B47+B48+B49</f>
        <v>4614</v>
      </c>
      <c r="C152" s="39">
        <f t="shared" si="52"/>
        <v>3110</v>
      </c>
      <c r="D152" s="39">
        <f t="shared" si="52"/>
        <v>365</v>
      </c>
      <c r="E152" s="39">
        <f t="shared" si="52"/>
        <v>193</v>
      </c>
      <c r="F152" s="39">
        <f t="shared" si="52"/>
        <v>410</v>
      </c>
      <c r="G152" s="50">
        <f t="shared" si="52"/>
        <v>8692</v>
      </c>
      <c r="H152" s="44">
        <f t="shared" si="52"/>
        <v>4</v>
      </c>
      <c r="I152" s="39">
        <f t="shared" si="52"/>
        <v>0</v>
      </c>
      <c r="J152" s="39">
        <f t="shared" si="52"/>
        <v>1</v>
      </c>
      <c r="K152" s="45">
        <f t="shared" si="52"/>
        <v>0</v>
      </c>
      <c r="L152" s="144">
        <f t="shared" si="52"/>
        <v>84</v>
      </c>
      <c r="M152" s="50">
        <f t="shared" si="52"/>
        <v>89</v>
      </c>
      <c r="N152" s="40">
        <f t="shared" si="14"/>
        <v>8781</v>
      </c>
      <c r="O152" s="43">
        <f t="shared" si="15"/>
        <v>9817.5</v>
      </c>
    </row>
    <row r="153" spans="1:15" ht="22.95" customHeight="1" x14ac:dyDescent="0.3">
      <c r="A153" s="182" t="s">
        <v>54</v>
      </c>
      <c r="B153" s="122">
        <f t="shared" ref="B153:M153" si="53">B47+B48+B49+B50</f>
        <v>4701</v>
      </c>
      <c r="C153" s="123">
        <f t="shared" si="53"/>
        <v>3230</v>
      </c>
      <c r="D153" s="123">
        <f t="shared" si="53"/>
        <v>346</v>
      </c>
      <c r="E153" s="123">
        <f t="shared" si="53"/>
        <v>199</v>
      </c>
      <c r="F153" s="123">
        <f t="shared" si="53"/>
        <v>383</v>
      </c>
      <c r="G153" s="125">
        <f t="shared" si="53"/>
        <v>8859</v>
      </c>
      <c r="H153" s="122">
        <f t="shared" si="53"/>
        <v>4</v>
      </c>
      <c r="I153" s="123">
        <f t="shared" si="53"/>
        <v>0</v>
      </c>
      <c r="J153" s="123">
        <f t="shared" si="53"/>
        <v>0</v>
      </c>
      <c r="K153" s="124">
        <f t="shared" si="53"/>
        <v>0</v>
      </c>
      <c r="L153" s="146">
        <f t="shared" si="53"/>
        <v>94</v>
      </c>
      <c r="M153" s="125">
        <f t="shared" si="53"/>
        <v>98</v>
      </c>
      <c r="N153" s="126">
        <f t="shared" si="14"/>
        <v>8957</v>
      </c>
      <c r="O153" s="127">
        <f t="shared" si="15"/>
        <v>9909.5</v>
      </c>
    </row>
    <row r="154" spans="1:15" ht="22.95" customHeight="1" x14ac:dyDescent="0.3">
      <c r="A154" s="309" t="s">
        <v>55</v>
      </c>
      <c r="B154" s="310">
        <f t="shared" ref="B154:M154" si="54">B48+B49+B50+B51</f>
        <v>4631</v>
      </c>
      <c r="C154" s="311">
        <f t="shared" si="54"/>
        <v>3176</v>
      </c>
      <c r="D154" s="311">
        <f t="shared" si="54"/>
        <v>362</v>
      </c>
      <c r="E154" s="311">
        <f t="shared" si="54"/>
        <v>171</v>
      </c>
      <c r="F154" s="311">
        <f t="shared" si="54"/>
        <v>370</v>
      </c>
      <c r="G154" s="312">
        <f t="shared" si="54"/>
        <v>8710</v>
      </c>
      <c r="H154" s="310">
        <f t="shared" si="54"/>
        <v>5</v>
      </c>
      <c r="I154" s="311">
        <f t="shared" si="54"/>
        <v>0</v>
      </c>
      <c r="J154" s="311">
        <f t="shared" si="54"/>
        <v>0</v>
      </c>
      <c r="K154" s="313">
        <f t="shared" si="54"/>
        <v>0</v>
      </c>
      <c r="L154" s="314">
        <f t="shared" si="54"/>
        <v>102</v>
      </c>
      <c r="M154" s="312">
        <f t="shared" si="54"/>
        <v>107</v>
      </c>
      <c r="N154" s="315">
        <f t="shared" si="14"/>
        <v>8817</v>
      </c>
      <c r="O154" s="316">
        <f t="shared" si="15"/>
        <v>9758.5</v>
      </c>
    </row>
    <row r="155" spans="1:15" ht="22.95" customHeight="1" x14ac:dyDescent="0.3">
      <c r="A155" s="52" t="s">
        <v>56</v>
      </c>
      <c r="B155" s="44">
        <f t="shared" ref="B155:M155" si="55">B49+B50+B51+B52</f>
        <v>4498</v>
      </c>
      <c r="C155" s="39">
        <f t="shared" si="55"/>
        <v>3058</v>
      </c>
      <c r="D155" s="39">
        <f t="shared" si="55"/>
        <v>351</v>
      </c>
      <c r="E155" s="39">
        <f t="shared" si="55"/>
        <v>189</v>
      </c>
      <c r="F155" s="39">
        <f t="shared" si="55"/>
        <v>356</v>
      </c>
      <c r="G155" s="50">
        <f t="shared" si="55"/>
        <v>8452</v>
      </c>
      <c r="H155" s="44">
        <f t="shared" si="55"/>
        <v>4</v>
      </c>
      <c r="I155" s="39">
        <f t="shared" si="55"/>
        <v>0</v>
      </c>
      <c r="J155" s="39">
        <f t="shared" si="55"/>
        <v>0</v>
      </c>
      <c r="K155" s="45">
        <f t="shared" si="55"/>
        <v>1</v>
      </c>
      <c r="L155" s="144">
        <f t="shared" si="55"/>
        <v>87</v>
      </c>
      <c r="M155" s="50">
        <f t="shared" si="55"/>
        <v>92</v>
      </c>
      <c r="N155" s="40">
        <f t="shared" si="14"/>
        <v>8544</v>
      </c>
      <c r="O155" s="43">
        <f t="shared" si="15"/>
        <v>9424.5</v>
      </c>
    </row>
    <row r="156" spans="1:15" ht="22.95" customHeight="1" x14ac:dyDescent="0.3">
      <c r="A156" s="52" t="s">
        <v>57</v>
      </c>
      <c r="B156" s="44">
        <f t="shared" ref="B156:M156" si="56">B50+B51+B52+B53</f>
        <v>4385</v>
      </c>
      <c r="C156" s="39">
        <f t="shared" si="56"/>
        <v>2905</v>
      </c>
      <c r="D156" s="39">
        <f t="shared" si="56"/>
        <v>335</v>
      </c>
      <c r="E156" s="39">
        <f t="shared" si="56"/>
        <v>184</v>
      </c>
      <c r="F156" s="39">
        <f t="shared" si="56"/>
        <v>364</v>
      </c>
      <c r="G156" s="50">
        <f t="shared" si="56"/>
        <v>8173</v>
      </c>
      <c r="H156" s="44">
        <f t="shared" si="56"/>
        <v>5</v>
      </c>
      <c r="I156" s="39">
        <f t="shared" si="56"/>
        <v>0</v>
      </c>
      <c r="J156" s="39">
        <f t="shared" si="56"/>
        <v>0</v>
      </c>
      <c r="K156" s="45">
        <f t="shared" si="56"/>
        <v>1</v>
      </c>
      <c r="L156" s="144">
        <f t="shared" si="56"/>
        <v>74</v>
      </c>
      <c r="M156" s="50">
        <f t="shared" si="56"/>
        <v>80</v>
      </c>
      <c r="N156" s="40">
        <f t="shared" si="14"/>
        <v>8253</v>
      </c>
      <c r="O156" s="43">
        <f t="shared" si="15"/>
        <v>9128.5</v>
      </c>
    </row>
    <row r="157" spans="1:15" ht="22.95" customHeight="1" x14ac:dyDescent="0.3">
      <c r="A157" s="52" t="s">
        <v>58</v>
      </c>
      <c r="B157" s="44">
        <f t="shared" ref="B157:M157" si="57">B51+B52+B53+B54</f>
        <v>4257</v>
      </c>
      <c r="C157" s="39">
        <f t="shared" si="57"/>
        <v>2750</v>
      </c>
      <c r="D157" s="39">
        <f t="shared" si="57"/>
        <v>333</v>
      </c>
      <c r="E157" s="39">
        <f t="shared" si="57"/>
        <v>166</v>
      </c>
      <c r="F157" s="39">
        <f t="shared" si="57"/>
        <v>401</v>
      </c>
      <c r="G157" s="50">
        <f t="shared" si="57"/>
        <v>7907</v>
      </c>
      <c r="H157" s="44">
        <f t="shared" si="57"/>
        <v>9</v>
      </c>
      <c r="I157" s="39">
        <f t="shared" si="57"/>
        <v>0</v>
      </c>
      <c r="J157" s="39">
        <f t="shared" si="57"/>
        <v>0</v>
      </c>
      <c r="K157" s="45">
        <f t="shared" si="57"/>
        <v>1</v>
      </c>
      <c r="L157" s="144">
        <f t="shared" si="57"/>
        <v>55</v>
      </c>
      <c r="M157" s="50">
        <f t="shared" si="57"/>
        <v>65</v>
      </c>
      <c r="N157" s="40">
        <f t="shared" si="14"/>
        <v>7972</v>
      </c>
      <c r="O157" s="43">
        <f t="shared" si="15"/>
        <v>8882.5</v>
      </c>
    </row>
    <row r="158" spans="1:15" ht="22.95" customHeight="1" x14ac:dyDescent="0.3">
      <c r="A158" s="52" t="s">
        <v>59</v>
      </c>
      <c r="B158" s="44">
        <f t="shared" ref="B158:M158" si="58">B52+B53+B54+B55</f>
        <v>4147</v>
      </c>
      <c r="C158" s="39">
        <f t="shared" si="58"/>
        <v>2714</v>
      </c>
      <c r="D158" s="39">
        <f t="shared" si="58"/>
        <v>326</v>
      </c>
      <c r="E158" s="39">
        <f t="shared" si="58"/>
        <v>168</v>
      </c>
      <c r="F158" s="39">
        <f t="shared" si="58"/>
        <v>416</v>
      </c>
      <c r="G158" s="50">
        <f t="shared" si="58"/>
        <v>7771</v>
      </c>
      <c r="H158" s="44">
        <f t="shared" si="58"/>
        <v>8</v>
      </c>
      <c r="I158" s="39">
        <f t="shared" si="58"/>
        <v>0</v>
      </c>
      <c r="J158" s="39">
        <f t="shared" si="58"/>
        <v>0</v>
      </c>
      <c r="K158" s="45">
        <f t="shared" si="58"/>
        <v>1</v>
      </c>
      <c r="L158" s="144">
        <f t="shared" si="58"/>
        <v>46</v>
      </c>
      <c r="M158" s="50">
        <f t="shared" si="58"/>
        <v>55</v>
      </c>
      <c r="N158" s="40">
        <f t="shared" si="14"/>
        <v>7826</v>
      </c>
      <c r="O158" s="43">
        <f t="shared" si="15"/>
        <v>8745</v>
      </c>
    </row>
    <row r="159" spans="1:15" ht="22.95" customHeight="1" x14ac:dyDescent="0.3">
      <c r="A159" s="52" t="s">
        <v>77</v>
      </c>
      <c r="B159" s="44">
        <f t="shared" ref="B159:M159" si="59">B53+B54+B55+B56</f>
        <v>4174</v>
      </c>
      <c r="C159" s="39">
        <f t="shared" si="59"/>
        <v>2869</v>
      </c>
      <c r="D159" s="39">
        <f t="shared" si="59"/>
        <v>302</v>
      </c>
      <c r="E159" s="39">
        <f t="shared" si="59"/>
        <v>165</v>
      </c>
      <c r="F159" s="39">
        <f t="shared" si="59"/>
        <v>419</v>
      </c>
      <c r="G159" s="50">
        <f t="shared" si="59"/>
        <v>7929</v>
      </c>
      <c r="H159" s="44">
        <f t="shared" si="59"/>
        <v>8</v>
      </c>
      <c r="I159" s="39">
        <f t="shared" si="59"/>
        <v>0</v>
      </c>
      <c r="J159" s="39">
        <f t="shared" si="59"/>
        <v>0</v>
      </c>
      <c r="K159" s="45">
        <f t="shared" si="59"/>
        <v>0</v>
      </c>
      <c r="L159" s="144">
        <f t="shared" si="59"/>
        <v>50</v>
      </c>
      <c r="M159" s="50">
        <f t="shared" si="59"/>
        <v>58</v>
      </c>
      <c r="N159" s="40">
        <f t="shared" si="14"/>
        <v>7987</v>
      </c>
      <c r="O159" s="43">
        <f t="shared" si="15"/>
        <v>8846</v>
      </c>
    </row>
    <row r="160" spans="1:15" ht="22.95" customHeight="1" x14ac:dyDescent="0.3">
      <c r="A160" s="52" t="s">
        <v>75</v>
      </c>
      <c r="B160" s="44">
        <f t="shared" ref="B160:M160" si="60">B54+B55+B56+B57</f>
        <v>4116</v>
      </c>
      <c r="C160" s="39">
        <f t="shared" si="60"/>
        <v>2906</v>
      </c>
      <c r="D160" s="39">
        <f t="shared" si="60"/>
        <v>267</v>
      </c>
      <c r="E160" s="39">
        <f t="shared" si="60"/>
        <v>180</v>
      </c>
      <c r="F160" s="39">
        <f t="shared" si="60"/>
        <v>381</v>
      </c>
      <c r="G160" s="50">
        <f t="shared" si="60"/>
        <v>7850</v>
      </c>
      <c r="H160" s="44">
        <f t="shared" si="60"/>
        <v>6</v>
      </c>
      <c r="I160" s="39">
        <f t="shared" si="60"/>
        <v>0</v>
      </c>
      <c r="J160" s="39">
        <f t="shared" si="60"/>
        <v>2</v>
      </c>
      <c r="K160" s="45">
        <f t="shared" si="60"/>
        <v>0</v>
      </c>
      <c r="L160" s="144">
        <f t="shared" si="60"/>
        <v>43</v>
      </c>
      <c r="M160" s="50">
        <f t="shared" si="60"/>
        <v>51</v>
      </c>
      <c r="N160" s="40">
        <f t="shared" si="14"/>
        <v>7901</v>
      </c>
      <c r="O160" s="43">
        <f t="shared" si="15"/>
        <v>8577</v>
      </c>
    </row>
    <row r="161" spans="1:15" ht="22.95" customHeight="1" x14ac:dyDescent="0.3">
      <c r="A161" s="52" t="s">
        <v>76</v>
      </c>
      <c r="B161" s="44">
        <f t="shared" ref="B161:M161" si="61">B55+B56+B57+B58</f>
        <v>3955</v>
      </c>
      <c r="C161" s="39">
        <f t="shared" si="61"/>
        <v>2666</v>
      </c>
      <c r="D161" s="39">
        <f t="shared" si="61"/>
        <v>238</v>
      </c>
      <c r="E161" s="39">
        <f t="shared" si="61"/>
        <v>188</v>
      </c>
      <c r="F161" s="39">
        <f t="shared" si="61"/>
        <v>380</v>
      </c>
      <c r="G161" s="50">
        <f t="shared" si="61"/>
        <v>7427</v>
      </c>
      <c r="H161" s="44">
        <f t="shared" si="61"/>
        <v>2</v>
      </c>
      <c r="I161" s="39">
        <f t="shared" si="61"/>
        <v>0</v>
      </c>
      <c r="J161" s="39">
        <f t="shared" si="61"/>
        <v>2</v>
      </c>
      <c r="K161" s="45">
        <f t="shared" si="61"/>
        <v>0</v>
      </c>
      <c r="L161" s="144">
        <f t="shared" si="61"/>
        <v>30</v>
      </c>
      <c r="M161" s="50">
        <f t="shared" si="61"/>
        <v>34</v>
      </c>
      <c r="N161" s="40">
        <f t="shared" si="14"/>
        <v>7461</v>
      </c>
      <c r="O161" s="43">
        <f t="shared" si="15"/>
        <v>8166</v>
      </c>
    </row>
    <row r="162" spans="1:15" ht="22.95" customHeight="1" x14ac:dyDescent="0.3">
      <c r="A162" s="52" t="s">
        <v>70</v>
      </c>
      <c r="B162" s="44">
        <f t="shared" ref="B162:M162" si="62">B56+B57+B58+B59</f>
        <v>3781</v>
      </c>
      <c r="C162" s="39">
        <f t="shared" si="62"/>
        <v>2469</v>
      </c>
      <c r="D162" s="39">
        <f t="shared" si="62"/>
        <v>199</v>
      </c>
      <c r="E162" s="39">
        <f t="shared" si="62"/>
        <v>185</v>
      </c>
      <c r="F162" s="39">
        <f t="shared" si="62"/>
        <v>403</v>
      </c>
      <c r="G162" s="50">
        <f t="shared" si="62"/>
        <v>7037</v>
      </c>
      <c r="H162" s="44">
        <f t="shared" si="62"/>
        <v>2</v>
      </c>
      <c r="I162" s="39">
        <f t="shared" si="62"/>
        <v>0</v>
      </c>
      <c r="J162" s="39">
        <f t="shared" si="62"/>
        <v>2</v>
      </c>
      <c r="K162" s="45">
        <f t="shared" si="62"/>
        <v>0</v>
      </c>
      <c r="L162" s="144">
        <f t="shared" si="62"/>
        <v>17</v>
      </c>
      <c r="M162" s="50">
        <f t="shared" si="62"/>
        <v>21</v>
      </c>
      <c r="N162" s="40">
        <f t="shared" si="14"/>
        <v>7058</v>
      </c>
      <c r="O162" s="43">
        <f t="shared" si="15"/>
        <v>7825.5</v>
      </c>
    </row>
    <row r="163" spans="1:15" ht="22.95" customHeight="1" x14ac:dyDescent="0.3">
      <c r="A163" s="52" t="s">
        <v>71</v>
      </c>
      <c r="B163" s="44">
        <f t="shared" ref="B163:M163" si="63">B57+B58+B59+B60</f>
        <v>3560</v>
      </c>
      <c r="C163" s="39">
        <f t="shared" si="63"/>
        <v>2115</v>
      </c>
      <c r="D163" s="39">
        <f t="shared" si="63"/>
        <v>191</v>
      </c>
      <c r="E163" s="39">
        <f t="shared" si="63"/>
        <v>170</v>
      </c>
      <c r="F163" s="39">
        <f t="shared" si="63"/>
        <v>448</v>
      </c>
      <c r="G163" s="50">
        <f t="shared" si="63"/>
        <v>6484</v>
      </c>
      <c r="H163" s="44">
        <f t="shared" si="63"/>
        <v>1</v>
      </c>
      <c r="I163" s="39">
        <f t="shared" si="63"/>
        <v>0</v>
      </c>
      <c r="J163" s="39">
        <f t="shared" si="63"/>
        <v>2</v>
      </c>
      <c r="K163" s="45">
        <f t="shared" si="63"/>
        <v>0</v>
      </c>
      <c r="L163" s="144">
        <f t="shared" si="63"/>
        <v>12</v>
      </c>
      <c r="M163" s="50">
        <f t="shared" si="63"/>
        <v>15</v>
      </c>
      <c r="N163" s="40">
        <f t="shared" si="14"/>
        <v>6499</v>
      </c>
      <c r="O163" s="43">
        <f t="shared" si="15"/>
        <v>7532.5</v>
      </c>
    </row>
    <row r="164" spans="1:15" ht="22.95" customHeight="1" x14ac:dyDescent="0.3">
      <c r="A164" s="52" t="s">
        <v>72</v>
      </c>
      <c r="B164" s="44">
        <f t="shared" ref="B164:M164" si="64">B58+B59+B60+B61</f>
        <v>3285</v>
      </c>
      <c r="C164" s="39">
        <f t="shared" si="64"/>
        <v>1857</v>
      </c>
      <c r="D164" s="39">
        <f t="shared" si="64"/>
        <v>186</v>
      </c>
      <c r="E164" s="39">
        <f t="shared" si="64"/>
        <v>163</v>
      </c>
      <c r="F164" s="39">
        <f t="shared" si="64"/>
        <v>494</v>
      </c>
      <c r="G164" s="50">
        <f t="shared" si="64"/>
        <v>5985</v>
      </c>
      <c r="H164" s="44">
        <f t="shared" si="64"/>
        <v>1</v>
      </c>
      <c r="I164" s="39">
        <f t="shared" si="64"/>
        <v>0</v>
      </c>
      <c r="J164" s="39">
        <f t="shared" si="64"/>
        <v>0</v>
      </c>
      <c r="K164" s="45">
        <f t="shared" si="64"/>
        <v>0</v>
      </c>
      <c r="L164" s="144">
        <f t="shared" si="64"/>
        <v>12</v>
      </c>
      <c r="M164" s="50">
        <f t="shared" si="64"/>
        <v>13</v>
      </c>
      <c r="N164" s="40">
        <f t="shared" si="14"/>
        <v>5998</v>
      </c>
      <c r="O164" s="43">
        <f t="shared" si="15"/>
        <v>7301</v>
      </c>
    </row>
    <row r="165" spans="1:15" ht="22.95" customHeight="1" x14ac:dyDescent="0.3">
      <c r="A165" s="52" t="s">
        <v>73</v>
      </c>
      <c r="B165" s="44">
        <f t="shared" ref="B165:M165" si="65">B59+B60+B61+B62</f>
        <v>3081</v>
      </c>
      <c r="C165" s="39">
        <f t="shared" si="65"/>
        <v>1698</v>
      </c>
      <c r="D165" s="39">
        <f t="shared" si="65"/>
        <v>182</v>
      </c>
      <c r="E165" s="39">
        <f t="shared" si="65"/>
        <v>156</v>
      </c>
      <c r="F165" s="39">
        <f t="shared" si="65"/>
        <v>526</v>
      </c>
      <c r="G165" s="50">
        <f t="shared" si="65"/>
        <v>5643</v>
      </c>
      <c r="H165" s="44">
        <f t="shared" si="65"/>
        <v>0</v>
      </c>
      <c r="I165" s="39">
        <f t="shared" si="65"/>
        <v>0</v>
      </c>
      <c r="J165" s="39">
        <f t="shared" si="65"/>
        <v>0</v>
      </c>
      <c r="K165" s="45">
        <f t="shared" si="65"/>
        <v>0</v>
      </c>
      <c r="L165" s="144">
        <f t="shared" si="65"/>
        <v>12</v>
      </c>
      <c r="M165" s="50">
        <f t="shared" si="65"/>
        <v>12</v>
      </c>
      <c r="N165" s="40">
        <f t="shared" si="14"/>
        <v>5655</v>
      </c>
      <c r="O165" s="43">
        <f t="shared" si="15"/>
        <v>7134</v>
      </c>
    </row>
    <row r="166" spans="1:15" ht="22.95" customHeight="1" x14ac:dyDescent="0.3">
      <c r="A166" s="52" t="s">
        <v>74</v>
      </c>
      <c r="B166" s="44">
        <f t="shared" ref="B166:M166" si="66">B60+B61+B62+B63</f>
        <v>2819</v>
      </c>
      <c r="C166" s="39">
        <f t="shared" si="66"/>
        <v>1550</v>
      </c>
      <c r="D166" s="39">
        <f t="shared" si="66"/>
        <v>182</v>
      </c>
      <c r="E166" s="39">
        <f t="shared" si="66"/>
        <v>143</v>
      </c>
      <c r="F166" s="39">
        <f t="shared" si="66"/>
        <v>511</v>
      </c>
      <c r="G166" s="50">
        <f t="shared" si="66"/>
        <v>5205</v>
      </c>
      <c r="H166" s="44">
        <f t="shared" si="66"/>
        <v>0</v>
      </c>
      <c r="I166" s="39">
        <f t="shared" si="66"/>
        <v>0</v>
      </c>
      <c r="J166" s="39">
        <f t="shared" si="66"/>
        <v>0</v>
      </c>
      <c r="K166" s="45">
        <f t="shared" si="66"/>
        <v>0</v>
      </c>
      <c r="L166" s="144">
        <f t="shared" si="66"/>
        <v>13</v>
      </c>
      <c r="M166" s="50">
        <f t="shared" si="66"/>
        <v>13</v>
      </c>
      <c r="N166" s="40">
        <f t="shared" si="14"/>
        <v>5218</v>
      </c>
      <c r="O166" s="43">
        <f t="shared" si="15"/>
        <v>6699.5</v>
      </c>
    </row>
    <row r="167" spans="1:15" ht="22.95" customHeight="1" x14ac:dyDescent="0.3">
      <c r="A167" s="52" t="s">
        <v>262</v>
      </c>
      <c r="B167" s="44">
        <f t="shared" ref="B167:M167" si="67">B61+B62+B63+B64</f>
        <v>2556</v>
      </c>
      <c r="C167" s="39">
        <f t="shared" si="67"/>
        <v>1313</v>
      </c>
      <c r="D167" s="39">
        <f t="shared" si="67"/>
        <v>190</v>
      </c>
      <c r="E167" s="39">
        <f t="shared" si="67"/>
        <v>149</v>
      </c>
      <c r="F167" s="39">
        <f t="shared" si="67"/>
        <v>490</v>
      </c>
      <c r="G167" s="50">
        <f t="shared" si="67"/>
        <v>4698</v>
      </c>
      <c r="H167" s="44">
        <f t="shared" si="67"/>
        <v>0</v>
      </c>
      <c r="I167" s="39">
        <f t="shared" si="67"/>
        <v>0</v>
      </c>
      <c r="J167" s="39">
        <f t="shared" si="67"/>
        <v>0</v>
      </c>
      <c r="K167" s="45">
        <f t="shared" si="67"/>
        <v>0</v>
      </c>
      <c r="L167" s="144">
        <f t="shared" si="67"/>
        <v>10</v>
      </c>
      <c r="M167" s="50">
        <f t="shared" si="67"/>
        <v>10</v>
      </c>
      <c r="N167" s="40">
        <f t="shared" si="14"/>
        <v>4708</v>
      </c>
      <c r="O167" s="43">
        <f t="shared" si="15"/>
        <v>6229.5</v>
      </c>
    </row>
    <row r="168" spans="1:15" ht="22.95" customHeight="1" x14ac:dyDescent="0.3">
      <c r="A168" s="52" t="s">
        <v>263</v>
      </c>
      <c r="B168" s="44">
        <f t="shared" ref="B168:M168" si="68">B62+B63+B64+B65</f>
        <v>2322</v>
      </c>
      <c r="C168" s="39">
        <f t="shared" si="68"/>
        <v>1040</v>
      </c>
      <c r="D168" s="39">
        <f t="shared" si="68"/>
        <v>208</v>
      </c>
      <c r="E168" s="39">
        <f t="shared" si="68"/>
        <v>139</v>
      </c>
      <c r="F168" s="39">
        <f t="shared" si="68"/>
        <v>497</v>
      </c>
      <c r="G168" s="50">
        <f t="shared" si="68"/>
        <v>4206</v>
      </c>
      <c r="H168" s="44">
        <f t="shared" si="68"/>
        <v>0</v>
      </c>
      <c r="I168" s="39">
        <f t="shared" si="68"/>
        <v>0</v>
      </c>
      <c r="J168" s="39">
        <f t="shared" si="68"/>
        <v>0</v>
      </c>
      <c r="K168" s="45">
        <f t="shared" si="68"/>
        <v>0</v>
      </c>
      <c r="L168" s="144">
        <f t="shared" si="68"/>
        <v>8</v>
      </c>
      <c r="M168" s="50">
        <f t="shared" si="68"/>
        <v>8</v>
      </c>
      <c r="N168" s="40">
        <f t="shared" si="14"/>
        <v>4214</v>
      </c>
      <c r="O168" s="43">
        <f t="shared" si="15"/>
        <v>5871.5</v>
      </c>
    </row>
    <row r="169" spans="1:15" ht="22.95" customHeight="1" x14ac:dyDescent="0.3">
      <c r="A169" s="52" t="s">
        <v>264</v>
      </c>
      <c r="B169" s="44">
        <f t="shared" ref="B169:M169" si="69">B63+B64+B65+B66</f>
        <v>2033</v>
      </c>
      <c r="C169" s="39">
        <f t="shared" si="69"/>
        <v>889</v>
      </c>
      <c r="D169" s="39">
        <f t="shared" si="69"/>
        <v>218</v>
      </c>
      <c r="E169" s="39">
        <f t="shared" si="69"/>
        <v>133</v>
      </c>
      <c r="F169" s="39">
        <f t="shared" si="69"/>
        <v>480</v>
      </c>
      <c r="G169" s="50">
        <f t="shared" si="69"/>
        <v>3753</v>
      </c>
      <c r="H169" s="44">
        <f t="shared" si="69"/>
        <v>0</v>
      </c>
      <c r="I169" s="39">
        <f t="shared" si="69"/>
        <v>0</v>
      </c>
      <c r="J169" s="39">
        <f t="shared" si="69"/>
        <v>0</v>
      </c>
      <c r="K169" s="45">
        <f t="shared" si="69"/>
        <v>0</v>
      </c>
      <c r="L169" s="144">
        <f t="shared" si="69"/>
        <v>8</v>
      </c>
      <c r="M169" s="50">
        <f t="shared" si="69"/>
        <v>8</v>
      </c>
      <c r="N169" s="40">
        <f t="shared" si="14"/>
        <v>3761</v>
      </c>
      <c r="O169" s="43">
        <f t="shared" si="15"/>
        <v>5427.5</v>
      </c>
    </row>
    <row r="170" spans="1:15" ht="22.95" customHeight="1" x14ac:dyDescent="0.3">
      <c r="A170" s="52" t="s">
        <v>265</v>
      </c>
      <c r="B170" s="44">
        <f t="shared" ref="B170:M170" si="70">B64+B65+B66+B67</f>
        <v>1815</v>
      </c>
      <c r="C170" s="39">
        <f t="shared" si="70"/>
        <v>715</v>
      </c>
      <c r="D170" s="39">
        <f t="shared" si="70"/>
        <v>238</v>
      </c>
      <c r="E170" s="39">
        <f t="shared" si="70"/>
        <v>132</v>
      </c>
      <c r="F170" s="39">
        <f t="shared" si="70"/>
        <v>464</v>
      </c>
      <c r="G170" s="50">
        <f t="shared" si="70"/>
        <v>3364</v>
      </c>
      <c r="H170" s="44">
        <f t="shared" si="70"/>
        <v>0</v>
      </c>
      <c r="I170" s="39">
        <f t="shared" si="70"/>
        <v>0</v>
      </c>
      <c r="J170" s="39">
        <f t="shared" si="70"/>
        <v>0</v>
      </c>
      <c r="K170" s="45">
        <f t="shared" si="70"/>
        <v>0</v>
      </c>
      <c r="L170" s="144">
        <f t="shared" si="70"/>
        <v>7</v>
      </c>
      <c r="M170" s="50">
        <f t="shared" si="70"/>
        <v>7</v>
      </c>
      <c r="N170" s="40">
        <f t="shared" si="14"/>
        <v>3371</v>
      </c>
      <c r="O170" s="43">
        <f t="shared" si="15"/>
        <v>5069.5</v>
      </c>
    </row>
    <row r="171" spans="1:15" ht="22.95" customHeight="1" x14ac:dyDescent="0.3">
      <c r="A171" s="52" t="s">
        <v>266</v>
      </c>
      <c r="B171" s="44">
        <f t="shared" ref="B171:M171" si="71">B65+B66+B67+B68</f>
        <v>1626</v>
      </c>
      <c r="C171" s="39">
        <f t="shared" si="71"/>
        <v>641</v>
      </c>
      <c r="D171" s="39">
        <f t="shared" si="71"/>
        <v>236</v>
      </c>
      <c r="E171" s="39">
        <f t="shared" si="71"/>
        <v>130</v>
      </c>
      <c r="F171" s="39">
        <f t="shared" si="71"/>
        <v>470</v>
      </c>
      <c r="G171" s="50">
        <f t="shared" si="71"/>
        <v>3103</v>
      </c>
      <c r="H171" s="44">
        <f t="shared" si="71"/>
        <v>0</v>
      </c>
      <c r="I171" s="39">
        <f t="shared" si="71"/>
        <v>0</v>
      </c>
      <c r="J171" s="39">
        <f t="shared" si="71"/>
        <v>0</v>
      </c>
      <c r="K171" s="45">
        <f t="shared" si="71"/>
        <v>0</v>
      </c>
      <c r="L171" s="144">
        <f t="shared" si="71"/>
        <v>5</v>
      </c>
      <c r="M171" s="50">
        <f t="shared" si="71"/>
        <v>5</v>
      </c>
      <c r="N171" s="40">
        <f t="shared" si="14"/>
        <v>3108</v>
      </c>
      <c r="O171" s="43">
        <f t="shared" si="15"/>
        <v>4845.5</v>
      </c>
    </row>
    <row r="172" spans="1:15" ht="22.95" customHeight="1" x14ac:dyDescent="0.3">
      <c r="A172" s="52" t="s">
        <v>267</v>
      </c>
      <c r="B172" s="44">
        <f t="shared" ref="B172:M172" si="72">B66+B67+B68+B69</f>
        <v>1489</v>
      </c>
      <c r="C172" s="39">
        <f t="shared" si="72"/>
        <v>590</v>
      </c>
      <c r="D172" s="39">
        <f t="shared" si="72"/>
        <v>201</v>
      </c>
      <c r="E172" s="39">
        <f t="shared" si="72"/>
        <v>134</v>
      </c>
      <c r="F172" s="39">
        <f t="shared" si="72"/>
        <v>437</v>
      </c>
      <c r="G172" s="50">
        <f t="shared" si="72"/>
        <v>2851</v>
      </c>
      <c r="H172" s="44">
        <f t="shared" si="72"/>
        <v>0</v>
      </c>
      <c r="I172" s="39">
        <f t="shared" si="72"/>
        <v>0</v>
      </c>
      <c r="J172" s="39">
        <f t="shared" si="72"/>
        <v>0</v>
      </c>
      <c r="K172" s="45">
        <f t="shared" si="72"/>
        <v>0</v>
      </c>
      <c r="L172" s="144">
        <f t="shared" si="72"/>
        <v>5</v>
      </c>
      <c r="M172" s="50">
        <f t="shared" si="72"/>
        <v>5</v>
      </c>
      <c r="N172" s="40">
        <f t="shared" si="14"/>
        <v>2856</v>
      </c>
      <c r="O172" s="43">
        <f t="shared" si="15"/>
        <v>4494</v>
      </c>
    </row>
    <row r="173" spans="1:15" ht="22.95" customHeight="1" x14ac:dyDescent="0.3">
      <c r="A173" s="52" t="s">
        <v>268</v>
      </c>
      <c r="B173" s="44">
        <f t="shared" ref="B173:M173" si="73">B67+B68+B69+B70</f>
        <v>1319</v>
      </c>
      <c r="C173" s="39">
        <f t="shared" si="73"/>
        <v>520</v>
      </c>
      <c r="D173" s="39">
        <f t="shared" si="73"/>
        <v>196</v>
      </c>
      <c r="E173" s="39">
        <f t="shared" si="73"/>
        <v>138</v>
      </c>
      <c r="F173" s="39">
        <f t="shared" si="73"/>
        <v>427</v>
      </c>
      <c r="G173" s="50">
        <f t="shared" si="73"/>
        <v>2600</v>
      </c>
      <c r="H173" s="44">
        <f t="shared" si="73"/>
        <v>0</v>
      </c>
      <c r="I173" s="39">
        <f t="shared" si="73"/>
        <v>0</v>
      </c>
      <c r="J173" s="39">
        <f t="shared" si="73"/>
        <v>0</v>
      </c>
      <c r="K173" s="45">
        <f t="shared" si="73"/>
        <v>0</v>
      </c>
      <c r="L173" s="144">
        <f t="shared" si="73"/>
        <v>7</v>
      </c>
      <c r="M173" s="50">
        <f t="shared" si="73"/>
        <v>7</v>
      </c>
      <c r="N173" s="40">
        <f t="shared" si="14"/>
        <v>2607</v>
      </c>
      <c r="O173" s="43">
        <f t="shared" si="15"/>
        <v>4264.5</v>
      </c>
    </row>
    <row r="174" spans="1:15" ht="22.95" customHeight="1" x14ac:dyDescent="0.3">
      <c r="A174" s="52" t="s">
        <v>269</v>
      </c>
      <c r="B174" s="44">
        <f t="shared" ref="B174:M174" si="74">B68+B69+B70+B71</f>
        <v>1153</v>
      </c>
      <c r="C174" s="39">
        <f t="shared" si="74"/>
        <v>433</v>
      </c>
      <c r="D174" s="39">
        <f t="shared" si="74"/>
        <v>164</v>
      </c>
      <c r="E174" s="39">
        <f t="shared" si="74"/>
        <v>147</v>
      </c>
      <c r="F174" s="39">
        <f t="shared" si="74"/>
        <v>446</v>
      </c>
      <c r="G174" s="50">
        <f t="shared" si="74"/>
        <v>2343</v>
      </c>
      <c r="H174" s="44">
        <f t="shared" si="74"/>
        <v>0</v>
      </c>
      <c r="I174" s="39">
        <f t="shared" si="74"/>
        <v>0</v>
      </c>
      <c r="J174" s="39">
        <f t="shared" si="74"/>
        <v>0</v>
      </c>
      <c r="K174" s="45">
        <f t="shared" si="74"/>
        <v>0</v>
      </c>
      <c r="L174" s="144">
        <f t="shared" si="74"/>
        <v>9</v>
      </c>
      <c r="M174" s="50">
        <f t="shared" si="74"/>
        <v>9</v>
      </c>
      <c r="N174" s="40">
        <f t="shared" si="14"/>
        <v>2352</v>
      </c>
      <c r="O174" s="43">
        <f t="shared" si="15"/>
        <v>4135.5</v>
      </c>
    </row>
    <row r="175" spans="1:15" ht="22.95" customHeight="1" x14ac:dyDescent="0.3">
      <c r="A175" s="54" t="s">
        <v>241</v>
      </c>
      <c r="B175" s="44">
        <f t="shared" ref="B175:M175" si="75">B69+B70+B71+B72</f>
        <v>961</v>
      </c>
      <c r="C175" s="39">
        <f t="shared" si="75"/>
        <v>430</v>
      </c>
      <c r="D175" s="39">
        <f t="shared" si="75"/>
        <v>168</v>
      </c>
      <c r="E175" s="39">
        <f t="shared" si="75"/>
        <v>129</v>
      </c>
      <c r="F175" s="39">
        <f t="shared" si="75"/>
        <v>420</v>
      </c>
      <c r="G175" s="50">
        <f t="shared" si="75"/>
        <v>2108</v>
      </c>
      <c r="H175" s="44">
        <f t="shared" si="75"/>
        <v>0</v>
      </c>
      <c r="I175" s="39">
        <f t="shared" si="75"/>
        <v>0</v>
      </c>
      <c r="J175" s="39">
        <f t="shared" si="75"/>
        <v>0</v>
      </c>
      <c r="K175" s="45">
        <f t="shared" si="75"/>
        <v>0</v>
      </c>
      <c r="L175" s="144">
        <f t="shared" si="75"/>
        <v>14</v>
      </c>
      <c r="M175" s="50">
        <f t="shared" si="75"/>
        <v>14</v>
      </c>
      <c r="N175" s="40">
        <f t="shared" si="14"/>
        <v>2122</v>
      </c>
      <c r="O175" s="43">
        <f t="shared" si="15"/>
        <v>3817</v>
      </c>
    </row>
    <row r="176" spans="1:15" ht="22.95" customHeight="1" x14ac:dyDescent="0.3">
      <c r="A176" s="52" t="s">
        <v>242</v>
      </c>
      <c r="B176" s="44">
        <f t="shared" ref="B176:M176" si="76">B70+B71+B72+B73</f>
        <v>796</v>
      </c>
      <c r="C176" s="39">
        <f t="shared" si="76"/>
        <v>396</v>
      </c>
      <c r="D176" s="39">
        <f t="shared" si="76"/>
        <v>190</v>
      </c>
      <c r="E176" s="39">
        <f t="shared" si="76"/>
        <v>121</v>
      </c>
      <c r="F176" s="39">
        <f t="shared" si="76"/>
        <v>385</v>
      </c>
      <c r="G176" s="50">
        <f t="shared" si="76"/>
        <v>1888</v>
      </c>
      <c r="H176" s="44">
        <f t="shared" si="76"/>
        <v>1</v>
      </c>
      <c r="I176" s="39">
        <f t="shared" si="76"/>
        <v>0</v>
      </c>
      <c r="J176" s="39">
        <f t="shared" si="76"/>
        <v>0</v>
      </c>
      <c r="K176" s="45">
        <f t="shared" si="76"/>
        <v>0</v>
      </c>
      <c r="L176" s="144">
        <f t="shared" si="76"/>
        <v>12</v>
      </c>
      <c r="M176" s="50">
        <f t="shared" si="76"/>
        <v>13</v>
      </c>
      <c r="N176" s="40">
        <f t="shared" si="14"/>
        <v>1901</v>
      </c>
      <c r="O176" s="43">
        <f t="shared" si="15"/>
        <v>3471</v>
      </c>
    </row>
    <row r="177" spans="1:15" ht="22.95" customHeight="1" x14ac:dyDescent="0.3">
      <c r="A177" s="52" t="s">
        <v>243</v>
      </c>
      <c r="B177" s="44">
        <f t="shared" ref="B177:M177" si="77">B71+B72+B73+B74</f>
        <v>711</v>
      </c>
      <c r="C177" s="39">
        <f t="shared" si="77"/>
        <v>353</v>
      </c>
      <c r="D177" s="39">
        <f t="shared" si="77"/>
        <v>200</v>
      </c>
      <c r="E177" s="39">
        <f t="shared" si="77"/>
        <v>112</v>
      </c>
      <c r="F177" s="39">
        <f t="shared" si="77"/>
        <v>330</v>
      </c>
      <c r="G177" s="50">
        <f t="shared" si="77"/>
        <v>1706</v>
      </c>
      <c r="H177" s="44">
        <f t="shared" si="77"/>
        <v>1</v>
      </c>
      <c r="I177" s="39">
        <f t="shared" si="77"/>
        <v>0</v>
      </c>
      <c r="J177" s="39">
        <f t="shared" si="77"/>
        <v>0</v>
      </c>
      <c r="K177" s="45">
        <f t="shared" si="77"/>
        <v>0</v>
      </c>
      <c r="L177" s="144">
        <f t="shared" si="77"/>
        <v>8</v>
      </c>
      <c r="M177" s="50">
        <f t="shared" si="77"/>
        <v>9</v>
      </c>
      <c r="N177" s="40">
        <f t="shared" si="14"/>
        <v>1715</v>
      </c>
      <c r="O177" s="43">
        <f t="shared" si="15"/>
        <v>3073</v>
      </c>
    </row>
    <row r="178" spans="1:15" ht="22.95" customHeight="1" x14ac:dyDescent="0.3">
      <c r="A178" s="52" t="s">
        <v>244</v>
      </c>
      <c r="B178" s="44">
        <f t="shared" ref="B178:M178" si="78">B72+B73+B74+B75</f>
        <v>644</v>
      </c>
      <c r="C178" s="39">
        <f t="shared" si="78"/>
        <v>336</v>
      </c>
      <c r="D178" s="39">
        <f t="shared" si="78"/>
        <v>223</v>
      </c>
      <c r="E178" s="39">
        <f t="shared" si="78"/>
        <v>104</v>
      </c>
      <c r="F178" s="39">
        <f t="shared" si="78"/>
        <v>287</v>
      </c>
      <c r="G178" s="50">
        <f t="shared" si="78"/>
        <v>1594</v>
      </c>
      <c r="H178" s="44">
        <f t="shared" si="78"/>
        <v>1</v>
      </c>
      <c r="I178" s="39">
        <f t="shared" si="78"/>
        <v>0</v>
      </c>
      <c r="J178" s="39">
        <f t="shared" si="78"/>
        <v>0</v>
      </c>
      <c r="K178" s="45">
        <f t="shared" si="78"/>
        <v>0</v>
      </c>
      <c r="L178" s="144">
        <f t="shared" si="78"/>
        <v>6</v>
      </c>
      <c r="M178" s="50">
        <f t="shared" si="78"/>
        <v>7</v>
      </c>
      <c r="N178" s="40">
        <f t="shared" si="14"/>
        <v>1601</v>
      </c>
      <c r="O178" s="43">
        <f t="shared" si="15"/>
        <v>2798.5</v>
      </c>
    </row>
    <row r="179" spans="1:15" ht="22.95" customHeight="1" x14ac:dyDescent="0.3">
      <c r="A179" s="52" t="s">
        <v>245</v>
      </c>
      <c r="B179" s="44">
        <f t="shared" ref="B179:M179" si="79">B73+B74+B75+B76</f>
        <v>620</v>
      </c>
      <c r="C179" s="39">
        <f t="shared" si="79"/>
        <v>276</v>
      </c>
      <c r="D179" s="39">
        <f t="shared" si="79"/>
        <v>209</v>
      </c>
      <c r="E179" s="39">
        <f t="shared" si="79"/>
        <v>98</v>
      </c>
      <c r="F179" s="39">
        <f t="shared" si="79"/>
        <v>258</v>
      </c>
      <c r="G179" s="50">
        <f t="shared" si="79"/>
        <v>1461</v>
      </c>
      <c r="H179" s="44">
        <f t="shared" si="79"/>
        <v>2</v>
      </c>
      <c r="I179" s="39">
        <f t="shared" si="79"/>
        <v>0</v>
      </c>
      <c r="J179" s="39">
        <f t="shared" si="79"/>
        <v>0</v>
      </c>
      <c r="K179" s="45">
        <f t="shared" si="79"/>
        <v>0</v>
      </c>
      <c r="L179" s="144">
        <f t="shared" si="79"/>
        <v>1</v>
      </c>
      <c r="M179" s="50">
        <f t="shared" si="79"/>
        <v>3</v>
      </c>
      <c r="N179" s="40">
        <f t="shared" ref="N179:N206" si="80">G179+M179</f>
        <v>1464</v>
      </c>
      <c r="O179" s="43">
        <f t="shared" ref="O179:O206" si="81">B179*1+C179*0.5+D179*1.5+E179*3+F179*4.5+H179*0.5+I179*1.5+J179*3+K179*4+L179*8</f>
        <v>2535.5</v>
      </c>
    </row>
    <row r="180" spans="1:15" ht="22.95" customHeight="1" x14ac:dyDescent="0.3">
      <c r="A180" s="52" t="s">
        <v>246</v>
      </c>
      <c r="B180" s="44">
        <f t="shared" ref="B180:M180" si="82">B74+B75+B76+B77</f>
        <v>576</v>
      </c>
      <c r="C180" s="39">
        <f t="shared" si="82"/>
        <v>224</v>
      </c>
      <c r="D180" s="39">
        <f t="shared" si="82"/>
        <v>203</v>
      </c>
      <c r="E180" s="39">
        <f t="shared" si="82"/>
        <v>93</v>
      </c>
      <c r="F180" s="39">
        <f t="shared" si="82"/>
        <v>246</v>
      </c>
      <c r="G180" s="50">
        <f t="shared" si="82"/>
        <v>1342</v>
      </c>
      <c r="H180" s="44">
        <f t="shared" si="82"/>
        <v>1</v>
      </c>
      <c r="I180" s="39">
        <f t="shared" si="82"/>
        <v>0</v>
      </c>
      <c r="J180" s="39">
        <f t="shared" si="82"/>
        <v>0</v>
      </c>
      <c r="K180" s="45">
        <f t="shared" si="82"/>
        <v>0</v>
      </c>
      <c r="L180" s="144">
        <f t="shared" si="82"/>
        <v>1</v>
      </c>
      <c r="M180" s="50">
        <f t="shared" si="82"/>
        <v>2</v>
      </c>
      <c r="N180" s="40">
        <f t="shared" si="80"/>
        <v>1344</v>
      </c>
      <c r="O180" s="43">
        <f t="shared" si="81"/>
        <v>2387</v>
      </c>
    </row>
    <row r="181" spans="1:15" ht="22.95" customHeight="1" x14ac:dyDescent="0.3">
      <c r="A181" s="52" t="s">
        <v>247</v>
      </c>
      <c r="B181" s="44">
        <f t="shared" ref="B181:M181" si="83">B75+B76+B77+B78</f>
        <v>525</v>
      </c>
      <c r="C181" s="39">
        <f t="shared" si="83"/>
        <v>208</v>
      </c>
      <c r="D181" s="39">
        <f t="shared" si="83"/>
        <v>161</v>
      </c>
      <c r="E181" s="39">
        <f t="shared" si="83"/>
        <v>84</v>
      </c>
      <c r="F181" s="39">
        <f t="shared" si="83"/>
        <v>239</v>
      </c>
      <c r="G181" s="50">
        <f t="shared" si="83"/>
        <v>1217</v>
      </c>
      <c r="H181" s="44">
        <f t="shared" si="83"/>
        <v>1</v>
      </c>
      <c r="I181" s="39">
        <f t="shared" si="83"/>
        <v>0</v>
      </c>
      <c r="J181" s="39">
        <f t="shared" si="83"/>
        <v>0</v>
      </c>
      <c r="K181" s="45">
        <f t="shared" si="83"/>
        <v>0</v>
      </c>
      <c r="L181" s="144">
        <f t="shared" si="83"/>
        <v>1</v>
      </c>
      <c r="M181" s="50">
        <f t="shared" si="83"/>
        <v>2</v>
      </c>
      <c r="N181" s="40">
        <f t="shared" si="80"/>
        <v>1219</v>
      </c>
      <c r="O181" s="43">
        <f t="shared" si="81"/>
        <v>2206.5</v>
      </c>
    </row>
    <row r="182" spans="1:15" ht="22.95" customHeight="1" x14ac:dyDescent="0.3">
      <c r="A182" s="52" t="s">
        <v>248</v>
      </c>
      <c r="B182" s="44">
        <f t="shared" ref="B182:M182" si="84">B76+B77+B78+B79</f>
        <v>467</v>
      </c>
      <c r="C182" s="39">
        <f t="shared" si="84"/>
        <v>198</v>
      </c>
      <c r="D182" s="39">
        <f t="shared" si="84"/>
        <v>128</v>
      </c>
      <c r="E182" s="39">
        <f t="shared" si="84"/>
        <v>76</v>
      </c>
      <c r="F182" s="39">
        <f t="shared" si="84"/>
        <v>240</v>
      </c>
      <c r="G182" s="50">
        <f t="shared" si="84"/>
        <v>1109</v>
      </c>
      <c r="H182" s="44">
        <f t="shared" si="84"/>
        <v>1</v>
      </c>
      <c r="I182" s="39">
        <f t="shared" si="84"/>
        <v>0</v>
      </c>
      <c r="J182" s="39">
        <f t="shared" si="84"/>
        <v>0</v>
      </c>
      <c r="K182" s="45">
        <f t="shared" si="84"/>
        <v>0</v>
      </c>
      <c r="L182" s="144">
        <f t="shared" si="84"/>
        <v>1</v>
      </c>
      <c r="M182" s="50">
        <f t="shared" si="84"/>
        <v>2</v>
      </c>
      <c r="N182" s="40">
        <f t="shared" si="80"/>
        <v>1111</v>
      </c>
      <c r="O182" s="43">
        <f t="shared" si="81"/>
        <v>2074.5</v>
      </c>
    </row>
    <row r="183" spans="1:15" ht="22.95" customHeight="1" x14ac:dyDescent="0.3">
      <c r="A183" s="52" t="s">
        <v>249</v>
      </c>
      <c r="B183" s="44">
        <f t="shared" ref="B183:M183" si="85">B77+B78+B79+B80</f>
        <v>416</v>
      </c>
      <c r="C183" s="39">
        <f t="shared" si="85"/>
        <v>165</v>
      </c>
      <c r="D183" s="39">
        <f t="shared" si="85"/>
        <v>117</v>
      </c>
      <c r="E183" s="39">
        <f t="shared" si="85"/>
        <v>74</v>
      </c>
      <c r="F183" s="39">
        <f t="shared" si="85"/>
        <v>233</v>
      </c>
      <c r="G183" s="50">
        <f t="shared" si="85"/>
        <v>1005</v>
      </c>
      <c r="H183" s="44">
        <f t="shared" si="85"/>
        <v>0</v>
      </c>
      <c r="I183" s="39">
        <f t="shared" si="85"/>
        <v>0</v>
      </c>
      <c r="J183" s="39">
        <f t="shared" si="85"/>
        <v>0</v>
      </c>
      <c r="K183" s="45">
        <f t="shared" si="85"/>
        <v>0</v>
      </c>
      <c r="L183" s="144">
        <f t="shared" si="85"/>
        <v>1</v>
      </c>
      <c r="M183" s="50">
        <f t="shared" si="85"/>
        <v>1</v>
      </c>
      <c r="N183" s="40">
        <f t="shared" si="80"/>
        <v>1006</v>
      </c>
      <c r="O183" s="43">
        <f t="shared" si="81"/>
        <v>1952.5</v>
      </c>
    </row>
    <row r="184" spans="1:15" ht="22.95" customHeight="1" x14ac:dyDescent="0.3">
      <c r="A184" s="52" t="s">
        <v>250</v>
      </c>
      <c r="B184" s="44">
        <f t="shared" ref="B184:M184" si="86">B78+B79+B80+B81</f>
        <v>385</v>
      </c>
      <c r="C184" s="39">
        <f t="shared" si="86"/>
        <v>157</v>
      </c>
      <c r="D184" s="39">
        <f t="shared" si="86"/>
        <v>96</v>
      </c>
      <c r="E184" s="39">
        <f t="shared" si="86"/>
        <v>67</v>
      </c>
      <c r="F184" s="39">
        <f t="shared" si="86"/>
        <v>218</v>
      </c>
      <c r="G184" s="50">
        <f t="shared" si="86"/>
        <v>923</v>
      </c>
      <c r="H184" s="44">
        <f t="shared" si="86"/>
        <v>1</v>
      </c>
      <c r="I184" s="39">
        <f t="shared" si="86"/>
        <v>0</v>
      </c>
      <c r="J184" s="39">
        <f t="shared" si="86"/>
        <v>0</v>
      </c>
      <c r="K184" s="45">
        <f t="shared" si="86"/>
        <v>0</v>
      </c>
      <c r="L184" s="144">
        <f t="shared" si="86"/>
        <v>1</v>
      </c>
      <c r="M184" s="50">
        <f t="shared" si="86"/>
        <v>2</v>
      </c>
      <c r="N184" s="40">
        <f t="shared" si="80"/>
        <v>925</v>
      </c>
      <c r="O184" s="43">
        <f t="shared" si="81"/>
        <v>1798</v>
      </c>
    </row>
    <row r="185" spans="1:15" ht="22.95" customHeight="1" x14ac:dyDescent="0.3">
      <c r="A185" s="52" t="s">
        <v>251</v>
      </c>
      <c r="B185" s="44">
        <f t="shared" ref="B185:M185" si="87">B79+B80+B81+B82</f>
        <v>375</v>
      </c>
      <c r="C185" s="39">
        <f t="shared" si="87"/>
        <v>139</v>
      </c>
      <c r="D185" s="39">
        <f t="shared" si="87"/>
        <v>120</v>
      </c>
      <c r="E185" s="39">
        <f t="shared" si="87"/>
        <v>59</v>
      </c>
      <c r="F185" s="39">
        <f t="shared" si="87"/>
        <v>196</v>
      </c>
      <c r="G185" s="50">
        <f t="shared" si="87"/>
        <v>889</v>
      </c>
      <c r="H185" s="44">
        <f t="shared" si="87"/>
        <v>1</v>
      </c>
      <c r="I185" s="39">
        <f t="shared" si="87"/>
        <v>0</v>
      </c>
      <c r="J185" s="39">
        <f t="shared" si="87"/>
        <v>0</v>
      </c>
      <c r="K185" s="45">
        <f t="shared" si="87"/>
        <v>0</v>
      </c>
      <c r="L185" s="144">
        <f t="shared" si="87"/>
        <v>1</v>
      </c>
      <c r="M185" s="50">
        <f t="shared" si="87"/>
        <v>2</v>
      </c>
      <c r="N185" s="40">
        <f t="shared" si="80"/>
        <v>891</v>
      </c>
      <c r="O185" s="43">
        <f t="shared" si="81"/>
        <v>1692</v>
      </c>
    </row>
    <row r="186" spans="1:15" ht="22.95" customHeight="1" x14ac:dyDescent="0.3">
      <c r="A186" s="52" t="s">
        <v>252</v>
      </c>
      <c r="B186" s="44">
        <f t="shared" ref="B186:M186" si="88">B80+B81+B82+B83</f>
        <v>366</v>
      </c>
      <c r="C186" s="39">
        <f t="shared" si="88"/>
        <v>99</v>
      </c>
      <c r="D186" s="39">
        <f t="shared" si="88"/>
        <v>134</v>
      </c>
      <c r="E186" s="39">
        <f t="shared" si="88"/>
        <v>59</v>
      </c>
      <c r="F186" s="39">
        <f t="shared" si="88"/>
        <v>157</v>
      </c>
      <c r="G186" s="50">
        <f t="shared" si="88"/>
        <v>815</v>
      </c>
      <c r="H186" s="44">
        <f t="shared" si="88"/>
        <v>1</v>
      </c>
      <c r="I186" s="39">
        <f t="shared" si="88"/>
        <v>0</v>
      </c>
      <c r="J186" s="39">
        <f t="shared" si="88"/>
        <v>0</v>
      </c>
      <c r="K186" s="45">
        <f t="shared" si="88"/>
        <v>0</v>
      </c>
      <c r="L186" s="144">
        <f t="shared" si="88"/>
        <v>0</v>
      </c>
      <c r="M186" s="50">
        <f t="shared" si="88"/>
        <v>1</v>
      </c>
      <c r="N186" s="40">
        <f t="shared" si="80"/>
        <v>816</v>
      </c>
      <c r="O186" s="43">
        <f t="shared" si="81"/>
        <v>1500.5</v>
      </c>
    </row>
    <row r="187" spans="1:15" ht="22.95" customHeight="1" x14ac:dyDescent="0.3">
      <c r="A187" s="52" t="s">
        <v>253</v>
      </c>
      <c r="B187" s="44">
        <f t="shared" ref="B187:M187" si="89">B81+B82+B83+B84</f>
        <v>370</v>
      </c>
      <c r="C187" s="39">
        <f t="shared" si="89"/>
        <v>103</v>
      </c>
      <c r="D187" s="39">
        <f t="shared" si="89"/>
        <v>124</v>
      </c>
      <c r="E187" s="39">
        <f t="shared" si="89"/>
        <v>67</v>
      </c>
      <c r="F187" s="39">
        <f t="shared" si="89"/>
        <v>138</v>
      </c>
      <c r="G187" s="50">
        <f t="shared" si="89"/>
        <v>802</v>
      </c>
      <c r="H187" s="44">
        <f t="shared" si="89"/>
        <v>1</v>
      </c>
      <c r="I187" s="39">
        <f t="shared" si="89"/>
        <v>0</v>
      </c>
      <c r="J187" s="39">
        <f t="shared" si="89"/>
        <v>0</v>
      </c>
      <c r="K187" s="45">
        <f t="shared" si="89"/>
        <v>0</v>
      </c>
      <c r="L187" s="144">
        <f t="shared" si="89"/>
        <v>0</v>
      </c>
      <c r="M187" s="50">
        <f t="shared" si="89"/>
        <v>1</v>
      </c>
      <c r="N187" s="40">
        <f t="shared" si="80"/>
        <v>803</v>
      </c>
      <c r="O187" s="43">
        <f t="shared" si="81"/>
        <v>1430</v>
      </c>
    </row>
    <row r="188" spans="1:15" ht="22.95" customHeight="1" x14ac:dyDescent="0.3">
      <c r="A188" s="52" t="s">
        <v>254</v>
      </c>
      <c r="B188" s="44">
        <f t="shared" ref="B188:M188" si="90">B82+B83+B84+B85</f>
        <v>357</v>
      </c>
      <c r="C188" s="39">
        <f t="shared" si="90"/>
        <v>102</v>
      </c>
      <c r="D188" s="39">
        <f t="shared" si="90"/>
        <v>131</v>
      </c>
      <c r="E188" s="39">
        <f t="shared" si="90"/>
        <v>78</v>
      </c>
      <c r="F188" s="39">
        <f t="shared" si="90"/>
        <v>141</v>
      </c>
      <c r="G188" s="50">
        <f t="shared" si="90"/>
        <v>809</v>
      </c>
      <c r="H188" s="44">
        <f t="shared" si="90"/>
        <v>0</v>
      </c>
      <c r="I188" s="39">
        <f t="shared" si="90"/>
        <v>0</v>
      </c>
      <c r="J188" s="39">
        <f t="shared" si="90"/>
        <v>0</v>
      </c>
      <c r="K188" s="45">
        <f t="shared" si="90"/>
        <v>0</v>
      </c>
      <c r="L188" s="144">
        <f t="shared" si="90"/>
        <v>0</v>
      </c>
      <c r="M188" s="50">
        <f t="shared" si="90"/>
        <v>0</v>
      </c>
      <c r="N188" s="40">
        <f t="shared" si="80"/>
        <v>809</v>
      </c>
      <c r="O188" s="43">
        <f t="shared" si="81"/>
        <v>1473</v>
      </c>
    </row>
    <row r="189" spans="1:15" ht="22.95" customHeight="1" x14ac:dyDescent="0.3">
      <c r="A189" s="52" t="s">
        <v>255</v>
      </c>
      <c r="B189" s="44">
        <f t="shared" ref="B189:M189" si="91">B83+B84+B85+B86</f>
        <v>342</v>
      </c>
      <c r="C189" s="39">
        <f t="shared" si="91"/>
        <v>103</v>
      </c>
      <c r="D189" s="39">
        <f t="shared" si="91"/>
        <v>127</v>
      </c>
      <c r="E189" s="39">
        <f t="shared" si="91"/>
        <v>87</v>
      </c>
      <c r="F189" s="39">
        <f t="shared" si="91"/>
        <v>150</v>
      </c>
      <c r="G189" s="50">
        <f t="shared" si="91"/>
        <v>809</v>
      </c>
      <c r="H189" s="44">
        <f t="shared" si="91"/>
        <v>0</v>
      </c>
      <c r="I189" s="39">
        <f t="shared" si="91"/>
        <v>0</v>
      </c>
      <c r="J189" s="39">
        <f t="shared" si="91"/>
        <v>0</v>
      </c>
      <c r="K189" s="45">
        <f t="shared" si="91"/>
        <v>0</v>
      </c>
      <c r="L189" s="144">
        <f t="shared" si="91"/>
        <v>0</v>
      </c>
      <c r="M189" s="50">
        <f t="shared" si="91"/>
        <v>0</v>
      </c>
      <c r="N189" s="40">
        <f t="shared" si="80"/>
        <v>809</v>
      </c>
      <c r="O189" s="43">
        <f t="shared" si="81"/>
        <v>1520</v>
      </c>
    </row>
    <row r="190" spans="1:15" ht="22.95" customHeight="1" x14ac:dyDescent="0.3">
      <c r="A190" s="52" t="s">
        <v>256</v>
      </c>
      <c r="B190" s="44">
        <f t="shared" ref="B190:M190" si="92">B84+B85+B86+B87</f>
        <v>338</v>
      </c>
      <c r="C190" s="39">
        <f t="shared" si="92"/>
        <v>126</v>
      </c>
      <c r="D190" s="39">
        <f t="shared" si="92"/>
        <v>118</v>
      </c>
      <c r="E190" s="39">
        <f t="shared" si="92"/>
        <v>95</v>
      </c>
      <c r="F190" s="39">
        <f t="shared" si="92"/>
        <v>169</v>
      </c>
      <c r="G190" s="50">
        <f t="shared" si="92"/>
        <v>846</v>
      </c>
      <c r="H190" s="44">
        <f t="shared" si="92"/>
        <v>0</v>
      </c>
      <c r="I190" s="39">
        <f t="shared" si="92"/>
        <v>0</v>
      </c>
      <c r="J190" s="39">
        <f t="shared" si="92"/>
        <v>0</v>
      </c>
      <c r="K190" s="45">
        <f t="shared" si="92"/>
        <v>0</v>
      </c>
      <c r="L190" s="144">
        <f t="shared" si="92"/>
        <v>0</v>
      </c>
      <c r="M190" s="50">
        <f t="shared" si="92"/>
        <v>0</v>
      </c>
      <c r="N190" s="40">
        <f t="shared" si="80"/>
        <v>846</v>
      </c>
      <c r="O190" s="43">
        <f t="shared" si="81"/>
        <v>1623.5</v>
      </c>
    </row>
    <row r="191" spans="1:15" ht="22.95" customHeight="1" x14ac:dyDescent="0.3">
      <c r="A191" s="52" t="s">
        <v>257</v>
      </c>
      <c r="B191" s="44">
        <f t="shared" ref="B191:M191" si="93">B85+B86+B87+B88</f>
        <v>380</v>
      </c>
      <c r="C191" s="39">
        <f t="shared" si="93"/>
        <v>144</v>
      </c>
      <c r="D191" s="39">
        <f t="shared" si="93"/>
        <v>126</v>
      </c>
      <c r="E191" s="39">
        <f t="shared" si="93"/>
        <v>92</v>
      </c>
      <c r="F191" s="39">
        <f t="shared" si="93"/>
        <v>189</v>
      </c>
      <c r="G191" s="50">
        <f t="shared" si="93"/>
        <v>931</v>
      </c>
      <c r="H191" s="44">
        <f t="shared" si="93"/>
        <v>1</v>
      </c>
      <c r="I191" s="39">
        <f t="shared" si="93"/>
        <v>0</v>
      </c>
      <c r="J191" s="39">
        <f t="shared" si="93"/>
        <v>0</v>
      </c>
      <c r="K191" s="45">
        <f t="shared" si="93"/>
        <v>0</v>
      </c>
      <c r="L191" s="144">
        <f t="shared" si="93"/>
        <v>0</v>
      </c>
      <c r="M191" s="50">
        <f t="shared" si="93"/>
        <v>1</v>
      </c>
      <c r="N191" s="40">
        <f t="shared" si="80"/>
        <v>932</v>
      </c>
      <c r="O191" s="43">
        <f t="shared" si="81"/>
        <v>1768</v>
      </c>
    </row>
    <row r="192" spans="1:15" ht="22.95" customHeight="1" x14ac:dyDescent="0.3">
      <c r="A192" s="52" t="s">
        <v>258</v>
      </c>
      <c r="B192" s="44">
        <f t="shared" ref="B192:M192" si="94">B86+B87+B88+B89</f>
        <v>412</v>
      </c>
      <c r="C192" s="39">
        <f t="shared" si="94"/>
        <v>169</v>
      </c>
      <c r="D192" s="39">
        <f t="shared" si="94"/>
        <v>132</v>
      </c>
      <c r="E192" s="39">
        <f t="shared" si="94"/>
        <v>92</v>
      </c>
      <c r="F192" s="39">
        <f t="shared" si="94"/>
        <v>194</v>
      </c>
      <c r="G192" s="50">
        <f t="shared" si="94"/>
        <v>999</v>
      </c>
      <c r="H192" s="44">
        <f t="shared" si="94"/>
        <v>2</v>
      </c>
      <c r="I192" s="39">
        <f t="shared" si="94"/>
        <v>0</v>
      </c>
      <c r="J192" s="39">
        <f t="shared" si="94"/>
        <v>0</v>
      </c>
      <c r="K192" s="45">
        <f t="shared" si="94"/>
        <v>0</v>
      </c>
      <c r="L192" s="144">
        <f t="shared" si="94"/>
        <v>0</v>
      </c>
      <c r="M192" s="50">
        <f t="shared" si="94"/>
        <v>2</v>
      </c>
      <c r="N192" s="40">
        <f t="shared" si="80"/>
        <v>1001</v>
      </c>
      <c r="O192" s="43">
        <f t="shared" si="81"/>
        <v>1844.5</v>
      </c>
    </row>
    <row r="193" spans="1:15" ht="22.95" customHeight="1" x14ac:dyDescent="0.3">
      <c r="A193" s="52" t="s">
        <v>259</v>
      </c>
      <c r="B193" s="44">
        <f t="shared" ref="B193:M193" si="95">B87+B88+B89+B90</f>
        <v>463</v>
      </c>
      <c r="C193" s="39">
        <f t="shared" si="95"/>
        <v>207</v>
      </c>
      <c r="D193" s="39">
        <f t="shared" si="95"/>
        <v>137</v>
      </c>
      <c r="E193" s="39">
        <f t="shared" si="95"/>
        <v>87</v>
      </c>
      <c r="F193" s="39">
        <f t="shared" si="95"/>
        <v>198</v>
      </c>
      <c r="G193" s="50">
        <f t="shared" si="95"/>
        <v>1092</v>
      </c>
      <c r="H193" s="44">
        <f t="shared" si="95"/>
        <v>3</v>
      </c>
      <c r="I193" s="39">
        <f t="shared" si="95"/>
        <v>0</v>
      </c>
      <c r="J193" s="39">
        <f t="shared" si="95"/>
        <v>0</v>
      </c>
      <c r="K193" s="45">
        <f t="shared" si="95"/>
        <v>0</v>
      </c>
      <c r="L193" s="144">
        <f t="shared" si="95"/>
        <v>0</v>
      </c>
      <c r="M193" s="50">
        <f t="shared" si="95"/>
        <v>3</v>
      </c>
      <c r="N193" s="40">
        <f t="shared" si="80"/>
        <v>1095</v>
      </c>
      <c r="O193" s="43">
        <f t="shared" si="81"/>
        <v>1925.5</v>
      </c>
    </row>
    <row r="194" spans="1:15" ht="22.95" customHeight="1" x14ac:dyDescent="0.3">
      <c r="A194" s="52" t="s">
        <v>260</v>
      </c>
      <c r="B194" s="44">
        <f t="shared" ref="B194:M194" si="96">B88+B89+B90+B91</f>
        <v>504</v>
      </c>
      <c r="C194" s="39">
        <f t="shared" si="96"/>
        <v>238</v>
      </c>
      <c r="D194" s="39">
        <f t="shared" si="96"/>
        <v>136</v>
      </c>
      <c r="E194" s="39">
        <f t="shared" si="96"/>
        <v>81</v>
      </c>
      <c r="F194" s="39">
        <f t="shared" si="96"/>
        <v>190</v>
      </c>
      <c r="G194" s="50">
        <f t="shared" si="96"/>
        <v>1149</v>
      </c>
      <c r="H194" s="44">
        <f t="shared" si="96"/>
        <v>3</v>
      </c>
      <c r="I194" s="39">
        <f t="shared" si="96"/>
        <v>0</v>
      </c>
      <c r="J194" s="39">
        <f t="shared" si="96"/>
        <v>0</v>
      </c>
      <c r="K194" s="45">
        <f t="shared" si="96"/>
        <v>0</v>
      </c>
      <c r="L194" s="144">
        <f t="shared" si="96"/>
        <v>0</v>
      </c>
      <c r="M194" s="50">
        <f t="shared" si="96"/>
        <v>3</v>
      </c>
      <c r="N194" s="40">
        <f t="shared" si="80"/>
        <v>1152</v>
      </c>
      <c r="O194" s="43">
        <f t="shared" si="81"/>
        <v>1926.5</v>
      </c>
    </row>
    <row r="195" spans="1:15" ht="22.95" customHeight="1" x14ac:dyDescent="0.3">
      <c r="A195" s="52" t="s">
        <v>261</v>
      </c>
      <c r="B195" s="44">
        <f t="shared" ref="B195:M195" si="97">B89+B90+B91+B92</f>
        <v>526</v>
      </c>
      <c r="C195" s="39">
        <f t="shared" si="97"/>
        <v>282</v>
      </c>
      <c r="D195" s="39">
        <f t="shared" si="97"/>
        <v>132</v>
      </c>
      <c r="E195" s="39">
        <f t="shared" si="97"/>
        <v>85</v>
      </c>
      <c r="F195" s="39">
        <f t="shared" si="97"/>
        <v>190</v>
      </c>
      <c r="G195" s="50">
        <f t="shared" si="97"/>
        <v>1215</v>
      </c>
      <c r="H195" s="44">
        <f t="shared" si="97"/>
        <v>3</v>
      </c>
      <c r="I195" s="39">
        <f t="shared" si="97"/>
        <v>0</v>
      </c>
      <c r="J195" s="39">
        <f t="shared" si="97"/>
        <v>0</v>
      </c>
      <c r="K195" s="45">
        <f t="shared" si="97"/>
        <v>0</v>
      </c>
      <c r="L195" s="144">
        <f t="shared" si="97"/>
        <v>1</v>
      </c>
      <c r="M195" s="50">
        <f t="shared" si="97"/>
        <v>4</v>
      </c>
      <c r="N195" s="40">
        <f t="shared" si="80"/>
        <v>1219</v>
      </c>
      <c r="O195" s="43">
        <f t="shared" si="81"/>
        <v>1984.5</v>
      </c>
    </row>
    <row r="196" spans="1:15" ht="22.95" customHeight="1" x14ac:dyDescent="0.3">
      <c r="A196" s="52" t="s">
        <v>270</v>
      </c>
      <c r="B196" s="44">
        <f t="shared" ref="B196:M196" si="98">B90+B91+B92+B93</f>
        <v>542</v>
      </c>
      <c r="C196" s="39">
        <f t="shared" si="98"/>
        <v>350</v>
      </c>
      <c r="D196" s="39">
        <f t="shared" si="98"/>
        <v>140</v>
      </c>
      <c r="E196" s="39">
        <f t="shared" si="98"/>
        <v>78</v>
      </c>
      <c r="F196" s="39">
        <f t="shared" si="98"/>
        <v>211</v>
      </c>
      <c r="G196" s="50">
        <f t="shared" si="98"/>
        <v>1321</v>
      </c>
      <c r="H196" s="44">
        <f t="shared" si="98"/>
        <v>3</v>
      </c>
      <c r="I196" s="39">
        <f t="shared" si="98"/>
        <v>0</v>
      </c>
      <c r="J196" s="39">
        <f t="shared" si="98"/>
        <v>0</v>
      </c>
      <c r="K196" s="45">
        <f t="shared" si="98"/>
        <v>0</v>
      </c>
      <c r="L196" s="144">
        <f t="shared" si="98"/>
        <v>1</v>
      </c>
      <c r="M196" s="50">
        <f t="shared" si="98"/>
        <v>4</v>
      </c>
      <c r="N196" s="40">
        <f t="shared" si="80"/>
        <v>1325</v>
      </c>
      <c r="O196" s="43">
        <f t="shared" si="81"/>
        <v>2120</v>
      </c>
    </row>
    <row r="197" spans="1:15" ht="22.95" customHeight="1" x14ac:dyDescent="0.3">
      <c r="A197" s="52" t="s">
        <v>271</v>
      </c>
      <c r="B197" s="44">
        <f t="shared" ref="B197:M197" si="99">B91+B92+B93+B94</f>
        <v>689</v>
      </c>
      <c r="C197" s="39">
        <f t="shared" si="99"/>
        <v>480</v>
      </c>
      <c r="D197" s="39">
        <f t="shared" si="99"/>
        <v>136</v>
      </c>
      <c r="E197" s="39">
        <f t="shared" si="99"/>
        <v>92</v>
      </c>
      <c r="F197" s="39">
        <f t="shared" si="99"/>
        <v>234</v>
      </c>
      <c r="G197" s="50">
        <f t="shared" si="99"/>
        <v>1631</v>
      </c>
      <c r="H197" s="44">
        <f t="shared" si="99"/>
        <v>5</v>
      </c>
      <c r="I197" s="39">
        <f t="shared" si="99"/>
        <v>0</v>
      </c>
      <c r="J197" s="39">
        <f t="shared" si="99"/>
        <v>0</v>
      </c>
      <c r="K197" s="45">
        <f t="shared" si="99"/>
        <v>0</v>
      </c>
      <c r="L197" s="144">
        <f t="shared" si="99"/>
        <v>3</v>
      </c>
      <c r="M197" s="50">
        <f t="shared" si="99"/>
        <v>8</v>
      </c>
      <c r="N197" s="40">
        <f t="shared" si="80"/>
        <v>1639</v>
      </c>
      <c r="O197" s="43">
        <f t="shared" si="81"/>
        <v>2488.5</v>
      </c>
    </row>
    <row r="198" spans="1:15" ht="22.95" customHeight="1" x14ac:dyDescent="0.3">
      <c r="A198" s="52" t="s">
        <v>279</v>
      </c>
      <c r="B198" s="44">
        <f t="shared" ref="B198:M198" si="100">B92+B93+B94+B95</f>
        <v>925</v>
      </c>
      <c r="C198" s="39">
        <f t="shared" si="100"/>
        <v>665</v>
      </c>
      <c r="D198" s="39">
        <f t="shared" si="100"/>
        <v>145</v>
      </c>
      <c r="E198" s="39">
        <f t="shared" si="100"/>
        <v>96</v>
      </c>
      <c r="F198" s="39">
        <f t="shared" si="100"/>
        <v>267</v>
      </c>
      <c r="G198" s="50">
        <f t="shared" si="100"/>
        <v>2098</v>
      </c>
      <c r="H198" s="44">
        <f t="shared" si="100"/>
        <v>5</v>
      </c>
      <c r="I198" s="39">
        <f t="shared" si="100"/>
        <v>0</v>
      </c>
      <c r="J198" s="39">
        <f t="shared" si="100"/>
        <v>0</v>
      </c>
      <c r="K198" s="45">
        <f t="shared" si="100"/>
        <v>0</v>
      </c>
      <c r="L198" s="144">
        <f t="shared" si="100"/>
        <v>7</v>
      </c>
      <c r="M198" s="50">
        <f t="shared" si="100"/>
        <v>12</v>
      </c>
      <c r="N198" s="40">
        <f t="shared" si="80"/>
        <v>2110</v>
      </c>
      <c r="O198" s="43">
        <f t="shared" si="81"/>
        <v>3023</v>
      </c>
    </row>
    <row r="199" spans="1:15" ht="22.95" customHeight="1" x14ac:dyDescent="0.3">
      <c r="A199" s="52" t="s">
        <v>62</v>
      </c>
      <c r="B199" s="44">
        <f t="shared" ref="B199:M199" si="101">B93+B94+B95+B96</f>
        <v>1131</v>
      </c>
      <c r="C199" s="39">
        <f t="shared" si="101"/>
        <v>918</v>
      </c>
      <c r="D199" s="39">
        <f t="shared" si="101"/>
        <v>156</v>
      </c>
      <c r="E199" s="39">
        <f t="shared" si="101"/>
        <v>104</v>
      </c>
      <c r="F199" s="39">
        <f t="shared" si="101"/>
        <v>287</v>
      </c>
      <c r="G199" s="50">
        <f t="shared" si="101"/>
        <v>2596</v>
      </c>
      <c r="H199" s="44">
        <f t="shared" si="101"/>
        <v>5</v>
      </c>
      <c r="I199" s="39">
        <f t="shared" si="101"/>
        <v>0</v>
      </c>
      <c r="J199" s="39">
        <f t="shared" si="101"/>
        <v>0</v>
      </c>
      <c r="K199" s="45">
        <f t="shared" si="101"/>
        <v>0</v>
      </c>
      <c r="L199" s="144">
        <f t="shared" si="101"/>
        <v>9</v>
      </c>
      <c r="M199" s="50">
        <f t="shared" si="101"/>
        <v>14</v>
      </c>
      <c r="N199" s="40">
        <f t="shared" si="80"/>
        <v>2610</v>
      </c>
      <c r="O199" s="43">
        <f t="shared" si="81"/>
        <v>3502</v>
      </c>
    </row>
    <row r="200" spans="1:15" ht="22.95" customHeight="1" x14ac:dyDescent="0.3">
      <c r="A200" s="52" t="s">
        <v>63</v>
      </c>
      <c r="B200" s="44">
        <f t="shared" ref="B200:M200" si="102">B94+B95+B96+B97</f>
        <v>1424</v>
      </c>
      <c r="C200" s="39">
        <f t="shared" si="102"/>
        <v>1212</v>
      </c>
      <c r="D200" s="39">
        <f t="shared" si="102"/>
        <v>145</v>
      </c>
      <c r="E200" s="39">
        <f t="shared" si="102"/>
        <v>118</v>
      </c>
      <c r="F200" s="39">
        <f t="shared" si="102"/>
        <v>282</v>
      </c>
      <c r="G200" s="50">
        <f t="shared" si="102"/>
        <v>3181</v>
      </c>
      <c r="H200" s="44">
        <f t="shared" si="102"/>
        <v>7</v>
      </c>
      <c r="I200" s="39">
        <f t="shared" si="102"/>
        <v>0</v>
      </c>
      <c r="J200" s="39">
        <f t="shared" si="102"/>
        <v>0</v>
      </c>
      <c r="K200" s="45">
        <f t="shared" si="102"/>
        <v>0</v>
      </c>
      <c r="L200" s="144">
        <f t="shared" si="102"/>
        <v>13</v>
      </c>
      <c r="M200" s="50">
        <f t="shared" si="102"/>
        <v>20</v>
      </c>
      <c r="N200" s="40">
        <f t="shared" si="80"/>
        <v>3201</v>
      </c>
      <c r="O200" s="43">
        <f t="shared" si="81"/>
        <v>3978</v>
      </c>
    </row>
    <row r="201" spans="1:15" ht="22.95" customHeight="1" x14ac:dyDescent="0.3">
      <c r="A201" s="52" t="s">
        <v>64</v>
      </c>
      <c r="B201" s="44">
        <f t="shared" ref="B201:M201" si="103">B95+B96+B97+B98</f>
        <v>1722</v>
      </c>
      <c r="C201" s="39">
        <f t="shared" si="103"/>
        <v>1536</v>
      </c>
      <c r="D201" s="39">
        <f t="shared" si="103"/>
        <v>147</v>
      </c>
      <c r="E201" s="39">
        <f t="shared" si="103"/>
        <v>118</v>
      </c>
      <c r="F201" s="39">
        <f t="shared" si="103"/>
        <v>281</v>
      </c>
      <c r="G201" s="50">
        <f t="shared" si="103"/>
        <v>3804</v>
      </c>
      <c r="H201" s="44">
        <f t="shared" si="103"/>
        <v>9</v>
      </c>
      <c r="I201" s="39">
        <f t="shared" si="103"/>
        <v>0</v>
      </c>
      <c r="J201" s="39">
        <f t="shared" si="103"/>
        <v>0</v>
      </c>
      <c r="K201" s="45">
        <f t="shared" si="103"/>
        <v>0</v>
      </c>
      <c r="L201" s="144">
        <f t="shared" si="103"/>
        <v>17</v>
      </c>
      <c r="M201" s="50">
        <f t="shared" si="103"/>
        <v>26</v>
      </c>
      <c r="N201" s="40">
        <f t="shared" si="80"/>
        <v>3830</v>
      </c>
      <c r="O201" s="43">
        <f t="shared" si="81"/>
        <v>4469.5</v>
      </c>
    </row>
    <row r="202" spans="1:15" ht="22.95" customHeight="1" x14ac:dyDescent="0.3">
      <c r="A202" s="52" t="s">
        <v>65</v>
      </c>
      <c r="B202" s="44">
        <f t="shared" ref="B202:M202" si="104">B96+B97+B98+B99</f>
        <v>1980</v>
      </c>
      <c r="C202" s="39">
        <f t="shared" si="104"/>
        <v>1863</v>
      </c>
      <c r="D202" s="39">
        <f t="shared" si="104"/>
        <v>153</v>
      </c>
      <c r="E202" s="39">
        <f t="shared" si="104"/>
        <v>131</v>
      </c>
      <c r="F202" s="39">
        <f t="shared" si="104"/>
        <v>266</v>
      </c>
      <c r="G202" s="50">
        <f t="shared" si="104"/>
        <v>4393</v>
      </c>
      <c r="H202" s="44">
        <f t="shared" si="104"/>
        <v>10</v>
      </c>
      <c r="I202" s="39">
        <f t="shared" si="104"/>
        <v>0</v>
      </c>
      <c r="J202" s="39">
        <f t="shared" si="104"/>
        <v>0</v>
      </c>
      <c r="K202" s="45">
        <f t="shared" si="104"/>
        <v>0</v>
      </c>
      <c r="L202" s="144">
        <f t="shared" si="104"/>
        <v>19</v>
      </c>
      <c r="M202" s="50">
        <f t="shared" si="104"/>
        <v>29</v>
      </c>
      <c r="N202" s="40">
        <f t="shared" si="80"/>
        <v>4422</v>
      </c>
      <c r="O202" s="43">
        <f t="shared" si="81"/>
        <v>4888</v>
      </c>
    </row>
    <row r="203" spans="1:15" ht="22.95" customHeight="1" x14ac:dyDescent="0.3">
      <c r="A203" s="52" t="s">
        <v>66</v>
      </c>
      <c r="B203" s="44">
        <f t="shared" ref="B203:M203" si="105">B97+B98+B99+B100</f>
        <v>2325</v>
      </c>
      <c r="C203" s="39">
        <f t="shared" si="105"/>
        <v>2169</v>
      </c>
      <c r="D203" s="39">
        <f t="shared" si="105"/>
        <v>163</v>
      </c>
      <c r="E203" s="39">
        <f t="shared" si="105"/>
        <v>152</v>
      </c>
      <c r="F203" s="39">
        <f t="shared" si="105"/>
        <v>261</v>
      </c>
      <c r="G203" s="50">
        <f t="shared" si="105"/>
        <v>5070</v>
      </c>
      <c r="H203" s="44">
        <f t="shared" si="105"/>
        <v>14</v>
      </c>
      <c r="I203" s="39">
        <f t="shared" si="105"/>
        <v>0</v>
      </c>
      <c r="J203" s="39">
        <f t="shared" si="105"/>
        <v>0</v>
      </c>
      <c r="K203" s="45">
        <f t="shared" si="105"/>
        <v>0</v>
      </c>
      <c r="L203" s="144">
        <f t="shared" si="105"/>
        <v>30</v>
      </c>
      <c r="M203" s="50">
        <f t="shared" si="105"/>
        <v>44</v>
      </c>
      <c r="N203" s="40">
        <f t="shared" si="80"/>
        <v>5114</v>
      </c>
      <c r="O203" s="43">
        <f t="shared" si="81"/>
        <v>5531.5</v>
      </c>
    </row>
    <row r="204" spans="1:15" ht="22.95" customHeight="1" x14ac:dyDescent="0.3">
      <c r="A204" s="52" t="s">
        <v>67</v>
      </c>
      <c r="B204" s="44">
        <f t="shared" ref="B204:M204" si="106">B98+B99+B100+B101</f>
        <v>2741</v>
      </c>
      <c r="C204" s="39">
        <f t="shared" si="106"/>
        <v>2479</v>
      </c>
      <c r="D204" s="39">
        <f t="shared" si="106"/>
        <v>185</v>
      </c>
      <c r="E204" s="39">
        <f t="shared" si="106"/>
        <v>175</v>
      </c>
      <c r="F204" s="39">
        <f t="shared" si="106"/>
        <v>276</v>
      </c>
      <c r="G204" s="50">
        <f t="shared" si="106"/>
        <v>5856</v>
      </c>
      <c r="H204" s="44">
        <f t="shared" si="106"/>
        <v>17</v>
      </c>
      <c r="I204" s="39">
        <f t="shared" si="106"/>
        <v>0</v>
      </c>
      <c r="J204" s="39">
        <f t="shared" si="106"/>
        <v>0</v>
      </c>
      <c r="K204" s="45">
        <f t="shared" si="106"/>
        <v>0</v>
      </c>
      <c r="L204" s="144">
        <f t="shared" si="106"/>
        <v>36</v>
      </c>
      <c r="M204" s="50">
        <f t="shared" si="106"/>
        <v>53</v>
      </c>
      <c r="N204" s="40">
        <f t="shared" si="80"/>
        <v>5909</v>
      </c>
      <c r="O204" s="43">
        <f t="shared" si="81"/>
        <v>6321.5</v>
      </c>
    </row>
    <row r="205" spans="1:15" ht="22.95" customHeight="1" x14ac:dyDescent="0.3">
      <c r="A205" s="52" t="s">
        <v>68</v>
      </c>
      <c r="B205" s="44">
        <f t="shared" ref="B205:M205" si="107">B99+B100+B101+B102</f>
        <v>3016</v>
      </c>
      <c r="C205" s="39">
        <f t="shared" si="107"/>
        <v>2801</v>
      </c>
      <c r="D205" s="39">
        <f t="shared" si="107"/>
        <v>187</v>
      </c>
      <c r="E205" s="39">
        <f t="shared" si="107"/>
        <v>197</v>
      </c>
      <c r="F205" s="39">
        <f t="shared" si="107"/>
        <v>280</v>
      </c>
      <c r="G205" s="50">
        <f t="shared" si="107"/>
        <v>6481</v>
      </c>
      <c r="H205" s="44">
        <f t="shared" si="107"/>
        <v>20</v>
      </c>
      <c r="I205" s="39">
        <f t="shared" si="107"/>
        <v>0</v>
      </c>
      <c r="J205" s="39">
        <f t="shared" si="107"/>
        <v>0</v>
      </c>
      <c r="K205" s="45">
        <f t="shared" si="107"/>
        <v>0</v>
      </c>
      <c r="L205" s="144">
        <f t="shared" si="107"/>
        <v>48</v>
      </c>
      <c r="M205" s="50">
        <f t="shared" si="107"/>
        <v>68</v>
      </c>
      <c r="N205" s="40">
        <f t="shared" si="80"/>
        <v>6549</v>
      </c>
      <c r="O205" s="43">
        <f t="shared" si="81"/>
        <v>6942</v>
      </c>
    </row>
    <row r="206" spans="1:15" ht="22.95" customHeight="1" thickBot="1" x14ac:dyDescent="0.35">
      <c r="A206" s="52" t="s">
        <v>69</v>
      </c>
      <c r="B206" s="46">
        <f t="shared" ref="B206:M206" si="108">B100+B101+B102+B103</f>
        <v>3344</v>
      </c>
      <c r="C206" s="47">
        <f t="shared" si="108"/>
        <v>3155</v>
      </c>
      <c r="D206" s="47">
        <f t="shared" si="108"/>
        <v>204</v>
      </c>
      <c r="E206" s="47">
        <f t="shared" si="108"/>
        <v>204</v>
      </c>
      <c r="F206" s="47">
        <f t="shared" si="108"/>
        <v>281</v>
      </c>
      <c r="G206" s="50">
        <f t="shared" si="108"/>
        <v>7188</v>
      </c>
      <c r="H206" s="44">
        <f t="shared" si="108"/>
        <v>27</v>
      </c>
      <c r="I206" s="39">
        <f t="shared" si="108"/>
        <v>0</v>
      </c>
      <c r="J206" s="39">
        <f t="shared" si="108"/>
        <v>0</v>
      </c>
      <c r="K206" s="45">
        <f t="shared" si="108"/>
        <v>0</v>
      </c>
      <c r="L206" s="145">
        <f t="shared" si="108"/>
        <v>54</v>
      </c>
      <c r="M206" s="50">
        <f t="shared" si="108"/>
        <v>81</v>
      </c>
      <c r="N206" s="40">
        <f t="shared" si="80"/>
        <v>7269</v>
      </c>
      <c r="O206" s="43">
        <f t="shared" si="81"/>
        <v>7549.5</v>
      </c>
    </row>
  </sheetData>
  <mergeCells count="31">
    <mergeCell ref="G112:G113"/>
    <mergeCell ref="G6:G7"/>
    <mergeCell ref="F112:F113"/>
    <mergeCell ref="O112:O113"/>
    <mergeCell ref="J6:J7"/>
    <mergeCell ref="K6:K7"/>
    <mergeCell ref="M6:M7"/>
    <mergeCell ref="N6:N7"/>
    <mergeCell ref="O6:O7"/>
    <mergeCell ref="J112:J113"/>
    <mergeCell ref="K112:K113"/>
    <mergeCell ref="L6:L7"/>
    <mergeCell ref="L112:L113"/>
    <mergeCell ref="M112:M113"/>
    <mergeCell ref="N112:N113"/>
    <mergeCell ref="A1:I1"/>
    <mergeCell ref="H6:H7"/>
    <mergeCell ref="I6:I7"/>
    <mergeCell ref="A6:A7"/>
    <mergeCell ref="A112:A113"/>
    <mergeCell ref="C6:C7"/>
    <mergeCell ref="C112:C113"/>
    <mergeCell ref="D6:D7"/>
    <mergeCell ref="E6:E7"/>
    <mergeCell ref="B112:B113"/>
    <mergeCell ref="H112:H113"/>
    <mergeCell ref="I112:I113"/>
    <mergeCell ref="B6:B7"/>
    <mergeCell ref="F6:F7"/>
    <mergeCell ref="D112:D113"/>
    <mergeCell ref="E112:E113"/>
  </mergeCells>
  <pageMargins left="0.7" right="0.7" top="0.75" bottom="0.75" header="0.3" footer="0.3"/>
  <pageSetup paperSize="9" scale="28" orientation="portrait" r:id="rId1"/>
  <rowBreaks count="1" manualBreakCount="1">
    <brk id="106" max="16383" man="1"/>
  </row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206"/>
  <sheetViews>
    <sheetView view="pageBreakPreview" zoomScale="60" zoomScaleNormal="70" workbookViewId="0">
      <selection activeCell="A114" sqref="A114:A206"/>
    </sheetView>
  </sheetViews>
  <sheetFormatPr defaultColWidth="9" defaultRowHeight="15.6" x14ac:dyDescent="0.3"/>
  <cols>
    <col min="1" max="1" width="21.59765625" customWidth="1"/>
    <col min="2" max="7" width="11.69921875" customWidth="1"/>
    <col min="8" max="8" width="14.59765625" bestFit="1" customWidth="1"/>
    <col min="9" max="15" width="11.69921875" customWidth="1"/>
  </cols>
  <sheetData>
    <row r="1" spans="1:15" x14ac:dyDescent="0.3">
      <c r="A1" s="247" t="s">
        <v>99</v>
      </c>
      <c r="B1" s="247"/>
      <c r="C1" s="247"/>
      <c r="D1" s="247"/>
      <c r="E1" s="247"/>
      <c r="F1" s="247"/>
      <c r="G1" s="247"/>
      <c r="H1" s="247"/>
      <c r="I1" s="247"/>
      <c r="J1" s="247"/>
    </row>
    <row r="2" spans="1:15" s="4" customFormat="1" x14ac:dyDescent="0.3">
      <c r="A2" s="4" t="s">
        <v>103</v>
      </c>
      <c r="B2" s="4" t="str">
        <f>Summary!B2</f>
        <v>TMC-14 Number (D2)</v>
      </c>
      <c r="H2" s="181">
        <f>+Summary!I1</f>
        <v>46245</v>
      </c>
    </row>
    <row r="3" spans="1:15" s="4" customFormat="1" x14ac:dyDescent="0.3">
      <c r="A3" s="4" t="s">
        <v>102</v>
      </c>
      <c r="B3" s="4" t="str">
        <f>Summary!B3</f>
        <v>D2</v>
      </c>
      <c r="H3" s="181" t="str">
        <f>+Summary!I2</f>
        <v>Tuesday</v>
      </c>
    </row>
    <row r="4" spans="1:15" s="4" customFormat="1" x14ac:dyDescent="0.3">
      <c r="A4" s="4" t="s">
        <v>104</v>
      </c>
      <c r="B4" s="4" t="str">
        <f>+Summary!A6</f>
        <v>Nindar</v>
      </c>
    </row>
    <row r="5" spans="1:15" ht="16.2" thickBot="1" x14ac:dyDescent="0.35"/>
    <row r="6" spans="1:15" ht="25.2" customHeight="1" x14ac:dyDescent="0.3">
      <c r="A6" s="252" t="s">
        <v>95</v>
      </c>
      <c r="B6" s="258" t="s">
        <v>280</v>
      </c>
      <c r="C6" s="254" t="s">
        <v>281</v>
      </c>
      <c r="D6" s="250" t="s">
        <v>282</v>
      </c>
      <c r="E6" s="260" t="s">
        <v>283</v>
      </c>
      <c r="F6" s="256" t="s">
        <v>284</v>
      </c>
      <c r="G6" s="250" t="s">
        <v>129</v>
      </c>
      <c r="H6" s="248" t="s">
        <v>150</v>
      </c>
      <c r="I6" s="250" t="s">
        <v>151</v>
      </c>
      <c r="J6" s="250" t="s">
        <v>285</v>
      </c>
      <c r="K6" s="248" t="s">
        <v>286</v>
      </c>
      <c r="L6" s="250" t="s">
        <v>287</v>
      </c>
      <c r="M6" s="250" t="s">
        <v>78</v>
      </c>
      <c r="N6" s="250" t="s">
        <v>131</v>
      </c>
      <c r="O6" s="250" t="s">
        <v>132</v>
      </c>
    </row>
    <row r="7" spans="1:15" ht="43.5" customHeight="1" thickBot="1" x14ac:dyDescent="0.35">
      <c r="A7" s="253"/>
      <c r="B7" s="259"/>
      <c r="C7" s="255"/>
      <c r="D7" s="251"/>
      <c r="E7" s="261"/>
      <c r="F7" s="257"/>
      <c r="G7" s="259"/>
      <c r="H7" s="249"/>
      <c r="I7" s="251"/>
      <c r="J7" s="251"/>
      <c r="K7" s="249"/>
      <c r="L7" s="251"/>
      <c r="M7" s="251"/>
      <c r="N7" s="251"/>
      <c r="O7" s="251"/>
    </row>
    <row r="8" spans="1:15" ht="22.5" customHeight="1" x14ac:dyDescent="0.3">
      <c r="A8" s="148" t="s">
        <v>177</v>
      </c>
      <c r="B8" s="112">
        <f>V_6!B8+V_8!B8+V_10!B8</f>
        <v>204</v>
      </c>
      <c r="C8" s="113">
        <f>V_6!C8+V_8!C8+V_10!C8</f>
        <v>105</v>
      </c>
      <c r="D8" s="113">
        <f>V_6!D8+V_8!D8+V_10!D8</f>
        <v>7</v>
      </c>
      <c r="E8" s="113">
        <f>V_6!E8+V_8!E8+V_10!E8</f>
        <v>11</v>
      </c>
      <c r="F8" s="151">
        <f>V_6!F8+V_8!F8+V_10!F8</f>
        <v>3</v>
      </c>
      <c r="G8" s="79">
        <f t="shared" ref="G8:G39" si="0">SUM(B8:F8)</f>
        <v>330</v>
      </c>
      <c r="H8" s="112">
        <f>V_6!H8+V_8!H8+V_10!H8</f>
        <v>0</v>
      </c>
      <c r="I8" s="113">
        <f>V_6!I8+V_8!I8+V_10!I8</f>
        <v>0</v>
      </c>
      <c r="J8" s="113">
        <f>V_6!J8+V_8!J8+V_10!J8</f>
        <v>0</v>
      </c>
      <c r="K8" s="114">
        <f>V_6!K8+V_8!K8+V_10!K8</f>
        <v>0</v>
      </c>
      <c r="L8" s="139">
        <f>V_6!L8+V_8!L8+V_10!L8</f>
        <v>1</v>
      </c>
      <c r="M8" s="148">
        <f>SUM(H8:L8)</f>
        <v>1</v>
      </c>
      <c r="N8" s="43">
        <f>G8+M8</f>
        <v>331</v>
      </c>
      <c r="O8" s="115">
        <f>B8*1+C8*0.5+D8*1.5+E8*3+F8*4.5+H8*0.5+I8*1.5+J8*3+K8*4+L8*8</f>
        <v>321.5</v>
      </c>
    </row>
    <row r="9" spans="1:15" ht="22.5" customHeight="1" x14ac:dyDescent="0.3">
      <c r="A9" s="149" t="s">
        <v>178</v>
      </c>
      <c r="B9" s="44">
        <f>V_6!B9+V_8!B9+V_10!B9</f>
        <v>201</v>
      </c>
      <c r="C9" s="39">
        <f>V_6!C9+V_8!C9+V_10!C9</f>
        <v>102</v>
      </c>
      <c r="D9" s="39">
        <f>V_6!D9+V_8!D9+V_10!D9</f>
        <v>12</v>
      </c>
      <c r="E9" s="39">
        <f>V_6!E9+V_8!E9+V_10!E9</f>
        <v>6</v>
      </c>
      <c r="F9" s="152">
        <f>V_6!F9+V_8!F9+V_10!F9</f>
        <v>10</v>
      </c>
      <c r="G9" s="154">
        <f t="shared" si="0"/>
        <v>331</v>
      </c>
      <c r="H9" s="44">
        <f>V_6!H9+V_8!H9+V_10!H9</f>
        <v>1</v>
      </c>
      <c r="I9" s="39">
        <f>V_6!I9+V_8!I9+V_10!I9</f>
        <v>0</v>
      </c>
      <c r="J9" s="39">
        <f>V_6!J9+V_8!J9+V_10!J9</f>
        <v>0</v>
      </c>
      <c r="K9" s="45">
        <f>V_6!K9+V_8!K9+V_10!K9</f>
        <v>0</v>
      </c>
      <c r="L9" s="140">
        <f>V_6!L9+V_8!L9+V_10!L9</f>
        <v>5</v>
      </c>
      <c r="M9" s="149">
        <f t="shared" ref="M9:M72" si="1">SUM(H9:L9)</f>
        <v>6</v>
      </c>
      <c r="N9" s="100">
        <f t="shared" ref="N9:N72" si="2">G9+M9</f>
        <v>337</v>
      </c>
      <c r="O9" s="43">
        <f t="shared" ref="O9:O72" si="3">B9*1+C9*0.5+D9*1.5+E9*3+F9*4.5+H9*0.5+I9*1.5+J9*3+K9*4+L9*8</f>
        <v>373.5</v>
      </c>
    </row>
    <row r="10" spans="1:15" ht="22.5" customHeight="1" x14ac:dyDescent="0.3">
      <c r="A10" s="149" t="s">
        <v>179</v>
      </c>
      <c r="B10" s="44">
        <f>V_6!B10+V_8!B10+V_10!B10</f>
        <v>269</v>
      </c>
      <c r="C10" s="39">
        <f>V_6!C10+V_8!C10+V_10!C10</f>
        <v>143</v>
      </c>
      <c r="D10" s="39">
        <f>V_6!D10+V_8!D10+V_10!D10</f>
        <v>13</v>
      </c>
      <c r="E10" s="39">
        <f>V_6!E10+V_8!E10+V_10!E10</f>
        <v>3</v>
      </c>
      <c r="F10" s="152">
        <f>V_6!F10+V_8!F10+V_10!F10</f>
        <v>6</v>
      </c>
      <c r="G10" s="154">
        <f t="shared" si="0"/>
        <v>434</v>
      </c>
      <c r="H10" s="44">
        <f>V_6!H10+V_8!H10+V_10!H10</f>
        <v>0</v>
      </c>
      <c r="I10" s="39">
        <f>V_6!I10+V_8!I10+V_10!I10</f>
        <v>0</v>
      </c>
      <c r="J10" s="39">
        <f>V_6!J10+V_8!J10+V_10!J10</f>
        <v>0</v>
      </c>
      <c r="K10" s="45">
        <f>V_6!K10+V_8!K10+V_10!K10</f>
        <v>0</v>
      </c>
      <c r="L10" s="140">
        <f>V_6!L10+V_8!L10+V_10!L10</f>
        <v>4</v>
      </c>
      <c r="M10" s="149">
        <f t="shared" si="1"/>
        <v>4</v>
      </c>
      <c r="N10" s="100">
        <f t="shared" si="2"/>
        <v>438</v>
      </c>
      <c r="O10" s="43">
        <f t="shared" si="3"/>
        <v>428</v>
      </c>
    </row>
    <row r="11" spans="1:15" ht="22.5" customHeight="1" x14ac:dyDescent="0.3">
      <c r="A11" s="149" t="s">
        <v>180</v>
      </c>
      <c r="B11" s="44">
        <f>V_6!B11+V_8!B11+V_10!B11</f>
        <v>316</v>
      </c>
      <c r="C11" s="39">
        <f>V_6!C11+V_8!C11+V_10!C11</f>
        <v>172</v>
      </c>
      <c r="D11" s="39">
        <f>V_6!D11+V_8!D11+V_10!D11</f>
        <v>14</v>
      </c>
      <c r="E11" s="39">
        <f>V_6!E11+V_8!E11+V_10!E11</f>
        <v>2</v>
      </c>
      <c r="F11" s="152">
        <f>V_6!F11+V_8!F11+V_10!F11</f>
        <v>4</v>
      </c>
      <c r="G11" s="154">
        <f t="shared" si="0"/>
        <v>508</v>
      </c>
      <c r="H11" s="44">
        <f>V_6!H11+V_8!H11+V_10!H11</f>
        <v>0</v>
      </c>
      <c r="I11" s="39">
        <f>V_6!I11+V_8!I11+V_10!I11</f>
        <v>0</v>
      </c>
      <c r="J11" s="39">
        <f>V_6!J11+V_8!J11+V_10!J11</f>
        <v>0</v>
      </c>
      <c r="K11" s="45">
        <f>V_6!K11+V_8!K11+V_10!K11</f>
        <v>0</v>
      </c>
      <c r="L11" s="140">
        <f>V_6!L11+V_8!L11+V_10!L11</f>
        <v>4</v>
      </c>
      <c r="M11" s="149">
        <f t="shared" si="1"/>
        <v>4</v>
      </c>
      <c r="N11" s="100">
        <f t="shared" si="2"/>
        <v>512</v>
      </c>
      <c r="O11" s="43">
        <f t="shared" si="3"/>
        <v>479</v>
      </c>
    </row>
    <row r="12" spans="1:15" ht="22.5" customHeight="1" x14ac:dyDescent="0.3">
      <c r="A12" s="149" t="s">
        <v>181</v>
      </c>
      <c r="B12" s="44">
        <f>V_6!B12+V_8!B12+V_10!B12</f>
        <v>297</v>
      </c>
      <c r="C12" s="39">
        <f>V_6!C12+V_8!C12+V_10!C12</f>
        <v>148</v>
      </c>
      <c r="D12" s="39">
        <f>V_6!D12+V_8!D12+V_10!D12</f>
        <v>13</v>
      </c>
      <c r="E12" s="39">
        <f>V_6!E12+V_8!E12+V_10!E12</f>
        <v>3</v>
      </c>
      <c r="F12" s="152">
        <f>V_6!F12+V_8!F12+V_10!F12</f>
        <v>8</v>
      </c>
      <c r="G12" s="154">
        <f t="shared" si="0"/>
        <v>469</v>
      </c>
      <c r="H12" s="44">
        <f>V_6!H12+V_8!H12+V_10!H12</f>
        <v>0</v>
      </c>
      <c r="I12" s="39">
        <f>V_6!I12+V_8!I12+V_10!I12</f>
        <v>0</v>
      </c>
      <c r="J12" s="39">
        <f>V_6!J12+V_8!J12+V_10!J12</f>
        <v>0</v>
      </c>
      <c r="K12" s="45">
        <f>V_6!K12+V_8!K12+V_10!K12</f>
        <v>0</v>
      </c>
      <c r="L12" s="140">
        <f>V_6!L12+V_8!L12+V_10!L12</f>
        <v>5</v>
      </c>
      <c r="M12" s="149">
        <f t="shared" si="1"/>
        <v>5</v>
      </c>
      <c r="N12" s="100">
        <f t="shared" si="2"/>
        <v>474</v>
      </c>
      <c r="O12" s="43">
        <f t="shared" si="3"/>
        <v>475.5</v>
      </c>
    </row>
    <row r="13" spans="1:15" ht="22.5" customHeight="1" x14ac:dyDescent="0.3">
      <c r="A13" s="149" t="s">
        <v>182</v>
      </c>
      <c r="B13" s="44">
        <f>V_6!B13+V_8!B13+V_10!B13</f>
        <v>310</v>
      </c>
      <c r="C13" s="39">
        <f>V_6!C13+V_8!C13+V_10!C13</f>
        <v>115</v>
      </c>
      <c r="D13" s="39">
        <f>V_6!D13+V_8!D13+V_10!D13</f>
        <v>12</v>
      </c>
      <c r="E13" s="39">
        <f>V_6!E13+V_8!E13+V_10!E13</f>
        <v>0</v>
      </c>
      <c r="F13" s="152">
        <f>V_6!F13+V_8!F13+V_10!F13</f>
        <v>8</v>
      </c>
      <c r="G13" s="154">
        <f t="shared" si="0"/>
        <v>445</v>
      </c>
      <c r="H13" s="44">
        <f>V_6!H13+V_8!H13+V_10!H13</f>
        <v>0</v>
      </c>
      <c r="I13" s="39">
        <f>V_6!I13+V_8!I13+V_10!I13</f>
        <v>0</v>
      </c>
      <c r="J13" s="39">
        <f>V_6!J13+V_8!J13+V_10!J13</f>
        <v>0</v>
      </c>
      <c r="K13" s="45">
        <f>V_6!K13+V_8!K13+V_10!K13</f>
        <v>0</v>
      </c>
      <c r="L13" s="140">
        <f>V_6!L13+V_8!L13+V_10!L13</f>
        <v>1</v>
      </c>
      <c r="M13" s="149">
        <f t="shared" si="1"/>
        <v>1</v>
      </c>
      <c r="N13" s="100">
        <f t="shared" si="2"/>
        <v>446</v>
      </c>
      <c r="O13" s="43">
        <f t="shared" si="3"/>
        <v>429.5</v>
      </c>
    </row>
    <row r="14" spans="1:15" ht="22.5" customHeight="1" x14ac:dyDescent="0.3">
      <c r="A14" s="149" t="s">
        <v>183</v>
      </c>
      <c r="B14" s="44">
        <f>V_6!B14+V_8!B14+V_10!B14</f>
        <v>285</v>
      </c>
      <c r="C14" s="39">
        <f>V_6!C14+V_8!C14+V_10!C14</f>
        <v>96</v>
      </c>
      <c r="D14" s="39">
        <f>V_6!D14+V_8!D14+V_10!D14</f>
        <v>11</v>
      </c>
      <c r="E14" s="39">
        <f>V_6!E14+V_8!E14+V_10!E14</f>
        <v>3</v>
      </c>
      <c r="F14" s="152">
        <f>V_6!F14+V_8!F14+V_10!F14</f>
        <v>10</v>
      </c>
      <c r="G14" s="154">
        <f t="shared" si="0"/>
        <v>405</v>
      </c>
      <c r="H14" s="44">
        <f>V_6!H14+V_8!H14+V_10!H14</f>
        <v>0</v>
      </c>
      <c r="I14" s="39">
        <f>V_6!I14+V_8!I14+V_10!I14</f>
        <v>0</v>
      </c>
      <c r="J14" s="39">
        <f>V_6!J14+V_8!J14+V_10!J14</f>
        <v>0</v>
      </c>
      <c r="K14" s="45">
        <f>V_6!K14+V_8!K14+V_10!K14</f>
        <v>0</v>
      </c>
      <c r="L14" s="140">
        <f>V_6!L14+V_8!L14+V_10!L14</f>
        <v>2</v>
      </c>
      <c r="M14" s="149">
        <f t="shared" si="1"/>
        <v>2</v>
      </c>
      <c r="N14" s="100">
        <f t="shared" si="2"/>
        <v>407</v>
      </c>
      <c r="O14" s="43">
        <f t="shared" si="3"/>
        <v>419.5</v>
      </c>
    </row>
    <row r="15" spans="1:15" ht="22.5" customHeight="1" x14ac:dyDescent="0.3">
      <c r="A15" s="149" t="s">
        <v>184</v>
      </c>
      <c r="B15" s="44">
        <f>V_6!B15+V_8!B15+V_10!B15</f>
        <v>264</v>
      </c>
      <c r="C15" s="39">
        <f>V_6!C15+V_8!C15+V_10!C15</f>
        <v>86</v>
      </c>
      <c r="D15" s="39">
        <f>V_6!D15+V_8!D15+V_10!D15</f>
        <v>9</v>
      </c>
      <c r="E15" s="39">
        <f>V_6!E15+V_8!E15+V_10!E15</f>
        <v>2</v>
      </c>
      <c r="F15" s="152">
        <f>V_6!F15+V_8!F15+V_10!F15</f>
        <v>11</v>
      </c>
      <c r="G15" s="154">
        <f t="shared" si="0"/>
        <v>372</v>
      </c>
      <c r="H15" s="44">
        <f>V_6!H15+V_8!H15+V_10!H15</f>
        <v>0</v>
      </c>
      <c r="I15" s="39">
        <f>V_6!I15+V_8!I15+V_10!I15</f>
        <v>0</v>
      </c>
      <c r="J15" s="39">
        <f>V_6!J15+V_8!J15+V_10!J15</f>
        <v>0</v>
      </c>
      <c r="K15" s="45">
        <f>V_6!K15+V_8!K15+V_10!K15</f>
        <v>0</v>
      </c>
      <c r="L15" s="140">
        <f>V_6!L15+V_8!L15+V_10!L15</f>
        <v>4</v>
      </c>
      <c r="M15" s="149">
        <f t="shared" si="1"/>
        <v>4</v>
      </c>
      <c r="N15" s="100">
        <f t="shared" si="2"/>
        <v>376</v>
      </c>
      <c r="O15" s="43">
        <f t="shared" si="3"/>
        <v>408</v>
      </c>
    </row>
    <row r="16" spans="1:15" ht="22.5" customHeight="1" x14ac:dyDescent="0.3">
      <c r="A16" s="149" t="s">
        <v>185</v>
      </c>
      <c r="B16" s="44">
        <f>V_6!B16+V_8!B16+V_10!B16</f>
        <v>291</v>
      </c>
      <c r="C16" s="39">
        <f>V_6!C16+V_8!C16+V_10!C16</f>
        <v>139</v>
      </c>
      <c r="D16" s="39">
        <f>V_6!D16+V_8!D16+V_10!D16</f>
        <v>10</v>
      </c>
      <c r="E16" s="39">
        <f>V_6!E16+V_8!E16+V_10!E16</f>
        <v>4</v>
      </c>
      <c r="F16" s="152">
        <f>V_6!F16+V_8!F16+V_10!F16</f>
        <v>14</v>
      </c>
      <c r="G16" s="154">
        <f t="shared" si="0"/>
        <v>458</v>
      </c>
      <c r="H16" s="44">
        <f>V_6!H16+V_8!H16+V_10!H16</f>
        <v>0</v>
      </c>
      <c r="I16" s="39">
        <f>V_6!I16+V_8!I16+V_10!I16</f>
        <v>0</v>
      </c>
      <c r="J16" s="39">
        <f>V_6!J16+V_8!J16+V_10!J16</f>
        <v>0</v>
      </c>
      <c r="K16" s="45">
        <f>V_6!K16+V_8!K16+V_10!K16</f>
        <v>0</v>
      </c>
      <c r="L16" s="140">
        <f>V_6!L16+V_8!L16+V_10!L16</f>
        <v>1</v>
      </c>
      <c r="M16" s="149">
        <f t="shared" si="1"/>
        <v>1</v>
      </c>
      <c r="N16" s="100">
        <f t="shared" si="2"/>
        <v>459</v>
      </c>
      <c r="O16" s="43">
        <f t="shared" si="3"/>
        <v>458.5</v>
      </c>
    </row>
    <row r="17" spans="1:15" ht="22.5" customHeight="1" x14ac:dyDescent="0.3">
      <c r="A17" s="149" t="s">
        <v>186</v>
      </c>
      <c r="B17" s="44">
        <f>V_6!B17+V_8!B17+V_10!B17</f>
        <v>285</v>
      </c>
      <c r="C17" s="39">
        <f>V_6!C17+V_8!C17+V_10!C17</f>
        <v>95</v>
      </c>
      <c r="D17" s="39">
        <f>V_6!D17+V_8!D17+V_10!D17</f>
        <v>11</v>
      </c>
      <c r="E17" s="39">
        <f>V_6!E17+V_8!E17+V_10!E17</f>
        <v>7</v>
      </c>
      <c r="F17" s="152">
        <f>V_6!F17+V_8!F17+V_10!F17</f>
        <v>12</v>
      </c>
      <c r="G17" s="154">
        <f t="shared" si="0"/>
        <v>410</v>
      </c>
      <c r="H17" s="44">
        <f>V_6!H17+V_8!H17+V_10!H17</f>
        <v>0</v>
      </c>
      <c r="I17" s="39">
        <f>V_6!I17+V_8!I17+V_10!I17</f>
        <v>0</v>
      </c>
      <c r="J17" s="39">
        <f>V_6!J17+V_8!J17+V_10!J17</f>
        <v>0</v>
      </c>
      <c r="K17" s="45">
        <f>V_6!K17+V_8!K17+V_10!K17</f>
        <v>0</v>
      </c>
      <c r="L17" s="140">
        <f>V_6!L17+V_8!L17+V_10!L17</f>
        <v>1</v>
      </c>
      <c r="M17" s="149">
        <f t="shared" si="1"/>
        <v>1</v>
      </c>
      <c r="N17" s="100">
        <f t="shared" si="2"/>
        <v>411</v>
      </c>
      <c r="O17" s="43">
        <f t="shared" si="3"/>
        <v>432</v>
      </c>
    </row>
    <row r="18" spans="1:15" ht="22.5" customHeight="1" x14ac:dyDescent="0.3">
      <c r="A18" s="149" t="s">
        <v>187</v>
      </c>
      <c r="B18" s="44">
        <f>V_6!B18+V_8!B18+V_10!B18</f>
        <v>278</v>
      </c>
      <c r="C18" s="39">
        <f>V_6!C18+V_8!C18+V_10!C18</f>
        <v>75</v>
      </c>
      <c r="D18" s="39">
        <f>V_6!D18+V_8!D18+V_10!D18</f>
        <v>5</v>
      </c>
      <c r="E18" s="39">
        <f>V_6!E18+V_8!E18+V_10!E18</f>
        <v>6</v>
      </c>
      <c r="F18" s="152">
        <f>V_6!F18+V_8!F18+V_10!F18</f>
        <v>8</v>
      </c>
      <c r="G18" s="154">
        <f t="shared" si="0"/>
        <v>372</v>
      </c>
      <c r="H18" s="44">
        <f>V_6!H18+V_8!H18+V_10!H18</f>
        <v>0</v>
      </c>
      <c r="I18" s="39">
        <f>V_6!I18+V_8!I18+V_10!I18</f>
        <v>0</v>
      </c>
      <c r="J18" s="39">
        <f>V_6!J18+V_8!J18+V_10!J18</f>
        <v>0</v>
      </c>
      <c r="K18" s="45">
        <f>V_6!K18+V_8!K18+V_10!K18</f>
        <v>0</v>
      </c>
      <c r="L18" s="140">
        <f>V_6!L18+V_8!L18+V_10!L18</f>
        <v>3</v>
      </c>
      <c r="M18" s="149">
        <f t="shared" si="1"/>
        <v>3</v>
      </c>
      <c r="N18" s="100">
        <f t="shared" si="2"/>
        <v>375</v>
      </c>
      <c r="O18" s="43">
        <f t="shared" si="3"/>
        <v>401</v>
      </c>
    </row>
    <row r="19" spans="1:15" ht="22.5" customHeight="1" x14ac:dyDescent="0.3">
      <c r="A19" s="149" t="s">
        <v>188</v>
      </c>
      <c r="B19" s="44">
        <f>V_6!B19+V_8!B19+V_10!B19</f>
        <v>296</v>
      </c>
      <c r="C19" s="39">
        <f>V_6!C19+V_8!C19+V_10!C19</f>
        <v>86</v>
      </c>
      <c r="D19" s="39">
        <f>V_6!D19+V_8!D19+V_10!D19</f>
        <v>10</v>
      </c>
      <c r="E19" s="39">
        <f>V_6!E19+V_8!E19+V_10!E19</f>
        <v>1</v>
      </c>
      <c r="F19" s="152">
        <f>V_6!F19+V_8!F19+V_10!F19</f>
        <v>11</v>
      </c>
      <c r="G19" s="154">
        <f t="shared" si="0"/>
        <v>404</v>
      </c>
      <c r="H19" s="44">
        <f>V_6!H19+V_8!H19+V_10!H19</f>
        <v>0</v>
      </c>
      <c r="I19" s="39">
        <f>V_6!I19+V_8!I19+V_10!I19</f>
        <v>0</v>
      </c>
      <c r="J19" s="39">
        <f>V_6!J19+V_8!J19+V_10!J19</f>
        <v>0</v>
      </c>
      <c r="K19" s="45">
        <f>V_6!K19+V_8!K19+V_10!K19</f>
        <v>0</v>
      </c>
      <c r="L19" s="140">
        <f>V_6!L19+V_8!L19+V_10!L19</f>
        <v>1</v>
      </c>
      <c r="M19" s="149">
        <f t="shared" si="1"/>
        <v>1</v>
      </c>
      <c r="N19" s="100">
        <f t="shared" si="2"/>
        <v>405</v>
      </c>
      <c r="O19" s="43">
        <f t="shared" si="3"/>
        <v>414.5</v>
      </c>
    </row>
    <row r="20" spans="1:15" ht="22.5" customHeight="1" x14ac:dyDescent="0.3">
      <c r="A20" s="149" t="s">
        <v>189</v>
      </c>
      <c r="B20" s="44">
        <f>V_6!B20+V_8!B20+V_10!B20</f>
        <v>254</v>
      </c>
      <c r="C20" s="39">
        <f>V_6!C20+V_8!C20+V_10!C20</f>
        <v>94</v>
      </c>
      <c r="D20" s="39">
        <f>V_6!D20+V_8!D20+V_10!D20</f>
        <v>11</v>
      </c>
      <c r="E20" s="39">
        <f>V_6!E20+V_8!E20+V_10!E20</f>
        <v>8</v>
      </c>
      <c r="F20" s="152">
        <f>V_6!F20+V_8!F20+V_10!F20</f>
        <v>10</v>
      </c>
      <c r="G20" s="154">
        <f t="shared" si="0"/>
        <v>377</v>
      </c>
      <c r="H20" s="44">
        <f>V_6!H20+V_8!H20+V_10!H20</f>
        <v>0</v>
      </c>
      <c r="I20" s="39">
        <f>V_6!I20+V_8!I20+V_10!I20</f>
        <v>0</v>
      </c>
      <c r="J20" s="39">
        <f>V_6!J20+V_8!J20+V_10!J20</f>
        <v>0</v>
      </c>
      <c r="K20" s="45">
        <f>V_6!K20+V_8!K20+V_10!K20</f>
        <v>0</v>
      </c>
      <c r="L20" s="140">
        <f>V_6!L20+V_8!L20+V_10!L20</f>
        <v>1</v>
      </c>
      <c r="M20" s="149">
        <f t="shared" si="1"/>
        <v>1</v>
      </c>
      <c r="N20" s="100">
        <f t="shared" si="2"/>
        <v>378</v>
      </c>
      <c r="O20" s="43">
        <f t="shared" si="3"/>
        <v>394.5</v>
      </c>
    </row>
    <row r="21" spans="1:15" ht="22.5" customHeight="1" x14ac:dyDescent="0.3">
      <c r="A21" s="149" t="s">
        <v>190</v>
      </c>
      <c r="B21" s="44">
        <f>V_6!B21+V_8!B21+V_10!B21</f>
        <v>325</v>
      </c>
      <c r="C21" s="39">
        <f>V_6!C21+V_8!C21+V_10!C21</f>
        <v>125</v>
      </c>
      <c r="D21" s="39">
        <f>V_6!D21+V_8!D21+V_10!D21</f>
        <v>12</v>
      </c>
      <c r="E21" s="39">
        <f>V_6!E21+V_8!E21+V_10!E21</f>
        <v>6</v>
      </c>
      <c r="F21" s="152">
        <f>V_6!F21+V_8!F21+V_10!F21</f>
        <v>20</v>
      </c>
      <c r="G21" s="154">
        <f t="shared" si="0"/>
        <v>488</v>
      </c>
      <c r="H21" s="44">
        <f>V_6!H21+V_8!H21+V_10!H21</f>
        <v>0</v>
      </c>
      <c r="I21" s="39">
        <f>V_6!I21+V_8!I21+V_10!I21</f>
        <v>0</v>
      </c>
      <c r="J21" s="39">
        <f>V_6!J21+V_8!J21+V_10!J21</f>
        <v>0</v>
      </c>
      <c r="K21" s="45">
        <f>V_6!K21+V_8!K21+V_10!K21</f>
        <v>0</v>
      </c>
      <c r="L21" s="140">
        <f>V_6!L21+V_8!L21+V_10!L21</f>
        <v>1</v>
      </c>
      <c r="M21" s="149">
        <f t="shared" si="1"/>
        <v>1</v>
      </c>
      <c r="N21" s="100">
        <f t="shared" si="2"/>
        <v>489</v>
      </c>
      <c r="O21" s="43">
        <f t="shared" si="3"/>
        <v>521.5</v>
      </c>
    </row>
    <row r="22" spans="1:15" ht="22.5" customHeight="1" x14ac:dyDescent="0.3">
      <c r="A22" s="149" t="s">
        <v>191</v>
      </c>
      <c r="B22" s="44">
        <f>V_6!B22+V_8!B22+V_10!B22</f>
        <v>289</v>
      </c>
      <c r="C22" s="39">
        <f>V_6!C22+V_8!C22+V_10!C22</f>
        <v>79</v>
      </c>
      <c r="D22" s="39">
        <f>V_6!D22+V_8!D22+V_10!D22</f>
        <v>15</v>
      </c>
      <c r="E22" s="39">
        <f>V_6!E22+V_8!E22+V_10!E22</f>
        <v>1</v>
      </c>
      <c r="F22" s="152">
        <f>V_6!F22+V_8!F22+V_10!F22</f>
        <v>11</v>
      </c>
      <c r="G22" s="154">
        <f t="shared" si="0"/>
        <v>395</v>
      </c>
      <c r="H22" s="44">
        <f>V_6!H22+V_8!H22+V_10!H22</f>
        <v>0</v>
      </c>
      <c r="I22" s="39">
        <f>V_6!I22+V_8!I22+V_10!I22</f>
        <v>0</v>
      </c>
      <c r="J22" s="39">
        <f>V_6!J22+V_8!J22+V_10!J22</f>
        <v>0</v>
      </c>
      <c r="K22" s="45">
        <f>V_6!K22+V_8!K22+V_10!K22</f>
        <v>0</v>
      </c>
      <c r="L22" s="140">
        <f>V_6!L22+V_8!L22+V_10!L22</f>
        <v>0</v>
      </c>
      <c r="M22" s="149">
        <f t="shared" si="1"/>
        <v>0</v>
      </c>
      <c r="N22" s="100">
        <f t="shared" si="2"/>
        <v>395</v>
      </c>
      <c r="O22" s="43">
        <f t="shared" si="3"/>
        <v>403.5</v>
      </c>
    </row>
    <row r="23" spans="1:15" ht="22.5" customHeight="1" x14ac:dyDescent="0.3">
      <c r="A23" s="149" t="s">
        <v>192</v>
      </c>
      <c r="B23" s="44">
        <f>V_6!B23+V_8!B23+V_10!B23</f>
        <v>251</v>
      </c>
      <c r="C23" s="39">
        <f>V_6!C23+V_8!C23+V_10!C23</f>
        <v>96</v>
      </c>
      <c r="D23" s="39">
        <f>V_6!D23+V_8!D23+V_10!D23</f>
        <v>13</v>
      </c>
      <c r="E23" s="39">
        <f>V_6!E23+V_8!E23+V_10!E23</f>
        <v>3</v>
      </c>
      <c r="F23" s="152">
        <f>V_6!F23+V_8!F23+V_10!F23</f>
        <v>13</v>
      </c>
      <c r="G23" s="154">
        <f t="shared" si="0"/>
        <v>376</v>
      </c>
      <c r="H23" s="44">
        <f>V_6!H23+V_8!H23+V_10!H23</f>
        <v>0</v>
      </c>
      <c r="I23" s="39">
        <f>V_6!I23+V_8!I23+V_10!I23</f>
        <v>0</v>
      </c>
      <c r="J23" s="39">
        <f>V_6!J23+V_8!J23+V_10!J23</f>
        <v>0</v>
      </c>
      <c r="K23" s="45">
        <f>V_6!K23+V_8!K23+V_10!K23</f>
        <v>0</v>
      </c>
      <c r="L23" s="140">
        <f>V_6!L23+V_8!L23+V_10!L23</f>
        <v>2</v>
      </c>
      <c r="M23" s="149">
        <f t="shared" si="1"/>
        <v>2</v>
      </c>
      <c r="N23" s="100">
        <f t="shared" si="2"/>
        <v>378</v>
      </c>
      <c r="O23" s="43">
        <f t="shared" si="3"/>
        <v>402</v>
      </c>
    </row>
    <row r="24" spans="1:15" ht="22.5" customHeight="1" x14ac:dyDescent="0.3">
      <c r="A24" s="149" t="s">
        <v>193</v>
      </c>
      <c r="B24" s="44">
        <f>V_6!B24+V_8!B24+V_10!B24</f>
        <v>264</v>
      </c>
      <c r="C24" s="39">
        <f>V_6!C24+V_8!C24+V_10!C24</f>
        <v>119</v>
      </c>
      <c r="D24" s="39">
        <f>V_6!D24+V_8!D24+V_10!D24</f>
        <v>15</v>
      </c>
      <c r="E24" s="39">
        <f>V_6!E24+V_8!E24+V_10!E24</f>
        <v>14</v>
      </c>
      <c r="F24" s="152">
        <f>V_6!F24+V_8!F24+V_10!F24</f>
        <v>11</v>
      </c>
      <c r="G24" s="154">
        <f t="shared" si="0"/>
        <v>423</v>
      </c>
      <c r="H24" s="44">
        <f>V_6!H24+V_8!H24+V_10!H24</f>
        <v>0</v>
      </c>
      <c r="I24" s="39">
        <f>V_6!I24+V_8!I24+V_10!I24</f>
        <v>0</v>
      </c>
      <c r="J24" s="39">
        <f>V_6!J24+V_8!J24+V_10!J24</f>
        <v>0</v>
      </c>
      <c r="K24" s="45">
        <f>V_6!K24+V_8!K24+V_10!K24</f>
        <v>0</v>
      </c>
      <c r="L24" s="140">
        <f>V_6!L24+V_8!L24+V_10!L24</f>
        <v>0</v>
      </c>
      <c r="M24" s="149">
        <f t="shared" si="1"/>
        <v>0</v>
      </c>
      <c r="N24" s="100">
        <f t="shared" si="2"/>
        <v>423</v>
      </c>
      <c r="O24" s="43">
        <f t="shared" si="3"/>
        <v>437.5</v>
      </c>
    </row>
    <row r="25" spans="1:15" ht="22.5" customHeight="1" x14ac:dyDescent="0.3">
      <c r="A25" s="149" t="s">
        <v>194</v>
      </c>
      <c r="B25" s="44">
        <f>V_6!B25+V_8!B25+V_10!B25</f>
        <v>286</v>
      </c>
      <c r="C25" s="39">
        <f>V_6!C25+V_8!C25+V_10!C25</f>
        <v>122</v>
      </c>
      <c r="D25" s="39">
        <f>V_6!D25+V_8!D25+V_10!D25</f>
        <v>14</v>
      </c>
      <c r="E25" s="39">
        <f>V_6!E25+V_8!E25+V_10!E25</f>
        <v>10</v>
      </c>
      <c r="F25" s="152">
        <f>V_6!F25+V_8!F25+V_10!F25</f>
        <v>4</v>
      </c>
      <c r="G25" s="154">
        <f t="shared" si="0"/>
        <v>436</v>
      </c>
      <c r="H25" s="44">
        <f>V_6!H25+V_8!H25+V_10!H25</f>
        <v>0</v>
      </c>
      <c r="I25" s="39">
        <f>V_6!I25+V_8!I25+V_10!I25</f>
        <v>0</v>
      </c>
      <c r="J25" s="39">
        <f>V_6!J25+V_8!J25+V_10!J25</f>
        <v>0</v>
      </c>
      <c r="K25" s="45">
        <f>V_6!K25+V_8!K25+V_10!K25</f>
        <v>0</v>
      </c>
      <c r="L25" s="140">
        <f>V_6!L25+V_8!L25+V_10!L25</f>
        <v>2</v>
      </c>
      <c r="M25" s="149">
        <f t="shared" si="1"/>
        <v>2</v>
      </c>
      <c r="N25" s="100">
        <f t="shared" si="2"/>
        <v>438</v>
      </c>
      <c r="O25" s="43">
        <f t="shared" si="3"/>
        <v>432</v>
      </c>
    </row>
    <row r="26" spans="1:15" ht="22.5" customHeight="1" x14ac:dyDescent="0.3">
      <c r="A26" s="149" t="s">
        <v>195</v>
      </c>
      <c r="B26" s="44">
        <f>V_6!B26+V_8!B26+V_10!B26</f>
        <v>268</v>
      </c>
      <c r="C26" s="39">
        <f>V_6!C26+V_8!C26+V_10!C26</f>
        <v>157</v>
      </c>
      <c r="D26" s="39">
        <f>V_6!D26+V_8!D26+V_10!D26</f>
        <v>19</v>
      </c>
      <c r="E26" s="39">
        <f>V_6!E26+V_8!E26+V_10!E26</f>
        <v>11</v>
      </c>
      <c r="F26" s="152">
        <f>V_6!F26+V_8!F26+V_10!F26</f>
        <v>12</v>
      </c>
      <c r="G26" s="154">
        <f t="shared" si="0"/>
        <v>467</v>
      </c>
      <c r="H26" s="44">
        <f>V_6!H26+V_8!H26+V_10!H26</f>
        <v>0</v>
      </c>
      <c r="I26" s="39">
        <f>V_6!I26+V_8!I26+V_10!I26</f>
        <v>0</v>
      </c>
      <c r="J26" s="39">
        <f>V_6!J26+V_8!J26+V_10!J26</f>
        <v>0</v>
      </c>
      <c r="K26" s="45">
        <f>V_6!K26+V_8!K26+V_10!K26</f>
        <v>0</v>
      </c>
      <c r="L26" s="140">
        <f>V_6!L26+V_8!L26+V_10!L26</f>
        <v>2</v>
      </c>
      <c r="M26" s="149">
        <f t="shared" si="1"/>
        <v>2</v>
      </c>
      <c r="N26" s="100">
        <f t="shared" si="2"/>
        <v>469</v>
      </c>
      <c r="O26" s="43">
        <f t="shared" si="3"/>
        <v>478</v>
      </c>
    </row>
    <row r="27" spans="1:15" ht="22.5" customHeight="1" x14ac:dyDescent="0.3">
      <c r="A27" s="149" t="s">
        <v>196</v>
      </c>
      <c r="B27" s="44">
        <f>V_6!B27+V_8!B27+V_10!B27</f>
        <v>246</v>
      </c>
      <c r="C27" s="39">
        <f>V_6!C27+V_8!C27+V_10!C27</f>
        <v>122</v>
      </c>
      <c r="D27" s="39">
        <f>V_6!D27+V_8!D27+V_10!D27</f>
        <v>25</v>
      </c>
      <c r="E27" s="39">
        <f>V_6!E27+V_8!E27+V_10!E27</f>
        <v>13</v>
      </c>
      <c r="F27" s="152">
        <f>V_6!F27+V_8!F27+V_10!F27</f>
        <v>5</v>
      </c>
      <c r="G27" s="154">
        <f t="shared" si="0"/>
        <v>411</v>
      </c>
      <c r="H27" s="44">
        <f>V_6!H27+V_8!H27+V_10!H27</f>
        <v>0</v>
      </c>
      <c r="I27" s="39">
        <f>V_6!I27+V_8!I27+V_10!I27</f>
        <v>0</v>
      </c>
      <c r="J27" s="39">
        <f>V_6!J27+V_8!J27+V_10!J27</f>
        <v>0</v>
      </c>
      <c r="K27" s="45">
        <f>V_6!K27+V_8!K27+V_10!K27</f>
        <v>0</v>
      </c>
      <c r="L27" s="140">
        <f>V_6!L27+V_8!L27+V_10!L27</f>
        <v>3</v>
      </c>
      <c r="M27" s="149">
        <f t="shared" si="1"/>
        <v>3</v>
      </c>
      <c r="N27" s="100">
        <f t="shared" si="2"/>
        <v>414</v>
      </c>
      <c r="O27" s="43">
        <f t="shared" si="3"/>
        <v>430</v>
      </c>
    </row>
    <row r="28" spans="1:15" ht="22.5" customHeight="1" x14ac:dyDescent="0.3">
      <c r="A28" s="149" t="s">
        <v>197</v>
      </c>
      <c r="B28" s="44">
        <f>V_6!B28+V_8!B28+V_10!B28</f>
        <v>283</v>
      </c>
      <c r="C28" s="39">
        <f>V_6!C28+V_8!C28+V_10!C28</f>
        <v>126</v>
      </c>
      <c r="D28" s="39">
        <f>V_6!D28+V_8!D28+V_10!D28</f>
        <v>20</v>
      </c>
      <c r="E28" s="39">
        <f>V_6!E28+V_8!E28+V_10!E28</f>
        <v>19</v>
      </c>
      <c r="F28" s="152">
        <f>V_6!F28+V_8!F28+V_10!F28</f>
        <v>13</v>
      </c>
      <c r="G28" s="154">
        <f t="shared" si="0"/>
        <v>461</v>
      </c>
      <c r="H28" s="44">
        <f>V_6!H28+V_8!H28+V_10!H28</f>
        <v>0</v>
      </c>
      <c r="I28" s="39">
        <f>V_6!I28+V_8!I28+V_10!I28</f>
        <v>0</v>
      </c>
      <c r="J28" s="39">
        <f>V_6!J28+V_8!J28+V_10!J28</f>
        <v>1</v>
      </c>
      <c r="K28" s="45">
        <f>V_6!K28+V_8!K28+V_10!K28</f>
        <v>0</v>
      </c>
      <c r="L28" s="140">
        <f>V_6!L28+V_8!L28+V_10!L28</f>
        <v>0</v>
      </c>
      <c r="M28" s="149">
        <f t="shared" si="1"/>
        <v>1</v>
      </c>
      <c r="N28" s="100">
        <f t="shared" si="2"/>
        <v>462</v>
      </c>
      <c r="O28" s="43">
        <f t="shared" si="3"/>
        <v>494.5</v>
      </c>
    </row>
    <row r="29" spans="1:15" ht="22.5" customHeight="1" x14ac:dyDescent="0.3">
      <c r="A29" s="149" t="s">
        <v>198</v>
      </c>
      <c r="B29" s="44">
        <f>V_6!B29+V_8!B29+V_10!B29</f>
        <v>294</v>
      </c>
      <c r="C29" s="39">
        <f>V_6!C29+V_8!C29+V_10!C29</f>
        <v>116</v>
      </c>
      <c r="D29" s="39">
        <f>V_6!D29+V_8!D29+V_10!D29</f>
        <v>23</v>
      </c>
      <c r="E29" s="39">
        <f>V_6!E29+V_8!E29+V_10!E29</f>
        <v>15</v>
      </c>
      <c r="F29" s="152">
        <f>V_6!F29+V_8!F29+V_10!F29</f>
        <v>3</v>
      </c>
      <c r="G29" s="154">
        <f t="shared" si="0"/>
        <v>451</v>
      </c>
      <c r="H29" s="44">
        <f>V_6!H29+V_8!H29+V_10!H29</f>
        <v>0</v>
      </c>
      <c r="I29" s="39">
        <f>V_6!I29+V_8!I29+V_10!I29</f>
        <v>0</v>
      </c>
      <c r="J29" s="39">
        <f>V_6!J29+V_8!J29+V_10!J29</f>
        <v>0</v>
      </c>
      <c r="K29" s="45">
        <f>V_6!K29+V_8!K29+V_10!K29</f>
        <v>0</v>
      </c>
      <c r="L29" s="140">
        <f>V_6!L29+V_8!L29+V_10!L29</f>
        <v>1</v>
      </c>
      <c r="M29" s="149">
        <f t="shared" si="1"/>
        <v>1</v>
      </c>
      <c r="N29" s="100">
        <f t="shared" si="2"/>
        <v>452</v>
      </c>
      <c r="O29" s="43">
        <f t="shared" si="3"/>
        <v>453</v>
      </c>
    </row>
    <row r="30" spans="1:15" ht="22.5" customHeight="1" x14ac:dyDescent="0.3">
      <c r="A30" s="149" t="s">
        <v>199</v>
      </c>
      <c r="B30" s="44">
        <f>V_6!B30+V_8!B30+V_10!B30</f>
        <v>280</v>
      </c>
      <c r="C30" s="39">
        <f>V_6!C30+V_8!C30+V_10!C30</f>
        <v>176</v>
      </c>
      <c r="D30" s="39">
        <f>V_6!D30+V_8!D30+V_10!D30</f>
        <v>30</v>
      </c>
      <c r="E30" s="39">
        <f>V_6!E30+V_8!E30+V_10!E30</f>
        <v>15</v>
      </c>
      <c r="F30" s="152">
        <f>V_6!F30+V_8!F30+V_10!F30</f>
        <v>9</v>
      </c>
      <c r="G30" s="154">
        <f t="shared" si="0"/>
        <v>510</v>
      </c>
      <c r="H30" s="44">
        <f>V_6!H30+V_8!H30+V_10!H30</f>
        <v>0</v>
      </c>
      <c r="I30" s="39">
        <f>V_6!I30+V_8!I30+V_10!I30</f>
        <v>0</v>
      </c>
      <c r="J30" s="39">
        <f>V_6!J30+V_8!J30+V_10!J30</f>
        <v>0</v>
      </c>
      <c r="K30" s="45">
        <f>V_6!K30+V_8!K30+V_10!K30</f>
        <v>0</v>
      </c>
      <c r="L30" s="140">
        <f>V_6!L30+V_8!L30+V_10!L30</f>
        <v>2</v>
      </c>
      <c r="M30" s="149">
        <f t="shared" si="1"/>
        <v>2</v>
      </c>
      <c r="N30" s="100">
        <f t="shared" si="2"/>
        <v>512</v>
      </c>
      <c r="O30" s="43">
        <f t="shared" si="3"/>
        <v>514.5</v>
      </c>
    </row>
    <row r="31" spans="1:15" ht="22.5" customHeight="1" x14ac:dyDescent="0.3">
      <c r="A31" s="149" t="s">
        <v>200</v>
      </c>
      <c r="B31" s="44">
        <f>V_6!B31+V_8!B31+V_10!B31</f>
        <v>311</v>
      </c>
      <c r="C31" s="39">
        <f>V_6!C31+V_8!C31+V_10!C31</f>
        <v>169</v>
      </c>
      <c r="D31" s="39">
        <f>V_6!D31+V_8!D31+V_10!D31</f>
        <v>27</v>
      </c>
      <c r="E31" s="39">
        <f>V_6!E31+V_8!E31+V_10!E31</f>
        <v>16</v>
      </c>
      <c r="F31" s="152">
        <f>V_6!F31+V_8!F31+V_10!F31</f>
        <v>8</v>
      </c>
      <c r="G31" s="154">
        <f t="shared" si="0"/>
        <v>531</v>
      </c>
      <c r="H31" s="44">
        <f>V_6!H31+V_8!H31+V_10!H31</f>
        <v>0</v>
      </c>
      <c r="I31" s="39">
        <f>V_6!I31+V_8!I31+V_10!I31</f>
        <v>0</v>
      </c>
      <c r="J31" s="39">
        <f>V_6!J31+V_8!J31+V_10!J31</f>
        <v>0</v>
      </c>
      <c r="K31" s="45">
        <f>V_6!K31+V_8!K31+V_10!K31</f>
        <v>0</v>
      </c>
      <c r="L31" s="140">
        <f>V_6!L31+V_8!L31+V_10!L31</f>
        <v>1</v>
      </c>
      <c r="M31" s="149">
        <f t="shared" si="1"/>
        <v>1</v>
      </c>
      <c r="N31" s="100">
        <f t="shared" si="2"/>
        <v>532</v>
      </c>
      <c r="O31" s="43">
        <f t="shared" si="3"/>
        <v>528</v>
      </c>
    </row>
    <row r="32" spans="1:15" ht="22.5" customHeight="1" x14ac:dyDescent="0.3">
      <c r="A32" s="149" t="s">
        <v>201</v>
      </c>
      <c r="B32" s="44">
        <f>V_6!B32+V_8!B32+V_10!B32</f>
        <v>249</v>
      </c>
      <c r="C32" s="39">
        <f>V_6!C32+V_8!C32+V_10!C32</f>
        <v>143</v>
      </c>
      <c r="D32" s="39">
        <f>V_6!D32+V_8!D32+V_10!D32</f>
        <v>18</v>
      </c>
      <c r="E32" s="39">
        <f>V_6!E32+V_8!E32+V_10!E32</f>
        <v>28</v>
      </c>
      <c r="F32" s="152">
        <f>V_6!F32+V_8!F32+V_10!F32</f>
        <v>14</v>
      </c>
      <c r="G32" s="154">
        <f t="shared" si="0"/>
        <v>452</v>
      </c>
      <c r="H32" s="44">
        <f>V_6!H32+V_8!H32+V_10!H32</f>
        <v>0</v>
      </c>
      <c r="I32" s="39">
        <f>V_6!I32+V_8!I32+V_10!I32</f>
        <v>0</v>
      </c>
      <c r="J32" s="39">
        <f>V_6!J32+V_8!J32+V_10!J32</f>
        <v>0</v>
      </c>
      <c r="K32" s="45">
        <f>V_6!K32+V_8!K32+V_10!K32</f>
        <v>0</v>
      </c>
      <c r="L32" s="140">
        <f>V_6!L32+V_8!L32+V_10!L32</f>
        <v>1</v>
      </c>
      <c r="M32" s="149">
        <f t="shared" si="1"/>
        <v>1</v>
      </c>
      <c r="N32" s="100">
        <f t="shared" si="2"/>
        <v>453</v>
      </c>
      <c r="O32" s="43">
        <f t="shared" si="3"/>
        <v>502.5</v>
      </c>
    </row>
    <row r="33" spans="1:15" ht="22.5" customHeight="1" x14ac:dyDescent="0.3">
      <c r="A33" s="149" t="s">
        <v>202</v>
      </c>
      <c r="B33" s="44">
        <f>V_6!B33+V_8!B33+V_10!B33</f>
        <v>240</v>
      </c>
      <c r="C33" s="39">
        <f>V_6!C33+V_8!C33+V_10!C33</f>
        <v>130</v>
      </c>
      <c r="D33" s="39">
        <f>V_6!D33+V_8!D33+V_10!D33</f>
        <v>17</v>
      </c>
      <c r="E33" s="39">
        <f>V_6!E33+V_8!E33+V_10!E33</f>
        <v>22</v>
      </c>
      <c r="F33" s="152">
        <f>V_6!F33+V_8!F33+V_10!F33</f>
        <v>16</v>
      </c>
      <c r="G33" s="154">
        <f t="shared" si="0"/>
        <v>425</v>
      </c>
      <c r="H33" s="44">
        <f>V_6!H33+V_8!H33+V_10!H33</f>
        <v>0</v>
      </c>
      <c r="I33" s="39">
        <f>V_6!I33+V_8!I33+V_10!I33</f>
        <v>0</v>
      </c>
      <c r="J33" s="39">
        <f>V_6!J33+V_8!J33+V_10!J33</f>
        <v>0</v>
      </c>
      <c r="K33" s="45">
        <f>V_6!K33+V_8!K33+V_10!K33</f>
        <v>0</v>
      </c>
      <c r="L33" s="140">
        <f>V_6!L33+V_8!L33+V_10!L33</f>
        <v>2</v>
      </c>
      <c r="M33" s="149">
        <f t="shared" si="1"/>
        <v>2</v>
      </c>
      <c r="N33" s="100">
        <f t="shared" si="2"/>
        <v>427</v>
      </c>
      <c r="O33" s="43">
        <f t="shared" si="3"/>
        <v>484.5</v>
      </c>
    </row>
    <row r="34" spans="1:15" ht="22.5" customHeight="1" x14ac:dyDescent="0.3">
      <c r="A34" s="149" t="s">
        <v>203</v>
      </c>
      <c r="B34" s="44">
        <f>V_6!B34+V_8!B34+V_10!B34</f>
        <v>274</v>
      </c>
      <c r="C34" s="39">
        <f>V_6!C34+V_8!C34+V_10!C34</f>
        <v>185</v>
      </c>
      <c r="D34" s="39">
        <f>V_6!D34+V_8!D34+V_10!D34</f>
        <v>22</v>
      </c>
      <c r="E34" s="39">
        <f>V_6!E34+V_8!E34+V_10!E34</f>
        <v>24</v>
      </c>
      <c r="F34" s="152">
        <f>V_6!F34+V_8!F34+V_10!F34</f>
        <v>9</v>
      </c>
      <c r="G34" s="154">
        <f t="shared" si="0"/>
        <v>514</v>
      </c>
      <c r="H34" s="44">
        <f>V_6!H34+V_8!H34+V_10!H34</f>
        <v>0</v>
      </c>
      <c r="I34" s="39">
        <f>V_6!I34+V_8!I34+V_10!I34</f>
        <v>0</v>
      </c>
      <c r="J34" s="39">
        <f>V_6!J34+V_8!J34+V_10!J34</f>
        <v>0</v>
      </c>
      <c r="K34" s="45">
        <f>V_6!K34+V_8!K34+V_10!K34</f>
        <v>0</v>
      </c>
      <c r="L34" s="140">
        <f>V_6!L34+V_8!L34+V_10!L34</f>
        <v>0</v>
      </c>
      <c r="M34" s="149">
        <f t="shared" si="1"/>
        <v>0</v>
      </c>
      <c r="N34" s="100">
        <f t="shared" si="2"/>
        <v>514</v>
      </c>
      <c r="O34" s="43">
        <f t="shared" si="3"/>
        <v>512</v>
      </c>
    </row>
    <row r="35" spans="1:15" ht="22.5" customHeight="1" x14ac:dyDescent="0.3">
      <c r="A35" s="149" t="s">
        <v>204</v>
      </c>
      <c r="B35" s="44">
        <f>V_6!B35+V_8!B35+V_10!B35</f>
        <v>273</v>
      </c>
      <c r="C35" s="39">
        <f>V_6!C35+V_8!C35+V_10!C35</f>
        <v>178</v>
      </c>
      <c r="D35" s="39">
        <f>V_6!D35+V_8!D35+V_10!D35</f>
        <v>24</v>
      </c>
      <c r="E35" s="39">
        <f>V_6!E35+V_8!E35+V_10!E35</f>
        <v>25</v>
      </c>
      <c r="F35" s="152">
        <f>V_6!F35+V_8!F35+V_10!F35</f>
        <v>12</v>
      </c>
      <c r="G35" s="154">
        <f t="shared" si="0"/>
        <v>512</v>
      </c>
      <c r="H35" s="44">
        <f>V_6!H35+V_8!H35+V_10!H35</f>
        <v>0</v>
      </c>
      <c r="I35" s="39">
        <f>V_6!I35+V_8!I35+V_10!I35</f>
        <v>0</v>
      </c>
      <c r="J35" s="39">
        <f>V_6!J35+V_8!J35+V_10!J35</f>
        <v>0</v>
      </c>
      <c r="K35" s="45">
        <f>V_6!K35+V_8!K35+V_10!K35</f>
        <v>0</v>
      </c>
      <c r="L35" s="140">
        <f>V_6!L35+V_8!L35+V_10!L35</f>
        <v>1</v>
      </c>
      <c r="M35" s="149">
        <f t="shared" si="1"/>
        <v>1</v>
      </c>
      <c r="N35" s="100">
        <f t="shared" si="2"/>
        <v>513</v>
      </c>
      <c r="O35" s="43">
        <f t="shared" si="3"/>
        <v>535</v>
      </c>
    </row>
    <row r="36" spans="1:15" ht="22.5" customHeight="1" x14ac:dyDescent="0.3">
      <c r="A36" s="149" t="s">
        <v>205</v>
      </c>
      <c r="B36" s="44">
        <f>V_6!B36+V_8!B36+V_10!B36</f>
        <v>275</v>
      </c>
      <c r="C36" s="39">
        <f>V_6!C36+V_8!C36+V_10!C36</f>
        <v>161</v>
      </c>
      <c r="D36" s="39">
        <f>V_6!D36+V_8!D36+V_10!D36</f>
        <v>33</v>
      </c>
      <c r="E36" s="39">
        <f>V_6!E36+V_8!E36+V_10!E36</f>
        <v>29</v>
      </c>
      <c r="F36" s="152">
        <f>V_6!F36+V_8!F36+V_10!F36</f>
        <v>11</v>
      </c>
      <c r="G36" s="154">
        <f t="shared" si="0"/>
        <v>509</v>
      </c>
      <c r="H36" s="44">
        <f>V_6!H36+V_8!H36+V_10!H36</f>
        <v>0</v>
      </c>
      <c r="I36" s="39">
        <f>V_6!I36+V_8!I36+V_10!I36</f>
        <v>0</v>
      </c>
      <c r="J36" s="39">
        <f>V_6!J36+V_8!J36+V_10!J36</f>
        <v>0</v>
      </c>
      <c r="K36" s="45">
        <f>V_6!K36+V_8!K36+V_10!K36</f>
        <v>0</v>
      </c>
      <c r="L36" s="140">
        <f>V_6!L36+V_8!L36+V_10!L36</f>
        <v>1</v>
      </c>
      <c r="M36" s="149">
        <f t="shared" si="1"/>
        <v>1</v>
      </c>
      <c r="N36" s="100">
        <f t="shared" si="2"/>
        <v>510</v>
      </c>
      <c r="O36" s="43">
        <f t="shared" si="3"/>
        <v>549.5</v>
      </c>
    </row>
    <row r="37" spans="1:15" ht="22.5" customHeight="1" x14ac:dyDescent="0.3">
      <c r="A37" s="149" t="s">
        <v>206</v>
      </c>
      <c r="B37" s="44">
        <f>V_6!B37+V_8!B37+V_10!B37</f>
        <v>277</v>
      </c>
      <c r="C37" s="39">
        <f>V_6!C37+V_8!C37+V_10!C37</f>
        <v>142</v>
      </c>
      <c r="D37" s="39">
        <f>V_6!D37+V_8!D37+V_10!D37</f>
        <v>27</v>
      </c>
      <c r="E37" s="39">
        <f>V_6!E37+V_8!E37+V_10!E37</f>
        <v>27</v>
      </c>
      <c r="F37" s="152">
        <f>V_6!F37+V_8!F37+V_10!F37</f>
        <v>12</v>
      </c>
      <c r="G37" s="154">
        <f t="shared" si="0"/>
        <v>485</v>
      </c>
      <c r="H37" s="44">
        <f>V_6!H37+V_8!H37+V_10!H37</f>
        <v>0</v>
      </c>
      <c r="I37" s="39">
        <f>V_6!I37+V_8!I37+V_10!I37</f>
        <v>0</v>
      </c>
      <c r="J37" s="39">
        <f>V_6!J37+V_8!J37+V_10!J37</f>
        <v>0</v>
      </c>
      <c r="K37" s="45">
        <f>V_6!K37+V_8!K37+V_10!K37</f>
        <v>0</v>
      </c>
      <c r="L37" s="140">
        <f>V_6!L37+V_8!L37+V_10!L37</f>
        <v>1</v>
      </c>
      <c r="M37" s="149">
        <f t="shared" si="1"/>
        <v>1</v>
      </c>
      <c r="N37" s="100">
        <f t="shared" si="2"/>
        <v>486</v>
      </c>
      <c r="O37" s="43">
        <f t="shared" si="3"/>
        <v>531.5</v>
      </c>
    </row>
    <row r="38" spans="1:15" ht="22.5" customHeight="1" x14ac:dyDescent="0.3">
      <c r="A38" s="149" t="s">
        <v>207</v>
      </c>
      <c r="B38" s="44">
        <f>V_6!B38+V_8!B38+V_10!B38</f>
        <v>269</v>
      </c>
      <c r="C38" s="39">
        <f>V_6!C38+V_8!C38+V_10!C38</f>
        <v>133</v>
      </c>
      <c r="D38" s="39">
        <f>V_6!D38+V_8!D38+V_10!D38</f>
        <v>20</v>
      </c>
      <c r="E38" s="39">
        <f>V_6!E38+V_8!E38+V_10!E38</f>
        <v>14</v>
      </c>
      <c r="F38" s="152">
        <f>V_6!F38+V_8!F38+V_10!F38</f>
        <v>13</v>
      </c>
      <c r="G38" s="154">
        <f t="shared" si="0"/>
        <v>449</v>
      </c>
      <c r="H38" s="44">
        <f>V_6!H38+V_8!H38+V_10!H38</f>
        <v>0</v>
      </c>
      <c r="I38" s="39">
        <f>V_6!I38+V_8!I38+V_10!I38</f>
        <v>0</v>
      </c>
      <c r="J38" s="39">
        <f>V_6!J38+V_8!J38+V_10!J38</f>
        <v>0</v>
      </c>
      <c r="K38" s="45">
        <f>V_6!K38+V_8!K38+V_10!K38</f>
        <v>0</v>
      </c>
      <c r="L38" s="140">
        <f>V_6!L38+V_8!L38+V_10!L38</f>
        <v>0</v>
      </c>
      <c r="M38" s="149">
        <f t="shared" si="1"/>
        <v>0</v>
      </c>
      <c r="N38" s="100">
        <f t="shared" si="2"/>
        <v>449</v>
      </c>
      <c r="O38" s="43">
        <f t="shared" si="3"/>
        <v>466</v>
      </c>
    </row>
    <row r="39" spans="1:15" ht="22.5" customHeight="1" x14ac:dyDescent="0.3">
      <c r="A39" s="149" t="s">
        <v>208</v>
      </c>
      <c r="B39" s="44">
        <f>V_6!B39+V_8!B39+V_10!B39</f>
        <v>251</v>
      </c>
      <c r="C39" s="39">
        <f>V_6!C39+V_8!C39+V_10!C39</f>
        <v>164</v>
      </c>
      <c r="D39" s="39">
        <f>V_6!D39+V_8!D39+V_10!D39</f>
        <v>24</v>
      </c>
      <c r="E39" s="39">
        <f>V_6!E39+V_8!E39+V_10!E39</f>
        <v>21</v>
      </c>
      <c r="F39" s="152">
        <f>V_6!F39+V_8!F39+V_10!F39</f>
        <v>11</v>
      </c>
      <c r="G39" s="154">
        <f t="shared" si="0"/>
        <v>471</v>
      </c>
      <c r="H39" s="44">
        <f>V_6!H39+V_8!H39+V_10!H39</f>
        <v>0</v>
      </c>
      <c r="I39" s="39">
        <f>V_6!I39+V_8!I39+V_10!I39</f>
        <v>0</v>
      </c>
      <c r="J39" s="39">
        <f>V_6!J39+V_8!J39+V_10!J39</f>
        <v>0</v>
      </c>
      <c r="K39" s="45">
        <f>V_6!K39+V_8!K39+V_10!K39</f>
        <v>0</v>
      </c>
      <c r="L39" s="140">
        <f>V_6!L39+V_8!L39+V_10!L39</f>
        <v>0</v>
      </c>
      <c r="M39" s="149">
        <f t="shared" si="1"/>
        <v>0</v>
      </c>
      <c r="N39" s="100">
        <f t="shared" si="2"/>
        <v>471</v>
      </c>
      <c r="O39" s="43">
        <f t="shared" si="3"/>
        <v>481.5</v>
      </c>
    </row>
    <row r="40" spans="1:15" ht="22.5" customHeight="1" x14ac:dyDescent="0.3">
      <c r="A40" s="149" t="s">
        <v>209</v>
      </c>
      <c r="B40" s="44">
        <f>V_6!B40+V_8!B40+V_10!B40</f>
        <v>281</v>
      </c>
      <c r="C40" s="39">
        <f>V_6!C40+V_8!C40+V_10!C40</f>
        <v>137</v>
      </c>
      <c r="D40" s="39">
        <f>V_6!D40+V_8!D40+V_10!D40</f>
        <v>11</v>
      </c>
      <c r="E40" s="39">
        <f>V_6!E40+V_8!E40+V_10!E40</f>
        <v>6</v>
      </c>
      <c r="F40" s="152">
        <f>V_6!F40+V_8!F40+V_10!F40</f>
        <v>7</v>
      </c>
      <c r="G40" s="154">
        <f t="shared" ref="G40:G71" si="4">SUM(B40:F40)</f>
        <v>442</v>
      </c>
      <c r="H40" s="44">
        <f>V_6!H40+V_8!H40+V_10!H40</f>
        <v>0</v>
      </c>
      <c r="I40" s="39">
        <f>V_6!I40+V_8!I40+V_10!I40</f>
        <v>0</v>
      </c>
      <c r="J40" s="39">
        <f>V_6!J40+V_8!J40+V_10!J40</f>
        <v>0</v>
      </c>
      <c r="K40" s="45">
        <f>V_6!K40+V_8!K40+V_10!K40</f>
        <v>0</v>
      </c>
      <c r="L40" s="140">
        <f>V_6!L40+V_8!L40+V_10!L40</f>
        <v>1</v>
      </c>
      <c r="M40" s="149">
        <f t="shared" si="1"/>
        <v>1</v>
      </c>
      <c r="N40" s="100">
        <f t="shared" si="2"/>
        <v>443</v>
      </c>
      <c r="O40" s="43">
        <f t="shared" si="3"/>
        <v>423.5</v>
      </c>
    </row>
    <row r="41" spans="1:15" ht="22.5" customHeight="1" x14ac:dyDescent="0.3">
      <c r="A41" s="149" t="s">
        <v>210</v>
      </c>
      <c r="B41" s="44">
        <f>V_6!B41+V_8!B41+V_10!B41</f>
        <v>205</v>
      </c>
      <c r="C41" s="39">
        <f>V_6!C41+V_8!C41+V_10!C41</f>
        <v>185</v>
      </c>
      <c r="D41" s="39">
        <f>V_6!D41+V_8!D41+V_10!D41</f>
        <v>23</v>
      </c>
      <c r="E41" s="39">
        <f>V_6!E41+V_8!E41+V_10!E41</f>
        <v>6</v>
      </c>
      <c r="F41" s="152">
        <f>V_6!F41+V_8!F41+V_10!F41</f>
        <v>6</v>
      </c>
      <c r="G41" s="154">
        <f t="shared" si="4"/>
        <v>425</v>
      </c>
      <c r="H41" s="44">
        <f>V_6!H41+V_8!H41+V_10!H41</f>
        <v>0</v>
      </c>
      <c r="I41" s="39">
        <f>V_6!I41+V_8!I41+V_10!I41</f>
        <v>0</v>
      </c>
      <c r="J41" s="39">
        <f>V_6!J41+V_8!J41+V_10!J41</f>
        <v>0</v>
      </c>
      <c r="K41" s="45">
        <f>V_6!K41+V_8!K41+V_10!K41</f>
        <v>0</v>
      </c>
      <c r="L41" s="140">
        <f>V_6!L41+V_8!L41+V_10!L41</f>
        <v>0</v>
      </c>
      <c r="M41" s="149">
        <f t="shared" si="1"/>
        <v>0</v>
      </c>
      <c r="N41" s="100">
        <f t="shared" si="2"/>
        <v>425</v>
      </c>
      <c r="O41" s="43">
        <f t="shared" si="3"/>
        <v>377</v>
      </c>
    </row>
    <row r="42" spans="1:15" ht="22.5" customHeight="1" x14ac:dyDescent="0.3">
      <c r="A42" s="149" t="s">
        <v>211</v>
      </c>
      <c r="B42" s="44">
        <f>V_6!B42+V_8!B42+V_10!B42</f>
        <v>262</v>
      </c>
      <c r="C42" s="39">
        <f>V_6!C42+V_8!C42+V_10!C42</f>
        <v>218</v>
      </c>
      <c r="D42" s="39">
        <f>V_6!D42+V_8!D42+V_10!D42</f>
        <v>19</v>
      </c>
      <c r="E42" s="39">
        <f>V_6!E42+V_8!E42+V_10!E42</f>
        <v>9</v>
      </c>
      <c r="F42" s="152">
        <f>V_6!F42+V_8!F42+V_10!F42</f>
        <v>4</v>
      </c>
      <c r="G42" s="154">
        <f t="shared" si="4"/>
        <v>512</v>
      </c>
      <c r="H42" s="44">
        <f>V_6!H42+V_8!H42+V_10!H42</f>
        <v>0</v>
      </c>
      <c r="I42" s="39">
        <f>V_6!I42+V_8!I42+V_10!I42</f>
        <v>0</v>
      </c>
      <c r="J42" s="39">
        <f>V_6!J42+V_8!J42+V_10!J42</f>
        <v>0</v>
      </c>
      <c r="K42" s="45">
        <f>V_6!K42+V_8!K42+V_10!K42</f>
        <v>0</v>
      </c>
      <c r="L42" s="140">
        <f>V_6!L42+V_8!L42+V_10!L42</f>
        <v>1</v>
      </c>
      <c r="M42" s="149">
        <f t="shared" si="1"/>
        <v>1</v>
      </c>
      <c r="N42" s="100">
        <f t="shared" si="2"/>
        <v>513</v>
      </c>
      <c r="O42" s="43">
        <f t="shared" si="3"/>
        <v>452.5</v>
      </c>
    </row>
    <row r="43" spans="1:15" ht="22.5" customHeight="1" x14ac:dyDescent="0.3">
      <c r="A43" s="149" t="s">
        <v>212</v>
      </c>
      <c r="B43" s="44">
        <f>V_6!B43+V_8!B43+V_10!B43</f>
        <v>299</v>
      </c>
      <c r="C43" s="39">
        <f>V_6!C43+V_8!C43+V_10!C43</f>
        <v>223</v>
      </c>
      <c r="D43" s="39">
        <f>V_6!D43+V_8!D43+V_10!D43</f>
        <v>19</v>
      </c>
      <c r="E43" s="39">
        <f>V_6!E43+V_8!E43+V_10!E43</f>
        <v>8</v>
      </c>
      <c r="F43" s="152">
        <f>V_6!F43+V_8!F43+V_10!F43</f>
        <v>3</v>
      </c>
      <c r="G43" s="154">
        <f t="shared" si="4"/>
        <v>552</v>
      </c>
      <c r="H43" s="44">
        <f>V_6!H43+V_8!H43+V_10!H43</f>
        <v>0</v>
      </c>
      <c r="I43" s="39">
        <f>V_6!I43+V_8!I43+V_10!I43</f>
        <v>0</v>
      </c>
      <c r="J43" s="39">
        <f>V_6!J43+V_8!J43+V_10!J43</f>
        <v>0</v>
      </c>
      <c r="K43" s="45">
        <f>V_6!K43+V_8!K43+V_10!K43</f>
        <v>0</v>
      </c>
      <c r="L43" s="140">
        <f>V_6!L43+V_8!L43+V_10!L43</f>
        <v>1</v>
      </c>
      <c r="M43" s="149">
        <f t="shared" si="1"/>
        <v>1</v>
      </c>
      <c r="N43" s="100">
        <f t="shared" si="2"/>
        <v>553</v>
      </c>
      <c r="O43" s="43">
        <f t="shared" si="3"/>
        <v>484.5</v>
      </c>
    </row>
    <row r="44" spans="1:15" ht="22.5" customHeight="1" x14ac:dyDescent="0.3">
      <c r="A44" s="149" t="s">
        <v>213</v>
      </c>
      <c r="B44" s="44">
        <f>V_6!B44+V_8!B44+V_10!B44</f>
        <v>311</v>
      </c>
      <c r="C44" s="39">
        <f>V_6!C44+V_8!C44+V_10!C44</f>
        <v>271</v>
      </c>
      <c r="D44" s="39">
        <f>V_6!D44+V_8!D44+V_10!D44</f>
        <v>21</v>
      </c>
      <c r="E44" s="39">
        <f>V_6!E44+V_8!E44+V_10!E44</f>
        <v>16</v>
      </c>
      <c r="F44" s="152">
        <f>V_6!F44+V_8!F44+V_10!F44</f>
        <v>8</v>
      </c>
      <c r="G44" s="154">
        <f t="shared" si="4"/>
        <v>627</v>
      </c>
      <c r="H44" s="44">
        <f>V_6!H44+V_8!H44+V_10!H44</f>
        <v>0</v>
      </c>
      <c r="I44" s="39">
        <f>V_6!I44+V_8!I44+V_10!I44</f>
        <v>0</v>
      </c>
      <c r="J44" s="39">
        <f>V_6!J44+V_8!J44+V_10!J44</f>
        <v>0</v>
      </c>
      <c r="K44" s="45">
        <f>V_6!K44+V_8!K44+V_10!K44</f>
        <v>0</v>
      </c>
      <c r="L44" s="140">
        <f>V_6!L44+V_8!L44+V_10!L44</f>
        <v>1</v>
      </c>
      <c r="M44" s="149">
        <f t="shared" si="1"/>
        <v>1</v>
      </c>
      <c r="N44" s="100">
        <f t="shared" si="2"/>
        <v>628</v>
      </c>
      <c r="O44" s="43">
        <f t="shared" si="3"/>
        <v>570</v>
      </c>
    </row>
    <row r="45" spans="1:15" ht="22.5" customHeight="1" x14ac:dyDescent="0.3">
      <c r="A45" s="149" t="s">
        <v>214</v>
      </c>
      <c r="B45" s="44">
        <f>V_6!B45+V_8!B45+V_10!B45</f>
        <v>272</v>
      </c>
      <c r="C45" s="39">
        <f>V_6!C45+V_8!C45+V_10!C45</f>
        <v>228</v>
      </c>
      <c r="D45" s="39">
        <f>V_6!D45+V_8!D45+V_10!D45</f>
        <v>17</v>
      </c>
      <c r="E45" s="39">
        <f>V_6!E45+V_8!E45+V_10!E45</f>
        <v>2</v>
      </c>
      <c r="F45" s="152">
        <f>V_6!F45+V_8!F45+V_10!F45</f>
        <v>1</v>
      </c>
      <c r="G45" s="154">
        <f t="shared" si="4"/>
        <v>520</v>
      </c>
      <c r="H45" s="44">
        <f>V_6!H45+V_8!H45+V_10!H45</f>
        <v>0</v>
      </c>
      <c r="I45" s="39">
        <f>V_6!I45+V_8!I45+V_10!I45</f>
        <v>0</v>
      </c>
      <c r="J45" s="39">
        <f>V_6!J45+V_8!J45+V_10!J45</f>
        <v>1</v>
      </c>
      <c r="K45" s="45">
        <f>V_6!K45+V_8!K45+V_10!K45</f>
        <v>0</v>
      </c>
      <c r="L45" s="140">
        <f>V_6!L45+V_8!L45+V_10!L45</f>
        <v>4</v>
      </c>
      <c r="M45" s="149">
        <f t="shared" si="1"/>
        <v>5</v>
      </c>
      <c r="N45" s="100">
        <f t="shared" si="2"/>
        <v>525</v>
      </c>
      <c r="O45" s="43">
        <f t="shared" si="3"/>
        <v>457</v>
      </c>
    </row>
    <row r="46" spans="1:15" ht="22.5" customHeight="1" x14ac:dyDescent="0.3">
      <c r="A46" s="149" t="s">
        <v>215</v>
      </c>
      <c r="B46" s="44">
        <f>V_6!B46+V_8!B46+V_10!B46</f>
        <v>235</v>
      </c>
      <c r="C46" s="39">
        <f>V_6!C46+V_8!C46+V_10!C46</f>
        <v>191</v>
      </c>
      <c r="D46" s="39">
        <f>V_6!D46+V_8!D46+V_10!D46</f>
        <v>22</v>
      </c>
      <c r="E46" s="39">
        <f>V_6!E46+V_8!E46+V_10!E46</f>
        <v>8</v>
      </c>
      <c r="F46" s="152">
        <f>V_6!F46+V_8!F46+V_10!F46</f>
        <v>3</v>
      </c>
      <c r="G46" s="154">
        <f t="shared" si="4"/>
        <v>459</v>
      </c>
      <c r="H46" s="44">
        <f>V_6!H46+V_8!H46+V_10!H46</f>
        <v>0</v>
      </c>
      <c r="I46" s="39">
        <f>V_6!I46+V_8!I46+V_10!I46</f>
        <v>0</v>
      </c>
      <c r="J46" s="39">
        <f>V_6!J46+V_8!J46+V_10!J46</f>
        <v>1</v>
      </c>
      <c r="K46" s="45">
        <f>V_6!K46+V_8!K46+V_10!K46</f>
        <v>0</v>
      </c>
      <c r="L46" s="140">
        <f>V_6!L46+V_8!L46+V_10!L46</f>
        <v>2</v>
      </c>
      <c r="M46" s="149">
        <f t="shared" si="1"/>
        <v>3</v>
      </c>
      <c r="N46" s="100">
        <f t="shared" si="2"/>
        <v>462</v>
      </c>
      <c r="O46" s="43">
        <f t="shared" si="3"/>
        <v>420</v>
      </c>
    </row>
    <row r="47" spans="1:15" ht="22.5" customHeight="1" x14ac:dyDescent="0.3">
      <c r="A47" s="149" t="s">
        <v>216</v>
      </c>
      <c r="B47" s="44">
        <f>V_6!B47+V_8!B47+V_10!B47</f>
        <v>286</v>
      </c>
      <c r="C47" s="39">
        <f>V_6!C47+V_8!C47+V_10!C47</f>
        <v>250</v>
      </c>
      <c r="D47" s="39">
        <f>V_6!D47+V_8!D47+V_10!D47</f>
        <v>15</v>
      </c>
      <c r="E47" s="39">
        <f>V_6!E47+V_8!E47+V_10!E47</f>
        <v>5</v>
      </c>
      <c r="F47" s="152">
        <f>V_6!F47+V_8!F47+V_10!F47</f>
        <v>6</v>
      </c>
      <c r="G47" s="154">
        <f t="shared" si="4"/>
        <v>562</v>
      </c>
      <c r="H47" s="44">
        <f>V_6!H47+V_8!H47+V_10!H47</f>
        <v>0</v>
      </c>
      <c r="I47" s="39">
        <f>V_6!I47+V_8!I47+V_10!I47</f>
        <v>0</v>
      </c>
      <c r="J47" s="39">
        <f>V_6!J47+V_8!J47+V_10!J47</f>
        <v>0</v>
      </c>
      <c r="K47" s="45">
        <f>V_6!K47+V_8!K47+V_10!K47</f>
        <v>0</v>
      </c>
      <c r="L47" s="140">
        <f>V_6!L47+V_8!L47+V_10!L47</f>
        <v>2</v>
      </c>
      <c r="M47" s="149">
        <f t="shared" si="1"/>
        <v>2</v>
      </c>
      <c r="N47" s="100">
        <f t="shared" si="2"/>
        <v>564</v>
      </c>
      <c r="O47" s="43">
        <f t="shared" si="3"/>
        <v>491.5</v>
      </c>
    </row>
    <row r="48" spans="1:15" ht="22.5" customHeight="1" x14ac:dyDescent="0.3">
      <c r="A48" s="149" t="s">
        <v>217</v>
      </c>
      <c r="B48" s="44">
        <f>V_6!B48+V_8!B48+V_10!B48</f>
        <v>258</v>
      </c>
      <c r="C48" s="39">
        <f>V_6!C48+V_8!C48+V_10!C48</f>
        <v>227</v>
      </c>
      <c r="D48" s="39">
        <f>V_6!D48+V_8!D48+V_10!D48</f>
        <v>24</v>
      </c>
      <c r="E48" s="39">
        <f>V_6!E48+V_8!E48+V_10!E48</f>
        <v>4</v>
      </c>
      <c r="F48" s="152">
        <f>V_6!F48+V_8!F48+V_10!F48</f>
        <v>3</v>
      </c>
      <c r="G48" s="154">
        <f t="shared" si="4"/>
        <v>516</v>
      </c>
      <c r="H48" s="44">
        <f>V_6!H48+V_8!H48+V_10!H48</f>
        <v>0</v>
      </c>
      <c r="I48" s="39">
        <f>V_6!I48+V_8!I48+V_10!I48</f>
        <v>0</v>
      </c>
      <c r="J48" s="39">
        <f>V_6!J48+V_8!J48+V_10!J48</f>
        <v>0</v>
      </c>
      <c r="K48" s="45">
        <f>V_6!K48+V_8!K48+V_10!K48</f>
        <v>0</v>
      </c>
      <c r="L48" s="140">
        <f>V_6!L48+V_8!L48+V_10!L48</f>
        <v>2</v>
      </c>
      <c r="M48" s="149">
        <f t="shared" si="1"/>
        <v>2</v>
      </c>
      <c r="N48" s="100">
        <f t="shared" si="2"/>
        <v>518</v>
      </c>
      <c r="O48" s="43">
        <f t="shared" si="3"/>
        <v>449</v>
      </c>
    </row>
    <row r="49" spans="1:15" ht="22.5" customHeight="1" x14ac:dyDescent="0.3">
      <c r="A49" s="149" t="s">
        <v>218</v>
      </c>
      <c r="B49" s="44">
        <f>V_6!B49+V_8!B49+V_10!B49</f>
        <v>238</v>
      </c>
      <c r="C49" s="39">
        <f>V_6!C49+V_8!C49+V_10!C49</f>
        <v>219</v>
      </c>
      <c r="D49" s="39">
        <f>V_6!D49+V_8!D49+V_10!D49</f>
        <v>26</v>
      </c>
      <c r="E49" s="39">
        <f>V_6!E49+V_8!E49+V_10!E49</f>
        <v>3</v>
      </c>
      <c r="F49" s="152">
        <f>V_6!F49+V_8!F49+V_10!F49</f>
        <v>7</v>
      </c>
      <c r="G49" s="154">
        <f t="shared" si="4"/>
        <v>493</v>
      </c>
      <c r="H49" s="44">
        <f>V_6!H49+V_8!H49+V_10!H49</f>
        <v>0</v>
      </c>
      <c r="I49" s="39">
        <f>V_6!I49+V_8!I49+V_10!I49</f>
        <v>0</v>
      </c>
      <c r="J49" s="39">
        <f>V_6!J49+V_8!J49+V_10!J49</f>
        <v>0</v>
      </c>
      <c r="K49" s="45">
        <f>V_6!K49+V_8!K49+V_10!K49</f>
        <v>0</v>
      </c>
      <c r="L49" s="140">
        <f>V_6!L49+V_8!L49+V_10!L49</f>
        <v>1</v>
      </c>
      <c r="M49" s="149">
        <f t="shared" si="1"/>
        <v>1</v>
      </c>
      <c r="N49" s="100">
        <f t="shared" si="2"/>
        <v>494</v>
      </c>
      <c r="O49" s="43">
        <f t="shared" si="3"/>
        <v>435</v>
      </c>
    </row>
    <row r="50" spans="1:15" ht="22.5" customHeight="1" x14ac:dyDescent="0.3">
      <c r="A50" s="149" t="s">
        <v>219</v>
      </c>
      <c r="B50" s="44">
        <f>V_6!B50+V_8!B50+V_10!B50</f>
        <v>253</v>
      </c>
      <c r="C50" s="39">
        <f>V_6!C50+V_8!C50+V_10!C50</f>
        <v>192</v>
      </c>
      <c r="D50" s="39">
        <f>V_6!D50+V_8!D50+V_10!D50</f>
        <v>12</v>
      </c>
      <c r="E50" s="39">
        <f>V_6!E50+V_8!E50+V_10!E50</f>
        <v>15</v>
      </c>
      <c r="F50" s="152">
        <f>V_6!F50+V_8!F50+V_10!F50</f>
        <v>2</v>
      </c>
      <c r="G50" s="154">
        <f t="shared" si="4"/>
        <v>474</v>
      </c>
      <c r="H50" s="44">
        <f>V_6!H50+V_8!H50+V_10!H50</f>
        <v>0</v>
      </c>
      <c r="I50" s="39">
        <f>V_6!I50+V_8!I50+V_10!I50</f>
        <v>0</v>
      </c>
      <c r="J50" s="39">
        <f>V_6!J50+V_8!J50+V_10!J50</f>
        <v>0</v>
      </c>
      <c r="K50" s="45">
        <f>V_6!K50+V_8!K50+V_10!K50</f>
        <v>0</v>
      </c>
      <c r="L50" s="140">
        <f>V_6!L50+V_8!L50+V_10!L50</f>
        <v>0</v>
      </c>
      <c r="M50" s="149">
        <f t="shared" si="1"/>
        <v>0</v>
      </c>
      <c r="N50" s="100">
        <f t="shared" si="2"/>
        <v>474</v>
      </c>
      <c r="O50" s="43">
        <f t="shared" si="3"/>
        <v>421</v>
      </c>
    </row>
    <row r="51" spans="1:15" ht="22.5" customHeight="1" x14ac:dyDescent="0.3">
      <c r="A51" s="149" t="s">
        <v>220</v>
      </c>
      <c r="B51" s="44">
        <f>V_6!B51+V_8!B51+V_10!B51</f>
        <v>236</v>
      </c>
      <c r="C51" s="39">
        <f>V_6!C51+V_8!C51+V_10!C51</f>
        <v>91</v>
      </c>
      <c r="D51" s="39">
        <f>V_6!D51+V_8!D51+V_10!D51</f>
        <v>14</v>
      </c>
      <c r="E51" s="39">
        <f>V_6!E51+V_8!E51+V_10!E51</f>
        <v>6</v>
      </c>
      <c r="F51" s="152">
        <f>V_6!F51+V_8!F51+V_10!F51</f>
        <v>2</v>
      </c>
      <c r="G51" s="154">
        <f t="shared" si="4"/>
        <v>349</v>
      </c>
      <c r="H51" s="44">
        <f>V_6!H51+V_8!H51+V_10!H51</f>
        <v>0</v>
      </c>
      <c r="I51" s="39">
        <f>V_6!I51+V_8!I51+V_10!I51</f>
        <v>0</v>
      </c>
      <c r="J51" s="39">
        <f>V_6!J51+V_8!J51+V_10!J51</f>
        <v>0</v>
      </c>
      <c r="K51" s="45">
        <f>V_6!K51+V_8!K51+V_10!K51</f>
        <v>0</v>
      </c>
      <c r="L51" s="140">
        <f>V_6!L51+V_8!L51+V_10!L51</f>
        <v>1</v>
      </c>
      <c r="M51" s="149">
        <f t="shared" si="1"/>
        <v>1</v>
      </c>
      <c r="N51" s="100">
        <f t="shared" si="2"/>
        <v>350</v>
      </c>
      <c r="O51" s="43">
        <f t="shared" si="3"/>
        <v>337.5</v>
      </c>
    </row>
    <row r="52" spans="1:15" ht="22.5" customHeight="1" x14ac:dyDescent="0.3">
      <c r="A52" s="149" t="s">
        <v>221</v>
      </c>
      <c r="B52" s="44">
        <f>V_6!B52+V_8!B52+V_10!B52</f>
        <v>167</v>
      </c>
      <c r="C52" s="39">
        <f>V_6!C52+V_8!C52+V_10!C52</f>
        <v>96</v>
      </c>
      <c r="D52" s="39">
        <f>V_6!D52+V_8!D52+V_10!D52</f>
        <v>14</v>
      </c>
      <c r="E52" s="39">
        <f>V_6!E52+V_8!E52+V_10!E52</f>
        <v>11</v>
      </c>
      <c r="F52" s="152">
        <f>V_6!F52+V_8!F52+V_10!F52</f>
        <v>4</v>
      </c>
      <c r="G52" s="154">
        <f t="shared" si="4"/>
        <v>292</v>
      </c>
      <c r="H52" s="44">
        <f>V_6!H52+V_8!H52+V_10!H52</f>
        <v>0</v>
      </c>
      <c r="I52" s="39">
        <f>V_6!I52+V_8!I52+V_10!I52</f>
        <v>0</v>
      </c>
      <c r="J52" s="39">
        <f>V_6!J52+V_8!J52+V_10!J52</f>
        <v>0</v>
      </c>
      <c r="K52" s="45">
        <f>V_6!K52+V_8!K52+V_10!K52</f>
        <v>0</v>
      </c>
      <c r="L52" s="140">
        <f>V_6!L52+V_8!L52+V_10!L52</f>
        <v>0</v>
      </c>
      <c r="M52" s="149">
        <f t="shared" si="1"/>
        <v>0</v>
      </c>
      <c r="N52" s="100">
        <f t="shared" si="2"/>
        <v>292</v>
      </c>
      <c r="O52" s="43">
        <f t="shared" si="3"/>
        <v>287</v>
      </c>
    </row>
    <row r="53" spans="1:15" ht="22.5" customHeight="1" x14ac:dyDescent="0.3">
      <c r="A53" s="149" t="s">
        <v>222</v>
      </c>
      <c r="B53" s="44">
        <f>V_6!B53+V_8!B53+V_10!B53</f>
        <v>224</v>
      </c>
      <c r="C53" s="39">
        <f>V_6!C53+V_8!C53+V_10!C53</f>
        <v>157</v>
      </c>
      <c r="D53" s="39">
        <f>V_6!D53+V_8!D53+V_10!D53</f>
        <v>16</v>
      </c>
      <c r="E53" s="39">
        <f>V_6!E53+V_8!E53+V_10!E53</f>
        <v>1</v>
      </c>
      <c r="F53" s="152">
        <f>V_6!F53+V_8!F53+V_10!F53</f>
        <v>1</v>
      </c>
      <c r="G53" s="154">
        <f t="shared" si="4"/>
        <v>399</v>
      </c>
      <c r="H53" s="44">
        <f>V_6!H53+V_8!H53+V_10!H53</f>
        <v>0</v>
      </c>
      <c r="I53" s="39">
        <f>V_6!I53+V_8!I53+V_10!I53</f>
        <v>0</v>
      </c>
      <c r="J53" s="39">
        <f>V_6!J53+V_8!J53+V_10!J53</f>
        <v>0</v>
      </c>
      <c r="K53" s="45">
        <f>V_6!K53+V_8!K53+V_10!K53</f>
        <v>0</v>
      </c>
      <c r="L53" s="140">
        <f>V_6!L53+V_8!L53+V_10!L53</f>
        <v>1</v>
      </c>
      <c r="M53" s="149">
        <f t="shared" si="1"/>
        <v>1</v>
      </c>
      <c r="N53" s="100">
        <f t="shared" si="2"/>
        <v>400</v>
      </c>
      <c r="O53" s="43">
        <f t="shared" si="3"/>
        <v>342</v>
      </c>
    </row>
    <row r="54" spans="1:15" ht="22.5" customHeight="1" x14ac:dyDescent="0.3">
      <c r="A54" s="149" t="s">
        <v>223</v>
      </c>
      <c r="B54" s="44">
        <f>V_6!B54+V_8!B54+V_10!B54</f>
        <v>248</v>
      </c>
      <c r="C54" s="39">
        <f>V_6!C54+V_8!C54+V_10!C54</f>
        <v>285</v>
      </c>
      <c r="D54" s="39">
        <f>V_6!D54+V_8!D54+V_10!D54</f>
        <v>12</v>
      </c>
      <c r="E54" s="39">
        <f>V_6!E54+V_8!E54+V_10!E54</f>
        <v>1</v>
      </c>
      <c r="F54" s="152">
        <f>V_6!F54+V_8!F54+V_10!F54</f>
        <v>2</v>
      </c>
      <c r="G54" s="154">
        <f t="shared" si="4"/>
        <v>548</v>
      </c>
      <c r="H54" s="44">
        <f>V_6!H54+V_8!H54+V_10!H54</f>
        <v>0</v>
      </c>
      <c r="I54" s="39">
        <f>V_6!I54+V_8!I54+V_10!I54</f>
        <v>0</v>
      </c>
      <c r="J54" s="39">
        <f>V_6!J54+V_8!J54+V_10!J54</f>
        <v>0</v>
      </c>
      <c r="K54" s="45">
        <f>V_6!K54+V_8!K54+V_10!K54</f>
        <v>0</v>
      </c>
      <c r="L54" s="140">
        <f>V_6!L54+V_8!L54+V_10!L54</f>
        <v>0</v>
      </c>
      <c r="M54" s="149">
        <f t="shared" si="1"/>
        <v>0</v>
      </c>
      <c r="N54" s="100">
        <f t="shared" si="2"/>
        <v>548</v>
      </c>
      <c r="O54" s="43">
        <f t="shared" si="3"/>
        <v>420.5</v>
      </c>
    </row>
    <row r="55" spans="1:15" ht="22.5" customHeight="1" x14ac:dyDescent="0.3">
      <c r="A55" s="149" t="s">
        <v>224</v>
      </c>
      <c r="B55" s="44">
        <f>V_6!B55+V_8!B55+V_10!B55</f>
        <v>245</v>
      </c>
      <c r="C55" s="39">
        <f>V_6!C55+V_8!C55+V_10!C55</f>
        <v>230</v>
      </c>
      <c r="D55" s="39">
        <f>V_6!D55+V_8!D55+V_10!D55</f>
        <v>21</v>
      </c>
      <c r="E55" s="39">
        <f>V_6!E55+V_8!E55+V_10!E55</f>
        <v>6</v>
      </c>
      <c r="F55" s="152">
        <f>V_6!F55+V_8!F55+V_10!F55</f>
        <v>6</v>
      </c>
      <c r="G55" s="154">
        <f t="shared" si="4"/>
        <v>508</v>
      </c>
      <c r="H55" s="44">
        <f>V_6!H55+V_8!H55+V_10!H55</f>
        <v>0</v>
      </c>
      <c r="I55" s="39">
        <f>V_6!I55+V_8!I55+V_10!I55</f>
        <v>0</v>
      </c>
      <c r="J55" s="39">
        <f>V_6!J55+V_8!J55+V_10!J55</f>
        <v>0</v>
      </c>
      <c r="K55" s="45">
        <f>V_6!K55+V_8!K55+V_10!K55</f>
        <v>0</v>
      </c>
      <c r="L55" s="140">
        <f>V_6!L55+V_8!L55+V_10!L55</f>
        <v>0</v>
      </c>
      <c r="M55" s="149">
        <f t="shared" si="1"/>
        <v>0</v>
      </c>
      <c r="N55" s="100">
        <f t="shared" si="2"/>
        <v>508</v>
      </c>
      <c r="O55" s="43">
        <f t="shared" si="3"/>
        <v>436.5</v>
      </c>
    </row>
    <row r="56" spans="1:15" ht="22.5" customHeight="1" x14ac:dyDescent="0.3">
      <c r="A56" s="149" t="s">
        <v>225</v>
      </c>
      <c r="B56" s="44">
        <f>V_6!B56+V_8!B56+V_10!B56</f>
        <v>248</v>
      </c>
      <c r="C56" s="39">
        <f>V_6!C56+V_8!C56+V_10!C56</f>
        <v>336</v>
      </c>
      <c r="D56" s="39">
        <f>V_6!D56+V_8!D56+V_10!D56</f>
        <v>18</v>
      </c>
      <c r="E56" s="39">
        <f>V_6!E56+V_8!E56+V_10!E56</f>
        <v>14</v>
      </c>
      <c r="F56" s="152">
        <f>V_6!F56+V_8!F56+V_10!F56</f>
        <v>4</v>
      </c>
      <c r="G56" s="154">
        <f t="shared" si="4"/>
        <v>620</v>
      </c>
      <c r="H56" s="44">
        <f>V_6!H56+V_8!H56+V_10!H56</f>
        <v>1</v>
      </c>
      <c r="I56" s="39">
        <f>V_6!I56+V_8!I56+V_10!I56</f>
        <v>0</v>
      </c>
      <c r="J56" s="39">
        <f>V_6!J56+V_8!J56+V_10!J56</f>
        <v>0</v>
      </c>
      <c r="K56" s="45">
        <f>V_6!K56+V_8!K56+V_10!K56</f>
        <v>0</v>
      </c>
      <c r="L56" s="140">
        <f>V_6!L56+V_8!L56+V_10!L56</f>
        <v>1</v>
      </c>
      <c r="M56" s="149">
        <f t="shared" si="1"/>
        <v>2</v>
      </c>
      <c r="N56" s="100">
        <f t="shared" si="2"/>
        <v>622</v>
      </c>
      <c r="O56" s="43">
        <f t="shared" si="3"/>
        <v>511.5</v>
      </c>
    </row>
    <row r="57" spans="1:15" ht="22.5" customHeight="1" x14ac:dyDescent="0.3">
      <c r="A57" s="149" t="s">
        <v>226</v>
      </c>
      <c r="B57" s="44">
        <f>V_6!B57+V_8!B57+V_10!B57</f>
        <v>269</v>
      </c>
      <c r="C57" s="39">
        <f>V_6!C57+V_8!C57+V_10!C57</f>
        <v>332</v>
      </c>
      <c r="D57" s="39">
        <f>V_6!D57+V_8!D57+V_10!D57</f>
        <v>8</v>
      </c>
      <c r="E57" s="39">
        <f>V_6!E57+V_8!E57+V_10!E57</f>
        <v>14</v>
      </c>
      <c r="F57" s="152">
        <f>V_6!F57+V_8!F57+V_10!F57</f>
        <v>6</v>
      </c>
      <c r="G57" s="154">
        <f t="shared" si="4"/>
        <v>629</v>
      </c>
      <c r="H57" s="44">
        <f>V_6!H57+V_8!H57+V_10!H57</f>
        <v>0</v>
      </c>
      <c r="I57" s="39">
        <f>V_6!I57+V_8!I57+V_10!I57</f>
        <v>0</v>
      </c>
      <c r="J57" s="39">
        <f>V_6!J57+V_8!J57+V_10!J57</f>
        <v>0</v>
      </c>
      <c r="K57" s="45">
        <f>V_6!K57+V_8!K57+V_10!K57</f>
        <v>0</v>
      </c>
      <c r="L57" s="140">
        <f>V_6!L57+V_8!L57+V_10!L57</f>
        <v>1</v>
      </c>
      <c r="M57" s="149">
        <f t="shared" si="1"/>
        <v>1</v>
      </c>
      <c r="N57" s="100">
        <f t="shared" si="2"/>
        <v>630</v>
      </c>
      <c r="O57" s="43">
        <f t="shared" si="3"/>
        <v>524</v>
      </c>
    </row>
    <row r="58" spans="1:15" ht="22.5" customHeight="1" x14ac:dyDescent="0.3">
      <c r="A58" s="149" t="s">
        <v>227</v>
      </c>
      <c r="B58" s="44">
        <f>V_6!B58+V_8!B58+V_10!B58</f>
        <v>255</v>
      </c>
      <c r="C58" s="39">
        <f>V_6!C58+V_8!C58+V_10!C58</f>
        <v>163</v>
      </c>
      <c r="D58" s="39">
        <f>V_6!D58+V_8!D58+V_10!D58</f>
        <v>12</v>
      </c>
      <c r="E58" s="39">
        <f>V_6!E58+V_8!E58+V_10!E58</f>
        <v>15</v>
      </c>
      <c r="F58" s="152">
        <f>V_6!F58+V_8!F58+V_10!F58</f>
        <v>6</v>
      </c>
      <c r="G58" s="154">
        <f t="shared" si="4"/>
        <v>451</v>
      </c>
      <c r="H58" s="44">
        <f>V_6!H58+V_8!H58+V_10!H58</f>
        <v>1</v>
      </c>
      <c r="I58" s="39">
        <f>V_6!I58+V_8!I58+V_10!I58</f>
        <v>0</v>
      </c>
      <c r="J58" s="39">
        <f>V_6!J58+V_8!J58+V_10!J58</f>
        <v>0</v>
      </c>
      <c r="K58" s="45">
        <f>V_6!K58+V_8!K58+V_10!K58</f>
        <v>0</v>
      </c>
      <c r="L58" s="140">
        <f>V_6!L58+V_8!L58+V_10!L58</f>
        <v>0</v>
      </c>
      <c r="M58" s="149">
        <f t="shared" si="1"/>
        <v>1</v>
      </c>
      <c r="N58" s="100">
        <f t="shared" si="2"/>
        <v>452</v>
      </c>
      <c r="O58" s="43">
        <f t="shared" si="3"/>
        <v>427</v>
      </c>
    </row>
    <row r="59" spans="1:15" ht="22.5" customHeight="1" x14ac:dyDescent="0.3">
      <c r="A59" s="149" t="s">
        <v>228</v>
      </c>
      <c r="B59" s="44">
        <f>V_6!B59+V_8!B59+V_10!B59</f>
        <v>259</v>
      </c>
      <c r="C59" s="39">
        <f>V_6!C59+V_8!C59+V_10!C59</f>
        <v>208</v>
      </c>
      <c r="D59" s="39">
        <f>V_6!D59+V_8!D59+V_10!D59</f>
        <v>12</v>
      </c>
      <c r="E59" s="39">
        <f>V_6!E59+V_8!E59+V_10!E59</f>
        <v>13</v>
      </c>
      <c r="F59" s="152">
        <f>V_6!F59+V_8!F59+V_10!F59</f>
        <v>5</v>
      </c>
      <c r="G59" s="154">
        <f t="shared" si="4"/>
        <v>497</v>
      </c>
      <c r="H59" s="44">
        <f>V_6!H59+V_8!H59+V_10!H59</f>
        <v>0</v>
      </c>
      <c r="I59" s="39">
        <f>V_6!I59+V_8!I59+V_10!I59</f>
        <v>0</v>
      </c>
      <c r="J59" s="39">
        <f>V_6!J59+V_8!J59+V_10!J59</f>
        <v>0</v>
      </c>
      <c r="K59" s="45">
        <f>V_6!K59+V_8!K59+V_10!K59</f>
        <v>0</v>
      </c>
      <c r="L59" s="140">
        <f>V_6!L59+V_8!L59+V_10!L59</f>
        <v>0</v>
      </c>
      <c r="M59" s="149">
        <f t="shared" si="1"/>
        <v>0</v>
      </c>
      <c r="N59" s="100">
        <f t="shared" si="2"/>
        <v>497</v>
      </c>
      <c r="O59" s="43">
        <f t="shared" si="3"/>
        <v>442.5</v>
      </c>
    </row>
    <row r="60" spans="1:15" ht="22.5" customHeight="1" x14ac:dyDescent="0.3">
      <c r="A60" s="149" t="s">
        <v>229</v>
      </c>
      <c r="B60" s="44">
        <f>V_6!B60+V_8!B60+V_10!B60</f>
        <v>223</v>
      </c>
      <c r="C60" s="39">
        <f>V_6!C60+V_8!C60+V_10!C60</f>
        <v>189</v>
      </c>
      <c r="D60" s="39">
        <f>V_6!D60+V_8!D60+V_10!D60</f>
        <v>15</v>
      </c>
      <c r="E60" s="39">
        <f>V_6!E60+V_8!E60+V_10!E60</f>
        <v>10</v>
      </c>
      <c r="F60" s="152">
        <f>V_6!F60+V_8!F60+V_10!F60</f>
        <v>11</v>
      </c>
      <c r="G60" s="154">
        <f t="shared" si="4"/>
        <v>448</v>
      </c>
      <c r="H60" s="44">
        <f>V_6!H60+V_8!H60+V_10!H60</f>
        <v>0</v>
      </c>
      <c r="I60" s="39">
        <f>V_6!I60+V_8!I60+V_10!I60</f>
        <v>0</v>
      </c>
      <c r="J60" s="39">
        <f>V_6!J60+V_8!J60+V_10!J60</f>
        <v>0</v>
      </c>
      <c r="K60" s="45">
        <f>V_6!K60+V_8!K60+V_10!K60</f>
        <v>0</v>
      </c>
      <c r="L60" s="140">
        <f>V_6!L60+V_8!L60+V_10!L60</f>
        <v>2</v>
      </c>
      <c r="M60" s="149">
        <f t="shared" si="1"/>
        <v>2</v>
      </c>
      <c r="N60" s="100">
        <f t="shared" si="2"/>
        <v>450</v>
      </c>
      <c r="O60" s="43">
        <f t="shared" si="3"/>
        <v>435.5</v>
      </c>
    </row>
    <row r="61" spans="1:15" ht="22.5" customHeight="1" x14ac:dyDescent="0.3">
      <c r="A61" s="149" t="s">
        <v>230</v>
      </c>
      <c r="B61" s="44">
        <f>V_6!B61+V_8!B61+V_10!B61</f>
        <v>177</v>
      </c>
      <c r="C61" s="39">
        <f>V_6!C61+V_8!C61+V_10!C61</f>
        <v>198</v>
      </c>
      <c r="D61" s="39">
        <f>V_6!D61+V_8!D61+V_10!D61</f>
        <v>6</v>
      </c>
      <c r="E61" s="39">
        <f>V_6!E61+V_8!E61+V_10!E61</f>
        <v>11</v>
      </c>
      <c r="F61" s="152">
        <f>V_6!F61+V_8!F61+V_10!F61</f>
        <v>8</v>
      </c>
      <c r="G61" s="154">
        <f t="shared" si="4"/>
        <v>400</v>
      </c>
      <c r="H61" s="44">
        <f>V_6!H61+V_8!H61+V_10!H61</f>
        <v>0</v>
      </c>
      <c r="I61" s="39">
        <f>V_6!I61+V_8!I61+V_10!I61</f>
        <v>0</v>
      </c>
      <c r="J61" s="39">
        <f>V_6!J61+V_8!J61+V_10!J61</f>
        <v>0</v>
      </c>
      <c r="K61" s="45">
        <f>V_6!K61+V_8!K61+V_10!K61</f>
        <v>0</v>
      </c>
      <c r="L61" s="140">
        <f>V_6!L61+V_8!L61+V_10!L61</f>
        <v>0</v>
      </c>
      <c r="M61" s="149">
        <f t="shared" si="1"/>
        <v>0</v>
      </c>
      <c r="N61" s="100">
        <f t="shared" si="2"/>
        <v>400</v>
      </c>
      <c r="O61" s="43">
        <f t="shared" si="3"/>
        <v>354</v>
      </c>
    </row>
    <row r="62" spans="1:15" ht="22.5" customHeight="1" x14ac:dyDescent="0.3">
      <c r="A62" s="149" t="s">
        <v>231</v>
      </c>
      <c r="B62" s="44">
        <f>V_6!B62+V_8!B62+V_10!B62</f>
        <v>186</v>
      </c>
      <c r="C62" s="39">
        <f>V_6!C62+V_8!C62+V_10!C62</f>
        <v>135</v>
      </c>
      <c r="D62" s="39">
        <f>V_6!D62+V_8!D62+V_10!D62</f>
        <v>4</v>
      </c>
      <c r="E62" s="39">
        <f>V_6!E62+V_8!E62+V_10!E62</f>
        <v>11</v>
      </c>
      <c r="F62" s="152">
        <f>V_6!F62+V_8!F62+V_10!F62</f>
        <v>13</v>
      </c>
      <c r="G62" s="154">
        <f t="shared" si="4"/>
        <v>349</v>
      </c>
      <c r="H62" s="44">
        <f>V_6!H62+V_8!H62+V_10!H62</f>
        <v>0</v>
      </c>
      <c r="I62" s="39">
        <f>V_6!I62+V_8!I62+V_10!I62</f>
        <v>0</v>
      </c>
      <c r="J62" s="39">
        <f>V_6!J62+V_8!J62+V_10!J62</f>
        <v>0</v>
      </c>
      <c r="K62" s="45">
        <f>V_6!K62+V_8!K62+V_10!K62</f>
        <v>0</v>
      </c>
      <c r="L62" s="140">
        <f>V_6!L62+V_8!L62+V_10!L62</f>
        <v>0</v>
      </c>
      <c r="M62" s="149">
        <f t="shared" si="1"/>
        <v>0</v>
      </c>
      <c r="N62" s="100">
        <f t="shared" si="2"/>
        <v>349</v>
      </c>
      <c r="O62" s="43">
        <f t="shared" si="3"/>
        <v>351</v>
      </c>
    </row>
    <row r="63" spans="1:15" ht="22.5" customHeight="1" x14ac:dyDescent="0.3">
      <c r="A63" s="149" t="s">
        <v>232</v>
      </c>
      <c r="B63" s="44">
        <f>V_6!B63+V_8!B63+V_10!B63</f>
        <v>170</v>
      </c>
      <c r="C63" s="39">
        <f>V_6!C63+V_8!C63+V_10!C63</f>
        <v>141</v>
      </c>
      <c r="D63" s="39">
        <f>V_6!D63+V_8!D63+V_10!D63</f>
        <v>11</v>
      </c>
      <c r="E63" s="39">
        <f>V_6!E63+V_8!E63+V_10!E63</f>
        <v>8</v>
      </c>
      <c r="F63" s="152">
        <f>V_6!F63+V_8!F63+V_10!F63</f>
        <v>18</v>
      </c>
      <c r="G63" s="154">
        <f t="shared" si="4"/>
        <v>348</v>
      </c>
      <c r="H63" s="44">
        <f>V_6!H63+V_8!H63+V_10!H63</f>
        <v>0</v>
      </c>
      <c r="I63" s="39">
        <f>V_6!I63+V_8!I63+V_10!I63</f>
        <v>0</v>
      </c>
      <c r="J63" s="39">
        <f>V_6!J63+V_8!J63+V_10!J63</f>
        <v>0</v>
      </c>
      <c r="K63" s="45">
        <f>V_6!K63+V_8!K63+V_10!K63</f>
        <v>0</v>
      </c>
      <c r="L63" s="140">
        <f>V_6!L63+V_8!L63+V_10!L63</f>
        <v>0</v>
      </c>
      <c r="M63" s="149">
        <f t="shared" si="1"/>
        <v>0</v>
      </c>
      <c r="N63" s="100">
        <f t="shared" si="2"/>
        <v>348</v>
      </c>
      <c r="O63" s="43">
        <f t="shared" si="3"/>
        <v>362</v>
      </c>
    </row>
    <row r="64" spans="1:15" ht="22.5" customHeight="1" x14ac:dyDescent="0.3">
      <c r="A64" s="149" t="s">
        <v>233</v>
      </c>
      <c r="B64" s="44">
        <f>V_6!B64+V_8!B64+V_10!B64</f>
        <v>130</v>
      </c>
      <c r="C64" s="39">
        <f>V_6!C64+V_8!C64+V_10!C64</f>
        <v>68</v>
      </c>
      <c r="D64" s="39">
        <f>V_6!D64+V_8!D64+V_10!D64</f>
        <v>11</v>
      </c>
      <c r="E64" s="39">
        <f>V_6!E64+V_8!E64+V_10!E64</f>
        <v>6</v>
      </c>
      <c r="F64" s="152">
        <f>V_6!F64+V_8!F64+V_10!F64</f>
        <v>8</v>
      </c>
      <c r="G64" s="154">
        <f t="shared" si="4"/>
        <v>223</v>
      </c>
      <c r="H64" s="44">
        <f>V_6!H64+V_8!H64+V_10!H64</f>
        <v>0</v>
      </c>
      <c r="I64" s="39">
        <f>V_6!I64+V_8!I64+V_10!I64</f>
        <v>0</v>
      </c>
      <c r="J64" s="39">
        <f>V_6!J64+V_8!J64+V_10!J64</f>
        <v>0</v>
      </c>
      <c r="K64" s="45">
        <f>V_6!K64+V_8!K64+V_10!K64</f>
        <v>0</v>
      </c>
      <c r="L64" s="140">
        <f>V_6!L64+V_8!L64+V_10!L64</f>
        <v>2</v>
      </c>
      <c r="M64" s="149">
        <f t="shared" si="1"/>
        <v>2</v>
      </c>
      <c r="N64" s="100">
        <f t="shared" si="2"/>
        <v>225</v>
      </c>
      <c r="O64" s="43">
        <f t="shared" si="3"/>
        <v>250.5</v>
      </c>
    </row>
    <row r="65" spans="1:15" ht="22.5" customHeight="1" x14ac:dyDescent="0.3">
      <c r="A65" s="149" t="s">
        <v>234</v>
      </c>
      <c r="B65" s="44">
        <f>V_6!B65+V_8!B65+V_10!B65</f>
        <v>145</v>
      </c>
      <c r="C65" s="39">
        <f>V_6!C65+V_8!C65+V_10!C65</f>
        <v>72</v>
      </c>
      <c r="D65" s="39">
        <f>V_6!D65+V_8!D65+V_10!D65</f>
        <v>19</v>
      </c>
      <c r="E65" s="39">
        <f>V_6!E65+V_8!E65+V_10!E65</f>
        <v>10</v>
      </c>
      <c r="F65" s="152">
        <f>V_6!F65+V_8!F65+V_10!F65</f>
        <v>15</v>
      </c>
      <c r="G65" s="154">
        <f t="shared" si="4"/>
        <v>261</v>
      </c>
      <c r="H65" s="44">
        <f>V_6!H65+V_8!H65+V_10!H65</f>
        <v>0</v>
      </c>
      <c r="I65" s="39">
        <f>V_6!I65+V_8!I65+V_10!I65</f>
        <v>0</v>
      </c>
      <c r="J65" s="39">
        <f>V_6!J65+V_8!J65+V_10!J65</f>
        <v>0</v>
      </c>
      <c r="K65" s="45">
        <f>V_6!K65+V_8!K65+V_10!K65</f>
        <v>0</v>
      </c>
      <c r="L65" s="140">
        <f>V_6!L65+V_8!L65+V_10!L65</f>
        <v>1</v>
      </c>
      <c r="M65" s="149">
        <f t="shared" si="1"/>
        <v>1</v>
      </c>
      <c r="N65" s="100">
        <f t="shared" si="2"/>
        <v>262</v>
      </c>
      <c r="O65" s="43">
        <f t="shared" si="3"/>
        <v>315</v>
      </c>
    </row>
    <row r="66" spans="1:15" ht="22.5" customHeight="1" x14ac:dyDescent="0.3">
      <c r="A66" s="149" t="s">
        <v>235</v>
      </c>
      <c r="B66" s="44">
        <f>V_6!B66+V_8!B66+V_10!B66</f>
        <v>151</v>
      </c>
      <c r="C66" s="39">
        <f>V_6!C66+V_8!C66+V_10!C66</f>
        <v>76</v>
      </c>
      <c r="D66" s="39">
        <f>V_6!D66+V_8!D66+V_10!D66</f>
        <v>12</v>
      </c>
      <c r="E66" s="39">
        <f>V_6!E66+V_8!E66+V_10!E66</f>
        <v>3</v>
      </c>
      <c r="F66" s="152">
        <f>V_6!F66+V_8!F66+V_10!F66</f>
        <v>9</v>
      </c>
      <c r="G66" s="154">
        <f t="shared" si="4"/>
        <v>251</v>
      </c>
      <c r="H66" s="44">
        <f>V_6!H66+V_8!H66+V_10!H66</f>
        <v>0</v>
      </c>
      <c r="I66" s="39">
        <f>V_6!I66+V_8!I66+V_10!I66</f>
        <v>0</v>
      </c>
      <c r="J66" s="39">
        <f>V_6!J66+V_8!J66+V_10!J66</f>
        <v>0</v>
      </c>
      <c r="K66" s="45">
        <f>V_6!K66+V_8!K66+V_10!K66</f>
        <v>0</v>
      </c>
      <c r="L66" s="140">
        <f>V_6!L66+V_8!L66+V_10!L66</f>
        <v>1</v>
      </c>
      <c r="M66" s="149">
        <f t="shared" si="1"/>
        <v>1</v>
      </c>
      <c r="N66" s="100">
        <f t="shared" si="2"/>
        <v>252</v>
      </c>
      <c r="O66" s="43">
        <f t="shared" si="3"/>
        <v>264.5</v>
      </c>
    </row>
    <row r="67" spans="1:15" ht="22.5" customHeight="1" x14ac:dyDescent="0.3">
      <c r="A67" s="149" t="s">
        <v>236</v>
      </c>
      <c r="B67" s="44">
        <f>V_6!B67+V_8!B67+V_10!B67</f>
        <v>139</v>
      </c>
      <c r="C67" s="39">
        <f>V_6!C67+V_8!C67+V_10!C67</f>
        <v>57</v>
      </c>
      <c r="D67" s="39">
        <f>V_6!D67+V_8!D67+V_10!D67</f>
        <v>20</v>
      </c>
      <c r="E67" s="39">
        <f>V_6!E67+V_8!E67+V_10!E67</f>
        <v>6</v>
      </c>
      <c r="F67" s="152">
        <f>V_6!F67+V_8!F67+V_10!F67</f>
        <v>11</v>
      </c>
      <c r="G67" s="154">
        <f t="shared" si="4"/>
        <v>233</v>
      </c>
      <c r="H67" s="44">
        <f>V_6!H67+V_8!H67+V_10!H67</f>
        <v>0</v>
      </c>
      <c r="I67" s="39">
        <f>V_6!I67+V_8!I67+V_10!I67</f>
        <v>0</v>
      </c>
      <c r="J67" s="39">
        <f>V_6!J67+V_8!J67+V_10!J67</f>
        <v>0</v>
      </c>
      <c r="K67" s="45">
        <f>V_6!K67+V_8!K67+V_10!K67</f>
        <v>0</v>
      </c>
      <c r="L67" s="140">
        <f>V_6!L67+V_8!L67+V_10!L67</f>
        <v>0</v>
      </c>
      <c r="M67" s="149">
        <f t="shared" si="1"/>
        <v>0</v>
      </c>
      <c r="N67" s="100">
        <f t="shared" si="2"/>
        <v>233</v>
      </c>
      <c r="O67" s="43">
        <f t="shared" si="3"/>
        <v>265</v>
      </c>
    </row>
    <row r="68" spans="1:15" ht="22.5" customHeight="1" x14ac:dyDescent="0.3">
      <c r="A68" s="149" t="s">
        <v>237</v>
      </c>
      <c r="B68" s="44">
        <f>V_6!B68+V_8!B68+V_10!B68</f>
        <v>126</v>
      </c>
      <c r="C68" s="39">
        <f>V_6!C68+V_8!C68+V_10!C68</f>
        <v>49</v>
      </c>
      <c r="D68" s="39">
        <f>V_6!D68+V_8!D68+V_10!D68</f>
        <v>15</v>
      </c>
      <c r="E68" s="39">
        <f>V_6!E68+V_8!E68+V_10!E68</f>
        <v>1</v>
      </c>
      <c r="F68" s="152">
        <f>V_6!F68+V_8!F68+V_10!F68</f>
        <v>11</v>
      </c>
      <c r="G68" s="154">
        <f t="shared" si="4"/>
        <v>202</v>
      </c>
      <c r="H68" s="44">
        <f>V_6!H68+V_8!H68+V_10!H68</f>
        <v>0</v>
      </c>
      <c r="I68" s="39">
        <f>V_6!I68+V_8!I68+V_10!I68</f>
        <v>0</v>
      </c>
      <c r="J68" s="39">
        <f>V_6!J68+V_8!J68+V_10!J68</f>
        <v>0</v>
      </c>
      <c r="K68" s="45">
        <f>V_6!K68+V_8!K68+V_10!K68</f>
        <v>0</v>
      </c>
      <c r="L68" s="140">
        <f>V_6!L68+V_8!L68+V_10!L68</f>
        <v>0</v>
      </c>
      <c r="M68" s="149">
        <f t="shared" si="1"/>
        <v>0</v>
      </c>
      <c r="N68" s="100">
        <f t="shared" si="2"/>
        <v>202</v>
      </c>
      <c r="O68" s="43">
        <f t="shared" si="3"/>
        <v>225.5</v>
      </c>
    </row>
    <row r="69" spans="1:15" ht="22.5" customHeight="1" x14ac:dyDescent="0.3">
      <c r="A69" s="149" t="s">
        <v>238</v>
      </c>
      <c r="B69" s="44">
        <f>V_6!B69+V_8!B69+V_10!B69</f>
        <v>140</v>
      </c>
      <c r="C69" s="39">
        <f>V_6!C69+V_8!C69+V_10!C69</f>
        <v>47</v>
      </c>
      <c r="D69" s="39">
        <f>V_6!D69+V_8!D69+V_10!D69</f>
        <v>9</v>
      </c>
      <c r="E69" s="39">
        <f>V_6!E69+V_8!E69+V_10!E69</f>
        <v>5</v>
      </c>
      <c r="F69" s="152">
        <f>V_6!F69+V_8!F69+V_10!F69</f>
        <v>16</v>
      </c>
      <c r="G69" s="154">
        <f t="shared" si="4"/>
        <v>217</v>
      </c>
      <c r="H69" s="44">
        <f>V_6!H69+V_8!H69+V_10!H69</f>
        <v>0</v>
      </c>
      <c r="I69" s="39">
        <f>V_6!I69+V_8!I69+V_10!I69</f>
        <v>0</v>
      </c>
      <c r="J69" s="39">
        <f>V_6!J69+V_8!J69+V_10!J69</f>
        <v>0</v>
      </c>
      <c r="K69" s="45">
        <f>V_6!K69+V_8!K69+V_10!K69</f>
        <v>0</v>
      </c>
      <c r="L69" s="140">
        <f>V_6!L69+V_8!L69+V_10!L69</f>
        <v>1</v>
      </c>
      <c r="M69" s="149">
        <f t="shared" si="1"/>
        <v>1</v>
      </c>
      <c r="N69" s="100">
        <f t="shared" si="2"/>
        <v>218</v>
      </c>
      <c r="O69" s="43">
        <f t="shared" si="3"/>
        <v>272</v>
      </c>
    </row>
    <row r="70" spans="1:15" ht="22.5" customHeight="1" x14ac:dyDescent="0.3">
      <c r="A70" s="149" t="s">
        <v>239</v>
      </c>
      <c r="B70" s="44">
        <f>V_6!B70+V_8!B70+V_10!B70</f>
        <v>115</v>
      </c>
      <c r="C70" s="39">
        <f>V_6!C70+V_8!C70+V_10!C70</f>
        <v>33</v>
      </c>
      <c r="D70" s="39">
        <f>V_6!D70+V_8!D70+V_10!D70</f>
        <v>11</v>
      </c>
      <c r="E70" s="39">
        <f>V_6!E70+V_8!E70+V_10!E70</f>
        <v>5</v>
      </c>
      <c r="F70" s="152">
        <f>V_6!F70+V_8!F70+V_10!F70</f>
        <v>17</v>
      </c>
      <c r="G70" s="154">
        <f t="shared" si="4"/>
        <v>181</v>
      </c>
      <c r="H70" s="44">
        <f>V_6!H70+V_8!H70+V_10!H70</f>
        <v>0</v>
      </c>
      <c r="I70" s="39">
        <f>V_6!I70+V_8!I70+V_10!I70</f>
        <v>0</v>
      </c>
      <c r="J70" s="39">
        <f>V_6!J70+V_8!J70+V_10!J70</f>
        <v>0</v>
      </c>
      <c r="K70" s="45">
        <f>V_6!K70+V_8!K70+V_10!K70</f>
        <v>0</v>
      </c>
      <c r="L70" s="140">
        <f>V_6!L70+V_8!L70+V_10!L70</f>
        <v>0</v>
      </c>
      <c r="M70" s="149">
        <f t="shared" si="1"/>
        <v>0</v>
      </c>
      <c r="N70" s="100">
        <f t="shared" si="2"/>
        <v>181</v>
      </c>
      <c r="O70" s="43">
        <f t="shared" si="3"/>
        <v>239.5</v>
      </c>
    </row>
    <row r="71" spans="1:15" ht="22.5" customHeight="1" x14ac:dyDescent="0.3">
      <c r="A71" s="149" t="s">
        <v>240</v>
      </c>
      <c r="B71" s="44">
        <f>V_6!B71+V_8!B71+V_10!B71</f>
        <v>117</v>
      </c>
      <c r="C71" s="39">
        <f>V_6!C71+V_8!C71+V_10!C71</f>
        <v>40</v>
      </c>
      <c r="D71" s="39">
        <f>V_6!D71+V_8!D71+V_10!D71</f>
        <v>9</v>
      </c>
      <c r="E71" s="39">
        <f>V_6!E71+V_8!E71+V_10!E71</f>
        <v>7</v>
      </c>
      <c r="F71" s="152">
        <f>V_6!F71+V_8!F71+V_10!F71</f>
        <v>18</v>
      </c>
      <c r="G71" s="154">
        <f t="shared" si="4"/>
        <v>191</v>
      </c>
      <c r="H71" s="44">
        <f>V_6!H71+V_8!H71+V_10!H71</f>
        <v>0</v>
      </c>
      <c r="I71" s="39">
        <f>V_6!I71+V_8!I71+V_10!I71</f>
        <v>0</v>
      </c>
      <c r="J71" s="39">
        <f>V_6!J71+V_8!J71+V_10!J71</f>
        <v>0</v>
      </c>
      <c r="K71" s="45">
        <f>V_6!K71+V_8!K71+V_10!K71</f>
        <v>0</v>
      </c>
      <c r="L71" s="140">
        <f>V_6!L71+V_8!L71+V_10!L71</f>
        <v>0</v>
      </c>
      <c r="M71" s="149">
        <f t="shared" si="1"/>
        <v>0</v>
      </c>
      <c r="N71" s="100">
        <f t="shared" si="2"/>
        <v>191</v>
      </c>
      <c r="O71" s="43">
        <f t="shared" si="3"/>
        <v>252.5</v>
      </c>
    </row>
    <row r="72" spans="1:15" ht="22.5" customHeight="1" x14ac:dyDescent="0.3">
      <c r="A72" s="149" t="s">
        <v>153</v>
      </c>
      <c r="B72" s="44">
        <f>V_6!B72+V_8!B72+V_10!B72</f>
        <v>63</v>
      </c>
      <c r="C72" s="39">
        <f>V_6!C72+V_8!C72+V_10!C72</f>
        <v>70</v>
      </c>
      <c r="D72" s="39">
        <f>V_6!D72+V_8!D72+V_10!D72</f>
        <v>11</v>
      </c>
      <c r="E72" s="39">
        <f>V_6!E72+V_8!E72+V_10!E72</f>
        <v>4</v>
      </c>
      <c r="F72" s="152">
        <f>V_6!F72+V_8!F72+V_10!F72</f>
        <v>17</v>
      </c>
      <c r="G72" s="154">
        <f t="shared" ref="G72:G103" si="5">SUM(B72:F72)</f>
        <v>165</v>
      </c>
      <c r="H72" s="44">
        <f>V_6!H72+V_8!H72+V_10!H72</f>
        <v>0</v>
      </c>
      <c r="I72" s="39">
        <f>V_6!I72+V_8!I72+V_10!I72</f>
        <v>0</v>
      </c>
      <c r="J72" s="39">
        <f>V_6!J72+V_8!J72+V_10!J72</f>
        <v>0</v>
      </c>
      <c r="K72" s="45">
        <f>V_6!K72+V_8!K72+V_10!K72</f>
        <v>0</v>
      </c>
      <c r="L72" s="140">
        <f>V_6!L72+V_8!L72+V_10!L72</f>
        <v>1</v>
      </c>
      <c r="M72" s="149">
        <f t="shared" si="1"/>
        <v>1</v>
      </c>
      <c r="N72" s="100">
        <f t="shared" si="2"/>
        <v>166</v>
      </c>
      <c r="O72" s="43">
        <f t="shared" si="3"/>
        <v>211</v>
      </c>
    </row>
    <row r="73" spans="1:15" ht="22.5" customHeight="1" x14ac:dyDescent="0.3">
      <c r="A73" s="149" t="s">
        <v>154</v>
      </c>
      <c r="B73" s="44">
        <f>V_6!B73+V_8!B73+V_10!B73</f>
        <v>65</v>
      </c>
      <c r="C73" s="39">
        <f>V_6!C73+V_8!C73+V_10!C73</f>
        <v>56</v>
      </c>
      <c r="D73" s="39">
        <f>V_6!D73+V_8!D73+V_10!D73</f>
        <v>8</v>
      </c>
      <c r="E73" s="39">
        <f>V_6!E73+V_8!E73+V_10!E73</f>
        <v>5</v>
      </c>
      <c r="F73" s="152">
        <f>V_6!F73+V_8!F73+V_10!F73</f>
        <v>14</v>
      </c>
      <c r="G73" s="154">
        <f t="shared" si="5"/>
        <v>148</v>
      </c>
      <c r="H73" s="44">
        <f>V_6!H73+V_8!H73+V_10!H73</f>
        <v>0</v>
      </c>
      <c r="I73" s="39">
        <f>V_6!I73+V_8!I73+V_10!I73</f>
        <v>0</v>
      </c>
      <c r="J73" s="39">
        <f>V_6!J73+V_8!J73+V_10!J73</f>
        <v>0</v>
      </c>
      <c r="K73" s="45">
        <f>V_6!K73+V_8!K73+V_10!K73</f>
        <v>0</v>
      </c>
      <c r="L73" s="140">
        <f>V_6!L73+V_8!L73+V_10!L73</f>
        <v>0</v>
      </c>
      <c r="M73" s="149">
        <f t="shared" ref="M73:M103" si="6">SUM(H73:L73)</f>
        <v>0</v>
      </c>
      <c r="N73" s="100">
        <f t="shared" ref="N73:N103" si="7">G73+M73</f>
        <v>148</v>
      </c>
      <c r="O73" s="43">
        <f t="shared" ref="O73:O103" si="8">B73*1+C73*0.5+D73*1.5+E73*3+F73*4.5+H73*0.5+I73*1.5+J73*3+K73*4+L73*8</f>
        <v>183</v>
      </c>
    </row>
    <row r="74" spans="1:15" ht="22.5" customHeight="1" x14ac:dyDescent="0.3">
      <c r="A74" s="149" t="s">
        <v>155</v>
      </c>
      <c r="B74" s="44">
        <f>V_6!B74+V_8!B74+V_10!B74</f>
        <v>69</v>
      </c>
      <c r="C74" s="39">
        <f>V_6!C74+V_8!C74+V_10!C74</f>
        <v>37</v>
      </c>
      <c r="D74" s="39">
        <f>V_6!D74+V_8!D74+V_10!D74</f>
        <v>17</v>
      </c>
      <c r="E74" s="39">
        <f>V_6!E74+V_8!E74+V_10!E74</f>
        <v>6</v>
      </c>
      <c r="F74" s="152">
        <f>V_6!F74+V_8!F74+V_10!F74</f>
        <v>12</v>
      </c>
      <c r="G74" s="154">
        <f t="shared" si="5"/>
        <v>141</v>
      </c>
      <c r="H74" s="44">
        <f>V_6!H74+V_8!H74+V_10!H74</f>
        <v>0</v>
      </c>
      <c r="I74" s="39">
        <f>V_6!I74+V_8!I74+V_10!I74</f>
        <v>0</v>
      </c>
      <c r="J74" s="39">
        <f>V_6!J74+V_8!J74+V_10!J74</f>
        <v>0</v>
      </c>
      <c r="K74" s="45">
        <f>V_6!K74+V_8!K74+V_10!K74</f>
        <v>0</v>
      </c>
      <c r="L74" s="140">
        <f>V_6!L74+V_8!L74+V_10!L74</f>
        <v>0</v>
      </c>
      <c r="M74" s="149">
        <f t="shared" si="6"/>
        <v>0</v>
      </c>
      <c r="N74" s="100">
        <f t="shared" si="7"/>
        <v>141</v>
      </c>
      <c r="O74" s="43">
        <f t="shared" si="8"/>
        <v>185</v>
      </c>
    </row>
    <row r="75" spans="1:15" ht="22.5" customHeight="1" x14ac:dyDescent="0.3">
      <c r="A75" s="149" t="s">
        <v>156</v>
      </c>
      <c r="B75" s="44">
        <f>V_6!B75+V_8!B75+V_10!B75</f>
        <v>73</v>
      </c>
      <c r="C75" s="39">
        <f>V_6!C75+V_8!C75+V_10!C75</f>
        <v>39</v>
      </c>
      <c r="D75" s="39">
        <f>V_6!D75+V_8!D75+V_10!D75</f>
        <v>19</v>
      </c>
      <c r="E75" s="39">
        <f>V_6!E75+V_8!E75+V_10!E75</f>
        <v>7</v>
      </c>
      <c r="F75" s="152">
        <f>V_6!F75+V_8!F75+V_10!F75</f>
        <v>4</v>
      </c>
      <c r="G75" s="154">
        <f t="shared" si="5"/>
        <v>142</v>
      </c>
      <c r="H75" s="44">
        <f>V_6!H75+V_8!H75+V_10!H75</f>
        <v>0</v>
      </c>
      <c r="I75" s="39">
        <f>V_6!I75+V_8!I75+V_10!I75</f>
        <v>0</v>
      </c>
      <c r="J75" s="39">
        <f>V_6!J75+V_8!J75+V_10!J75</f>
        <v>0</v>
      </c>
      <c r="K75" s="45">
        <f>V_6!K75+V_8!K75+V_10!K75</f>
        <v>0</v>
      </c>
      <c r="L75" s="140">
        <f>V_6!L75+V_8!L75+V_10!L75</f>
        <v>1</v>
      </c>
      <c r="M75" s="149">
        <f t="shared" si="6"/>
        <v>1</v>
      </c>
      <c r="N75" s="100">
        <f t="shared" si="7"/>
        <v>143</v>
      </c>
      <c r="O75" s="43">
        <f t="shared" si="8"/>
        <v>168</v>
      </c>
    </row>
    <row r="76" spans="1:15" ht="22.5" customHeight="1" x14ac:dyDescent="0.3">
      <c r="A76" s="149" t="s">
        <v>157</v>
      </c>
      <c r="B76" s="44">
        <f>V_6!B76+V_8!B76+V_10!B76</f>
        <v>58</v>
      </c>
      <c r="C76" s="39">
        <f>V_6!C76+V_8!C76+V_10!C76</f>
        <v>24</v>
      </c>
      <c r="D76" s="39">
        <f>V_6!D76+V_8!D76+V_10!D76</f>
        <v>8</v>
      </c>
      <c r="E76" s="39">
        <f>V_6!E76+V_8!E76+V_10!E76</f>
        <v>6</v>
      </c>
      <c r="F76" s="152">
        <f>V_6!F76+V_8!F76+V_10!F76</f>
        <v>6</v>
      </c>
      <c r="G76" s="154">
        <f t="shared" si="5"/>
        <v>102</v>
      </c>
      <c r="H76" s="44">
        <f>V_6!H76+V_8!H76+V_10!H76</f>
        <v>0</v>
      </c>
      <c r="I76" s="39">
        <f>V_6!I76+V_8!I76+V_10!I76</f>
        <v>0</v>
      </c>
      <c r="J76" s="39">
        <f>V_6!J76+V_8!J76+V_10!J76</f>
        <v>0</v>
      </c>
      <c r="K76" s="45">
        <f>V_6!K76+V_8!K76+V_10!K76</f>
        <v>0</v>
      </c>
      <c r="L76" s="140">
        <f>V_6!L76+V_8!L76+V_10!L76</f>
        <v>0</v>
      </c>
      <c r="M76" s="149">
        <f t="shared" si="6"/>
        <v>0</v>
      </c>
      <c r="N76" s="100">
        <f t="shared" si="7"/>
        <v>102</v>
      </c>
      <c r="O76" s="43">
        <f t="shared" si="8"/>
        <v>127</v>
      </c>
    </row>
    <row r="77" spans="1:15" ht="22.5" customHeight="1" x14ac:dyDescent="0.3">
      <c r="A77" s="149" t="s">
        <v>158</v>
      </c>
      <c r="B77" s="44">
        <f>V_6!B77+V_8!B77+V_10!B77</f>
        <v>59</v>
      </c>
      <c r="C77" s="39">
        <f>V_6!C77+V_8!C77+V_10!C77</f>
        <v>18</v>
      </c>
      <c r="D77" s="39">
        <f>V_6!D77+V_8!D77+V_10!D77</f>
        <v>19</v>
      </c>
      <c r="E77" s="39">
        <f>V_6!E77+V_8!E77+V_10!E77</f>
        <v>3</v>
      </c>
      <c r="F77" s="152">
        <f>V_6!F77+V_8!F77+V_10!F77</f>
        <v>6</v>
      </c>
      <c r="G77" s="154">
        <f t="shared" si="5"/>
        <v>105</v>
      </c>
      <c r="H77" s="44">
        <f>V_6!H77+V_8!H77+V_10!H77</f>
        <v>0</v>
      </c>
      <c r="I77" s="39">
        <f>V_6!I77+V_8!I77+V_10!I77</f>
        <v>0</v>
      </c>
      <c r="J77" s="39">
        <f>V_6!J77+V_8!J77+V_10!J77</f>
        <v>0</v>
      </c>
      <c r="K77" s="45">
        <f>V_6!K77+V_8!K77+V_10!K77</f>
        <v>0</v>
      </c>
      <c r="L77" s="140">
        <f>V_6!L77+V_8!L77+V_10!L77</f>
        <v>0</v>
      </c>
      <c r="M77" s="149">
        <f t="shared" si="6"/>
        <v>0</v>
      </c>
      <c r="N77" s="100">
        <f t="shared" si="7"/>
        <v>105</v>
      </c>
      <c r="O77" s="43">
        <f t="shared" si="8"/>
        <v>132.5</v>
      </c>
    </row>
    <row r="78" spans="1:15" ht="22.5" customHeight="1" x14ac:dyDescent="0.3">
      <c r="A78" s="149" t="s">
        <v>159</v>
      </c>
      <c r="B78" s="44">
        <f>V_6!B78+V_8!B78+V_10!B78</f>
        <v>45</v>
      </c>
      <c r="C78" s="39">
        <f>V_6!C78+V_8!C78+V_10!C78</f>
        <v>25</v>
      </c>
      <c r="D78" s="39">
        <f>V_6!D78+V_8!D78+V_10!D78</f>
        <v>5</v>
      </c>
      <c r="E78" s="39">
        <f>V_6!E78+V_8!E78+V_10!E78</f>
        <v>2</v>
      </c>
      <c r="F78" s="152">
        <f>V_6!F78+V_8!F78+V_10!F78</f>
        <v>18</v>
      </c>
      <c r="G78" s="154">
        <f t="shared" si="5"/>
        <v>95</v>
      </c>
      <c r="H78" s="44">
        <f>V_6!H78+V_8!H78+V_10!H78</f>
        <v>0</v>
      </c>
      <c r="I78" s="39">
        <f>V_6!I78+V_8!I78+V_10!I78</f>
        <v>0</v>
      </c>
      <c r="J78" s="39">
        <f>V_6!J78+V_8!J78+V_10!J78</f>
        <v>0</v>
      </c>
      <c r="K78" s="45">
        <f>V_6!K78+V_8!K78+V_10!K78</f>
        <v>0</v>
      </c>
      <c r="L78" s="140">
        <f>V_6!L78+V_8!L78+V_10!L78</f>
        <v>0</v>
      </c>
      <c r="M78" s="149">
        <f t="shared" si="6"/>
        <v>0</v>
      </c>
      <c r="N78" s="100">
        <f t="shared" si="7"/>
        <v>95</v>
      </c>
      <c r="O78" s="43">
        <f t="shared" si="8"/>
        <v>152</v>
      </c>
    </row>
    <row r="79" spans="1:15" ht="22.5" customHeight="1" x14ac:dyDescent="0.3">
      <c r="A79" s="149" t="s">
        <v>160</v>
      </c>
      <c r="B79" s="44">
        <f>V_6!B79+V_8!B79+V_10!B79</f>
        <v>38</v>
      </c>
      <c r="C79" s="39">
        <f>V_6!C79+V_8!C79+V_10!C79</f>
        <v>32</v>
      </c>
      <c r="D79" s="39">
        <f>V_6!D79+V_8!D79+V_10!D79</f>
        <v>5</v>
      </c>
      <c r="E79" s="39">
        <f>V_6!E79+V_8!E79+V_10!E79</f>
        <v>6</v>
      </c>
      <c r="F79" s="152">
        <f>V_6!F79+V_8!F79+V_10!F79</f>
        <v>17</v>
      </c>
      <c r="G79" s="154">
        <f t="shared" si="5"/>
        <v>98</v>
      </c>
      <c r="H79" s="44">
        <f>V_6!H79+V_8!H79+V_10!H79</f>
        <v>0</v>
      </c>
      <c r="I79" s="39">
        <f>V_6!I79+V_8!I79+V_10!I79</f>
        <v>0</v>
      </c>
      <c r="J79" s="39">
        <f>V_6!J79+V_8!J79+V_10!J79</f>
        <v>0</v>
      </c>
      <c r="K79" s="45">
        <f>V_6!K79+V_8!K79+V_10!K79</f>
        <v>0</v>
      </c>
      <c r="L79" s="140">
        <f>V_6!L79+V_8!L79+V_10!L79</f>
        <v>1</v>
      </c>
      <c r="M79" s="149">
        <f t="shared" si="6"/>
        <v>1</v>
      </c>
      <c r="N79" s="100">
        <f t="shared" si="7"/>
        <v>99</v>
      </c>
      <c r="O79" s="43">
        <f t="shared" si="8"/>
        <v>164</v>
      </c>
    </row>
    <row r="80" spans="1:15" ht="22.5" customHeight="1" x14ac:dyDescent="0.3">
      <c r="A80" s="149" t="s">
        <v>161</v>
      </c>
      <c r="B80" s="44">
        <f>V_6!B80+V_8!B80+V_10!B80</f>
        <v>54</v>
      </c>
      <c r="C80" s="39">
        <f>V_6!C80+V_8!C80+V_10!C80</f>
        <v>12</v>
      </c>
      <c r="D80" s="39">
        <f>V_6!D80+V_8!D80+V_10!D80</f>
        <v>10</v>
      </c>
      <c r="E80" s="39">
        <f>V_6!E80+V_8!E80+V_10!E80</f>
        <v>2</v>
      </c>
      <c r="F80" s="152">
        <f>V_6!F80+V_8!F80+V_10!F80</f>
        <v>11</v>
      </c>
      <c r="G80" s="154">
        <f t="shared" si="5"/>
        <v>89</v>
      </c>
      <c r="H80" s="44">
        <f>V_6!H80+V_8!H80+V_10!H80</f>
        <v>0</v>
      </c>
      <c r="I80" s="39">
        <f>V_6!I80+V_8!I80+V_10!I80</f>
        <v>0</v>
      </c>
      <c r="J80" s="39">
        <f>V_6!J80+V_8!J80+V_10!J80</f>
        <v>0</v>
      </c>
      <c r="K80" s="45">
        <f>V_6!K80+V_8!K80+V_10!K80</f>
        <v>0</v>
      </c>
      <c r="L80" s="140">
        <f>V_6!L80+V_8!L80+V_10!L80</f>
        <v>0</v>
      </c>
      <c r="M80" s="149">
        <f t="shared" si="6"/>
        <v>0</v>
      </c>
      <c r="N80" s="100">
        <f t="shared" si="7"/>
        <v>89</v>
      </c>
      <c r="O80" s="43">
        <f t="shared" si="8"/>
        <v>130.5</v>
      </c>
    </row>
    <row r="81" spans="1:15" ht="22.5" customHeight="1" x14ac:dyDescent="0.3">
      <c r="A81" s="149" t="s">
        <v>162</v>
      </c>
      <c r="B81" s="44">
        <f>V_6!B81+V_8!B81+V_10!B81</f>
        <v>54</v>
      </c>
      <c r="C81" s="39">
        <f>V_6!C81+V_8!C81+V_10!C81</f>
        <v>6</v>
      </c>
      <c r="D81" s="39">
        <f>V_6!D81+V_8!D81+V_10!D81</f>
        <v>3</v>
      </c>
      <c r="E81" s="39">
        <f>V_6!E81+V_8!E81+V_10!E81</f>
        <v>6</v>
      </c>
      <c r="F81" s="152">
        <f>V_6!F81+V_8!F81+V_10!F81</f>
        <v>10</v>
      </c>
      <c r="G81" s="154">
        <f t="shared" si="5"/>
        <v>79</v>
      </c>
      <c r="H81" s="44">
        <f>V_6!H81+V_8!H81+V_10!H81</f>
        <v>0</v>
      </c>
      <c r="I81" s="39">
        <f>V_6!I81+V_8!I81+V_10!I81</f>
        <v>0</v>
      </c>
      <c r="J81" s="39">
        <f>V_6!J81+V_8!J81+V_10!J81</f>
        <v>0</v>
      </c>
      <c r="K81" s="45">
        <f>V_6!K81+V_8!K81+V_10!K81</f>
        <v>0</v>
      </c>
      <c r="L81" s="140">
        <f>V_6!L81+V_8!L81+V_10!L81</f>
        <v>0</v>
      </c>
      <c r="M81" s="149">
        <f t="shared" si="6"/>
        <v>0</v>
      </c>
      <c r="N81" s="100">
        <f t="shared" si="7"/>
        <v>79</v>
      </c>
      <c r="O81" s="43">
        <f t="shared" si="8"/>
        <v>124.5</v>
      </c>
    </row>
    <row r="82" spans="1:15" ht="22.5" customHeight="1" x14ac:dyDescent="0.3">
      <c r="A82" s="149" t="s">
        <v>163</v>
      </c>
      <c r="B82" s="44">
        <f>V_6!B82+V_8!B82+V_10!B82</f>
        <v>54</v>
      </c>
      <c r="C82" s="39">
        <f>V_6!C82+V_8!C82+V_10!C82</f>
        <v>6</v>
      </c>
      <c r="D82" s="39">
        <f>V_6!D82+V_8!D82+V_10!D82</f>
        <v>11</v>
      </c>
      <c r="E82" s="39">
        <f>V_6!E82+V_8!E82+V_10!E82</f>
        <v>2</v>
      </c>
      <c r="F82" s="152">
        <f>V_6!F82+V_8!F82+V_10!F82</f>
        <v>6</v>
      </c>
      <c r="G82" s="154">
        <f t="shared" si="5"/>
        <v>79</v>
      </c>
      <c r="H82" s="44">
        <f>V_6!H82+V_8!H82+V_10!H82</f>
        <v>0</v>
      </c>
      <c r="I82" s="39">
        <f>V_6!I82+V_8!I82+V_10!I82</f>
        <v>0</v>
      </c>
      <c r="J82" s="39">
        <f>V_6!J82+V_8!J82+V_10!J82</f>
        <v>0</v>
      </c>
      <c r="K82" s="45">
        <f>V_6!K82+V_8!K82+V_10!K82</f>
        <v>0</v>
      </c>
      <c r="L82" s="140">
        <f>V_6!L82+V_8!L82+V_10!L82</f>
        <v>0</v>
      </c>
      <c r="M82" s="149">
        <f t="shared" si="6"/>
        <v>0</v>
      </c>
      <c r="N82" s="100">
        <f t="shared" si="7"/>
        <v>79</v>
      </c>
      <c r="O82" s="43">
        <f t="shared" si="8"/>
        <v>106.5</v>
      </c>
    </row>
    <row r="83" spans="1:15" ht="22.5" customHeight="1" x14ac:dyDescent="0.3">
      <c r="A83" s="149" t="s">
        <v>164</v>
      </c>
      <c r="B83" s="44">
        <f>V_6!B83+V_8!B83+V_10!B83</f>
        <v>42</v>
      </c>
      <c r="C83" s="39">
        <f>V_6!C83+V_8!C83+V_10!C83</f>
        <v>5</v>
      </c>
      <c r="D83" s="39">
        <f>V_6!D83+V_8!D83+V_10!D83</f>
        <v>6</v>
      </c>
      <c r="E83" s="39">
        <f>V_6!E83+V_8!E83+V_10!E83</f>
        <v>6</v>
      </c>
      <c r="F83" s="152">
        <f>V_6!F83+V_8!F83+V_10!F83</f>
        <v>8</v>
      </c>
      <c r="G83" s="154">
        <f t="shared" si="5"/>
        <v>67</v>
      </c>
      <c r="H83" s="44">
        <f>V_6!H83+V_8!H83+V_10!H83</f>
        <v>0</v>
      </c>
      <c r="I83" s="39">
        <f>V_6!I83+V_8!I83+V_10!I83</f>
        <v>0</v>
      </c>
      <c r="J83" s="39">
        <f>V_6!J83+V_8!J83+V_10!J83</f>
        <v>0</v>
      </c>
      <c r="K83" s="45">
        <f>V_6!K83+V_8!K83+V_10!K83</f>
        <v>0</v>
      </c>
      <c r="L83" s="140">
        <f>V_6!L83+V_8!L83+V_10!L83</f>
        <v>0</v>
      </c>
      <c r="M83" s="149">
        <f t="shared" si="6"/>
        <v>0</v>
      </c>
      <c r="N83" s="100">
        <f t="shared" si="7"/>
        <v>67</v>
      </c>
      <c r="O83" s="43">
        <f t="shared" si="8"/>
        <v>107.5</v>
      </c>
    </row>
    <row r="84" spans="1:15" ht="22.5" customHeight="1" x14ac:dyDescent="0.3">
      <c r="A84" s="149" t="s">
        <v>165</v>
      </c>
      <c r="B84" s="44">
        <f>V_6!B84+V_8!B84+V_10!B84</f>
        <v>40</v>
      </c>
      <c r="C84" s="39">
        <f>V_6!C84+V_8!C84+V_10!C84</f>
        <v>9</v>
      </c>
      <c r="D84" s="39">
        <f>V_6!D84+V_8!D84+V_10!D84</f>
        <v>3</v>
      </c>
      <c r="E84" s="39">
        <f>V_6!E84+V_8!E84+V_10!E84</f>
        <v>4</v>
      </c>
      <c r="F84" s="152">
        <f>V_6!F84+V_8!F84+V_10!F84</f>
        <v>2</v>
      </c>
      <c r="G84" s="154">
        <f t="shared" si="5"/>
        <v>58</v>
      </c>
      <c r="H84" s="44">
        <f>V_6!H84+V_8!H84+V_10!H84</f>
        <v>0</v>
      </c>
      <c r="I84" s="39">
        <f>V_6!I84+V_8!I84+V_10!I84</f>
        <v>0</v>
      </c>
      <c r="J84" s="39">
        <f>V_6!J84+V_8!J84+V_10!J84</f>
        <v>0</v>
      </c>
      <c r="K84" s="45">
        <f>V_6!K84+V_8!K84+V_10!K84</f>
        <v>0</v>
      </c>
      <c r="L84" s="140">
        <f>V_6!L84+V_8!L84+V_10!L84</f>
        <v>0</v>
      </c>
      <c r="M84" s="149">
        <f t="shared" si="6"/>
        <v>0</v>
      </c>
      <c r="N84" s="100">
        <f t="shared" si="7"/>
        <v>58</v>
      </c>
      <c r="O84" s="43">
        <f t="shared" si="8"/>
        <v>70</v>
      </c>
    </row>
    <row r="85" spans="1:15" ht="22.5" customHeight="1" x14ac:dyDescent="0.3">
      <c r="A85" s="149" t="s">
        <v>166</v>
      </c>
      <c r="B85" s="44">
        <f>V_6!B85+V_8!B85+V_10!B85</f>
        <v>36</v>
      </c>
      <c r="C85" s="39">
        <f>V_6!C85+V_8!C85+V_10!C85</f>
        <v>6</v>
      </c>
      <c r="D85" s="39">
        <f>V_6!D85+V_8!D85+V_10!D85</f>
        <v>6</v>
      </c>
      <c r="E85" s="39">
        <f>V_6!E85+V_8!E85+V_10!E85</f>
        <v>6</v>
      </c>
      <c r="F85" s="152">
        <f>V_6!F85+V_8!F85+V_10!F85</f>
        <v>5</v>
      </c>
      <c r="G85" s="154">
        <f t="shared" si="5"/>
        <v>59</v>
      </c>
      <c r="H85" s="44">
        <f>V_6!H85+V_8!H85+V_10!H85</f>
        <v>0</v>
      </c>
      <c r="I85" s="39">
        <f>V_6!I85+V_8!I85+V_10!I85</f>
        <v>0</v>
      </c>
      <c r="J85" s="39">
        <f>V_6!J85+V_8!J85+V_10!J85</f>
        <v>0</v>
      </c>
      <c r="K85" s="45">
        <f>V_6!K85+V_8!K85+V_10!K85</f>
        <v>0</v>
      </c>
      <c r="L85" s="140">
        <f>V_6!L85+V_8!L85+V_10!L85</f>
        <v>0</v>
      </c>
      <c r="M85" s="149">
        <f t="shared" si="6"/>
        <v>0</v>
      </c>
      <c r="N85" s="100">
        <f t="shared" si="7"/>
        <v>59</v>
      </c>
      <c r="O85" s="43">
        <f t="shared" si="8"/>
        <v>88.5</v>
      </c>
    </row>
    <row r="86" spans="1:15" ht="22.5" customHeight="1" x14ac:dyDescent="0.3">
      <c r="A86" s="149" t="s">
        <v>167</v>
      </c>
      <c r="B86" s="44">
        <f>V_6!B86+V_8!B86+V_10!B86</f>
        <v>40</v>
      </c>
      <c r="C86" s="39">
        <f>V_6!C86+V_8!C86+V_10!C86</f>
        <v>3</v>
      </c>
      <c r="D86" s="39">
        <f>V_6!D86+V_8!D86+V_10!D86</f>
        <v>6</v>
      </c>
      <c r="E86" s="39">
        <f>V_6!E86+V_8!E86+V_10!E86</f>
        <v>5</v>
      </c>
      <c r="F86" s="152">
        <f>V_6!F86+V_8!F86+V_10!F86</f>
        <v>6</v>
      </c>
      <c r="G86" s="154">
        <f t="shared" si="5"/>
        <v>60</v>
      </c>
      <c r="H86" s="44">
        <f>V_6!H86+V_8!H86+V_10!H86</f>
        <v>0</v>
      </c>
      <c r="I86" s="39">
        <f>V_6!I86+V_8!I86+V_10!I86</f>
        <v>0</v>
      </c>
      <c r="J86" s="39">
        <f>V_6!J86+V_8!J86+V_10!J86</f>
        <v>0</v>
      </c>
      <c r="K86" s="45">
        <f>V_6!K86+V_8!K86+V_10!K86</f>
        <v>0</v>
      </c>
      <c r="L86" s="140">
        <f>V_6!L86+V_8!L86+V_10!L86</f>
        <v>0</v>
      </c>
      <c r="M86" s="149">
        <f t="shared" si="6"/>
        <v>0</v>
      </c>
      <c r="N86" s="100">
        <f t="shared" si="7"/>
        <v>60</v>
      </c>
      <c r="O86" s="43">
        <f t="shared" si="8"/>
        <v>92.5</v>
      </c>
    </row>
    <row r="87" spans="1:15" ht="22.5" customHeight="1" x14ac:dyDescent="0.3">
      <c r="A87" s="149" t="s">
        <v>168</v>
      </c>
      <c r="B87" s="44">
        <f>V_6!B87+V_8!B87+V_10!B87</f>
        <v>33</v>
      </c>
      <c r="C87" s="39">
        <f>V_6!C87+V_8!C87+V_10!C87</f>
        <v>5</v>
      </c>
      <c r="D87" s="39">
        <f>V_6!D87+V_8!D87+V_10!D87</f>
        <v>5</v>
      </c>
      <c r="E87" s="39">
        <f>V_6!E87+V_8!E87+V_10!E87</f>
        <v>10</v>
      </c>
      <c r="F87" s="152">
        <f>V_6!F87+V_8!F87+V_10!F87</f>
        <v>13</v>
      </c>
      <c r="G87" s="154">
        <f t="shared" si="5"/>
        <v>66</v>
      </c>
      <c r="H87" s="44">
        <f>V_6!H87+V_8!H87+V_10!H87</f>
        <v>0</v>
      </c>
      <c r="I87" s="39">
        <f>V_6!I87+V_8!I87+V_10!I87</f>
        <v>0</v>
      </c>
      <c r="J87" s="39">
        <f>V_6!J87+V_8!J87+V_10!J87</f>
        <v>0</v>
      </c>
      <c r="K87" s="45">
        <f>V_6!K87+V_8!K87+V_10!K87</f>
        <v>0</v>
      </c>
      <c r="L87" s="140">
        <f>V_6!L87+V_8!L87+V_10!L87</f>
        <v>0</v>
      </c>
      <c r="M87" s="149">
        <f t="shared" si="6"/>
        <v>0</v>
      </c>
      <c r="N87" s="100">
        <f t="shared" si="7"/>
        <v>66</v>
      </c>
      <c r="O87" s="43">
        <f t="shared" si="8"/>
        <v>131.5</v>
      </c>
    </row>
    <row r="88" spans="1:15" ht="22.5" customHeight="1" x14ac:dyDescent="0.3">
      <c r="A88" s="149" t="s">
        <v>169</v>
      </c>
      <c r="B88" s="44">
        <f>V_6!B88+V_8!B88+V_10!B88</f>
        <v>61</v>
      </c>
      <c r="C88" s="39">
        <f>V_6!C88+V_8!C88+V_10!C88</f>
        <v>5</v>
      </c>
      <c r="D88" s="39">
        <f>V_6!D88+V_8!D88+V_10!D88</f>
        <v>8</v>
      </c>
      <c r="E88" s="39">
        <f>V_6!E88+V_8!E88+V_10!E88</f>
        <v>2</v>
      </c>
      <c r="F88" s="152">
        <f>V_6!F88+V_8!F88+V_10!F88</f>
        <v>5</v>
      </c>
      <c r="G88" s="154">
        <f t="shared" si="5"/>
        <v>81</v>
      </c>
      <c r="H88" s="44">
        <f>V_6!H88+V_8!H88+V_10!H88</f>
        <v>0</v>
      </c>
      <c r="I88" s="39">
        <f>V_6!I88+V_8!I88+V_10!I88</f>
        <v>0</v>
      </c>
      <c r="J88" s="39">
        <f>V_6!J88+V_8!J88+V_10!J88</f>
        <v>0</v>
      </c>
      <c r="K88" s="45">
        <f>V_6!K88+V_8!K88+V_10!K88</f>
        <v>0</v>
      </c>
      <c r="L88" s="140">
        <f>V_6!L88+V_8!L88+V_10!L88</f>
        <v>0</v>
      </c>
      <c r="M88" s="149">
        <f t="shared" si="6"/>
        <v>0</v>
      </c>
      <c r="N88" s="100">
        <f t="shared" si="7"/>
        <v>81</v>
      </c>
      <c r="O88" s="43">
        <f t="shared" si="8"/>
        <v>104</v>
      </c>
    </row>
    <row r="89" spans="1:15" ht="22.5" customHeight="1" x14ac:dyDescent="0.3">
      <c r="A89" s="149" t="s">
        <v>170</v>
      </c>
      <c r="B89" s="44">
        <f>V_6!B89+V_8!B89+V_10!B89</f>
        <v>60</v>
      </c>
      <c r="C89" s="39">
        <f>V_6!C89+V_8!C89+V_10!C89</f>
        <v>10</v>
      </c>
      <c r="D89" s="39">
        <f>V_6!D89+V_8!D89+V_10!D89</f>
        <v>8</v>
      </c>
      <c r="E89" s="39">
        <f>V_6!E89+V_8!E89+V_10!E89</f>
        <v>7</v>
      </c>
      <c r="F89" s="152">
        <f>V_6!F89+V_8!F89+V_10!F89</f>
        <v>10</v>
      </c>
      <c r="G89" s="154">
        <f t="shared" si="5"/>
        <v>95</v>
      </c>
      <c r="H89" s="44">
        <f>V_6!H89+V_8!H89+V_10!H89</f>
        <v>0</v>
      </c>
      <c r="I89" s="39">
        <f>V_6!I89+V_8!I89+V_10!I89</f>
        <v>0</v>
      </c>
      <c r="J89" s="39">
        <f>V_6!J89+V_8!J89+V_10!J89</f>
        <v>0</v>
      </c>
      <c r="K89" s="45">
        <f>V_6!K89+V_8!K89+V_10!K89</f>
        <v>0</v>
      </c>
      <c r="L89" s="140">
        <f>V_6!L89+V_8!L89+V_10!L89</f>
        <v>0</v>
      </c>
      <c r="M89" s="149">
        <f t="shared" si="6"/>
        <v>0</v>
      </c>
      <c r="N89" s="100">
        <f t="shared" si="7"/>
        <v>95</v>
      </c>
      <c r="O89" s="43">
        <f t="shared" si="8"/>
        <v>143</v>
      </c>
    </row>
    <row r="90" spans="1:15" ht="22.5" customHeight="1" x14ac:dyDescent="0.3">
      <c r="A90" s="149" t="s">
        <v>171</v>
      </c>
      <c r="B90" s="44">
        <f>V_6!B90+V_8!B90+V_10!B90</f>
        <v>70</v>
      </c>
      <c r="C90" s="39">
        <f>V_6!C90+V_8!C90+V_10!C90</f>
        <v>16</v>
      </c>
      <c r="D90" s="39">
        <f>V_6!D90+V_8!D90+V_10!D90</f>
        <v>4</v>
      </c>
      <c r="E90" s="39">
        <f>V_6!E90+V_8!E90+V_10!E90</f>
        <v>9</v>
      </c>
      <c r="F90" s="152">
        <f>V_6!F90+V_8!F90+V_10!F90</f>
        <v>11</v>
      </c>
      <c r="G90" s="154">
        <f t="shared" si="5"/>
        <v>110</v>
      </c>
      <c r="H90" s="44">
        <f>V_6!H90+V_8!H90+V_10!H90</f>
        <v>0</v>
      </c>
      <c r="I90" s="39">
        <f>V_6!I90+V_8!I90+V_10!I90</f>
        <v>0</v>
      </c>
      <c r="J90" s="39">
        <f>V_6!J90+V_8!J90+V_10!J90</f>
        <v>0</v>
      </c>
      <c r="K90" s="45">
        <f>V_6!K90+V_8!K90+V_10!K90</f>
        <v>0</v>
      </c>
      <c r="L90" s="140">
        <f>V_6!L90+V_8!L90+V_10!L90</f>
        <v>0</v>
      </c>
      <c r="M90" s="149">
        <f t="shared" si="6"/>
        <v>0</v>
      </c>
      <c r="N90" s="100">
        <f t="shared" si="7"/>
        <v>110</v>
      </c>
      <c r="O90" s="43">
        <f t="shared" si="8"/>
        <v>160.5</v>
      </c>
    </row>
    <row r="91" spans="1:15" ht="22.5" customHeight="1" x14ac:dyDescent="0.3">
      <c r="A91" s="149" t="s">
        <v>172</v>
      </c>
      <c r="B91" s="44">
        <f>V_6!B91+V_8!B91+V_10!B91</f>
        <v>49</v>
      </c>
      <c r="C91" s="39">
        <f>V_6!C91+V_8!C91+V_10!C91</f>
        <v>16</v>
      </c>
      <c r="D91" s="39">
        <f>V_6!D91+V_8!D91+V_10!D91</f>
        <v>6</v>
      </c>
      <c r="E91" s="39">
        <f>V_6!E91+V_8!E91+V_10!E91</f>
        <v>12</v>
      </c>
      <c r="F91" s="152">
        <f>V_6!F91+V_8!F91+V_10!F91</f>
        <v>7</v>
      </c>
      <c r="G91" s="154">
        <f t="shared" si="5"/>
        <v>90</v>
      </c>
      <c r="H91" s="44">
        <f>V_6!H91+V_8!H91+V_10!H91</f>
        <v>0</v>
      </c>
      <c r="I91" s="39">
        <f>V_6!I91+V_8!I91+V_10!I91</f>
        <v>0</v>
      </c>
      <c r="J91" s="39">
        <f>V_6!J91+V_8!J91+V_10!J91</f>
        <v>0</v>
      </c>
      <c r="K91" s="45">
        <f>V_6!K91+V_8!K91+V_10!K91</f>
        <v>0</v>
      </c>
      <c r="L91" s="140">
        <f>V_6!L91+V_8!L91+V_10!L91</f>
        <v>0</v>
      </c>
      <c r="M91" s="149">
        <f t="shared" si="6"/>
        <v>0</v>
      </c>
      <c r="N91" s="100">
        <f t="shared" si="7"/>
        <v>90</v>
      </c>
      <c r="O91" s="43">
        <f t="shared" si="8"/>
        <v>133.5</v>
      </c>
    </row>
    <row r="92" spans="1:15" ht="22.5" customHeight="1" x14ac:dyDescent="0.3">
      <c r="A92" s="149" t="s">
        <v>173</v>
      </c>
      <c r="B92" s="44">
        <f>V_6!B92+V_8!B92+V_10!B92</f>
        <v>70</v>
      </c>
      <c r="C92" s="39">
        <f>V_6!C92+V_8!C92+V_10!C92</f>
        <v>11</v>
      </c>
      <c r="D92" s="39">
        <f>V_6!D92+V_8!D92+V_10!D92</f>
        <v>5</v>
      </c>
      <c r="E92" s="39">
        <f>V_6!E92+V_8!E92+V_10!E92</f>
        <v>10</v>
      </c>
      <c r="F92" s="152">
        <f>V_6!F92+V_8!F92+V_10!F92</f>
        <v>9</v>
      </c>
      <c r="G92" s="154">
        <f t="shared" si="5"/>
        <v>105</v>
      </c>
      <c r="H92" s="44">
        <f>V_6!H92+V_8!H92+V_10!H92</f>
        <v>1</v>
      </c>
      <c r="I92" s="39">
        <f>V_6!I92+V_8!I92+V_10!I92</f>
        <v>0</v>
      </c>
      <c r="J92" s="39">
        <f>V_6!J92+V_8!J92+V_10!J92</f>
        <v>0</v>
      </c>
      <c r="K92" s="45">
        <f>V_6!K92+V_8!K92+V_10!K92</f>
        <v>0</v>
      </c>
      <c r="L92" s="140">
        <f>V_6!L92+V_8!L92+V_10!L92</f>
        <v>1</v>
      </c>
      <c r="M92" s="149">
        <f t="shared" si="6"/>
        <v>2</v>
      </c>
      <c r="N92" s="100">
        <f t="shared" si="7"/>
        <v>107</v>
      </c>
      <c r="O92" s="43">
        <f t="shared" si="8"/>
        <v>162</v>
      </c>
    </row>
    <row r="93" spans="1:15" ht="22.5" customHeight="1" x14ac:dyDescent="0.3">
      <c r="A93" s="149" t="s">
        <v>174</v>
      </c>
      <c r="B93" s="44">
        <f>V_6!B93+V_8!B93+V_10!B93</f>
        <v>30</v>
      </c>
      <c r="C93" s="39">
        <f>V_6!C93+V_8!C93+V_10!C93</f>
        <v>6</v>
      </c>
      <c r="D93" s="39">
        <f>V_6!D93+V_8!D93+V_10!D93</f>
        <v>13</v>
      </c>
      <c r="E93" s="39">
        <f>V_6!E93+V_8!E93+V_10!E93</f>
        <v>4</v>
      </c>
      <c r="F93" s="152">
        <f>V_6!F93+V_8!F93+V_10!F93</f>
        <v>17</v>
      </c>
      <c r="G93" s="154">
        <f t="shared" si="5"/>
        <v>70</v>
      </c>
      <c r="H93" s="44">
        <f>V_6!H93+V_8!H93+V_10!H93</f>
        <v>0</v>
      </c>
      <c r="I93" s="39">
        <f>V_6!I93+V_8!I93+V_10!I93</f>
        <v>0</v>
      </c>
      <c r="J93" s="39">
        <f>V_6!J93+V_8!J93+V_10!J93</f>
        <v>0</v>
      </c>
      <c r="K93" s="45">
        <f>V_6!K93+V_8!K93+V_10!K93</f>
        <v>0</v>
      </c>
      <c r="L93" s="140">
        <f>V_6!L93+V_8!L93+V_10!L93</f>
        <v>0</v>
      </c>
      <c r="M93" s="149">
        <f t="shared" si="6"/>
        <v>0</v>
      </c>
      <c r="N93" s="100">
        <f t="shared" si="7"/>
        <v>70</v>
      </c>
      <c r="O93" s="43">
        <f t="shared" si="8"/>
        <v>141</v>
      </c>
    </row>
    <row r="94" spans="1:15" ht="22.5" customHeight="1" x14ac:dyDescent="0.3">
      <c r="A94" s="149" t="s">
        <v>175</v>
      </c>
      <c r="B94" s="44">
        <f>V_6!B94+V_8!B94+V_10!B94</f>
        <v>128</v>
      </c>
      <c r="C94" s="39">
        <f>V_6!C94+V_8!C94+V_10!C94</f>
        <v>35</v>
      </c>
      <c r="D94" s="39">
        <f>V_6!D94+V_8!D94+V_10!D94</f>
        <v>10</v>
      </c>
      <c r="E94" s="39">
        <f>V_6!E94+V_8!E94+V_10!E94</f>
        <v>7</v>
      </c>
      <c r="F94" s="152">
        <f>V_6!F94+V_8!F94+V_10!F94</f>
        <v>11</v>
      </c>
      <c r="G94" s="154">
        <f t="shared" si="5"/>
        <v>191</v>
      </c>
      <c r="H94" s="44">
        <f>V_6!H94+V_8!H94+V_10!H94</f>
        <v>0</v>
      </c>
      <c r="I94" s="39">
        <f>V_6!I94+V_8!I94+V_10!I94</f>
        <v>0</v>
      </c>
      <c r="J94" s="39">
        <f>V_6!J94+V_8!J94+V_10!J94</f>
        <v>0</v>
      </c>
      <c r="K94" s="45">
        <f>V_6!K94+V_8!K94+V_10!K94</f>
        <v>0</v>
      </c>
      <c r="L94" s="140">
        <f>V_6!L94+V_8!L94+V_10!L94</f>
        <v>0</v>
      </c>
      <c r="M94" s="149">
        <f t="shared" si="6"/>
        <v>0</v>
      </c>
      <c r="N94" s="100">
        <f t="shared" si="7"/>
        <v>191</v>
      </c>
      <c r="O94" s="43">
        <f t="shared" si="8"/>
        <v>231</v>
      </c>
    </row>
    <row r="95" spans="1:15" ht="22.5" customHeight="1" x14ac:dyDescent="0.3">
      <c r="A95" s="149" t="s">
        <v>176</v>
      </c>
      <c r="B95" s="44">
        <f>V_6!B95+V_8!B95+V_10!B95</f>
        <v>155</v>
      </c>
      <c r="C95" s="39">
        <f>V_6!C95+V_8!C95+V_10!C95</f>
        <v>45</v>
      </c>
      <c r="D95" s="39">
        <f>V_6!D95+V_8!D95+V_10!D95</f>
        <v>8</v>
      </c>
      <c r="E95" s="39">
        <f>V_6!E95+V_8!E95+V_10!E95</f>
        <v>8</v>
      </c>
      <c r="F95" s="152">
        <f>V_6!F95+V_8!F95+V_10!F95</f>
        <v>13</v>
      </c>
      <c r="G95" s="154">
        <f t="shared" si="5"/>
        <v>229</v>
      </c>
      <c r="H95" s="44">
        <f>V_6!H95+V_8!H95+V_10!H95</f>
        <v>0</v>
      </c>
      <c r="I95" s="39">
        <f>V_6!I95+V_8!I95+V_10!I95</f>
        <v>0</v>
      </c>
      <c r="J95" s="39">
        <f>V_6!J95+V_8!J95+V_10!J95</f>
        <v>0</v>
      </c>
      <c r="K95" s="45">
        <f>V_6!K95+V_8!K95+V_10!K95</f>
        <v>0</v>
      </c>
      <c r="L95" s="140">
        <f>V_6!L95+V_8!L95+V_10!L95</f>
        <v>0</v>
      </c>
      <c r="M95" s="149">
        <f t="shared" si="6"/>
        <v>0</v>
      </c>
      <c r="N95" s="100">
        <f t="shared" si="7"/>
        <v>229</v>
      </c>
      <c r="O95" s="43">
        <f t="shared" si="8"/>
        <v>272</v>
      </c>
    </row>
    <row r="96" spans="1:15" ht="22.5" customHeight="1" x14ac:dyDescent="0.3">
      <c r="A96" s="149" t="s">
        <v>135</v>
      </c>
      <c r="B96" s="44">
        <f>V_6!B96+V_8!B96+V_10!B96</f>
        <v>124</v>
      </c>
      <c r="C96" s="39">
        <f>V_6!C96+V_8!C96+V_10!C96</f>
        <v>70</v>
      </c>
      <c r="D96" s="39">
        <f>V_6!D96+V_8!D96+V_10!D96</f>
        <v>7</v>
      </c>
      <c r="E96" s="39">
        <f>V_6!E96+V_8!E96+V_10!E96</f>
        <v>11</v>
      </c>
      <c r="F96" s="152">
        <f>V_6!F96+V_8!F96+V_10!F96</f>
        <v>13</v>
      </c>
      <c r="G96" s="154">
        <f t="shared" si="5"/>
        <v>225</v>
      </c>
      <c r="H96" s="44">
        <f>V_6!H96+V_8!H96+V_10!H96</f>
        <v>0</v>
      </c>
      <c r="I96" s="39">
        <f>V_6!I96+V_8!I96+V_10!I96</f>
        <v>0</v>
      </c>
      <c r="J96" s="39">
        <f>V_6!J96+V_8!J96+V_10!J96</f>
        <v>0</v>
      </c>
      <c r="K96" s="45">
        <f>V_6!K96+V_8!K96+V_10!K96</f>
        <v>0</v>
      </c>
      <c r="L96" s="140">
        <f>V_6!L96+V_8!L96+V_10!L96</f>
        <v>1</v>
      </c>
      <c r="M96" s="149">
        <f t="shared" si="6"/>
        <v>1</v>
      </c>
      <c r="N96" s="100">
        <f t="shared" si="7"/>
        <v>226</v>
      </c>
      <c r="O96" s="43">
        <f t="shared" si="8"/>
        <v>269</v>
      </c>
    </row>
    <row r="97" spans="1:15" ht="22.5" customHeight="1" x14ac:dyDescent="0.3">
      <c r="A97" s="149" t="s">
        <v>136</v>
      </c>
      <c r="B97" s="44">
        <f>V_6!B97+V_8!B97+V_10!B97</f>
        <v>137</v>
      </c>
      <c r="C97" s="39">
        <f>V_6!C97+V_8!C97+V_10!C97</f>
        <v>76</v>
      </c>
      <c r="D97" s="39">
        <f>V_6!D97+V_8!D97+V_10!D97</f>
        <v>6</v>
      </c>
      <c r="E97" s="39">
        <f>V_6!E97+V_8!E97+V_10!E97</f>
        <v>8</v>
      </c>
      <c r="F97" s="152">
        <f>V_6!F97+V_8!F97+V_10!F97</f>
        <v>15</v>
      </c>
      <c r="G97" s="154">
        <f t="shared" si="5"/>
        <v>242</v>
      </c>
      <c r="H97" s="44">
        <f>V_6!H97+V_8!H97+V_10!H97</f>
        <v>0</v>
      </c>
      <c r="I97" s="39">
        <f>V_6!I97+V_8!I97+V_10!I97</f>
        <v>0</v>
      </c>
      <c r="J97" s="39">
        <f>V_6!J97+V_8!J97+V_10!J97</f>
        <v>0</v>
      </c>
      <c r="K97" s="45">
        <f>V_6!K97+V_8!K97+V_10!K97</f>
        <v>0</v>
      </c>
      <c r="L97" s="140">
        <f>V_6!L97+V_8!L97+V_10!L97</f>
        <v>0</v>
      </c>
      <c r="M97" s="149">
        <f t="shared" si="6"/>
        <v>0</v>
      </c>
      <c r="N97" s="100">
        <f t="shared" si="7"/>
        <v>242</v>
      </c>
      <c r="O97" s="43">
        <f t="shared" si="8"/>
        <v>275.5</v>
      </c>
    </row>
    <row r="98" spans="1:15" ht="22.5" customHeight="1" x14ac:dyDescent="0.3">
      <c r="A98" s="149" t="s">
        <v>137</v>
      </c>
      <c r="B98" s="44">
        <f>V_6!B98+V_8!B98+V_10!B98</f>
        <v>194</v>
      </c>
      <c r="C98" s="39">
        <f>V_6!C98+V_8!C98+V_10!C98</f>
        <v>82</v>
      </c>
      <c r="D98" s="39">
        <f>V_6!D98+V_8!D98+V_10!D98</f>
        <v>9</v>
      </c>
      <c r="E98" s="39">
        <f>V_6!E98+V_8!E98+V_10!E98</f>
        <v>8</v>
      </c>
      <c r="F98" s="152">
        <f>V_6!F98+V_8!F98+V_10!F98</f>
        <v>6</v>
      </c>
      <c r="G98" s="154">
        <f t="shared" si="5"/>
        <v>299</v>
      </c>
      <c r="H98" s="44">
        <f>V_6!H98+V_8!H98+V_10!H98</f>
        <v>0</v>
      </c>
      <c r="I98" s="39">
        <f>V_6!I98+V_8!I98+V_10!I98</f>
        <v>0</v>
      </c>
      <c r="J98" s="39">
        <f>V_6!J98+V_8!J98+V_10!J98</f>
        <v>0</v>
      </c>
      <c r="K98" s="45">
        <f>V_6!K98+V_8!K98+V_10!K98</f>
        <v>0</v>
      </c>
      <c r="L98" s="140">
        <f>V_6!L98+V_8!L98+V_10!L98</f>
        <v>0</v>
      </c>
      <c r="M98" s="149">
        <f t="shared" si="6"/>
        <v>0</v>
      </c>
      <c r="N98" s="100">
        <f t="shared" si="7"/>
        <v>299</v>
      </c>
      <c r="O98" s="43">
        <f t="shared" si="8"/>
        <v>299.5</v>
      </c>
    </row>
    <row r="99" spans="1:15" ht="22.5" customHeight="1" x14ac:dyDescent="0.3">
      <c r="A99" s="149" t="s">
        <v>138</v>
      </c>
      <c r="B99" s="44">
        <f>V_6!B99+V_8!B99+V_10!B99</f>
        <v>192</v>
      </c>
      <c r="C99" s="39">
        <f>V_6!C99+V_8!C99+V_10!C99</f>
        <v>97</v>
      </c>
      <c r="D99" s="39">
        <f>V_6!D99+V_8!D99+V_10!D99</f>
        <v>7</v>
      </c>
      <c r="E99" s="39">
        <f>V_6!E99+V_8!E99+V_10!E99</f>
        <v>8</v>
      </c>
      <c r="F99" s="152">
        <f>V_6!F99+V_8!F99+V_10!F99</f>
        <v>11</v>
      </c>
      <c r="G99" s="154">
        <f t="shared" si="5"/>
        <v>315</v>
      </c>
      <c r="H99" s="44">
        <f>V_6!H99+V_8!H99+V_10!H99</f>
        <v>0</v>
      </c>
      <c r="I99" s="39">
        <f>V_6!I99+V_8!I99+V_10!I99</f>
        <v>0</v>
      </c>
      <c r="J99" s="39">
        <f>V_6!J99+V_8!J99+V_10!J99</f>
        <v>0</v>
      </c>
      <c r="K99" s="45">
        <f>V_6!K99+V_8!K99+V_10!K99</f>
        <v>0</v>
      </c>
      <c r="L99" s="140">
        <f>V_6!L99+V_8!L99+V_10!L99</f>
        <v>2</v>
      </c>
      <c r="M99" s="149">
        <f t="shared" si="6"/>
        <v>2</v>
      </c>
      <c r="N99" s="100">
        <f t="shared" si="7"/>
        <v>317</v>
      </c>
      <c r="O99" s="43">
        <f t="shared" si="8"/>
        <v>340.5</v>
      </c>
    </row>
    <row r="100" spans="1:15" ht="22.5" customHeight="1" x14ac:dyDescent="0.3">
      <c r="A100" s="149" t="s">
        <v>139</v>
      </c>
      <c r="B100" s="44">
        <f>V_6!B100+V_8!B100+V_10!B100</f>
        <v>212</v>
      </c>
      <c r="C100" s="39">
        <f>V_6!C100+V_8!C100+V_10!C100</f>
        <v>86</v>
      </c>
      <c r="D100" s="39">
        <f>V_6!D100+V_8!D100+V_10!D100</f>
        <v>14</v>
      </c>
      <c r="E100" s="39">
        <f>V_6!E100+V_8!E100+V_10!E100</f>
        <v>13</v>
      </c>
      <c r="F100" s="152">
        <f>V_6!F100+V_8!F100+V_10!F100</f>
        <v>13</v>
      </c>
      <c r="G100" s="154">
        <f t="shared" si="5"/>
        <v>338</v>
      </c>
      <c r="H100" s="44">
        <f>V_6!H100+V_8!H100+V_10!H100</f>
        <v>0</v>
      </c>
      <c r="I100" s="39">
        <f>V_6!I100+V_8!I100+V_10!I100</f>
        <v>0</v>
      </c>
      <c r="J100" s="39">
        <f>V_6!J100+V_8!J100+V_10!J100</f>
        <v>0</v>
      </c>
      <c r="K100" s="45">
        <f>V_6!K100+V_8!K100+V_10!K100</f>
        <v>0</v>
      </c>
      <c r="L100" s="140">
        <f>V_6!L100+V_8!L100+V_10!L100</f>
        <v>2</v>
      </c>
      <c r="M100" s="149">
        <f t="shared" si="6"/>
        <v>2</v>
      </c>
      <c r="N100" s="100">
        <f t="shared" si="7"/>
        <v>340</v>
      </c>
      <c r="O100" s="43">
        <f t="shared" si="8"/>
        <v>389.5</v>
      </c>
    </row>
    <row r="101" spans="1:15" ht="22.5" customHeight="1" x14ac:dyDescent="0.3">
      <c r="A101" s="149" t="s">
        <v>140</v>
      </c>
      <c r="B101" s="44">
        <f>V_6!B101+V_8!B101+V_10!B101</f>
        <v>232</v>
      </c>
      <c r="C101" s="39">
        <f>V_6!C101+V_8!C101+V_10!C101</f>
        <v>53</v>
      </c>
      <c r="D101" s="39">
        <f>V_6!D101+V_8!D101+V_10!D101</f>
        <v>13</v>
      </c>
      <c r="E101" s="39">
        <f>V_6!E101+V_8!E101+V_10!E101</f>
        <v>18</v>
      </c>
      <c r="F101" s="152">
        <f>V_6!F101+V_8!F101+V_10!F101</f>
        <v>20</v>
      </c>
      <c r="G101" s="154">
        <f t="shared" si="5"/>
        <v>336</v>
      </c>
      <c r="H101" s="44">
        <f>V_6!H101+V_8!H101+V_10!H101</f>
        <v>0</v>
      </c>
      <c r="I101" s="39">
        <f>V_6!I101+V_8!I101+V_10!I101</f>
        <v>0</v>
      </c>
      <c r="J101" s="39">
        <f>V_6!J101+V_8!J101+V_10!J101</f>
        <v>0</v>
      </c>
      <c r="K101" s="45">
        <f>V_6!K101+V_8!K101+V_10!K101</f>
        <v>0</v>
      </c>
      <c r="L101" s="140">
        <f>V_6!L101+V_8!L101+V_10!L101</f>
        <v>0</v>
      </c>
      <c r="M101" s="149">
        <f t="shared" si="6"/>
        <v>0</v>
      </c>
      <c r="N101" s="100">
        <f t="shared" si="7"/>
        <v>336</v>
      </c>
      <c r="O101" s="43">
        <f t="shared" si="8"/>
        <v>422</v>
      </c>
    </row>
    <row r="102" spans="1:15" ht="22.5" customHeight="1" x14ac:dyDescent="0.3">
      <c r="A102" s="149" t="s">
        <v>141</v>
      </c>
      <c r="B102" s="44">
        <f>V_6!B102+V_8!B102+V_10!B102</f>
        <v>227</v>
      </c>
      <c r="C102" s="39">
        <f>V_6!C102+V_8!C102+V_10!C102</f>
        <v>66</v>
      </c>
      <c r="D102" s="39">
        <f>V_6!D102+V_8!D102+V_10!D102</f>
        <v>10</v>
      </c>
      <c r="E102" s="39">
        <f>V_6!E102+V_8!E102+V_10!E102</f>
        <v>18</v>
      </c>
      <c r="F102" s="152">
        <f>V_6!F102+V_8!F102+V_10!F102</f>
        <v>18</v>
      </c>
      <c r="G102" s="154">
        <f t="shared" si="5"/>
        <v>339</v>
      </c>
      <c r="H102" s="44">
        <f>V_6!H102+V_8!H102+V_10!H102</f>
        <v>0</v>
      </c>
      <c r="I102" s="39">
        <f>V_6!I102+V_8!I102+V_10!I102</f>
        <v>0</v>
      </c>
      <c r="J102" s="39">
        <f>V_6!J102+V_8!J102+V_10!J102</f>
        <v>0</v>
      </c>
      <c r="K102" s="45">
        <f>V_6!K102+V_8!K102+V_10!K102</f>
        <v>0</v>
      </c>
      <c r="L102" s="140">
        <f>V_6!L102+V_8!L102+V_10!L102</f>
        <v>2</v>
      </c>
      <c r="M102" s="149">
        <f t="shared" si="6"/>
        <v>2</v>
      </c>
      <c r="N102" s="100">
        <f t="shared" si="7"/>
        <v>341</v>
      </c>
      <c r="O102" s="43">
        <f t="shared" si="8"/>
        <v>426</v>
      </c>
    </row>
    <row r="103" spans="1:15" ht="22.5" customHeight="1" thickBot="1" x14ac:dyDescent="0.35">
      <c r="A103" s="150" t="s">
        <v>142</v>
      </c>
      <c r="B103" s="46">
        <f>V_6!B103+V_8!B103+V_10!B103</f>
        <v>219</v>
      </c>
      <c r="C103" s="47">
        <f>V_6!C103+V_8!C103+V_10!C103</f>
        <v>61</v>
      </c>
      <c r="D103" s="47">
        <f>V_6!D103+V_8!D103+V_10!D103</f>
        <v>13</v>
      </c>
      <c r="E103" s="47">
        <f>V_6!E103+V_8!E103+V_10!E103</f>
        <v>13</v>
      </c>
      <c r="F103" s="153">
        <f>V_6!F103+V_8!F103+V_10!F103</f>
        <v>14</v>
      </c>
      <c r="G103" s="80">
        <f t="shared" si="5"/>
        <v>320</v>
      </c>
      <c r="H103" s="46">
        <f>V_6!H103+V_8!H103+V_10!H103</f>
        <v>0</v>
      </c>
      <c r="I103" s="47">
        <f>V_6!I103+V_8!I103+V_10!I103</f>
        <v>0</v>
      </c>
      <c r="J103" s="47">
        <f>V_6!J103+V_8!J103+V_10!J103</f>
        <v>0</v>
      </c>
      <c r="K103" s="48">
        <f>V_6!K103+V_8!K103+V_10!K103</f>
        <v>0</v>
      </c>
      <c r="L103" s="141">
        <f>V_6!L103+V_8!L103+V_10!L103</f>
        <v>2</v>
      </c>
      <c r="M103" s="150">
        <f t="shared" si="6"/>
        <v>2</v>
      </c>
      <c r="N103" s="101">
        <f t="shared" si="7"/>
        <v>322</v>
      </c>
      <c r="O103" s="84">
        <f t="shared" si="8"/>
        <v>387</v>
      </c>
    </row>
    <row r="104" spans="1:15" ht="22.5" customHeight="1" thickBot="1" x14ac:dyDescent="0.35">
      <c r="A104" s="41" t="s">
        <v>11</v>
      </c>
      <c r="B104" s="117">
        <f t="shared" ref="B104:N104" si="9">SUM(B8:B103)</f>
        <v>18608</v>
      </c>
      <c r="C104" s="117">
        <f t="shared" si="9"/>
        <v>10531</v>
      </c>
      <c r="D104" s="117">
        <f t="shared" si="9"/>
        <v>1297</v>
      </c>
      <c r="E104" s="117">
        <f t="shared" si="9"/>
        <v>851</v>
      </c>
      <c r="F104" s="117">
        <f t="shared" si="9"/>
        <v>911</v>
      </c>
      <c r="G104" s="94">
        <f t="shared" si="9"/>
        <v>32198</v>
      </c>
      <c r="H104" s="117">
        <f t="shared" si="9"/>
        <v>4</v>
      </c>
      <c r="I104" s="117">
        <f t="shared" si="9"/>
        <v>0</v>
      </c>
      <c r="J104" s="117">
        <f t="shared" si="9"/>
        <v>3</v>
      </c>
      <c r="K104" s="118">
        <f t="shared" si="9"/>
        <v>0</v>
      </c>
      <c r="L104" s="118">
        <f t="shared" si="9"/>
        <v>92</v>
      </c>
      <c r="M104" s="94">
        <f>SUM(M8:M103)</f>
        <v>99</v>
      </c>
      <c r="N104" s="95">
        <f t="shared" si="9"/>
        <v>32297</v>
      </c>
      <c r="O104" s="142">
        <f>SUM(O8:O103)</f>
        <v>33218.5</v>
      </c>
    </row>
    <row r="105" spans="1:15" ht="22.5" customHeight="1" thickBot="1" x14ac:dyDescent="0.35">
      <c r="A105" s="41" t="s">
        <v>143</v>
      </c>
      <c r="B105" s="88">
        <f>+B104*1</f>
        <v>18608</v>
      </c>
      <c r="C105" s="88">
        <f>+C104*0.5</f>
        <v>5265.5</v>
      </c>
      <c r="D105" s="88">
        <f>+D104*1.5</f>
        <v>1945.5</v>
      </c>
      <c r="E105" s="88">
        <f>+E104*3</f>
        <v>2553</v>
      </c>
      <c r="F105" s="89">
        <f>+F104*4.5</f>
        <v>4099.5</v>
      </c>
      <c r="G105" s="90">
        <f>SUM(B105:F105)</f>
        <v>32471.5</v>
      </c>
      <c r="H105" s="88">
        <f>+H104*0.5</f>
        <v>2</v>
      </c>
      <c r="I105" s="89">
        <f>+I104*1.5</f>
        <v>0</v>
      </c>
      <c r="J105" s="89">
        <f>+J104*3</f>
        <v>9</v>
      </c>
      <c r="K105" s="96">
        <f>+K104*4</f>
        <v>0</v>
      </c>
      <c r="L105" s="96">
        <f>+L104*8</f>
        <v>736</v>
      </c>
      <c r="M105" s="147">
        <f>SUM(H105:L105)</f>
        <v>747</v>
      </c>
      <c r="N105" s="91"/>
      <c r="O105" s="92">
        <f>G105+M105</f>
        <v>33218.5</v>
      </c>
    </row>
    <row r="106" spans="1:15" ht="22.5" customHeight="1" thickBot="1" x14ac:dyDescent="0.35">
      <c r="A106" s="42" t="s">
        <v>12</v>
      </c>
      <c r="B106" s="93">
        <f t="shared" ref="B106:N106" si="10">B104/$N$104</f>
        <v>0.57615258383131562</v>
      </c>
      <c r="C106" s="93">
        <f t="shared" si="10"/>
        <v>0.32606743660401893</v>
      </c>
      <c r="D106" s="93">
        <f t="shared" si="10"/>
        <v>4.0158528655912316E-2</v>
      </c>
      <c r="E106" s="93">
        <f t="shared" si="10"/>
        <v>2.63491965198006E-2</v>
      </c>
      <c r="F106" s="93">
        <f t="shared" si="10"/>
        <v>2.8206954206273029E-2</v>
      </c>
      <c r="G106" s="98">
        <f t="shared" si="10"/>
        <v>0.99693469981732052</v>
      </c>
      <c r="H106" s="93">
        <f t="shared" si="10"/>
        <v>1.2385051243149519E-4</v>
      </c>
      <c r="I106" s="93">
        <f t="shared" si="10"/>
        <v>0</v>
      </c>
      <c r="J106" s="93">
        <f t="shared" si="10"/>
        <v>9.2887884323621391E-5</v>
      </c>
      <c r="K106" s="97">
        <f t="shared" si="10"/>
        <v>0</v>
      </c>
      <c r="L106" s="97">
        <f t="shared" si="10"/>
        <v>2.8485617859243893E-3</v>
      </c>
      <c r="M106" s="98">
        <f t="shared" si="10"/>
        <v>3.065300182679506E-3</v>
      </c>
      <c r="N106" s="99">
        <f t="shared" si="10"/>
        <v>1</v>
      </c>
      <c r="O106" s="94"/>
    </row>
    <row r="108" spans="1:15" s="4" customFormat="1" x14ac:dyDescent="0.3">
      <c r="A108" s="4" t="s">
        <v>103</v>
      </c>
      <c r="B108" s="4" t="str">
        <f>B2</f>
        <v>TMC-14 Number (D2)</v>
      </c>
    </row>
    <row r="109" spans="1:15" s="4" customFormat="1" x14ac:dyDescent="0.3">
      <c r="A109" s="4" t="s">
        <v>102</v>
      </c>
      <c r="B109" s="4" t="str">
        <f>B3</f>
        <v>D2</v>
      </c>
    </row>
    <row r="110" spans="1:15" s="4" customFormat="1" x14ac:dyDescent="0.3">
      <c r="A110" s="4" t="s">
        <v>104</v>
      </c>
      <c r="B110" s="4" t="str">
        <f>B4</f>
        <v>Nindar</v>
      </c>
    </row>
    <row r="111" spans="1:15" ht="16.2" thickBot="1" x14ac:dyDescent="0.35"/>
    <row r="112" spans="1:15" ht="25.2" customHeight="1" x14ac:dyDescent="0.3">
      <c r="A112" s="252" t="s">
        <v>95</v>
      </c>
      <c r="B112" s="258" t="s">
        <v>280</v>
      </c>
      <c r="C112" s="254" t="s">
        <v>281</v>
      </c>
      <c r="D112" s="250" t="s">
        <v>282</v>
      </c>
      <c r="E112" s="260" t="s">
        <v>283</v>
      </c>
      <c r="F112" s="256" t="s">
        <v>284</v>
      </c>
      <c r="G112" s="250" t="s">
        <v>129</v>
      </c>
      <c r="H112" s="248" t="s">
        <v>150</v>
      </c>
      <c r="I112" s="250" t="s">
        <v>151</v>
      </c>
      <c r="J112" s="250" t="s">
        <v>285</v>
      </c>
      <c r="K112" s="248" t="s">
        <v>286</v>
      </c>
      <c r="L112" s="250" t="s">
        <v>287</v>
      </c>
      <c r="M112" s="250" t="s">
        <v>78</v>
      </c>
      <c r="N112" s="250" t="s">
        <v>131</v>
      </c>
      <c r="O112" s="250" t="s">
        <v>132</v>
      </c>
    </row>
    <row r="113" spans="1:15" ht="16.2" thickBot="1" x14ac:dyDescent="0.35">
      <c r="A113" s="253"/>
      <c r="B113" s="259"/>
      <c r="C113" s="255"/>
      <c r="D113" s="251"/>
      <c r="E113" s="261"/>
      <c r="F113" s="257"/>
      <c r="G113" s="259"/>
      <c r="H113" s="249"/>
      <c r="I113" s="251"/>
      <c r="J113" s="251"/>
      <c r="K113" s="249"/>
      <c r="L113" s="251"/>
      <c r="M113" s="251"/>
      <c r="N113" s="251"/>
      <c r="O113" s="251"/>
    </row>
    <row r="114" spans="1:15" ht="22.95" customHeight="1" x14ac:dyDescent="0.3">
      <c r="A114" s="52" t="s">
        <v>15</v>
      </c>
      <c r="B114" s="112">
        <f t="shared" ref="B114:M114" si="11">B8+B9+B10+B11</f>
        <v>990</v>
      </c>
      <c r="C114" s="113">
        <f t="shared" si="11"/>
        <v>522</v>
      </c>
      <c r="D114" s="113">
        <f t="shared" si="11"/>
        <v>46</v>
      </c>
      <c r="E114" s="113">
        <f t="shared" si="11"/>
        <v>22</v>
      </c>
      <c r="F114" s="113">
        <f t="shared" si="11"/>
        <v>23</v>
      </c>
      <c r="G114" s="49">
        <f>G8+G9+G10+G11</f>
        <v>1603</v>
      </c>
      <c r="H114" s="112">
        <f t="shared" si="11"/>
        <v>1</v>
      </c>
      <c r="I114" s="113">
        <f t="shared" ref="I114:L114" si="12">I8+I9+I10+I11</f>
        <v>0</v>
      </c>
      <c r="J114" s="113">
        <f t="shared" si="12"/>
        <v>0</v>
      </c>
      <c r="K114" s="114">
        <f t="shared" si="12"/>
        <v>0</v>
      </c>
      <c r="L114" s="143">
        <f t="shared" si="12"/>
        <v>14</v>
      </c>
      <c r="M114" s="49">
        <f t="shared" si="11"/>
        <v>15</v>
      </c>
      <c r="N114" s="40">
        <f>G114+M114</f>
        <v>1618</v>
      </c>
      <c r="O114" s="115">
        <f>B114*1+C114*0.5+D114*1.5+E114*3+F114*4.5+H114*0.5+I114*1.5+J114*3+K114*4+L114*8</f>
        <v>1602</v>
      </c>
    </row>
    <row r="115" spans="1:15" ht="22.95" customHeight="1" x14ac:dyDescent="0.3">
      <c r="A115" s="52" t="s">
        <v>16</v>
      </c>
      <c r="B115" s="44">
        <f t="shared" ref="B115:M115" si="13">B9+B10+B11+B12</f>
        <v>1083</v>
      </c>
      <c r="C115" s="39">
        <f t="shared" si="13"/>
        <v>565</v>
      </c>
      <c r="D115" s="39">
        <f t="shared" si="13"/>
        <v>52</v>
      </c>
      <c r="E115" s="39">
        <f t="shared" si="13"/>
        <v>14</v>
      </c>
      <c r="F115" s="39">
        <f t="shared" si="13"/>
        <v>28</v>
      </c>
      <c r="G115" s="50">
        <f t="shared" si="13"/>
        <v>1742</v>
      </c>
      <c r="H115" s="44">
        <f t="shared" si="13"/>
        <v>1</v>
      </c>
      <c r="I115" s="39">
        <f t="shared" si="13"/>
        <v>0</v>
      </c>
      <c r="J115" s="39">
        <f t="shared" si="13"/>
        <v>0</v>
      </c>
      <c r="K115" s="45">
        <f t="shared" si="13"/>
        <v>0</v>
      </c>
      <c r="L115" s="144">
        <f t="shared" si="13"/>
        <v>18</v>
      </c>
      <c r="M115" s="50">
        <f t="shared" si="13"/>
        <v>19</v>
      </c>
      <c r="N115" s="40">
        <f t="shared" ref="N115:N178" si="14">G115+M115</f>
        <v>1761</v>
      </c>
      <c r="O115" s="43">
        <f t="shared" ref="O115:O178" si="15">B115*1+C115*0.5+D115*1.5+E115*3+F115*4.5+H115*0.5+I115*1.5+J115*3+K115*4+L115*8</f>
        <v>1756</v>
      </c>
    </row>
    <row r="116" spans="1:15" ht="22.95" customHeight="1" x14ac:dyDescent="0.3">
      <c r="A116" s="52" t="s">
        <v>17</v>
      </c>
      <c r="B116" s="44">
        <f t="shared" ref="B116:M116" si="16">B10+B11+B12+B13</f>
        <v>1192</v>
      </c>
      <c r="C116" s="39">
        <f t="shared" si="16"/>
        <v>578</v>
      </c>
      <c r="D116" s="39">
        <f t="shared" si="16"/>
        <v>52</v>
      </c>
      <c r="E116" s="39">
        <f t="shared" si="16"/>
        <v>8</v>
      </c>
      <c r="F116" s="39">
        <f t="shared" si="16"/>
        <v>26</v>
      </c>
      <c r="G116" s="50">
        <f t="shared" si="16"/>
        <v>1856</v>
      </c>
      <c r="H116" s="44">
        <f t="shared" si="16"/>
        <v>0</v>
      </c>
      <c r="I116" s="39">
        <f t="shared" si="16"/>
        <v>0</v>
      </c>
      <c r="J116" s="39">
        <f t="shared" si="16"/>
        <v>0</v>
      </c>
      <c r="K116" s="45">
        <f t="shared" si="16"/>
        <v>0</v>
      </c>
      <c r="L116" s="144">
        <f t="shared" si="16"/>
        <v>14</v>
      </c>
      <c r="M116" s="50">
        <f t="shared" si="16"/>
        <v>14</v>
      </c>
      <c r="N116" s="40">
        <f t="shared" si="14"/>
        <v>1870</v>
      </c>
      <c r="O116" s="43">
        <f t="shared" si="15"/>
        <v>1812</v>
      </c>
    </row>
    <row r="117" spans="1:15" ht="22.95" customHeight="1" x14ac:dyDescent="0.3">
      <c r="A117" s="52" t="s">
        <v>18</v>
      </c>
      <c r="B117" s="44">
        <f t="shared" ref="B117:M117" si="17">B11+B12+B13+B14</f>
        <v>1208</v>
      </c>
      <c r="C117" s="39">
        <f t="shared" si="17"/>
        <v>531</v>
      </c>
      <c r="D117" s="39">
        <f t="shared" si="17"/>
        <v>50</v>
      </c>
      <c r="E117" s="39">
        <f t="shared" si="17"/>
        <v>8</v>
      </c>
      <c r="F117" s="39">
        <f t="shared" si="17"/>
        <v>30</v>
      </c>
      <c r="G117" s="50">
        <f t="shared" si="17"/>
        <v>1827</v>
      </c>
      <c r="H117" s="44">
        <f t="shared" si="17"/>
        <v>0</v>
      </c>
      <c r="I117" s="39">
        <f t="shared" si="17"/>
        <v>0</v>
      </c>
      <c r="J117" s="39">
        <f t="shared" si="17"/>
        <v>0</v>
      </c>
      <c r="K117" s="45">
        <f t="shared" si="17"/>
        <v>0</v>
      </c>
      <c r="L117" s="144">
        <f t="shared" si="17"/>
        <v>12</v>
      </c>
      <c r="M117" s="50">
        <f t="shared" si="17"/>
        <v>12</v>
      </c>
      <c r="N117" s="40">
        <f t="shared" si="14"/>
        <v>1839</v>
      </c>
      <c r="O117" s="43">
        <f t="shared" si="15"/>
        <v>1803.5</v>
      </c>
    </row>
    <row r="118" spans="1:15" ht="22.95" customHeight="1" x14ac:dyDescent="0.3">
      <c r="A118" s="52" t="s">
        <v>19</v>
      </c>
      <c r="B118" s="44">
        <f t="shared" ref="B118:M118" si="18">B12+B13+B14+B15</f>
        <v>1156</v>
      </c>
      <c r="C118" s="39">
        <f t="shared" si="18"/>
        <v>445</v>
      </c>
      <c r="D118" s="39">
        <f t="shared" si="18"/>
        <v>45</v>
      </c>
      <c r="E118" s="39">
        <f t="shared" si="18"/>
        <v>8</v>
      </c>
      <c r="F118" s="39">
        <f t="shared" si="18"/>
        <v>37</v>
      </c>
      <c r="G118" s="50">
        <f t="shared" si="18"/>
        <v>1691</v>
      </c>
      <c r="H118" s="44">
        <f t="shared" si="18"/>
        <v>0</v>
      </c>
      <c r="I118" s="39">
        <f t="shared" si="18"/>
        <v>0</v>
      </c>
      <c r="J118" s="39">
        <f t="shared" si="18"/>
        <v>0</v>
      </c>
      <c r="K118" s="45">
        <f t="shared" si="18"/>
        <v>0</v>
      </c>
      <c r="L118" s="144">
        <f t="shared" si="18"/>
        <v>12</v>
      </c>
      <c r="M118" s="50">
        <f t="shared" si="18"/>
        <v>12</v>
      </c>
      <c r="N118" s="40">
        <f t="shared" si="14"/>
        <v>1703</v>
      </c>
      <c r="O118" s="43">
        <f t="shared" si="15"/>
        <v>1732.5</v>
      </c>
    </row>
    <row r="119" spans="1:15" ht="22.95" customHeight="1" x14ac:dyDescent="0.3">
      <c r="A119" s="52" t="s">
        <v>20</v>
      </c>
      <c r="B119" s="44">
        <f t="shared" ref="B119:M119" si="19">B13+B14+B15+B16</f>
        <v>1150</v>
      </c>
      <c r="C119" s="39">
        <f t="shared" si="19"/>
        <v>436</v>
      </c>
      <c r="D119" s="39">
        <f t="shared" si="19"/>
        <v>42</v>
      </c>
      <c r="E119" s="39">
        <f t="shared" si="19"/>
        <v>9</v>
      </c>
      <c r="F119" s="39">
        <f t="shared" si="19"/>
        <v>43</v>
      </c>
      <c r="G119" s="50">
        <f t="shared" si="19"/>
        <v>1680</v>
      </c>
      <c r="H119" s="44">
        <f t="shared" si="19"/>
        <v>0</v>
      </c>
      <c r="I119" s="39">
        <f t="shared" si="19"/>
        <v>0</v>
      </c>
      <c r="J119" s="39">
        <f t="shared" si="19"/>
        <v>0</v>
      </c>
      <c r="K119" s="45">
        <f t="shared" si="19"/>
        <v>0</v>
      </c>
      <c r="L119" s="144">
        <f t="shared" si="19"/>
        <v>8</v>
      </c>
      <c r="M119" s="50">
        <f t="shared" si="19"/>
        <v>8</v>
      </c>
      <c r="N119" s="40">
        <f t="shared" si="14"/>
        <v>1688</v>
      </c>
      <c r="O119" s="43">
        <f t="shared" si="15"/>
        <v>1715.5</v>
      </c>
    </row>
    <row r="120" spans="1:15" ht="22.95" customHeight="1" x14ac:dyDescent="0.3">
      <c r="A120" s="52" t="s">
        <v>21</v>
      </c>
      <c r="B120" s="44">
        <f t="shared" ref="B120:M120" si="20">B14+B15+B16+B17</f>
        <v>1125</v>
      </c>
      <c r="C120" s="39">
        <f t="shared" si="20"/>
        <v>416</v>
      </c>
      <c r="D120" s="39">
        <f t="shared" si="20"/>
        <v>41</v>
      </c>
      <c r="E120" s="39">
        <f t="shared" si="20"/>
        <v>16</v>
      </c>
      <c r="F120" s="39">
        <f t="shared" si="20"/>
        <v>47</v>
      </c>
      <c r="G120" s="50">
        <f t="shared" si="20"/>
        <v>1645</v>
      </c>
      <c r="H120" s="44">
        <f t="shared" si="20"/>
        <v>0</v>
      </c>
      <c r="I120" s="39">
        <f t="shared" si="20"/>
        <v>0</v>
      </c>
      <c r="J120" s="39">
        <f t="shared" si="20"/>
        <v>0</v>
      </c>
      <c r="K120" s="45">
        <f t="shared" si="20"/>
        <v>0</v>
      </c>
      <c r="L120" s="144">
        <f t="shared" si="20"/>
        <v>8</v>
      </c>
      <c r="M120" s="50">
        <f t="shared" si="20"/>
        <v>8</v>
      </c>
      <c r="N120" s="40">
        <f t="shared" si="14"/>
        <v>1653</v>
      </c>
      <c r="O120" s="43">
        <f t="shared" si="15"/>
        <v>1718</v>
      </c>
    </row>
    <row r="121" spans="1:15" ht="22.95" customHeight="1" x14ac:dyDescent="0.3">
      <c r="A121" s="52" t="s">
        <v>22</v>
      </c>
      <c r="B121" s="44">
        <f t="shared" ref="B121:M121" si="21">B15+B16+B17+B18</f>
        <v>1118</v>
      </c>
      <c r="C121" s="39">
        <f t="shared" si="21"/>
        <v>395</v>
      </c>
      <c r="D121" s="39">
        <f t="shared" si="21"/>
        <v>35</v>
      </c>
      <c r="E121" s="39">
        <f t="shared" si="21"/>
        <v>19</v>
      </c>
      <c r="F121" s="39">
        <f t="shared" si="21"/>
        <v>45</v>
      </c>
      <c r="G121" s="50">
        <f t="shared" si="21"/>
        <v>1612</v>
      </c>
      <c r="H121" s="44">
        <f t="shared" si="21"/>
        <v>0</v>
      </c>
      <c r="I121" s="39">
        <f t="shared" si="21"/>
        <v>0</v>
      </c>
      <c r="J121" s="39">
        <f t="shared" si="21"/>
        <v>0</v>
      </c>
      <c r="K121" s="45">
        <f t="shared" si="21"/>
        <v>0</v>
      </c>
      <c r="L121" s="144">
        <f t="shared" si="21"/>
        <v>9</v>
      </c>
      <c r="M121" s="50">
        <f t="shared" si="21"/>
        <v>9</v>
      </c>
      <c r="N121" s="40">
        <f t="shared" si="14"/>
        <v>1621</v>
      </c>
      <c r="O121" s="43">
        <f t="shared" si="15"/>
        <v>1699.5</v>
      </c>
    </row>
    <row r="122" spans="1:15" ht="22.95" customHeight="1" x14ac:dyDescent="0.3">
      <c r="A122" s="52" t="s">
        <v>23</v>
      </c>
      <c r="B122" s="44">
        <f t="shared" ref="B122:M122" si="22">B16+B17+B18+B19</f>
        <v>1150</v>
      </c>
      <c r="C122" s="39">
        <f t="shared" si="22"/>
        <v>395</v>
      </c>
      <c r="D122" s="39">
        <f t="shared" si="22"/>
        <v>36</v>
      </c>
      <c r="E122" s="39">
        <f t="shared" si="22"/>
        <v>18</v>
      </c>
      <c r="F122" s="39">
        <f t="shared" si="22"/>
        <v>45</v>
      </c>
      <c r="G122" s="50">
        <f t="shared" si="22"/>
        <v>1644</v>
      </c>
      <c r="H122" s="44">
        <f t="shared" si="22"/>
        <v>0</v>
      </c>
      <c r="I122" s="39">
        <f t="shared" si="22"/>
        <v>0</v>
      </c>
      <c r="J122" s="39">
        <f t="shared" si="22"/>
        <v>0</v>
      </c>
      <c r="K122" s="45">
        <f t="shared" si="22"/>
        <v>0</v>
      </c>
      <c r="L122" s="144">
        <f t="shared" si="22"/>
        <v>6</v>
      </c>
      <c r="M122" s="50">
        <f t="shared" si="22"/>
        <v>6</v>
      </c>
      <c r="N122" s="40">
        <f t="shared" si="14"/>
        <v>1650</v>
      </c>
      <c r="O122" s="43">
        <f t="shared" si="15"/>
        <v>1706</v>
      </c>
    </row>
    <row r="123" spans="1:15" ht="22.95" customHeight="1" x14ac:dyDescent="0.3">
      <c r="A123" s="52" t="s">
        <v>24</v>
      </c>
      <c r="B123" s="44">
        <f t="shared" ref="B123:M123" si="23">B17+B18+B19+B20</f>
        <v>1113</v>
      </c>
      <c r="C123" s="39">
        <f t="shared" si="23"/>
        <v>350</v>
      </c>
      <c r="D123" s="39">
        <f t="shared" si="23"/>
        <v>37</v>
      </c>
      <c r="E123" s="39">
        <f t="shared" si="23"/>
        <v>22</v>
      </c>
      <c r="F123" s="39">
        <f t="shared" si="23"/>
        <v>41</v>
      </c>
      <c r="G123" s="50">
        <f t="shared" si="23"/>
        <v>1563</v>
      </c>
      <c r="H123" s="44">
        <f t="shared" si="23"/>
        <v>0</v>
      </c>
      <c r="I123" s="39">
        <f t="shared" si="23"/>
        <v>0</v>
      </c>
      <c r="J123" s="39">
        <f t="shared" si="23"/>
        <v>0</v>
      </c>
      <c r="K123" s="45">
        <f t="shared" si="23"/>
        <v>0</v>
      </c>
      <c r="L123" s="144">
        <f t="shared" si="23"/>
        <v>6</v>
      </c>
      <c r="M123" s="50">
        <f t="shared" si="23"/>
        <v>6</v>
      </c>
      <c r="N123" s="40">
        <f t="shared" si="14"/>
        <v>1569</v>
      </c>
      <c r="O123" s="43">
        <f t="shared" si="15"/>
        <v>1642</v>
      </c>
    </row>
    <row r="124" spans="1:15" ht="22.95" customHeight="1" x14ac:dyDescent="0.3">
      <c r="A124" s="52" t="s">
        <v>25</v>
      </c>
      <c r="B124" s="44">
        <f t="shared" ref="B124:M124" si="24">B18+B19+B20+B21</f>
        <v>1153</v>
      </c>
      <c r="C124" s="39">
        <f t="shared" si="24"/>
        <v>380</v>
      </c>
      <c r="D124" s="39">
        <f t="shared" si="24"/>
        <v>38</v>
      </c>
      <c r="E124" s="39">
        <f t="shared" si="24"/>
        <v>21</v>
      </c>
      <c r="F124" s="39">
        <f t="shared" si="24"/>
        <v>49</v>
      </c>
      <c r="G124" s="50">
        <f t="shared" si="24"/>
        <v>1641</v>
      </c>
      <c r="H124" s="44">
        <f t="shared" si="24"/>
        <v>0</v>
      </c>
      <c r="I124" s="39">
        <f t="shared" si="24"/>
        <v>0</v>
      </c>
      <c r="J124" s="39">
        <f t="shared" si="24"/>
        <v>0</v>
      </c>
      <c r="K124" s="45">
        <f t="shared" si="24"/>
        <v>0</v>
      </c>
      <c r="L124" s="144">
        <f t="shared" si="24"/>
        <v>6</v>
      </c>
      <c r="M124" s="50">
        <f t="shared" si="24"/>
        <v>6</v>
      </c>
      <c r="N124" s="40">
        <f t="shared" si="14"/>
        <v>1647</v>
      </c>
      <c r="O124" s="43">
        <f t="shared" si="15"/>
        <v>1731.5</v>
      </c>
    </row>
    <row r="125" spans="1:15" ht="22.95" customHeight="1" x14ac:dyDescent="0.3">
      <c r="A125" s="52" t="s">
        <v>26</v>
      </c>
      <c r="B125" s="44">
        <f t="shared" ref="B125:M125" si="25">B19+B20+B21+B22</f>
        <v>1164</v>
      </c>
      <c r="C125" s="39">
        <f t="shared" si="25"/>
        <v>384</v>
      </c>
      <c r="D125" s="39">
        <f t="shared" si="25"/>
        <v>48</v>
      </c>
      <c r="E125" s="39">
        <f t="shared" si="25"/>
        <v>16</v>
      </c>
      <c r="F125" s="39">
        <f t="shared" si="25"/>
        <v>52</v>
      </c>
      <c r="G125" s="50">
        <f t="shared" si="25"/>
        <v>1664</v>
      </c>
      <c r="H125" s="44">
        <f t="shared" si="25"/>
        <v>0</v>
      </c>
      <c r="I125" s="39">
        <f t="shared" si="25"/>
        <v>0</v>
      </c>
      <c r="J125" s="39">
        <f t="shared" si="25"/>
        <v>0</v>
      </c>
      <c r="K125" s="45">
        <f t="shared" si="25"/>
        <v>0</v>
      </c>
      <c r="L125" s="144">
        <f t="shared" si="25"/>
        <v>3</v>
      </c>
      <c r="M125" s="50">
        <f t="shared" si="25"/>
        <v>3</v>
      </c>
      <c r="N125" s="40">
        <f t="shared" si="14"/>
        <v>1667</v>
      </c>
      <c r="O125" s="43">
        <f t="shared" si="15"/>
        <v>1734</v>
      </c>
    </row>
    <row r="126" spans="1:15" ht="22.95" customHeight="1" x14ac:dyDescent="0.3">
      <c r="A126" s="52" t="s">
        <v>27</v>
      </c>
      <c r="B126" s="44">
        <f t="shared" ref="B126:M126" si="26">B20+B21+B22+B23</f>
        <v>1119</v>
      </c>
      <c r="C126" s="39">
        <f t="shared" si="26"/>
        <v>394</v>
      </c>
      <c r="D126" s="39">
        <f t="shared" si="26"/>
        <v>51</v>
      </c>
      <c r="E126" s="39">
        <f t="shared" si="26"/>
        <v>18</v>
      </c>
      <c r="F126" s="39">
        <f t="shared" si="26"/>
        <v>54</v>
      </c>
      <c r="G126" s="50">
        <f t="shared" si="26"/>
        <v>1636</v>
      </c>
      <c r="H126" s="44">
        <f t="shared" si="26"/>
        <v>0</v>
      </c>
      <c r="I126" s="39">
        <f t="shared" si="26"/>
        <v>0</v>
      </c>
      <c r="J126" s="39">
        <f t="shared" si="26"/>
        <v>0</v>
      </c>
      <c r="K126" s="45">
        <f t="shared" si="26"/>
        <v>0</v>
      </c>
      <c r="L126" s="144">
        <f t="shared" si="26"/>
        <v>4</v>
      </c>
      <c r="M126" s="50">
        <f t="shared" si="26"/>
        <v>4</v>
      </c>
      <c r="N126" s="40">
        <f t="shared" si="14"/>
        <v>1640</v>
      </c>
      <c r="O126" s="43">
        <f t="shared" si="15"/>
        <v>1721.5</v>
      </c>
    </row>
    <row r="127" spans="1:15" ht="22.95" customHeight="1" x14ac:dyDescent="0.3">
      <c r="A127" s="52" t="s">
        <v>28</v>
      </c>
      <c r="B127" s="44">
        <f t="shared" ref="B127:M127" si="27">B21+B22+B23+B24</f>
        <v>1129</v>
      </c>
      <c r="C127" s="39">
        <f t="shared" si="27"/>
        <v>419</v>
      </c>
      <c r="D127" s="39">
        <f t="shared" si="27"/>
        <v>55</v>
      </c>
      <c r="E127" s="39">
        <f t="shared" si="27"/>
        <v>24</v>
      </c>
      <c r="F127" s="39">
        <f t="shared" si="27"/>
        <v>55</v>
      </c>
      <c r="G127" s="50">
        <f t="shared" si="27"/>
        <v>1682</v>
      </c>
      <c r="H127" s="44">
        <f t="shared" si="27"/>
        <v>0</v>
      </c>
      <c r="I127" s="39">
        <f t="shared" si="27"/>
        <v>0</v>
      </c>
      <c r="J127" s="39">
        <f t="shared" si="27"/>
        <v>0</v>
      </c>
      <c r="K127" s="45">
        <f t="shared" si="27"/>
        <v>0</v>
      </c>
      <c r="L127" s="144">
        <f t="shared" si="27"/>
        <v>3</v>
      </c>
      <c r="M127" s="50">
        <f t="shared" si="27"/>
        <v>3</v>
      </c>
      <c r="N127" s="40">
        <f t="shared" si="14"/>
        <v>1685</v>
      </c>
      <c r="O127" s="43">
        <f t="shared" si="15"/>
        <v>1764.5</v>
      </c>
    </row>
    <row r="128" spans="1:15" ht="22.95" customHeight="1" x14ac:dyDescent="0.3">
      <c r="A128" s="52" t="s">
        <v>29</v>
      </c>
      <c r="B128" s="44">
        <f t="shared" ref="B128:M128" si="28">B22+B23+B24+B25</f>
        <v>1090</v>
      </c>
      <c r="C128" s="39">
        <f t="shared" si="28"/>
        <v>416</v>
      </c>
      <c r="D128" s="39">
        <f t="shared" si="28"/>
        <v>57</v>
      </c>
      <c r="E128" s="39">
        <f t="shared" si="28"/>
        <v>28</v>
      </c>
      <c r="F128" s="39">
        <f t="shared" si="28"/>
        <v>39</v>
      </c>
      <c r="G128" s="50">
        <f t="shared" si="28"/>
        <v>1630</v>
      </c>
      <c r="H128" s="44">
        <f t="shared" si="28"/>
        <v>0</v>
      </c>
      <c r="I128" s="39">
        <f t="shared" si="28"/>
        <v>0</v>
      </c>
      <c r="J128" s="39">
        <f t="shared" si="28"/>
        <v>0</v>
      </c>
      <c r="K128" s="45">
        <f t="shared" si="28"/>
        <v>0</v>
      </c>
      <c r="L128" s="144">
        <f t="shared" si="28"/>
        <v>4</v>
      </c>
      <c r="M128" s="50">
        <f t="shared" si="28"/>
        <v>4</v>
      </c>
      <c r="N128" s="40">
        <f t="shared" si="14"/>
        <v>1634</v>
      </c>
      <c r="O128" s="43">
        <f t="shared" si="15"/>
        <v>1675</v>
      </c>
    </row>
    <row r="129" spans="1:15" ht="22.95" customHeight="1" x14ac:dyDescent="0.3">
      <c r="A129" s="52" t="s">
        <v>30</v>
      </c>
      <c r="B129" s="44">
        <f t="shared" ref="B129:M129" si="29">B23+B24+B25+B26</f>
        <v>1069</v>
      </c>
      <c r="C129" s="39">
        <f t="shared" si="29"/>
        <v>494</v>
      </c>
      <c r="D129" s="39">
        <f t="shared" si="29"/>
        <v>61</v>
      </c>
      <c r="E129" s="39">
        <f t="shared" si="29"/>
        <v>38</v>
      </c>
      <c r="F129" s="39">
        <f t="shared" si="29"/>
        <v>40</v>
      </c>
      <c r="G129" s="50">
        <f t="shared" si="29"/>
        <v>1702</v>
      </c>
      <c r="H129" s="44">
        <f t="shared" si="29"/>
        <v>0</v>
      </c>
      <c r="I129" s="39">
        <f t="shared" si="29"/>
        <v>0</v>
      </c>
      <c r="J129" s="39">
        <f t="shared" si="29"/>
        <v>0</v>
      </c>
      <c r="K129" s="45">
        <f t="shared" si="29"/>
        <v>0</v>
      </c>
      <c r="L129" s="144">
        <f t="shared" si="29"/>
        <v>6</v>
      </c>
      <c r="M129" s="50">
        <f t="shared" si="29"/>
        <v>6</v>
      </c>
      <c r="N129" s="40">
        <f t="shared" si="14"/>
        <v>1708</v>
      </c>
      <c r="O129" s="43">
        <f t="shared" si="15"/>
        <v>1749.5</v>
      </c>
    </row>
    <row r="130" spans="1:15" ht="22.95" customHeight="1" x14ac:dyDescent="0.3">
      <c r="A130" s="52" t="s">
        <v>31</v>
      </c>
      <c r="B130" s="44">
        <f t="shared" ref="B130:M130" si="30">B24+B25+B26+B27</f>
        <v>1064</v>
      </c>
      <c r="C130" s="39">
        <f t="shared" si="30"/>
        <v>520</v>
      </c>
      <c r="D130" s="39">
        <f t="shared" si="30"/>
        <v>73</v>
      </c>
      <c r="E130" s="39">
        <f t="shared" si="30"/>
        <v>48</v>
      </c>
      <c r="F130" s="39">
        <f t="shared" si="30"/>
        <v>32</v>
      </c>
      <c r="G130" s="50">
        <f t="shared" si="30"/>
        <v>1737</v>
      </c>
      <c r="H130" s="44">
        <f t="shared" si="30"/>
        <v>0</v>
      </c>
      <c r="I130" s="39">
        <f t="shared" si="30"/>
        <v>0</v>
      </c>
      <c r="J130" s="39">
        <f t="shared" si="30"/>
        <v>0</v>
      </c>
      <c r="K130" s="45">
        <f t="shared" si="30"/>
        <v>0</v>
      </c>
      <c r="L130" s="144">
        <f t="shared" si="30"/>
        <v>7</v>
      </c>
      <c r="M130" s="50">
        <f t="shared" si="30"/>
        <v>7</v>
      </c>
      <c r="N130" s="40">
        <f t="shared" si="14"/>
        <v>1744</v>
      </c>
      <c r="O130" s="43">
        <f t="shared" si="15"/>
        <v>1777.5</v>
      </c>
    </row>
    <row r="131" spans="1:15" ht="22.95" customHeight="1" x14ac:dyDescent="0.3">
      <c r="A131" s="52" t="s">
        <v>32</v>
      </c>
      <c r="B131" s="44">
        <f t="shared" ref="B131:M131" si="31">B25+B26+B27+B28</f>
        <v>1083</v>
      </c>
      <c r="C131" s="39">
        <f t="shared" si="31"/>
        <v>527</v>
      </c>
      <c r="D131" s="39">
        <f t="shared" si="31"/>
        <v>78</v>
      </c>
      <c r="E131" s="39">
        <f t="shared" si="31"/>
        <v>53</v>
      </c>
      <c r="F131" s="39">
        <f t="shared" si="31"/>
        <v>34</v>
      </c>
      <c r="G131" s="50">
        <f t="shared" si="31"/>
        <v>1775</v>
      </c>
      <c r="H131" s="44">
        <f t="shared" si="31"/>
        <v>0</v>
      </c>
      <c r="I131" s="39">
        <f t="shared" si="31"/>
        <v>0</v>
      </c>
      <c r="J131" s="39">
        <f t="shared" si="31"/>
        <v>1</v>
      </c>
      <c r="K131" s="45">
        <f t="shared" si="31"/>
        <v>0</v>
      </c>
      <c r="L131" s="144">
        <f t="shared" si="31"/>
        <v>7</v>
      </c>
      <c r="M131" s="50">
        <f t="shared" si="31"/>
        <v>8</v>
      </c>
      <c r="N131" s="40">
        <f t="shared" si="14"/>
        <v>1783</v>
      </c>
      <c r="O131" s="43">
        <f t="shared" si="15"/>
        <v>1834.5</v>
      </c>
    </row>
    <row r="132" spans="1:15" ht="22.95" customHeight="1" x14ac:dyDescent="0.3">
      <c r="A132" s="52" t="s">
        <v>33</v>
      </c>
      <c r="B132" s="44">
        <f t="shared" ref="B132:M132" si="32">B26+B27+B28+B29</f>
        <v>1091</v>
      </c>
      <c r="C132" s="39">
        <f t="shared" si="32"/>
        <v>521</v>
      </c>
      <c r="D132" s="39">
        <f t="shared" si="32"/>
        <v>87</v>
      </c>
      <c r="E132" s="39">
        <f t="shared" si="32"/>
        <v>58</v>
      </c>
      <c r="F132" s="39">
        <f t="shared" si="32"/>
        <v>33</v>
      </c>
      <c r="G132" s="50">
        <f t="shared" si="32"/>
        <v>1790</v>
      </c>
      <c r="H132" s="44">
        <f t="shared" si="32"/>
        <v>0</v>
      </c>
      <c r="I132" s="39">
        <f t="shared" si="32"/>
        <v>0</v>
      </c>
      <c r="J132" s="39">
        <f t="shared" si="32"/>
        <v>1</v>
      </c>
      <c r="K132" s="45">
        <f t="shared" si="32"/>
        <v>0</v>
      </c>
      <c r="L132" s="144">
        <f t="shared" si="32"/>
        <v>6</v>
      </c>
      <c r="M132" s="50">
        <f t="shared" si="32"/>
        <v>7</v>
      </c>
      <c r="N132" s="40">
        <f t="shared" si="14"/>
        <v>1797</v>
      </c>
      <c r="O132" s="43">
        <f t="shared" si="15"/>
        <v>1855.5</v>
      </c>
    </row>
    <row r="133" spans="1:15" ht="22.95" customHeight="1" x14ac:dyDescent="0.3">
      <c r="A133" s="52" t="s">
        <v>34</v>
      </c>
      <c r="B133" s="44">
        <f t="shared" ref="B133:M133" si="33">B27+B28+B29+B30</f>
        <v>1103</v>
      </c>
      <c r="C133" s="39">
        <f t="shared" si="33"/>
        <v>540</v>
      </c>
      <c r="D133" s="39">
        <f t="shared" si="33"/>
        <v>98</v>
      </c>
      <c r="E133" s="39">
        <f t="shared" si="33"/>
        <v>62</v>
      </c>
      <c r="F133" s="39">
        <f t="shared" si="33"/>
        <v>30</v>
      </c>
      <c r="G133" s="50">
        <f t="shared" si="33"/>
        <v>1833</v>
      </c>
      <c r="H133" s="44">
        <f t="shared" si="33"/>
        <v>0</v>
      </c>
      <c r="I133" s="39">
        <f t="shared" si="33"/>
        <v>0</v>
      </c>
      <c r="J133" s="39">
        <f t="shared" si="33"/>
        <v>1</v>
      </c>
      <c r="K133" s="45">
        <f t="shared" si="33"/>
        <v>0</v>
      </c>
      <c r="L133" s="144">
        <f t="shared" si="33"/>
        <v>6</v>
      </c>
      <c r="M133" s="50">
        <f t="shared" si="33"/>
        <v>7</v>
      </c>
      <c r="N133" s="40">
        <f t="shared" si="14"/>
        <v>1840</v>
      </c>
      <c r="O133" s="43">
        <f t="shared" si="15"/>
        <v>1892</v>
      </c>
    </row>
    <row r="134" spans="1:15" ht="22.95" customHeight="1" x14ac:dyDescent="0.3">
      <c r="A134" s="52" t="s">
        <v>35</v>
      </c>
      <c r="B134" s="44">
        <f t="shared" ref="B134:M134" si="34">B28+B29+B30+B31</f>
        <v>1168</v>
      </c>
      <c r="C134" s="39">
        <f t="shared" si="34"/>
        <v>587</v>
      </c>
      <c r="D134" s="39">
        <f t="shared" si="34"/>
        <v>100</v>
      </c>
      <c r="E134" s="39">
        <f t="shared" si="34"/>
        <v>65</v>
      </c>
      <c r="F134" s="39">
        <f t="shared" si="34"/>
        <v>33</v>
      </c>
      <c r="G134" s="50">
        <f t="shared" si="34"/>
        <v>1953</v>
      </c>
      <c r="H134" s="44">
        <f t="shared" si="34"/>
        <v>0</v>
      </c>
      <c r="I134" s="39">
        <f t="shared" si="34"/>
        <v>0</v>
      </c>
      <c r="J134" s="39">
        <f t="shared" si="34"/>
        <v>1</v>
      </c>
      <c r="K134" s="45">
        <f t="shared" si="34"/>
        <v>0</v>
      </c>
      <c r="L134" s="144">
        <f t="shared" si="34"/>
        <v>4</v>
      </c>
      <c r="M134" s="50">
        <f t="shared" si="34"/>
        <v>5</v>
      </c>
      <c r="N134" s="40">
        <f t="shared" si="14"/>
        <v>1958</v>
      </c>
      <c r="O134" s="43">
        <f t="shared" si="15"/>
        <v>1990</v>
      </c>
    </row>
    <row r="135" spans="1:15" ht="22.95" customHeight="1" x14ac:dyDescent="0.3">
      <c r="A135" s="52" t="s">
        <v>36</v>
      </c>
      <c r="B135" s="44">
        <f t="shared" ref="B135:M135" si="35">B29+B30+B31+B32</f>
        <v>1134</v>
      </c>
      <c r="C135" s="39">
        <f t="shared" si="35"/>
        <v>604</v>
      </c>
      <c r="D135" s="39">
        <f t="shared" si="35"/>
        <v>98</v>
      </c>
      <c r="E135" s="39">
        <f t="shared" si="35"/>
        <v>74</v>
      </c>
      <c r="F135" s="39">
        <f t="shared" si="35"/>
        <v>34</v>
      </c>
      <c r="G135" s="50">
        <f t="shared" si="35"/>
        <v>1944</v>
      </c>
      <c r="H135" s="44">
        <f t="shared" si="35"/>
        <v>0</v>
      </c>
      <c r="I135" s="39">
        <f t="shared" si="35"/>
        <v>0</v>
      </c>
      <c r="J135" s="39">
        <f t="shared" si="35"/>
        <v>0</v>
      </c>
      <c r="K135" s="45">
        <f t="shared" si="35"/>
        <v>0</v>
      </c>
      <c r="L135" s="144">
        <f t="shared" si="35"/>
        <v>5</v>
      </c>
      <c r="M135" s="50">
        <f t="shared" si="35"/>
        <v>5</v>
      </c>
      <c r="N135" s="40">
        <f t="shared" si="14"/>
        <v>1949</v>
      </c>
      <c r="O135" s="43">
        <f t="shared" si="15"/>
        <v>1998</v>
      </c>
    </row>
    <row r="136" spans="1:15" ht="22.95" customHeight="1" x14ac:dyDescent="0.3">
      <c r="A136" s="52" t="s">
        <v>37</v>
      </c>
      <c r="B136" s="44">
        <f t="shared" ref="B136:M136" si="36">B30+B31+B32+B33</f>
        <v>1080</v>
      </c>
      <c r="C136" s="39">
        <f t="shared" si="36"/>
        <v>618</v>
      </c>
      <c r="D136" s="39">
        <f t="shared" si="36"/>
        <v>92</v>
      </c>
      <c r="E136" s="39">
        <f t="shared" si="36"/>
        <v>81</v>
      </c>
      <c r="F136" s="39">
        <f t="shared" si="36"/>
        <v>47</v>
      </c>
      <c r="G136" s="50">
        <f t="shared" si="36"/>
        <v>1918</v>
      </c>
      <c r="H136" s="44">
        <f t="shared" si="36"/>
        <v>0</v>
      </c>
      <c r="I136" s="39">
        <f t="shared" si="36"/>
        <v>0</v>
      </c>
      <c r="J136" s="39">
        <f t="shared" si="36"/>
        <v>0</v>
      </c>
      <c r="K136" s="45">
        <f t="shared" si="36"/>
        <v>0</v>
      </c>
      <c r="L136" s="144">
        <f t="shared" si="36"/>
        <v>6</v>
      </c>
      <c r="M136" s="50">
        <f t="shared" si="36"/>
        <v>6</v>
      </c>
      <c r="N136" s="40">
        <f t="shared" si="14"/>
        <v>1924</v>
      </c>
      <c r="O136" s="43">
        <f t="shared" si="15"/>
        <v>2029.5</v>
      </c>
    </row>
    <row r="137" spans="1:15" ht="22.95" customHeight="1" x14ac:dyDescent="0.3">
      <c r="A137" s="52" t="s">
        <v>38</v>
      </c>
      <c r="B137" s="44">
        <f t="shared" ref="B137:M137" si="37">B31+B32+B33+B34</f>
        <v>1074</v>
      </c>
      <c r="C137" s="39">
        <f t="shared" si="37"/>
        <v>627</v>
      </c>
      <c r="D137" s="39">
        <f t="shared" si="37"/>
        <v>84</v>
      </c>
      <c r="E137" s="39">
        <f t="shared" si="37"/>
        <v>90</v>
      </c>
      <c r="F137" s="39">
        <f t="shared" si="37"/>
        <v>47</v>
      </c>
      <c r="G137" s="50">
        <f t="shared" si="37"/>
        <v>1922</v>
      </c>
      <c r="H137" s="44">
        <f t="shared" si="37"/>
        <v>0</v>
      </c>
      <c r="I137" s="39">
        <f t="shared" si="37"/>
        <v>0</v>
      </c>
      <c r="J137" s="39">
        <f t="shared" si="37"/>
        <v>0</v>
      </c>
      <c r="K137" s="45">
        <f t="shared" si="37"/>
        <v>0</v>
      </c>
      <c r="L137" s="144">
        <f t="shared" si="37"/>
        <v>4</v>
      </c>
      <c r="M137" s="50">
        <f t="shared" si="37"/>
        <v>4</v>
      </c>
      <c r="N137" s="40">
        <f t="shared" si="14"/>
        <v>1926</v>
      </c>
      <c r="O137" s="43">
        <f t="shared" si="15"/>
        <v>2027</v>
      </c>
    </row>
    <row r="138" spans="1:15" ht="22.95" customHeight="1" x14ac:dyDescent="0.3">
      <c r="A138" s="52" t="s">
        <v>39</v>
      </c>
      <c r="B138" s="44">
        <f t="shared" ref="B138:M138" si="38">B32+B33+B34+B35</f>
        <v>1036</v>
      </c>
      <c r="C138" s="39">
        <f t="shared" si="38"/>
        <v>636</v>
      </c>
      <c r="D138" s="39">
        <f t="shared" si="38"/>
        <v>81</v>
      </c>
      <c r="E138" s="39">
        <f t="shared" si="38"/>
        <v>99</v>
      </c>
      <c r="F138" s="39">
        <f t="shared" si="38"/>
        <v>51</v>
      </c>
      <c r="G138" s="50">
        <f t="shared" si="38"/>
        <v>1903</v>
      </c>
      <c r="H138" s="44">
        <f t="shared" si="38"/>
        <v>0</v>
      </c>
      <c r="I138" s="39">
        <f t="shared" si="38"/>
        <v>0</v>
      </c>
      <c r="J138" s="39">
        <f t="shared" si="38"/>
        <v>0</v>
      </c>
      <c r="K138" s="45">
        <f t="shared" si="38"/>
        <v>0</v>
      </c>
      <c r="L138" s="144">
        <f t="shared" si="38"/>
        <v>4</v>
      </c>
      <c r="M138" s="50">
        <f t="shared" si="38"/>
        <v>4</v>
      </c>
      <c r="N138" s="40">
        <f t="shared" si="14"/>
        <v>1907</v>
      </c>
      <c r="O138" s="43">
        <f t="shared" si="15"/>
        <v>2034</v>
      </c>
    </row>
    <row r="139" spans="1:15" ht="22.95" customHeight="1" x14ac:dyDescent="0.3">
      <c r="A139" s="52" t="s">
        <v>40</v>
      </c>
      <c r="B139" s="44">
        <f t="shared" ref="B139:M139" si="39">B33+B34+B35+B36</f>
        <v>1062</v>
      </c>
      <c r="C139" s="39">
        <f t="shared" si="39"/>
        <v>654</v>
      </c>
      <c r="D139" s="39">
        <f t="shared" si="39"/>
        <v>96</v>
      </c>
      <c r="E139" s="39">
        <f t="shared" si="39"/>
        <v>100</v>
      </c>
      <c r="F139" s="39">
        <f t="shared" si="39"/>
        <v>48</v>
      </c>
      <c r="G139" s="50">
        <f t="shared" si="39"/>
        <v>1960</v>
      </c>
      <c r="H139" s="44">
        <f t="shared" si="39"/>
        <v>0</v>
      </c>
      <c r="I139" s="39">
        <f t="shared" si="39"/>
        <v>0</v>
      </c>
      <c r="J139" s="39">
        <f t="shared" si="39"/>
        <v>0</v>
      </c>
      <c r="K139" s="45">
        <f t="shared" si="39"/>
        <v>0</v>
      </c>
      <c r="L139" s="144">
        <f t="shared" si="39"/>
        <v>4</v>
      </c>
      <c r="M139" s="50">
        <f t="shared" si="39"/>
        <v>4</v>
      </c>
      <c r="N139" s="40">
        <f t="shared" si="14"/>
        <v>1964</v>
      </c>
      <c r="O139" s="43">
        <f t="shared" si="15"/>
        <v>2081</v>
      </c>
    </row>
    <row r="140" spans="1:15" ht="22.95" customHeight="1" x14ac:dyDescent="0.3">
      <c r="A140" s="52" t="s">
        <v>41</v>
      </c>
      <c r="B140" s="44">
        <f t="shared" ref="B140:M140" si="40">B34+B35+B36+B37</f>
        <v>1099</v>
      </c>
      <c r="C140" s="39">
        <f t="shared" si="40"/>
        <v>666</v>
      </c>
      <c r="D140" s="39">
        <f t="shared" si="40"/>
        <v>106</v>
      </c>
      <c r="E140" s="39">
        <f t="shared" si="40"/>
        <v>105</v>
      </c>
      <c r="F140" s="39">
        <f t="shared" si="40"/>
        <v>44</v>
      </c>
      <c r="G140" s="50">
        <f t="shared" si="40"/>
        <v>2020</v>
      </c>
      <c r="H140" s="44">
        <f t="shared" si="40"/>
        <v>0</v>
      </c>
      <c r="I140" s="39">
        <f t="shared" si="40"/>
        <v>0</v>
      </c>
      <c r="J140" s="39">
        <f t="shared" si="40"/>
        <v>0</v>
      </c>
      <c r="K140" s="45">
        <f t="shared" si="40"/>
        <v>0</v>
      </c>
      <c r="L140" s="144">
        <f t="shared" si="40"/>
        <v>3</v>
      </c>
      <c r="M140" s="50">
        <f t="shared" si="40"/>
        <v>3</v>
      </c>
      <c r="N140" s="40">
        <f t="shared" si="14"/>
        <v>2023</v>
      </c>
      <c r="O140" s="43">
        <f t="shared" si="15"/>
        <v>2128</v>
      </c>
    </row>
    <row r="141" spans="1:15" ht="22.95" customHeight="1" x14ac:dyDescent="0.3">
      <c r="A141" s="52" t="s">
        <v>42</v>
      </c>
      <c r="B141" s="44">
        <f t="shared" ref="B141:M141" si="41">B35+B36+B37+B38</f>
        <v>1094</v>
      </c>
      <c r="C141" s="39">
        <f t="shared" si="41"/>
        <v>614</v>
      </c>
      <c r="D141" s="39">
        <f t="shared" si="41"/>
        <v>104</v>
      </c>
      <c r="E141" s="39">
        <f t="shared" si="41"/>
        <v>95</v>
      </c>
      <c r="F141" s="39">
        <f t="shared" si="41"/>
        <v>48</v>
      </c>
      <c r="G141" s="50">
        <f t="shared" si="41"/>
        <v>1955</v>
      </c>
      <c r="H141" s="44">
        <f t="shared" si="41"/>
        <v>0</v>
      </c>
      <c r="I141" s="39">
        <f t="shared" si="41"/>
        <v>0</v>
      </c>
      <c r="J141" s="39">
        <f t="shared" si="41"/>
        <v>0</v>
      </c>
      <c r="K141" s="45">
        <f t="shared" si="41"/>
        <v>0</v>
      </c>
      <c r="L141" s="144">
        <f t="shared" si="41"/>
        <v>3</v>
      </c>
      <c r="M141" s="50">
        <f t="shared" si="41"/>
        <v>3</v>
      </c>
      <c r="N141" s="40">
        <f t="shared" si="14"/>
        <v>1958</v>
      </c>
      <c r="O141" s="43">
        <f t="shared" si="15"/>
        <v>2082</v>
      </c>
    </row>
    <row r="142" spans="1:15" ht="22.95" customHeight="1" x14ac:dyDescent="0.3">
      <c r="A142" s="52" t="s">
        <v>43</v>
      </c>
      <c r="B142" s="44">
        <f t="shared" ref="B142:M142" si="42">B36+B37+B38+B39</f>
        <v>1072</v>
      </c>
      <c r="C142" s="39">
        <f t="shared" si="42"/>
        <v>600</v>
      </c>
      <c r="D142" s="39">
        <f t="shared" si="42"/>
        <v>104</v>
      </c>
      <c r="E142" s="39">
        <f t="shared" si="42"/>
        <v>91</v>
      </c>
      <c r="F142" s="39">
        <f t="shared" si="42"/>
        <v>47</v>
      </c>
      <c r="G142" s="50">
        <f t="shared" si="42"/>
        <v>1914</v>
      </c>
      <c r="H142" s="44">
        <f t="shared" si="42"/>
        <v>0</v>
      </c>
      <c r="I142" s="39">
        <f t="shared" si="42"/>
        <v>0</v>
      </c>
      <c r="J142" s="39">
        <f t="shared" si="42"/>
        <v>0</v>
      </c>
      <c r="K142" s="45">
        <f t="shared" si="42"/>
        <v>0</v>
      </c>
      <c r="L142" s="144">
        <f t="shared" si="42"/>
        <v>2</v>
      </c>
      <c r="M142" s="50">
        <f t="shared" si="42"/>
        <v>2</v>
      </c>
      <c r="N142" s="40">
        <f t="shared" si="14"/>
        <v>1916</v>
      </c>
      <c r="O142" s="43">
        <f t="shared" si="15"/>
        <v>2028.5</v>
      </c>
    </row>
    <row r="143" spans="1:15" ht="22.95" customHeight="1" x14ac:dyDescent="0.3">
      <c r="A143" s="52" t="s">
        <v>44</v>
      </c>
      <c r="B143" s="44">
        <f t="shared" ref="B143:M143" si="43">B37+B38+B39+B40</f>
        <v>1078</v>
      </c>
      <c r="C143" s="39">
        <f t="shared" si="43"/>
        <v>576</v>
      </c>
      <c r="D143" s="39">
        <f t="shared" si="43"/>
        <v>82</v>
      </c>
      <c r="E143" s="39">
        <f t="shared" si="43"/>
        <v>68</v>
      </c>
      <c r="F143" s="39">
        <f t="shared" si="43"/>
        <v>43</v>
      </c>
      <c r="G143" s="50">
        <f t="shared" si="43"/>
        <v>1847</v>
      </c>
      <c r="H143" s="44">
        <f t="shared" si="43"/>
        <v>0</v>
      </c>
      <c r="I143" s="39">
        <f t="shared" si="43"/>
        <v>0</v>
      </c>
      <c r="J143" s="39">
        <f t="shared" si="43"/>
        <v>0</v>
      </c>
      <c r="K143" s="45">
        <f t="shared" si="43"/>
        <v>0</v>
      </c>
      <c r="L143" s="144">
        <f t="shared" si="43"/>
        <v>2</v>
      </c>
      <c r="M143" s="50">
        <f t="shared" si="43"/>
        <v>2</v>
      </c>
      <c r="N143" s="40">
        <f t="shared" si="14"/>
        <v>1849</v>
      </c>
      <c r="O143" s="43">
        <f t="shared" si="15"/>
        <v>1902.5</v>
      </c>
    </row>
    <row r="144" spans="1:15" ht="22.95" customHeight="1" x14ac:dyDescent="0.3">
      <c r="A144" s="52" t="s">
        <v>45</v>
      </c>
      <c r="B144" s="44">
        <f t="shared" ref="B144:M144" si="44">B38+B39+B40+B41</f>
        <v>1006</v>
      </c>
      <c r="C144" s="39">
        <f t="shared" si="44"/>
        <v>619</v>
      </c>
      <c r="D144" s="39">
        <f t="shared" si="44"/>
        <v>78</v>
      </c>
      <c r="E144" s="39">
        <f t="shared" si="44"/>
        <v>47</v>
      </c>
      <c r="F144" s="39">
        <f t="shared" si="44"/>
        <v>37</v>
      </c>
      <c r="G144" s="50">
        <f t="shared" si="44"/>
        <v>1787</v>
      </c>
      <c r="H144" s="44">
        <f t="shared" si="44"/>
        <v>0</v>
      </c>
      <c r="I144" s="39">
        <f t="shared" si="44"/>
        <v>0</v>
      </c>
      <c r="J144" s="39">
        <f t="shared" si="44"/>
        <v>0</v>
      </c>
      <c r="K144" s="45">
        <f t="shared" si="44"/>
        <v>0</v>
      </c>
      <c r="L144" s="144">
        <f t="shared" si="44"/>
        <v>1</v>
      </c>
      <c r="M144" s="50">
        <f t="shared" si="44"/>
        <v>1</v>
      </c>
      <c r="N144" s="40">
        <f t="shared" si="14"/>
        <v>1788</v>
      </c>
      <c r="O144" s="43">
        <f t="shared" si="15"/>
        <v>1748</v>
      </c>
    </row>
    <row r="145" spans="1:15" ht="22.95" customHeight="1" x14ac:dyDescent="0.3">
      <c r="A145" s="52" t="s">
        <v>46</v>
      </c>
      <c r="B145" s="44">
        <f t="shared" ref="B145:M145" si="45">B39+B40+B41+B42</f>
        <v>999</v>
      </c>
      <c r="C145" s="39">
        <f t="shared" si="45"/>
        <v>704</v>
      </c>
      <c r="D145" s="39">
        <f t="shared" si="45"/>
        <v>77</v>
      </c>
      <c r="E145" s="39">
        <f t="shared" si="45"/>
        <v>42</v>
      </c>
      <c r="F145" s="39">
        <f t="shared" si="45"/>
        <v>28</v>
      </c>
      <c r="G145" s="50">
        <f t="shared" si="45"/>
        <v>1850</v>
      </c>
      <c r="H145" s="44">
        <f t="shared" si="45"/>
        <v>0</v>
      </c>
      <c r="I145" s="39">
        <f t="shared" si="45"/>
        <v>0</v>
      </c>
      <c r="J145" s="39">
        <f t="shared" si="45"/>
        <v>0</v>
      </c>
      <c r="K145" s="45">
        <f t="shared" si="45"/>
        <v>0</v>
      </c>
      <c r="L145" s="144">
        <f t="shared" si="45"/>
        <v>2</v>
      </c>
      <c r="M145" s="50">
        <f t="shared" si="45"/>
        <v>2</v>
      </c>
      <c r="N145" s="40">
        <f t="shared" si="14"/>
        <v>1852</v>
      </c>
      <c r="O145" s="43">
        <f t="shared" si="15"/>
        <v>1734.5</v>
      </c>
    </row>
    <row r="146" spans="1:15" ht="22.95" customHeight="1" x14ac:dyDescent="0.3">
      <c r="A146" s="52" t="s">
        <v>47</v>
      </c>
      <c r="B146" s="44">
        <f t="shared" ref="B146:M146" si="46">B40+B41+B42+B43</f>
        <v>1047</v>
      </c>
      <c r="C146" s="39">
        <f t="shared" si="46"/>
        <v>763</v>
      </c>
      <c r="D146" s="39">
        <f t="shared" si="46"/>
        <v>72</v>
      </c>
      <c r="E146" s="39">
        <f t="shared" si="46"/>
        <v>29</v>
      </c>
      <c r="F146" s="39">
        <f t="shared" si="46"/>
        <v>20</v>
      </c>
      <c r="G146" s="50">
        <f t="shared" si="46"/>
        <v>1931</v>
      </c>
      <c r="H146" s="44">
        <f t="shared" si="46"/>
        <v>0</v>
      </c>
      <c r="I146" s="39">
        <f t="shared" si="46"/>
        <v>0</v>
      </c>
      <c r="J146" s="39">
        <f t="shared" si="46"/>
        <v>0</v>
      </c>
      <c r="K146" s="45">
        <f t="shared" si="46"/>
        <v>0</v>
      </c>
      <c r="L146" s="144">
        <f t="shared" si="46"/>
        <v>3</v>
      </c>
      <c r="M146" s="50">
        <f t="shared" si="46"/>
        <v>3</v>
      </c>
      <c r="N146" s="40">
        <f t="shared" si="14"/>
        <v>1934</v>
      </c>
      <c r="O146" s="43">
        <f t="shared" si="15"/>
        <v>1737.5</v>
      </c>
    </row>
    <row r="147" spans="1:15" ht="22.95" customHeight="1" x14ac:dyDescent="0.3">
      <c r="A147" s="52" t="s">
        <v>48</v>
      </c>
      <c r="B147" s="44">
        <f t="shared" ref="B147:M147" si="47">B41+B42+B43+B44</f>
        <v>1077</v>
      </c>
      <c r="C147" s="39">
        <f t="shared" si="47"/>
        <v>897</v>
      </c>
      <c r="D147" s="39">
        <f t="shared" si="47"/>
        <v>82</v>
      </c>
      <c r="E147" s="39">
        <f t="shared" si="47"/>
        <v>39</v>
      </c>
      <c r="F147" s="39">
        <f t="shared" si="47"/>
        <v>21</v>
      </c>
      <c r="G147" s="50">
        <f t="shared" si="47"/>
        <v>2116</v>
      </c>
      <c r="H147" s="44">
        <f t="shared" si="47"/>
        <v>0</v>
      </c>
      <c r="I147" s="39">
        <f t="shared" si="47"/>
        <v>0</v>
      </c>
      <c r="J147" s="39">
        <f t="shared" si="47"/>
        <v>0</v>
      </c>
      <c r="K147" s="45">
        <f t="shared" si="47"/>
        <v>0</v>
      </c>
      <c r="L147" s="144">
        <f t="shared" si="47"/>
        <v>3</v>
      </c>
      <c r="M147" s="50">
        <f t="shared" si="47"/>
        <v>3</v>
      </c>
      <c r="N147" s="40">
        <f t="shared" si="14"/>
        <v>2119</v>
      </c>
      <c r="O147" s="43">
        <f t="shared" si="15"/>
        <v>1884</v>
      </c>
    </row>
    <row r="148" spans="1:15" ht="22.95" customHeight="1" x14ac:dyDescent="0.3">
      <c r="A148" s="52" t="s">
        <v>49</v>
      </c>
      <c r="B148" s="44">
        <f t="shared" ref="B148:M148" si="48">B42+B43+B44+B45</f>
        <v>1144</v>
      </c>
      <c r="C148" s="39">
        <f t="shared" si="48"/>
        <v>940</v>
      </c>
      <c r="D148" s="39">
        <f t="shared" si="48"/>
        <v>76</v>
      </c>
      <c r="E148" s="39">
        <f t="shared" si="48"/>
        <v>35</v>
      </c>
      <c r="F148" s="39">
        <f t="shared" si="48"/>
        <v>16</v>
      </c>
      <c r="G148" s="50">
        <f t="shared" si="48"/>
        <v>2211</v>
      </c>
      <c r="H148" s="44">
        <f t="shared" si="48"/>
        <v>0</v>
      </c>
      <c r="I148" s="39">
        <f t="shared" si="48"/>
        <v>0</v>
      </c>
      <c r="J148" s="39">
        <f t="shared" si="48"/>
        <v>1</v>
      </c>
      <c r="K148" s="45">
        <f t="shared" si="48"/>
        <v>0</v>
      </c>
      <c r="L148" s="144">
        <f t="shared" si="48"/>
        <v>7</v>
      </c>
      <c r="M148" s="50">
        <f t="shared" si="48"/>
        <v>8</v>
      </c>
      <c r="N148" s="40">
        <f t="shared" si="14"/>
        <v>2219</v>
      </c>
      <c r="O148" s="43">
        <f t="shared" si="15"/>
        <v>1964</v>
      </c>
    </row>
    <row r="149" spans="1:15" ht="22.95" customHeight="1" x14ac:dyDescent="0.3">
      <c r="A149" s="52" t="s">
        <v>50</v>
      </c>
      <c r="B149" s="44">
        <f t="shared" ref="B149:M149" si="49">B43+B44+B45+B46</f>
        <v>1117</v>
      </c>
      <c r="C149" s="39">
        <f t="shared" si="49"/>
        <v>913</v>
      </c>
      <c r="D149" s="39">
        <f t="shared" si="49"/>
        <v>79</v>
      </c>
      <c r="E149" s="39">
        <f t="shared" si="49"/>
        <v>34</v>
      </c>
      <c r="F149" s="39">
        <f t="shared" si="49"/>
        <v>15</v>
      </c>
      <c r="G149" s="50">
        <f t="shared" si="49"/>
        <v>2158</v>
      </c>
      <c r="H149" s="44">
        <f t="shared" si="49"/>
        <v>0</v>
      </c>
      <c r="I149" s="39">
        <f t="shared" si="49"/>
        <v>0</v>
      </c>
      <c r="J149" s="39">
        <f t="shared" si="49"/>
        <v>2</v>
      </c>
      <c r="K149" s="45">
        <f t="shared" si="49"/>
        <v>0</v>
      </c>
      <c r="L149" s="144">
        <f t="shared" si="49"/>
        <v>8</v>
      </c>
      <c r="M149" s="50">
        <f t="shared" si="49"/>
        <v>10</v>
      </c>
      <c r="N149" s="40">
        <f t="shared" si="14"/>
        <v>2168</v>
      </c>
      <c r="O149" s="43">
        <f t="shared" si="15"/>
        <v>1931.5</v>
      </c>
    </row>
    <row r="150" spans="1:15" ht="22.95" customHeight="1" x14ac:dyDescent="0.3">
      <c r="A150" s="52" t="s">
        <v>51</v>
      </c>
      <c r="B150" s="44">
        <f t="shared" ref="B150:M150" si="50">B44+B45+B46+B47</f>
        <v>1104</v>
      </c>
      <c r="C150" s="39">
        <f t="shared" si="50"/>
        <v>940</v>
      </c>
      <c r="D150" s="39">
        <f t="shared" si="50"/>
        <v>75</v>
      </c>
      <c r="E150" s="39">
        <f t="shared" si="50"/>
        <v>31</v>
      </c>
      <c r="F150" s="39">
        <f t="shared" si="50"/>
        <v>18</v>
      </c>
      <c r="G150" s="50">
        <f t="shared" si="50"/>
        <v>2168</v>
      </c>
      <c r="H150" s="44">
        <f t="shared" si="50"/>
        <v>0</v>
      </c>
      <c r="I150" s="39">
        <f t="shared" si="50"/>
        <v>0</v>
      </c>
      <c r="J150" s="39">
        <f t="shared" si="50"/>
        <v>2</v>
      </c>
      <c r="K150" s="45">
        <f t="shared" si="50"/>
        <v>0</v>
      </c>
      <c r="L150" s="144">
        <f t="shared" si="50"/>
        <v>9</v>
      </c>
      <c r="M150" s="50">
        <f t="shared" si="50"/>
        <v>11</v>
      </c>
      <c r="N150" s="40">
        <f t="shared" si="14"/>
        <v>2179</v>
      </c>
      <c r="O150" s="43">
        <f t="shared" si="15"/>
        <v>1938.5</v>
      </c>
    </row>
    <row r="151" spans="1:15" ht="22.95" customHeight="1" x14ac:dyDescent="0.3">
      <c r="A151" s="52" t="s">
        <v>52</v>
      </c>
      <c r="B151" s="44">
        <f t="shared" ref="B151:M151" si="51">B45+B46+B47+B48</f>
        <v>1051</v>
      </c>
      <c r="C151" s="39">
        <f t="shared" si="51"/>
        <v>896</v>
      </c>
      <c r="D151" s="39">
        <f t="shared" si="51"/>
        <v>78</v>
      </c>
      <c r="E151" s="39">
        <f t="shared" si="51"/>
        <v>19</v>
      </c>
      <c r="F151" s="39">
        <f t="shared" si="51"/>
        <v>13</v>
      </c>
      <c r="G151" s="50">
        <f t="shared" si="51"/>
        <v>2057</v>
      </c>
      <c r="H151" s="44">
        <f t="shared" si="51"/>
        <v>0</v>
      </c>
      <c r="I151" s="39">
        <f t="shared" si="51"/>
        <v>0</v>
      </c>
      <c r="J151" s="39">
        <f t="shared" si="51"/>
        <v>2</v>
      </c>
      <c r="K151" s="45">
        <f t="shared" si="51"/>
        <v>0</v>
      </c>
      <c r="L151" s="144">
        <f t="shared" si="51"/>
        <v>10</v>
      </c>
      <c r="M151" s="50">
        <f t="shared" si="51"/>
        <v>12</v>
      </c>
      <c r="N151" s="40">
        <f t="shared" si="14"/>
        <v>2069</v>
      </c>
      <c r="O151" s="43">
        <f t="shared" si="15"/>
        <v>1817.5</v>
      </c>
    </row>
    <row r="152" spans="1:15" ht="22.95" customHeight="1" x14ac:dyDescent="0.3">
      <c r="A152" s="52" t="s">
        <v>53</v>
      </c>
      <c r="B152" s="44">
        <f t="shared" ref="B152:M152" si="52">B46+B47+B48+B49</f>
        <v>1017</v>
      </c>
      <c r="C152" s="39">
        <f t="shared" si="52"/>
        <v>887</v>
      </c>
      <c r="D152" s="39">
        <f t="shared" si="52"/>
        <v>87</v>
      </c>
      <c r="E152" s="39">
        <f t="shared" si="52"/>
        <v>20</v>
      </c>
      <c r="F152" s="39">
        <f t="shared" si="52"/>
        <v>19</v>
      </c>
      <c r="G152" s="50">
        <f t="shared" si="52"/>
        <v>2030</v>
      </c>
      <c r="H152" s="44">
        <f t="shared" si="52"/>
        <v>0</v>
      </c>
      <c r="I152" s="39">
        <f t="shared" si="52"/>
        <v>0</v>
      </c>
      <c r="J152" s="39">
        <f t="shared" si="52"/>
        <v>1</v>
      </c>
      <c r="K152" s="45">
        <f t="shared" si="52"/>
        <v>0</v>
      </c>
      <c r="L152" s="144">
        <f t="shared" si="52"/>
        <v>7</v>
      </c>
      <c r="M152" s="50">
        <f t="shared" si="52"/>
        <v>8</v>
      </c>
      <c r="N152" s="40">
        <f t="shared" si="14"/>
        <v>2038</v>
      </c>
      <c r="O152" s="43">
        <f t="shared" si="15"/>
        <v>1795.5</v>
      </c>
    </row>
    <row r="153" spans="1:15" ht="22.95" customHeight="1" x14ac:dyDescent="0.3">
      <c r="A153" s="52" t="s">
        <v>54</v>
      </c>
      <c r="B153" s="44">
        <f t="shared" ref="B153:M153" si="53">B47+B48+B49+B50</f>
        <v>1035</v>
      </c>
      <c r="C153" s="39">
        <f t="shared" si="53"/>
        <v>888</v>
      </c>
      <c r="D153" s="39">
        <f t="shared" si="53"/>
        <v>77</v>
      </c>
      <c r="E153" s="39">
        <f t="shared" si="53"/>
        <v>27</v>
      </c>
      <c r="F153" s="39">
        <f t="shared" si="53"/>
        <v>18</v>
      </c>
      <c r="G153" s="50">
        <f t="shared" si="53"/>
        <v>2045</v>
      </c>
      <c r="H153" s="44">
        <f t="shared" si="53"/>
        <v>0</v>
      </c>
      <c r="I153" s="39">
        <f t="shared" si="53"/>
        <v>0</v>
      </c>
      <c r="J153" s="39">
        <f t="shared" si="53"/>
        <v>0</v>
      </c>
      <c r="K153" s="45">
        <f t="shared" si="53"/>
        <v>0</v>
      </c>
      <c r="L153" s="144">
        <f t="shared" si="53"/>
        <v>5</v>
      </c>
      <c r="M153" s="50">
        <f t="shared" si="53"/>
        <v>5</v>
      </c>
      <c r="N153" s="40">
        <f t="shared" si="14"/>
        <v>2050</v>
      </c>
      <c r="O153" s="43">
        <f t="shared" si="15"/>
        <v>1796.5</v>
      </c>
    </row>
    <row r="154" spans="1:15" ht="22.95" customHeight="1" x14ac:dyDescent="0.3">
      <c r="A154" s="52" t="s">
        <v>55</v>
      </c>
      <c r="B154" s="44">
        <f t="shared" ref="B154:M154" si="54">B48+B49+B50+B51</f>
        <v>985</v>
      </c>
      <c r="C154" s="39">
        <f t="shared" si="54"/>
        <v>729</v>
      </c>
      <c r="D154" s="39">
        <f t="shared" si="54"/>
        <v>76</v>
      </c>
      <c r="E154" s="39">
        <f t="shared" si="54"/>
        <v>28</v>
      </c>
      <c r="F154" s="39">
        <f t="shared" si="54"/>
        <v>14</v>
      </c>
      <c r="G154" s="50">
        <f t="shared" si="54"/>
        <v>1832</v>
      </c>
      <c r="H154" s="44">
        <f t="shared" si="54"/>
        <v>0</v>
      </c>
      <c r="I154" s="39">
        <f t="shared" si="54"/>
        <v>0</v>
      </c>
      <c r="J154" s="39">
        <f t="shared" si="54"/>
        <v>0</v>
      </c>
      <c r="K154" s="45">
        <f t="shared" si="54"/>
        <v>0</v>
      </c>
      <c r="L154" s="144">
        <f t="shared" si="54"/>
        <v>4</v>
      </c>
      <c r="M154" s="50">
        <f t="shared" si="54"/>
        <v>4</v>
      </c>
      <c r="N154" s="40">
        <f t="shared" si="14"/>
        <v>1836</v>
      </c>
      <c r="O154" s="43">
        <f t="shared" si="15"/>
        <v>1642.5</v>
      </c>
    </row>
    <row r="155" spans="1:15" ht="22.95" customHeight="1" x14ac:dyDescent="0.3">
      <c r="A155" s="52" t="s">
        <v>56</v>
      </c>
      <c r="B155" s="44">
        <f t="shared" ref="B155:M155" si="55">B49+B50+B51+B52</f>
        <v>894</v>
      </c>
      <c r="C155" s="39">
        <f t="shared" si="55"/>
        <v>598</v>
      </c>
      <c r="D155" s="39">
        <f t="shared" si="55"/>
        <v>66</v>
      </c>
      <c r="E155" s="39">
        <f t="shared" si="55"/>
        <v>35</v>
      </c>
      <c r="F155" s="39">
        <f t="shared" si="55"/>
        <v>15</v>
      </c>
      <c r="G155" s="50">
        <f t="shared" si="55"/>
        <v>1608</v>
      </c>
      <c r="H155" s="44">
        <f t="shared" si="55"/>
        <v>0</v>
      </c>
      <c r="I155" s="39">
        <f t="shared" si="55"/>
        <v>0</v>
      </c>
      <c r="J155" s="39">
        <f t="shared" si="55"/>
        <v>0</v>
      </c>
      <c r="K155" s="45">
        <f t="shared" si="55"/>
        <v>0</v>
      </c>
      <c r="L155" s="144">
        <f t="shared" si="55"/>
        <v>2</v>
      </c>
      <c r="M155" s="50">
        <f t="shared" si="55"/>
        <v>2</v>
      </c>
      <c r="N155" s="40">
        <f t="shared" si="14"/>
        <v>1610</v>
      </c>
      <c r="O155" s="43">
        <f t="shared" si="15"/>
        <v>1480.5</v>
      </c>
    </row>
    <row r="156" spans="1:15" ht="22.95" customHeight="1" x14ac:dyDescent="0.3">
      <c r="A156" s="52" t="s">
        <v>57</v>
      </c>
      <c r="B156" s="44">
        <f t="shared" ref="B156:M156" si="56">B50+B51+B52+B53</f>
        <v>880</v>
      </c>
      <c r="C156" s="39">
        <f t="shared" si="56"/>
        <v>536</v>
      </c>
      <c r="D156" s="39">
        <f t="shared" si="56"/>
        <v>56</v>
      </c>
      <c r="E156" s="39">
        <f t="shared" si="56"/>
        <v>33</v>
      </c>
      <c r="F156" s="39">
        <f t="shared" si="56"/>
        <v>9</v>
      </c>
      <c r="G156" s="50">
        <f t="shared" si="56"/>
        <v>1514</v>
      </c>
      <c r="H156" s="44">
        <f t="shared" si="56"/>
        <v>0</v>
      </c>
      <c r="I156" s="39">
        <f t="shared" si="56"/>
        <v>0</v>
      </c>
      <c r="J156" s="39">
        <f t="shared" si="56"/>
        <v>0</v>
      </c>
      <c r="K156" s="45">
        <f t="shared" si="56"/>
        <v>0</v>
      </c>
      <c r="L156" s="144">
        <f t="shared" si="56"/>
        <v>2</v>
      </c>
      <c r="M156" s="50">
        <f t="shared" si="56"/>
        <v>2</v>
      </c>
      <c r="N156" s="40">
        <f t="shared" si="14"/>
        <v>1516</v>
      </c>
      <c r="O156" s="43">
        <f t="shared" si="15"/>
        <v>1387.5</v>
      </c>
    </row>
    <row r="157" spans="1:15" ht="22.95" customHeight="1" x14ac:dyDescent="0.3">
      <c r="A157" s="52" t="s">
        <v>58</v>
      </c>
      <c r="B157" s="44">
        <f t="shared" ref="B157:M157" si="57">B51+B52+B53+B54</f>
        <v>875</v>
      </c>
      <c r="C157" s="39">
        <f t="shared" si="57"/>
        <v>629</v>
      </c>
      <c r="D157" s="39">
        <f t="shared" si="57"/>
        <v>56</v>
      </c>
      <c r="E157" s="39">
        <f t="shared" si="57"/>
        <v>19</v>
      </c>
      <c r="F157" s="39">
        <f t="shared" si="57"/>
        <v>9</v>
      </c>
      <c r="G157" s="50">
        <f t="shared" si="57"/>
        <v>1588</v>
      </c>
      <c r="H157" s="44">
        <f t="shared" si="57"/>
        <v>0</v>
      </c>
      <c r="I157" s="39">
        <f t="shared" si="57"/>
        <v>0</v>
      </c>
      <c r="J157" s="39">
        <f t="shared" si="57"/>
        <v>0</v>
      </c>
      <c r="K157" s="45">
        <f t="shared" si="57"/>
        <v>0</v>
      </c>
      <c r="L157" s="144">
        <f t="shared" si="57"/>
        <v>2</v>
      </c>
      <c r="M157" s="50">
        <f t="shared" si="57"/>
        <v>2</v>
      </c>
      <c r="N157" s="40">
        <f t="shared" si="14"/>
        <v>1590</v>
      </c>
      <c r="O157" s="43">
        <f t="shared" si="15"/>
        <v>1387</v>
      </c>
    </row>
    <row r="158" spans="1:15" ht="22.95" customHeight="1" x14ac:dyDescent="0.3">
      <c r="A158" s="52" t="s">
        <v>59</v>
      </c>
      <c r="B158" s="44">
        <f t="shared" ref="B158:M158" si="58">B52+B53+B54+B55</f>
        <v>884</v>
      </c>
      <c r="C158" s="39">
        <f t="shared" si="58"/>
        <v>768</v>
      </c>
      <c r="D158" s="39">
        <f t="shared" si="58"/>
        <v>63</v>
      </c>
      <c r="E158" s="39">
        <f t="shared" si="58"/>
        <v>19</v>
      </c>
      <c r="F158" s="39">
        <f t="shared" si="58"/>
        <v>13</v>
      </c>
      <c r="G158" s="50">
        <f t="shared" si="58"/>
        <v>1747</v>
      </c>
      <c r="H158" s="44">
        <f t="shared" si="58"/>
        <v>0</v>
      </c>
      <c r="I158" s="39">
        <f t="shared" si="58"/>
        <v>0</v>
      </c>
      <c r="J158" s="39">
        <f t="shared" si="58"/>
        <v>0</v>
      </c>
      <c r="K158" s="45">
        <f t="shared" si="58"/>
        <v>0</v>
      </c>
      <c r="L158" s="144">
        <f t="shared" si="58"/>
        <v>1</v>
      </c>
      <c r="M158" s="50">
        <f t="shared" si="58"/>
        <v>1</v>
      </c>
      <c r="N158" s="40">
        <f t="shared" si="14"/>
        <v>1748</v>
      </c>
      <c r="O158" s="43">
        <f t="shared" si="15"/>
        <v>1486</v>
      </c>
    </row>
    <row r="159" spans="1:15" ht="22.95" customHeight="1" x14ac:dyDescent="0.3">
      <c r="A159" s="52" t="s">
        <v>77</v>
      </c>
      <c r="B159" s="44">
        <f t="shared" ref="B159:M159" si="59">B53+B54+B55+B56</f>
        <v>965</v>
      </c>
      <c r="C159" s="39">
        <f t="shared" si="59"/>
        <v>1008</v>
      </c>
      <c r="D159" s="39">
        <f t="shared" si="59"/>
        <v>67</v>
      </c>
      <c r="E159" s="39">
        <f t="shared" si="59"/>
        <v>22</v>
      </c>
      <c r="F159" s="39">
        <f t="shared" si="59"/>
        <v>13</v>
      </c>
      <c r="G159" s="50">
        <f t="shared" si="59"/>
        <v>2075</v>
      </c>
      <c r="H159" s="44">
        <f t="shared" si="59"/>
        <v>1</v>
      </c>
      <c r="I159" s="39">
        <f t="shared" si="59"/>
        <v>0</v>
      </c>
      <c r="J159" s="39">
        <f t="shared" si="59"/>
        <v>0</v>
      </c>
      <c r="K159" s="45">
        <f t="shared" si="59"/>
        <v>0</v>
      </c>
      <c r="L159" s="144">
        <f t="shared" si="59"/>
        <v>2</v>
      </c>
      <c r="M159" s="50">
        <f t="shared" si="59"/>
        <v>3</v>
      </c>
      <c r="N159" s="40">
        <f t="shared" si="14"/>
        <v>2078</v>
      </c>
      <c r="O159" s="43">
        <f t="shared" si="15"/>
        <v>1710.5</v>
      </c>
    </row>
    <row r="160" spans="1:15" ht="22.95" customHeight="1" x14ac:dyDescent="0.3">
      <c r="A160" s="52" t="s">
        <v>75</v>
      </c>
      <c r="B160" s="44">
        <f t="shared" ref="B160:M160" si="60">B54+B55+B56+B57</f>
        <v>1010</v>
      </c>
      <c r="C160" s="39">
        <f t="shared" si="60"/>
        <v>1183</v>
      </c>
      <c r="D160" s="39">
        <f t="shared" si="60"/>
        <v>59</v>
      </c>
      <c r="E160" s="39">
        <f t="shared" si="60"/>
        <v>35</v>
      </c>
      <c r="F160" s="39">
        <f t="shared" si="60"/>
        <v>18</v>
      </c>
      <c r="G160" s="50">
        <f t="shared" si="60"/>
        <v>2305</v>
      </c>
      <c r="H160" s="44">
        <f t="shared" si="60"/>
        <v>1</v>
      </c>
      <c r="I160" s="39">
        <f t="shared" si="60"/>
        <v>0</v>
      </c>
      <c r="J160" s="39">
        <f t="shared" si="60"/>
        <v>0</v>
      </c>
      <c r="K160" s="45">
        <f t="shared" si="60"/>
        <v>0</v>
      </c>
      <c r="L160" s="144">
        <f t="shared" si="60"/>
        <v>2</v>
      </c>
      <c r="M160" s="50">
        <f t="shared" si="60"/>
        <v>3</v>
      </c>
      <c r="N160" s="40">
        <f t="shared" si="14"/>
        <v>2308</v>
      </c>
      <c r="O160" s="43">
        <f t="shared" si="15"/>
        <v>1892.5</v>
      </c>
    </row>
    <row r="161" spans="1:15" ht="22.95" customHeight="1" x14ac:dyDescent="0.3">
      <c r="A161" s="52" t="s">
        <v>76</v>
      </c>
      <c r="B161" s="44">
        <f t="shared" ref="B161:M161" si="61">B55+B56+B57+B58</f>
        <v>1017</v>
      </c>
      <c r="C161" s="39">
        <f t="shared" si="61"/>
        <v>1061</v>
      </c>
      <c r="D161" s="39">
        <f t="shared" si="61"/>
        <v>59</v>
      </c>
      <c r="E161" s="39">
        <f t="shared" si="61"/>
        <v>49</v>
      </c>
      <c r="F161" s="39">
        <f t="shared" si="61"/>
        <v>22</v>
      </c>
      <c r="G161" s="50">
        <f t="shared" si="61"/>
        <v>2208</v>
      </c>
      <c r="H161" s="44">
        <f t="shared" si="61"/>
        <v>2</v>
      </c>
      <c r="I161" s="39">
        <f t="shared" si="61"/>
        <v>0</v>
      </c>
      <c r="J161" s="39">
        <f t="shared" si="61"/>
        <v>0</v>
      </c>
      <c r="K161" s="45">
        <f t="shared" si="61"/>
        <v>0</v>
      </c>
      <c r="L161" s="144">
        <f t="shared" si="61"/>
        <v>2</v>
      </c>
      <c r="M161" s="50">
        <f t="shared" si="61"/>
        <v>4</v>
      </c>
      <c r="N161" s="40">
        <f t="shared" si="14"/>
        <v>2212</v>
      </c>
      <c r="O161" s="43">
        <f t="shared" si="15"/>
        <v>1899</v>
      </c>
    </row>
    <row r="162" spans="1:15" ht="22.95" customHeight="1" x14ac:dyDescent="0.3">
      <c r="A162" s="52" t="s">
        <v>70</v>
      </c>
      <c r="B162" s="44">
        <f t="shared" ref="B162:M162" si="62">B56+B57+B58+B59</f>
        <v>1031</v>
      </c>
      <c r="C162" s="39">
        <f t="shared" si="62"/>
        <v>1039</v>
      </c>
      <c r="D162" s="39">
        <f t="shared" si="62"/>
        <v>50</v>
      </c>
      <c r="E162" s="39">
        <f t="shared" si="62"/>
        <v>56</v>
      </c>
      <c r="F162" s="39">
        <f t="shared" si="62"/>
        <v>21</v>
      </c>
      <c r="G162" s="50">
        <f t="shared" si="62"/>
        <v>2197</v>
      </c>
      <c r="H162" s="44">
        <f t="shared" si="62"/>
        <v>2</v>
      </c>
      <c r="I162" s="39">
        <f t="shared" si="62"/>
        <v>0</v>
      </c>
      <c r="J162" s="39">
        <f t="shared" si="62"/>
        <v>0</v>
      </c>
      <c r="K162" s="45">
        <f t="shared" si="62"/>
        <v>0</v>
      </c>
      <c r="L162" s="144">
        <f t="shared" si="62"/>
        <v>2</v>
      </c>
      <c r="M162" s="50">
        <f t="shared" si="62"/>
        <v>4</v>
      </c>
      <c r="N162" s="40">
        <f t="shared" si="14"/>
        <v>2201</v>
      </c>
      <c r="O162" s="43">
        <f t="shared" si="15"/>
        <v>1905</v>
      </c>
    </row>
    <row r="163" spans="1:15" ht="22.95" customHeight="1" x14ac:dyDescent="0.3">
      <c r="A163" s="52" t="s">
        <v>71</v>
      </c>
      <c r="B163" s="44">
        <f t="shared" ref="B163:M163" si="63">B57+B58+B59+B60</f>
        <v>1006</v>
      </c>
      <c r="C163" s="39">
        <f t="shared" si="63"/>
        <v>892</v>
      </c>
      <c r="D163" s="39">
        <f t="shared" si="63"/>
        <v>47</v>
      </c>
      <c r="E163" s="39">
        <f t="shared" si="63"/>
        <v>52</v>
      </c>
      <c r="F163" s="39">
        <f t="shared" si="63"/>
        <v>28</v>
      </c>
      <c r="G163" s="50">
        <f t="shared" si="63"/>
        <v>2025</v>
      </c>
      <c r="H163" s="44">
        <f t="shared" si="63"/>
        <v>1</v>
      </c>
      <c r="I163" s="39">
        <f t="shared" si="63"/>
        <v>0</v>
      </c>
      <c r="J163" s="39">
        <f t="shared" si="63"/>
        <v>0</v>
      </c>
      <c r="K163" s="45">
        <f t="shared" si="63"/>
        <v>0</v>
      </c>
      <c r="L163" s="144">
        <f t="shared" si="63"/>
        <v>3</v>
      </c>
      <c r="M163" s="50">
        <f t="shared" si="63"/>
        <v>4</v>
      </c>
      <c r="N163" s="40">
        <f t="shared" si="14"/>
        <v>2029</v>
      </c>
      <c r="O163" s="43">
        <f t="shared" si="15"/>
        <v>1829</v>
      </c>
    </row>
    <row r="164" spans="1:15" ht="22.95" customHeight="1" x14ac:dyDescent="0.3">
      <c r="A164" s="52" t="s">
        <v>72</v>
      </c>
      <c r="B164" s="44">
        <f t="shared" ref="B164:M164" si="64">B58+B59+B60+B61</f>
        <v>914</v>
      </c>
      <c r="C164" s="39">
        <f t="shared" si="64"/>
        <v>758</v>
      </c>
      <c r="D164" s="39">
        <f t="shared" si="64"/>
        <v>45</v>
      </c>
      <c r="E164" s="39">
        <f t="shared" si="64"/>
        <v>49</v>
      </c>
      <c r="F164" s="39">
        <f t="shared" si="64"/>
        <v>30</v>
      </c>
      <c r="G164" s="50">
        <f t="shared" si="64"/>
        <v>1796</v>
      </c>
      <c r="H164" s="44">
        <f t="shared" si="64"/>
        <v>1</v>
      </c>
      <c r="I164" s="39">
        <f t="shared" si="64"/>
        <v>0</v>
      </c>
      <c r="J164" s="39">
        <f t="shared" si="64"/>
        <v>0</v>
      </c>
      <c r="K164" s="45">
        <f t="shared" si="64"/>
        <v>0</v>
      </c>
      <c r="L164" s="144">
        <f t="shared" si="64"/>
        <v>2</v>
      </c>
      <c r="M164" s="50">
        <f t="shared" si="64"/>
        <v>3</v>
      </c>
      <c r="N164" s="40">
        <f t="shared" si="14"/>
        <v>1799</v>
      </c>
      <c r="O164" s="43">
        <f t="shared" si="15"/>
        <v>1659</v>
      </c>
    </row>
    <row r="165" spans="1:15" ht="22.95" customHeight="1" x14ac:dyDescent="0.3">
      <c r="A165" s="52" t="s">
        <v>73</v>
      </c>
      <c r="B165" s="44">
        <f t="shared" ref="B165:M165" si="65">B59+B60+B61+B62</f>
        <v>845</v>
      </c>
      <c r="C165" s="39">
        <f t="shared" si="65"/>
        <v>730</v>
      </c>
      <c r="D165" s="39">
        <f t="shared" si="65"/>
        <v>37</v>
      </c>
      <c r="E165" s="39">
        <f t="shared" si="65"/>
        <v>45</v>
      </c>
      <c r="F165" s="39">
        <f t="shared" si="65"/>
        <v>37</v>
      </c>
      <c r="G165" s="50">
        <f t="shared" si="65"/>
        <v>1694</v>
      </c>
      <c r="H165" s="44">
        <f t="shared" si="65"/>
        <v>0</v>
      </c>
      <c r="I165" s="39">
        <f t="shared" si="65"/>
        <v>0</v>
      </c>
      <c r="J165" s="39">
        <f t="shared" si="65"/>
        <v>0</v>
      </c>
      <c r="K165" s="45">
        <f t="shared" si="65"/>
        <v>0</v>
      </c>
      <c r="L165" s="144">
        <f t="shared" si="65"/>
        <v>2</v>
      </c>
      <c r="M165" s="50">
        <f t="shared" si="65"/>
        <v>2</v>
      </c>
      <c r="N165" s="40">
        <f t="shared" si="14"/>
        <v>1696</v>
      </c>
      <c r="O165" s="43">
        <f t="shared" si="15"/>
        <v>1583</v>
      </c>
    </row>
    <row r="166" spans="1:15" ht="22.95" customHeight="1" x14ac:dyDescent="0.3">
      <c r="A166" s="52" t="s">
        <v>74</v>
      </c>
      <c r="B166" s="44">
        <f t="shared" ref="B166:M166" si="66">B60+B61+B62+B63</f>
        <v>756</v>
      </c>
      <c r="C166" s="39">
        <f t="shared" si="66"/>
        <v>663</v>
      </c>
      <c r="D166" s="39">
        <f t="shared" si="66"/>
        <v>36</v>
      </c>
      <c r="E166" s="39">
        <f t="shared" si="66"/>
        <v>40</v>
      </c>
      <c r="F166" s="39">
        <f t="shared" si="66"/>
        <v>50</v>
      </c>
      <c r="G166" s="50">
        <f t="shared" si="66"/>
        <v>1545</v>
      </c>
      <c r="H166" s="44">
        <f t="shared" si="66"/>
        <v>0</v>
      </c>
      <c r="I166" s="39">
        <f t="shared" si="66"/>
        <v>0</v>
      </c>
      <c r="J166" s="39">
        <f t="shared" si="66"/>
        <v>0</v>
      </c>
      <c r="K166" s="45">
        <f t="shared" si="66"/>
        <v>0</v>
      </c>
      <c r="L166" s="144">
        <f t="shared" si="66"/>
        <v>2</v>
      </c>
      <c r="M166" s="50">
        <f t="shared" si="66"/>
        <v>2</v>
      </c>
      <c r="N166" s="40">
        <f t="shared" si="14"/>
        <v>1547</v>
      </c>
      <c r="O166" s="43">
        <f t="shared" si="15"/>
        <v>1502.5</v>
      </c>
    </row>
    <row r="167" spans="1:15" ht="22.95" customHeight="1" x14ac:dyDescent="0.3">
      <c r="A167" s="52" t="s">
        <v>262</v>
      </c>
      <c r="B167" s="44">
        <f t="shared" ref="B167:M167" si="67">B61+B62+B63+B64</f>
        <v>663</v>
      </c>
      <c r="C167" s="39">
        <f t="shared" si="67"/>
        <v>542</v>
      </c>
      <c r="D167" s="39">
        <f t="shared" si="67"/>
        <v>32</v>
      </c>
      <c r="E167" s="39">
        <f t="shared" si="67"/>
        <v>36</v>
      </c>
      <c r="F167" s="39">
        <f t="shared" si="67"/>
        <v>47</v>
      </c>
      <c r="G167" s="50">
        <f t="shared" si="67"/>
        <v>1320</v>
      </c>
      <c r="H167" s="44">
        <f t="shared" si="67"/>
        <v>0</v>
      </c>
      <c r="I167" s="39">
        <f t="shared" si="67"/>
        <v>0</v>
      </c>
      <c r="J167" s="39">
        <f t="shared" si="67"/>
        <v>0</v>
      </c>
      <c r="K167" s="45">
        <f t="shared" si="67"/>
        <v>0</v>
      </c>
      <c r="L167" s="144">
        <f t="shared" si="67"/>
        <v>2</v>
      </c>
      <c r="M167" s="50">
        <f t="shared" si="67"/>
        <v>2</v>
      </c>
      <c r="N167" s="40">
        <f t="shared" si="14"/>
        <v>1322</v>
      </c>
      <c r="O167" s="43">
        <f t="shared" si="15"/>
        <v>1317.5</v>
      </c>
    </row>
    <row r="168" spans="1:15" ht="22.95" customHeight="1" x14ac:dyDescent="0.3">
      <c r="A168" s="52" t="s">
        <v>263</v>
      </c>
      <c r="B168" s="44">
        <f t="shared" ref="B168:M168" si="68">B62+B63+B64+B65</f>
        <v>631</v>
      </c>
      <c r="C168" s="39">
        <f t="shared" si="68"/>
        <v>416</v>
      </c>
      <c r="D168" s="39">
        <f t="shared" si="68"/>
        <v>45</v>
      </c>
      <c r="E168" s="39">
        <f t="shared" si="68"/>
        <v>35</v>
      </c>
      <c r="F168" s="39">
        <f t="shared" si="68"/>
        <v>54</v>
      </c>
      <c r="G168" s="50">
        <f t="shared" si="68"/>
        <v>1181</v>
      </c>
      <c r="H168" s="44">
        <f t="shared" si="68"/>
        <v>0</v>
      </c>
      <c r="I168" s="39">
        <f t="shared" si="68"/>
        <v>0</v>
      </c>
      <c r="J168" s="39">
        <f t="shared" si="68"/>
        <v>0</v>
      </c>
      <c r="K168" s="45">
        <f t="shared" si="68"/>
        <v>0</v>
      </c>
      <c r="L168" s="144">
        <f t="shared" si="68"/>
        <v>3</v>
      </c>
      <c r="M168" s="50">
        <f t="shared" si="68"/>
        <v>3</v>
      </c>
      <c r="N168" s="40">
        <f t="shared" si="14"/>
        <v>1184</v>
      </c>
      <c r="O168" s="43">
        <f t="shared" si="15"/>
        <v>1278.5</v>
      </c>
    </row>
    <row r="169" spans="1:15" ht="22.95" customHeight="1" x14ac:dyDescent="0.3">
      <c r="A169" s="52" t="s">
        <v>264</v>
      </c>
      <c r="B169" s="44">
        <f t="shared" ref="B169:M169" si="69">B63+B64+B65+B66</f>
        <v>596</v>
      </c>
      <c r="C169" s="39">
        <f t="shared" si="69"/>
        <v>357</v>
      </c>
      <c r="D169" s="39">
        <f t="shared" si="69"/>
        <v>53</v>
      </c>
      <c r="E169" s="39">
        <f t="shared" si="69"/>
        <v>27</v>
      </c>
      <c r="F169" s="39">
        <f t="shared" si="69"/>
        <v>50</v>
      </c>
      <c r="G169" s="50">
        <f t="shared" si="69"/>
        <v>1083</v>
      </c>
      <c r="H169" s="44">
        <f t="shared" si="69"/>
        <v>0</v>
      </c>
      <c r="I169" s="39">
        <f t="shared" si="69"/>
        <v>0</v>
      </c>
      <c r="J169" s="39">
        <f t="shared" si="69"/>
        <v>0</v>
      </c>
      <c r="K169" s="45">
        <f t="shared" si="69"/>
        <v>0</v>
      </c>
      <c r="L169" s="144">
        <f t="shared" si="69"/>
        <v>4</v>
      </c>
      <c r="M169" s="50">
        <f t="shared" si="69"/>
        <v>4</v>
      </c>
      <c r="N169" s="40">
        <f t="shared" si="14"/>
        <v>1087</v>
      </c>
      <c r="O169" s="43">
        <f t="shared" si="15"/>
        <v>1192</v>
      </c>
    </row>
    <row r="170" spans="1:15" ht="22.95" customHeight="1" x14ac:dyDescent="0.3">
      <c r="A170" s="52" t="s">
        <v>265</v>
      </c>
      <c r="B170" s="44">
        <f t="shared" ref="B170:M170" si="70">B64+B65+B66+B67</f>
        <v>565</v>
      </c>
      <c r="C170" s="39">
        <f t="shared" si="70"/>
        <v>273</v>
      </c>
      <c r="D170" s="39">
        <f t="shared" si="70"/>
        <v>62</v>
      </c>
      <c r="E170" s="39">
        <f t="shared" si="70"/>
        <v>25</v>
      </c>
      <c r="F170" s="39">
        <f t="shared" si="70"/>
        <v>43</v>
      </c>
      <c r="G170" s="50">
        <f t="shared" si="70"/>
        <v>968</v>
      </c>
      <c r="H170" s="44">
        <f t="shared" si="70"/>
        <v>0</v>
      </c>
      <c r="I170" s="39">
        <f t="shared" si="70"/>
        <v>0</v>
      </c>
      <c r="J170" s="39">
        <f t="shared" si="70"/>
        <v>0</v>
      </c>
      <c r="K170" s="45">
        <f t="shared" si="70"/>
        <v>0</v>
      </c>
      <c r="L170" s="144">
        <f t="shared" si="70"/>
        <v>4</v>
      </c>
      <c r="M170" s="50">
        <f t="shared" si="70"/>
        <v>4</v>
      </c>
      <c r="N170" s="40">
        <f t="shared" si="14"/>
        <v>972</v>
      </c>
      <c r="O170" s="43">
        <f t="shared" si="15"/>
        <v>1095</v>
      </c>
    </row>
    <row r="171" spans="1:15" ht="22.95" customHeight="1" x14ac:dyDescent="0.3">
      <c r="A171" s="52" t="s">
        <v>266</v>
      </c>
      <c r="B171" s="44">
        <f t="shared" ref="B171:M171" si="71">B65+B66+B67+B68</f>
        <v>561</v>
      </c>
      <c r="C171" s="39">
        <f t="shared" si="71"/>
        <v>254</v>
      </c>
      <c r="D171" s="39">
        <f t="shared" si="71"/>
        <v>66</v>
      </c>
      <c r="E171" s="39">
        <f t="shared" si="71"/>
        <v>20</v>
      </c>
      <c r="F171" s="39">
        <f t="shared" si="71"/>
        <v>46</v>
      </c>
      <c r="G171" s="50">
        <f t="shared" si="71"/>
        <v>947</v>
      </c>
      <c r="H171" s="44">
        <f t="shared" si="71"/>
        <v>0</v>
      </c>
      <c r="I171" s="39">
        <f t="shared" si="71"/>
        <v>0</v>
      </c>
      <c r="J171" s="39">
        <f t="shared" si="71"/>
        <v>0</v>
      </c>
      <c r="K171" s="45">
        <f t="shared" si="71"/>
        <v>0</v>
      </c>
      <c r="L171" s="144">
        <f t="shared" si="71"/>
        <v>2</v>
      </c>
      <c r="M171" s="50">
        <f t="shared" si="71"/>
        <v>2</v>
      </c>
      <c r="N171" s="40">
        <f t="shared" si="14"/>
        <v>949</v>
      </c>
      <c r="O171" s="43">
        <f t="shared" si="15"/>
        <v>1070</v>
      </c>
    </row>
    <row r="172" spans="1:15" ht="22.95" customHeight="1" x14ac:dyDescent="0.3">
      <c r="A172" s="52" t="s">
        <v>267</v>
      </c>
      <c r="B172" s="44">
        <f t="shared" ref="B172:M172" si="72">B66+B67+B68+B69</f>
        <v>556</v>
      </c>
      <c r="C172" s="39">
        <f t="shared" si="72"/>
        <v>229</v>
      </c>
      <c r="D172" s="39">
        <f t="shared" si="72"/>
        <v>56</v>
      </c>
      <c r="E172" s="39">
        <f t="shared" si="72"/>
        <v>15</v>
      </c>
      <c r="F172" s="39">
        <f t="shared" si="72"/>
        <v>47</v>
      </c>
      <c r="G172" s="50">
        <f t="shared" si="72"/>
        <v>903</v>
      </c>
      <c r="H172" s="44">
        <f t="shared" si="72"/>
        <v>0</v>
      </c>
      <c r="I172" s="39">
        <f t="shared" si="72"/>
        <v>0</v>
      </c>
      <c r="J172" s="39">
        <f t="shared" si="72"/>
        <v>0</v>
      </c>
      <c r="K172" s="45">
        <f t="shared" si="72"/>
        <v>0</v>
      </c>
      <c r="L172" s="144">
        <f t="shared" si="72"/>
        <v>2</v>
      </c>
      <c r="M172" s="50">
        <f t="shared" si="72"/>
        <v>2</v>
      </c>
      <c r="N172" s="40">
        <f t="shared" si="14"/>
        <v>905</v>
      </c>
      <c r="O172" s="43">
        <f t="shared" si="15"/>
        <v>1027</v>
      </c>
    </row>
    <row r="173" spans="1:15" ht="22.95" customHeight="1" x14ac:dyDescent="0.3">
      <c r="A173" s="52" t="s">
        <v>268</v>
      </c>
      <c r="B173" s="44">
        <f t="shared" ref="B173:M173" si="73">B67+B68+B69+B70</f>
        <v>520</v>
      </c>
      <c r="C173" s="39">
        <f t="shared" si="73"/>
        <v>186</v>
      </c>
      <c r="D173" s="39">
        <f t="shared" si="73"/>
        <v>55</v>
      </c>
      <c r="E173" s="39">
        <f t="shared" si="73"/>
        <v>17</v>
      </c>
      <c r="F173" s="39">
        <f t="shared" si="73"/>
        <v>55</v>
      </c>
      <c r="G173" s="50">
        <f t="shared" si="73"/>
        <v>833</v>
      </c>
      <c r="H173" s="44">
        <f t="shared" si="73"/>
        <v>0</v>
      </c>
      <c r="I173" s="39">
        <f t="shared" si="73"/>
        <v>0</v>
      </c>
      <c r="J173" s="39">
        <f t="shared" si="73"/>
        <v>0</v>
      </c>
      <c r="K173" s="45">
        <f t="shared" si="73"/>
        <v>0</v>
      </c>
      <c r="L173" s="144">
        <f t="shared" si="73"/>
        <v>1</v>
      </c>
      <c r="M173" s="50">
        <f t="shared" si="73"/>
        <v>1</v>
      </c>
      <c r="N173" s="40">
        <f t="shared" si="14"/>
        <v>834</v>
      </c>
      <c r="O173" s="43">
        <f t="shared" si="15"/>
        <v>1002</v>
      </c>
    </row>
    <row r="174" spans="1:15" ht="22.95" customHeight="1" x14ac:dyDescent="0.3">
      <c r="A174" s="52" t="s">
        <v>269</v>
      </c>
      <c r="B174" s="44">
        <f t="shared" ref="B174:M174" si="74">B68+B69+B70+B71</f>
        <v>498</v>
      </c>
      <c r="C174" s="39">
        <f t="shared" si="74"/>
        <v>169</v>
      </c>
      <c r="D174" s="39">
        <f t="shared" si="74"/>
        <v>44</v>
      </c>
      <c r="E174" s="39">
        <f t="shared" si="74"/>
        <v>18</v>
      </c>
      <c r="F174" s="39">
        <f t="shared" si="74"/>
        <v>62</v>
      </c>
      <c r="G174" s="50">
        <f t="shared" si="74"/>
        <v>791</v>
      </c>
      <c r="H174" s="44">
        <f t="shared" si="74"/>
        <v>0</v>
      </c>
      <c r="I174" s="39">
        <f t="shared" si="74"/>
        <v>0</v>
      </c>
      <c r="J174" s="39">
        <f t="shared" si="74"/>
        <v>0</v>
      </c>
      <c r="K174" s="45">
        <f t="shared" si="74"/>
        <v>0</v>
      </c>
      <c r="L174" s="144">
        <f t="shared" si="74"/>
        <v>1</v>
      </c>
      <c r="M174" s="50">
        <f t="shared" si="74"/>
        <v>1</v>
      </c>
      <c r="N174" s="40">
        <f t="shared" si="14"/>
        <v>792</v>
      </c>
      <c r="O174" s="43">
        <f t="shared" si="15"/>
        <v>989.5</v>
      </c>
    </row>
    <row r="175" spans="1:15" ht="22.95" customHeight="1" x14ac:dyDescent="0.3">
      <c r="A175" s="54" t="s">
        <v>241</v>
      </c>
      <c r="B175" s="44">
        <f t="shared" ref="B175:M175" si="75">B69+B70+B71+B72</f>
        <v>435</v>
      </c>
      <c r="C175" s="39">
        <f t="shared" si="75"/>
        <v>190</v>
      </c>
      <c r="D175" s="39">
        <f t="shared" si="75"/>
        <v>40</v>
      </c>
      <c r="E175" s="39">
        <f t="shared" si="75"/>
        <v>21</v>
      </c>
      <c r="F175" s="39">
        <f t="shared" si="75"/>
        <v>68</v>
      </c>
      <c r="G175" s="50">
        <f t="shared" si="75"/>
        <v>754</v>
      </c>
      <c r="H175" s="44">
        <f t="shared" si="75"/>
        <v>0</v>
      </c>
      <c r="I175" s="39">
        <f t="shared" si="75"/>
        <v>0</v>
      </c>
      <c r="J175" s="39">
        <f t="shared" si="75"/>
        <v>0</v>
      </c>
      <c r="K175" s="45">
        <f t="shared" si="75"/>
        <v>0</v>
      </c>
      <c r="L175" s="144">
        <f t="shared" si="75"/>
        <v>2</v>
      </c>
      <c r="M175" s="50">
        <f t="shared" si="75"/>
        <v>2</v>
      </c>
      <c r="N175" s="40">
        <f t="shared" si="14"/>
        <v>756</v>
      </c>
      <c r="O175" s="43">
        <f t="shared" si="15"/>
        <v>975</v>
      </c>
    </row>
    <row r="176" spans="1:15" ht="22.95" customHeight="1" x14ac:dyDescent="0.3">
      <c r="A176" s="52" t="s">
        <v>242</v>
      </c>
      <c r="B176" s="44">
        <f t="shared" ref="B176:M176" si="76">B70+B71+B72+B73</f>
        <v>360</v>
      </c>
      <c r="C176" s="39">
        <f t="shared" si="76"/>
        <v>199</v>
      </c>
      <c r="D176" s="39">
        <f t="shared" si="76"/>
        <v>39</v>
      </c>
      <c r="E176" s="39">
        <f t="shared" si="76"/>
        <v>21</v>
      </c>
      <c r="F176" s="39">
        <f t="shared" si="76"/>
        <v>66</v>
      </c>
      <c r="G176" s="50">
        <f t="shared" si="76"/>
        <v>685</v>
      </c>
      <c r="H176" s="44">
        <f t="shared" si="76"/>
        <v>0</v>
      </c>
      <c r="I176" s="39">
        <f t="shared" si="76"/>
        <v>0</v>
      </c>
      <c r="J176" s="39">
        <f t="shared" si="76"/>
        <v>0</v>
      </c>
      <c r="K176" s="45">
        <f t="shared" si="76"/>
        <v>0</v>
      </c>
      <c r="L176" s="144">
        <f t="shared" si="76"/>
        <v>1</v>
      </c>
      <c r="M176" s="50">
        <f t="shared" si="76"/>
        <v>1</v>
      </c>
      <c r="N176" s="40">
        <f t="shared" si="14"/>
        <v>686</v>
      </c>
      <c r="O176" s="43">
        <f t="shared" si="15"/>
        <v>886</v>
      </c>
    </row>
    <row r="177" spans="1:15" ht="22.95" customHeight="1" x14ac:dyDescent="0.3">
      <c r="A177" s="52" t="s">
        <v>243</v>
      </c>
      <c r="B177" s="44">
        <f t="shared" ref="B177:M177" si="77">B71+B72+B73+B74</f>
        <v>314</v>
      </c>
      <c r="C177" s="39">
        <f t="shared" si="77"/>
        <v>203</v>
      </c>
      <c r="D177" s="39">
        <f t="shared" si="77"/>
        <v>45</v>
      </c>
      <c r="E177" s="39">
        <f t="shared" si="77"/>
        <v>22</v>
      </c>
      <c r="F177" s="39">
        <f t="shared" si="77"/>
        <v>61</v>
      </c>
      <c r="G177" s="50">
        <f t="shared" si="77"/>
        <v>645</v>
      </c>
      <c r="H177" s="44">
        <f t="shared" si="77"/>
        <v>0</v>
      </c>
      <c r="I177" s="39">
        <f t="shared" si="77"/>
        <v>0</v>
      </c>
      <c r="J177" s="39">
        <f t="shared" si="77"/>
        <v>0</v>
      </c>
      <c r="K177" s="45">
        <f t="shared" si="77"/>
        <v>0</v>
      </c>
      <c r="L177" s="144">
        <f t="shared" si="77"/>
        <v>1</v>
      </c>
      <c r="M177" s="50">
        <f t="shared" si="77"/>
        <v>1</v>
      </c>
      <c r="N177" s="40">
        <f t="shared" si="14"/>
        <v>646</v>
      </c>
      <c r="O177" s="43">
        <f t="shared" si="15"/>
        <v>831.5</v>
      </c>
    </row>
    <row r="178" spans="1:15" ht="22.95" customHeight="1" x14ac:dyDescent="0.3">
      <c r="A178" s="52" t="s">
        <v>244</v>
      </c>
      <c r="B178" s="44">
        <f t="shared" ref="B178:M178" si="78">B72+B73+B74+B75</f>
        <v>270</v>
      </c>
      <c r="C178" s="39">
        <f t="shared" si="78"/>
        <v>202</v>
      </c>
      <c r="D178" s="39">
        <f t="shared" si="78"/>
        <v>55</v>
      </c>
      <c r="E178" s="39">
        <f t="shared" si="78"/>
        <v>22</v>
      </c>
      <c r="F178" s="39">
        <f t="shared" si="78"/>
        <v>47</v>
      </c>
      <c r="G178" s="50">
        <f t="shared" si="78"/>
        <v>596</v>
      </c>
      <c r="H178" s="44">
        <f t="shared" si="78"/>
        <v>0</v>
      </c>
      <c r="I178" s="39">
        <f t="shared" si="78"/>
        <v>0</v>
      </c>
      <c r="J178" s="39">
        <f t="shared" si="78"/>
        <v>0</v>
      </c>
      <c r="K178" s="45">
        <f t="shared" si="78"/>
        <v>0</v>
      </c>
      <c r="L178" s="144">
        <f t="shared" si="78"/>
        <v>2</v>
      </c>
      <c r="M178" s="50">
        <f t="shared" si="78"/>
        <v>2</v>
      </c>
      <c r="N178" s="40">
        <f t="shared" si="14"/>
        <v>598</v>
      </c>
      <c r="O178" s="43">
        <f t="shared" si="15"/>
        <v>747</v>
      </c>
    </row>
    <row r="179" spans="1:15" ht="22.95" customHeight="1" x14ac:dyDescent="0.3">
      <c r="A179" s="52" t="s">
        <v>245</v>
      </c>
      <c r="B179" s="44">
        <f t="shared" ref="B179:M179" si="79">B73+B74+B75+B76</f>
        <v>265</v>
      </c>
      <c r="C179" s="39">
        <f t="shared" si="79"/>
        <v>156</v>
      </c>
      <c r="D179" s="39">
        <f t="shared" si="79"/>
        <v>52</v>
      </c>
      <c r="E179" s="39">
        <f t="shared" si="79"/>
        <v>24</v>
      </c>
      <c r="F179" s="39">
        <f t="shared" si="79"/>
        <v>36</v>
      </c>
      <c r="G179" s="50">
        <f t="shared" si="79"/>
        <v>533</v>
      </c>
      <c r="H179" s="44">
        <f t="shared" si="79"/>
        <v>0</v>
      </c>
      <c r="I179" s="39">
        <f t="shared" si="79"/>
        <v>0</v>
      </c>
      <c r="J179" s="39">
        <f t="shared" si="79"/>
        <v>0</v>
      </c>
      <c r="K179" s="45">
        <f t="shared" si="79"/>
        <v>0</v>
      </c>
      <c r="L179" s="144">
        <f t="shared" si="79"/>
        <v>1</v>
      </c>
      <c r="M179" s="50">
        <f t="shared" si="79"/>
        <v>1</v>
      </c>
      <c r="N179" s="40">
        <f t="shared" ref="N179:N206" si="80">G179+M179</f>
        <v>534</v>
      </c>
      <c r="O179" s="43">
        <f t="shared" ref="O179:O206" si="81">B179*1+C179*0.5+D179*1.5+E179*3+F179*4.5+H179*0.5+I179*1.5+J179*3+K179*4+L179*8</f>
        <v>663</v>
      </c>
    </row>
    <row r="180" spans="1:15" ht="22.95" customHeight="1" x14ac:dyDescent="0.3">
      <c r="A180" s="52" t="s">
        <v>246</v>
      </c>
      <c r="B180" s="44">
        <f t="shared" ref="B180:M180" si="82">B74+B75+B76+B77</f>
        <v>259</v>
      </c>
      <c r="C180" s="39">
        <f t="shared" si="82"/>
        <v>118</v>
      </c>
      <c r="D180" s="39">
        <f t="shared" si="82"/>
        <v>63</v>
      </c>
      <c r="E180" s="39">
        <f t="shared" si="82"/>
        <v>22</v>
      </c>
      <c r="F180" s="39">
        <f t="shared" si="82"/>
        <v>28</v>
      </c>
      <c r="G180" s="50">
        <f t="shared" si="82"/>
        <v>490</v>
      </c>
      <c r="H180" s="44">
        <f t="shared" si="82"/>
        <v>0</v>
      </c>
      <c r="I180" s="39">
        <f t="shared" si="82"/>
        <v>0</v>
      </c>
      <c r="J180" s="39">
        <f t="shared" si="82"/>
        <v>0</v>
      </c>
      <c r="K180" s="45">
        <f t="shared" si="82"/>
        <v>0</v>
      </c>
      <c r="L180" s="144">
        <f t="shared" si="82"/>
        <v>1</v>
      </c>
      <c r="M180" s="50">
        <f t="shared" si="82"/>
        <v>1</v>
      </c>
      <c r="N180" s="40">
        <f t="shared" si="80"/>
        <v>491</v>
      </c>
      <c r="O180" s="43">
        <f t="shared" si="81"/>
        <v>612.5</v>
      </c>
    </row>
    <row r="181" spans="1:15" ht="22.95" customHeight="1" x14ac:dyDescent="0.3">
      <c r="A181" s="52" t="s">
        <v>247</v>
      </c>
      <c r="B181" s="44">
        <f t="shared" ref="B181:M181" si="83">B75+B76+B77+B78</f>
        <v>235</v>
      </c>
      <c r="C181" s="39">
        <f t="shared" si="83"/>
        <v>106</v>
      </c>
      <c r="D181" s="39">
        <f t="shared" si="83"/>
        <v>51</v>
      </c>
      <c r="E181" s="39">
        <f t="shared" si="83"/>
        <v>18</v>
      </c>
      <c r="F181" s="39">
        <f t="shared" si="83"/>
        <v>34</v>
      </c>
      <c r="G181" s="50">
        <f t="shared" si="83"/>
        <v>444</v>
      </c>
      <c r="H181" s="44">
        <f t="shared" si="83"/>
        <v>0</v>
      </c>
      <c r="I181" s="39">
        <f t="shared" si="83"/>
        <v>0</v>
      </c>
      <c r="J181" s="39">
        <f t="shared" si="83"/>
        <v>0</v>
      </c>
      <c r="K181" s="45">
        <f t="shared" si="83"/>
        <v>0</v>
      </c>
      <c r="L181" s="144">
        <f t="shared" si="83"/>
        <v>1</v>
      </c>
      <c r="M181" s="50">
        <f t="shared" si="83"/>
        <v>1</v>
      </c>
      <c r="N181" s="40">
        <f t="shared" si="80"/>
        <v>445</v>
      </c>
      <c r="O181" s="43">
        <f t="shared" si="81"/>
        <v>579.5</v>
      </c>
    </row>
    <row r="182" spans="1:15" ht="22.95" customHeight="1" x14ac:dyDescent="0.3">
      <c r="A182" s="52" t="s">
        <v>248</v>
      </c>
      <c r="B182" s="44">
        <f t="shared" ref="B182:M182" si="84">B76+B77+B78+B79</f>
        <v>200</v>
      </c>
      <c r="C182" s="39">
        <f t="shared" si="84"/>
        <v>99</v>
      </c>
      <c r="D182" s="39">
        <f t="shared" si="84"/>
        <v>37</v>
      </c>
      <c r="E182" s="39">
        <f t="shared" si="84"/>
        <v>17</v>
      </c>
      <c r="F182" s="39">
        <f t="shared" si="84"/>
        <v>47</v>
      </c>
      <c r="G182" s="50">
        <f t="shared" si="84"/>
        <v>400</v>
      </c>
      <c r="H182" s="44">
        <f t="shared" si="84"/>
        <v>0</v>
      </c>
      <c r="I182" s="39">
        <f t="shared" si="84"/>
        <v>0</v>
      </c>
      <c r="J182" s="39">
        <f t="shared" si="84"/>
        <v>0</v>
      </c>
      <c r="K182" s="45">
        <f t="shared" si="84"/>
        <v>0</v>
      </c>
      <c r="L182" s="144">
        <f t="shared" si="84"/>
        <v>1</v>
      </c>
      <c r="M182" s="50">
        <f t="shared" si="84"/>
        <v>1</v>
      </c>
      <c r="N182" s="40">
        <f t="shared" si="80"/>
        <v>401</v>
      </c>
      <c r="O182" s="43">
        <f t="shared" si="81"/>
        <v>575.5</v>
      </c>
    </row>
    <row r="183" spans="1:15" ht="22.95" customHeight="1" x14ac:dyDescent="0.3">
      <c r="A183" s="52" t="s">
        <v>249</v>
      </c>
      <c r="B183" s="44">
        <f t="shared" ref="B183:M183" si="85">B77+B78+B79+B80</f>
        <v>196</v>
      </c>
      <c r="C183" s="39">
        <f t="shared" si="85"/>
        <v>87</v>
      </c>
      <c r="D183" s="39">
        <f t="shared" si="85"/>
        <v>39</v>
      </c>
      <c r="E183" s="39">
        <f t="shared" si="85"/>
        <v>13</v>
      </c>
      <c r="F183" s="39">
        <f t="shared" si="85"/>
        <v>52</v>
      </c>
      <c r="G183" s="50">
        <f t="shared" si="85"/>
        <v>387</v>
      </c>
      <c r="H183" s="44">
        <f t="shared" si="85"/>
        <v>0</v>
      </c>
      <c r="I183" s="39">
        <f t="shared" si="85"/>
        <v>0</v>
      </c>
      <c r="J183" s="39">
        <f t="shared" si="85"/>
        <v>0</v>
      </c>
      <c r="K183" s="45">
        <f t="shared" si="85"/>
        <v>0</v>
      </c>
      <c r="L183" s="144">
        <f t="shared" si="85"/>
        <v>1</v>
      </c>
      <c r="M183" s="50">
        <f t="shared" si="85"/>
        <v>1</v>
      </c>
      <c r="N183" s="40">
        <f t="shared" si="80"/>
        <v>388</v>
      </c>
      <c r="O183" s="43">
        <f t="shared" si="81"/>
        <v>579</v>
      </c>
    </row>
    <row r="184" spans="1:15" ht="22.95" customHeight="1" x14ac:dyDescent="0.3">
      <c r="A184" s="52" t="s">
        <v>250</v>
      </c>
      <c r="B184" s="44">
        <f t="shared" ref="B184:M184" si="86">B78+B79+B80+B81</f>
        <v>191</v>
      </c>
      <c r="C184" s="39">
        <f t="shared" si="86"/>
        <v>75</v>
      </c>
      <c r="D184" s="39">
        <f t="shared" si="86"/>
        <v>23</v>
      </c>
      <c r="E184" s="39">
        <f t="shared" si="86"/>
        <v>16</v>
      </c>
      <c r="F184" s="39">
        <f t="shared" si="86"/>
        <v>56</v>
      </c>
      <c r="G184" s="50">
        <f t="shared" si="86"/>
        <v>361</v>
      </c>
      <c r="H184" s="44">
        <f t="shared" si="86"/>
        <v>0</v>
      </c>
      <c r="I184" s="39">
        <f t="shared" si="86"/>
        <v>0</v>
      </c>
      <c r="J184" s="39">
        <f t="shared" si="86"/>
        <v>0</v>
      </c>
      <c r="K184" s="45">
        <f t="shared" si="86"/>
        <v>0</v>
      </c>
      <c r="L184" s="144">
        <f t="shared" si="86"/>
        <v>1</v>
      </c>
      <c r="M184" s="50">
        <f t="shared" si="86"/>
        <v>1</v>
      </c>
      <c r="N184" s="40">
        <f t="shared" si="80"/>
        <v>362</v>
      </c>
      <c r="O184" s="43">
        <f t="shared" si="81"/>
        <v>571</v>
      </c>
    </row>
    <row r="185" spans="1:15" ht="22.95" customHeight="1" x14ac:dyDescent="0.3">
      <c r="A185" s="52" t="s">
        <v>251</v>
      </c>
      <c r="B185" s="44">
        <f t="shared" ref="B185:M185" si="87">B79+B80+B81+B82</f>
        <v>200</v>
      </c>
      <c r="C185" s="39">
        <f t="shared" si="87"/>
        <v>56</v>
      </c>
      <c r="D185" s="39">
        <f t="shared" si="87"/>
        <v>29</v>
      </c>
      <c r="E185" s="39">
        <f t="shared" si="87"/>
        <v>16</v>
      </c>
      <c r="F185" s="39">
        <f t="shared" si="87"/>
        <v>44</v>
      </c>
      <c r="G185" s="50">
        <f t="shared" si="87"/>
        <v>345</v>
      </c>
      <c r="H185" s="44">
        <f t="shared" si="87"/>
        <v>0</v>
      </c>
      <c r="I185" s="39">
        <f t="shared" si="87"/>
        <v>0</v>
      </c>
      <c r="J185" s="39">
        <f t="shared" si="87"/>
        <v>0</v>
      </c>
      <c r="K185" s="45">
        <f t="shared" si="87"/>
        <v>0</v>
      </c>
      <c r="L185" s="144">
        <f t="shared" si="87"/>
        <v>1</v>
      </c>
      <c r="M185" s="50">
        <f t="shared" si="87"/>
        <v>1</v>
      </c>
      <c r="N185" s="40">
        <f t="shared" si="80"/>
        <v>346</v>
      </c>
      <c r="O185" s="43">
        <f t="shared" si="81"/>
        <v>525.5</v>
      </c>
    </row>
    <row r="186" spans="1:15" ht="22.95" customHeight="1" x14ac:dyDescent="0.3">
      <c r="A186" s="52" t="s">
        <v>252</v>
      </c>
      <c r="B186" s="44">
        <f t="shared" ref="B186:M186" si="88">B80+B81+B82+B83</f>
        <v>204</v>
      </c>
      <c r="C186" s="39">
        <f t="shared" si="88"/>
        <v>29</v>
      </c>
      <c r="D186" s="39">
        <f t="shared" si="88"/>
        <v>30</v>
      </c>
      <c r="E186" s="39">
        <f t="shared" si="88"/>
        <v>16</v>
      </c>
      <c r="F186" s="39">
        <f t="shared" si="88"/>
        <v>35</v>
      </c>
      <c r="G186" s="50">
        <f t="shared" si="88"/>
        <v>314</v>
      </c>
      <c r="H186" s="44">
        <f t="shared" si="88"/>
        <v>0</v>
      </c>
      <c r="I186" s="39">
        <f t="shared" si="88"/>
        <v>0</v>
      </c>
      <c r="J186" s="39">
        <f t="shared" si="88"/>
        <v>0</v>
      </c>
      <c r="K186" s="45">
        <f t="shared" si="88"/>
        <v>0</v>
      </c>
      <c r="L186" s="144">
        <f t="shared" si="88"/>
        <v>0</v>
      </c>
      <c r="M186" s="50">
        <f t="shared" si="88"/>
        <v>0</v>
      </c>
      <c r="N186" s="40">
        <f t="shared" si="80"/>
        <v>314</v>
      </c>
      <c r="O186" s="43">
        <f t="shared" si="81"/>
        <v>469</v>
      </c>
    </row>
    <row r="187" spans="1:15" ht="22.95" customHeight="1" x14ac:dyDescent="0.3">
      <c r="A187" s="52" t="s">
        <v>253</v>
      </c>
      <c r="B187" s="44">
        <f t="shared" ref="B187:M187" si="89">B81+B82+B83+B84</f>
        <v>190</v>
      </c>
      <c r="C187" s="39">
        <f t="shared" si="89"/>
        <v>26</v>
      </c>
      <c r="D187" s="39">
        <f t="shared" si="89"/>
        <v>23</v>
      </c>
      <c r="E187" s="39">
        <f t="shared" si="89"/>
        <v>18</v>
      </c>
      <c r="F187" s="39">
        <f t="shared" si="89"/>
        <v>26</v>
      </c>
      <c r="G187" s="50">
        <f t="shared" si="89"/>
        <v>283</v>
      </c>
      <c r="H187" s="44">
        <f t="shared" si="89"/>
        <v>0</v>
      </c>
      <c r="I187" s="39">
        <f t="shared" si="89"/>
        <v>0</v>
      </c>
      <c r="J187" s="39">
        <f t="shared" si="89"/>
        <v>0</v>
      </c>
      <c r="K187" s="45">
        <f t="shared" si="89"/>
        <v>0</v>
      </c>
      <c r="L187" s="144">
        <f t="shared" si="89"/>
        <v>0</v>
      </c>
      <c r="M187" s="50">
        <f t="shared" si="89"/>
        <v>0</v>
      </c>
      <c r="N187" s="40">
        <f t="shared" si="80"/>
        <v>283</v>
      </c>
      <c r="O187" s="43">
        <f t="shared" si="81"/>
        <v>408.5</v>
      </c>
    </row>
    <row r="188" spans="1:15" ht="22.95" customHeight="1" x14ac:dyDescent="0.3">
      <c r="A188" s="52" t="s">
        <v>254</v>
      </c>
      <c r="B188" s="44">
        <f t="shared" ref="B188:M188" si="90">B82+B83+B84+B85</f>
        <v>172</v>
      </c>
      <c r="C188" s="39">
        <f t="shared" si="90"/>
        <v>26</v>
      </c>
      <c r="D188" s="39">
        <f t="shared" si="90"/>
        <v>26</v>
      </c>
      <c r="E188" s="39">
        <f t="shared" si="90"/>
        <v>18</v>
      </c>
      <c r="F188" s="39">
        <f t="shared" si="90"/>
        <v>21</v>
      </c>
      <c r="G188" s="50">
        <f t="shared" si="90"/>
        <v>263</v>
      </c>
      <c r="H188" s="44">
        <f t="shared" si="90"/>
        <v>0</v>
      </c>
      <c r="I188" s="39">
        <f t="shared" si="90"/>
        <v>0</v>
      </c>
      <c r="J188" s="39">
        <f t="shared" si="90"/>
        <v>0</v>
      </c>
      <c r="K188" s="45">
        <f t="shared" si="90"/>
        <v>0</v>
      </c>
      <c r="L188" s="144">
        <f t="shared" si="90"/>
        <v>0</v>
      </c>
      <c r="M188" s="50">
        <f t="shared" si="90"/>
        <v>0</v>
      </c>
      <c r="N188" s="40">
        <f t="shared" si="80"/>
        <v>263</v>
      </c>
      <c r="O188" s="43">
        <f t="shared" si="81"/>
        <v>372.5</v>
      </c>
    </row>
    <row r="189" spans="1:15" ht="22.95" customHeight="1" x14ac:dyDescent="0.3">
      <c r="A189" s="52" t="s">
        <v>255</v>
      </c>
      <c r="B189" s="44">
        <f t="shared" ref="B189:M189" si="91">B83+B84+B85+B86</f>
        <v>158</v>
      </c>
      <c r="C189" s="39">
        <f t="shared" si="91"/>
        <v>23</v>
      </c>
      <c r="D189" s="39">
        <f t="shared" si="91"/>
        <v>21</v>
      </c>
      <c r="E189" s="39">
        <f t="shared" si="91"/>
        <v>21</v>
      </c>
      <c r="F189" s="39">
        <f t="shared" si="91"/>
        <v>21</v>
      </c>
      <c r="G189" s="50">
        <f t="shared" si="91"/>
        <v>244</v>
      </c>
      <c r="H189" s="44">
        <f t="shared" si="91"/>
        <v>0</v>
      </c>
      <c r="I189" s="39">
        <f t="shared" si="91"/>
        <v>0</v>
      </c>
      <c r="J189" s="39">
        <f t="shared" si="91"/>
        <v>0</v>
      </c>
      <c r="K189" s="45">
        <f t="shared" si="91"/>
        <v>0</v>
      </c>
      <c r="L189" s="144">
        <f t="shared" si="91"/>
        <v>0</v>
      </c>
      <c r="M189" s="50">
        <f t="shared" si="91"/>
        <v>0</v>
      </c>
      <c r="N189" s="40">
        <f t="shared" si="80"/>
        <v>244</v>
      </c>
      <c r="O189" s="43">
        <f t="shared" si="81"/>
        <v>358.5</v>
      </c>
    </row>
    <row r="190" spans="1:15" ht="22.95" customHeight="1" x14ac:dyDescent="0.3">
      <c r="A190" s="52" t="s">
        <v>256</v>
      </c>
      <c r="B190" s="44">
        <f t="shared" ref="B190:M190" si="92">B84+B85+B86+B87</f>
        <v>149</v>
      </c>
      <c r="C190" s="39">
        <f t="shared" si="92"/>
        <v>23</v>
      </c>
      <c r="D190" s="39">
        <f t="shared" si="92"/>
        <v>20</v>
      </c>
      <c r="E190" s="39">
        <f t="shared" si="92"/>
        <v>25</v>
      </c>
      <c r="F190" s="39">
        <f t="shared" si="92"/>
        <v>26</v>
      </c>
      <c r="G190" s="50">
        <f t="shared" si="92"/>
        <v>243</v>
      </c>
      <c r="H190" s="44">
        <f t="shared" si="92"/>
        <v>0</v>
      </c>
      <c r="I190" s="39">
        <f t="shared" si="92"/>
        <v>0</v>
      </c>
      <c r="J190" s="39">
        <f t="shared" si="92"/>
        <v>0</v>
      </c>
      <c r="K190" s="45">
        <f t="shared" si="92"/>
        <v>0</v>
      </c>
      <c r="L190" s="144">
        <f t="shared" si="92"/>
        <v>0</v>
      </c>
      <c r="M190" s="50">
        <f t="shared" si="92"/>
        <v>0</v>
      </c>
      <c r="N190" s="40">
        <f t="shared" si="80"/>
        <v>243</v>
      </c>
      <c r="O190" s="43">
        <f t="shared" si="81"/>
        <v>382.5</v>
      </c>
    </row>
    <row r="191" spans="1:15" ht="22.95" customHeight="1" x14ac:dyDescent="0.3">
      <c r="A191" s="52" t="s">
        <v>257</v>
      </c>
      <c r="B191" s="44">
        <f t="shared" ref="B191:M191" si="93">B85+B86+B87+B88</f>
        <v>170</v>
      </c>
      <c r="C191" s="39">
        <f t="shared" si="93"/>
        <v>19</v>
      </c>
      <c r="D191" s="39">
        <f t="shared" si="93"/>
        <v>25</v>
      </c>
      <c r="E191" s="39">
        <f t="shared" si="93"/>
        <v>23</v>
      </c>
      <c r="F191" s="39">
        <f t="shared" si="93"/>
        <v>29</v>
      </c>
      <c r="G191" s="50">
        <f t="shared" si="93"/>
        <v>266</v>
      </c>
      <c r="H191" s="44">
        <f t="shared" si="93"/>
        <v>0</v>
      </c>
      <c r="I191" s="39">
        <f t="shared" si="93"/>
        <v>0</v>
      </c>
      <c r="J191" s="39">
        <f t="shared" si="93"/>
        <v>0</v>
      </c>
      <c r="K191" s="45">
        <f t="shared" si="93"/>
        <v>0</v>
      </c>
      <c r="L191" s="144">
        <f t="shared" si="93"/>
        <v>0</v>
      </c>
      <c r="M191" s="50">
        <f t="shared" si="93"/>
        <v>0</v>
      </c>
      <c r="N191" s="40">
        <f t="shared" si="80"/>
        <v>266</v>
      </c>
      <c r="O191" s="43">
        <f t="shared" si="81"/>
        <v>416.5</v>
      </c>
    </row>
    <row r="192" spans="1:15" ht="22.95" customHeight="1" x14ac:dyDescent="0.3">
      <c r="A192" s="52" t="s">
        <v>258</v>
      </c>
      <c r="B192" s="44">
        <f t="shared" ref="B192:M192" si="94">B86+B87+B88+B89</f>
        <v>194</v>
      </c>
      <c r="C192" s="39">
        <f t="shared" si="94"/>
        <v>23</v>
      </c>
      <c r="D192" s="39">
        <f t="shared" si="94"/>
        <v>27</v>
      </c>
      <c r="E192" s="39">
        <f t="shared" si="94"/>
        <v>24</v>
      </c>
      <c r="F192" s="39">
        <f t="shared" si="94"/>
        <v>34</v>
      </c>
      <c r="G192" s="50">
        <f t="shared" si="94"/>
        <v>302</v>
      </c>
      <c r="H192" s="44">
        <f t="shared" si="94"/>
        <v>0</v>
      </c>
      <c r="I192" s="39">
        <f t="shared" si="94"/>
        <v>0</v>
      </c>
      <c r="J192" s="39">
        <f t="shared" si="94"/>
        <v>0</v>
      </c>
      <c r="K192" s="45">
        <f t="shared" si="94"/>
        <v>0</v>
      </c>
      <c r="L192" s="144">
        <f t="shared" si="94"/>
        <v>0</v>
      </c>
      <c r="M192" s="50">
        <f t="shared" si="94"/>
        <v>0</v>
      </c>
      <c r="N192" s="40">
        <f t="shared" si="80"/>
        <v>302</v>
      </c>
      <c r="O192" s="43">
        <f t="shared" si="81"/>
        <v>471</v>
      </c>
    </row>
    <row r="193" spans="1:15" ht="22.95" customHeight="1" x14ac:dyDescent="0.3">
      <c r="A193" s="52" t="s">
        <v>259</v>
      </c>
      <c r="B193" s="44">
        <f t="shared" ref="B193:M193" si="95">B87+B88+B89+B90</f>
        <v>224</v>
      </c>
      <c r="C193" s="39">
        <f t="shared" si="95"/>
        <v>36</v>
      </c>
      <c r="D193" s="39">
        <f t="shared" si="95"/>
        <v>25</v>
      </c>
      <c r="E193" s="39">
        <f t="shared" si="95"/>
        <v>28</v>
      </c>
      <c r="F193" s="39">
        <f t="shared" si="95"/>
        <v>39</v>
      </c>
      <c r="G193" s="50">
        <f t="shared" si="95"/>
        <v>352</v>
      </c>
      <c r="H193" s="44">
        <f t="shared" si="95"/>
        <v>0</v>
      </c>
      <c r="I193" s="39">
        <f t="shared" si="95"/>
        <v>0</v>
      </c>
      <c r="J193" s="39">
        <f t="shared" si="95"/>
        <v>0</v>
      </c>
      <c r="K193" s="45">
        <f t="shared" si="95"/>
        <v>0</v>
      </c>
      <c r="L193" s="144">
        <f t="shared" si="95"/>
        <v>0</v>
      </c>
      <c r="M193" s="50">
        <f t="shared" si="95"/>
        <v>0</v>
      </c>
      <c r="N193" s="40">
        <f t="shared" si="80"/>
        <v>352</v>
      </c>
      <c r="O193" s="43">
        <f t="shared" si="81"/>
        <v>539</v>
      </c>
    </row>
    <row r="194" spans="1:15" ht="22.95" customHeight="1" x14ac:dyDescent="0.3">
      <c r="A194" s="52" t="s">
        <v>260</v>
      </c>
      <c r="B194" s="44">
        <f t="shared" ref="B194:M194" si="96">B88+B89+B90+B91</f>
        <v>240</v>
      </c>
      <c r="C194" s="39">
        <f t="shared" si="96"/>
        <v>47</v>
      </c>
      <c r="D194" s="39">
        <f t="shared" si="96"/>
        <v>26</v>
      </c>
      <c r="E194" s="39">
        <f t="shared" si="96"/>
        <v>30</v>
      </c>
      <c r="F194" s="39">
        <f t="shared" si="96"/>
        <v>33</v>
      </c>
      <c r="G194" s="50">
        <f t="shared" si="96"/>
        <v>376</v>
      </c>
      <c r="H194" s="44">
        <f t="shared" si="96"/>
        <v>0</v>
      </c>
      <c r="I194" s="39">
        <f t="shared" si="96"/>
        <v>0</v>
      </c>
      <c r="J194" s="39">
        <f t="shared" si="96"/>
        <v>0</v>
      </c>
      <c r="K194" s="45">
        <f t="shared" si="96"/>
        <v>0</v>
      </c>
      <c r="L194" s="144">
        <f t="shared" si="96"/>
        <v>0</v>
      </c>
      <c r="M194" s="50">
        <f t="shared" si="96"/>
        <v>0</v>
      </c>
      <c r="N194" s="40">
        <f t="shared" si="80"/>
        <v>376</v>
      </c>
      <c r="O194" s="43">
        <f t="shared" si="81"/>
        <v>541</v>
      </c>
    </row>
    <row r="195" spans="1:15" ht="22.95" customHeight="1" x14ac:dyDescent="0.3">
      <c r="A195" s="52" t="s">
        <v>261</v>
      </c>
      <c r="B195" s="44">
        <f t="shared" ref="B195:M195" si="97">B89+B90+B91+B92</f>
        <v>249</v>
      </c>
      <c r="C195" s="39">
        <f t="shared" si="97"/>
        <v>53</v>
      </c>
      <c r="D195" s="39">
        <f t="shared" si="97"/>
        <v>23</v>
      </c>
      <c r="E195" s="39">
        <f t="shared" si="97"/>
        <v>38</v>
      </c>
      <c r="F195" s="39">
        <f t="shared" si="97"/>
        <v>37</v>
      </c>
      <c r="G195" s="50">
        <f t="shared" si="97"/>
        <v>400</v>
      </c>
      <c r="H195" s="44">
        <f t="shared" si="97"/>
        <v>1</v>
      </c>
      <c r="I195" s="39">
        <f t="shared" si="97"/>
        <v>0</v>
      </c>
      <c r="J195" s="39">
        <f t="shared" si="97"/>
        <v>0</v>
      </c>
      <c r="K195" s="45">
        <f t="shared" si="97"/>
        <v>0</v>
      </c>
      <c r="L195" s="144">
        <f t="shared" si="97"/>
        <v>1</v>
      </c>
      <c r="M195" s="50">
        <f t="shared" si="97"/>
        <v>2</v>
      </c>
      <c r="N195" s="40">
        <f t="shared" si="80"/>
        <v>402</v>
      </c>
      <c r="O195" s="43">
        <f t="shared" si="81"/>
        <v>599</v>
      </c>
    </row>
    <row r="196" spans="1:15" ht="22.95" customHeight="1" x14ac:dyDescent="0.3">
      <c r="A196" s="52" t="s">
        <v>270</v>
      </c>
      <c r="B196" s="44">
        <f t="shared" ref="B196:M196" si="98">B90+B91+B92+B93</f>
        <v>219</v>
      </c>
      <c r="C196" s="39">
        <f t="shared" si="98"/>
        <v>49</v>
      </c>
      <c r="D196" s="39">
        <f t="shared" si="98"/>
        <v>28</v>
      </c>
      <c r="E196" s="39">
        <f t="shared" si="98"/>
        <v>35</v>
      </c>
      <c r="F196" s="39">
        <f t="shared" si="98"/>
        <v>44</v>
      </c>
      <c r="G196" s="50">
        <f t="shared" si="98"/>
        <v>375</v>
      </c>
      <c r="H196" s="44">
        <f t="shared" si="98"/>
        <v>1</v>
      </c>
      <c r="I196" s="39">
        <f t="shared" si="98"/>
        <v>0</v>
      </c>
      <c r="J196" s="39">
        <f t="shared" si="98"/>
        <v>0</v>
      </c>
      <c r="K196" s="45">
        <f t="shared" si="98"/>
        <v>0</v>
      </c>
      <c r="L196" s="144">
        <f t="shared" si="98"/>
        <v>1</v>
      </c>
      <c r="M196" s="50">
        <f t="shared" si="98"/>
        <v>2</v>
      </c>
      <c r="N196" s="40">
        <f t="shared" si="80"/>
        <v>377</v>
      </c>
      <c r="O196" s="43">
        <f t="shared" si="81"/>
        <v>597</v>
      </c>
    </row>
    <row r="197" spans="1:15" ht="22.95" customHeight="1" x14ac:dyDescent="0.3">
      <c r="A197" s="52" t="s">
        <v>271</v>
      </c>
      <c r="B197" s="44">
        <f t="shared" ref="B197:M197" si="99">B91+B92+B93+B94</f>
        <v>277</v>
      </c>
      <c r="C197" s="39">
        <f t="shared" si="99"/>
        <v>68</v>
      </c>
      <c r="D197" s="39">
        <f t="shared" si="99"/>
        <v>34</v>
      </c>
      <c r="E197" s="39">
        <f t="shared" si="99"/>
        <v>33</v>
      </c>
      <c r="F197" s="39">
        <f t="shared" si="99"/>
        <v>44</v>
      </c>
      <c r="G197" s="50">
        <f t="shared" si="99"/>
        <v>456</v>
      </c>
      <c r="H197" s="44">
        <f t="shared" si="99"/>
        <v>1</v>
      </c>
      <c r="I197" s="39">
        <f t="shared" si="99"/>
        <v>0</v>
      </c>
      <c r="J197" s="39">
        <f t="shared" si="99"/>
        <v>0</v>
      </c>
      <c r="K197" s="45">
        <f t="shared" si="99"/>
        <v>0</v>
      </c>
      <c r="L197" s="144">
        <f t="shared" si="99"/>
        <v>1</v>
      </c>
      <c r="M197" s="50">
        <f t="shared" si="99"/>
        <v>2</v>
      </c>
      <c r="N197" s="40">
        <f t="shared" si="80"/>
        <v>458</v>
      </c>
      <c r="O197" s="43">
        <f t="shared" si="81"/>
        <v>667.5</v>
      </c>
    </row>
    <row r="198" spans="1:15" ht="22.95" customHeight="1" x14ac:dyDescent="0.3">
      <c r="A198" s="52" t="s">
        <v>279</v>
      </c>
      <c r="B198" s="44">
        <f t="shared" ref="B198:M198" si="100">B92+B93+B94+B95</f>
        <v>383</v>
      </c>
      <c r="C198" s="39">
        <f t="shared" si="100"/>
        <v>97</v>
      </c>
      <c r="D198" s="39">
        <f t="shared" si="100"/>
        <v>36</v>
      </c>
      <c r="E198" s="39">
        <f t="shared" si="100"/>
        <v>29</v>
      </c>
      <c r="F198" s="39">
        <f t="shared" si="100"/>
        <v>50</v>
      </c>
      <c r="G198" s="50">
        <f t="shared" si="100"/>
        <v>595</v>
      </c>
      <c r="H198" s="44">
        <f t="shared" si="100"/>
        <v>1</v>
      </c>
      <c r="I198" s="39">
        <f t="shared" si="100"/>
        <v>0</v>
      </c>
      <c r="J198" s="39">
        <f t="shared" si="100"/>
        <v>0</v>
      </c>
      <c r="K198" s="45">
        <f t="shared" si="100"/>
        <v>0</v>
      </c>
      <c r="L198" s="144">
        <f t="shared" si="100"/>
        <v>1</v>
      </c>
      <c r="M198" s="50">
        <f t="shared" si="100"/>
        <v>2</v>
      </c>
      <c r="N198" s="40">
        <f t="shared" si="80"/>
        <v>597</v>
      </c>
      <c r="O198" s="43">
        <f t="shared" si="81"/>
        <v>806</v>
      </c>
    </row>
    <row r="199" spans="1:15" ht="22.95" customHeight="1" x14ac:dyDescent="0.3">
      <c r="A199" s="52" t="s">
        <v>62</v>
      </c>
      <c r="B199" s="44">
        <f t="shared" ref="B199:M199" si="101">B93+B94+B95+B96</f>
        <v>437</v>
      </c>
      <c r="C199" s="39">
        <f t="shared" si="101"/>
        <v>156</v>
      </c>
      <c r="D199" s="39">
        <f t="shared" si="101"/>
        <v>38</v>
      </c>
      <c r="E199" s="39">
        <f t="shared" si="101"/>
        <v>30</v>
      </c>
      <c r="F199" s="39">
        <f t="shared" si="101"/>
        <v>54</v>
      </c>
      <c r="G199" s="50">
        <f t="shared" si="101"/>
        <v>715</v>
      </c>
      <c r="H199" s="44">
        <f t="shared" si="101"/>
        <v>0</v>
      </c>
      <c r="I199" s="39">
        <f t="shared" si="101"/>
        <v>0</v>
      </c>
      <c r="J199" s="39">
        <f t="shared" si="101"/>
        <v>0</v>
      </c>
      <c r="K199" s="45">
        <f t="shared" si="101"/>
        <v>0</v>
      </c>
      <c r="L199" s="144">
        <f t="shared" si="101"/>
        <v>1</v>
      </c>
      <c r="M199" s="50">
        <f t="shared" si="101"/>
        <v>1</v>
      </c>
      <c r="N199" s="40">
        <f t="shared" si="80"/>
        <v>716</v>
      </c>
      <c r="O199" s="43">
        <f t="shared" si="81"/>
        <v>913</v>
      </c>
    </row>
    <row r="200" spans="1:15" ht="22.95" customHeight="1" x14ac:dyDescent="0.3">
      <c r="A200" s="52" t="s">
        <v>63</v>
      </c>
      <c r="B200" s="44">
        <f t="shared" ref="B200:M200" si="102">B94+B95+B96+B97</f>
        <v>544</v>
      </c>
      <c r="C200" s="39">
        <f t="shared" si="102"/>
        <v>226</v>
      </c>
      <c r="D200" s="39">
        <f t="shared" si="102"/>
        <v>31</v>
      </c>
      <c r="E200" s="39">
        <f t="shared" si="102"/>
        <v>34</v>
      </c>
      <c r="F200" s="39">
        <f t="shared" si="102"/>
        <v>52</v>
      </c>
      <c r="G200" s="50">
        <f t="shared" si="102"/>
        <v>887</v>
      </c>
      <c r="H200" s="44">
        <f t="shared" si="102"/>
        <v>0</v>
      </c>
      <c r="I200" s="39">
        <f t="shared" si="102"/>
        <v>0</v>
      </c>
      <c r="J200" s="39">
        <f t="shared" si="102"/>
        <v>0</v>
      </c>
      <c r="K200" s="45">
        <f t="shared" si="102"/>
        <v>0</v>
      </c>
      <c r="L200" s="144">
        <f t="shared" si="102"/>
        <v>1</v>
      </c>
      <c r="M200" s="50">
        <f t="shared" si="102"/>
        <v>1</v>
      </c>
      <c r="N200" s="40">
        <f t="shared" si="80"/>
        <v>888</v>
      </c>
      <c r="O200" s="43">
        <f t="shared" si="81"/>
        <v>1047.5</v>
      </c>
    </row>
    <row r="201" spans="1:15" ht="22.95" customHeight="1" x14ac:dyDescent="0.3">
      <c r="A201" s="52" t="s">
        <v>64</v>
      </c>
      <c r="B201" s="44">
        <f t="shared" ref="B201:M201" si="103">B95+B96+B97+B98</f>
        <v>610</v>
      </c>
      <c r="C201" s="39">
        <f t="shared" si="103"/>
        <v>273</v>
      </c>
      <c r="D201" s="39">
        <f t="shared" si="103"/>
        <v>30</v>
      </c>
      <c r="E201" s="39">
        <f t="shared" si="103"/>
        <v>35</v>
      </c>
      <c r="F201" s="39">
        <f t="shared" si="103"/>
        <v>47</v>
      </c>
      <c r="G201" s="50">
        <f t="shared" si="103"/>
        <v>995</v>
      </c>
      <c r="H201" s="44">
        <f t="shared" si="103"/>
        <v>0</v>
      </c>
      <c r="I201" s="39">
        <f t="shared" si="103"/>
        <v>0</v>
      </c>
      <c r="J201" s="39">
        <f t="shared" si="103"/>
        <v>0</v>
      </c>
      <c r="K201" s="45">
        <f t="shared" si="103"/>
        <v>0</v>
      </c>
      <c r="L201" s="144">
        <f t="shared" si="103"/>
        <v>1</v>
      </c>
      <c r="M201" s="50">
        <f t="shared" si="103"/>
        <v>1</v>
      </c>
      <c r="N201" s="40">
        <f t="shared" si="80"/>
        <v>996</v>
      </c>
      <c r="O201" s="43">
        <f t="shared" si="81"/>
        <v>1116</v>
      </c>
    </row>
    <row r="202" spans="1:15" ht="22.95" customHeight="1" x14ac:dyDescent="0.3">
      <c r="A202" s="52" t="s">
        <v>65</v>
      </c>
      <c r="B202" s="44">
        <f t="shared" ref="B202:M202" si="104">B96+B97+B98+B99</f>
        <v>647</v>
      </c>
      <c r="C202" s="39">
        <f t="shared" si="104"/>
        <v>325</v>
      </c>
      <c r="D202" s="39">
        <f t="shared" si="104"/>
        <v>29</v>
      </c>
      <c r="E202" s="39">
        <f t="shared" si="104"/>
        <v>35</v>
      </c>
      <c r="F202" s="39">
        <f t="shared" si="104"/>
        <v>45</v>
      </c>
      <c r="G202" s="50">
        <f t="shared" si="104"/>
        <v>1081</v>
      </c>
      <c r="H202" s="44">
        <f t="shared" si="104"/>
        <v>0</v>
      </c>
      <c r="I202" s="39">
        <f t="shared" si="104"/>
        <v>0</v>
      </c>
      <c r="J202" s="39">
        <f t="shared" si="104"/>
        <v>0</v>
      </c>
      <c r="K202" s="45">
        <f t="shared" si="104"/>
        <v>0</v>
      </c>
      <c r="L202" s="144">
        <f t="shared" si="104"/>
        <v>3</v>
      </c>
      <c r="M202" s="50">
        <f t="shared" si="104"/>
        <v>3</v>
      </c>
      <c r="N202" s="40">
        <f t="shared" si="80"/>
        <v>1084</v>
      </c>
      <c r="O202" s="43">
        <f t="shared" si="81"/>
        <v>1184.5</v>
      </c>
    </row>
    <row r="203" spans="1:15" ht="22.95" customHeight="1" x14ac:dyDescent="0.3">
      <c r="A203" s="52" t="s">
        <v>66</v>
      </c>
      <c r="B203" s="44">
        <f t="shared" ref="B203:M203" si="105">B97+B98+B99+B100</f>
        <v>735</v>
      </c>
      <c r="C203" s="39">
        <f t="shared" si="105"/>
        <v>341</v>
      </c>
      <c r="D203" s="39">
        <f t="shared" si="105"/>
        <v>36</v>
      </c>
      <c r="E203" s="39">
        <f t="shared" si="105"/>
        <v>37</v>
      </c>
      <c r="F203" s="39">
        <f t="shared" si="105"/>
        <v>45</v>
      </c>
      <c r="G203" s="50">
        <f t="shared" si="105"/>
        <v>1194</v>
      </c>
      <c r="H203" s="44">
        <f t="shared" si="105"/>
        <v>0</v>
      </c>
      <c r="I203" s="39">
        <f t="shared" si="105"/>
        <v>0</v>
      </c>
      <c r="J203" s="39">
        <f t="shared" si="105"/>
        <v>0</v>
      </c>
      <c r="K203" s="45">
        <f t="shared" si="105"/>
        <v>0</v>
      </c>
      <c r="L203" s="144">
        <f t="shared" si="105"/>
        <v>4</v>
      </c>
      <c r="M203" s="50">
        <f t="shared" si="105"/>
        <v>4</v>
      </c>
      <c r="N203" s="40">
        <f t="shared" si="80"/>
        <v>1198</v>
      </c>
      <c r="O203" s="43">
        <f t="shared" si="81"/>
        <v>1305</v>
      </c>
    </row>
    <row r="204" spans="1:15" ht="22.95" customHeight="1" x14ac:dyDescent="0.3">
      <c r="A204" s="52" t="s">
        <v>67</v>
      </c>
      <c r="B204" s="44">
        <f t="shared" ref="B204:M204" si="106">B98+B99+B100+B101</f>
        <v>830</v>
      </c>
      <c r="C204" s="39">
        <f t="shared" si="106"/>
        <v>318</v>
      </c>
      <c r="D204" s="39">
        <f t="shared" si="106"/>
        <v>43</v>
      </c>
      <c r="E204" s="39">
        <f t="shared" si="106"/>
        <v>47</v>
      </c>
      <c r="F204" s="39">
        <f t="shared" si="106"/>
        <v>50</v>
      </c>
      <c r="G204" s="50">
        <f t="shared" si="106"/>
        <v>1288</v>
      </c>
      <c r="H204" s="44">
        <f t="shared" si="106"/>
        <v>0</v>
      </c>
      <c r="I204" s="39">
        <f t="shared" si="106"/>
        <v>0</v>
      </c>
      <c r="J204" s="39">
        <f t="shared" si="106"/>
        <v>0</v>
      </c>
      <c r="K204" s="45">
        <f t="shared" si="106"/>
        <v>0</v>
      </c>
      <c r="L204" s="144">
        <f t="shared" si="106"/>
        <v>4</v>
      </c>
      <c r="M204" s="50">
        <f t="shared" si="106"/>
        <v>4</v>
      </c>
      <c r="N204" s="40">
        <f t="shared" si="80"/>
        <v>1292</v>
      </c>
      <c r="O204" s="43">
        <f t="shared" si="81"/>
        <v>1451.5</v>
      </c>
    </row>
    <row r="205" spans="1:15" ht="22.95" customHeight="1" x14ac:dyDescent="0.3">
      <c r="A205" s="52" t="s">
        <v>68</v>
      </c>
      <c r="B205" s="44">
        <f t="shared" ref="B205:M205" si="107">B99+B100+B101+B102</f>
        <v>863</v>
      </c>
      <c r="C205" s="39">
        <f t="shared" si="107"/>
        <v>302</v>
      </c>
      <c r="D205" s="39">
        <f t="shared" si="107"/>
        <v>44</v>
      </c>
      <c r="E205" s="39">
        <f t="shared" si="107"/>
        <v>57</v>
      </c>
      <c r="F205" s="39">
        <f t="shared" si="107"/>
        <v>62</v>
      </c>
      <c r="G205" s="50">
        <f t="shared" si="107"/>
        <v>1328</v>
      </c>
      <c r="H205" s="44">
        <f t="shared" si="107"/>
        <v>0</v>
      </c>
      <c r="I205" s="39">
        <f t="shared" si="107"/>
        <v>0</v>
      </c>
      <c r="J205" s="39">
        <f t="shared" si="107"/>
        <v>0</v>
      </c>
      <c r="K205" s="45">
        <f t="shared" si="107"/>
        <v>0</v>
      </c>
      <c r="L205" s="144">
        <f t="shared" si="107"/>
        <v>6</v>
      </c>
      <c r="M205" s="50">
        <f t="shared" si="107"/>
        <v>6</v>
      </c>
      <c r="N205" s="40">
        <f t="shared" si="80"/>
        <v>1334</v>
      </c>
      <c r="O205" s="43">
        <f t="shared" si="81"/>
        <v>1578</v>
      </c>
    </row>
    <row r="206" spans="1:15" ht="22.95" customHeight="1" thickBot="1" x14ac:dyDescent="0.35">
      <c r="A206" s="52" t="s">
        <v>69</v>
      </c>
      <c r="B206" s="46">
        <f t="shared" ref="B206:M206" si="108">B100+B101+B102+B103</f>
        <v>890</v>
      </c>
      <c r="C206" s="47">
        <f t="shared" si="108"/>
        <v>266</v>
      </c>
      <c r="D206" s="47">
        <f t="shared" si="108"/>
        <v>50</v>
      </c>
      <c r="E206" s="47">
        <f t="shared" si="108"/>
        <v>62</v>
      </c>
      <c r="F206" s="47">
        <f t="shared" si="108"/>
        <v>65</v>
      </c>
      <c r="G206" s="50">
        <f t="shared" si="108"/>
        <v>1333</v>
      </c>
      <c r="H206" s="44">
        <f t="shared" si="108"/>
        <v>0</v>
      </c>
      <c r="I206" s="39">
        <f t="shared" si="108"/>
        <v>0</v>
      </c>
      <c r="J206" s="39">
        <f t="shared" si="108"/>
        <v>0</v>
      </c>
      <c r="K206" s="45">
        <f t="shared" si="108"/>
        <v>0</v>
      </c>
      <c r="L206" s="145">
        <f t="shared" si="108"/>
        <v>6</v>
      </c>
      <c r="M206" s="50">
        <f t="shared" si="108"/>
        <v>6</v>
      </c>
      <c r="N206" s="40">
        <f t="shared" si="80"/>
        <v>1339</v>
      </c>
      <c r="O206" s="43">
        <f t="shared" si="81"/>
        <v>1624.5</v>
      </c>
    </row>
  </sheetData>
  <mergeCells count="31">
    <mergeCell ref="H112:H113"/>
    <mergeCell ref="K112:K113"/>
    <mergeCell ref="M112:M113"/>
    <mergeCell ref="N112:N113"/>
    <mergeCell ref="O112:O113"/>
    <mergeCell ref="I112:I113"/>
    <mergeCell ref="J112:J113"/>
    <mergeCell ref="L112:L113"/>
    <mergeCell ref="A1:J1"/>
    <mergeCell ref="I6:I7"/>
    <mergeCell ref="J6:J7"/>
    <mergeCell ref="A6:A7"/>
    <mergeCell ref="O6:O7"/>
    <mergeCell ref="K6:K7"/>
    <mergeCell ref="M6:M7"/>
    <mergeCell ref="N6:N7"/>
    <mergeCell ref="L6:L7"/>
    <mergeCell ref="H6:H7"/>
    <mergeCell ref="A112:A113"/>
    <mergeCell ref="C6:C7"/>
    <mergeCell ref="C112:C113"/>
    <mergeCell ref="G112:G113"/>
    <mergeCell ref="B6:B7"/>
    <mergeCell ref="B112:B113"/>
    <mergeCell ref="D6:D7"/>
    <mergeCell ref="G6:G7"/>
    <mergeCell ref="E6:E7"/>
    <mergeCell ref="F6:F7"/>
    <mergeCell ref="F112:F113"/>
    <mergeCell ref="D112:D113"/>
    <mergeCell ref="E112:E113"/>
  </mergeCells>
  <pageMargins left="0.7" right="0.7" top="0.75" bottom="0.75" header="0.3" footer="0.3"/>
  <pageSetup paperSize="9" scale="28" orientation="portrait" r:id="rId1"/>
  <rowBreaks count="1" manualBreakCount="1">
    <brk id="106" max="16383" man="1"/>
  </row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206"/>
  <sheetViews>
    <sheetView view="pageBreakPreview" zoomScale="60" zoomScaleNormal="70" workbookViewId="0">
      <selection activeCell="A114" sqref="A114:A206"/>
    </sheetView>
  </sheetViews>
  <sheetFormatPr defaultColWidth="9" defaultRowHeight="15.6" x14ac:dyDescent="0.3"/>
  <cols>
    <col min="1" max="1" width="21.59765625" customWidth="1"/>
    <col min="2" max="7" width="11.69921875" customWidth="1"/>
    <col min="8" max="8" width="15.09765625" bestFit="1" customWidth="1"/>
    <col min="9" max="15" width="11.69921875" customWidth="1"/>
  </cols>
  <sheetData>
    <row r="1" spans="1:15" x14ac:dyDescent="0.3">
      <c r="A1" s="247" t="s">
        <v>99</v>
      </c>
      <c r="B1" s="247"/>
      <c r="C1" s="247"/>
      <c r="D1" s="247"/>
      <c r="E1" s="247"/>
      <c r="F1" s="247"/>
      <c r="G1" s="247"/>
      <c r="H1" s="247"/>
      <c r="I1" s="247"/>
      <c r="J1" s="247"/>
    </row>
    <row r="2" spans="1:15" s="4" customFormat="1" x14ac:dyDescent="0.3">
      <c r="A2" s="4" t="s">
        <v>103</v>
      </c>
      <c r="B2" s="4" t="str">
        <f>Summary!B2</f>
        <v>TMC-14 Number (D2)</v>
      </c>
      <c r="H2" s="181">
        <f>+Summary!I1</f>
        <v>46245</v>
      </c>
    </row>
    <row r="3" spans="1:15" s="4" customFormat="1" x14ac:dyDescent="0.3">
      <c r="A3" s="4" t="s">
        <v>102</v>
      </c>
      <c r="B3" s="4" t="str">
        <f>Summary!B3</f>
        <v>D2</v>
      </c>
      <c r="H3" s="181" t="str">
        <f>+Summary!I2</f>
        <v>Tuesday</v>
      </c>
    </row>
    <row r="4" spans="1:15" s="4" customFormat="1" x14ac:dyDescent="0.3">
      <c r="A4" s="4" t="s">
        <v>104</v>
      </c>
      <c r="B4" s="4" t="str">
        <f>+Summary!A7</f>
        <v>Delhi</v>
      </c>
    </row>
    <row r="5" spans="1:15" ht="16.2" thickBot="1" x14ac:dyDescent="0.35"/>
    <row r="6" spans="1:15" ht="25.2" customHeight="1" x14ac:dyDescent="0.3">
      <c r="A6" s="252" t="s">
        <v>95</v>
      </c>
      <c r="B6" s="258" t="s">
        <v>280</v>
      </c>
      <c r="C6" s="254" t="s">
        <v>281</v>
      </c>
      <c r="D6" s="250" t="s">
        <v>282</v>
      </c>
      <c r="E6" s="260" t="s">
        <v>283</v>
      </c>
      <c r="F6" s="256" t="s">
        <v>284</v>
      </c>
      <c r="G6" s="250" t="s">
        <v>129</v>
      </c>
      <c r="H6" s="248" t="s">
        <v>150</v>
      </c>
      <c r="I6" s="250" t="s">
        <v>151</v>
      </c>
      <c r="J6" s="250" t="s">
        <v>285</v>
      </c>
      <c r="K6" s="248" t="s">
        <v>286</v>
      </c>
      <c r="L6" s="250" t="s">
        <v>287</v>
      </c>
      <c r="M6" s="250" t="s">
        <v>78</v>
      </c>
      <c r="N6" s="250" t="s">
        <v>131</v>
      </c>
      <c r="O6" s="250" t="s">
        <v>132</v>
      </c>
    </row>
    <row r="7" spans="1:15" ht="67.5" customHeight="1" thickBot="1" x14ac:dyDescent="0.35">
      <c r="A7" s="253"/>
      <c r="B7" s="259"/>
      <c r="C7" s="255"/>
      <c r="D7" s="251"/>
      <c r="E7" s="261"/>
      <c r="F7" s="257"/>
      <c r="G7" s="259"/>
      <c r="H7" s="249"/>
      <c r="I7" s="251"/>
      <c r="J7" s="251"/>
      <c r="K7" s="249"/>
      <c r="L7" s="251"/>
      <c r="M7" s="251"/>
      <c r="N7" s="251"/>
      <c r="O7" s="251"/>
    </row>
    <row r="8" spans="1:15" ht="22.5" customHeight="1" x14ac:dyDescent="0.3">
      <c r="A8" s="148" t="s">
        <v>177</v>
      </c>
      <c r="B8" s="112">
        <f>V_1!B8+V_9!B8+V_11!B8</f>
        <v>143</v>
      </c>
      <c r="C8" s="113">
        <f>V_1!C8+V_9!C8+V_11!C8</f>
        <v>158</v>
      </c>
      <c r="D8" s="113">
        <f>V_1!D8+V_9!D8+V_11!D8</f>
        <v>14</v>
      </c>
      <c r="E8" s="113">
        <f>V_1!E8+V_9!E8+V_11!E8</f>
        <v>15</v>
      </c>
      <c r="F8" s="151">
        <f>V_1!F8+V_9!F8+V_11!F8</f>
        <v>31</v>
      </c>
      <c r="G8" s="79">
        <f t="shared" ref="G8:G39" si="0">SUM(B8:F8)</f>
        <v>361</v>
      </c>
      <c r="H8" s="112">
        <f>V_1!H8+V_9!H8+V_11!H8</f>
        <v>4</v>
      </c>
      <c r="I8" s="113">
        <f>V_1!I8+V_9!I8+V_11!I8</f>
        <v>0</v>
      </c>
      <c r="J8" s="113">
        <f>V_1!J8+V_9!J8+V_11!J8</f>
        <v>0</v>
      </c>
      <c r="K8" s="114">
        <f>V_1!K8+V_9!K8+V_11!K8</f>
        <v>0</v>
      </c>
      <c r="L8" s="139">
        <f>V_1!L8+V_9!L8+V_11!L8</f>
        <v>7</v>
      </c>
      <c r="M8" s="148">
        <f>SUM(H8:L8)</f>
        <v>11</v>
      </c>
      <c r="N8" s="43">
        <f>G8+M8</f>
        <v>372</v>
      </c>
      <c r="O8" s="115">
        <f>B8*1+C8*0.5+D8*1.5+E8*3+F8*4.5+H8*0.5+I8*1.5+J8*3+K8*4+L8*8</f>
        <v>485.5</v>
      </c>
    </row>
    <row r="9" spans="1:15" ht="22.5" customHeight="1" x14ac:dyDescent="0.3">
      <c r="A9" s="149" t="s">
        <v>178</v>
      </c>
      <c r="B9" s="44">
        <f>V_1!B9+V_9!B9+V_11!B9</f>
        <v>124</v>
      </c>
      <c r="C9" s="39">
        <f>V_1!C9+V_9!C9+V_11!C9</f>
        <v>208</v>
      </c>
      <c r="D9" s="39">
        <f>V_1!D9+V_9!D9+V_11!D9</f>
        <v>14</v>
      </c>
      <c r="E9" s="39">
        <f>V_1!E9+V_9!E9+V_11!E9</f>
        <v>12</v>
      </c>
      <c r="F9" s="152">
        <f>V_1!F9+V_9!F9+V_11!F9</f>
        <v>24</v>
      </c>
      <c r="G9" s="154">
        <f t="shared" si="0"/>
        <v>382</v>
      </c>
      <c r="H9" s="44">
        <f>V_1!H9+V_9!H9+V_11!H9</f>
        <v>5</v>
      </c>
      <c r="I9" s="39">
        <f>V_1!I9+V_9!I9+V_11!I9</f>
        <v>1</v>
      </c>
      <c r="J9" s="39">
        <f>V_1!J9+V_9!J9+V_11!J9</f>
        <v>0</v>
      </c>
      <c r="K9" s="45">
        <f>V_1!K9+V_9!K9+V_11!K9</f>
        <v>0</v>
      </c>
      <c r="L9" s="140">
        <f>V_1!L9+V_9!L9+V_11!L9</f>
        <v>4</v>
      </c>
      <c r="M9" s="149">
        <f t="shared" ref="M9:M72" si="1">SUM(H9:L9)</f>
        <v>10</v>
      </c>
      <c r="N9" s="100">
        <f t="shared" ref="N9:N72" si="2">G9+M9</f>
        <v>392</v>
      </c>
      <c r="O9" s="43">
        <f t="shared" ref="O9:O72" si="3">B9*1+C9*0.5+D9*1.5+E9*3+F9*4.5+H9*0.5+I9*1.5+J9*3+K9*4+L9*8</f>
        <v>429</v>
      </c>
    </row>
    <row r="10" spans="1:15" ht="22.5" customHeight="1" x14ac:dyDescent="0.3">
      <c r="A10" s="149" t="s">
        <v>179</v>
      </c>
      <c r="B10" s="44">
        <f>V_1!B10+V_9!B10+V_11!B10</f>
        <v>149</v>
      </c>
      <c r="C10" s="39">
        <f>V_1!C10+V_9!C10+V_11!C10</f>
        <v>285</v>
      </c>
      <c r="D10" s="39">
        <f>V_1!D10+V_9!D10+V_11!D10</f>
        <v>11</v>
      </c>
      <c r="E10" s="39">
        <f>V_1!E10+V_9!E10+V_11!E10</f>
        <v>12</v>
      </c>
      <c r="F10" s="152">
        <f>V_1!F10+V_9!F10+V_11!F10</f>
        <v>19</v>
      </c>
      <c r="G10" s="154">
        <f t="shared" si="0"/>
        <v>476</v>
      </c>
      <c r="H10" s="44">
        <f>V_1!H10+V_9!H10+V_11!H10</f>
        <v>6</v>
      </c>
      <c r="I10" s="39">
        <f>V_1!I10+V_9!I10+V_11!I10</f>
        <v>0</v>
      </c>
      <c r="J10" s="39">
        <f>V_1!J10+V_9!J10+V_11!J10</f>
        <v>0</v>
      </c>
      <c r="K10" s="45">
        <f>V_1!K10+V_9!K10+V_11!K10</f>
        <v>0</v>
      </c>
      <c r="L10" s="140">
        <f>V_1!L10+V_9!L10+V_11!L10</f>
        <v>4</v>
      </c>
      <c r="M10" s="149">
        <f t="shared" si="1"/>
        <v>10</v>
      </c>
      <c r="N10" s="100">
        <f t="shared" si="2"/>
        <v>486</v>
      </c>
      <c r="O10" s="43">
        <f t="shared" si="3"/>
        <v>464.5</v>
      </c>
    </row>
    <row r="11" spans="1:15" ht="22.5" customHeight="1" x14ac:dyDescent="0.3">
      <c r="A11" s="149" t="s">
        <v>180</v>
      </c>
      <c r="B11" s="44">
        <f>V_1!B11+V_9!B11+V_11!B11</f>
        <v>162</v>
      </c>
      <c r="C11" s="39">
        <f>V_1!C11+V_9!C11+V_11!C11</f>
        <v>353</v>
      </c>
      <c r="D11" s="39">
        <f>V_1!D11+V_9!D11+V_11!D11</f>
        <v>8</v>
      </c>
      <c r="E11" s="39">
        <f>V_1!E11+V_9!E11+V_11!E11</f>
        <v>10</v>
      </c>
      <c r="F11" s="152">
        <f>V_1!F11+V_9!F11+V_11!F11</f>
        <v>30</v>
      </c>
      <c r="G11" s="154">
        <f t="shared" si="0"/>
        <v>563</v>
      </c>
      <c r="H11" s="44">
        <f>V_1!H11+V_9!H11+V_11!H11</f>
        <v>6</v>
      </c>
      <c r="I11" s="39">
        <f>V_1!I11+V_9!I11+V_11!I11</f>
        <v>0</v>
      </c>
      <c r="J11" s="39">
        <f>V_1!J11+V_9!J11+V_11!J11</f>
        <v>0</v>
      </c>
      <c r="K11" s="45">
        <f>V_1!K11+V_9!K11+V_11!K11</f>
        <v>0</v>
      </c>
      <c r="L11" s="140">
        <f>V_1!L11+V_9!L11+V_11!L11</f>
        <v>2</v>
      </c>
      <c r="M11" s="149">
        <f t="shared" si="1"/>
        <v>8</v>
      </c>
      <c r="N11" s="100">
        <f t="shared" si="2"/>
        <v>571</v>
      </c>
      <c r="O11" s="43">
        <f t="shared" si="3"/>
        <v>534.5</v>
      </c>
    </row>
    <row r="12" spans="1:15" ht="22.5" customHeight="1" x14ac:dyDescent="0.3">
      <c r="A12" s="149" t="s">
        <v>181</v>
      </c>
      <c r="B12" s="44">
        <f>V_1!B12+V_9!B12+V_11!B12</f>
        <v>187</v>
      </c>
      <c r="C12" s="39">
        <f>V_1!C12+V_9!C12+V_11!C12</f>
        <v>323</v>
      </c>
      <c r="D12" s="39">
        <f>V_1!D12+V_9!D12+V_11!D12</f>
        <v>15</v>
      </c>
      <c r="E12" s="39">
        <f>V_1!E12+V_9!E12+V_11!E12</f>
        <v>12</v>
      </c>
      <c r="F12" s="152">
        <f>V_1!F12+V_9!F12+V_11!F12</f>
        <v>36</v>
      </c>
      <c r="G12" s="154">
        <f t="shared" si="0"/>
        <v>573</v>
      </c>
      <c r="H12" s="44">
        <f>V_1!H12+V_9!H12+V_11!H12</f>
        <v>5</v>
      </c>
      <c r="I12" s="39">
        <f>V_1!I12+V_9!I12+V_11!I12</f>
        <v>0</v>
      </c>
      <c r="J12" s="39">
        <f>V_1!J12+V_9!J12+V_11!J12</f>
        <v>0</v>
      </c>
      <c r="K12" s="45">
        <f>V_1!K12+V_9!K12+V_11!K12</f>
        <v>0</v>
      </c>
      <c r="L12" s="140">
        <f>V_1!L12+V_9!L12+V_11!L12</f>
        <v>9</v>
      </c>
      <c r="M12" s="149">
        <f t="shared" si="1"/>
        <v>14</v>
      </c>
      <c r="N12" s="100">
        <f t="shared" si="2"/>
        <v>587</v>
      </c>
      <c r="O12" s="43">
        <f t="shared" si="3"/>
        <v>643.5</v>
      </c>
    </row>
    <row r="13" spans="1:15" ht="22.5" customHeight="1" x14ac:dyDescent="0.3">
      <c r="A13" s="149" t="s">
        <v>182</v>
      </c>
      <c r="B13" s="44">
        <f>V_1!B13+V_9!B13+V_11!B13</f>
        <v>143</v>
      </c>
      <c r="C13" s="39">
        <f>V_1!C13+V_9!C13+V_11!C13</f>
        <v>271</v>
      </c>
      <c r="D13" s="39">
        <f>V_1!D13+V_9!D13+V_11!D13</f>
        <v>8</v>
      </c>
      <c r="E13" s="39">
        <f>V_1!E13+V_9!E13+V_11!E13</f>
        <v>9</v>
      </c>
      <c r="F13" s="152">
        <f>V_1!F13+V_9!F13+V_11!F13</f>
        <v>12</v>
      </c>
      <c r="G13" s="154">
        <f t="shared" si="0"/>
        <v>443</v>
      </c>
      <c r="H13" s="44">
        <f>V_1!H13+V_9!H13+V_11!H13</f>
        <v>4</v>
      </c>
      <c r="I13" s="39">
        <f>V_1!I13+V_9!I13+V_11!I13</f>
        <v>0</v>
      </c>
      <c r="J13" s="39">
        <f>V_1!J13+V_9!J13+V_11!J13</f>
        <v>0</v>
      </c>
      <c r="K13" s="45">
        <f>V_1!K13+V_9!K13+V_11!K13</f>
        <v>0</v>
      </c>
      <c r="L13" s="140">
        <f>V_1!L13+V_9!L13+V_11!L13</f>
        <v>2</v>
      </c>
      <c r="M13" s="149">
        <f t="shared" si="1"/>
        <v>6</v>
      </c>
      <c r="N13" s="100">
        <f t="shared" si="2"/>
        <v>449</v>
      </c>
      <c r="O13" s="43">
        <f t="shared" si="3"/>
        <v>389.5</v>
      </c>
    </row>
    <row r="14" spans="1:15" ht="22.5" customHeight="1" x14ac:dyDescent="0.3">
      <c r="A14" s="149" t="s">
        <v>183</v>
      </c>
      <c r="B14" s="44">
        <f>V_1!B14+V_9!B14+V_11!B14</f>
        <v>173</v>
      </c>
      <c r="C14" s="39">
        <f>V_1!C14+V_9!C14+V_11!C14</f>
        <v>311</v>
      </c>
      <c r="D14" s="39">
        <f>V_1!D14+V_9!D14+V_11!D14</f>
        <v>15</v>
      </c>
      <c r="E14" s="39">
        <f>V_1!E14+V_9!E14+V_11!E14</f>
        <v>10</v>
      </c>
      <c r="F14" s="152">
        <f>V_1!F14+V_9!F14+V_11!F14</f>
        <v>27</v>
      </c>
      <c r="G14" s="154">
        <f t="shared" si="0"/>
        <v>536</v>
      </c>
      <c r="H14" s="44">
        <f>V_1!H14+V_9!H14+V_11!H14</f>
        <v>3</v>
      </c>
      <c r="I14" s="39">
        <f>V_1!I14+V_9!I14+V_11!I14</f>
        <v>0</v>
      </c>
      <c r="J14" s="39">
        <f>V_1!J14+V_9!J14+V_11!J14</f>
        <v>0</v>
      </c>
      <c r="K14" s="45">
        <f>V_1!K14+V_9!K14+V_11!K14</f>
        <v>0</v>
      </c>
      <c r="L14" s="140">
        <f>V_1!L14+V_9!L14+V_11!L14</f>
        <v>3</v>
      </c>
      <c r="M14" s="149">
        <f t="shared" si="1"/>
        <v>6</v>
      </c>
      <c r="N14" s="100">
        <f t="shared" si="2"/>
        <v>542</v>
      </c>
      <c r="O14" s="43">
        <f t="shared" si="3"/>
        <v>528</v>
      </c>
    </row>
    <row r="15" spans="1:15" ht="22.5" customHeight="1" x14ac:dyDescent="0.3">
      <c r="A15" s="149" t="s">
        <v>184</v>
      </c>
      <c r="B15" s="44">
        <f>V_1!B15+V_9!B15+V_11!B15</f>
        <v>199</v>
      </c>
      <c r="C15" s="39">
        <f>V_1!C15+V_9!C15+V_11!C15</f>
        <v>297</v>
      </c>
      <c r="D15" s="39">
        <f>V_1!D15+V_9!D15+V_11!D15</f>
        <v>18</v>
      </c>
      <c r="E15" s="39">
        <f>V_1!E15+V_9!E15+V_11!E15</f>
        <v>9</v>
      </c>
      <c r="F15" s="152">
        <f>V_1!F15+V_9!F15+V_11!F15</f>
        <v>20</v>
      </c>
      <c r="G15" s="154">
        <f t="shared" si="0"/>
        <v>543</v>
      </c>
      <c r="H15" s="44">
        <f>V_1!H15+V_9!H15+V_11!H15</f>
        <v>0</v>
      </c>
      <c r="I15" s="39">
        <f>V_1!I15+V_9!I15+V_11!I15</f>
        <v>0</v>
      </c>
      <c r="J15" s="39">
        <f>V_1!J15+V_9!J15+V_11!J15</f>
        <v>0</v>
      </c>
      <c r="K15" s="45">
        <f>V_1!K15+V_9!K15+V_11!K15</f>
        <v>0</v>
      </c>
      <c r="L15" s="140">
        <f>V_1!L15+V_9!L15+V_11!L15</f>
        <v>2</v>
      </c>
      <c r="M15" s="149">
        <f t="shared" si="1"/>
        <v>2</v>
      </c>
      <c r="N15" s="100">
        <f t="shared" si="2"/>
        <v>545</v>
      </c>
      <c r="O15" s="43">
        <f t="shared" si="3"/>
        <v>507.5</v>
      </c>
    </row>
    <row r="16" spans="1:15" ht="22.5" customHeight="1" x14ac:dyDescent="0.3">
      <c r="A16" s="149" t="s">
        <v>185</v>
      </c>
      <c r="B16" s="44">
        <f>V_1!B16+V_9!B16+V_11!B16</f>
        <v>175</v>
      </c>
      <c r="C16" s="39">
        <f>V_1!C16+V_9!C16+V_11!C16</f>
        <v>241</v>
      </c>
      <c r="D16" s="39">
        <f>V_1!D16+V_9!D16+V_11!D16</f>
        <v>16</v>
      </c>
      <c r="E16" s="39">
        <f>V_1!E16+V_9!E16+V_11!E16</f>
        <v>5</v>
      </c>
      <c r="F16" s="152">
        <f>V_1!F16+V_9!F16+V_11!F16</f>
        <v>31</v>
      </c>
      <c r="G16" s="154">
        <f t="shared" si="0"/>
        <v>468</v>
      </c>
      <c r="H16" s="44">
        <f>V_1!H16+V_9!H16+V_11!H16</f>
        <v>4</v>
      </c>
      <c r="I16" s="39">
        <f>V_1!I16+V_9!I16+V_11!I16</f>
        <v>0</v>
      </c>
      <c r="J16" s="39">
        <f>V_1!J16+V_9!J16+V_11!J16</f>
        <v>0</v>
      </c>
      <c r="K16" s="45">
        <f>V_1!K16+V_9!K16+V_11!K16</f>
        <v>0</v>
      </c>
      <c r="L16" s="140">
        <f>V_1!L16+V_9!L16+V_11!L16</f>
        <v>2</v>
      </c>
      <c r="M16" s="149">
        <f t="shared" si="1"/>
        <v>6</v>
      </c>
      <c r="N16" s="100">
        <f t="shared" si="2"/>
        <v>474</v>
      </c>
      <c r="O16" s="43">
        <f t="shared" si="3"/>
        <v>492</v>
      </c>
    </row>
    <row r="17" spans="1:15" ht="22.5" customHeight="1" x14ac:dyDescent="0.3">
      <c r="A17" s="149" t="s">
        <v>186</v>
      </c>
      <c r="B17" s="44">
        <f>V_1!B17+V_9!B17+V_11!B17</f>
        <v>232</v>
      </c>
      <c r="C17" s="39">
        <f>V_1!C17+V_9!C17+V_11!C17</f>
        <v>244</v>
      </c>
      <c r="D17" s="39">
        <f>V_1!D17+V_9!D17+V_11!D17</f>
        <v>18</v>
      </c>
      <c r="E17" s="39">
        <f>V_1!E17+V_9!E17+V_11!E17</f>
        <v>11</v>
      </c>
      <c r="F17" s="152">
        <f>V_1!F17+V_9!F17+V_11!F17</f>
        <v>23</v>
      </c>
      <c r="G17" s="154">
        <f t="shared" si="0"/>
        <v>528</v>
      </c>
      <c r="H17" s="44">
        <f>V_1!H17+V_9!H17+V_11!H17</f>
        <v>0</v>
      </c>
      <c r="I17" s="39">
        <f>V_1!I17+V_9!I17+V_11!I17</f>
        <v>0</v>
      </c>
      <c r="J17" s="39">
        <f>V_1!J17+V_9!J17+V_11!J17</f>
        <v>0</v>
      </c>
      <c r="K17" s="45">
        <f>V_1!K17+V_9!K17+V_11!K17</f>
        <v>0</v>
      </c>
      <c r="L17" s="140">
        <f>V_1!L17+V_9!L17+V_11!L17</f>
        <v>1</v>
      </c>
      <c r="M17" s="149">
        <f t="shared" si="1"/>
        <v>1</v>
      </c>
      <c r="N17" s="100">
        <f t="shared" si="2"/>
        <v>529</v>
      </c>
      <c r="O17" s="43">
        <f t="shared" si="3"/>
        <v>525.5</v>
      </c>
    </row>
    <row r="18" spans="1:15" ht="22.5" customHeight="1" x14ac:dyDescent="0.3">
      <c r="A18" s="149" t="s">
        <v>187</v>
      </c>
      <c r="B18" s="44">
        <f>V_1!B18+V_9!B18+V_11!B18</f>
        <v>237</v>
      </c>
      <c r="C18" s="39">
        <f>V_1!C18+V_9!C18+V_11!C18</f>
        <v>211</v>
      </c>
      <c r="D18" s="39">
        <f>V_1!D18+V_9!D18+V_11!D18</f>
        <v>17</v>
      </c>
      <c r="E18" s="39">
        <f>V_1!E18+V_9!E18+V_11!E18</f>
        <v>12</v>
      </c>
      <c r="F18" s="152">
        <f>V_1!F18+V_9!F18+V_11!F18</f>
        <v>18</v>
      </c>
      <c r="G18" s="154">
        <f t="shared" si="0"/>
        <v>495</v>
      </c>
      <c r="H18" s="44">
        <f>V_1!H18+V_9!H18+V_11!H18</f>
        <v>1</v>
      </c>
      <c r="I18" s="39">
        <f>V_1!I18+V_9!I18+V_11!I18</f>
        <v>0</v>
      </c>
      <c r="J18" s="39">
        <f>V_1!J18+V_9!J18+V_11!J18</f>
        <v>0</v>
      </c>
      <c r="K18" s="45">
        <f>V_1!K18+V_9!K18+V_11!K18</f>
        <v>0</v>
      </c>
      <c r="L18" s="140">
        <f>V_1!L18+V_9!L18+V_11!L18</f>
        <v>1</v>
      </c>
      <c r="M18" s="149">
        <f t="shared" si="1"/>
        <v>2</v>
      </c>
      <c r="N18" s="100">
        <f t="shared" si="2"/>
        <v>497</v>
      </c>
      <c r="O18" s="43">
        <f t="shared" si="3"/>
        <v>493.5</v>
      </c>
    </row>
    <row r="19" spans="1:15" ht="22.5" customHeight="1" x14ac:dyDescent="0.3">
      <c r="A19" s="149" t="s">
        <v>188</v>
      </c>
      <c r="B19" s="44">
        <f>V_1!B19+V_9!B19+V_11!B19</f>
        <v>226</v>
      </c>
      <c r="C19" s="39">
        <f>V_1!C19+V_9!C19+V_11!C19</f>
        <v>207</v>
      </c>
      <c r="D19" s="39">
        <f>V_1!D19+V_9!D19+V_11!D19</f>
        <v>21</v>
      </c>
      <c r="E19" s="39">
        <f>V_1!E19+V_9!E19+V_11!E19</f>
        <v>9</v>
      </c>
      <c r="F19" s="152">
        <f>V_1!F19+V_9!F19+V_11!F19</f>
        <v>30</v>
      </c>
      <c r="G19" s="154">
        <f t="shared" si="0"/>
        <v>493</v>
      </c>
      <c r="H19" s="44">
        <f>V_1!H19+V_9!H19+V_11!H19</f>
        <v>0</v>
      </c>
      <c r="I19" s="39">
        <f>V_1!I19+V_9!I19+V_11!I19</f>
        <v>0</v>
      </c>
      <c r="J19" s="39">
        <f>V_1!J19+V_9!J19+V_11!J19</f>
        <v>0</v>
      </c>
      <c r="K19" s="45">
        <f>V_1!K19+V_9!K19+V_11!K19</f>
        <v>0</v>
      </c>
      <c r="L19" s="140">
        <f>V_1!L19+V_9!L19+V_11!L19</f>
        <v>1</v>
      </c>
      <c r="M19" s="149">
        <f t="shared" si="1"/>
        <v>1</v>
      </c>
      <c r="N19" s="100">
        <f t="shared" si="2"/>
        <v>494</v>
      </c>
      <c r="O19" s="43">
        <f t="shared" si="3"/>
        <v>531</v>
      </c>
    </row>
    <row r="20" spans="1:15" ht="22.5" customHeight="1" x14ac:dyDescent="0.3">
      <c r="A20" s="149" t="s">
        <v>189</v>
      </c>
      <c r="B20" s="44">
        <f>V_1!B20+V_9!B20+V_11!B20</f>
        <v>201</v>
      </c>
      <c r="C20" s="39">
        <f>V_1!C20+V_9!C20+V_11!C20</f>
        <v>187</v>
      </c>
      <c r="D20" s="39">
        <f>V_1!D20+V_9!D20+V_11!D20</f>
        <v>11</v>
      </c>
      <c r="E20" s="39">
        <f>V_1!E20+V_9!E20+V_11!E20</f>
        <v>9</v>
      </c>
      <c r="F20" s="152">
        <f>V_1!F20+V_9!F20+V_11!F20</f>
        <v>28</v>
      </c>
      <c r="G20" s="154">
        <f t="shared" si="0"/>
        <v>436</v>
      </c>
      <c r="H20" s="44">
        <f>V_1!H20+V_9!H20+V_11!H20</f>
        <v>0</v>
      </c>
      <c r="I20" s="39">
        <f>V_1!I20+V_9!I20+V_11!I20</f>
        <v>0</v>
      </c>
      <c r="J20" s="39">
        <f>V_1!J20+V_9!J20+V_11!J20</f>
        <v>0</v>
      </c>
      <c r="K20" s="45">
        <f>V_1!K20+V_9!K20+V_11!K20</f>
        <v>0</v>
      </c>
      <c r="L20" s="140">
        <f>V_1!L20+V_9!L20+V_11!L20</f>
        <v>1</v>
      </c>
      <c r="M20" s="149">
        <f t="shared" si="1"/>
        <v>1</v>
      </c>
      <c r="N20" s="100">
        <f t="shared" si="2"/>
        <v>437</v>
      </c>
      <c r="O20" s="43">
        <f t="shared" si="3"/>
        <v>472</v>
      </c>
    </row>
    <row r="21" spans="1:15" ht="22.5" customHeight="1" x14ac:dyDescent="0.3">
      <c r="A21" s="149" t="s">
        <v>190</v>
      </c>
      <c r="B21" s="44">
        <f>V_1!B21+V_9!B21+V_11!B21</f>
        <v>217</v>
      </c>
      <c r="C21" s="39">
        <f>V_1!C21+V_9!C21+V_11!C21</f>
        <v>201</v>
      </c>
      <c r="D21" s="39">
        <f>V_1!D21+V_9!D21+V_11!D21</f>
        <v>17</v>
      </c>
      <c r="E21" s="39">
        <f>V_1!E21+V_9!E21+V_11!E21</f>
        <v>10</v>
      </c>
      <c r="F21" s="152">
        <f>V_1!F21+V_9!F21+V_11!F21</f>
        <v>38</v>
      </c>
      <c r="G21" s="154">
        <f t="shared" si="0"/>
        <v>483</v>
      </c>
      <c r="H21" s="44">
        <f>V_1!H21+V_9!H21+V_11!H21</f>
        <v>1</v>
      </c>
      <c r="I21" s="39">
        <f>V_1!I21+V_9!I21+V_11!I21</f>
        <v>0</v>
      </c>
      <c r="J21" s="39">
        <f>V_1!J21+V_9!J21+V_11!J21</f>
        <v>0</v>
      </c>
      <c r="K21" s="45">
        <f>V_1!K21+V_9!K21+V_11!K21</f>
        <v>0</v>
      </c>
      <c r="L21" s="140">
        <f>V_1!L21+V_9!L21+V_11!L21</f>
        <v>3</v>
      </c>
      <c r="M21" s="149">
        <f t="shared" si="1"/>
        <v>4</v>
      </c>
      <c r="N21" s="100">
        <f t="shared" si="2"/>
        <v>487</v>
      </c>
      <c r="O21" s="43">
        <f t="shared" si="3"/>
        <v>568.5</v>
      </c>
    </row>
    <row r="22" spans="1:15" ht="22.5" customHeight="1" x14ac:dyDescent="0.3">
      <c r="A22" s="149" t="s">
        <v>191</v>
      </c>
      <c r="B22" s="44">
        <f>V_1!B22+V_9!B22+V_11!B22</f>
        <v>191</v>
      </c>
      <c r="C22" s="39">
        <f>V_1!C22+V_9!C22+V_11!C22</f>
        <v>156</v>
      </c>
      <c r="D22" s="39">
        <f>V_1!D22+V_9!D22+V_11!D22</f>
        <v>16</v>
      </c>
      <c r="E22" s="39">
        <f>V_1!E22+V_9!E22+V_11!E22</f>
        <v>7</v>
      </c>
      <c r="F22" s="152">
        <f>V_1!F22+V_9!F22+V_11!F22</f>
        <v>29</v>
      </c>
      <c r="G22" s="154">
        <f t="shared" si="0"/>
        <v>399</v>
      </c>
      <c r="H22" s="44">
        <f>V_1!H22+V_9!H22+V_11!H22</f>
        <v>0</v>
      </c>
      <c r="I22" s="39">
        <f>V_1!I22+V_9!I22+V_11!I22</f>
        <v>1</v>
      </c>
      <c r="J22" s="39">
        <f>V_1!J22+V_9!J22+V_11!J22</f>
        <v>0</v>
      </c>
      <c r="K22" s="45">
        <f>V_1!K22+V_9!K22+V_11!K22</f>
        <v>0</v>
      </c>
      <c r="L22" s="140">
        <f>V_1!L22+V_9!L22+V_11!L22</f>
        <v>2</v>
      </c>
      <c r="M22" s="149">
        <f t="shared" si="1"/>
        <v>3</v>
      </c>
      <c r="N22" s="100">
        <f t="shared" si="2"/>
        <v>402</v>
      </c>
      <c r="O22" s="43">
        <f t="shared" si="3"/>
        <v>462</v>
      </c>
    </row>
    <row r="23" spans="1:15" ht="22.5" customHeight="1" x14ac:dyDescent="0.3">
      <c r="A23" s="149" t="s">
        <v>192</v>
      </c>
      <c r="B23" s="44">
        <f>V_1!B23+V_9!B23+V_11!B23</f>
        <v>228</v>
      </c>
      <c r="C23" s="39">
        <f>V_1!C23+V_9!C23+V_11!C23</f>
        <v>157</v>
      </c>
      <c r="D23" s="39">
        <f>V_1!D23+V_9!D23+V_11!D23</f>
        <v>18</v>
      </c>
      <c r="E23" s="39">
        <f>V_1!E23+V_9!E23+V_11!E23</f>
        <v>8</v>
      </c>
      <c r="F23" s="152">
        <f>V_1!F23+V_9!F23+V_11!F23</f>
        <v>35</v>
      </c>
      <c r="G23" s="154">
        <f t="shared" si="0"/>
        <v>446</v>
      </c>
      <c r="H23" s="44">
        <f>V_1!H23+V_9!H23+V_11!H23</f>
        <v>1</v>
      </c>
      <c r="I23" s="39">
        <f>V_1!I23+V_9!I23+V_11!I23</f>
        <v>0</v>
      </c>
      <c r="J23" s="39">
        <f>V_1!J23+V_9!J23+V_11!J23</f>
        <v>0</v>
      </c>
      <c r="K23" s="45">
        <f>V_1!K23+V_9!K23+V_11!K23</f>
        <v>0</v>
      </c>
      <c r="L23" s="140">
        <f>V_1!L23+V_9!L23+V_11!L23</f>
        <v>3</v>
      </c>
      <c r="M23" s="149">
        <f t="shared" si="1"/>
        <v>4</v>
      </c>
      <c r="N23" s="100">
        <f t="shared" si="2"/>
        <v>450</v>
      </c>
      <c r="O23" s="43">
        <f t="shared" si="3"/>
        <v>539.5</v>
      </c>
    </row>
    <row r="24" spans="1:15" ht="22.5" customHeight="1" x14ac:dyDescent="0.3">
      <c r="A24" s="149" t="s">
        <v>193</v>
      </c>
      <c r="B24" s="44">
        <f>V_1!B24+V_9!B24+V_11!B24</f>
        <v>185</v>
      </c>
      <c r="C24" s="39">
        <f>V_1!C24+V_9!C24+V_11!C24</f>
        <v>134</v>
      </c>
      <c r="D24" s="39">
        <f>V_1!D24+V_9!D24+V_11!D24</f>
        <v>21</v>
      </c>
      <c r="E24" s="39">
        <f>V_1!E24+V_9!E24+V_11!E24</f>
        <v>11</v>
      </c>
      <c r="F24" s="152">
        <f>V_1!F24+V_9!F24+V_11!F24</f>
        <v>22</v>
      </c>
      <c r="G24" s="154">
        <f t="shared" si="0"/>
        <v>373</v>
      </c>
      <c r="H24" s="44">
        <f>V_1!H24+V_9!H24+V_11!H24</f>
        <v>0</v>
      </c>
      <c r="I24" s="39">
        <f>V_1!I24+V_9!I24+V_11!I24</f>
        <v>0</v>
      </c>
      <c r="J24" s="39">
        <f>V_1!J24+V_9!J24+V_11!J24</f>
        <v>0</v>
      </c>
      <c r="K24" s="45">
        <f>V_1!K24+V_9!K24+V_11!K24</f>
        <v>0</v>
      </c>
      <c r="L24" s="140">
        <f>V_1!L24+V_9!L24+V_11!L24</f>
        <v>1</v>
      </c>
      <c r="M24" s="149">
        <f t="shared" si="1"/>
        <v>1</v>
      </c>
      <c r="N24" s="100">
        <f t="shared" si="2"/>
        <v>374</v>
      </c>
      <c r="O24" s="43">
        <f t="shared" si="3"/>
        <v>423.5</v>
      </c>
    </row>
    <row r="25" spans="1:15" ht="22.5" customHeight="1" x14ac:dyDescent="0.3">
      <c r="A25" s="149" t="s">
        <v>194</v>
      </c>
      <c r="B25" s="44">
        <f>V_1!B25+V_9!B25+V_11!B25</f>
        <v>183</v>
      </c>
      <c r="C25" s="39">
        <f>V_1!C25+V_9!C25+V_11!C25</f>
        <v>124</v>
      </c>
      <c r="D25" s="39">
        <f>V_1!D25+V_9!D25+V_11!D25</f>
        <v>29</v>
      </c>
      <c r="E25" s="39">
        <f>V_1!E25+V_9!E25+V_11!E25</f>
        <v>12</v>
      </c>
      <c r="F25" s="152">
        <f>V_1!F25+V_9!F25+V_11!F25</f>
        <v>21</v>
      </c>
      <c r="G25" s="154">
        <f t="shared" si="0"/>
        <v>369</v>
      </c>
      <c r="H25" s="44">
        <f>V_1!H25+V_9!H25+V_11!H25</f>
        <v>0</v>
      </c>
      <c r="I25" s="39">
        <f>V_1!I25+V_9!I25+V_11!I25</f>
        <v>0</v>
      </c>
      <c r="J25" s="39">
        <f>V_1!J25+V_9!J25+V_11!J25</f>
        <v>0</v>
      </c>
      <c r="K25" s="45">
        <f>V_1!K25+V_9!K25+V_11!K25</f>
        <v>0</v>
      </c>
      <c r="L25" s="140">
        <f>V_1!L25+V_9!L25+V_11!L25</f>
        <v>2</v>
      </c>
      <c r="M25" s="149">
        <f t="shared" si="1"/>
        <v>2</v>
      </c>
      <c r="N25" s="100">
        <f t="shared" si="2"/>
        <v>371</v>
      </c>
      <c r="O25" s="43">
        <f t="shared" si="3"/>
        <v>435</v>
      </c>
    </row>
    <row r="26" spans="1:15" ht="22.5" customHeight="1" x14ac:dyDescent="0.3">
      <c r="A26" s="149" t="s">
        <v>195</v>
      </c>
      <c r="B26" s="44">
        <f>V_1!B26+V_9!B26+V_11!B26</f>
        <v>194</v>
      </c>
      <c r="C26" s="39">
        <f>V_1!C26+V_9!C26+V_11!C26</f>
        <v>144</v>
      </c>
      <c r="D26" s="39">
        <f>V_1!D26+V_9!D26+V_11!D26</f>
        <v>21</v>
      </c>
      <c r="E26" s="39">
        <f>V_1!E26+V_9!E26+V_11!E26</f>
        <v>15</v>
      </c>
      <c r="F26" s="152">
        <f>V_1!F26+V_9!F26+V_11!F26</f>
        <v>27</v>
      </c>
      <c r="G26" s="154">
        <f t="shared" si="0"/>
        <v>401</v>
      </c>
      <c r="H26" s="44">
        <f>V_1!H26+V_9!H26+V_11!H26</f>
        <v>0</v>
      </c>
      <c r="I26" s="39">
        <f>V_1!I26+V_9!I26+V_11!I26</f>
        <v>0</v>
      </c>
      <c r="J26" s="39">
        <f>V_1!J26+V_9!J26+V_11!J26</f>
        <v>1</v>
      </c>
      <c r="K26" s="45">
        <f>V_1!K26+V_9!K26+V_11!K26</f>
        <v>0</v>
      </c>
      <c r="L26" s="140">
        <f>V_1!L26+V_9!L26+V_11!L26</f>
        <v>3</v>
      </c>
      <c r="M26" s="149">
        <f t="shared" si="1"/>
        <v>4</v>
      </c>
      <c r="N26" s="100">
        <f t="shared" si="2"/>
        <v>405</v>
      </c>
      <c r="O26" s="43">
        <f t="shared" si="3"/>
        <v>491</v>
      </c>
    </row>
    <row r="27" spans="1:15" ht="22.5" customHeight="1" x14ac:dyDescent="0.3">
      <c r="A27" s="149" t="s">
        <v>196</v>
      </c>
      <c r="B27" s="44">
        <f>V_1!B27+V_9!B27+V_11!B27</f>
        <v>225</v>
      </c>
      <c r="C27" s="39">
        <f>V_1!C27+V_9!C27+V_11!C27</f>
        <v>141</v>
      </c>
      <c r="D27" s="39">
        <f>V_1!D27+V_9!D27+V_11!D27</f>
        <v>19</v>
      </c>
      <c r="E27" s="39">
        <f>V_1!E27+V_9!E27+V_11!E27</f>
        <v>9</v>
      </c>
      <c r="F27" s="152">
        <f>V_1!F27+V_9!F27+V_11!F27</f>
        <v>32</v>
      </c>
      <c r="G27" s="154">
        <f t="shared" si="0"/>
        <v>426</v>
      </c>
      <c r="H27" s="44">
        <f>V_1!H27+V_9!H27+V_11!H27</f>
        <v>0</v>
      </c>
      <c r="I27" s="39">
        <f>V_1!I27+V_9!I27+V_11!I27</f>
        <v>0</v>
      </c>
      <c r="J27" s="39">
        <f>V_1!J27+V_9!J27+V_11!J27</f>
        <v>0</v>
      </c>
      <c r="K27" s="45">
        <f>V_1!K27+V_9!K27+V_11!K27</f>
        <v>0</v>
      </c>
      <c r="L27" s="140">
        <f>V_1!L27+V_9!L27+V_11!L27</f>
        <v>1</v>
      </c>
      <c r="M27" s="149">
        <f t="shared" si="1"/>
        <v>1</v>
      </c>
      <c r="N27" s="100">
        <f t="shared" si="2"/>
        <v>427</v>
      </c>
      <c r="O27" s="43">
        <f t="shared" si="3"/>
        <v>503</v>
      </c>
    </row>
    <row r="28" spans="1:15" ht="22.5" customHeight="1" x14ac:dyDescent="0.3">
      <c r="A28" s="149" t="s">
        <v>197</v>
      </c>
      <c r="B28" s="44">
        <f>V_1!B28+V_9!B28+V_11!B28</f>
        <v>219</v>
      </c>
      <c r="C28" s="39">
        <f>V_1!C28+V_9!C28+V_11!C28</f>
        <v>122</v>
      </c>
      <c r="D28" s="39">
        <f>V_1!D28+V_9!D28+V_11!D28</f>
        <v>25</v>
      </c>
      <c r="E28" s="39">
        <f>V_1!E28+V_9!E28+V_11!E28</f>
        <v>10</v>
      </c>
      <c r="F28" s="152">
        <f>V_1!F28+V_9!F28+V_11!F28</f>
        <v>33</v>
      </c>
      <c r="G28" s="154">
        <f t="shared" si="0"/>
        <v>409</v>
      </c>
      <c r="H28" s="44">
        <f>V_1!H28+V_9!H28+V_11!H28</f>
        <v>0</v>
      </c>
      <c r="I28" s="39">
        <f>V_1!I28+V_9!I28+V_11!I28</f>
        <v>0</v>
      </c>
      <c r="J28" s="39">
        <f>V_1!J28+V_9!J28+V_11!J28</f>
        <v>0</v>
      </c>
      <c r="K28" s="45">
        <f>V_1!K28+V_9!K28+V_11!K28</f>
        <v>0</v>
      </c>
      <c r="L28" s="140">
        <f>V_1!L28+V_9!L28+V_11!L28</f>
        <v>1</v>
      </c>
      <c r="M28" s="149">
        <f t="shared" si="1"/>
        <v>1</v>
      </c>
      <c r="N28" s="100">
        <f t="shared" si="2"/>
        <v>410</v>
      </c>
      <c r="O28" s="43">
        <f t="shared" si="3"/>
        <v>504</v>
      </c>
    </row>
    <row r="29" spans="1:15" ht="22.5" customHeight="1" x14ac:dyDescent="0.3">
      <c r="A29" s="149" t="s">
        <v>198</v>
      </c>
      <c r="B29" s="44">
        <f>V_1!B29+V_9!B29+V_11!B29</f>
        <v>230</v>
      </c>
      <c r="C29" s="39">
        <f>V_1!C29+V_9!C29+V_11!C29</f>
        <v>122</v>
      </c>
      <c r="D29" s="39">
        <f>V_1!D29+V_9!D29+V_11!D29</f>
        <v>24</v>
      </c>
      <c r="E29" s="39">
        <f>V_1!E29+V_9!E29+V_11!E29</f>
        <v>10</v>
      </c>
      <c r="F29" s="152">
        <f>V_1!F29+V_9!F29+V_11!F29</f>
        <v>37</v>
      </c>
      <c r="G29" s="154">
        <f t="shared" si="0"/>
        <v>423</v>
      </c>
      <c r="H29" s="44">
        <f>V_1!H29+V_9!H29+V_11!H29</f>
        <v>2</v>
      </c>
      <c r="I29" s="39">
        <f>V_1!I29+V_9!I29+V_11!I29</f>
        <v>0</v>
      </c>
      <c r="J29" s="39">
        <f>V_1!J29+V_9!J29+V_11!J29</f>
        <v>0</v>
      </c>
      <c r="K29" s="45">
        <f>V_1!K29+V_9!K29+V_11!K29</f>
        <v>0</v>
      </c>
      <c r="L29" s="140">
        <f>V_1!L29+V_9!L29+V_11!L29</f>
        <v>0</v>
      </c>
      <c r="M29" s="149">
        <f t="shared" si="1"/>
        <v>2</v>
      </c>
      <c r="N29" s="100">
        <f t="shared" si="2"/>
        <v>425</v>
      </c>
      <c r="O29" s="43">
        <f t="shared" si="3"/>
        <v>524.5</v>
      </c>
    </row>
    <row r="30" spans="1:15" ht="22.5" customHeight="1" x14ac:dyDescent="0.3">
      <c r="A30" s="149" t="s">
        <v>199</v>
      </c>
      <c r="B30" s="44">
        <f>V_1!B30+V_9!B30+V_11!B30</f>
        <v>234</v>
      </c>
      <c r="C30" s="39">
        <f>V_1!C30+V_9!C30+V_11!C30</f>
        <v>131</v>
      </c>
      <c r="D30" s="39">
        <f>V_1!D30+V_9!D30+V_11!D30</f>
        <v>28</v>
      </c>
      <c r="E30" s="39">
        <f>V_1!E30+V_9!E30+V_11!E30</f>
        <v>11</v>
      </c>
      <c r="F30" s="152">
        <f>V_1!F30+V_9!F30+V_11!F30</f>
        <v>36</v>
      </c>
      <c r="G30" s="154">
        <f t="shared" si="0"/>
        <v>440</v>
      </c>
      <c r="H30" s="44">
        <f>V_1!H30+V_9!H30+V_11!H30</f>
        <v>2</v>
      </c>
      <c r="I30" s="39">
        <f>V_1!I30+V_9!I30+V_11!I30</f>
        <v>0</v>
      </c>
      <c r="J30" s="39">
        <f>V_1!J30+V_9!J30+V_11!J30</f>
        <v>0</v>
      </c>
      <c r="K30" s="45">
        <f>V_1!K30+V_9!K30+V_11!K30</f>
        <v>0</v>
      </c>
      <c r="L30" s="140">
        <f>V_1!L30+V_9!L30+V_11!L30</f>
        <v>3</v>
      </c>
      <c r="M30" s="149">
        <f t="shared" si="1"/>
        <v>5</v>
      </c>
      <c r="N30" s="100">
        <f t="shared" si="2"/>
        <v>445</v>
      </c>
      <c r="O30" s="43">
        <f t="shared" si="3"/>
        <v>561.5</v>
      </c>
    </row>
    <row r="31" spans="1:15" ht="22.5" customHeight="1" x14ac:dyDescent="0.3">
      <c r="A31" s="149" t="s">
        <v>200</v>
      </c>
      <c r="B31" s="44">
        <f>V_1!B31+V_9!B31+V_11!B31</f>
        <v>260</v>
      </c>
      <c r="C31" s="39">
        <f>V_1!C31+V_9!C31+V_11!C31</f>
        <v>133</v>
      </c>
      <c r="D31" s="39">
        <f>V_1!D31+V_9!D31+V_11!D31</f>
        <v>13</v>
      </c>
      <c r="E31" s="39">
        <f>V_1!E31+V_9!E31+V_11!E31</f>
        <v>10</v>
      </c>
      <c r="F31" s="152">
        <f>V_1!F31+V_9!F31+V_11!F31</f>
        <v>46</v>
      </c>
      <c r="G31" s="154">
        <f t="shared" si="0"/>
        <v>462</v>
      </c>
      <c r="H31" s="44">
        <f>V_1!H31+V_9!H31+V_11!H31</f>
        <v>0</v>
      </c>
      <c r="I31" s="39">
        <f>V_1!I31+V_9!I31+V_11!I31</f>
        <v>0</v>
      </c>
      <c r="J31" s="39">
        <f>V_1!J31+V_9!J31+V_11!J31</f>
        <v>0</v>
      </c>
      <c r="K31" s="45">
        <f>V_1!K31+V_9!K31+V_11!K31</f>
        <v>0</v>
      </c>
      <c r="L31" s="140">
        <f>V_1!L31+V_9!L31+V_11!L31</f>
        <v>3</v>
      </c>
      <c r="M31" s="149">
        <f t="shared" si="1"/>
        <v>3</v>
      </c>
      <c r="N31" s="100">
        <f t="shared" si="2"/>
        <v>465</v>
      </c>
      <c r="O31" s="43">
        <f t="shared" si="3"/>
        <v>607</v>
      </c>
    </row>
    <row r="32" spans="1:15" ht="22.5" customHeight="1" x14ac:dyDescent="0.3">
      <c r="A32" s="149" t="s">
        <v>201</v>
      </c>
      <c r="B32" s="44">
        <f>V_1!B32+V_9!B32+V_11!B32</f>
        <v>202</v>
      </c>
      <c r="C32" s="39">
        <f>V_1!C32+V_9!C32+V_11!C32</f>
        <v>118</v>
      </c>
      <c r="D32" s="39">
        <f>V_1!D32+V_9!D32+V_11!D32</f>
        <v>30</v>
      </c>
      <c r="E32" s="39">
        <f>V_1!E32+V_9!E32+V_11!E32</f>
        <v>11</v>
      </c>
      <c r="F32" s="152">
        <f>V_1!F32+V_9!F32+V_11!F32</f>
        <v>42</v>
      </c>
      <c r="G32" s="154">
        <f t="shared" si="0"/>
        <v>403</v>
      </c>
      <c r="H32" s="44">
        <f>V_1!H32+V_9!H32+V_11!H32</f>
        <v>0</v>
      </c>
      <c r="I32" s="39">
        <f>V_1!I32+V_9!I32+V_11!I32</f>
        <v>0</v>
      </c>
      <c r="J32" s="39">
        <f>V_1!J32+V_9!J32+V_11!J32</f>
        <v>0</v>
      </c>
      <c r="K32" s="45">
        <f>V_1!K32+V_9!K32+V_11!K32</f>
        <v>0</v>
      </c>
      <c r="L32" s="140">
        <f>V_1!L32+V_9!L32+V_11!L32</f>
        <v>0</v>
      </c>
      <c r="M32" s="149">
        <f t="shared" si="1"/>
        <v>0</v>
      </c>
      <c r="N32" s="100">
        <f t="shared" si="2"/>
        <v>403</v>
      </c>
      <c r="O32" s="43">
        <f t="shared" si="3"/>
        <v>528</v>
      </c>
    </row>
    <row r="33" spans="1:15" ht="22.5" customHeight="1" x14ac:dyDescent="0.3">
      <c r="A33" s="149" t="s">
        <v>202</v>
      </c>
      <c r="B33" s="44">
        <f>V_1!B33+V_9!B33+V_11!B33</f>
        <v>181</v>
      </c>
      <c r="C33" s="39">
        <f>V_1!C33+V_9!C33+V_11!C33</f>
        <v>87</v>
      </c>
      <c r="D33" s="39">
        <f>V_1!D33+V_9!D33+V_11!D33</f>
        <v>25</v>
      </c>
      <c r="E33" s="39">
        <f>V_1!E33+V_9!E33+V_11!E33</f>
        <v>11</v>
      </c>
      <c r="F33" s="152">
        <f>V_1!F33+V_9!F33+V_11!F33</f>
        <v>45</v>
      </c>
      <c r="G33" s="154">
        <f t="shared" si="0"/>
        <v>349</v>
      </c>
      <c r="H33" s="44">
        <f>V_1!H33+V_9!H33+V_11!H33</f>
        <v>0</v>
      </c>
      <c r="I33" s="39">
        <f>V_1!I33+V_9!I33+V_11!I33</f>
        <v>0</v>
      </c>
      <c r="J33" s="39">
        <f>V_1!J33+V_9!J33+V_11!J33</f>
        <v>0</v>
      </c>
      <c r="K33" s="45">
        <f>V_1!K33+V_9!K33+V_11!K33</f>
        <v>0</v>
      </c>
      <c r="L33" s="140">
        <f>V_1!L33+V_9!L33+V_11!L33</f>
        <v>3</v>
      </c>
      <c r="M33" s="149">
        <f t="shared" si="1"/>
        <v>3</v>
      </c>
      <c r="N33" s="100">
        <f t="shared" si="2"/>
        <v>352</v>
      </c>
      <c r="O33" s="43">
        <f t="shared" si="3"/>
        <v>521.5</v>
      </c>
    </row>
    <row r="34" spans="1:15" ht="22.5" customHeight="1" x14ac:dyDescent="0.3">
      <c r="A34" s="149" t="s">
        <v>203</v>
      </c>
      <c r="B34" s="44">
        <f>V_1!B34+V_9!B34+V_11!B34</f>
        <v>178</v>
      </c>
      <c r="C34" s="39">
        <f>V_1!C34+V_9!C34+V_11!C34</f>
        <v>67</v>
      </c>
      <c r="D34" s="39">
        <f>V_1!D34+V_9!D34+V_11!D34</f>
        <v>25</v>
      </c>
      <c r="E34" s="39">
        <f>V_1!E34+V_9!E34+V_11!E34</f>
        <v>11</v>
      </c>
      <c r="F34" s="152">
        <f>V_1!F34+V_9!F34+V_11!F34</f>
        <v>41</v>
      </c>
      <c r="G34" s="154">
        <f t="shared" si="0"/>
        <v>322</v>
      </c>
      <c r="H34" s="44">
        <f>V_1!H34+V_9!H34+V_11!H34</f>
        <v>0</v>
      </c>
      <c r="I34" s="39">
        <f>V_1!I34+V_9!I34+V_11!I34</f>
        <v>0</v>
      </c>
      <c r="J34" s="39">
        <f>V_1!J34+V_9!J34+V_11!J34</f>
        <v>1</v>
      </c>
      <c r="K34" s="45">
        <f>V_1!K34+V_9!K34+V_11!K34</f>
        <v>0</v>
      </c>
      <c r="L34" s="140">
        <f>V_1!L34+V_9!L34+V_11!L34</f>
        <v>1</v>
      </c>
      <c r="M34" s="149">
        <f t="shared" si="1"/>
        <v>2</v>
      </c>
      <c r="N34" s="100">
        <f t="shared" si="2"/>
        <v>324</v>
      </c>
      <c r="O34" s="43">
        <f t="shared" si="3"/>
        <v>477.5</v>
      </c>
    </row>
    <row r="35" spans="1:15" ht="22.5" customHeight="1" x14ac:dyDescent="0.3">
      <c r="A35" s="149" t="s">
        <v>204</v>
      </c>
      <c r="B35" s="44">
        <f>V_1!B35+V_9!B35+V_11!B35</f>
        <v>184</v>
      </c>
      <c r="C35" s="39">
        <f>V_1!C35+V_9!C35+V_11!C35</f>
        <v>92</v>
      </c>
      <c r="D35" s="39">
        <f>V_1!D35+V_9!D35+V_11!D35</f>
        <v>22</v>
      </c>
      <c r="E35" s="39">
        <f>V_1!E35+V_9!E35+V_11!E35</f>
        <v>16</v>
      </c>
      <c r="F35" s="152">
        <f>V_1!F35+V_9!F35+V_11!F35</f>
        <v>35</v>
      </c>
      <c r="G35" s="154">
        <f t="shared" si="0"/>
        <v>349</v>
      </c>
      <c r="H35" s="44">
        <f>V_1!H35+V_9!H35+V_11!H35</f>
        <v>0</v>
      </c>
      <c r="I35" s="39">
        <f>V_1!I35+V_9!I35+V_11!I35</f>
        <v>0</v>
      </c>
      <c r="J35" s="39">
        <f>V_1!J35+V_9!J35+V_11!J35</f>
        <v>0</v>
      </c>
      <c r="K35" s="45">
        <f>V_1!K35+V_9!K35+V_11!K35</f>
        <v>0</v>
      </c>
      <c r="L35" s="140">
        <f>V_1!L35+V_9!L35+V_11!L35</f>
        <v>1</v>
      </c>
      <c r="M35" s="149">
        <f t="shared" si="1"/>
        <v>1</v>
      </c>
      <c r="N35" s="100">
        <f t="shared" si="2"/>
        <v>350</v>
      </c>
      <c r="O35" s="43">
        <f t="shared" si="3"/>
        <v>476.5</v>
      </c>
    </row>
    <row r="36" spans="1:15" ht="22.5" customHeight="1" x14ac:dyDescent="0.3">
      <c r="A36" s="149" t="s">
        <v>205</v>
      </c>
      <c r="B36" s="44">
        <f>V_1!B36+V_9!B36+V_11!B36</f>
        <v>195</v>
      </c>
      <c r="C36" s="39">
        <f>V_1!C36+V_9!C36+V_11!C36</f>
        <v>73</v>
      </c>
      <c r="D36" s="39">
        <f>V_1!D36+V_9!D36+V_11!D36</f>
        <v>13</v>
      </c>
      <c r="E36" s="39">
        <f>V_1!E36+V_9!E36+V_11!E36</f>
        <v>14</v>
      </c>
      <c r="F36" s="152">
        <f>V_1!F36+V_9!F36+V_11!F36</f>
        <v>62</v>
      </c>
      <c r="G36" s="154">
        <f t="shared" si="0"/>
        <v>357</v>
      </c>
      <c r="H36" s="44">
        <f>V_1!H36+V_9!H36+V_11!H36</f>
        <v>0</v>
      </c>
      <c r="I36" s="39">
        <f>V_1!I36+V_9!I36+V_11!I36</f>
        <v>0</v>
      </c>
      <c r="J36" s="39">
        <f>V_1!J36+V_9!J36+V_11!J36</f>
        <v>2</v>
      </c>
      <c r="K36" s="45">
        <f>V_1!K36+V_9!K36+V_11!K36</f>
        <v>0</v>
      </c>
      <c r="L36" s="140">
        <f>V_1!L36+V_9!L36+V_11!L36</f>
        <v>0</v>
      </c>
      <c r="M36" s="149">
        <f t="shared" si="1"/>
        <v>2</v>
      </c>
      <c r="N36" s="100">
        <f t="shared" si="2"/>
        <v>359</v>
      </c>
      <c r="O36" s="43">
        <f t="shared" si="3"/>
        <v>578</v>
      </c>
    </row>
    <row r="37" spans="1:15" ht="22.5" customHeight="1" x14ac:dyDescent="0.3">
      <c r="A37" s="149" t="s">
        <v>206</v>
      </c>
      <c r="B37" s="44">
        <f>V_1!B37+V_9!B37+V_11!B37</f>
        <v>221</v>
      </c>
      <c r="C37" s="39">
        <f>V_1!C37+V_9!C37+V_11!C37</f>
        <v>109</v>
      </c>
      <c r="D37" s="39">
        <f>V_1!D37+V_9!D37+V_11!D37</f>
        <v>10</v>
      </c>
      <c r="E37" s="39">
        <f>V_1!E37+V_9!E37+V_11!E37</f>
        <v>16</v>
      </c>
      <c r="F37" s="152">
        <f>V_1!F37+V_9!F37+V_11!F37</f>
        <v>51</v>
      </c>
      <c r="G37" s="154">
        <f t="shared" si="0"/>
        <v>407</v>
      </c>
      <c r="H37" s="44">
        <f>V_1!H37+V_9!H37+V_11!H37</f>
        <v>0</v>
      </c>
      <c r="I37" s="39">
        <f>V_1!I37+V_9!I37+V_11!I37</f>
        <v>0</v>
      </c>
      <c r="J37" s="39">
        <f>V_1!J37+V_9!J37+V_11!J37</f>
        <v>0</v>
      </c>
      <c r="K37" s="45">
        <f>V_1!K37+V_9!K37+V_11!K37</f>
        <v>0</v>
      </c>
      <c r="L37" s="140">
        <f>V_1!L37+V_9!L37+V_11!L37</f>
        <v>1</v>
      </c>
      <c r="M37" s="149">
        <f t="shared" si="1"/>
        <v>1</v>
      </c>
      <c r="N37" s="100">
        <f t="shared" si="2"/>
        <v>408</v>
      </c>
      <c r="O37" s="43">
        <f t="shared" si="3"/>
        <v>576</v>
      </c>
    </row>
    <row r="38" spans="1:15" ht="22.5" customHeight="1" x14ac:dyDescent="0.3">
      <c r="A38" s="149" t="s">
        <v>207</v>
      </c>
      <c r="B38" s="44">
        <f>V_1!B38+V_9!B38+V_11!B38</f>
        <v>190</v>
      </c>
      <c r="C38" s="39">
        <f>V_1!C38+V_9!C38+V_11!C38</f>
        <v>72</v>
      </c>
      <c r="D38" s="39">
        <f>V_1!D38+V_9!D38+V_11!D38</f>
        <v>17</v>
      </c>
      <c r="E38" s="39">
        <f>V_1!E38+V_9!E38+V_11!E38</f>
        <v>17</v>
      </c>
      <c r="F38" s="152">
        <f>V_1!F38+V_9!F38+V_11!F38</f>
        <v>47</v>
      </c>
      <c r="G38" s="154">
        <f t="shared" si="0"/>
        <v>343</v>
      </c>
      <c r="H38" s="44">
        <f>V_1!H38+V_9!H38+V_11!H38</f>
        <v>0</v>
      </c>
      <c r="I38" s="39">
        <f>V_1!I38+V_9!I38+V_11!I38</f>
        <v>0</v>
      </c>
      <c r="J38" s="39">
        <f>V_1!J38+V_9!J38+V_11!J38</f>
        <v>0</v>
      </c>
      <c r="K38" s="45">
        <f>V_1!K38+V_9!K38+V_11!K38</f>
        <v>0</v>
      </c>
      <c r="L38" s="140">
        <f>V_1!L38+V_9!L38+V_11!L38</f>
        <v>0</v>
      </c>
      <c r="M38" s="149">
        <f t="shared" si="1"/>
        <v>0</v>
      </c>
      <c r="N38" s="100">
        <f t="shared" si="2"/>
        <v>343</v>
      </c>
      <c r="O38" s="43">
        <f t="shared" si="3"/>
        <v>514</v>
      </c>
    </row>
    <row r="39" spans="1:15" ht="22.5" customHeight="1" x14ac:dyDescent="0.3">
      <c r="A39" s="149" t="s">
        <v>208</v>
      </c>
      <c r="B39" s="44">
        <f>V_1!B39+V_9!B39+V_11!B39</f>
        <v>190</v>
      </c>
      <c r="C39" s="39">
        <f>V_1!C39+V_9!C39+V_11!C39</f>
        <v>72</v>
      </c>
      <c r="D39" s="39">
        <f>V_1!D39+V_9!D39+V_11!D39</f>
        <v>21</v>
      </c>
      <c r="E39" s="39">
        <f>V_1!E39+V_9!E39+V_11!E39</f>
        <v>24</v>
      </c>
      <c r="F39" s="152">
        <f>V_1!F39+V_9!F39+V_11!F39</f>
        <v>47</v>
      </c>
      <c r="G39" s="154">
        <f t="shared" si="0"/>
        <v>354</v>
      </c>
      <c r="H39" s="44">
        <f>V_1!H39+V_9!H39+V_11!H39</f>
        <v>0</v>
      </c>
      <c r="I39" s="39">
        <f>V_1!I39+V_9!I39+V_11!I39</f>
        <v>0</v>
      </c>
      <c r="J39" s="39">
        <f>V_1!J39+V_9!J39+V_11!J39</f>
        <v>0</v>
      </c>
      <c r="K39" s="45">
        <f>V_1!K39+V_9!K39+V_11!K39</f>
        <v>0</v>
      </c>
      <c r="L39" s="140">
        <f>V_1!L39+V_9!L39+V_11!L39</f>
        <v>1</v>
      </c>
      <c r="M39" s="149">
        <f t="shared" si="1"/>
        <v>1</v>
      </c>
      <c r="N39" s="100">
        <f t="shared" si="2"/>
        <v>355</v>
      </c>
      <c r="O39" s="43">
        <f t="shared" si="3"/>
        <v>549</v>
      </c>
    </row>
    <row r="40" spans="1:15" ht="22.5" customHeight="1" x14ac:dyDescent="0.3">
      <c r="A40" s="149" t="s">
        <v>209</v>
      </c>
      <c r="B40" s="44">
        <f>V_1!B40+V_9!B40+V_11!B40</f>
        <v>168</v>
      </c>
      <c r="C40" s="39">
        <f>V_1!C40+V_9!C40+V_11!C40</f>
        <v>114</v>
      </c>
      <c r="D40" s="39">
        <f>V_1!D40+V_9!D40+V_11!D40</f>
        <v>20</v>
      </c>
      <c r="E40" s="39">
        <f>V_1!E40+V_9!E40+V_11!E40</f>
        <v>6</v>
      </c>
      <c r="F40" s="152">
        <f>V_1!F40+V_9!F40+V_11!F40</f>
        <v>57</v>
      </c>
      <c r="G40" s="154">
        <f t="shared" ref="G40:G71" si="4">SUM(B40:F40)</f>
        <v>365</v>
      </c>
      <c r="H40" s="44">
        <f>V_1!H40+V_9!H40+V_11!H40</f>
        <v>1</v>
      </c>
      <c r="I40" s="39">
        <f>V_1!I40+V_9!I40+V_11!I40</f>
        <v>0</v>
      </c>
      <c r="J40" s="39">
        <f>V_1!J40+V_9!J40+V_11!J40</f>
        <v>0</v>
      </c>
      <c r="K40" s="45">
        <f>V_1!K40+V_9!K40+V_11!K40</f>
        <v>0</v>
      </c>
      <c r="L40" s="140">
        <f>V_1!L40+V_9!L40+V_11!L40</f>
        <v>4</v>
      </c>
      <c r="M40" s="149">
        <f t="shared" si="1"/>
        <v>5</v>
      </c>
      <c r="N40" s="100">
        <f t="shared" si="2"/>
        <v>370</v>
      </c>
      <c r="O40" s="43">
        <f t="shared" si="3"/>
        <v>562</v>
      </c>
    </row>
    <row r="41" spans="1:15" ht="22.5" customHeight="1" x14ac:dyDescent="0.3">
      <c r="A41" s="149" t="s">
        <v>210</v>
      </c>
      <c r="B41" s="44">
        <f>V_1!B41+V_9!B41+V_11!B41</f>
        <v>177</v>
      </c>
      <c r="C41" s="39">
        <f>V_1!C41+V_9!C41+V_11!C41</f>
        <v>127</v>
      </c>
      <c r="D41" s="39">
        <f>V_1!D41+V_9!D41+V_11!D41</f>
        <v>26</v>
      </c>
      <c r="E41" s="39">
        <f>V_1!E41+V_9!E41+V_11!E41</f>
        <v>10</v>
      </c>
      <c r="F41" s="152">
        <f>V_1!F41+V_9!F41+V_11!F41</f>
        <v>35</v>
      </c>
      <c r="G41" s="154">
        <f t="shared" si="4"/>
        <v>375</v>
      </c>
      <c r="H41" s="44">
        <f>V_1!H41+V_9!H41+V_11!H41</f>
        <v>0</v>
      </c>
      <c r="I41" s="39">
        <f>V_1!I41+V_9!I41+V_11!I41</f>
        <v>0</v>
      </c>
      <c r="J41" s="39">
        <f>V_1!J41+V_9!J41+V_11!J41</f>
        <v>0</v>
      </c>
      <c r="K41" s="45">
        <f>V_1!K41+V_9!K41+V_11!K41</f>
        <v>0</v>
      </c>
      <c r="L41" s="140">
        <f>V_1!L41+V_9!L41+V_11!L41</f>
        <v>3</v>
      </c>
      <c r="M41" s="149">
        <f t="shared" si="1"/>
        <v>3</v>
      </c>
      <c r="N41" s="100">
        <f t="shared" si="2"/>
        <v>378</v>
      </c>
      <c r="O41" s="43">
        <f t="shared" si="3"/>
        <v>491</v>
      </c>
    </row>
    <row r="42" spans="1:15" ht="22.5" customHeight="1" x14ac:dyDescent="0.3">
      <c r="A42" s="149" t="s">
        <v>211</v>
      </c>
      <c r="B42" s="44">
        <f>V_1!B42+V_9!B42+V_11!B42</f>
        <v>219</v>
      </c>
      <c r="C42" s="39">
        <f>V_1!C42+V_9!C42+V_11!C42</f>
        <v>130</v>
      </c>
      <c r="D42" s="39">
        <f>V_1!D42+V_9!D42+V_11!D42</f>
        <v>19</v>
      </c>
      <c r="E42" s="39">
        <f>V_1!E42+V_9!E42+V_11!E42</f>
        <v>11</v>
      </c>
      <c r="F42" s="152">
        <f>V_1!F42+V_9!F42+V_11!F42</f>
        <v>51</v>
      </c>
      <c r="G42" s="154">
        <f t="shared" si="4"/>
        <v>430</v>
      </c>
      <c r="H42" s="44">
        <f>V_1!H42+V_9!H42+V_11!H42</f>
        <v>0</v>
      </c>
      <c r="I42" s="39">
        <f>V_1!I42+V_9!I42+V_11!I42</f>
        <v>0</v>
      </c>
      <c r="J42" s="39">
        <f>V_1!J42+V_9!J42+V_11!J42</f>
        <v>0</v>
      </c>
      <c r="K42" s="45">
        <f>V_1!K42+V_9!K42+V_11!K42</f>
        <v>0</v>
      </c>
      <c r="L42" s="140">
        <f>V_1!L42+V_9!L42+V_11!L42</f>
        <v>4</v>
      </c>
      <c r="M42" s="149">
        <f t="shared" si="1"/>
        <v>4</v>
      </c>
      <c r="N42" s="100">
        <f t="shared" si="2"/>
        <v>434</v>
      </c>
      <c r="O42" s="43">
        <f t="shared" si="3"/>
        <v>607</v>
      </c>
    </row>
    <row r="43" spans="1:15" ht="22.5" customHeight="1" x14ac:dyDescent="0.3">
      <c r="A43" s="149" t="s">
        <v>212</v>
      </c>
      <c r="B43" s="44">
        <f>V_1!B43+V_9!B43+V_11!B43</f>
        <v>173</v>
      </c>
      <c r="C43" s="39">
        <f>V_1!C43+V_9!C43+V_11!C43</f>
        <v>117</v>
      </c>
      <c r="D43" s="39">
        <f>V_1!D43+V_9!D43+V_11!D43</f>
        <v>24</v>
      </c>
      <c r="E43" s="39">
        <f>V_1!E43+V_9!E43+V_11!E43</f>
        <v>8</v>
      </c>
      <c r="F43" s="152">
        <f>V_1!F43+V_9!F43+V_11!F43</f>
        <v>44</v>
      </c>
      <c r="G43" s="154">
        <f t="shared" si="4"/>
        <v>366</v>
      </c>
      <c r="H43" s="44">
        <f>V_1!H43+V_9!H43+V_11!H43</f>
        <v>0</v>
      </c>
      <c r="I43" s="39">
        <f>V_1!I43+V_9!I43+V_11!I43</f>
        <v>0</v>
      </c>
      <c r="J43" s="39">
        <f>V_1!J43+V_9!J43+V_11!J43</f>
        <v>0</v>
      </c>
      <c r="K43" s="45">
        <f>V_1!K43+V_9!K43+V_11!K43</f>
        <v>0</v>
      </c>
      <c r="L43" s="140">
        <f>V_1!L43+V_9!L43+V_11!L43</f>
        <v>1</v>
      </c>
      <c r="M43" s="149">
        <f t="shared" si="1"/>
        <v>1</v>
      </c>
      <c r="N43" s="100">
        <f t="shared" si="2"/>
        <v>367</v>
      </c>
      <c r="O43" s="43">
        <f t="shared" si="3"/>
        <v>497.5</v>
      </c>
    </row>
    <row r="44" spans="1:15" ht="22.5" customHeight="1" x14ac:dyDescent="0.3">
      <c r="A44" s="149" t="s">
        <v>213</v>
      </c>
      <c r="B44" s="44">
        <f>V_1!B44+V_9!B44+V_11!B44</f>
        <v>161</v>
      </c>
      <c r="C44" s="39">
        <f>V_1!C44+V_9!C44+V_11!C44</f>
        <v>127</v>
      </c>
      <c r="D44" s="39">
        <f>V_1!D44+V_9!D44+V_11!D44</f>
        <v>24</v>
      </c>
      <c r="E44" s="39">
        <f>V_1!E44+V_9!E44+V_11!E44</f>
        <v>4</v>
      </c>
      <c r="F44" s="152">
        <f>V_1!F44+V_9!F44+V_11!F44</f>
        <v>49</v>
      </c>
      <c r="G44" s="154">
        <f t="shared" si="4"/>
        <v>365</v>
      </c>
      <c r="H44" s="44">
        <f>V_1!H44+V_9!H44+V_11!H44</f>
        <v>2</v>
      </c>
      <c r="I44" s="39">
        <f>V_1!I44+V_9!I44+V_11!I44</f>
        <v>0</v>
      </c>
      <c r="J44" s="39">
        <f>V_1!J44+V_9!J44+V_11!J44</f>
        <v>0</v>
      </c>
      <c r="K44" s="45">
        <f>V_1!K44+V_9!K44+V_11!K44</f>
        <v>0</v>
      </c>
      <c r="L44" s="140">
        <f>V_1!L44+V_9!L44+V_11!L44</f>
        <v>3</v>
      </c>
      <c r="M44" s="149">
        <f t="shared" si="1"/>
        <v>5</v>
      </c>
      <c r="N44" s="100">
        <f t="shared" si="2"/>
        <v>370</v>
      </c>
      <c r="O44" s="43">
        <f t="shared" si="3"/>
        <v>518</v>
      </c>
    </row>
    <row r="45" spans="1:15" ht="22.5" customHeight="1" x14ac:dyDescent="0.3">
      <c r="A45" s="149" t="s">
        <v>214</v>
      </c>
      <c r="B45" s="44">
        <f>V_1!B45+V_9!B45+V_11!B45</f>
        <v>169</v>
      </c>
      <c r="C45" s="39">
        <f>V_1!C45+V_9!C45+V_11!C45</f>
        <v>145</v>
      </c>
      <c r="D45" s="39">
        <f>V_1!D45+V_9!D45+V_11!D45</f>
        <v>17</v>
      </c>
      <c r="E45" s="39">
        <f>V_1!E45+V_9!E45+V_11!E45</f>
        <v>13</v>
      </c>
      <c r="F45" s="152">
        <f>V_1!F45+V_9!F45+V_11!F45</f>
        <v>35</v>
      </c>
      <c r="G45" s="154">
        <f t="shared" si="4"/>
        <v>379</v>
      </c>
      <c r="H45" s="44">
        <f>V_1!H45+V_9!H45+V_11!H45</f>
        <v>0</v>
      </c>
      <c r="I45" s="39">
        <f>V_1!I45+V_9!I45+V_11!I45</f>
        <v>0</v>
      </c>
      <c r="J45" s="39">
        <f>V_1!J45+V_9!J45+V_11!J45</f>
        <v>0</v>
      </c>
      <c r="K45" s="45">
        <f>V_1!K45+V_9!K45+V_11!K45</f>
        <v>0</v>
      </c>
      <c r="L45" s="140">
        <f>V_1!L45+V_9!L45+V_11!L45</f>
        <v>4</v>
      </c>
      <c r="M45" s="149">
        <f t="shared" si="1"/>
        <v>4</v>
      </c>
      <c r="N45" s="100">
        <f t="shared" si="2"/>
        <v>383</v>
      </c>
      <c r="O45" s="43">
        <f t="shared" si="3"/>
        <v>495.5</v>
      </c>
    </row>
    <row r="46" spans="1:15" ht="22.5" customHeight="1" x14ac:dyDescent="0.3">
      <c r="A46" s="149" t="s">
        <v>215</v>
      </c>
      <c r="B46" s="44">
        <f>V_1!B46+V_9!B46+V_11!B46</f>
        <v>196</v>
      </c>
      <c r="C46" s="39">
        <f>V_1!C46+V_9!C46+V_11!C46</f>
        <v>141</v>
      </c>
      <c r="D46" s="39">
        <f>V_1!D46+V_9!D46+V_11!D46</f>
        <v>27</v>
      </c>
      <c r="E46" s="39">
        <f>V_1!E46+V_9!E46+V_11!E46</f>
        <v>8</v>
      </c>
      <c r="F46" s="152">
        <f>V_1!F46+V_9!F46+V_11!F46</f>
        <v>45</v>
      </c>
      <c r="G46" s="154">
        <f t="shared" si="4"/>
        <v>417</v>
      </c>
      <c r="H46" s="44">
        <f>V_1!H46+V_9!H46+V_11!H46</f>
        <v>1</v>
      </c>
      <c r="I46" s="39">
        <f>V_1!I46+V_9!I46+V_11!I46</f>
        <v>0</v>
      </c>
      <c r="J46" s="39">
        <f>V_1!J46+V_9!J46+V_11!J46</f>
        <v>0</v>
      </c>
      <c r="K46" s="45">
        <f>V_1!K46+V_9!K46+V_11!K46</f>
        <v>0</v>
      </c>
      <c r="L46" s="140">
        <f>V_1!L46+V_9!L46+V_11!L46</f>
        <v>1</v>
      </c>
      <c r="M46" s="149">
        <f t="shared" si="1"/>
        <v>2</v>
      </c>
      <c r="N46" s="100">
        <f t="shared" si="2"/>
        <v>419</v>
      </c>
      <c r="O46" s="43">
        <f t="shared" si="3"/>
        <v>542</v>
      </c>
    </row>
    <row r="47" spans="1:15" ht="22.5" customHeight="1" x14ac:dyDescent="0.3">
      <c r="A47" s="149" t="s">
        <v>216</v>
      </c>
      <c r="B47" s="44">
        <f>V_1!B47+V_9!B47+V_11!B47</f>
        <v>180</v>
      </c>
      <c r="C47" s="39">
        <f>V_1!C47+V_9!C47+V_11!C47</f>
        <v>145</v>
      </c>
      <c r="D47" s="39">
        <f>V_1!D47+V_9!D47+V_11!D47</f>
        <v>23</v>
      </c>
      <c r="E47" s="39">
        <f>V_1!E47+V_9!E47+V_11!E47</f>
        <v>16</v>
      </c>
      <c r="F47" s="152">
        <f>V_1!F47+V_9!F47+V_11!F47</f>
        <v>36</v>
      </c>
      <c r="G47" s="154">
        <f t="shared" si="4"/>
        <v>400</v>
      </c>
      <c r="H47" s="44">
        <f>V_1!H47+V_9!H47+V_11!H47</f>
        <v>0</v>
      </c>
      <c r="I47" s="39">
        <f>V_1!I47+V_9!I47+V_11!I47</f>
        <v>0</v>
      </c>
      <c r="J47" s="39">
        <f>V_1!J47+V_9!J47+V_11!J47</f>
        <v>0</v>
      </c>
      <c r="K47" s="45">
        <f>V_1!K47+V_9!K47+V_11!K47</f>
        <v>0</v>
      </c>
      <c r="L47" s="140">
        <f>V_1!L47+V_9!L47+V_11!L47</f>
        <v>2</v>
      </c>
      <c r="M47" s="149">
        <f t="shared" si="1"/>
        <v>2</v>
      </c>
      <c r="N47" s="100">
        <f t="shared" si="2"/>
        <v>402</v>
      </c>
      <c r="O47" s="43">
        <f t="shared" si="3"/>
        <v>513</v>
      </c>
    </row>
    <row r="48" spans="1:15" ht="22.5" customHeight="1" x14ac:dyDescent="0.3">
      <c r="A48" s="149" t="s">
        <v>217</v>
      </c>
      <c r="B48" s="44">
        <f>V_1!B48+V_9!B48+V_11!B48</f>
        <v>194</v>
      </c>
      <c r="C48" s="39">
        <f>V_1!C48+V_9!C48+V_11!C48</f>
        <v>135</v>
      </c>
      <c r="D48" s="39">
        <f>V_1!D48+V_9!D48+V_11!D48</f>
        <v>31</v>
      </c>
      <c r="E48" s="39">
        <f>V_1!E48+V_9!E48+V_11!E48</f>
        <v>11</v>
      </c>
      <c r="F48" s="152">
        <f>V_1!F48+V_9!F48+V_11!F48</f>
        <v>36</v>
      </c>
      <c r="G48" s="154">
        <f t="shared" si="4"/>
        <v>407</v>
      </c>
      <c r="H48" s="44">
        <f>V_1!H48+V_9!H48+V_11!H48</f>
        <v>2</v>
      </c>
      <c r="I48" s="39">
        <f>V_1!I48+V_9!I48+V_11!I48</f>
        <v>0</v>
      </c>
      <c r="J48" s="39">
        <f>V_1!J48+V_9!J48+V_11!J48</f>
        <v>0</v>
      </c>
      <c r="K48" s="45">
        <f>V_1!K48+V_9!K48+V_11!K48</f>
        <v>0</v>
      </c>
      <c r="L48" s="140">
        <f>V_1!L48+V_9!L48+V_11!L48</f>
        <v>2</v>
      </c>
      <c r="M48" s="149">
        <f t="shared" si="1"/>
        <v>4</v>
      </c>
      <c r="N48" s="100">
        <f t="shared" si="2"/>
        <v>411</v>
      </c>
      <c r="O48" s="43">
        <f t="shared" si="3"/>
        <v>520</v>
      </c>
    </row>
    <row r="49" spans="1:15" ht="22.5" customHeight="1" x14ac:dyDescent="0.3">
      <c r="A49" s="149" t="s">
        <v>218</v>
      </c>
      <c r="B49" s="44">
        <f>V_1!B49+V_9!B49+V_11!B49</f>
        <v>162</v>
      </c>
      <c r="C49" s="39">
        <f>V_1!C49+V_9!C49+V_11!C49</f>
        <v>205</v>
      </c>
      <c r="D49" s="39">
        <f>V_1!D49+V_9!D49+V_11!D49</f>
        <v>36</v>
      </c>
      <c r="E49" s="39">
        <f>V_1!E49+V_9!E49+V_11!E49</f>
        <v>11</v>
      </c>
      <c r="F49" s="152">
        <f>V_1!F49+V_9!F49+V_11!F49</f>
        <v>37</v>
      </c>
      <c r="G49" s="154">
        <f t="shared" si="4"/>
        <v>451</v>
      </c>
      <c r="H49" s="44">
        <f>V_1!H49+V_9!H49+V_11!H49</f>
        <v>0</v>
      </c>
      <c r="I49" s="39">
        <f>V_1!I49+V_9!I49+V_11!I49</f>
        <v>0</v>
      </c>
      <c r="J49" s="39">
        <f>V_1!J49+V_9!J49+V_11!J49</f>
        <v>0</v>
      </c>
      <c r="K49" s="45">
        <f>V_1!K49+V_9!K49+V_11!K49</f>
        <v>0</v>
      </c>
      <c r="L49" s="140">
        <f>V_1!L49+V_9!L49+V_11!L49</f>
        <v>4</v>
      </c>
      <c r="M49" s="149">
        <f t="shared" si="1"/>
        <v>4</v>
      </c>
      <c r="N49" s="100">
        <f t="shared" si="2"/>
        <v>455</v>
      </c>
      <c r="O49" s="43">
        <f t="shared" si="3"/>
        <v>550</v>
      </c>
    </row>
    <row r="50" spans="1:15" ht="22.5" customHeight="1" x14ac:dyDescent="0.3">
      <c r="A50" s="149" t="s">
        <v>219</v>
      </c>
      <c r="B50" s="44">
        <f>V_1!B50+V_9!B50+V_11!B50</f>
        <v>180</v>
      </c>
      <c r="C50" s="39">
        <f>V_1!C50+V_9!C50+V_11!C50</f>
        <v>213</v>
      </c>
      <c r="D50" s="39">
        <f>V_1!D50+V_9!D50+V_11!D50</f>
        <v>24</v>
      </c>
      <c r="E50" s="39">
        <f>V_1!E50+V_9!E50+V_11!E50</f>
        <v>13</v>
      </c>
      <c r="F50" s="152">
        <f>V_1!F50+V_9!F50+V_11!F50</f>
        <v>37</v>
      </c>
      <c r="G50" s="154">
        <f t="shared" si="4"/>
        <v>467</v>
      </c>
      <c r="H50" s="44">
        <f>V_1!H50+V_9!H50+V_11!H50</f>
        <v>1</v>
      </c>
      <c r="I50" s="39">
        <f>V_1!I50+V_9!I50+V_11!I50</f>
        <v>0</v>
      </c>
      <c r="J50" s="39">
        <f>V_1!J50+V_9!J50+V_11!J50</f>
        <v>0</v>
      </c>
      <c r="K50" s="45">
        <f>V_1!K50+V_9!K50+V_11!K50</f>
        <v>0</v>
      </c>
      <c r="L50" s="140">
        <f>V_1!L50+V_9!L50+V_11!L50</f>
        <v>7</v>
      </c>
      <c r="M50" s="149">
        <f t="shared" si="1"/>
        <v>8</v>
      </c>
      <c r="N50" s="100">
        <f t="shared" si="2"/>
        <v>475</v>
      </c>
      <c r="O50" s="43">
        <f t="shared" si="3"/>
        <v>584.5</v>
      </c>
    </row>
    <row r="51" spans="1:15" ht="22.5" customHeight="1" x14ac:dyDescent="0.3">
      <c r="A51" s="149" t="s">
        <v>220</v>
      </c>
      <c r="B51" s="44">
        <f>V_1!B51+V_9!B51+V_11!B51</f>
        <v>177</v>
      </c>
      <c r="C51" s="39">
        <f>V_1!C51+V_9!C51+V_11!C51</f>
        <v>170</v>
      </c>
      <c r="D51" s="39">
        <f>V_1!D51+V_9!D51+V_11!D51</f>
        <v>24</v>
      </c>
      <c r="E51" s="39">
        <f>V_1!E51+V_9!E51+V_11!E51</f>
        <v>9</v>
      </c>
      <c r="F51" s="152">
        <f>V_1!F51+V_9!F51+V_11!F51</f>
        <v>31</v>
      </c>
      <c r="G51" s="154">
        <f t="shared" si="4"/>
        <v>411</v>
      </c>
      <c r="H51" s="44">
        <f>V_1!H51+V_9!H51+V_11!H51</f>
        <v>1</v>
      </c>
      <c r="I51" s="39">
        <f>V_1!I51+V_9!I51+V_11!I51</f>
        <v>0</v>
      </c>
      <c r="J51" s="39">
        <f>V_1!J51+V_9!J51+V_11!J51</f>
        <v>0</v>
      </c>
      <c r="K51" s="45">
        <f>V_1!K51+V_9!K51+V_11!K51</f>
        <v>0</v>
      </c>
      <c r="L51" s="140">
        <f>V_1!L51+V_9!L51+V_11!L51</f>
        <v>4</v>
      </c>
      <c r="M51" s="149">
        <f t="shared" si="1"/>
        <v>5</v>
      </c>
      <c r="N51" s="100">
        <f t="shared" si="2"/>
        <v>416</v>
      </c>
      <c r="O51" s="43">
        <f t="shared" si="3"/>
        <v>497</v>
      </c>
    </row>
    <row r="52" spans="1:15" ht="22.5" customHeight="1" x14ac:dyDescent="0.3">
      <c r="A52" s="149" t="s">
        <v>221</v>
      </c>
      <c r="B52" s="44">
        <f>V_1!B52+V_9!B52+V_11!B52</f>
        <v>139</v>
      </c>
      <c r="C52" s="39">
        <f>V_1!C52+V_9!C52+V_11!C52</f>
        <v>128</v>
      </c>
      <c r="D52" s="39">
        <f>V_1!D52+V_9!D52+V_11!D52</f>
        <v>30</v>
      </c>
      <c r="E52" s="39">
        <f>V_1!E52+V_9!E52+V_11!E52</f>
        <v>9</v>
      </c>
      <c r="F52" s="152">
        <f>V_1!F52+V_9!F52+V_11!F52</f>
        <v>29</v>
      </c>
      <c r="G52" s="154">
        <f t="shared" si="4"/>
        <v>335</v>
      </c>
      <c r="H52" s="44">
        <f>V_1!H52+V_9!H52+V_11!H52</f>
        <v>1</v>
      </c>
      <c r="I52" s="39">
        <f>V_1!I52+V_9!I52+V_11!I52</f>
        <v>0</v>
      </c>
      <c r="J52" s="39">
        <f>V_1!J52+V_9!J52+V_11!J52</f>
        <v>0</v>
      </c>
      <c r="K52" s="45">
        <f>V_1!K52+V_9!K52+V_11!K52</f>
        <v>0</v>
      </c>
      <c r="L52" s="140">
        <f>V_1!L52+V_9!L52+V_11!L52</f>
        <v>1</v>
      </c>
      <c r="M52" s="149">
        <f t="shared" si="1"/>
        <v>2</v>
      </c>
      <c r="N52" s="100">
        <f t="shared" si="2"/>
        <v>337</v>
      </c>
      <c r="O52" s="43">
        <f t="shared" si="3"/>
        <v>414</v>
      </c>
    </row>
    <row r="53" spans="1:15" ht="22.5" customHeight="1" x14ac:dyDescent="0.3">
      <c r="A53" s="149" t="s">
        <v>222</v>
      </c>
      <c r="B53" s="44">
        <f>V_1!B53+V_9!B53+V_11!B53</f>
        <v>149</v>
      </c>
      <c r="C53" s="39">
        <f>V_1!C53+V_9!C53+V_11!C53</f>
        <v>171</v>
      </c>
      <c r="D53" s="39">
        <f>V_1!D53+V_9!D53+V_11!D53</f>
        <v>36</v>
      </c>
      <c r="E53" s="39">
        <f>V_1!E53+V_9!E53+V_11!E53</f>
        <v>9</v>
      </c>
      <c r="F53" s="152">
        <f>V_1!F53+V_9!F53+V_11!F53</f>
        <v>38</v>
      </c>
      <c r="G53" s="154">
        <f t="shared" si="4"/>
        <v>403</v>
      </c>
      <c r="H53" s="44">
        <f>V_1!H53+V_9!H53+V_11!H53</f>
        <v>1</v>
      </c>
      <c r="I53" s="39">
        <f>V_1!I53+V_9!I53+V_11!I53</f>
        <v>0</v>
      </c>
      <c r="J53" s="39">
        <f>V_1!J53+V_9!J53+V_11!J53</f>
        <v>0</v>
      </c>
      <c r="K53" s="45">
        <f>V_1!K53+V_9!K53+V_11!K53</f>
        <v>0</v>
      </c>
      <c r="L53" s="140">
        <f>V_1!L53+V_9!L53+V_11!L53</f>
        <v>3</v>
      </c>
      <c r="M53" s="149">
        <f t="shared" si="1"/>
        <v>4</v>
      </c>
      <c r="N53" s="100">
        <f t="shared" si="2"/>
        <v>407</v>
      </c>
      <c r="O53" s="43">
        <f t="shared" si="3"/>
        <v>511</v>
      </c>
    </row>
    <row r="54" spans="1:15" ht="22.5" customHeight="1" x14ac:dyDescent="0.3">
      <c r="A54" s="149" t="s">
        <v>223</v>
      </c>
      <c r="B54" s="44">
        <f>V_1!B54+V_9!B54+V_11!B54</f>
        <v>161</v>
      </c>
      <c r="C54" s="39">
        <f>V_1!C54+V_9!C54+V_11!C54</f>
        <v>146</v>
      </c>
      <c r="D54" s="39">
        <f>V_1!D54+V_9!D54+V_11!D54</f>
        <v>26</v>
      </c>
      <c r="E54" s="39">
        <f>V_1!E54+V_9!E54+V_11!E54</f>
        <v>10</v>
      </c>
      <c r="F54" s="152">
        <f>V_1!F54+V_9!F54+V_11!F54</f>
        <v>53</v>
      </c>
      <c r="G54" s="154">
        <f t="shared" si="4"/>
        <v>396</v>
      </c>
      <c r="H54" s="44">
        <f>V_1!H54+V_9!H54+V_11!H54</f>
        <v>4</v>
      </c>
      <c r="I54" s="39">
        <f>V_1!I54+V_9!I54+V_11!I54</f>
        <v>0</v>
      </c>
      <c r="J54" s="39">
        <f>V_1!J54+V_9!J54+V_11!J54</f>
        <v>0</v>
      </c>
      <c r="K54" s="45">
        <f>V_1!K54+V_9!K54+V_11!K54</f>
        <v>0</v>
      </c>
      <c r="L54" s="140">
        <f>V_1!L54+V_9!L54+V_11!L54</f>
        <v>5</v>
      </c>
      <c r="M54" s="149">
        <f t="shared" si="1"/>
        <v>9</v>
      </c>
      <c r="N54" s="100">
        <f t="shared" si="2"/>
        <v>405</v>
      </c>
      <c r="O54" s="43">
        <f t="shared" si="3"/>
        <v>583.5</v>
      </c>
    </row>
    <row r="55" spans="1:15" ht="22.5" customHeight="1" x14ac:dyDescent="0.3">
      <c r="A55" s="149" t="s">
        <v>224</v>
      </c>
      <c r="B55" s="44">
        <f>V_1!B55+V_9!B55+V_11!B55</f>
        <v>141</v>
      </c>
      <c r="C55" s="39">
        <f>V_1!C55+V_9!C55+V_11!C55</f>
        <v>147</v>
      </c>
      <c r="D55" s="39">
        <f>V_1!D55+V_9!D55+V_11!D55</f>
        <v>24</v>
      </c>
      <c r="E55" s="39">
        <f>V_1!E55+V_9!E55+V_11!E55</f>
        <v>9</v>
      </c>
      <c r="F55" s="152">
        <f>V_1!F55+V_9!F55+V_11!F55</f>
        <v>39</v>
      </c>
      <c r="G55" s="154">
        <f t="shared" si="4"/>
        <v>360</v>
      </c>
      <c r="H55" s="44">
        <f>V_1!H55+V_9!H55+V_11!H55</f>
        <v>0</v>
      </c>
      <c r="I55" s="39">
        <f>V_1!I55+V_9!I55+V_11!I55</f>
        <v>0</v>
      </c>
      <c r="J55" s="39">
        <f>V_1!J55+V_9!J55+V_11!J55</f>
        <v>0</v>
      </c>
      <c r="K55" s="45">
        <f>V_1!K55+V_9!K55+V_11!K55</f>
        <v>0</v>
      </c>
      <c r="L55" s="140">
        <f>V_1!L55+V_9!L55+V_11!L55</f>
        <v>1</v>
      </c>
      <c r="M55" s="149">
        <f t="shared" si="1"/>
        <v>1</v>
      </c>
      <c r="N55" s="100">
        <f t="shared" si="2"/>
        <v>361</v>
      </c>
      <c r="O55" s="43">
        <f t="shared" si="3"/>
        <v>461</v>
      </c>
    </row>
    <row r="56" spans="1:15" ht="22.5" customHeight="1" x14ac:dyDescent="0.3">
      <c r="A56" s="149" t="s">
        <v>225</v>
      </c>
      <c r="B56" s="44">
        <f>V_1!B56+V_9!B56+V_11!B56</f>
        <v>133</v>
      </c>
      <c r="C56" s="39">
        <f>V_1!C56+V_9!C56+V_11!C56</f>
        <v>142</v>
      </c>
      <c r="D56" s="39">
        <f>V_1!D56+V_9!D56+V_11!D56</f>
        <v>18</v>
      </c>
      <c r="E56" s="39">
        <f>V_1!E56+V_9!E56+V_11!E56</f>
        <v>11</v>
      </c>
      <c r="F56" s="152">
        <f>V_1!F56+V_9!F56+V_11!F56</f>
        <v>22</v>
      </c>
      <c r="G56" s="154">
        <f t="shared" si="4"/>
        <v>326</v>
      </c>
      <c r="H56" s="44">
        <f>V_1!H56+V_9!H56+V_11!H56</f>
        <v>0</v>
      </c>
      <c r="I56" s="39">
        <f>V_1!I56+V_9!I56+V_11!I56</f>
        <v>0</v>
      </c>
      <c r="J56" s="39">
        <f>V_1!J56+V_9!J56+V_11!J56</f>
        <v>0</v>
      </c>
      <c r="K56" s="45">
        <f>V_1!K56+V_9!K56+V_11!K56</f>
        <v>0</v>
      </c>
      <c r="L56" s="140">
        <f>V_1!L56+V_9!L56+V_11!L56</f>
        <v>2</v>
      </c>
      <c r="M56" s="149">
        <f t="shared" si="1"/>
        <v>2</v>
      </c>
      <c r="N56" s="100">
        <f t="shared" si="2"/>
        <v>328</v>
      </c>
      <c r="O56" s="43">
        <f t="shared" si="3"/>
        <v>379</v>
      </c>
    </row>
    <row r="57" spans="1:15" ht="22.5" customHeight="1" x14ac:dyDescent="0.3">
      <c r="A57" s="149" t="s">
        <v>226</v>
      </c>
      <c r="B57" s="44">
        <f>V_1!B57+V_9!B57+V_11!B57</f>
        <v>139</v>
      </c>
      <c r="C57" s="39">
        <f>V_1!C57+V_9!C57+V_11!C57</f>
        <v>116</v>
      </c>
      <c r="D57" s="39">
        <f>V_1!D57+V_9!D57+V_11!D57</f>
        <v>13</v>
      </c>
      <c r="E57" s="39">
        <f>V_1!E57+V_9!E57+V_11!E57</f>
        <v>10</v>
      </c>
      <c r="F57" s="152">
        <f>V_1!F57+V_9!F57+V_11!F57</f>
        <v>34</v>
      </c>
      <c r="G57" s="154">
        <f t="shared" si="4"/>
        <v>312</v>
      </c>
      <c r="H57" s="44">
        <f>V_1!H57+V_9!H57+V_11!H57</f>
        <v>0</v>
      </c>
      <c r="I57" s="39">
        <f>V_1!I57+V_9!I57+V_11!I57</f>
        <v>0</v>
      </c>
      <c r="J57" s="39">
        <f>V_1!J57+V_9!J57+V_11!J57</f>
        <v>2</v>
      </c>
      <c r="K57" s="45">
        <f>V_1!K57+V_9!K57+V_11!K57</f>
        <v>0</v>
      </c>
      <c r="L57" s="140">
        <f>V_1!L57+V_9!L57+V_11!L57</f>
        <v>0</v>
      </c>
      <c r="M57" s="149">
        <f t="shared" si="1"/>
        <v>2</v>
      </c>
      <c r="N57" s="100">
        <f t="shared" si="2"/>
        <v>314</v>
      </c>
      <c r="O57" s="43">
        <f t="shared" si="3"/>
        <v>405.5</v>
      </c>
    </row>
    <row r="58" spans="1:15" ht="22.5" customHeight="1" x14ac:dyDescent="0.3">
      <c r="A58" s="149" t="s">
        <v>227</v>
      </c>
      <c r="B58" s="44">
        <f>V_1!B58+V_9!B58+V_11!B58</f>
        <v>142</v>
      </c>
      <c r="C58" s="39">
        <f>V_1!C58+V_9!C58+V_11!C58</f>
        <v>86</v>
      </c>
      <c r="D58" s="39">
        <f>V_1!D58+V_9!D58+V_11!D58</f>
        <v>14</v>
      </c>
      <c r="E58" s="39">
        <f>V_1!E58+V_9!E58+V_11!E58</f>
        <v>14</v>
      </c>
      <c r="F58" s="152">
        <f>V_1!F58+V_9!F58+V_11!F58</f>
        <v>46</v>
      </c>
      <c r="G58" s="154">
        <f t="shared" si="4"/>
        <v>302</v>
      </c>
      <c r="H58" s="44">
        <f>V_1!H58+V_9!H58+V_11!H58</f>
        <v>0</v>
      </c>
      <c r="I58" s="39">
        <f>V_1!I58+V_9!I58+V_11!I58</f>
        <v>0</v>
      </c>
      <c r="J58" s="39">
        <f>V_1!J58+V_9!J58+V_11!J58</f>
        <v>0</v>
      </c>
      <c r="K58" s="45">
        <f>V_1!K58+V_9!K58+V_11!K58</f>
        <v>0</v>
      </c>
      <c r="L58" s="140">
        <f>V_1!L58+V_9!L58+V_11!L58</f>
        <v>1</v>
      </c>
      <c r="M58" s="149">
        <f t="shared" si="1"/>
        <v>1</v>
      </c>
      <c r="N58" s="100">
        <f t="shared" si="2"/>
        <v>303</v>
      </c>
      <c r="O58" s="43">
        <f t="shared" si="3"/>
        <v>463</v>
      </c>
    </row>
    <row r="59" spans="1:15" ht="22.5" customHeight="1" x14ac:dyDescent="0.3">
      <c r="A59" s="149" t="s">
        <v>228</v>
      </c>
      <c r="B59" s="44">
        <f>V_1!B59+V_9!B59+V_11!B59</f>
        <v>124</v>
      </c>
      <c r="C59" s="39">
        <f>V_1!C59+V_9!C59+V_11!C59</f>
        <v>64</v>
      </c>
      <c r="D59" s="39">
        <f>V_1!D59+V_9!D59+V_11!D59</f>
        <v>14</v>
      </c>
      <c r="E59" s="39">
        <f>V_1!E59+V_9!E59+V_11!E59</f>
        <v>12</v>
      </c>
      <c r="F59" s="152">
        <f>V_1!F59+V_9!F59+V_11!F59</f>
        <v>50</v>
      </c>
      <c r="G59" s="154">
        <f t="shared" si="4"/>
        <v>264</v>
      </c>
      <c r="H59" s="44">
        <f>V_1!H59+V_9!H59+V_11!H59</f>
        <v>0</v>
      </c>
      <c r="I59" s="39">
        <f>V_1!I59+V_9!I59+V_11!I59</f>
        <v>0</v>
      </c>
      <c r="J59" s="39">
        <f>V_1!J59+V_9!J59+V_11!J59</f>
        <v>0</v>
      </c>
      <c r="K59" s="45">
        <f>V_1!K59+V_9!K59+V_11!K59</f>
        <v>0</v>
      </c>
      <c r="L59" s="140">
        <f>V_1!L59+V_9!L59+V_11!L59</f>
        <v>0</v>
      </c>
      <c r="M59" s="149">
        <f t="shared" si="1"/>
        <v>0</v>
      </c>
      <c r="N59" s="100">
        <f t="shared" si="2"/>
        <v>264</v>
      </c>
      <c r="O59" s="43">
        <f t="shared" si="3"/>
        <v>438</v>
      </c>
    </row>
    <row r="60" spans="1:15" ht="22.5" customHeight="1" x14ac:dyDescent="0.3">
      <c r="A60" s="149" t="s">
        <v>229</v>
      </c>
      <c r="B60" s="44">
        <f>V_1!B60+V_9!B60+V_11!B60</f>
        <v>125</v>
      </c>
      <c r="C60" s="39">
        <f>V_1!C60+V_9!C60+V_11!C60</f>
        <v>80</v>
      </c>
      <c r="D60" s="39">
        <f>V_1!D60+V_9!D60+V_11!D60</f>
        <v>13</v>
      </c>
      <c r="E60" s="39">
        <f>V_1!E60+V_9!E60+V_11!E60</f>
        <v>10</v>
      </c>
      <c r="F60" s="152">
        <f>V_1!F60+V_9!F60+V_11!F60</f>
        <v>45</v>
      </c>
      <c r="G60" s="154">
        <f t="shared" si="4"/>
        <v>273</v>
      </c>
      <c r="H60" s="44">
        <f>V_1!H60+V_9!H60+V_11!H60</f>
        <v>0</v>
      </c>
      <c r="I60" s="39">
        <f>V_1!I60+V_9!I60+V_11!I60</f>
        <v>0</v>
      </c>
      <c r="J60" s="39">
        <f>V_1!J60+V_9!J60+V_11!J60</f>
        <v>0</v>
      </c>
      <c r="K60" s="45">
        <f>V_1!K60+V_9!K60+V_11!K60</f>
        <v>0</v>
      </c>
      <c r="L60" s="140">
        <f>V_1!L60+V_9!L60+V_11!L60</f>
        <v>1</v>
      </c>
      <c r="M60" s="149">
        <f t="shared" si="1"/>
        <v>1</v>
      </c>
      <c r="N60" s="100">
        <f t="shared" si="2"/>
        <v>274</v>
      </c>
      <c r="O60" s="43">
        <f t="shared" si="3"/>
        <v>425</v>
      </c>
    </row>
    <row r="61" spans="1:15" ht="22.5" customHeight="1" x14ac:dyDescent="0.3">
      <c r="A61" s="149" t="s">
        <v>230</v>
      </c>
      <c r="B61" s="44">
        <f>V_1!B61+V_9!B61+V_11!B61</f>
        <v>108</v>
      </c>
      <c r="C61" s="39">
        <f>V_1!C61+V_9!C61+V_11!C61</f>
        <v>54</v>
      </c>
      <c r="D61" s="39">
        <f>V_1!D61+V_9!D61+V_11!D61</f>
        <v>14</v>
      </c>
      <c r="E61" s="39">
        <f>V_1!E61+V_9!E61+V_11!E61</f>
        <v>9</v>
      </c>
      <c r="F61" s="152">
        <f>V_1!F61+V_9!F61+V_11!F61</f>
        <v>45</v>
      </c>
      <c r="G61" s="154">
        <f t="shared" si="4"/>
        <v>230</v>
      </c>
      <c r="H61" s="44">
        <f>V_1!H61+V_9!H61+V_11!H61</f>
        <v>0</v>
      </c>
      <c r="I61" s="39">
        <f>V_1!I61+V_9!I61+V_11!I61</f>
        <v>0</v>
      </c>
      <c r="J61" s="39">
        <f>V_1!J61+V_9!J61+V_11!J61</f>
        <v>0</v>
      </c>
      <c r="K61" s="45">
        <f>V_1!K61+V_9!K61+V_11!K61</f>
        <v>0</v>
      </c>
      <c r="L61" s="140">
        <f>V_1!L61+V_9!L61+V_11!L61</f>
        <v>0</v>
      </c>
      <c r="M61" s="149">
        <f t="shared" si="1"/>
        <v>0</v>
      </c>
      <c r="N61" s="100">
        <f t="shared" si="2"/>
        <v>230</v>
      </c>
      <c r="O61" s="43">
        <f t="shared" si="3"/>
        <v>385.5</v>
      </c>
    </row>
    <row r="62" spans="1:15" ht="22.5" customHeight="1" x14ac:dyDescent="0.3">
      <c r="A62" s="149" t="s">
        <v>231</v>
      </c>
      <c r="B62" s="44">
        <f>V_1!B62+V_9!B62+V_11!B62</f>
        <v>77</v>
      </c>
      <c r="C62" s="39">
        <f>V_1!C62+V_9!C62+V_11!C62</f>
        <v>54</v>
      </c>
      <c r="D62" s="39">
        <f>V_1!D62+V_9!D62+V_11!D62</f>
        <v>4</v>
      </c>
      <c r="E62" s="39">
        <f>V_1!E62+V_9!E62+V_11!E62</f>
        <v>10</v>
      </c>
      <c r="F62" s="152">
        <f>V_1!F62+V_9!F62+V_11!F62</f>
        <v>47</v>
      </c>
      <c r="G62" s="154">
        <f t="shared" si="4"/>
        <v>192</v>
      </c>
      <c r="H62" s="44">
        <f>V_1!H62+V_9!H62+V_11!H62</f>
        <v>0</v>
      </c>
      <c r="I62" s="39">
        <f>V_1!I62+V_9!I62+V_11!I62</f>
        <v>0</v>
      </c>
      <c r="J62" s="39">
        <f>V_1!J62+V_9!J62+V_11!J62</f>
        <v>0</v>
      </c>
      <c r="K62" s="45">
        <f>V_1!K62+V_9!K62+V_11!K62</f>
        <v>0</v>
      </c>
      <c r="L62" s="140">
        <f>V_1!L62+V_9!L62+V_11!L62</f>
        <v>0</v>
      </c>
      <c r="M62" s="149">
        <f t="shared" si="1"/>
        <v>0</v>
      </c>
      <c r="N62" s="100">
        <f t="shared" si="2"/>
        <v>192</v>
      </c>
      <c r="O62" s="43">
        <f t="shared" si="3"/>
        <v>351.5</v>
      </c>
    </row>
    <row r="63" spans="1:15" ht="22.5" customHeight="1" x14ac:dyDescent="0.3">
      <c r="A63" s="149" t="s">
        <v>232</v>
      </c>
      <c r="B63" s="44">
        <f>V_1!B63+V_9!B63+V_11!B63</f>
        <v>64</v>
      </c>
      <c r="C63" s="39">
        <f>V_1!C63+V_9!C63+V_11!C63</f>
        <v>38</v>
      </c>
      <c r="D63" s="39">
        <f>V_1!D63+V_9!D63+V_11!D63</f>
        <v>6</v>
      </c>
      <c r="E63" s="39">
        <f>V_1!E63+V_9!E63+V_11!E63</f>
        <v>7</v>
      </c>
      <c r="F63" s="152">
        <f>V_1!F63+V_9!F63+V_11!F63</f>
        <v>33</v>
      </c>
      <c r="G63" s="154">
        <f t="shared" si="4"/>
        <v>148</v>
      </c>
      <c r="H63" s="44">
        <f>V_1!H63+V_9!H63+V_11!H63</f>
        <v>0</v>
      </c>
      <c r="I63" s="39">
        <f>V_1!I63+V_9!I63+V_11!I63</f>
        <v>0</v>
      </c>
      <c r="J63" s="39">
        <f>V_1!J63+V_9!J63+V_11!J63</f>
        <v>0</v>
      </c>
      <c r="K63" s="45">
        <f>V_1!K63+V_9!K63+V_11!K63</f>
        <v>0</v>
      </c>
      <c r="L63" s="140">
        <f>V_1!L63+V_9!L63+V_11!L63</f>
        <v>0</v>
      </c>
      <c r="M63" s="149">
        <f t="shared" si="1"/>
        <v>0</v>
      </c>
      <c r="N63" s="100">
        <f t="shared" si="2"/>
        <v>148</v>
      </c>
      <c r="O63" s="43">
        <f t="shared" si="3"/>
        <v>261.5</v>
      </c>
    </row>
    <row r="64" spans="1:15" ht="22.5" customHeight="1" x14ac:dyDescent="0.3">
      <c r="A64" s="149" t="s">
        <v>233</v>
      </c>
      <c r="B64" s="44">
        <f>V_1!B64+V_9!B64+V_11!B64</f>
        <v>68</v>
      </c>
      <c r="C64" s="39">
        <f>V_1!C64+V_9!C64+V_11!C64</f>
        <v>31</v>
      </c>
      <c r="D64" s="39">
        <f>V_1!D64+V_9!D64+V_11!D64</f>
        <v>13</v>
      </c>
      <c r="E64" s="39">
        <f>V_1!E64+V_9!E64+V_11!E64</f>
        <v>7</v>
      </c>
      <c r="F64" s="152">
        <f>V_1!F64+V_9!F64+V_11!F64</f>
        <v>31</v>
      </c>
      <c r="G64" s="154">
        <f t="shared" si="4"/>
        <v>150</v>
      </c>
      <c r="H64" s="44">
        <f>V_1!H64+V_9!H64+V_11!H64</f>
        <v>0</v>
      </c>
      <c r="I64" s="39">
        <f>V_1!I64+V_9!I64+V_11!I64</f>
        <v>0</v>
      </c>
      <c r="J64" s="39">
        <f>V_1!J64+V_9!J64+V_11!J64</f>
        <v>0</v>
      </c>
      <c r="K64" s="45">
        <f>V_1!K64+V_9!K64+V_11!K64</f>
        <v>0</v>
      </c>
      <c r="L64" s="140">
        <f>V_1!L64+V_9!L64+V_11!L64</f>
        <v>0</v>
      </c>
      <c r="M64" s="149">
        <f t="shared" si="1"/>
        <v>0</v>
      </c>
      <c r="N64" s="100">
        <f t="shared" si="2"/>
        <v>150</v>
      </c>
      <c r="O64" s="43">
        <f t="shared" si="3"/>
        <v>263.5</v>
      </c>
    </row>
    <row r="65" spans="1:15" ht="22.5" customHeight="1" x14ac:dyDescent="0.3">
      <c r="A65" s="149" t="s">
        <v>234</v>
      </c>
      <c r="B65" s="44">
        <f>V_1!B65+V_9!B65+V_11!B65</f>
        <v>47</v>
      </c>
      <c r="C65" s="39">
        <f>V_1!C65+V_9!C65+V_11!C65</f>
        <v>27</v>
      </c>
      <c r="D65" s="39">
        <f>V_1!D65+V_9!D65+V_11!D65</f>
        <v>12</v>
      </c>
      <c r="E65" s="39">
        <f>V_1!E65+V_9!E65+V_11!E65</f>
        <v>8</v>
      </c>
      <c r="F65" s="152">
        <f>V_1!F65+V_9!F65+V_11!F65</f>
        <v>46</v>
      </c>
      <c r="G65" s="154">
        <f t="shared" si="4"/>
        <v>140</v>
      </c>
      <c r="H65" s="44">
        <f>V_1!H65+V_9!H65+V_11!H65</f>
        <v>0</v>
      </c>
      <c r="I65" s="39">
        <f>V_1!I65+V_9!I65+V_11!I65</f>
        <v>0</v>
      </c>
      <c r="J65" s="39">
        <f>V_1!J65+V_9!J65+V_11!J65</f>
        <v>0</v>
      </c>
      <c r="K65" s="45">
        <f>V_1!K65+V_9!K65+V_11!K65</f>
        <v>0</v>
      </c>
      <c r="L65" s="140">
        <f>V_1!L65+V_9!L65+V_11!L65</f>
        <v>0</v>
      </c>
      <c r="M65" s="149">
        <f t="shared" si="1"/>
        <v>0</v>
      </c>
      <c r="N65" s="100">
        <f t="shared" si="2"/>
        <v>140</v>
      </c>
      <c r="O65" s="43">
        <f t="shared" si="3"/>
        <v>309.5</v>
      </c>
    </row>
    <row r="66" spans="1:15" ht="22.5" customHeight="1" x14ac:dyDescent="0.3">
      <c r="A66" s="149" t="s">
        <v>235</v>
      </c>
      <c r="B66" s="44">
        <f>V_1!B66+V_9!B66+V_11!B66</f>
        <v>41</v>
      </c>
      <c r="C66" s="39">
        <f>V_1!C66+V_9!C66+V_11!C66</f>
        <v>48</v>
      </c>
      <c r="D66" s="39">
        <f>V_1!D66+V_9!D66+V_11!D66</f>
        <v>8</v>
      </c>
      <c r="E66" s="39">
        <f>V_1!E66+V_9!E66+V_11!E66</f>
        <v>6</v>
      </c>
      <c r="F66" s="152">
        <f>V_1!F66+V_9!F66+V_11!F66</f>
        <v>51</v>
      </c>
      <c r="G66" s="154">
        <f t="shared" si="4"/>
        <v>154</v>
      </c>
      <c r="H66" s="44">
        <f>V_1!H66+V_9!H66+V_11!H66</f>
        <v>0</v>
      </c>
      <c r="I66" s="39">
        <f>V_1!I66+V_9!I66+V_11!I66</f>
        <v>0</v>
      </c>
      <c r="J66" s="39">
        <f>V_1!J66+V_9!J66+V_11!J66</f>
        <v>0</v>
      </c>
      <c r="K66" s="45">
        <f>V_1!K66+V_9!K66+V_11!K66</f>
        <v>0</v>
      </c>
      <c r="L66" s="140">
        <f>V_1!L66+V_9!L66+V_11!L66</f>
        <v>0</v>
      </c>
      <c r="M66" s="149">
        <f t="shared" si="1"/>
        <v>0</v>
      </c>
      <c r="N66" s="100">
        <f t="shared" si="2"/>
        <v>154</v>
      </c>
      <c r="O66" s="43">
        <f t="shared" si="3"/>
        <v>324.5</v>
      </c>
    </row>
    <row r="67" spans="1:15" ht="22.5" customHeight="1" x14ac:dyDescent="0.3">
      <c r="A67" s="149" t="s">
        <v>236</v>
      </c>
      <c r="B67" s="44">
        <f>V_1!B67+V_9!B67+V_11!B67</f>
        <v>43</v>
      </c>
      <c r="C67" s="39">
        <f>V_1!C67+V_9!C67+V_11!C67</f>
        <v>33</v>
      </c>
      <c r="D67" s="39">
        <f>V_1!D67+V_9!D67+V_11!D67</f>
        <v>9</v>
      </c>
      <c r="E67" s="39">
        <f>V_1!E67+V_9!E67+V_11!E67</f>
        <v>7</v>
      </c>
      <c r="F67" s="152">
        <f>V_1!F67+V_9!F67+V_11!F67</f>
        <v>34</v>
      </c>
      <c r="G67" s="154">
        <f t="shared" si="4"/>
        <v>126</v>
      </c>
      <c r="H67" s="44">
        <f>V_1!H67+V_9!H67+V_11!H67</f>
        <v>0</v>
      </c>
      <c r="I67" s="39">
        <f>V_1!I67+V_9!I67+V_11!I67</f>
        <v>0</v>
      </c>
      <c r="J67" s="39">
        <f>V_1!J67+V_9!J67+V_11!J67</f>
        <v>0</v>
      </c>
      <c r="K67" s="45">
        <f>V_1!K67+V_9!K67+V_11!K67</f>
        <v>0</v>
      </c>
      <c r="L67" s="140">
        <f>V_1!L67+V_9!L67+V_11!L67</f>
        <v>0</v>
      </c>
      <c r="M67" s="149">
        <f t="shared" si="1"/>
        <v>0</v>
      </c>
      <c r="N67" s="100">
        <f t="shared" si="2"/>
        <v>126</v>
      </c>
      <c r="O67" s="43">
        <f t="shared" si="3"/>
        <v>247</v>
      </c>
    </row>
    <row r="68" spans="1:15" ht="22.5" customHeight="1" x14ac:dyDescent="0.3">
      <c r="A68" s="149" t="s">
        <v>237</v>
      </c>
      <c r="B68" s="44">
        <f>V_1!B68+V_9!B68+V_11!B68</f>
        <v>41</v>
      </c>
      <c r="C68" s="39">
        <f>V_1!C68+V_9!C68+V_11!C68</f>
        <v>17</v>
      </c>
      <c r="D68" s="39">
        <f>V_1!D68+V_9!D68+V_11!D68</f>
        <v>16</v>
      </c>
      <c r="E68" s="39">
        <f>V_1!E68+V_9!E68+V_11!E68</f>
        <v>19</v>
      </c>
      <c r="F68" s="152">
        <f>V_1!F68+V_9!F68+V_11!F68</f>
        <v>34</v>
      </c>
      <c r="G68" s="154">
        <f t="shared" si="4"/>
        <v>127</v>
      </c>
      <c r="H68" s="44">
        <f>V_1!H68+V_9!H68+V_11!H68</f>
        <v>0</v>
      </c>
      <c r="I68" s="39">
        <f>V_1!I68+V_9!I68+V_11!I68</f>
        <v>0</v>
      </c>
      <c r="J68" s="39">
        <f>V_1!J68+V_9!J68+V_11!J68</f>
        <v>0</v>
      </c>
      <c r="K68" s="45">
        <f>V_1!K68+V_9!K68+V_11!K68</f>
        <v>0</v>
      </c>
      <c r="L68" s="140">
        <f>V_1!L68+V_9!L68+V_11!L68</f>
        <v>0</v>
      </c>
      <c r="M68" s="149">
        <f t="shared" si="1"/>
        <v>0</v>
      </c>
      <c r="N68" s="100">
        <f t="shared" si="2"/>
        <v>127</v>
      </c>
      <c r="O68" s="43">
        <f t="shared" si="3"/>
        <v>283.5</v>
      </c>
    </row>
    <row r="69" spans="1:15" ht="22.5" customHeight="1" x14ac:dyDescent="0.3">
      <c r="A69" s="149" t="s">
        <v>238</v>
      </c>
      <c r="B69" s="44">
        <f>V_1!B69+V_9!B69+V_11!B69</f>
        <v>34</v>
      </c>
      <c r="C69" s="39">
        <f>V_1!C69+V_9!C69+V_11!C69</f>
        <v>19</v>
      </c>
      <c r="D69" s="39">
        <f>V_1!D69+V_9!D69+V_11!D69</f>
        <v>8</v>
      </c>
      <c r="E69" s="39">
        <f>V_1!E69+V_9!E69+V_11!E69</f>
        <v>16</v>
      </c>
      <c r="F69" s="152">
        <f>V_1!F69+V_9!F69+V_11!F69</f>
        <v>34</v>
      </c>
      <c r="G69" s="154">
        <f t="shared" si="4"/>
        <v>111</v>
      </c>
      <c r="H69" s="44">
        <f>V_1!H69+V_9!H69+V_11!H69</f>
        <v>0</v>
      </c>
      <c r="I69" s="39">
        <f>V_1!I69+V_9!I69+V_11!I69</f>
        <v>0</v>
      </c>
      <c r="J69" s="39">
        <f>V_1!J69+V_9!J69+V_11!J69</f>
        <v>0</v>
      </c>
      <c r="K69" s="45">
        <f>V_1!K69+V_9!K69+V_11!K69</f>
        <v>0</v>
      </c>
      <c r="L69" s="140">
        <f>V_1!L69+V_9!L69+V_11!L69</f>
        <v>0</v>
      </c>
      <c r="M69" s="149">
        <f t="shared" si="1"/>
        <v>0</v>
      </c>
      <c r="N69" s="100">
        <f t="shared" si="2"/>
        <v>111</v>
      </c>
      <c r="O69" s="43">
        <f t="shared" si="3"/>
        <v>256.5</v>
      </c>
    </row>
    <row r="70" spans="1:15" ht="22.5" customHeight="1" x14ac:dyDescent="0.3">
      <c r="A70" s="149" t="s">
        <v>239</v>
      </c>
      <c r="B70" s="44">
        <f>V_1!B70+V_9!B70+V_11!B70</f>
        <v>32</v>
      </c>
      <c r="C70" s="39">
        <f>V_1!C70+V_9!C70+V_11!C70</f>
        <v>23</v>
      </c>
      <c r="D70" s="39">
        <f>V_1!D70+V_9!D70+V_11!D70</f>
        <v>9</v>
      </c>
      <c r="E70" s="39">
        <f>V_1!E70+V_9!E70+V_11!E70</f>
        <v>18</v>
      </c>
      <c r="F70" s="152">
        <f>V_1!F70+V_9!F70+V_11!F70</f>
        <v>47</v>
      </c>
      <c r="G70" s="154">
        <f t="shared" si="4"/>
        <v>129</v>
      </c>
      <c r="H70" s="44">
        <f>V_1!H70+V_9!H70+V_11!H70</f>
        <v>0</v>
      </c>
      <c r="I70" s="39">
        <f>V_1!I70+V_9!I70+V_11!I70</f>
        <v>0</v>
      </c>
      <c r="J70" s="39">
        <f>V_1!J70+V_9!J70+V_11!J70</f>
        <v>0</v>
      </c>
      <c r="K70" s="45">
        <f>V_1!K70+V_9!K70+V_11!K70</f>
        <v>0</v>
      </c>
      <c r="L70" s="140">
        <f>V_1!L70+V_9!L70+V_11!L70</f>
        <v>0</v>
      </c>
      <c r="M70" s="149">
        <f t="shared" si="1"/>
        <v>0</v>
      </c>
      <c r="N70" s="100">
        <f t="shared" si="2"/>
        <v>129</v>
      </c>
      <c r="O70" s="43">
        <f t="shared" si="3"/>
        <v>322.5</v>
      </c>
    </row>
    <row r="71" spans="1:15" ht="22.5" customHeight="1" x14ac:dyDescent="0.3">
      <c r="A71" s="149" t="s">
        <v>240</v>
      </c>
      <c r="B71" s="44">
        <f>V_1!B71+V_9!B71+V_11!B71</f>
        <v>28</v>
      </c>
      <c r="C71" s="39">
        <f>V_1!C71+V_9!C71+V_11!C71</f>
        <v>14</v>
      </c>
      <c r="D71" s="39">
        <f>V_1!D71+V_9!D71+V_11!D71</f>
        <v>4</v>
      </c>
      <c r="E71" s="39">
        <f>V_1!E71+V_9!E71+V_11!E71</f>
        <v>18</v>
      </c>
      <c r="F71" s="152">
        <f>V_1!F71+V_9!F71+V_11!F71</f>
        <v>45</v>
      </c>
      <c r="G71" s="154">
        <f t="shared" si="4"/>
        <v>109</v>
      </c>
      <c r="H71" s="44">
        <f>V_1!H71+V_9!H71+V_11!H71</f>
        <v>0</v>
      </c>
      <c r="I71" s="39">
        <f>V_1!I71+V_9!I71+V_11!I71</f>
        <v>0</v>
      </c>
      <c r="J71" s="39">
        <f>V_1!J71+V_9!J71+V_11!J71</f>
        <v>0</v>
      </c>
      <c r="K71" s="45">
        <f>V_1!K71+V_9!K71+V_11!K71</f>
        <v>0</v>
      </c>
      <c r="L71" s="140">
        <f>V_1!L71+V_9!L71+V_11!L71</f>
        <v>0</v>
      </c>
      <c r="M71" s="149">
        <f t="shared" si="1"/>
        <v>0</v>
      </c>
      <c r="N71" s="100">
        <f t="shared" si="2"/>
        <v>109</v>
      </c>
      <c r="O71" s="43">
        <f t="shared" si="3"/>
        <v>297.5</v>
      </c>
    </row>
    <row r="72" spans="1:15" ht="22.5" customHeight="1" x14ac:dyDescent="0.3">
      <c r="A72" s="149" t="s">
        <v>153</v>
      </c>
      <c r="B72" s="44">
        <f>V_1!B72+V_9!B72+V_11!B72</f>
        <v>24</v>
      </c>
      <c r="C72" s="39">
        <f>V_1!C72+V_9!C72+V_11!C72</f>
        <v>13</v>
      </c>
      <c r="D72" s="39">
        <f>V_1!D72+V_9!D72+V_11!D72</f>
        <v>26</v>
      </c>
      <c r="E72" s="39">
        <f>V_1!E72+V_9!E72+V_11!E72</f>
        <v>6</v>
      </c>
      <c r="F72" s="152">
        <f>V_1!F72+V_9!F72+V_11!F72</f>
        <v>27</v>
      </c>
      <c r="G72" s="154">
        <f t="shared" ref="G72:G103" si="5">SUM(B72:F72)</f>
        <v>96</v>
      </c>
      <c r="H72" s="44">
        <f>V_1!H72+V_9!H72+V_11!H72</f>
        <v>0</v>
      </c>
      <c r="I72" s="39">
        <f>V_1!I72+V_9!I72+V_11!I72</f>
        <v>0</v>
      </c>
      <c r="J72" s="39">
        <f>V_1!J72+V_9!J72+V_11!J72</f>
        <v>0</v>
      </c>
      <c r="K72" s="45">
        <f>V_1!K72+V_9!K72+V_11!K72</f>
        <v>0</v>
      </c>
      <c r="L72" s="140">
        <f>V_1!L72+V_9!L72+V_11!L72</f>
        <v>0</v>
      </c>
      <c r="M72" s="149">
        <f t="shared" si="1"/>
        <v>0</v>
      </c>
      <c r="N72" s="100">
        <f t="shared" si="2"/>
        <v>96</v>
      </c>
      <c r="O72" s="43">
        <f t="shared" si="3"/>
        <v>209</v>
      </c>
    </row>
    <row r="73" spans="1:15" ht="22.5" customHeight="1" x14ac:dyDescent="0.3">
      <c r="A73" s="149" t="s">
        <v>154</v>
      </c>
      <c r="B73" s="44">
        <f>V_1!B73+V_9!B73+V_11!B73</f>
        <v>21</v>
      </c>
      <c r="C73" s="39">
        <f>V_1!C73+V_9!C73+V_11!C73</f>
        <v>10</v>
      </c>
      <c r="D73" s="39">
        <f>V_1!D73+V_9!D73+V_11!D73</f>
        <v>15</v>
      </c>
      <c r="E73" s="39">
        <f>V_1!E73+V_9!E73+V_11!E73</f>
        <v>8</v>
      </c>
      <c r="F73" s="152">
        <f>V_1!F73+V_9!F73+V_11!F73</f>
        <v>21</v>
      </c>
      <c r="G73" s="154">
        <f t="shared" si="5"/>
        <v>75</v>
      </c>
      <c r="H73" s="44">
        <f>V_1!H73+V_9!H73+V_11!H73</f>
        <v>0</v>
      </c>
      <c r="I73" s="39">
        <f>V_1!I73+V_9!I73+V_11!I73</f>
        <v>0</v>
      </c>
      <c r="J73" s="39">
        <f>V_1!J73+V_9!J73+V_11!J73</f>
        <v>0</v>
      </c>
      <c r="K73" s="45">
        <f>V_1!K73+V_9!K73+V_11!K73</f>
        <v>0</v>
      </c>
      <c r="L73" s="140">
        <f>V_1!L73+V_9!L73+V_11!L73</f>
        <v>0</v>
      </c>
      <c r="M73" s="149">
        <f t="shared" ref="M73:M103" si="6">SUM(H73:L73)</f>
        <v>0</v>
      </c>
      <c r="N73" s="100">
        <f t="shared" ref="N73:N103" si="7">G73+M73</f>
        <v>75</v>
      </c>
      <c r="O73" s="43">
        <f t="shared" ref="O73:O103" si="8">B73*1+C73*0.5+D73*1.5+E73*3+F73*4.5+H73*0.5+I73*1.5+J73*3+K73*4+L73*8</f>
        <v>167</v>
      </c>
    </row>
    <row r="74" spans="1:15" ht="22.5" customHeight="1" x14ac:dyDescent="0.3">
      <c r="A74" s="149" t="s">
        <v>155</v>
      </c>
      <c r="B74" s="44">
        <f>V_1!B74+V_9!B74+V_11!B74</f>
        <v>23</v>
      </c>
      <c r="C74" s="39">
        <f>V_1!C74+V_9!C74+V_11!C74</f>
        <v>3</v>
      </c>
      <c r="D74" s="39">
        <f>V_1!D74+V_9!D74+V_11!D74</f>
        <v>17</v>
      </c>
      <c r="E74" s="39">
        <f>V_1!E74+V_9!E74+V_11!E74</f>
        <v>13</v>
      </c>
      <c r="F74" s="152">
        <f>V_1!F74+V_9!F74+V_11!F74</f>
        <v>27</v>
      </c>
      <c r="G74" s="154">
        <f t="shared" si="5"/>
        <v>83</v>
      </c>
      <c r="H74" s="44">
        <f>V_1!H74+V_9!H74+V_11!H74</f>
        <v>0</v>
      </c>
      <c r="I74" s="39">
        <f>V_1!I74+V_9!I74+V_11!I74</f>
        <v>0</v>
      </c>
      <c r="J74" s="39">
        <f>V_1!J74+V_9!J74+V_11!J74</f>
        <v>0</v>
      </c>
      <c r="K74" s="45">
        <f>V_1!K74+V_9!K74+V_11!K74</f>
        <v>0</v>
      </c>
      <c r="L74" s="140">
        <f>V_1!L74+V_9!L74+V_11!L74</f>
        <v>0</v>
      </c>
      <c r="M74" s="149">
        <f t="shared" si="6"/>
        <v>0</v>
      </c>
      <c r="N74" s="100">
        <f t="shared" si="7"/>
        <v>83</v>
      </c>
      <c r="O74" s="43">
        <f t="shared" si="8"/>
        <v>210.5</v>
      </c>
    </row>
    <row r="75" spans="1:15" ht="22.5" customHeight="1" x14ac:dyDescent="0.3">
      <c r="A75" s="149" t="s">
        <v>156</v>
      </c>
      <c r="B75" s="44">
        <f>V_1!B75+V_9!B75+V_11!B75</f>
        <v>19</v>
      </c>
      <c r="C75" s="39">
        <f>V_1!C75+V_9!C75+V_11!C75</f>
        <v>5</v>
      </c>
      <c r="D75" s="39">
        <f>V_1!D75+V_9!D75+V_11!D75</f>
        <v>12</v>
      </c>
      <c r="E75" s="39">
        <f>V_1!E75+V_9!E75+V_11!E75</f>
        <v>16</v>
      </c>
      <c r="F75" s="152">
        <f>V_1!F75+V_9!F75+V_11!F75</f>
        <v>22</v>
      </c>
      <c r="G75" s="154">
        <f t="shared" si="5"/>
        <v>74</v>
      </c>
      <c r="H75" s="44">
        <f>V_1!H75+V_9!H75+V_11!H75</f>
        <v>0</v>
      </c>
      <c r="I75" s="39">
        <f>V_1!I75+V_9!I75+V_11!I75</f>
        <v>0</v>
      </c>
      <c r="J75" s="39">
        <f>V_1!J75+V_9!J75+V_11!J75</f>
        <v>0</v>
      </c>
      <c r="K75" s="45">
        <f>V_1!K75+V_9!K75+V_11!K75</f>
        <v>0</v>
      </c>
      <c r="L75" s="140">
        <f>V_1!L75+V_9!L75+V_11!L75</f>
        <v>0</v>
      </c>
      <c r="M75" s="149">
        <f t="shared" si="6"/>
        <v>0</v>
      </c>
      <c r="N75" s="100">
        <f t="shared" si="7"/>
        <v>74</v>
      </c>
      <c r="O75" s="43">
        <f t="shared" si="8"/>
        <v>186.5</v>
      </c>
    </row>
    <row r="76" spans="1:15" ht="22.5" customHeight="1" x14ac:dyDescent="0.3">
      <c r="A76" s="149" t="s">
        <v>157</v>
      </c>
      <c r="B76" s="44">
        <f>V_1!B76+V_9!B76+V_11!B76</f>
        <v>23</v>
      </c>
      <c r="C76" s="39">
        <f>V_1!C76+V_9!C76+V_11!C76</f>
        <v>5</v>
      </c>
      <c r="D76" s="39">
        <f>V_1!D76+V_9!D76+V_11!D76</f>
        <v>20</v>
      </c>
      <c r="E76" s="39">
        <f>V_1!E76+V_9!E76+V_11!E76</f>
        <v>5</v>
      </c>
      <c r="F76" s="152">
        <f>V_1!F76+V_9!F76+V_11!F76</f>
        <v>14</v>
      </c>
      <c r="G76" s="154">
        <f t="shared" si="5"/>
        <v>67</v>
      </c>
      <c r="H76" s="44">
        <f>V_1!H76+V_9!H76+V_11!H76</f>
        <v>0</v>
      </c>
      <c r="I76" s="39">
        <f>V_1!I76+V_9!I76+V_11!I76</f>
        <v>0</v>
      </c>
      <c r="J76" s="39">
        <f>V_1!J76+V_9!J76+V_11!J76</f>
        <v>0</v>
      </c>
      <c r="K76" s="45">
        <f>V_1!K76+V_9!K76+V_11!K76</f>
        <v>0</v>
      </c>
      <c r="L76" s="140">
        <f>V_1!L76+V_9!L76+V_11!L76</f>
        <v>0</v>
      </c>
      <c r="M76" s="149">
        <f t="shared" si="6"/>
        <v>0</v>
      </c>
      <c r="N76" s="100">
        <f t="shared" si="7"/>
        <v>67</v>
      </c>
      <c r="O76" s="43">
        <f t="shared" si="8"/>
        <v>133.5</v>
      </c>
    </row>
    <row r="77" spans="1:15" ht="22.5" customHeight="1" x14ac:dyDescent="0.3">
      <c r="A77" s="149" t="s">
        <v>158</v>
      </c>
      <c r="B77" s="44">
        <f>V_1!B77+V_9!B77+V_11!B77</f>
        <v>19</v>
      </c>
      <c r="C77" s="39">
        <f>V_1!C77+V_9!C77+V_11!C77</f>
        <v>3</v>
      </c>
      <c r="D77" s="39">
        <f>V_1!D77+V_9!D77+V_11!D77</f>
        <v>9</v>
      </c>
      <c r="E77" s="39">
        <f>V_1!E77+V_9!E77+V_11!E77</f>
        <v>13</v>
      </c>
      <c r="F77" s="152">
        <f>V_1!F77+V_9!F77+V_11!F77</f>
        <v>12</v>
      </c>
      <c r="G77" s="154">
        <f t="shared" si="5"/>
        <v>56</v>
      </c>
      <c r="H77" s="44">
        <f>V_1!H77+V_9!H77+V_11!H77</f>
        <v>0</v>
      </c>
      <c r="I77" s="39">
        <f>V_1!I77+V_9!I77+V_11!I77</f>
        <v>0</v>
      </c>
      <c r="J77" s="39">
        <f>V_1!J77+V_9!J77+V_11!J77</f>
        <v>0</v>
      </c>
      <c r="K77" s="45">
        <f>V_1!K77+V_9!K77+V_11!K77</f>
        <v>0</v>
      </c>
      <c r="L77" s="140">
        <f>V_1!L77+V_9!L77+V_11!L77</f>
        <v>0</v>
      </c>
      <c r="M77" s="149">
        <f t="shared" si="6"/>
        <v>0</v>
      </c>
      <c r="N77" s="100">
        <f t="shared" si="7"/>
        <v>56</v>
      </c>
      <c r="O77" s="43">
        <f t="shared" si="8"/>
        <v>127</v>
      </c>
    </row>
    <row r="78" spans="1:15" ht="22.5" customHeight="1" x14ac:dyDescent="0.3">
      <c r="A78" s="149" t="s">
        <v>159</v>
      </c>
      <c r="B78" s="44">
        <f>V_1!B78+V_9!B78+V_11!B78</f>
        <v>21</v>
      </c>
      <c r="C78" s="39">
        <f>V_1!C78+V_9!C78+V_11!C78</f>
        <v>4</v>
      </c>
      <c r="D78" s="39">
        <f>V_1!D78+V_9!D78+V_11!D78</f>
        <v>5</v>
      </c>
      <c r="E78" s="39">
        <f>V_1!E78+V_9!E78+V_11!E78</f>
        <v>12</v>
      </c>
      <c r="F78" s="152">
        <f>V_1!F78+V_9!F78+V_11!F78</f>
        <v>10</v>
      </c>
      <c r="G78" s="154">
        <f t="shared" si="5"/>
        <v>52</v>
      </c>
      <c r="H78" s="44">
        <f>V_1!H78+V_9!H78+V_11!H78</f>
        <v>0</v>
      </c>
      <c r="I78" s="39">
        <f>V_1!I78+V_9!I78+V_11!I78</f>
        <v>0</v>
      </c>
      <c r="J78" s="39">
        <f>V_1!J78+V_9!J78+V_11!J78</f>
        <v>0</v>
      </c>
      <c r="K78" s="45">
        <f>V_1!K78+V_9!K78+V_11!K78</f>
        <v>0</v>
      </c>
      <c r="L78" s="140">
        <f>V_1!L78+V_9!L78+V_11!L78</f>
        <v>0</v>
      </c>
      <c r="M78" s="149">
        <f t="shared" si="6"/>
        <v>0</v>
      </c>
      <c r="N78" s="100">
        <f t="shared" si="7"/>
        <v>52</v>
      </c>
      <c r="O78" s="43">
        <f t="shared" si="8"/>
        <v>111.5</v>
      </c>
    </row>
    <row r="79" spans="1:15" ht="22.5" customHeight="1" x14ac:dyDescent="0.3">
      <c r="A79" s="149" t="s">
        <v>160</v>
      </c>
      <c r="B79" s="44">
        <f>V_1!B79+V_9!B79+V_11!B79</f>
        <v>15</v>
      </c>
      <c r="C79" s="39">
        <f>V_1!C79+V_9!C79+V_11!C79</f>
        <v>4</v>
      </c>
      <c r="D79" s="39">
        <f>V_1!D79+V_9!D79+V_11!D79</f>
        <v>7</v>
      </c>
      <c r="E79" s="39">
        <f>V_1!E79+V_9!E79+V_11!E79</f>
        <v>9</v>
      </c>
      <c r="F79" s="152">
        <f>V_1!F79+V_9!F79+V_11!F79</f>
        <v>12</v>
      </c>
      <c r="G79" s="154">
        <f t="shared" si="5"/>
        <v>47</v>
      </c>
      <c r="H79" s="44">
        <f>V_1!H79+V_9!H79+V_11!H79</f>
        <v>0</v>
      </c>
      <c r="I79" s="39">
        <f>V_1!I79+V_9!I79+V_11!I79</f>
        <v>0</v>
      </c>
      <c r="J79" s="39">
        <f>V_1!J79+V_9!J79+V_11!J79</f>
        <v>0</v>
      </c>
      <c r="K79" s="45">
        <f>V_1!K79+V_9!K79+V_11!K79</f>
        <v>0</v>
      </c>
      <c r="L79" s="140">
        <f>V_1!L79+V_9!L79+V_11!L79</f>
        <v>0</v>
      </c>
      <c r="M79" s="149">
        <f t="shared" si="6"/>
        <v>0</v>
      </c>
      <c r="N79" s="100">
        <f t="shared" si="7"/>
        <v>47</v>
      </c>
      <c r="O79" s="43">
        <f t="shared" si="8"/>
        <v>108.5</v>
      </c>
    </row>
    <row r="80" spans="1:15" ht="22.5" customHeight="1" x14ac:dyDescent="0.3">
      <c r="A80" s="149" t="s">
        <v>161</v>
      </c>
      <c r="B80" s="44">
        <f>V_1!B80+V_9!B80+V_11!B80</f>
        <v>13</v>
      </c>
      <c r="C80" s="39">
        <f>V_1!C80+V_9!C80+V_11!C80</f>
        <v>2</v>
      </c>
      <c r="D80" s="39">
        <f>V_1!D80+V_9!D80+V_11!D80</f>
        <v>10</v>
      </c>
      <c r="E80" s="39">
        <f>V_1!E80+V_9!E80+V_11!E80</f>
        <v>6</v>
      </c>
      <c r="F80" s="152">
        <f>V_1!F80+V_9!F80+V_11!F80</f>
        <v>16</v>
      </c>
      <c r="G80" s="154">
        <f t="shared" si="5"/>
        <v>47</v>
      </c>
      <c r="H80" s="44">
        <f>V_1!H80+V_9!H80+V_11!H80</f>
        <v>0</v>
      </c>
      <c r="I80" s="39">
        <f>V_1!I80+V_9!I80+V_11!I80</f>
        <v>0</v>
      </c>
      <c r="J80" s="39">
        <f>V_1!J80+V_9!J80+V_11!J80</f>
        <v>0</v>
      </c>
      <c r="K80" s="45">
        <f>V_1!K80+V_9!K80+V_11!K80</f>
        <v>0</v>
      </c>
      <c r="L80" s="140">
        <f>V_1!L80+V_9!L80+V_11!L80</f>
        <v>0</v>
      </c>
      <c r="M80" s="149">
        <f t="shared" si="6"/>
        <v>0</v>
      </c>
      <c r="N80" s="100">
        <f t="shared" si="7"/>
        <v>47</v>
      </c>
      <c r="O80" s="43">
        <f t="shared" si="8"/>
        <v>119</v>
      </c>
    </row>
    <row r="81" spans="1:15" ht="22.5" customHeight="1" x14ac:dyDescent="0.3">
      <c r="A81" s="149" t="s">
        <v>162</v>
      </c>
      <c r="B81" s="44">
        <f>V_1!B81+V_9!B81+V_11!B81</f>
        <v>8</v>
      </c>
      <c r="C81" s="39">
        <f>V_1!C81+V_9!C81+V_11!C81</f>
        <v>1</v>
      </c>
      <c r="D81" s="39">
        <f>V_1!D81+V_9!D81+V_11!D81</f>
        <v>8</v>
      </c>
      <c r="E81" s="39">
        <f>V_1!E81+V_9!E81+V_11!E81</f>
        <v>3</v>
      </c>
      <c r="F81" s="152">
        <f>V_1!F81+V_9!F81+V_11!F81</f>
        <v>8</v>
      </c>
      <c r="G81" s="154">
        <f t="shared" si="5"/>
        <v>28</v>
      </c>
      <c r="H81" s="44">
        <f>V_1!H81+V_9!H81+V_11!H81</f>
        <v>0</v>
      </c>
      <c r="I81" s="39">
        <f>V_1!I81+V_9!I81+V_11!I81</f>
        <v>0</v>
      </c>
      <c r="J81" s="39">
        <f>V_1!J81+V_9!J81+V_11!J81</f>
        <v>0</v>
      </c>
      <c r="K81" s="45">
        <f>V_1!K81+V_9!K81+V_11!K81</f>
        <v>0</v>
      </c>
      <c r="L81" s="140">
        <f>V_1!L81+V_9!L81+V_11!L81</f>
        <v>0</v>
      </c>
      <c r="M81" s="149">
        <f t="shared" si="6"/>
        <v>0</v>
      </c>
      <c r="N81" s="100">
        <f t="shared" si="7"/>
        <v>28</v>
      </c>
      <c r="O81" s="43">
        <f t="shared" si="8"/>
        <v>65.5</v>
      </c>
    </row>
    <row r="82" spans="1:15" ht="22.5" customHeight="1" x14ac:dyDescent="0.3">
      <c r="A82" s="149" t="s">
        <v>163</v>
      </c>
      <c r="B82" s="44">
        <f>V_1!B82+V_9!B82+V_11!B82</f>
        <v>10</v>
      </c>
      <c r="C82" s="39">
        <f>V_1!C82+V_9!C82+V_11!C82</f>
        <v>4</v>
      </c>
      <c r="D82" s="39">
        <f>V_1!D82+V_9!D82+V_11!D82</f>
        <v>16</v>
      </c>
      <c r="E82" s="39">
        <f>V_1!E82+V_9!E82+V_11!E82</f>
        <v>4</v>
      </c>
      <c r="F82" s="152">
        <f>V_1!F82+V_9!F82+V_11!F82</f>
        <v>9</v>
      </c>
      <c r="G82" s="154">
        <f t="shared" si="5"/>
        <v>43</v>
      </c>
      <c r="H82" s="44">
        <f>V_1!H82+V_9!H82+V_11!H82</f>
        <v>0</v>
      </c>
      <c r="I82" s="39">
        <f>V_1!I82+V_9!I82+V_11!I82</f>
        <v>0</v>
      </c>
      <c r="J82" s="39">
        <f>V_1!J82+V_9!J82+V_11!J82</f>
        <v>0</v>
      </c>
      <c r="K82" s="45">
        <f>V_1!K82+V_9!K82+V_11!K82</f>
        <v>0</v>
      </c>
      <c r="L82" s="140">
        <f>V_1!L82+V_9!L82+V_11!L82</f>
        <v>0</v>
      </c>
      <c r="M82" s="149">
        <f t="shared" si="6"/>
        <v>0</v>
      </c>
      <c r="N82" s="100">
        <f t="shared" si="7"/>
        <v>43</v>
      </c>
      <c r="O82" s="43">
        <f t="shared" si="8"/>
        <v>88.5</v>
      </c>
    </row>
    <row r="83" spans="1:15" ht="22.5" customHeight="1" x14ac:dyDescent="0.3">
      <c r="A83" s="149" t="s">
        <v>164</v>
      </c>
      <c r="B83" s="44">
        <f>V_1!B83+V_9!B83+V_11!B83</f>
        <v>7</v>
      </c>
      <c r="C83" s="39">
        <f>V_1!C83+V_9!C83+V_11!C83</f>
        <v>1</v>
      </c>
      <c r="D83" s="39">
        <f>V_1!D83+V_9!D83+V_11!D83</f>
        <v>5</v>
      </c>
      <c r="E83" s="39">
        <f>V_1!E83+V_9!E83+V_11!E83</f>
        <v>8</v>
      </c>
      <c r="F83" s="152">
        <f>V_1!F83+V_9!F83+V_11!F83</f>
        <v>7</v>
      </c>
      <c r="G83" s="154">
        <f t="shared" si="5"/>
        <v>28</v>
      </c>
      <c r="H83" s="44">
        <f>V_1!H83+V_9!H83+V_11!H83</f>
        <v>0</v>
      </c>
      <c r="I83" s="39">
        <f>V_1!I83+V_9!I83+V_11!I83</f>
        <v>0</v>
      </c>
      <c r="J83" s="39">
        <f>V_1!J83+V_9!J83+V_11!J83</f>
        <v>0</v>
      </c>
      <c r="K83" s="45">
        <f>V_1!K83+V_9!K83+V_11!K83</f>
        <v>0</v>
      </c>
      <c r="L83" s="140">
        <f>V_1!L83+V_9!L83+V_11!L83</f>
        <v>0</v>
      </c>
      <c r="M83" s="149">
        <f t="shared" si="6"/>
        <v>0</v>
      </c>
      <c r="N83" s="100">
        <f t="shared" si="7"/>
        <v>28</v>
      </c>
      <c r="O83" s="43">
        <f t="shared" si="8"/>
        <v>70.5</v>
      </c>
    </row>
    <row r="84" spans="1:15" ht="22.5" customHeight="1" x14ac:dyDescent="0.3">
      <c r="A84" s="149" t="s">
        <v>165</v>
      </c>
      <c r="B84" s="44">
        <f>V_1!B84+V_9!B84+V_11!B84</f>
        <v>11</v>
      </c>
      <c r="C84" s="39">
        <f>V_1!C84+V_9!C84+V_11!C84</f>
        <v>2</v>
      </c>
      <c r="D84" s="39">
        <f>V_1!D84+V_9!D84+V_11!D84</f>
        <v>4</v>
      </c>
      <c r="E84" s="39">
        <f>V_1!E84+V_9!E84+V_11!E84</f>
        <v>8</v>
      </c>
      <c r="F84" s="152">
        <f>V_1!F84+V_9!F84+V_11!F84</f>
        <v>11</v>
      </c>
      <c r="G84" s="154">
        <f t="shared" si="5"/>
        <v>36</v>
      </c>
      <c r="H84" s="44">
        <f>V_1!H84+V_9!H84+V_11!H84</f>
        <v>0</v>
      </c>
      <c r="I84" s="39">
        <f>V_1!I84+V_9!I84+V_11!I84</f>
        <v>0</v>
      </c>
      <c r="J84" s="39">
        <f>V_1!J84+V_9!J84+V_11!J84</f>
        <v>0</v>
      </c>
      <c r="K84" s="45">
        <f>V_1!K84+V_9!K84+V_11!K84</f>
        <v>0</v>
      </c>
      <c r="L84" s="140">
        <f>V_1!L84+V_9!L84+V_11!L84</f>
        <v>0</v>
      </c>
      <c r="M84" s="149">
        <f t="shared" si="6"/>
        <v>0</v>
      </c>
      <c r="N84" s="100">
        <f t="shared" si="7"/>
        <v>36</v>
      </c>
      <c r="O84" s="43">
        <f t="shared" si="8"/>
        <v>91.5</v>
      </c>
    </row>
    <row r="85" spans="1:15" ht="22.5" customHeight="1" x14ac:dyDescent="0.3">
      <c r="A85" s="149" t="s">
        <v>166</v>
      </c>
      <c r="B85" s="44">
        <f>V_1!B85+V_9!B85+V_11!B85</f>
        <v>19</v>
      </c>
      <c r="C85" s="39">
        <f>V_1!C85+V_9!C85+V_11!C85</f>
        <v>6</v>
      </c>
      <c r="D85" s="39">
        <f>V_1!D85+V_9!D85+V_11!D85</f>
        <v>4</v>
      </c>
      <c r="E85" s="39">
        <f>V_1!E85+V_9!E85+V_11!E85</f>
        <v>10</v>
      </c>
      <c r="F85" s="152">
        <f>V_1!F85+V_9!F85+V_11!F85</f>
        <v>16</v>
      </c>
      <c r="G85" s="154">
        <f t="shared" si="5"/>
        <v>55</v>
      </c>
      <c r="H85" s="44">
        <f>V_1!H85+V_9!H85+V_11!H85</f>
        <v>0</v>
      </c>
      <c r="I85" s="39">
        <f>V_1!I85+V_9!I85+V_11!I85</f>
        <v>0</v>
      </c>
      <c r="J85" s="39">
        <f>V_1!J85+V_9!J85+V_11!J85</f>
        <v>0</v>
      </c>
      <c r="K85" s="45">
        <f>V_1!K85+V_9!K85+V_11!K85</f>
        <v>0</v>
      </c>
      <c r="L85" s="140">
        <f>V_1!L85+V_9!L85+V_11!L85</f>
        <v>0</v>
      </c>
      <c r="M85" s="149">
        <f t="shared" si="6"/>
        <v>0</v>
      </c>
      <c r="N85" s="100">
        <f t="shared" si="7"/>
        <v>55</v>
      </c>
      <c r="O85" s="43">
        <f t="shared" si="8"/>
        <v>130</v>
      </c>
    </row>
    <row r="86" spans="1:15" ht="22.5" customHeight="1" x14ac:dyDescent="0.3">
      <c r="A86" s="149" t="s">
        <v>167</v>
      </c>
      <c r="B86" s="44">
        <f>V_1!B86+V_9!B86+V_11!B86</f>
        <v>21</v>
      </c>
      <c r="C86" s="39">
        <f>V_1!C86+V_9!C86+V_11!C86</f>
        <v>4</v>
      </c>
      <c r="D86" s="39">
        <f>V_1!D86+V_9!D86+V_11!D86</f>
        <v>4</v>
      </c>
      <c r="E86" s="39">
        <f>V_1!E86+V_9!E86+V_11!E86</f>
        <v>7</v>
      </c>
      <c r="F86" s="152">
        <f>V_1!F86+V_9!F86+V_11!F86</f>
        <v>16</v>
      </c>
      <c r="G86" s="154">
        <f t="shared" si="5"/>
        <v>52</v>
      </c>
      <c r="H86" s="44">
        <f>V_1!H86+V_9!H86+V_11!H86</f>
        <v>0</v>
      </c>
      <c r="I86" s="39">
        <f>V_1!I86+V_9!I86+V_11!I86</f>
        <v>0</v>
      </c>
      <c r="J86" s="39">
        <f>V_1!J86+V_9!J86+V_11!J86</f>
        <v>0</v>
      </c>
      <c r="K86" s="45">
        <f>V_1!K86+V_9!K86+V_11!K86</f>
        <v>0</v>
      </c>
      <c r="L86" s="140">
        <f>V_1!L86+V_9!L86+V_11!L86</f>
        <v>0</v>
      </c>
      <c r="M86" s="149">
        <f t="shared" si="6"/>
        <v>0</v>
      </c>
      <c r="N86" s="100">
        <f t="shared" si="7"/>
        <v>52</v>
      </c>
      <c r="O86" s="43">
        <f t="shared" si="8"/>
        <v>122</v>
      </c>
    </row>
    <row r="87" spans="1:15" ht="22.5" customHeight="1" x14ac:dyDescent="0.3">
      <c r="A87" s="149" t="s">
        <v>168</v>
      </c>
      <c r="B87" s="44">
        <f>V_1!B87+V_9!B87+V_11!B87</f>
        <v>18</v>
      </c>
      <c r="C87" s="39">
        <f>V_1!C87+V_9!C87+V_11!C87</f>
        <v>4</v>
      </c>
      <c r="D87" s="39">
        <f>V_1!D87+V_9!D87+V_11!D87</f>
        <v>8</v>
      </c>
      <c r="E87" s="39">
        <f>V_1!E87+V_9!E87+V_11!E87</f>
        <v>8</v>
      </c>
      <c r="F87" s="152">
        <f>V_1!F87+V_9!F87+V_11!F87</f>
        <v>15</v>
      </c>
      <c r="G87" s="154">
        <f t="shared" si="5"/>
        <v>53</v>
      </c>
      <c r="H87" s="44">
        <f>V_1!H87+V_9!H87+V_11!H87</f>
        <v>0</v>
      </c>
      <c r="I87" s="39">
        <f>V_1!I87+V_9!I87+V_11!I87</f>
        <v>0</v>
      </c>
      <c r="J87" s="39">
        <f>V_1!J87+V_9!J87+V_11!J87</f>
        <v>0</v>
      </c>
      <c r="K87" s="45">
        <f>V_1!K87+V_9!K87+V_11!K87</f>
        <v>0</v>
      </c>
      <c r="L87" s="140">
        <f>V_1!L87+V_9!L87+V_11!L87</f>
        <v>0</v>
      </c>
      <c r="M87" s="149">
        <f t="shared" si="6"/>
        <v>0</v>
      </c>
      <c r="N87" s="100">
        <f t="shared" si="7"/>
        <v>53</v>
      </c>
      <c r="O87" s="43">
        <f t="shared" si="8"/>
        <v>123.5</v>
      </c>
    </row>
    <row r="88" spans="1:15" ht="22.5" customHeight="1" x14ac:dyDescent="0.3">
      <c r="A88" s="149" t="s">
        <v>169</v>
      </c>
      <c r="B88" s="44">
        <f>V_1!B88+V_9!B88+V_11!B88</f>
        <v>24</v>
      </c>
      <c r="C88" s="39">
        <f>V_1!C88+V_9!C88+V_11!C88</f>
        <v>7</v>
      </c>
      <c r="D88" s="39">
        <f>V_1!D88+V_9!D88+V_11!D88</f>
        <v>11</v>
      </c>
      <c r="E88" s="39">
        <f>V_1!E88+V_9!E88+V_11!E88</f>
        <v>9</v>
      </c>
      <c r="F88" s="152">
        <f>V_1!F88+V_9!F88+V_11!F88</f>
        <v>24</v>
      </c>
      <c r="G88" s="154">
        <f t="shared" si="5"/>
        <v>75</v>
      </c>
      <c r="H88" s="44">
        <f>V_1!H88+V_9!H88+V_11!H88</f>
        <v>0</v>
      </c>
      <c r="I88" s="39">
        <f>V_1!I88+V_9!I88+V_11!I88</f>
        <v>0</v>
      </c>
      <c r="J88" s="39">
        <f>V_1!J88+V_9!J88+V_11!J88</f>
        <v>0</v>
      </c>
      <c r="K88" s="45">
        <f>V_1!K88+V_9!K88+V_11!K88</f>
        <v>0</v>
      </c>
      <c r="L88" s="140">
        <f>V_1!L88+V_9!L88+V_11!L88</f>
        <v>0</v>
      </c>
      <c r="M88" s="149">
        <f t="shared" si="6"/>
        <v>0</v>
      </c>
      <c r="N88" s="100">
        <f t="shared" si="7"/>
        <v>75</v>
      </c>
      <c r="O88" s="43">
        <f t="shared" si="8"/>
        <v>179</v>
      </c>
    </row>
    <row r="89" spans="1:15" ht="22.5" customHeight="1" x14ac:dyDescent="0.3">
      <c r="A89" s="149" t="s">
        <v>170</v>
      </c>
      <c r="B89" s="44">
        <f>V_1!B89+V_9!B89+V_11!B89</f>
        <v>23</v>
      </c>
      <c r="C89" s="39">
        <f>V_1!C89+V_9!C89+V_11!C89</f>
        <v>10</v>
      </c>
      <c r="D89" s="39">
        <f>V_1!D89+V_9!D89+V_11!D89</f>
        <v>9</v>
      </c>
      <c r="E89" s="39">
        <f>V_1!E89+V_9!E89+V_11!E89</f>
        <v>7</v>
      </c>
      <c r="F89" s="152">
        <f>V_1!F89+V_9!F89+V_11!F89</f>
        <v>11</v>
      </c>
      <c r="G89" s="154">
        <f t="shared" si="5"/>
        <v>60</v>
      </c>
      <c r="H89" s="44">
        <f>V_1!H89+V_9!H89+V_11!H89</f>
        <v>1</v>
      </c>
      <c r="I89" s="39">
        <f>V_1!I89+V_9!I89+V_11!I89</f>
        <v>0</v>
      </c>
      <c r="J89" s="39">
        <f>V_1!J89+V_9!J89+V_11!J89</f>
        <v>0</v>
      </c>
      <c r="K89" s="45">
        <f>V_1!K89+V_9!K89+V_11!K89</f>
        <v>0</v>
      </c>
      <c r="L89" s="140">
        <f>V_1!L89+V_9!L89+V_11!L89</f>
        <v>0</v>
      </c>
      <c r="M89" s="149">
        <f t="shared" si="6"/>
        <v>1</v>
      </c>
      <c r="N89" s="100">
        <f t="shared" si="7"/>
        <v>61</v>
      </c>
      <c r="O89" s="43">
        <f t="shared" si="8"/>
        <v>112.5</v>
      </c>
    </row>
    <row r="90" spans="1:15" ht="22.5" customHeight="1" x14ac:dyDescent="0.3">
      <c r="A90" s="149" t="s">
        <v>171</v>
      </c>
      <c r="B90" s="44">
        <f>V_1!B90+V_9!B90+V_11!B90</f>
        <v>30</v>
      </c>
      <c r="C90" s="39">
        <f>V_1!C90+V_9!C90+V_11!C90</f>
        <v>10</v>
      </c>
      <c r="D90" s="39">
        <f>V_1!D90+V_9!D90+V_11!D90</f>
        <v>6</v>
      </c>
      <c r="E90" s="39">
        <f>V_1!E90+V_9!E90+V_11!E90</f>
        <v>3</v>
      </c>
      <c r="F90" s="152">
        <f>V_1!F90+V_9!F90+V_11!F90</f>
        <v>15</v>
      </c>
      <c r="G90" s="154">
        <f t="shared" si="5"/>
        <v>64</v>
      </c>
      <c r="H90" s="44">
        <f>V_1!H90+V_9!H90+V_11!H90</f>
        <v>0</v>
      </c>
      <c r="I90" s="39">
        <f>V_1!I90+V_9!I90+V_11!I90</f>
        <v>0</v>
      </c>
      <c r="J90" s="39">
        <f>V_1!J90+V_9!J90+V_11!J90</f>
        <v>0</v>
      </c>
      <c r="K90" s="45">
        <f>V_1!K90+V_9!K90+V_11!K90</f>
        <v>0</v>
      </c>
      <c r="L90" s="140">
        <f>V_1!L90+V_9!L90+V_11!L90</f>
        <v>0</v>
      </c>
      <c r="M90" s="149">
        <f t="shared" si="6"/>
        <v>0</v>
      </c>
      <c r="N90" s="100">
        <f t="shared" si="7"/>
        <v>64</v>
      </c>
      <c r="O90" s="43">
        <f t="shared" si="8"/>
        <v>120.5</v>
      </c>
    </row>
    <row r="91" spans="1:15" ht="22.5" customHeight="1" x14ac:dyDescent="0.3">
      <c r="A91" s="149" t="s">
        <v>172</v>
      </c>
      <c r="B91" s="44">
        <f>V_1!B91+V_9!B91+V_11!B91</f>
        <v>29</v>
      </c>
      <c r="C91" s="39">
        <f>V_1!C91+V_9!C91+V_11!C91</f>
        <v>13</v>
      </c>
      <c r="D91" s="39">
        <f>V_1!D91+V_9!D91+V_11!D91</f>
        <v>3</v>
      </c>
      <c r="E91" s="39">
        <f>V_1!E91+V_9!E91+V_11!E91</f>
        <v>2</v>
      </c>
      <c r="F91" s="152">
        <f>V_1!F91+V_9!F91+V_11!F91</f>
        <v>17</v>
      </c>
      <c r="G91" s="154">
        <f t="shared" si="5"/>
        <v>64</v>
      </c>
      <c r="H91" s="44">
        <f>V_1!H91+V_9!H91+V_11!H91</f>
        <v>0</v>
      </c>
      <c r="I91" s="39">
        <f>V_1!I91+V_9!I91+V_11!I91</f>
        <v>0</v>
      </c>
      <c r="J91" s="39">
        <f>V_1!J91+V_9!J91+V_11!J91</f>
        <v>0</v>
      </c>
      <c r="K91" s="45">
        <f>V_1!K91+V_9!K91+V_11!K91</f>
        <v>0</v>
      </c>
      <c r="L91" s="140">
        <f>V_1!L91+V_9!L91+V_11!L91</f>
        <v>0</v>
      </c>
      <c r="M91" s="149">
        <f t="shared" si="6"/>
        <v>0</v>
      </c>
      <c r="N91" s="100">
        <f t="shared" si="7"/>
        <v>64</v>
      </c>
      <c r="O91" s="43">
        <f t="shared" si="8"/>
        <v>122.5</v>
      </c>
    </row>
    <row r="92" spans="1:15" ht="22.5" customHeight="1" x14ac:dyDescent="0.3">
      <c r="A92" s="149" t="s">
        <v>173</v>
      </c>
      <c r="B92" s="44">
        <f>V_1!B92+V_9!B92+V_11!B92</f>
        <v>33</v>
      </c>
      <c r="C92" s="39">
        <f>V_1!C92+V_9!C92+V_11!C92</f>
        <v>23</v>
      </c>
      <c r="D92" s="39">
        <f>V_1!D92+V_9!D92+V_11!D92</f>
        <v>2</v>
      </c>
      <c r="E92" s="39">
        <f>V_1!E92+V_9!E92+V_11!E92</f>
        <v>4</v>
      </c>
      <c r="F92" s="152">
        <f>V_1!F92+V_9!F92+V_11!F92</f>
        <v>16</v>
      </c>
      <c r="G92" s="154">
        <f t="shared" si="5"/>
        <v>78</v>
      </c>
      <c r="H92" s="44">
        <f>V_1!H92+V_9!H92+V_11!H92</f>
        <v>0</v>
      </c>
      <c r="I92" s="39">
        <f>V_1!I92+V_9!I92+V_11!I92</f>
        <v>0</v>
      </c>
      <c r="J92" s="39">
        <f>V_1!J92+V_9!J92+V_11!J92</f>
        <v>0</v>
      </c>
      <c r="K92" s="45">
        <f>V_1!K92+V_9!K92+V_11!K92</f>
        <v>0</v>
      </c>
      <c r="L92" s="140">
        <f>V_1!L92+V_9!L92+V_11!L92</f>
        <v>0</v>
      </c>
      <c r="M92" s="149">
        <f t="shared" si="6"/>
        <v>0</v>
      </c>
      <c r="N92" s="100">
        <f t="shared" si="7"/>
        <v>78</v>
      </c>
      <c r="O92" s="43">
        <f t="shared" si="8"/>
        <v>131.5</v>
      </c>
    </row>
    <row r="93" spans="1:15" ht="22.5" customHeight="1" x14ac:dyDescent="0.3">
      <c r="A93" s="149" t="s">
        <v>174</v>
      </c>
      <c r="B93" s="44">
        <f>V_1!B93+V_9!B93+V_11!B93</f>
        <v>31</v>
      </c>
      <c r="C93" s="39">
        <f>V_1!C93+V_9!C93+V_11!C93</f>
        <v>21</v>
      </c>
      <c r="D93" s="39">
        <f>V_1!D93+V_9!D93+V_11!D93</f>
        <v>5</v>
      </c>
      <c r="E93" s="39">
        <f>V_1!E93+V_9!E93+V_11!E93</f>
        <v>3</v>
      </c>
      <c r="F93" s="152">
        <f>V_1!F93+V_9!F93+V_11!F93</f>
        <v>15</v>
      </c>
      <c r="G93" s="154">
        <f t="shared" si="5"/>
        <v>75</v>
      </c>
      <c r="H93" s="44">
        <f>V_1!H93+V_9!H93+V_11!H93</f>
        <v>1</v>
      </c>
      <c r="I93" s="39">
        <f>V_1!I93+V_9!I93+V_11!I93</f>
        <v>0</v>
      </c>
      <c r="J93" s="39">
        <f>V_1!J93+V_9!J93+V_11!J93</f>
        <v>0</v>
      </c>
      <c r="K93" s="45">
        <f>V_1!K93+V_9!K93+V_11!K93</f>
        <v>0</v>
      </c>
      <c r="L93" s="140">
        <f>V_1!L93+V_9!L93+V_11!L93</f>
        <v>0</v>
      </c>
      <c r="M93" s="149">
        <f t="shared" si="6"/>
        <v>1</v>
      </c>
      <c r="N93" s="100">
        <f t="shared" si="7"/>
        <v>76</v>
      </c>
      <c r="O93" s="43">
        <f t="shared" si="8"/>
        <v>126</v>
      </c>
    </row>
    <row r="94" spans="1:15" ht="22.5" customHeight="1" x14ac:dyDescent="0.3">
      <c r="A94" s="149" t="s">
        <v>175</v>
      </c>
      <c r="B94" s="44">
        <f>V_1!B94+V_9!B94+V_11!B94</f>
        <v>53</v>
      </c>
      <c r="C94" s="39">
        <f>V_1!C94+V_9!C94+V_11!C94</f>
        <v>28</v>
      </c>
      <c r="D94" s="39">
        <f>V_1!D94+V_9!D94+V_11!D94</f>
        <v>7</v>
      </c>
      <c r="E94" s="39">
        <f>V_1!E94+V_9!E94+V_11!E94</f>
        <v>16</v>
      </c>
      <c r="F94" s="152">
        <f>V_1!F94+V_9!F94+V_11!F94</f>
        <v>24</v>
      </c>
      <c r="G94" s="154">
        <f t="shared" si="5"/>
        <v>128</v>
      </c>
      <c r="H94" s="44">
        <f>V_1!H94+V_9!H94+V_11!H94</f>
        <v>2</v>
      </c>
      <c r="I94" s="39">
        <f>V_1!I94+V_9!I94+V_11!I94</f>
        <v>0</v>
      </c>
      <c r="J94" s="39">
        <f>V_1!J94+V_9!J94+V_11!J94</f>
        <v>0</v>
      </c>
      <c r="K94" s="45">
        <f>V_1!K94+V_9!K94+V_11!K94</f>
        <v>0</v>
      </c>
      <c r="L94" s="140">
        <f>V_1!L94+V_9!L94+V_11!L94</f>
        <v>1</v>
      </c>
      <c r="M94" s="149">
        <f t="shared" si="6"/>
        <v>3</v>
      </c>
      <c r="N94" s="100">
        <f t="shared" si="7"/>
        <v>131</v>
      </c>
      <c r="O94" s="43">
        <f t="shared" si="8"/>
        <v>242.5</v>
      </c>
    </row>
    <row r="95" spans="1:15" ht="22.5" customHeight="1" x14ac:dyDescent="0.3">
      <c r="A95" s="149" t="s">
        <v>176</v>
      </c>
      <c r="B95" s="44">
        <f>V_1!B95+V_9!B95+V_11!B95</f>
        <v>59</v>
      </c>
      <c r="C95" s="39">
        <f>V_1!C95+V_9!C95+V_11!C95</f>
        <v>20</v>
      </c>
      <c r="D95" s="39">
        <f>V_1!D95+V_9!D95+V_11!D95</f>
        <v>9</v>
      </c>
      <c r="E95" s="39">
        <f>V_1!E95+V_9!E95+V_11!E95</f>
        <v>11</v>
      </c>
      <c r="F95" s="152">
        <f>V_1!F95+V_9!F95+V_11!F95</f>
        <v>26</v>
      </c>
      <c r="G95" s="154">
        <f t="shared" si="5"/>
        <v>125</v>
      </c>
      <c r="H95" s="44">
        <f>V_1!H95+V_9!H95+V_11!H95</f>
        <v>0</v>
      </c>
      <c r="I95" s="39">
        <f>V_1!I95+V_9!I95+V_11!I95</f>
        <v>0</v>
      </c>
      <c r="J95" s="39">
        <f>V_1!J95+V_9!J95+V_11!J95</f>
        <v>0</v>
      </c>
      <c r="K95" s="45">
        <f>V_1!K95+V_9!K95+V_11!K95</f>
        <v>0</v>
      </c>
      <c r="L95" s="140">
        <f>V_1!L95+V_9!L95+V_11!L95</f>
        <v>2</v>
      </c>
      <c r="M95" s="149">
        <f t="shared" si="6"/>
        <v>2</v>
      </c>
      <c r="N95" s="100">
        <f t="shared" si="7"/>
        <v>127</v>
      </c>
      <c r="O95" s="43">
        <f t="shared" si="8"/>
        <v>248.5</v>
      </c>
    </row>
    <row r="96" spans="1:15" ht="22.5" customHeight="1" x14ac:dyDescent="0.3">
      <c r="A96" s="149" t="s">
        <v>135</v>
      </c>
      <c r="B96" s="44">
        <f>V_1!B96+V_9!B96+V_11!B96</f>
        <v>52</v>
      </c>
      <c r="C96" s="39">
        <f>V_1!C96+V_9!C96+V_11!C96</f>
        <v>42</v>
      </c>
      <c r="D96" s="39">
        <f>V_1!D96+V_9!D96+V_11!D96</f>
        <v>17</v>
      </c>
      <c r="E96" s="39">
        <f>V_1!E96+V_9!E96+V_11!E96</f>
        <v>11</v>
      </c>
      <c r="F96" s="152">
        <f>V_1!F96+V_9!F96+V_11!F96</f>
        <v>23</v>
      </c>
      <c r="G96" s="154">
        <f t="shared" si="5"/>
        <v>145</v>
      </c>
      <c r="H96" s="44">
        <f>V_1!H96+V_9!H96+V_11!H96</f>
        <v>1</v>
      </c>
      <c r="I96" s="39">
        <f>V_1!I96+V_9!I96+V_11!I96</f>
        <v>0</v>
      </c>
      <c r="J96" s="39">
        <f>V_1!J96+V_9!J96+V_11!J96</f>
        <v>0</v>
      </c>
      <c r="K96" s="45">
        <f>V_1!K96+V_9!K96+V_11!K96</f>
        <v>0</v>
      </c>
      <c r="L96" s="140">
        <f>V_1!L96+V_9!L96+V_11!L96</f>
        <v>1</v>
      </c>
      <c r="M96" s="149">
        <f t="shared" si="6"/>
        <v>2</v>
      </c>
      <c r="N96" s="100">
        <f t="shared" si="7"/>
        <v>147</v>
      </c>
      <c r="O96" s="43">
        <f t="shared" si="8"/>
        <v>243.5</v>
      </c>
    </row>
    <row r="97" spans="1:15" ht="22.5" customHeight="1" x14ac:dyDescent="0.3">
      <c r="A97" s="149" t="s">
        <v>136</v>
      </c>
      <c r="B97" s="44">
        <f>V_1!B97+V_9!B97+V_11!B97</f>
        <v>60</v>
      </c>
      <c r="C97" s="39">
        <f>V_1!C97+V_9!C97+V_11!C97</f>
        <v>40</v>
      </c>
      <c r="D97" s="39">
        <f>V_1!D97+V_9!D97+V_11!D97</f>
        <v>14</v>
      </c>
      <c r="E97" s="39">
        <f>V_1!E97+V_9!E97+V_11!E97</f>
        <v>9</v>
      </c>
      <c r="F97" s="152">
        <f>V_1!F97+V_9!F97+V_11!F97</f>
        <v>21</v>
      </c>
      <c r="G97" s="154">
        <f t="shared" si="5"/>
        <v>144</v>
      </c>
      <c r="H97" s="44">
        <f>V_1!H97+V_9!H97+V_11!H97</f>
        <v>2</v>
      </c>
      <c r="I97" s="39">
        <f>V_1!I97+V_9!I97+V_11!I97</f>
        <v>0</v>
      </c>
      <c r="J97" s="39">
        <f>V_1!J97+V_9!J97+V_11!J97</f>
        <v>0</v>
      </c>
      <c r="K97" s="45">
        <f>V_1!K97+V_9!K97+V_11!K97</f>
        <v>0</v>
      </c>
      <c r="L97" s="140">
        <f>V_1!L97+V_9!L97+V_11!L97</f>
        <v>2</v>
      </c>
      <c r="M97" s="149">
        <f t="shared" si="6"/>
        <v>4</v>
      </c>
      <c r="N97" s="100">
        <f t="shared" si="7"/>
        <v>148</v>
      </c>
      <c r="O97" s="43">
        <f t="shared" si="8"/>
        <v>239.5</v>
      </c>
    </row>
    <row r="98" spans="1:15" ht="22.5" customHeight="1" x14ac:dyDescent="0.3">
      <c r="A98" s="149" t="s">
        <v>137</v>
      </c>
      <c r="B98" s="44">
        <f>V_1!B98+V_9!B98+V_11!B98</f>
        <v>59</v>
      </c>
      <c r="C98" s="39">
        <f>V_1!C98+V_9!C98+V_11!C98</f>
        <v>51</v>
      </c>
      <c r="D98" s="39">
        <f>V_1!D98+V_9!D98+V_11!D98</f>
        <v>14</v>
      </c>
      <c r="E98" s="39">
        <f>V_1!E98+V_9!E98+V_11!E98</f>
        <v>6</v>
      </c>
      <c r="F98" s="152">
        <f>V_1!F98+V_9!F98+V_11!F98</f>
        <v>36</v>
      </c>
      <c r="G98" s="154">
        <f t="shared" si="5"/>
        <v>166</v>
      </c>
      <c r="H98" s="44">
        <f>V_1!H98+V_9!H98+V_11!H98</f>
        <v>3</v>
      </c>
      <c r="I98" s="39">
        <f>V_1!I98+V_9!I98+V_11!I98</f>
        <v>0</v>
      </c>
      <c r="J98" s="39">
        <f>V_1!J98+V_9!J98+V_11!J98</f>
        <v>0</v>
      </c>
      <c r="K98" s="45">
        <f>V_1!K98+V_9!K98+V_11!K98</f>
        <v>0</v>
      </c>
      <c r="L98" s="140">
        <f>V_1!L98+V_9!L98+V_11!L98</f>
        <v>2</v>
      </c>
      <c r="M98" s="149">
        <f t="shared" si="6"/>
        <v>5</v>
      </c>
      <c r="N98" s="100">
        <f t="shared" si="7"/>
        <v>171</v>
      </c>
      <c r="O98" s="43">
        <f t="shared" si="8"/>
        <v>303</v>
      </c>
    </row>
    <row r="99" spans="1:15" ht="22.5" customHeight="1" x14ac:dyDescent="0.3">
      <c r="A99" s="149" t="s">
        <v>138</v>
      </c>
      <c r="B99" s="44">
        <f>V_1!B99+V_9!B99+V_11!B99</f>
        <v>72</v>
      </c>
      <c r="C99" s="39">
        <f>V_1!C99+V_9!C99+V_11!C99</f>
        <v>63</v>
      </c>
      <c r="D99" s="39">
        <f>V_1!D99+V_9!D99+V_11!D99</f>
        <v>14</v>
      </c>
      <c r="E99" s="39">
        <f>V_1!E99+V_9!E99+V_11!E99</f>
        <v>16</v>
      </c>
      <c r="F99" s="152">
        <f>V_1!F99+V_9!F99+V_11!F99</f>
        <v>28</v>
      </c>
      <c r="G99" s="154">
        <f t="shared" si="5"/>
        <v>193</v>
      </c>
      <c r="H99" s="44">
        <f>V_1!H99+V_9!H99+V_11!H99</f>
        <v>1</v>
      </c>
      <c r="I99" s="39">
        <f>V_1!I99+V_9!I99+V_11!I99</f>
        <v>0</v>
      </c>
      <c r="J99" s="39">
        <f>V_1!J99+V_9!J99+V_11!J99</f>
        <v>0</v>
      </c>
      <c r="K99" s="45">
        <f>V_1!K99+V_9!K99+V_11!K99</f>
        <v>0</v>
      </c>
      <c r="L99" s="140">
        <f>V_1!L99+V_9!L99+V_11!L99</f>
        <v>2</v>
      </c>
      <c r="M99" s="149">
        <f t="shared" si="6"/>
        <v>3</v>
      </c>
      <c r="N99" s="100">
        <f t="shared" si="7"/>
        <v>196</v>
      </c>
      <c r="O99" s="43">
        <f t="shared" si="8"/>
        <v>315</v>
      </c>
    </row>
    <row r="100" spans="1:15" ht="22.5" customHeight="1" x14ac:dyDescent="0.3">
      <c r="A100" s="149" t="s">
        <v>139</v>
      </c>
      <c r="B100" s="44">
        <f>V_1!B100+V_9!B100+V_11!B100</f>
        <v>86</v>
      </c>
      <c r="C100" s="39">
        <f>V_1!C100+V_9!C100+V_11!C100</f>
        <v>97</v>
      </c>
      <c r="D100" s="39">
        <f>V_1!D100+V_9!D100+V_11!D100</f>
        <v>14</v>
      </c>
      <c r="E100" s="39">
        <f>V_1!E100+V_9!E100+V_11!E100</f>
        <v>16</v>
      </c>
      <c r="F100" s="152">
        <f>V_1!F100+V_9!F100+V_11!F100</f>
        <v>20</v>
      </c>
      <c r="G100" s="154">
        <f t="shared" si="5"/>
        <v>233</v>
      </c>
      <c r="H100" s="44">
        <f>V_1!H100+V_9!H100+V_11!H100</f>
        <v>2</v>
      </c>
      <c r="I100" s="39">
        <f>V_1!I100+V_9!I100+V_11!I100</f>
        <v>0</v>
      </c>
      <c r="J100" s="39">
        <f>V_1!J100+V_9!J100+V_11!J100</f>
        <v>0</v>
      </c>
      <c r="K100" s="45">
        <f>V_1!K100+V_9!K100+V_11!K100</f>
        <v>0</v>
      </c>
      <c r="L100" s="140">
        <f>V_1!L100+V_9!L100+V_11!L100</f>
        <v>1</v>
      </c>
      <c r="M100" s="149">
        <f t="shared" si="6"/>
        <v>3</v>
      </c>
      <c r="N100" s="100">
        <f t="shared" si="7"/>
        <v>236</v>
      </c>
      <c r="O100" s="43">
        <f t="shared" si="8"/>
        <v>302.5</v>
      </c>
    </row>
    <row r="101" spans="1:15" ht="22.5" customHeight="1" x14ac:dyDescent="0.3">
      <c r="A101" s="149" t="s">
        <v>140</v>
      </c>
      <c r="B101" s="44">
        <f>V_1!B101+V_9!B101+V_11!B101</f>
        <v>106</v>
      </c>
      <c r="C101" s="39">
        <f>V_1!C101+V_9!C101+V_11!C101</f>
        <v>102</v>
      </c>
      <c r="D101" s="39">
        <f>V_1!D101+V_9!D101+V_11!D101</f>
        <v>15</v>
      </c>
      <c r="E101" s="39">
        <f>V_1!E101+V_9!E101+V_11!E101</f>
        <v>11</v>
      </c>
      <c r="F101" s="152">
        <f>V_1!F101+V_9!F101+V_11!F101</f>
        <v>22</v>
      </c>
      <c r="G101" s="154">
        <f t="shared" si="5"/>
        <v>256</v>
      </c>
      <c r="H101" s="44">
        <f>V_1!H101+V_9!H101+V_11!H101</f>
        <v>4</v>
      </c>
      <c r="I101" s="39">
        <f>V_1!I101+V_9!I101+V_11!I101</f>
        <v>0</v>
      </c>
      <c r="J101" s="39">
        <f>V_1!J101+V_9!J101+V_11!J101</f>
        <v>0</v>
      </c>
      <c r="K101" s="45">
        <f>V_1!K101+V_9!K101+V_11!K101</f>
        <v>0</v>
      </c>
      <c r="L101" s="140">
        <f>V_1!L101+V_9!L101+V_11!L101</f>
        <v>3</v>
      </c>
      <c r="M101" s="149">
        <f t="shared" si="6"/>
        <v>7</v>
      </c>
      <c r="N101" s="100">
        <f t="shared" si="7"/>
        <v>263</v>
      </c>
      <c r="O101" s="43">
        <f t="shared" si="8"/>
        <v>337.5</v>
      </c>
    </row>
    <row r="102" spans="1:15" ht="22.5" customHeight="1" x14ac:dyDescent="0.3">
      <c r="A102" s="149" t="s">
        <v>141</v>
      </c>
      <c r="B102" s="44">
        <f>V_1!B102+V_9!B102+V_11!B102</f>
        <v>82</v>
      </c>
      <c r="C102" s="39">
        <f>V_1!C102+V_9!C102+V_11!C102</f>
        <v>107</v>
      </c>
      <c r="D102" s="39">
        <f>V_1!D102+V_9!D102+V_11!D102</f>
        <v>13</v>
      </c>
      <c r="E102" s="39">
        <f>V_1!E102+V_9!E102+V_11!E102</f>
        <v>10</v>
      </c>
      <c r="F102" s="152">
        <f>V_1!F102+V_9!F102+V_11!F102</f>
        <v>29</v>
      </c>
      <c r="G102" s="154">
        <f t="shared" si="5"/>
        <v>241</v>
      </c>
      <c r="H102" s="44">
        <f>V_1!H102+V_9!H102+V_11!H102</f>
        <v>5</v>
      </c>
      <c r="I102" s="39">
        <f>V_1!I102+V_9!I102+V_11!I102</f>
        <v>0</v>
      </c>
      <c r="J102" s="39">
        <f>V_1!J102+V_9!J102+V_11!J102</f>
        <v>0</v>
      </c>
      <c r="K102" s="45">
        <f>V_1!K102+V_9!K102+V_11!K102</f>
        <v>0</v>
      </c>
      <c r="L102" s="140">
        <f>V_1!L102+V_9!L102+V_11!L102</f>
        <v>5</v>
      </c>
      <c r="M102" s="149">
        <f t="shared" si="6"/>
        <v>10</v>
      </c>
      <c r="N102" s="100">
        <f t="shared" si="7"/>
        <v>251</v>
      </c>
      <c r="O102" s="43">
        <f t="shared" si="8"/>
        <v>358</v>
      </c>
    </row>
    <row r="103" spans="1:15" ht="22.5" customHeight="1" thickBot="1" x14ac:dyDescent="0.35">
      <c r="A103" s="150" t="s">
        <v>142</v>
      </c>
      <c r="B103" s="46">
        <f>V_1!B103+V_9!B103+V_11!B103</f>
        <v>96</v>
      </c>
      <c r="C103" s="47">
        <f>V_1!C103+V_9!C103+V_11!C103</f>
        <v>129</v>
      </c>
      <c r="D103" s="47">
        <f>V_1!D103+V_9!D103+V_11!D103</f>
        <v>19</v>
      </c>
      <c r="E103" s="47">
        <f>V_1!E103+V_9!E103+V_11!E103</f>
        <v>10</v>
      </c>
      <c r="F103" s="153">
        <f>V_1!F103+V_9!F103+V_11!F103</f>
        <v>18</v>
      </c>
      <c r="G103" s="80">
        <f t="shared" si="5"/>
        <v>272</v>
      </c>
      <c r="H103" s="46">
        <f>V_1!H103+V_9!H103+V_11!H103</f>
        <v>5</v>
      </c>
      <c r="I103" s="47">
        <f>V_1!I103+V_9!I103+V_11!I103</f>
        <v>0</v>
      </c>
      <c r="J103" s="47">
        <f>V_1!J103+V_9!J103+V_11!J103</f>
        <v>0</v>
      </c>
      <c r="K103" s="48">
        <f>V_1!K103+V_9!K103+V_11!K103</f>
        <v>0</v>
      </c>
      <c r="L103" s="141">
        <f>V_1!L103+V_9!L103+V_11!L103</f>
        <v>3</v>
      </c>
      <c r="M103" s="150">
        <f t="shared" si="6"/>
        <v>8</v>
      </c>
      <c r="N103" s="101">
        <f t="shared" si="7"/>
        <v>280</v>
      </c>
      <c r="O103" s="84">
        <f t="shared" si="8"/>
        <v>326.5</v>
      </c>
    </row>
    <row r="104" spans="1:15" ht="22.5" customHeight="1" thickBot="1" x14ac:dyDescent="0.35">
      <c r="A104" s="41" t="s">
        <v>11</v>
      </c>
      <c r="B104" s="117">
        <f t="shared" ref="B104:N104" si="9">SUM(B8:B103)</f>
        <v>11417</v>
      </c>
      <c r="C104" s="117">
        <f t="shared" si="9"/>
        <v>9592</v>
      </c>
      <c r="D104" s="117">
        <f t="shared" si="9"/>
        <v>1508</v>
      </c>
      <c r="E104" s="117">
        <f t="shared" si="9"/>
        <v>987</v>
      </c>
      <c r="F104" s="117">
        <f t="shared" si="9"/>
        <v>2939</v>
      </c>
      <c r="G104" s="94">
        <f t="shared" si="9"/>
        <v>26443</v>
      </c>
      <c r="H104" s="117">
        <f t="shared" si="9"/>
        <v>85</v>
      </c>
      <c r="I104" s="117">
        <f t="shared" si="9"/>
        <v>2</v>
      </c>
      <c r="J104" s="117">
        <f t="shared" si="9"/>
        <v>6</v>
      </c>
      <c r="K104" s="118">
        <f t="shared" si="9"/>
        <v>0</v>
      </c>
      <c r="L104" s="118">
        <f t="shared" si="9"/>
        <v>143</v>
      </c>
      <c r="M104" s="94">
        <f>SUM(M8:M103)</f>
        <v>236</v>
      </c>
      <c r="N104" s="95">
        <f t="shared" si="9"/>
        <v>26679</v>
      </c>
      <c r="O104" s="142">
        <f>SUM(O8:O103)</f>
        <v>35869</v>
      </c>
    </row>
    <row r="105" spans="1:15" ht="22.5" customHeight="1" thickBot="1" x14ac:dyDescent="0.35">
      <c r="A105" s="41" t="s">
        <v>143</v>
      </c>
      <c r="B105" s="88">
        <f>+B104*1</f>
        <v>11417</v>
      </c>
      <c r="C105" s="88">
        <f>+C104*0.5</f>
        <v>4796</v>
      </c>
      <c r="D105" s="88">
        <f>+D104*1.5</f>
        <v>2262</v>
      </c>
      <c r="E105" s="88">
        <f>+E104*3</f>
        <v>2961</v>
      </c>
      <c r="F105" s="89">
        <f>+F104*4.5</f>
        <v>13225.5</v>
      </c>
      <c r="G105" s="90">
        <f>SUM(B105:F105)</f>
        <v>34661.5</v>
      </c>
      <c r="H105" s="88">
        <f>+H104*0.5</f>
        <v>42.5</v>
      </c>
      <c r="I105" s="89">
        <f>+I104*1.5</f>
        <v>3</v>
      </c>
      <c r="J105" s="89">
        <f>+J104*3</f>
        <v>18</v>
      </c>
      <c r="K105" s="96">
        <f>+K104*4</f>
        <v>0</v>
      </c>
      <c r="L105" s="96">
        <f>+L104*8</f>
        <v>1144</v>
      </c>
      <c r="M105" s="147">
        <f>SUM(H105:L105)</f>
        <v>1207.5</v>
      </c>
      <c r="N105" s="91"/>
      <c r="O105" s="92">
        <f>G105+M105</f>
        <v>35869</v>
      </c>
    </row>
    <row r="106" spans="1:15" ht="22.5" customHeight="1" thickBot="1" x14ac:dyDescent="0.35">
      <c r="A106" s="42" t="s">
        <v>12</v>
      </c>
      <c r="B106" s="93">
        <f t="shared" ref="B106:N106" si="10">B104/$N$104</f>
        <v>0.42793957794520032</v>
      </c>
      <c r="C106" s="93">
        <f t="shared" si="10"/>
        <v>0.35953371565650888</v>
      </c>
      <c r="D106" s="93">
        <f t="shared" si="10"/>
        <v>5.6523857715806439E-2</v>
      </c>
      <c r="E106" s="93">
        <f t="shared" si="10"/>
        <v>3.699538963229506E-2</v>
      </c>
      <c r="F106" s="93">
        <f t="shared" si="10"/>
        <v>0.11016155028299411</v>
      </c>
      <c r="G106" s="98">
        <f t="shared" si="10"/>
        <v>0.99115409123280485</v>
      </c>
      <c r="H106" s="93">
        <f t="shared" si="10"/>
        <v>3.186026462760973E-3</v>
      </c>
      <c r="I106" s="93">
        <f t="shared" si="10"/>
        <v>7.4965328535552304E-5</v>
      </c>
      <c r="J106" s="93">
        <f t="shared" si="10"/>
        <v>2.2489598560665691E-4</v>
      </c>
      <c r="K106" s="97">
        <f t="shared" si="10"/>
        <v>0</v>
      </c>
      <c r="L106" s="97">
        <f t="shared" si="10"/>
        <v>5.36002099029199E-3</v>
      </c>
      <c r="M106" s="98">
        <f t="shared" si="10"/>
        <v>8.8459087671951715E-3</v>
      </c>
      <c r="N106" s="99">
        <f t="shared" si="10"/>
        <v>1</v>
      </c>
      <c r="O106" s="94"/>
    </row>
    <row r="108" spans="1:15" s="4" customFormat="1" x14ac:dyDescent="0.3">
      <c r="A108" s="4" t="s">
        <v>103</v>
      </c>
      <c r="B108" s="4" t="str">
        <f>B2</f>
        <v>TMC-14 Number (D2)</v>
      </c>
    </row>
    <row r="109" spans="1:15" s="4" customFormat="1" x14ac:dyDescent="0.3">
      <c r="A109" s="4" t="s">
        <v>102</v>
      </c>
      <c r="B109" s="4" t="str">
        <f>B3</f>
        <v>D2</v>
      </c>
    </row>
    <row r="110" spans="1:15" s="4" customFormat="1" x14ac:dyDescent="0.3">
      <c r="A110" s="4" t="s">
        <v>104</v>
      </c>
      <c r="B110" s="4" t="str">
        <f>B4</f>
        <v>Delhi</v>
      </c>
    </row>
    <row r="111" spans="1:15" ht="16.2" thickBot="1" x14ac:dyDescent="0.35"/>
    <row r="112" spans="1:15" ht="25.2" customHeight="1" x14ac:dyDescent="0.3">
      <c r="A112" s="252" t="s">
        <v>95</v>
      </c>
      <c r="B112" s="258" t="s">
        <v>280</v>
      </c>
      <c r="C112" s="254" t="s">
        <v>281</v>
      </c>
      <c r="D112" s="250" t="s">
        <v>282</v>
      </c>
      <c r="E112" s="260" t="s">
        <v>283</v>
      </c>
      <c r="F112" s="256" t="s">
        <v>284</v>
      </c>
      <c r="G112" s="250" t="s">
        <v>129</v>
      </c>
      <c r="H112" s="248" t="s">
        <v>150</v>
      </c>
      <c r="I112" s="250" t="s">
        <v>151</v>
      </c>
      <c r="J112" s="250" t="s">
        <v>285</v>
      </c>
      <c r="K112" s="248" t="s">
        <v>286</v>
      </c>
      <c r="L112" s="250" t="s">
        <v>287</v>
      </c>
      <c r="M112" s="250" t="s">
        <v>78</v>
      </c>
      <c r="N112" s="250" t="s">
        <v>131</v>
      </c>
      <c r="O112" s="250" t="s">
        <v>132</v>
      </c>
    </row>
    <row r="113" spans="1:15" ht="16.2" thickBot="1" x14ac:dyDescent="0.35">
      <c r="A113" s="253"/>
      <c r="B113" s="259"/>
      <c r="C113" s="255"/>
      <c r="D113" s="251"/>
      <c r="E113" s="261"/>
      <c r="F113" s="257"/>
      <c r="G113" s="259"/>
      <c r="H113" s="249"/>
      <c r="I113" s="251"/>
      <c r="J113" s="251"/>
      <c r="K113" s="249"/>
      <c r="L113" s="251"/>
      <c r="M113" s="251"/>
      <c r="N113" s="251"/>
      <c r="O113" s="251"/>
    </row>
    <row r="114" spans="1:15" ht="22.95" customHeight="1" x14ac:dyDescent="0.3">
      <c r="A114" s="52" t="s">
        <v>15</v>
      </c>
      <c r="B114" s="112">
        <f t="shared" ref="B114:M114" si="11">B8+B9+B10+B11</f>
        <v>578</v>
      </c>
      <c r="C114" s="113">
        <f t="shared" si="11"/>
        <v>1004</v>
      </c>
      <c r="D114" s="113">
        <f t="shared" si="11"/>
        <v>47</v>
      </c>
      <c r="E114" s="113">
        <f t="shared" si="11"/>
        <v>49</v>
      </c>
      <c r="F114" s="113">
        <f t="shared" si="11"/>
        <v>104</v>
      </c>
      <c r="G114" s="49">
        <f>G8+G9+G10+G11</f>
        <v>1782</v>
      </c>
      <c r="H114" s="112">
        <f t="shared" si="11"/>
        <v>21</v>
      </c>
      <c r="I114" s="113">
        <f t="shared" ref="I114:L114" si="12">I8+I9+I10+I11</f>
        <v>1</v>
      </c>
      <c r="J114" s="113">
        <f t="shared" si="12"/>
        <v>0</v>
      </c>
      <c r="K114" s="114">
        <f t="shared" si="12"/>
        <v>0</v>
      </c>
      <c r="L114" s="143">
        <f t="shared" si="12"/>
        <v>17</v>
      </c>
      <c r="M114" s="49">
        <f t="shared" si="11"/>
        <v>39</v>
      </c>
      <c r="N114" s="40">
        <f>G114+M114</f>
        <v>1821</v>
      </c>
      <c r="O114" s="115">
        <f>B114*1+C114*0.5+D114*1.5+E114*3+F114*4.5+H114*0.5+I114*1.5+J114*3+K114*4+L114*8</f>
        <v>1913.5</v>
      </c>
    </row>
    <row r="115" spans="1:15" ht="22.95" customHeight="1" x14ac:dyDescent="0.3">
      <c r="A115" s="52" t="s">
        <v>16</v>
      </c>
      <c r="B115" s="44">
        <f t="shared" ref="B115:M115" si="13">B9+B10+B11+B12</f>
        <v>622</v>
      </c>
      <c r="C115" s="39">
        <f t="shared" si="13"/>
        <v>1169</v>
      </c>
      <c r="D115" s="39">
        <f t="shared" si="13"/>
        <v>48</v>
      </c>
      <c r="E115" s="39">
        <f t="shared" si="13"/>
        <v>46</v>
      </c>
      <c r="F115" s="39">
        <f t="shared" si="13"/>
        <v>109</v>
      </c>
      <c r="G115" s="50">
        <f t="shared" si="13"/>
        <v>1994</v>
      </c>
      <c r="H115" s="44">
        <f t="shared" si="13"/>
        <v>22</v>
      </c>
      <c r="I115" s="39">
        <f t="shared" si="13"/>
        <v>1</v>
      </c>
      <c r="J115" s="39">
        <f t="shared" si="13"/>
        <v>0</v>
      </c>
      <c r="K115" s="45">
        <f t="shared" si="13"/>
        <v>0</v>
      </c>
      <c r="L115" s="144">
        <f t="shared" si="13"/>
        <v>19</v>
      </c>
      <c r="M115" s="50">
        <f t="shared" si="13"/>
        <v>42</v>
      </c>
      <c r="N115" s="40">
        <f t="shared" ref="N115:N178" si="14">G115+M115</f>
        <v>2036</v>
      </c>
      <c r="O115" s="43">
        <f t="shared" ref="O115:O178" si="15">B115*1+C115*0.5+D115*1.5+E115*3+F115*4.5+H115*0.5+I115*1.5+J115*3+K115*4+L115*8</f>
        <v>2071.5</v>
      </c>
    </row>
    <row r="116" spans="1:15" ht="22.95" customHeight="1" x14ac:dyDescent="0.3">
      <c r="A116" s="52" t="s">
        <v>17</v>
      </c>
      <c r="B116" s="44">
        <f t="shared" ref="B116:M116" si="16">B10+B11+B12+B13</f>
        <v>641</v>
      </c>
      <c r="C116" s="39">
        <f t="shared" si="16"/>
        <v>1232</v>
      </c>
      <c r="D116" s="39">
        <f t="shared" si="16"/>
        <v>42</v>
      </c>
      <c r="E116" s="39">
        <f t="shared" si="16"/>
        <v>43</v>
      </c>
      <c r="F116" s="39">
        <f t="shared" si="16"/>
        <v>97</v>
      </c>
      <c r="G116" s="50">
        <f t="shared" si="16"/>
        <v>2055</v>
      </c>
      <c r="H116" s="44">
        <f t="shared" si="16"/>
        <v>21</v>
      </c>
      <c r="I116" s="39">
        <f t="shared" si="16"/>
        <v>0</v>
      </c>
      <c r="J116" s="39">
        <f t="shared" si="16"/>
        <v>0</v>
      </c>
      <c r="K116" s="45">
        <f t="shared" si="16"/>
        <v>0</v>
      </c>
      <c r="L116" s="144">
        <f t="shared" si="16"/>
        <v>17</v>
      </c>
      <c r="M116" s="50">
        <f t="shared" si="16"/>
        <v>38</v>
      </c>
      <c r="N116" s="40">
        <f t="shared" si="14"/>
        <v>2093</v>
      </c>
      <c r="O116" s="43">
        <f t="shared" si="15"/>
        <v>2032</v>
      </c>
    </row>
    <row r="117" spans="1:15" ht="22.95" customHeight="1" x14ac:dyDescent="0.3">
      <c r="A117" s="52" t="s">
        <v>18</v>
      </c>
      <c r="B117" s="44">
        <f t="shared" ref="B117:M117" si="17">B11+B12+B13+B14</f>
        <v>665</v>
      </c>
      <c r="C117" s="39">
        <f t="shared" si="17"/>
        <v>1258</v>
      </c>
      <c r="D117" s="39">
        <f t="shared" si="17"/>
        <v>46</v>
      </c>
      <c r="E117" s="39">
        <f t="shared" si="17"/>
        <v>41</v>
      </c>
      <c r="F117" s="39">
        <f t="shared" si="17"/>
        <v>105</v>
      </c>
      <c r="G117" s="50">
        <f t="shared" si="17"/>
        <v>2115</v>
      </c>
      <c r="H117" s="44">
        <f t="shared" si="17"/>
        <v>18</v>
      </c>
      <c r="I117" s="39">
        <f t="shared" si="17"/>
        <v>0</v>
      </c>
      <c r="J117" s="39">
        <f t="shared" si="17"/>
        <v>0</v>
      </c>
      <c r="K117" s="45">
        <f t="shared" si="17"/>
        <v>0</v>
      </c>
      <c r="L117" s="144">
        <f t="shared" si="17"/>
        <v>16</v>
      </c>
      <c r="M117" s="50">
        <f t="shared" si="17"/>
        <v>34</v>
      </c>
      <c r="N117" s="40">
        <f t="shared" si="14"/>
        <v>2149</v>
      </c>
      <c r="O117" s="43">
        <f t="shared" si="15"/>
        <v>2095.5</v>
      </c>
    </row>
    <row r="118" spans="1:15" ht="22.95" customHeight="1" x14ac:dyDescent="0.3">
      <c r="A118" s="52" t="s">
        <v>19</v>
      </c>
      <c r="B118" s="44">
        <f t="shared" ref="B118:M118" si="18">B12+B13+B14+B15</f>
        <v>702</v>
      </c>
      <c r="C118" s="39">
        <f t="shared" si="18"/>
        <v>1202</v>
      </c>
      <c r="D118" s="39">
        <f t="shared" si="18"/>
        <v>56</v>
      </c>
      <c r="E118" s="39">
        <f t="shared" si="18"/>
        <v>40</v>
      </c>
      <c r="F118" s="39">
        <f t="shared" si="18"/>
        <v>95</v>
      </c>
      <c r="G118" s="50">
        <f t="shared" si="18"/>
        <v>2095</v>
      </c>
      <c r="H118" s="44">
        <f t="shared" si="18"/>
        <v>12</v>
      </c>
      <c r="I118" s="39">
        <f t="shared" si="18"/>
        <v>0</v>
      </c>
      <c r="J118" s="39">
        <f t="shared" si="18"/>
        <v>0</v>
      </c>
      <c r="K118" s="45">
        <f t="shared" si="18"/>
        <v>0</v>
      </c>
      <c r="L118" s="144">
        <f t="shared" si="18"/>
        <v>16</v>
      </c>
      <c r="M118" s="50">
        <f t="shared" si="18"/>
        <v>28</v>
      </c>
      <c r="N118" s="40">
        <f t="shared" si="14"/>
        <v>2123</v>
      </c>
      <c r="O118" s="43">
        <f t="shared" si="15"/>
        <v>2068.5</v>
      </c>
    </row>
    <row r="119" spans="1:15" ht="22.95" customHeight="1" x14ac:dyDescent="0.3">
      <c r="A119" s="52" t="s">
        <v>20</v>
      </c>
      <c r="B119" s="44">
        <f t="shared" ref="B119:M119" si="19">B13+B14+B15+B16</f>
        <v>690</v>
      </c>
      <c r="C119" s="39">
        <f t="shared" si="19"/>
        <v>1120</v>
      </c>
      <c r="D119" s="39">
        <f t="shared" si="19"/>
        <v>57</v>
      </c>
      <c r="E119" s="39">
        <f t="shared" si="19"/>
        <v>33</v>
      </c>
      <c r="F119" s="39">
        <f t="shared" si="19"/>
        <v>90</v>
      </c>
      <c r="G119" s="50">
        <f t="shared" si="19"/>
        <v>1990</v>
      </c>
      <c r="H119" s="44">
        <f t="shared" si="19"/>
        <v>11</v>
      </c>
      <c r="I119" s="39">
        <f t="shared" si="19"/>
        <v>0</v>
      </c>
      <c r="J119" s="39">
        <f t="shared" si="19"/>
        <v>0</v>
      </c>
      <c r="K119" s="45">
        <f t="shared" si="19"/>
        <v>0</v>
      </c>
      <c r="L119" s="144">
        <f t="shared" si="19"/>
        <v>9</v>
      </c>
      <c r="M119" s="50">
        <f t="shared" si="19"/>
        <v>20</v>
      </c>
      <c r="N119" s="40">
        <f t="shared" si="14"/>
        <v>2010</v>
      </c>
      <c r="O119" s="43">
        <f t="shared" si="15"/>
        <v>1917</v>
      </c>
    </row>
    <row r="120" spans="1:15" ht="22.95" customHeight="1" x14ac:dyDescent="0.3">
      <c r="A120" s="52" t="s">
        <v>21</v>
      </c>
      <c r="B120" s="44">
        <f t="shared" ref="B120:M120" si="20">B14+B15+B16+B17</f>
        <v>779</v>
      </c>
      <c r="C120" s="39">
        <f t="shared" si="20"/>
        <v>1093</v>
      </c>
      <c r="D120" s="39">
        <f t="shared" si="20"/>
        <v>67</v>
      </c>
      <c r="E120" s="39">
        <f t="shared" si="20"/>
        <v>35</v>
      </c>
      <c r="F120" s="39">
        <f t="shared" si="20"/>
        <v>101</v>
      </c>
      <c r="G120" s="50">
        <f t="shared" si="20"/>
        <v>2075</v>
      </c>
      <c r="H120" s="44">
        <f t="shared" si="20"/>
        <v>7</v>
      </c>
      <c r="I120" s="39">
        <f t="shared" si="20"/>
        <v>0</v>
      </c>
      <c r="J120" s="39">
        <f t="shared" si="20"/>
        <v>0</v>
      </c>
      <c r="K120" s="45">
        <f t="shared" si="20"/>
        <v>0</v>
      </c>
      <c r="L120" s="144">
        <f t="shared" si="20"/>
        <v>8</v>
      </c>
      <c r="M120" s="50">
        <f t="shared" si="20"/>
        <v>15</v>
      </c>
      <c r="N120" s="40">
        <f t="shared" si="14"/>
        <v>2090</v>
      </c>
      <c r="O120" s="43">
        <f t="shared" si="15"/>
        <v>2053</v>
      </c>
    </row>
    <row r="121" spans="1:15" ht="22.95" customHeight="1" x14ac:dyDescent="0.3">
      <c r="A121" s="52" t="s">
        <v>22</v>
      </c>
      <c r="B121" s="44">
        <f t="shared" ref="B121:M121" si="21">B15+B16+B17+B18</f>
        <v>843</v>
      </c>
      <c r="C121" s="39">
        <f t="shared" si="21"/>
        <v>993</v>
      </c>
      <c r="D121" s="39">
        <f t="shared" si="21"/>
        <v>69</v>
      </c>
      <c r="E121" s="39">
        <f t="shared" si="21"/>
        <v>37</v>
      </c>
      <c r="F121" s="39">
        <f t="shared" si="21"/>
        <v>92</v>
      </c>
      <c r="G121" s="50">
        <f t="shared" si="21"/>
        <v>2034</v>
      </c>
      <c r="H121" s="44">
        <f t="shared" si="21"/>
        <v>5</v>
      </c>
      <c r="I121" s="39">
        <f t="shared" si="21"/>
        <v>0</v>
      </c>
      <c r="J121" s="39">
        <f t="shared" si="21"/>
        <v>0</v>
      </c>
      <c r="K121" s="45">
        <f t="shared" si="21"/>
        <v>0</v>
      </c>
      <c r="L121" s="144">
        <f t="shared" si="21"/>
        <v>6</v>
      </c>
      <c r="M121" s="50">
        <f t="shared" si="21"/>
        <v>11</v>
      </c>
      <c r="N121" s="40">
        <f t="shared" si="14"/>
        <v>2045</v>
      </c>
      <c r="O121" s="43">
        <f t="shared" si="15"/>
        <v>2018.5</v>
      </c>
    </row>
    <row r="122" spans="1:15" ht="22.95" customHeight="1" x14ac:dyDescent="0.3">
      <c r="A122" s="52" t="s">
        <v>23</v>
      </c>
      <c r="B122" s="44">
        <f t="shared" ref="B122:M122" si="22">B16+B17+B18+B19</f>
        <v>870</v>
      </c>
      <c r="C122" s="39">
        <f t="shared" si="22"/>
        <v>903</v>
      </c>
      <c r="D122" s="39">
        <f t="shared" si="22"/>
        <v>72</v>
      </c>
      <c r="E122" s="39">
        <f t="shared" si="22"/>
        <v>37</v>
      </c>
      <c r="F122" s="39">
        <f t="shared" si="22"/>
        <v>102</v>
      </c>
      <c r="G122" s="50">
        <f t="shared" si="22"/>
        <v>1984</v>
      </c>
      <c r="H122" s="44">
        <f t="shared" si="22"/>
        <v>5</v>
      </c>
      <c r="I122" s="39">
        <f t="shared" si="22"/>
        <v>0</v>
      </c>
      <c r="J122" s="39">
        <f t="shared" si="22"/>
        <v>0</v>
      </c>
      <c r="K122" s="45">
        <f t="shared" si="22"/>
        <v>0</v>
      </c>
      <c r="L122" s="144">
        <f t="shared" si="22"/>
        <v>5</v>
      </c>
      <c r="M122" s="50">
        <f t="shared" si="22"/>
        <v>10</v>
      </c>
      <c r="N122" s="40">
        <f t="shared" si="14"/>
        <v>1994</v>
      </c>
      <c r="O122" s="43">
        <f t="shared" si="15"/>
        <v>2042</v>
      </c>
    </row>
    <row r="123" spans="1:15" ht="22.95" customHeight="1" x14ac:dyDescent="0.3">
      <c r="A123" s="52" t="s">
        <v>24</v>
      </c>
      <c r="B123" s="44">
        <f t="shared" ref="B123:M123" si="23">B17+B18+B19+B20</f>
        <v>896</v>
      </c>
      <c r="C123" s="39">
        <f t="shared" si="23"/>
        <v>849</v>
      </c>
      <c r="D123" s="39">
        <f t="shared" si="23"/>
        <v>67</v>
      </c>
      <c r="E123" s="39">
        <f t="shared" si="23"/>
        <v>41</v>
      </c>
      <c r="F123" s="39">
        <f t="shared" si="23"/>
        <v>99</v>
      </c>
      <c r="G123" s="50">
        <f t="shared" si="23"/>
        <v>1952</v>
      </c>
      <c r="H123" s="44">
        <f t="shared" si="23"/>
        <v>1</v>
      </c>
      <c r="I123" s="39">
        <f t="shared" si="23"/>
        <v>0</v>
      </c>
      <c r="J123" s="39">
        <f t="shared" si="23"/>
        <v>0</v>
      </c>
      <c r="K123" s="45">
        <f t="shared" si="23"/>
        <v>0</v>
      </c>
      <c r="L123" s="144">
        <f t="shared" si="23"/>
        <v>4</v>
      </c>
      <c r="M123" s="50">
        <f t="shared" si="23"/>
        <v>5</v>
      </c>
      <c r="N123" s="40">
        <f t="shared" si="14"/>
        <v>1957</v>
      </c>
      <c r="O123" s="43">
        <f t="shared" si="15"/>
        <v>2022</v>
      </c>
    </row>
    <row r="124" spans="1:15" ht="22.95" customHeight="1" x14ac:dyDescent="0.3">
      <c r="A124" s="52" t="s">
        <v>25</v>
      </c>
      <c r="B124" s="44">
        <f t="shared" ref="B124:M124" si="24">B18+B19+B20+B21</f>
        <v>881</v>
      </c>
      <c r="C124" s="39">
        <f t="shared" si="24"/>
        <v>806</v>
      </c>
      <c r="D124" s="39">
        <f t="shared" si="24"/>
        <v>66</v>
      </c>
      <c r="E124" s="39">
        <f t="shared" si="24"/>
        <v>40</v>
      </c>
      <c r="F124" s="39">
        <f t="shared" si="24"/>
        <v>114</v>
      </c>
      <c r="G124" s="50">
        <f t="shared" si="24"/>
        <v>1907</v>
      </c>
      <c r="H124" s="44">
        <f t="shared" si="24"/>
        <v>2</v>
      </c>
      <c r="I124" s="39">
        <f t="shared" si="24"/>
        <v>0</v>
      </c>
      <c r="J124" s="39">
        <f t="shared" si="24"/>
        <v>0</v>
      </c>
      <c r="K124" s="45">
        <f t="shared" si="24"/>
        <v>0</v>
      </c>
      <c r="L124" s="144">
        <f t="shared" si="24"/>
        <v>6</v>
      </c>
      <c r="M124" s="50">
        <f t="shared" si="24"/>
        <v>8</v>
      </c>
      <c r="N124" s="40">
        <f t="shared" si="14"/>
        <v>1915</v>
      </c>
      <c r="O124" s="43">
        <f t="shared" si="15"/>
        <v>2065</v>
      </c>
    </row>
    <row r="125" spans="1:15" ht="22.95" customHeight="1" x14ac:dyDescent="0.3">
      <c r="A125" s="52" t="s">
        <v>26</v>
      </c>
      <c r="B125" s="44">
        <f t="shared" ref="B125:M125" si="25">B19+B20+B21+B22</f>
        <v>835</v>
      </c>
      <c r="C125" s="39">
        <f t="shared" si="25"/>
        <v>751</v>
      </c>
      <c r="D125" s="39">
        <f t="shared" si="25"/>
        <v>65</v>
      </c>
      <c r="E125" s="39">
        <f t="shared" si="25"/>
        <v>35</v>
      </c>
      <c r="F125" s="39">
        <f t="shared" si="25"/>
        <v>125</v>
      </c>
      <c r="G125" s="50">
        <f t="shared" si="25"/>
        <v>1811</v>
      </c>
      <c r="H125" s="44">
        <f t="shared" si="25"/>
        <v>1</v>
      </c>
      <c r="I125" s="39">
        <f t="shared" si="25"/>
        <v>1</v>
      </c>
      <c r="J125" s="39">
        <f t="shared" si="25"/>
        <v>0</v>
      </c>
      <c r="K125" s="45">
        <f t="shared" si="25"/>
        <v>0</v>
      </c>
      <c r="L125" s="144">
        <f t="shared" si="25"/>
        <v>7</v>
      </c>
      <c r="M125" s="50">
        <f t="shared" si="25"/>
        <v>9</v>
      </c>
      <c r="N125" s="40">
        <f t="shared" si="14"/>
        <v>1820</v>
      </c>
      <c r="O125" s="43">
        <f t="shared" si="15"/>
        <v>2033.5</v>
      </c>
    </row>
    <row r="126" spans="1:15" ht="22.95" customHeight="1" x14ac:dyDescent="0.3">
      <c r="A126" s="52" t="s">
        <v>27</v>
      </c>
      <c r="B126" s="44">
        <f t="shared" ref="B126:M126" si="26">B20+B21+B22+B23</f>
        <v>837</v>
      </c>
      <c r="C126" s="39">
        <f t="shared" si="26"/>
        <v>701</v>
      </c>
      <c r="D126" s="39">
        <f t="shared" si="26"/>
        <v>62</v>
      </c>
      <c r="E126" s="39">
        <f t="shared" si="26"/>
        <v>34</v>
      </c>
      <c r="F126" s="39">
        <f t="shared" si="26"/>
        <v>130</v>
      </c>
      <c r="G126" s="50">
        <f t="shared" si="26"/>
        <v>1764</v>
      </c>
      <c r="H126" s="44">
        <f t="shared" si="26"/>
        <v>2</v>
      </c>
      <c r="I126" s="39">
        <f t="shared" si="26"/>
        <v>1</v>
      </c>
      <c r="J126" s="39">
        <f t="shared" si="26"/>
        <v>0</v>
      </c>
      <c r="K126" s="45">
        <f t="shared" si="26"/>
        <v>0</v>
      </c>
      <c r="L126" s="144">
        <f t="shared" si="26"/>
        <v>9</v>
      </c>
      <c r="M126" s="50">
        <f t="shared" si="26"/>
        <v>12</v>
      </c>
      <c r="N126" s="40">
        <f t="shared" si="14"/>
        <v>1776</v>
      </c>
      <c r="O126" s="43">
        <f t="shared" si="15"/>
        <v>2042</v>
      </c>
    </row>
    <row r="127" spans="1:15" ht="22.95" customHeight="1" x14ac:dyDescent="0.3">
      <c r="A127" s="52" t="s">
        <v>28</v>
      </c>
      <c r="B127" s="44">
        <f t="shared" ref="B127:M127" si="27">B21+B22+B23+B24</f>
        <v>821</v>
      </c>
      <c r="C127" s="39">
        <f t="shared" si="27"/>
        <v>648</v>
      </c>
      <c r="D127" s="39">
        <f t="shared" si="27"/>
        <v>72</v>
      </c>
      <c r="E127" s="39">
        <f t="shared" si="27"/>
        <v>36</v>
      </c>
      <c r="F127" s="39">
        <f t="shared" si="27"/>
        <v>124</v>
      </c>
      <c r="G127" s="50">
        <f t="shared" si="27"/>
        <v>1701</v>
      </c>
      <c r="H127" s="44">
        <f t="shared" si="27"/>
        <v>2</v>
      </c>
      <c r="I127" s="39">
        <f t="shared" si="27"/>
        <v>1</v>
      </c>
      <c r="J127" s="39">
        <f t="shared" si="27"/>
        <v>0</v>
      </c>
      <c r="K127" s="45">
        <f t="shared" si="27"/>
        <v>0</v>
      </c>
      <c r="L127" s="144">
        <f t="shared" si="27"/>
        <v>9</v>
      </c>
      <c r="M127" s="50">
        <f t="shared" si="27"/>
        <v>12</v>
      </c>
      <c r="N127" s="40">
        <f t="shared" si="14"/>
        <v>1713</v>
      </c>
      <c r="O127" s="43">
        <f t="shared" si="15"/>
        <v>1993.5</v>
      </c>
    </row>
    <row r="128" spans="1:15" ht="22.95" customHeight="1" x14ac:dyDescent="0.3">
      <c r="A128" s="52" t="s">
        <v>29</v>
      </c>
      <c r="B128" s="44">
        <f t="shared" ref="B128:M128" si="28">B22+B23+B24+B25</f>
        <v>787</v>
      </c>
      <c r="C128" s="39">
        <f t="shared" si="28"/>
        <v>571</v>
      </c>
      <c r="D128" s="39">
        <f t="shared" si="28"/>
        <v>84</v>
      </c>
      <c r="E128" s="39">
        <f t="shared" si="28"/>
        <v>38</v>
      </c>
      <c r="F128" s="39">
        <f t="shared" si="28"/>
        <v>107</v>
      </c>
      <c r="G128" s="50">
        <f t="shared" si="28"/>
        <v>1587</v>
      </c>
      <c r="H128" s="44">
        <f t="shared" si="28"/>
        <v>1</v>
      </c>
      <c r="I128" s="39">
        <f t="shared" si="28"/>
        <v>1</v>
      </c>
      <c r="J128" s="39">
        <f t="shared" si="28"/>
        <v>0</v>
      </c>
      <c r="K128" s="45">
        <f t="shared" si="28"/>
        <v>0</v>
      </c>
      <c r="L128" s="144">
        <f t="shared" si="28"/>
        <v>8</v>
      </c>
      <c r="M128" s="50">
        <f t="shared" si="28"/>
        <v>10</v>
      </c>
      <c r="N128" s="40">
        <f t="shared" si="14"/>
        <v>1597</v>
      </c>
      <c r="O128" s="43">
        <f t="shared" si="15"/>
        <v>1860</v>
      </c>
    </row>
    <row r="129" spans="1:15" ht="22.95" customHeight="1" x14ac:dyDescent="0.3">
      <c r="A129" s="52" t="s">
        <v>30</v>
      </c>
      <c r="B129" s="44">
        <f t="shared" ref="B129:M129" si="29">B23+B24+B25+B26</f>
        <v>790</v>
      </c>
      <c r="C129" s="39">
        <f t="shared" si="29"/>
        <v>559</v>
      </c>
      <c r="D129" s="39">
        <f t="shared" si="29"/>
        <v>89</v>
      </c>
      <c r="E129" s="39">
        <f t="shared" si="29"/>
        <v>46</v>
      </c>
      <c r="F129" s="39">
        <f t="shared" si="29"/>
        <v>105</v>
      </c>
      <c r="G129" s="50">
        <f t="shared" si="29"/>
        <v>1589</v>
      </c>
      <c r="H129" s="44">
        <f t="shared" si="29"/>
        <v>1</v>
      </c>
      <c r="I129" s="39">
        <f t="shared" si="29"/>
        <v>0</v>
      </c>
      <c r="J129" s="39">
        <f t="shared" si="29"/>
        <v>1</v>
      </c>
      <c r="K129" s="45">
        <f t="shared" si="29"/>
        <v>0</v>
      </c>
      <c r="L129" s="144">
        <f t="shared" si="29"/>
        <v>9</v>
      </c>
      <c r="M129" s="50">
        <f t="shared" si="29"/>
        <v>11</v>
      </c>
      <c r="N129" s="40">
        <f t="shared" si="14"/>
        <v>1600</v>
      </c>
      <c r="O129" s="43">
        <f t="shared" si="15"/>
        <v>1889</v>
      </c>
    </row>
    <row r="130" spans="1:15" ht="22.95" customHeight="1" x14ac:dyDescent="0.3">
      <c r="A130" s="52" t="s">
        <v>31</v>
      </c>
      <c r="B130" s="44">
        <f t="shared" ref="B130:M130" si="30">B24+B25+B26+B27</f>
        <v>787</v>
      </c>
      <c r="C130" s="39">
        <f t="shared" si="30"/>
        <v>543</v>
      </c>
      <c r="D130" s="39">
        <f t="shared" si="30"/>
        <v>90</v>
      </c>
      <c r="E130" s="39">
        <f t="shared" si="30"/>
        <v>47</v>
      </c>
      <c r="F130" s="39">
        <f t="shared" si="30"/>
        <v>102</v>
      </c>
      <c r="G130" s="50">
        <f t="shared" si="30"/>
        <v>1569</v>
      </c>
      <c r="H130" s="44">
        <f t="shared" si="30"/>
        <v>0</v>
      </c>
      <c r="I130" s="39">
        <f t="shared" si="30"/>
        <v>0</v>
      </c>
      <c r="J130" s="39">
        <f t="shared" si="30"/>
        <v>1</v>
      </c>
      <c r="K130" s="45">
        <f t="shared" si="30"/>
        <v>0</v>
      </c>
      <c r="L130" s="144">
        <f t="shared" si="30"/>
        <v>7</v>
      </c>
      <c r="M130" s="50">
        <f t="shared" si="30"/>
        <v>8</v>
      </c>
      <c r="N130" s="40">
        <f t="shared" si="14"/>
        <v>1577</v>
      </c>
      <c r="O130" s="43">
        <f t="shared" si="15"/>
        <v>1852.5</v>
      </c>
    </row>
    <row r="131" spans="1:15" ht="22.95" customHeight="1" x14ac:dyDescent="0.3">
      <c r="A131" s="52" t="s">
        <v>32</v>
      </c>
      <c r="B131" s="44">
        <f t="shared" ref="B131:M131" si="31">B25+B26+B27+B28</f>
        <v>821</v>
      </c>
      <c r="C131" s="39">
        <f t="shared" si="31"/>
        <v>531</v>
      </c>
      <c r="D131" s="39">
        <f t="shared" si="31"/>
        <v>94</v>
      </c>
      <c r="E131" s="39">
        <f t="shared" si="31"/>
        <v>46</v>
      </c>
      <c r="F131" s="39">
        <f t="shared" si="31"/>
        <v>113</v>
      </c>
      <c r="G131" s="50">
        <f t="shared" si="31"/>
        <v>1605</v>
      </c>
      <c r="H131" s="44">
        <f t="shared" si="31"/>
        <v>0</v>
      </c>
      <c r="I131" s="39">
        <f t="shared" si="31"/>
        <v>0</v>
      </c>
      <c r="J131" s="39">
        <f t="shared" si="31"/>
        <v>1</v>
      </c>
      <c r="K131" s="45">
        <f t="shared" si="31"/>
        <v>0</v>
      </c>
      <c r="L131" s="144">
        <f t="shared" si="31"/>
        <v>7</v>
      </c>
      <c r="M131" s="50">
        <f t="shared" si="31"/>
        <v>8</v>
      </c>
      <c r="N131" s="40">
        <f t="shared" si="14"/>
        <v>1613</v>
      </c>
      <c r="O131" s="43">
        <f t="shared" si="15"/>
        <v>1933</v>
      </c>
    </row>
    <row r="132" spans="1:15" ht="22.95" customHeight="1" x14ac:dyDescent="0.3">
      <c r="A132" s="52" t="s">
        <v>33</v>
      </c>
      <c r="B132" s="44">
        <f t="shared" ref="B132:M132" si="32">B26+B27+B28+B29</f>
        <v>868</v>
      </c>
      <c r="C132" s="39">
        <f t="shared" si="32"/>
        <v>529</v>
      </c>
      <c r="D132" s="39">
        <f t="shared" si="32"/>
        <v>89</v>
      </c>
      <c r="E132" s="39">
        <f t="shared" si="32"/>
        <v>44</v>
      </c>
      <c r="F132" s="39">
        <f t="shared" si="32"/>
        <v>129</v>
      </c>
      <c r="G132" s="50">
        <f t="shared" si="32"/>
        <v>1659</v>
      </c>
      <c r="H132" s="44">
        <f t="shared" si="32"/>
        <v>2</v>
      </c>
      <c r="I132" s="39">
        <f t="shared" si="32"/>
        <v>0</v>
      </c>
      <c r="J132" s="39">
        <f t="shared" si="32"/>
        <v>1</v>
      </c>
      <c r="K132" s="45">
        <f t="shared" si="32"/>
        <v>0</v>
      </c>
      <c r="L132" s="144">
        <f t="shared" si="32"/>
        <v>5</v>
      </c>
      <c r="M132" s="50">
        <f t="shared" si="32"/>
        <v>8</v>
      </c>
      <c r="N132" s="40">
        <f t="shared" si="14"/>
        <v>1667</v>
      </c>
      <c r="O132" s="43">
        <f t="shared" si="15"/>
        <v>2022.5</v>
      </c>
    </row>
    <row r="133" spans="1:15" ht="22.95" customHeight="1" x14ac:dyDescent="0.3">
      <c r="A133" s="52" t="s">
        <v>34</v>
      </c>
      <c r="B133" s="44">
        <f t="shared" ref="B133:M133" si="33">B27+B28+B29+B30</f>
        <v>908</v>
      </c>
      <c r="C133" s="39">
        <f t="shared" si="33"/>
        <v>516</v>
      </c>
      <c r="D133" s="39">
        <f t="shared" si="33"/>
        <v>96</v>
      </c>
      <c r="E133" s="39">
        <f t="shared" si="33"/>
        <v>40</v>
      </c>
      <c r="F133" s="39">
        <f t="shared" si="33"/>
        <v>138</v>
      </c>
      <c r="G133" s="50">
        <f t="shared" si="33"/>
        <v>1698</v>
      </c>
      <c r="H133" s="44">
        <f t="shared" si="33"/>
        <v>4</v>
      </c>
      <c r="I133" s="39">
        <f t="shared" si="33"/>
        <v>0</v>
      </c>
      <c r="J133" s="39">
        <f t="shared" si="33"/>
        <v>0</v>
      </c>
      <c r="K133" s="45">
        <f t="shared" si="33"/>
        <v>0</v>
      </c>
      <c r="L133" s="144">
        <f t="shared" si="33"/>
        <v>5</v>
      </c>
      <c r="M133" s="50">
        <f t="shared" si="33"/>
        <v>9</v>
      </c>
      <c r="N133" s="40">
        <f t="shared" si="14"/>
        <v>1707</v>
      </c>
      <c r="O133" s="43">
        <f t="shared" si="15"/>
        <v>2093</v>
      </c>
    </row>
    <row r="134" spans="1:15" ht="22.95" customHeight="1" x14ac:dyDescent="0.3">
      <c r="A134" s="52" t="s">
        <v>35</v>
      </c>
      <c r="B134" s="44">
        <f t="shared" ref="B134:M134" si="34">B28+B29+B30+B31</f>
        <v>943</v>
      </c>
      <c r="C134" s="39">
        <f t="shared" si="34"/>
        <v>508</v>
      </c>
      <c r="D134" s="39">
        <f t="shared" si="34"/>
        <v>90</v>
      </c>
      <c r="E134" s="39">
        <f t="shared" si="34"/>
        <v>41</v>
      </c>
      <c r="F134" s="39">
        <f t="shared" si="34"/>
        <v>152</v>
      </c>
      <c r="G134" s="50">
        <f t="shared" si="34"/>
        <v>1734</v>
      </c>
      <c r="H134" s="44">
        <f t="shared" si="34"/>
        <v>4</v>
      </c>
      <c r="I134" s="39">
        <f t="shared" si="34"/>
        <v>0</v>
      </c>
      <c r="J134" s="39">
        <f t="shared" si="34"/>
        <v>0</v>
      </c>
      <c r="K134" s="45">
        <f t="shared" si="34"/>
        <v>0</v>
      </c>
      <c r="L134" s="144">
        <f t="shared" si="34"/>
        <v>7</v>
      </c>
      <c r="M134" s="50">
        <f t="shared" si="34"/>
        <v>11</v>
      </c>
      <c r="N134" s="40">
        <f t="shared" si="14"/>
        <v>1745</v>
      </c>
      <c r="O134" s="43">
        <f t="shared" si="15"/>
        <v>2197</v>
      </c>
    </row>
    <row r="135" spans="1:15" ht="22.95" customHeight="1" x14ac:dyDescent="0.3">
      <c r="A135" s="52" t="s">
        <v>36</v>
      </c>
      <c r="B135" s="44">
        <f t="shared" ref="B135:M135" si="35">B29+B30+B31+B32</f>
        <v>926</v>
      </c>
      <c r="C135" s="39">
        <f t="shared" si="35"/>
        <v>504</v>
      </c>
      <c r="D135" s="39">
        <f t="shared" si="35"/>
        <v>95</v>
      </c>
      <c r="E135" s="39">
        <f t="shared" si="35"/>
        <v>42</v>
      </c>
      <c r="F135" s="39">
        <f t="shared" si="35"/>
        <v>161</v>
      </c>
      <c r="G135" s="50">
        <f t="shared" si="35"/>
        <v>1728</v>
      </c>
      <c r="H135" s="44">
        <f t="shared" si="35"/>
        <v>4</v>
      </c>
      <c r="I135" s="39">
        <f t="shared" si="35"/>
        <v>0</v>
      </c>
      <c r="J135" s="39">
        <f t="shared" si="35"/>
        <v>0</v>
      </c>
      <c r="K135" s="45">
        <f t="shared" si="35"/>
        <v>0</v>
      </c>
      <c r="L135" s="144">
        <f t="shared" si="35"/>
        <v>6</v>
      </c>
      <c r="M135" s="50">
        <f t="shared" si="35"/>
        <v>10</v>
      </c>
      <c r="N135" s="40">
        <f t="shared" si="14"/>
        <v>1738</v>
      </c>
      <c r="O135" s="43">
        <f t="shared" si="15"/>
        <v>2221</v>
      </c>
    </row>
    <row r="136" spans="1:15" ht="22.95" customHeight="1" x14ac:dyDescent="0.3">
      <c r="A136" s="52" t="s">
        <v>37</v>
      </c>
      <c r="B136" s="44">
        <f t="shared" ref="B136:M136" si="36">B30+B31+B32+B33</f>
        <v>877</v>
      </c>
      <c r="C136" s="39">
        <f t="shared" si="36"/>
        <v>469</v>
      </c>
      <c r="D136" s="39">
        <f t="shared" si="36"/>
        <v>96</v>
      </c>
      <c r="E136" s="39">
        <f t="shared" si="36"/>
        <v>43</v>
      </c>
      <c r="F136" s="39">
        <f t="shared" si="36"/>
        <v>169</v>
      </c>
      <c r="G136" s="50">
        <f t="shared" si="36"/>
        <v>1654</v>
      </c>
      <c r="H136" s="44">
        <f t="shared" si="36"/>
        <v>2</v>
      </c>
      <c r="I136" s="39">
        <f t="shared" si="36"/>
        <v>0</v>
      </c>
      <c r="J136" s="39">
        <f t="shared" si="36"/>
        <v>0</v>
      </c>
      <c r="K136" s="45">
        <f t="shared" si="36"/>
        <v>0</v>
      </c>
      <c r="L136" s="144">
        <f t="shared" si="36"/>
        <v>9</v>
      </c>
      <c r="M136" s="50">
        <f t="shared" si="36"/>
        <v>11</v>
      </c>
      <c r="N136" s="40">
        <f t="shared" si="14"/>
        <v>1665</v>
      </c>
      <c r="O136" s="43">
        <f t="shared" si="15"/>
        <v>2218</v>
      </c>
    </row>
    <row r="137" spans="1:15" ht="22.95" customHeight="1" x14ac:dyDescent="0.3">
      <c r="A137" s="52" t="s">
        <v>38</v>
      </c>
      <c r="B137" s="44">
        <f t="shared" ref="B137:M137" si="37">B31+B32+B33+B34</f>
        <v>821</v>
      </c>
      <c r="C137" s="39">
        <f t="shared" si="37"/>
        <v>405</v>
      </c>
      <c r="D137" s="39">
        <f t="shared" si="37"/>
        <v>93</v>
      </c>
      <c r="E137" s="39">
        <f t="shared" si="37"/>
        <v>43</v>
      </c>
      <c r="F137" s="39">
        <f t="shared" si="37"/>
        <v>174</v>
      </c>
      <c r="G137" s="50">
        <f t="shared" si="37"/>
        <v>1536</v>
      </c>
      <c r="H137" s="44">
        <f t="shared" si="37"/>
        <v>0</v>
      </c>
      <c r="I137" s="39">
        <f t="shared" si="37"/>
        <v>0</v>
      </c>
      <c r="J137" s="39">
        <f t="shared" si="37"/>
        <v>1</v>
      </c>
      <c r="K137" s="45">
        <f t="shared" si="37"/>
        <v>0</v>
      </c>
      <c r="L137" s="144">
        <f t="shared" si="37"/>
        <v>7</v>
      </c>
      <c r="M137" s="50">
        <f t="shared" si="37"/>
        <v>8</v>
      </c>
      <c r="N137" s="40">
        <f t="shared" si="14"/>
        <v>1544</v>
      </c>
      <c r="O137" s="43">
        <f t="shared" si="15"/>
        <v>2134</v>
      </c>
    </row>
    <row r="138" spans="1:15" ht="22.95" customHeight="1" x14ac:dyDescent="0.3">
      <c r="A138" s="52" t="s">
        <v>39</v>
      </c>
      <c r="B138" s="44">
        <f t="shared" ref="B138:M138" si="38">B32+B33+B34+B35</f>
        <v>745</v>
      </c>
      <c r="C138" s="39">
        <f t="shared" si="38"/>
        <v>364</v>
      </c>
      <c r="D138" s="39">
        <f t="shared" si="38"/>
        <v>102</v>
      </c>
      <c r="E138" s="39">
        <f t="shared" si="38"/>
        <v>49</v>
      </c>
      <c r="F138" s="39">
        <f t="shared" si="38"/>
        <v>163</v>
      </c>
      <c r="G138" s="50">
        <f t="shared" si="38"/>
        <v>1423</v>
      </c>
      <c r="H138" s="44">
        <f t="shared" si="38"/>
        <v>0</v>
      </c>
      <c r="I138" s="39">
        <f t="shared" si="38"/>
        <v>0</v>
      </c>
      <c r="J138" s="39">
        <f t="shared" si="38"/>
        <v>1</v>
      </c>
      <c r="K138" s="45">
        <f t="shared" si="38"/>
        <v>0</v>
      </c>
      <c r="L138" s="144">
        <f t="shared" si="38"/>
        <v>5</v>
      </c>
      <c r="M138" s="50">
        <f t="shared" si="38"/>
        <v>6</v>
      </c>
      <c r="N138" s="40">
        <f t="shared" si="14"/>
        <v>1429</v>
      </c>
      <c r="O138" s="43">
        <f t="shared" si="15"/>
        <v>2003.5</v>
      </c>
    </row>
    <row r="139" spans="1:15" ht="22.95" customHeight="1" x14ac:dyDescent="0.3">
      <c r="A139" s="52" t="s">
        <v>40</v>
      </c>
      <c r="B139" s="44">
        <f t="shared" ref="B139:M139" si="39">B33+B34+B35+B36</f>
        <v>738</v>
      </c>
      <c r="C139" s="39">
        <f t="shared" si="39"/>
        <v>319</v>
      </c>
      <c r="D139" s="39">
        <f t="shared" si="39"/>
        <v>85</v>
      </c>
      <c r="E139" s="39">
        <f t="shared" si="39"/>
        <v>52</v>
      </c>
      <c r="F139" s="39">
        <f t="shared" si="39"/>
        <v>183</v>
      </c>
      <c r="G139" s="50">
        <f t="shared" si="39"/>
        <v>1377</v>
      </c>
      <c r="H139" s="44">
        <f t="shared" si="39"/>
        <v>0</v>
      </c>
      <c r="I139" s="39">
        <f t="shared" si="39"/>
        <v>0</v>
      </c>
      <c r="J139" s="39">
        <f t="shared" si="39"/>
        <v>3</v>
      </c>
      <c r="K139" s="45">
        <f t="shared" si="39"/>
        <v>0</v>
      </c>
      <c r="L139" s="144">
        <f t="shared" si="39"/>
        <v>5</v>
      </c>
      <c r="M139" s="50">
        <f t="shared" si="39"/>
        <v>8</v>
      </c>
      <c r="N139" s="40">
        <f t="shared" si="14"/>
        <v>1385</v>
      </c>
      <c r="O139" s="43">
        <f t="shared" si="15"/>
        <v>2053.5</v>
      </c>
    </row>
    <row r="140" spans="1:15" ht="22.95" customHeight="1" x14ac:dyDescent="0.3">
      <c r="A140" s="52" t="s">
        <v>41</v>
      </c>
      <c r="B140" s="44">
        <f t="shared" ref="B140:M140" si="40">B34+B35+B36+B37</f>
        <v>778</v>
      </c>
      <c r="C140" s="39">
        <f t="shared" si="40"/>
        <v>341</v>
      </c>
      <c r="D140" s="39">
        <f t="shared" si="40"/>
        <v>70</v>
      </c>
      <c r="E140" s="39">
        <f t="shared" si="40"/>
        <v>57</v>
      </c>
      <c r="F140" s="39">
        <f t="shared" si="40"/>
        <v>189</v>
      </c>
      <c r="G140" s="50">
        <f t="shared" si="40"/>
        <v>1435</v>
      </c>
      <c r="H140" s="44">
        <f t="shared" si="40"/>
        <v>0</v>
      </c>
      <c r="I140" s="39">
        <f t="shared" si="40"/>
        <v>0</v>
      </c>
      <c r="J140" s="39">
        <f t="shared" si="40"/>
        <v>3</v>
      </c>
      <c r="K140" s="45">
        <f t="shared" si="40"/>
        <v>0</v>
      </c>
      <c r="L140" s="144">
        <f t="shared" si="40"/>
        <v>3</v>
      </c>
      <c r="M140" s="50">
        <f t="shared" si="40"/>
        <v>6</v>
      </c>
      <c r="N140" s="40">
        <f t="shared" si="14"/>
        <v>1441</v>
      </c>
      <c r="O140" s="43">
        <f t="shared" si="15"/>
        <v>2108</v>
      </c>
    </row>
    <row r="141" spans="1:15" ht="22.95" customHeight="1" x14ac:dyDescent="0.3">
      <c r="A141" s="52" t="s">
        <v>42</v>
      </c>
      <c r="B141" s="44">
        <f t="shared" ref="B141:M141" si="41">B35+B36+B37+B38</f>
        <v>790</v>
      </c>
      <c r="C141" s="39">
        <f t="shared" si="41"/>
        <v>346</v>
      </c>
      <c r="D141" s="39">
        <f t="shared" si="41"/>
        <v>62</v>
      </c>
      <c r="E141" s="39">
        <f t="shared" si="41"/>
        <v>63</v>
      </c>
      <c r="F141" s="39">
        <f t="shared" si="41"/>
        <v>195</v>
      </c>
      <c r="G141" s="50">
        <f t="shared" si="41"/>
        <v>1456</v>
      </c>
      <c r="H141" s="44">
        <f t="shared" si="41"/>
        <v>0</v>
      </c>
      <c r="I141" s="39">
        <f t="shared" si="41"/>
        <v>0</v>
      </c>
      <c r="J141" s="39">
        <f t="shared" si="41"/>
        <v>2</v>
      </c>
      <c r="K141" s="45">
        <f t="shared" si="41"/>
        <v>0</v>
      </c>
      <c r="L141" s="144">
        <f t="shared" si="41"/>
        <v>2</v>
      </c>
      <c r="M141" s="50">
        <f t="shared" si="41"/>
        <v>4</v>
      </c>
      <c r="N141" s="40">
        <f t="shared" si="14"/>
        <v>1460</v>
      </c>
      <c r="O141" s="43">
        <f t="shared" si="15"/>
        <v>2144.5</v>
      </c>
    </row>
    <row r="142" spans="1:15" ht="22.95" customHeight="1" x14ac:dyDescent="0.3">
      <c r="A142" s="52" t="s">
        <v>43</v>
      </c>
      <c r="B142" s="44">
        <f t="shared" ref="B142:M142" si="42">B36+B37+B38+B39</f>
        <v>796</v>
      </c>
      <c r="C142" s="39">
        <f t="shared" si="42"/>
        <v>326</v>
      </c>
      <c r="D142" s="39">
        <f t="shared" si="42"/>
        <v>61</v>
      </c>
      <c r="E142" s="39">
        <f t="shared" si="42"/>
        <v>71</v>
      </c>
      <c r="F142" s="39">
        <f t="shared" si="42"/>
        <v>207</v>
      </c>
      <c r="G142" s="50">
        <f t="shared" si="42"/>
        <v>1461</v>
      </c>
      <c r="H142" s="44">
        <f t="shared" si="42"/>
        <v>0</v>
      </c>
      <c r="I142" s="39">
        <f t="shared" si="42"/>
        <v>0</v>
      </c>
      <c r="J142" s="39">
        <f t="shared" si="42"/>
        <v>2</v>
      </c>
      <c r="K142" s="45">
        <f t="shared" si="42"/>
        <v>0</v>
      </c>
      <c r="L142" s="144">
        <f t="shared" si="42"/>
        <v>2</v>
      </c>
      <c r="M142" s="50">
        <f t="shared" si="42"/>
        <v>4</v>
      </c>
      <c r="N142" s="40">
        <f t="shared" si="14"/>
        <v>1465</v>
      </c>
      <c r="O142" s="43">
        <f t="shared" si="15"/>
        <v>2217</v>
      </c>
    </row>
    <row r="143" spans="1:15" ht="22.95" customHeight="1" x14ac:dyDescent="0.3">
      <c r="A143" s="52" t="s">
        <v>44</v>
      </c>
      <c r="B143" s="44">
        <f t="shared" ref="B143:M143" si="43">B37+B38+B39+B40</f>
        <v>769</v>
      </c>
      <c r="C143" s="39">
        <f t="shared" si="43"/>
        <v>367</v>
      </c>
      <c r="D143" s="39">
        <f t="shared" si="43"/>
        <v>68</v>
      </c>
      <c r="E143" s="39">
        <f t="shared" si="43"/>
        <v>63</v>
      </c>
      <c r="F143" s="39">
        <f t="shared" si="43"/>
        <v>202</v>
      </c>
      <c r="G143" s="50">
        <f t="shared" si="43"/>
        <v>1469</v>
      </c>
      <c r="H143" s="44">
        <f t="shared" si="43"/>
        <v>1</v>
      </c>
      <c r="I143" s="39">
        <f t="shared" si="43"/>
        <v>0</v>
      </c>
      <c r="J143" s="39">
        <f t="shared" si="43"/>
        <v>0</v>
      </c>
      <c r="K143" s="45">
        <f t="shared" si="43"/>
        <v>0</v>
      </c>
      <c r="L143" s="144">
        <f t="shared" si="43"/>
        <v>6</v>
      </c>
      <c r="M143" s="50">
        <f t="shared" si="43"/>
        <v>7</v>
      </c>
      <c r="N143" s="40">
        <f t="shared" si="14"/>
        <v>1476</v>
      </c>
      <c r="O143" s="43">
        <f t="shared" si="15"/>
        <v>2201</v>
      </c>
    </row>
    <row r="144" spans="1:15" ht="22.95" customHeight="1" x14ac:dyDescent="0.3">
      <c r="A144" s="52" t="s">
        <v>45</v>
      </c>
      <c r="B144" s="44">
        <f t="shared" ref="B144:M144" si="44">B38+B39+B40+B41</f>
        <v>725</v>
      </c>
      <c r="C144" s="39">
        <f t="shared" si="44"/>
        <v>385</v>
      </c>
      <c r="D144" s="39">
        <f t="shared" si="44"/>
        <v>84</v>
      </c>
      <c r="E144" s="39">
        <f t="shared" si="44"/>
        <v>57</v>
      </c>
      <c r="F144" s="39">
        <f t="shared" si="44"/>
        <v>186</v>
      </c>
      <c r="G144" s="50">
        <f t="shared" si="44"/>
        <v>1437</v>
      </c>
      <c r="H144" s="44">
        <f t="shared" si="44"/>
        <v>1</v>
      </c>
      <c r="I144" s="39">
        <f t="shared" si="44"/>
        <v>0</v>
      </c>
      <c r="J144" s="39">
        <f t="shared" si="44"/>
        <v>0</v>
      </c>
      <c r="K144" s="45">
        <f t="shared" si="44"/>
        <v>0</v>
      </c>
      <c r="L144" s="144">
        <f t="shared" si="44"/>
        <v>8</v>
      </c>
      <c r="M144" s="50">
        <f t="shared" si="44"/>
        <v>9</v>
      </c>
      <c r="N144" s="40">
        <f t="shared" si="14"/>
        <v>1446</v>
      </c>
      <c r="O144" s="43">
        <f t="shared" si="15"/>
        <v>2116</v>
      </c>
    </row>
    <row r="145" spans="1:15" ht="22.95" customHeight="1" x14ac:dyDescent="0.3">
      <c r="A145" s="52" t="s">
        <v>46</v>
      </c>
      <c r="B145" s="44">
        <f t="shared" ref="B145:M145" si="45">B39+B40+B41+B42</f>
        <v>754</v>
      </c>
      <c r="C145" s="39">
        <f t="shared" si="45"/>
        <v>443</v>
      </c>
      <c r="D145" s="39">
        <f t="shared" si="45"/>
        <v>86</v>
      </c>
      <c r="E145" s="39">
        <f t="shared" si="45"/>
        <v>51</v>
      </c>
      <c r="F145" s="39">
        <f t="shared" si="45"/>
        <v>190</v>
      </c>
      <c r="G145" s="50">
        <f t="shared" si="45"/>
        <v>1524</v>
      </c>
      <c r="H145" s="44">
        <f t="shared" si="45"/>
        <v>1</v>
      </c>
      <c r="I145" s="39">
        <f t="shared" si="45"/>
        <v>0</v>
      </c>
      <c r="J145" s="39">
        <f t="shared" si="45"/>
        <v>0</v>
      </c>
      <c r="K145" s="45">
        <f t="shared" si="45"/>
        <v>0</v>
      </c>
      <c r="L145" s="144">
        <f t="shared" si="45"/>
        <v>12</v>
      </c>
      <c r="M145" s="50">
        <f t="shared" si="45"/>
        <v>13</v>
      </c>
      <c r="N145" s="40">
        <f t="shared" si="14"/>
        <v>1537</v>
      </c>
      <c r="O145" s="43">
        <f t="shared" si="15"/>
        <v>2209</v>
      </c>
    </row>
    <row r="146" spans="1:15" ht="22.95" customHeight="1" x14ac:dyDescent="0.3">
      <c r="A146" s="52" t="s">
        <v>47</v>
      </c>
      <c r="B146" s="44">
        <f t="shared" ref="B146:M146" si="46">B40+B41+B42+B43</f>
        <v>737</v>
      </c>
      <c r="C146" s="39">
        <f t="shared" si="46"/>
        <v>488</v>
      </c>
      <c r="D146" s="39">
        <f t="shared" si="46"/>
        <v>89</v>
      </c>
      <c r="E146" s="39">
        <f t="shared" si="46"/>
        <v>35</v>
      </c>
      <c r="F146" s="39">
        <f t="shared" si="46"/>
        <v>187</v>
      </c>
      <c r="G146" s="50">
        <f t="shared" si="46"/>
        <v>1536</v>
      </c>
      <c r="H146" s="44">
        <f t="shared" si="46"/>
        <v>1</v>
      </c>
      <c r="I146" s="39">
        <f t="shared" si="46"/>
        <v>0</v>
      </c>
      <c r="J146" s="39">
        <f t="shared" si="46"/>
        <v>0</v>
      </c>
      <c r="K146" s="45">
        <f t="shared" si="46"/>
        <v>0</v>
      </c>
      <c r="L146" s="144">
        <f t="shared" si="46"/>
        <v>12</v>
      </c>
      <c r="M146" s="50">
        <f t="shared" si="46"/>
        <v>13</v>
      </c>
      <c r="N146" s="40">
        <f t="shared" si="14"/>
        <v>1549</v>
      </c>
      <c r="O146" s="43">
        <f t="shared" si="15"/>
        <v>2157.5</v>
      </c>
    </row>
    <row r="147" spans="1:15" ht="22.95" customHeight="1" x14ac:dyDescent="0.3">
      <c r="A147" s="52" t="s">
        <v>48</v>
      </c>
      <c r="B147" s="44">
        <f t="shared" ref="B147:M147" si="47">B41+B42+B43+B44</f>
        <v>730</v>
      </c>
      <c r="C147" s="39">
        <f t="shared" si="47"/>
        <v>501</v>
      </c>
      <c r="D147" s="39">
        <f t="shared" si="47"/>
        <v>93</v>
      </c>
      <c r="E147" s="39">
        <f t="shared" si="47"/>
        <v>33</v>
      </c>
      <c r="F147" s="39">
        <f t="shared" si="47"/>
        <v>179</v>
      </c>
      <c r="G147" s="50">
        <f t="shared" si="47"/>
        <v>1536</v>
      </c>
      <c r="H147" s="44">
        <f t="shared" si="47"/>
        <v>2</v>
      </c>
      <c r="I147" s="39">
        <f t="shared" si="47"/>
        <v>0</v>
      </c>
      <c r="J147" s="39">
        <f t="shared" si="47"/>
        <v>0</v>
      </c>
      <c r="K147" s="45">
        <f t="shared" si="47"/>
        <v>0</v>
      </c>
      <c r="L147" s="144">
        <f t="shared" si="47"/>
        <v>11</v>
      </c>
      <c r="M147" s="50">
        <f t="shared" si="47"/>
        <v>13</v>
      </c>
      <c r="N147" s="40">
        <f t="shared" si="14"/>
        <v>1549</v>
      </c>
      <c r="O147" s="43">
        <f t="shared" si="15"/>
        <v>2113.5</v>
      </c>
    </row>
    <row r="148" spans="1:15" ht="22.95" customHeight="1" x14ac:dyDescent="0.3">
      <c r="A148" s="52" t="s">
        <v>49</v>
      </c>
      <c r="B148" s="44">
        <f t="shared" ref="B148:M148" si="48">B42+B43+B44+B45</f>
        <v>722</v>
      </c>
      <c r="C148" s="39">
        <f t="shared" si="48"/>
        <v>519</v>
      </c>
      <c r="D148" s="39">
        <f t="shared" si="48"/>
        <v>84</v>
      </c>
      <c r="E148" s="39">
        <f t="shared" si="48"/>
        <v>36</v>
      </c>
      <c r="F148" s="39">
        <f t="shared" si="48"/>
        <v>179</v>
      </c>
      <c r="G148" s="50">
        <f t="shared" si="48"/>
        <v>1540</v>
      </c>
      <c r="H148" s="44">
        <f t="shared" si="48"/>
        <v>2</v>
      </c>
      <c r="I148" s="39">
        <f t="shared" si="48"/>
        <v>0</v>
      </c>
      <c r="J148" s="39">
        <f t="shared" si="48"/>
        <v>0</v>
      </c>
      <c r="K148" s="45">
        <f t="shared" si="48"/>
        <v>0</v>
      </c>
      <c r="L148" s="144">
        <f t="shared" si="48"/>
        <v>12</v>
      </c>
      <c r="M148" s="50">
        <f t="shared" si="48"/>
        <v>14</v>
      </c>
      <c r="N148" s="40">
        <f t="shared" si="14"/>
        <v>1554</v>
      </c>
      <c r="O148" s="43">
        <f t="shared" si="15"/>
        <v>2118</v>
      </c>
    </row>
    <row r="149" spans="1:15" ht="22.95" customHeight="1" x14ac:dyDescent="0.3">
      <c r="A149" s="52" t="s">
        <v>50</v>
      </c>
      <c r="B149" s="44">
        <f t="shared" ref="B149:M149" si="49">B43+B44+B45+B46</f>
        <v>699</v>
      </c>
      <c r="C149" s="39">
        <f t="shared" si="49"/>
        <v>530</v>
      </c>
      <c r="D149" s="39">
        <f t="shared" si="49"/>
        <v>92</v>
      </c>
      <c r="E149" s="39">
        <f t="shared" si="49"/>
        <v>33</v>
      </c>
      <c r="F149" s="39">
        <f t="shared" si="49"/>
        <v>173</v>
      </c>
      <c r="G149" s="50">
        <f t="shared" si="49"/>
        <v>1527</v>
      </c>
      <c r="H149" s="44">
        <f t="shared" si="49"/>
        <v>3</v>
      </c>
      <c r="I149" s="39">
        <f t="shared" si="49"/>
        <v>0</v>
      </c>
      <c r="J149" s="39">
        <f t="shared" si="49"/>
        <v>0</v>
      </c>
      <c r="K149" s="45">
        <f t="shared" si="49"/>
        <v>0</v>
      </c>
      <c r="L149" s="144">
        <f t="shared" si="49"/>
        <v>9</v>
      </c>
      <c r="M149" s="50">
        <f t="shared" si="49"/>
        <v>12</v>
      </c>
      <c r="N149" s="40">
        <f t="shared" si="14"/>
        <v>1539</v>
      </c>
      <c r="O149" s="43">
        <f t="shared" si="15"/>
        <v>2053</v>
      </c>
    </row>
    <row r="150" spans="1:15" ht="22.95" customHeight="1" x14ac:dyDescent="0.3">
      <c r="A150" s="52" t="s">
        <v>51</v>
      </c>
      <c r="B150" s="44">
        <f t="shared" ref="B150:M150" si="50">B44+B45+B46+B47</f>
        <v>706</v>
      </c>
      <c r="C150" s="39">
        <f t="shared" si="50"/>
        <v>558</v>
      </c>
      <c r="D150" s="39">
        <f t="shared" si="50"/>
        <v>91</v>
      </c>
      <c r="E150" s="39">
        <f t="shared" si="50"/>
        <v>41</v>
      </c>
      <c r="F150" s="39">
        <f t="shared" si="50"/>
        <v>165</v>
      </c>
      <c r="G150" s="50">
        <f t="shared" si="50"/>
        <v>1561</v>
      </c>
      <c r="H150" s="44">
        <f t="shared" si="50"/>
        <v>3</v>
      </c>
      <c r="I150" s="39">
        <f t="shared" si="50"/>
        <v>0</v>
      </c>
      <c r="J150" s="39">
        <f t="shared" si="50"/>
        <v>0</v>
      </c>
      <c r="K150" s="45">
        <f t="shared" si="50"/>
        <v>0</v>
      </c>
      <c r="L150" s="144">
        <f t="shared" si="50"/>
        <v>10</v>
      </c>
      <c r="M150" s="50">
        <f t="shared" si="50"/>
        <v>13</v>
      </c>
      <c r="N150" s="40">
        <f t="shared" si="14"/>
        <v>1574</v>
      </c>
      <c r="O150" s="43">
        <f t="shared" si="15"/>
        <v>2068.5</v>
      </c>
    </row>
    <row r="151" spans="1:15" ht="22.95" customHeight="1" x14ac:dyDescent="0.3">
      <c r="A151" s="52" t="s">
        <v>52</v>
      </c>
      <c r="B151" s="44">
        <f t="shared" ref="B151:M151" si="51">B45+B46+B47+B48</f>
        <v>739</v>
      </c>
      <c r="C151" s="39">
        <f t="shared" si="51"/>
        <v>566</v>
      </c>
      <c r="D151" s="39">
        <f t="shared" si="51"/>
        <v>98</v>
      </c>
      <c r="E151" s="39">
        <f t="shared" si="51"/>
        <v>48</v>
      </c>
      <c r="F151" s="39">
        <f t="shared" si="51"/>
        <v>152</v>
      </c>
      <c r="G151" s="50">
        <f t="shared" si="51"/>
        <v>1603</v>
      </c>
      <c r="H151" s="44">
        <f t="shared" si="51"/>
        <v>3</v>
      </c>
      <c r="I151" s="39">
        <f t="shared" si="51"/>
        <v>0</v>
      </c>
      <c r="J151" s="39">
        <f t="shared" si="51"/>
        <v>0</v>
      </c>
      <c r="K151" s="45">
        <f t="shared" si="51"/>
        <v>0</v>
      </c>
      <c r="L151" s="144">
        <f t="shared" si="51"/>
        <v>9</v>
      </c>
      <c r="M151" s="50">
        <f t="shared" si="51"/>
        <v>12</v>
      </c>
      <c r="N151" s="40">
        <f t="shared" si="14"/>
        <v>1615</v>
      </c>
      <c r="O151" s="43">
        <f t="shared" si="15"/>
        <v>2070.5</v>
      </c>
    </row>
    <row r="152" spans="1:15" ht="22.95" customHeight="1" x14ac:dyDescent="0.3">
      <c r="A152" s="52" t="s">
        <v>53</v>
      </c>
      <c r="B152" s="44">
        <f t="shared" ref="B152:M152" si="52">B46+B47+B48+B49</f>
        <v>732</v>
      </c>
      <c r="C152" s="39">
        <f t="shared" si="52"/>
        <v>626</v>
      </c>
      <c r="D152" s="39">
        <f t="shared" si="52"/>
        <v>117</v>
      </c>
      <c r="E152" s="39">
        <f t="shared" si="52"/>
        <v>46</v>
      </c>
      <c r="F152" s="39">
        <f t="shared" si="52"/>
        <v>154</v>
      </c>
      <c r="G152" s="50">
        <f t="shared" si="52"/>
        <v>1675</v>
      </c>
      <c r="H152" s="44">
        <f t="shared" si="52"/>
        <v>3</v>
      </c>
      <c r="I152" s="39">
        <f t="shared" si="52"/>
        <v>0</v>
      </c>
      <c r="J152" s="39">
        <f t="shared" si="52"/>
        <v>0</v>
      </c>
      <c r="K152" s="45">
        <f t="shared" si="52"/>
        <v>0</v>
      </c>
      <c r="L152" s="144">
        <f t="shared" si="52"/>
        <v>9</v>
      </c>
      <c r="M152" s="50">
        <f t="shared" si="52"/>
        <v>12</v>
      </c>
      <c r="N152" s="40">
        <f t="shared" si="14"/>
        <v>1687</v>
      </c>
      <c r="O152" s="43">
        <f t="shared" si="15"/>
        <v>2125</v>
      </c>
    </row>
    <row r="153" spans="1:15" ht="22.95" customHeight="1" x14ac:dyDescent="0.3">
      <c r="A153" s="52" t="s">
        <v>54</v>
      </c>
      <c r="B153" s="44">
        <f t="shared" ref="B153:M153" si="53">B47+B48+B49+B50</f>
        <v>716</v>
      </c>
      <c r="C153" s="39">
        <f t="shared" si="53"/>
        <v>698</v>
      </c>
      <c r="D153" s="39">
        <f t="shared" si="53"/>
        <v>114</v>
      </c>
      <c r="E153" s="39">
        <f t="shared" si="53"/>
        <v>51</v>
      </c>
      <c r="F153" s="39">
        <f t="shared" si="53"/>
        <v>146</v>
      </c>
      <c r="G153" s="50">
        <f t="shared" si="53"/>
        <v>1725</v>
      </c>
      <c r="H153" s="44">
        <f t="shared" si="53"/>
        <v>3</v>
      </c>
      <c r="I153" s="39">
        <f t="shared" si="53"/>
        <v>0</v>
      </c>
      <c r="J153" s="39">
        <f t="shared" si="53"/>
        <v>0</v>
      </c>
      <c r="K153" s="45">
        <f t="shared" si="53"/>
        <v>0</v>
      </c>
      <c r="L153" s="144">
        <f t="shared" si="53"/>
        <v>15</v>
      </c>
      <c r="M153" s="50">
        <f t="shared" si="53"/>
        <v>18</v>
      </c>
      <c r="N153" s="40">
        <f t="shared" si="14"/>
        <v>1743</v>
      </c>
      <c r="O153" s="43">
        <f t="shared" si="15"/>
        <v>2167.5</v>
      </c>
    </row>
    <row r="154" spans="1:15" ht="22.95" customHeight="1" x14ac:dyDescent="0.3">
      <c r="A154" s="52" t="s">
        <v>55</v>
      </c>
      <c r="B154" s="44">
        <f t="shared" ref="B154:M154" si="54">B48+B49+B50+B51</f>
        <v>713</v>
      </c>
      <c r="C154" s="39">
        <f t="shared" si="54"/>
        <v>723</v>
      </c>
      <c r="D154" s="39">
        <f t="shared" si="54"/>
        <v>115</v>
      </c>
      <c r="E154" s="39">
        <f t="shared" si="54"/>
        <v>44</v>
      </c>
      <c r="F154" s="39">
        <f t="shared" si="54"/>
        <v>141</v>
      </c>
      <c r="G154" s="50">
        <f t="shared" si="54"/>
        <v>1736</v>
      </c>
      <c r="H154" s="44">
        <f t="shared" si="54"/>
        <v>4</v>
      </c>
      <c r="I154" s="39">
        <f t="shared" si="54"/>
        <v>0</v>
      </c>
      <c r="J154" s="39">
        <f t="shared" si="54"/>
        <v>0</v>
      </c>
      <c r="K154" s="45">
        <f t="shared" si="54"/>
        <v>0</v>
      </c>
      <c r="L154" s="144">
        <f t="shared" si="54"/>
        <v>17</v>
      </c>
      <c r="M154" s="50">
        <f t="shared" si="54"/>
        <v>21</v>
      </c>
      <c r="N154" s="40">
        <f t="shared" si="14"/>
        <v>1757</v>
      </c>
      <c r="O154" s="43">
        <f t="shared" si="15"/>
        <v>2151.5</v>
      </c>
    </row>
    <row r="155" spans="1:15" ht="22.95" customHeight="1" x14ac:dyDescent="0.3">
      <c r="A155" s="52" t="s">
        <v>56</v>
      </c>
      <c r="B155" s="44">
        <f t="shared" ref="B155:M155" si="55">B49+B50+B51+B52</f>
        <v>658</v>
      </c>
      <c r="C155" s="39">
        <f t="shared" si="55"/>
        <v>716</v>
      </c>
      <c r="D155" s="39">
        <f t="shared" si="55"/>
        <v>114</v>
      </c>
      <c r="E155" s="39">
        <f t="shared" si="55"/>
        <v>42</v>
      </c>
      <c r="F155" s="39">
        <f t="shared" si="55"/>
        <v>134</v>
      </c>
      <c r="G155" s="50">
        <f t="shared" si="55"/>
        <v>1664</v>
      </c>
      <c r="H155" s="44">
        <f t="shared" si="55"/>
        <v>3</v>
      </c>
      <c r="I155" s="39">
        <f t="shared" si="55"/>
        <v>0</v>
      </c>
      <c r="J155" s="39">
        <f t="shared" si="55"/>
        <v>0</v>
      </c>
      <c r="K155" s="45">
        <f t="shared" si="55"/>
        <v>0</v>
      </c>
      <c r="L155" s="144">
        <f t="shared" si="55"/>
        <v>16</v>
      </c>
      <c r="M155" s="50">
        <f t="shared" si="55"/>
        <v>19</v>
      </c>
      <c r="N155" s="40">
        <f t="shared" si="14"/>
        <v>1683</v>
      </c>
      <c r="O155" s="43">
        <f t="shared" si="15"/>
        <v>2045.5</v>
      </c>
    </row>
    <row r="156" spans="1:15" ht="22.95" customHeight="1" x14ac:dyDescent="0.3">
      <c r="A156" s="52" t="s">
        <v>57</v>
      </c>
      <c r="B156" s="44">
        <f t="shared" ref="B156:M156" si="56">B50+B51+B52+B53</f>
        <v>645</v>
      </c>
      <c r="C156" s="39">
        <f t="shared" si="56"/>
        <v>682</v>
      </c>
      <c r="D156" s="39">
        <f t="shared" si="56"/>
        <v>114</v>
      </c>
      <c r="E156" s="39">
        <f t="shared" si="56"/>
        <v>40</v>
      </c>
      <c r="F156" s="39">
        <f t="shared" si="56"/>
        <v>135</v>
      </c>
      <c r="G156" s="50">
        <f t="shared" si="56"/>
        <v>1616</v>
      </c>
      <c r="H156" s="44">
        <f t="shared" si="56"/>
        <v>4</v>
      </c>
      <c r="I156" s="39">
        <f t="shared" si="56"/>
        <v>0</v>
      </c>
      <c r="J156" s="39">
        <f t="shared" si="56"/>
        <v>0</v>
      </c>
      <c r="K156" s="45">
        <f t="shared" si="56"/>
        <v>0</v>
      </c>
      <c r="L156" s="144">
        <f t="shared" si="56"/>
        <v>15</v>
      </c>
      <c r="M156" s="50">
        <f t="shared" si="56"/>
        <v>19</v>
      </c>
      <c r="N156" s="40">
        <f t="shared" si="14"/>
        <v>1635</v>
      </c>
      <c r="O156" s="43">
        <f t="shared" si="15"/>
        <v>2006.5</v>
      </c>
    </row>
    <row r="157" spans="1:15" ht="22.95" customHeight="1" x14ac:dyDescent="0.3">
      <c r="A157" s="52" t="s">
        <v>58</v>
      </c>
      <c r="B157" s="44">
        <f t="shared" ref="B157:M157" si="57">B51+B52+B53+B54</f>
        <v>626</v>
      </c>
      <c r="C157" s="39">
        <f t="shared" si="57"/>
        <v>615</v>
      </c>
      <c r="D157" s="39">
        <f t="shared" si="57"/>
        <v>116</v>
      </c>
      <c r="E157" s="39">
        <f t="shared" si="57"/>
        <v>37</v>
      </c>
      <c r="F157" s="39">
        <f t="shared" si="57"/>
        <v>151</v>
      </c>
      <c r="G157" s="50">
        <f t="shared" si="57"/>
        <v>1545</v>
      </c>
      <c r="H157" s="44">
        <f t="shared" si="57"/>
        <v>7</v>
      </c>
      <c r="I157" s="39">
        <f t="shared" si="57"/>
        <v>0</v>
      </c>
      <c r="J157" s="39">
        <f t="shared" si="57"/>
        <v>0</v>
      </c>
      <c r="K157" s="45">
        <f t="shared" si="57"/>
        <v>0</v>
      </c>
      <c r="L157" s="144">
        <f t="shared" si="57"/>
        <v>13</v>
      </c>
      <c r="M157" s="50">
        <f t="shared" si="57"/>
        <v>20</v>
      </c>
      <c r="N157" s="40">
        <f t="shared" si="14"/>
        <v>1565</v>
      </c>
      <c r="O157" s="43">
        <f t="shared" si="15"/>
        <v>2005.5</v>
      </c>
    </row>
    <row r="158" spans="1:15" ht="22.95" customHeight="1" x14ac:dyDescent="0.3">
      <c r="A158" s="52" t="s">
        <v>59</v>
      </c>
      <c r="B158" s="44">
        <f t="shared" ref="B158:M158" si="58">B52+B53+B54+B55</f>
        <v>590</v>
      </c>
      <c r="C158" s="39">
        <f t="shared" si="58"/>
        <v>592</v>
      </c>
      <c r="D158" s="39">
        <f t="shared" si="58"/>
        <v>116</v>
      </c>
      <c r="E158" s="39">
        <f t="shared" si="58"/>
        <v>37</v>
      </c>
      <c r="F158" s="39">
        <f t="shared" si="58"/>
        <v>159</v>
      </c>
      <c r="G158" s="50">
        <f t="shared" si="58"/>
        <v>1494</v>
      </c>
      <c r="H158" s="44">
        <f t="shared" si="58"/>
        <v>6</v>
      </c>
      <c r="I158" s="39">
        <f t="shared" si="58"/>
        <v>0</v>
      </c>
      <c r="J158" s="39">
        <f t="shared" si="58"/>
        <v>0</v>
      </c>
      <c r="K158" s="45">
        <f t="shared" si="58"/>
        <v>0</v>
      </c>
      <c r="L158" s="144">
        <f t="shared" si="58"/>
        <v>10</v>
      </c>
      <c r="M158" s="50">
        <f t="shared" si="58"/>
        <v>16</v>
      </c>
      <c r="N158" s="40">
        <f t="shared" si="14"/>
        <v>1510</v>
      </c>
      <c r="O158" s="43">
        <f t="shared" si="15"/>
        <v>1969.5</v>
      </c>
    </row>
    <row r="159" spans="1:15" ht="22.95" customHeight="1" x14ac:dyDescent="0.3">
      <c r="A159" s="52" t="s">
        <v>77</v>
      </c>
      <c r="B159" s="44">
        <f t="shared" ref="B159:M159" si="59">B53+B54+B55+B56</f>
        <v>584</v>
      </c>
      <c r="C159" s="39">
        <f t="shared" si="59"/>
        <v>606</v>
      </c>
      <c r="D159" s="39">
        <f t="shared" si="59"/>
        <v>104</v>
      </c>
      <c r="E159" s="39">
        <f t="shared" si="59"/>
        <v>39</v>
      </c>
      <c r="F159" s="39">
        <f t="shared" si="59"/>
        <v>152</v>
      </c>
      <c r="G159" s="50">
        <f t="shared" si="59"/>
        <v>1485</v>
      </c>
      <c r="H159" s="44">
        <f t="shared" si="59"/>
        <v>5</v>
      </c>
      <c r="I159" s="39">
        <f t="shared" si="59"/>
        <v>0</v>
      </c>
      <c r="J159" s="39">
        <f t="shared" si="59"/>
        <v>0</v>
      </c>
      <c r="K159" s="45">
        <f t="shared" si="59"/>
        <v>0</v>
      </c>
      <c r="L159" s="144">
        <f t="shared" si="59"/>
        <v>11</v>
      </c>
      <c r="M159" s="50">
        <f t="shared" si="59"/>
        <v>16</v>
      </c>
      <c r="N159" s="40">
        <f t="shared" si="14"/>
        <v>1501</v>
      </c>
      <c r="O159" s="43">
        <f t="shared" si="15"/>
        <v>1934.5</v>
      </c>
    </row>
    <row r="160" spans="1:15" ht="22.95" customHeight="1" x14ac:dyDescent="0.3">
      <c r="A160" s="52" t="s">
        <v>75</v>
      </c>
      <c r="B160" s="44">
        <f t="shared" ref="B160:M160" si="60">B54+B55+B56+B57</f>
        <v>574</v>
      </c>
      <c r="C160" s="39">
        <f t="shared" si="60"/>
        <v>551</v>
      </c>
      <c r="D160" s="39">
        <f t="shared" si="60"/>
        <v>81</v>
      </c>
      <c r="E160" s="39">
        <f t="shared" si="60"/>
        <v>40</v>
      </c>
      <c r="F160" s="39">
        <f t="shared" si="60"/>
        <v>148</v>
      </c>
      <c r="G160" s="50">
        <f t="shared" si="60"/>
        <v>1394</v>
      </c>
      <c r="H160" s="44">
        <f t="shared" si="60"/>
        <v>4</v>
      </c>
      <c r="I160" s="39">
        <f t="shared" si="60"/>
        <v>0</v>
      </c>
      <c r="J160" s="39">
        <f t="shared" si="60"/>
        <v>2</v>
      </c>
      <c r="K160" s="45">
        <f t="shared" si="60"/>
        <v>0</v>
      </c>
      <c r="L160" s="144">
        <f t="shared" si="60"/>
        <v>8</v>
      </c>
      <c r="M160" s="50">
        <f t="shared" si="60"/>
        <v>14</v>
      </c>
      <c r="N160" s="40">
        <f t="shared" si="14"/>
        <v>1408</v>
      </c>
      <c r="O160" s="43">
        <f t="shared" si="15"/>
        <v>1829</v>
      </c>
    </row>
    <row r="161" spans="1:15" ht="22.95" customHeight="1" x14ac:dyDescent="0.3">
      <c r="A161" s="52" t="s">
        <v>76</v>
      </c>
      <c r="B161" s="44">
        <f t="shared" ref="B161:M161" si="61">B55+B56+B57+B58</f>
        <v>555</v>
      </c>
      <c r="C161" s="39">
        <f t="shared" si="61"/>
        <v>491</v>
      </c>
      <c r="D161" s="39">
        <f t="shared" si="61"/>
        <v>69</v>
      </c>
      <c r="E161" s="39">
        <f t="shared" si="61"/>
        <v>44</v>
      </c>
      <c r="F161" s="39">
        <f t="shared" si="61"/>
        <v>141</v>
      </c>
      <c r="G161" s="50">
        <f t="shared" si="61"/>
        <v>1300</v>
      </c>
      <c r="H161" s="44">
        <f t="shared" si="61"/>
        <v>0</v>
      </c>
      <c r="I161" s="39">
        <f t="shared" si="61"/>
        <v>0</v>
      </c>
      <c r="J161" s="39">
        <f t="shared" si="61"/>
        <v>2</v>
      </c>
      <c r="K161" s="45">
        <f t="shared" si="61"/>
        <v>0</v>
      </c>
      <c r="L161" s="144">
        <f t="shared" si="61"/>
        <v>4</v>
      </c>
      <c r="M161" s="50">
        <f t="shared" si="61"/>
        <v>6</v>
      </c>
      <c r="N161" s="40">
        <f t="shared" si="14"/>
        <v>1306</v>
      </c>
      <c r="O161" s="43">
        <f t="shared" si="15"/>
        <v>1708.5</v>
      </c>
    </row>
    <row r="162" spans="1:15" ht="22.95" customHeight="1" x14ac:dyDescent="0.3">
      <c r="A162" s="52" t="s">
        <v>70</v>
      </c>
      <c r="B162" s="44">
        <f t="shared" ref="B162:M162" si="62">B56+B57+B58+B59</f>
        <v>538</v>
      </c>
      <c r="C162" s="39">
        <f t="shared" si="62"/>
        <v>408</v>
      </c>
      <c r="D162" s="39">
        <f t="shared" si="62"/>
        <v>59</v>
      </c>
      <c r="E162" s="39">
        <f t="shared" si="62"/>
        <v>47</v>
      </c>
      <c r="F162" s="39">
        <f t="shared" si="62"/>
        <v>152</v>
      </c>
      <c r="G162" s="50">
        <f t="shared" si="62"/>
        <v>1204</v>
      </c>
      <c r="H162" s="44">
        <f t="shared" si="62"/>
        <v>0</v>
      </c>
      <c r="I162" s="39">
        <f t="shared" si="62"/>
        <v>0</v>
      </c>
      <c r="J162" s="39">
        <f t="shared" si="62"/>
        <v>2</v>
      </c>
      <c r="K162" s="45">
        <f t="shared" si="62"/>
        <v>0</v>
      </c>
      <c r="L162" s="144">
        <f t="shared" si="62"/>
        <v>3</v>
      </c>
      <c r="M162" s="50">
        <f t="shared" si="62"/>
        <v>5</v>
      </c>
      <c r="N162" s="40">
        <f t="shared" si="14"/>
        <v>1209</v>
      </c>
      <c r="O162" s="43">
        <f t="shared" si="15"/>
        <v>1685.5</v>
      </c>
    </row>
    <row r="163" spans="1:15" ht="22.95" customHeight="1" x14ac:dyDescent="0.3">
      <c r="A163" s="52" t="s">
        <v>71</v>
      </c>
      <c r="B163" s="44">
        <f t="shared" ref="B163:M163" si="63">B57+B58+B59+B60</f>
        <v>530</v>
      </c>
      <c r="C163" s="39">
        <f t="shared" si="63"/>
        <v>346</v>
      </c>
      <c r="D163" s="39">
        <f t="shared" si="63"/>
        <v>54</v>
      </c>
      <c r="E163" s="39">
        <f t="shared" si="63"/>
        <v>46</v>
      </c>
      <c r="F163" s="39">
        <f t="shared" si="63"/>
        <v>175</v>
      </c>
      <c r="G163" s="50">
        <f t="shared" si="63"/>
        <v>1151</v>
      </c>
      <c r="H163" s="44">
        <f t="shared" si="63"/>
        <v>0</v>
      </c>
      <c r="I163" s="39">
        <f t="shared" si="63"/>
        <v>0</v>
      </c>
      <c r="J163" s="39">
        <f t="shared" si="63"/>
        <v>2</v>
      </c>
      <c r="K163" s="45">
        <f t="shared" si="63"/>
        <v>0</v>
      </c>
      <c r="L163" s="144">
        <f t="shared" si="63"/>
        <v>2</v>
      </c>
      <c r="M163" s="50">
        <f t="shared" si="63"/>
        <v>4</v>
      </c>
      <c r="N163" s="40">
        <f t="shared" si="14"/>
        <v>1155</v>
      </c>
      <c r="O163" s="43">
        <f t="shared" si="15"/>
        <v>1731.5</v>
      </c>
    </row>
    <row r="164" spans="1:15" ht="22.95" customHeight="1" x14ac:dyDescent="0.3">
      <c r="A164" s="52" t="s">
        <v>72</v>
      </c>
      <c r="B164" s="44">
        <f t="shared" ref="B164:M164" si="64">B58+B59+B60+B61</f>
        <v>499</v>
      </c>
      <c r="C164" s="39">
        <f t="shared" si="64"/>
        <v>284</v>
      </c>
      <c r="D164" s="39">
        <f t="shared" si="64"/>
        <v>55</v>
      </c>
      <c r="E164" s="39">
        <f t="shared" si="64"/>
        <v>45</v>
      </c>
      <c r="F164" s="39">
        <f t="shared" si="64"/>
        <v>186</v>
      </c>
      <c r="G164" s="50">
        <f t="shared" si="64"/>
        <v>1069</v>
      </c>
      <c r="H164" s="44">
        <f t="shared" si="64"/>
        <v>0</v>
      </c>
      <c r="I164" s="39">
        <f t="shared" si="64"/>
        <v>0</v>
      </c>
      <c r="J164" s="39">
        <f t="shared" si="64"/>
        <v>0</v>
      </c>
      <c r="K164" s="45">
        <f t="shared" si="64"/>
        <v>0</v>
      </c>
      <c r="L164" s="144">
        <f t="shared" si="64"/>
        <v>2</v>
      </c>
      <c r="M164" s="50">
        <f t="shared" si="64"/>
        <v>2</v>
      </c>
      <c r="N164" s="40">
        <f t="shared" si="14"/>
        <v>1071</v>
      </c>
      <c r="O164" s="43">
        <f t="shared" si="15"/>
        <v>1711.5</v>
      </c>
    </row>
    <row r="165" spans="1:15" ht="22.95" customHeight="1" x14ac:dyDescent="0.3">
      <c r="A165" s="52" t="s">
        <v>73</v>
      </c>
      <c r="B165" s="44">
        <f t="shared" ref="B165:M165" si="65">B59+B60+B61+B62</f>
        <v>434</v>
      </c>
      <c r="C165" s="39">
        <f t="shared" si="65"/>
        <v>252</v>
      </c>
      <c r="D165" s="39">
        <f t="shared" si="65"/>
        <v>45</v>
      </c>
      <c r="E165" s="39">
        <f t="shared" si="65"/>
        <v>41</v>
      </c>
      <c r="F165" s="39">
        <f t="shared" si="65"/>
        <v>187</v>
      </c>
      <c r="G165" s="50">
        <f t="shared" si="65"/>
        <v>959</v>
      </c>
      <c r="H165" s="44">
        <f t="shared" si="65"/>
        <v>0</v>
      </c>
      <c r="I165" s="39">
        <f t="shared" si="65"/>
        <v>0</v>
      </c>
      <c r="J165" s="39">
        <f t="shared" si="65"/>
        <v>0</v>
      </c>
      <c r="K165" s="45">
        <f t="shared" si="65"/>
        <v>0</v>
      </c>
      <c r="L165" s="144">
        <f t="shared" si="65"/>
        <v>1</v>
      </c>
      <c r="M165" s="50">
        <f t="shared" si="65"/>
        <v>1</v>
      </c>
      <c r="N165" s="40">
        <f t="shared" si="14"/>
        <v>960</v>
      </c>
      <c r="O165" s="43">
        <f t="shared" si="15"/>
        <v>1600</v>
      </c>
    </row>
    <row r="166" spans="1:15" ht="22.95" customHeight="1" x14ac:dyDescent="0.3">
      <c r="A166" s="52" t="s">
        <v>74</v>
      </c>
      <c r="B166" s="44">
        <f t="shared" ref="B166:M166" si="66">B60+B61+B62+B63</f>
        <v>374</v>
      </c>
      <c r="C166" s="39">
        <f t="shared" si="66"/>
        <v>226</v>
      </c>
      <c r="D166" s="39">
        <f t="shared" si="66"/>
        <v>37</v>
      </c>
      <c r="E166" s="39">
        <f t="shared" si="66"/>
        <v>36</v>
      </c>
      <c r="F166" s="39">
        <f t="shared" si="66"/>
        <v>170</v>
      </c>
      <c r="G166" s="50">
        <f t="shared" si="66"/>
        <v>843</v>
      </c>
      <c r="H166" s="44">
        <f t="shared" si="66"/>
        <v>0</v>
      </c>
      <c r="I166" s="39">
        <f t="shared" si="66"/>
        <v>0</v>
      </c>
      <c r="J166" s="39">
        <f t="shared" si="66"/>
        <v>0</v>
      </c>
      <c r="K166" s="45">
        <f t="shared" si="66"/>
        <v>0</v>
      </c>
      <c r="L166" s="144">
        <f t="shared" si="66"/>
        <v>1</v>
      </c>
      <c r="M166" s="50">
        <f t="shared" si="66"/>
        <v>1</v>
      </c>
      <c r="N166" s="40">
        <f t="shared" si="14"/>
        <v>844</v>
      </c>
      <c r="O166" s="43">
        <f t="shared" si="15"/>
        <v>1423.5</v>
      </c>
    </row>
    <row r="167" spans="1:15" ht="22.95" customHeight="1" x14ac:dyDescent="0.3">
      <c r="A167" s="52" t="s">
        <v>262</v>
      </c>
      <c r="B167" s="44">
        <f t="shared" ref="B167:M167" si="67">B61+B62+B63+B64</f>
        <v>317</v>
      </c>
      <c r="C167" s="39">
        <f t="shared" si="67"/>
        <v>177</v>
      </c>
      <c r="D167" s="39">
        <f t="shared" si="67"/>
        <v>37</v>
      </c>
      <c r="E167" s="39">
        <f t="shared" si="67"/>
        <v>33</v>
      </c>
      <c r="F167" s="39">
        <f t="shared" si="67"/>
        <v>156</v>
      </c>
      <c r="G167" s="50">
        <f t="shared" si="67"/>
        <v>720</v>
      </c>
      <c r="H167" s="44">
        <f t="shared" si="67"/>
        <v>0</v>
      </c>
      <c r="I167" s="39">
        <f t="shared" si="67"/>
        <v>0</v>
      </c>
      <c r="J167" s="39">
        <f t="shared" si="67"/>
        <v>0</v>
      </c>
      <c r="K167" s="45">
        <f t="shared" si="67"/>
        <v>0</v>
      </c>
      <c r="L167" s="144">
        <f t="shared" si="67"/>
        <v>0</v>
      </c>
      <c r="M167" s="50">
        <f t="shared" si="67"/>
        <v>0</v>
      </c>
      <c r="N167" s="40">
        <f t="shared" si="14"/>
        <v>720</v>
      </c>
      <c r="O167" s="43">
        <f t="shared" si="15"/>
        <v>1262</v>
      </c>
    </row>
    <row r="168" spans="1:15" ht="22.95" customHeight="1" x14ac:dyDescent="0.3">
      <c r="A168" s="52" t="s">
        <v>263</v>
      </c>
      <c r="B168" s="44">
        <f t="shared" ref="B168:M168" si="68">B62+B63+B64+B65</f>
        <v>256</v>
      </c>
      <c r="C168" s="39">
        <f t="shared" si="68"/>
        <v>150</v>
      </c>
      <c r="D168" s="39">
        <f t="shared" si="68"/>
        <v>35</v>
      </c>
      <c r="E168" s="39">
        <f t="shared" si="68"/>
        <v>32</v>
      </c>
      <c r="F168" s="39">
        <f t="shared" si="68"/>
        <v>157</v>
      </c>
      <c r="G168" s="50">
        <f t="shared" si="68"/>
        <v>630</v>
      </c>
      <c r="H168" s="44">
        <f t="shared" si="68"/>
        <v>0</v>
      </c>
      <c r="I168" s="39">
        <f t="shared" si="68"/>
        <v>0</v>
      </c>
      <c r="J168" s="39">
        <f t="shared" si="68"/>
        <v>0</v>
      </c>
      <c r="K168" s="45">
        <f t="shared" si="68"/>
        <v>0</v>
      </c>
      <c r="L168" s="144">
        <f t="shared" si="68"/>
        <v>0</v>
      </c>
      <c r="M168" s="50">
        <f t="shared" si="68"/>
        <v>0</v>
      </c>
      <c r="N168" s="40">
        <f t="shared" si="14"/>
        <v>630</v>
      </c>
      <c r="O168" s="43">
        <f t="shared" si="15"/>
        <v>1186</v>
      </c>
    </row>
    <row r="169" spans="1:15" ht="22.95" customHeight="1" x14ac:dyDescent="0.3">
      <c r="A169" s="52" t="s">
        <v>264</v>
      </c>
      <c r="B169" s="44">
        <f t="shared" ref="B169:M169" si="69">B63+B64+B65+B66</f>
        <v>220</v>
      </c>
      <c r="C169" s="39">
        <f t="shared" si="69"/>
        <v>144</v>
      </c>
      <c r="D169" s="39">
        <f t="shared" si="69"/>
        <v>39</v>
      </c>
      <c r="E169" s="39">
        <f t="shared" si="69"/>
        <v>28</v>
      </c>
      <c r="F169" s="39">
        <f t="shared" si="69"/>
        <v>161</v>
      </c>
      <c r="G169" s="50">
        <f t="shared" si="69"/>
        <v>592</v>
      </c>
      <c r="H169" s="44">
        <f t="shared" si="69"/>
        <v>0</v>
      </c>
      <c r="I169" s="39">
        <f t="shared" si="69"/>
        <v>0</v>
      </c>
      <c r="J169" s="39">
        <f t="shared" si="69"/>
        <v>0</v>
      </c>
      <c r="K169" s="45">
        <f t="shared" si="69"/>
        <v>0</v>
      </c>
      <c r="L169" s="144">
        <f t="shared" si="69"/>
        <v>0</v>
      </c>
      <c r="M169" s="50">
        <f t="shared" si="69"/>
        <v>0</v>
      </c>
      <c r="N169" s="40">
        <f t="shared" si="14"/>
        <v>592</v>
      </c>
      <c r="O169" s="43">
        <f t="shared" si="15"/>
        <v>1159</v>
      </c>
    </row>
    <row r="170" spans="1:15" ht="22.95" customHeight="1" x14ac:dyDescent="0.3">
      <c r="A170" s="52" t="s">
        <v>265</v>
      </c>
      <c r="B170" s="44">
        <f t="shared" ref="B170:M170" si="70">B64+B65+B66+B67</f>
        <v>199</v>
      </c>
      <c r="C170" s="39">
        <f t="shared" si="70"/>
        <v>139</v>
      </c>
      <c r="D170" s="39">
        <f t="shared" si="70"/>
        <v>42</v>
      </c>
      <c r="E170" s="39">
        <f t="shared" si="70"/>
        <v>28</v>
      </c>
      <c r="F170" s="39">
        <f t="shared" si="70"/>
        <v>162</v>
      </c>
      <c r="G170" s="50">
        <f t="shared" si="70"/>
        <v>570</v>
      </c>
      <c r="H170" s="44">
        <f t="shared" si="70"/>
        <v>0</v>
      </c>
      <c r="I170" s="39">
        <f t="shared" si="70"/>
        <v>0</v>
      </c>
      <c r="J170" s="39">
        <f t="shared" si="70"/>
        <v>0</v>
      </c>
      <c r="K170" s="45">
        <f t="shared" si="70"/>
        <v>0</v>
      </c>
      <c r="L170" s="144">
        <f t="shared" si="70"/>
        <v>0</v>
      </c>
      <c r="M170" s="50">
        <f t="shared" si="70"/>
        <v>0</v>
      </c>
      <c r="N170" s="40">
        <f t="shared" si="14"/>
        <v>570</v>
      </c>
      <c r="O170" s="43">
        <f t="shared" si="15"/>
        <v>1144.5</v>
      </c>
    </row>
    <row r="171" spans="1:15" ht="22.95" customHeight="1" x14ac:dyDescent="0.3">
      <c r="A171" s="52" t="s">
        <v>266</v>
      </c>
      <c r="B171" s="44">
        <f t="shared" ref="B171:M171" si="71">B65+B66+B67+B68</f>
        <v>172</v>
      </c>
      <c r="C171" s="39">
        <f t="shared" si="71"/>
        <v>125</v>
      </c>
      <c r="D171" s="39">
        <f t="shared" si="71"/>
        <v>45</v>
      </c>
      <c r="E171" s="39">
        <f t="shared" si="71"/>
        <v>40</v>
      </c>
      <c r="F171" s="39">
        <f t="shared" si="71"/>
        <v>165</v>
      </c>
      <c r="G171" s="50">
        <f t="shared" si="71"/>
        <v>547</v>
      </c>
      <c r="H171" s="44">
        <f t="shared" si="71"/>
        <v>0</v>
      </c>
      <c r="I171" s="39">
        <f t="shared" si="71"/>
        <v>0</v>
      </c>
      <c r="J171" s="39">
        <f t="shared" si="71"/>
        <v>0</v>
      </c>
      <c r="K171" s="45">
        <f t="shared" si="71"/>
        <v>0</v>
      </c>
      <c r="L171" s="144">
        <f t="shared" si="71"/>
        <v>0</v>
      </c>
      <c r="M171" s="50">
        <f t="shared" si="71"/>
        <v>0</v>
      </c>
      <c r="N171" s="40">
        <f t="shared" si="14"/>
        <v>547</v>
      </c>
      <c r="O171" s="43">
        <f t="shared" si="15"/>
        <v>1164.5</v>
      </c>
    </row>
    <row r="172" spans="1:15" ht="22.95" customHeight="1" x14ac:dyDescent="0.3">
      <c r="A172" s="52" t="s">
        <v>267</v>
      </c>
      <c r="B172" s="44">
        <f t="shared" ref="B172:M172" si="72">B66+B67+B68+B69</f>
        <v>159</v>
      </c>
      <c r="C172" s="39">
        <f t="shared" si="72"/>
        <v>117</v>
      </c>
      <c r="D172" s="39">
        <f t="shared" si="72"/>
        <v>41</v>
      </c>
      <c r="E172" s="39">
        <f t="shared" si="72"/>
        <v>48</v>
      </c>
      <c r="F172" s="39">
        <f t="shared" si="72"/>
        <v>153</v>
      </c>
      <c r="G172" s="50">
        <f t="shared" si="72"/>
        <v>518</v>
      </c>
      <c r="H172" s="44">
        <f t="shared" si="72"/>
        <v>0</v>
      </c>
      <c r="I172" s="39">
        <f t="shared" si="72"/>
        <v>0</v>
      </c>
      <c r="J172" s="39">
        <f t="shared" si="72"/>
        <v>0</v>
      </c>
      <c r="K172" s="45">
        <f t="shared" si="72"/>
        <v>0</v>
      </c>
      <c r="L172" s="144">
        <f t="shared" si="72"/>
        <v>0</v>
      </c>
      <c r="M172" s="50">
        <f t="shared" si="72"/>
        <v>0</v>
      </c>
      <c r="N172" s="40">
        <f t="shared" si="14"/>
        <v>518</v>
      </c>
      <c r="O172" s="43">
        <f t="shared" si="15"/>
        <v>1111.5</v>
      </c>
    </row>
    <row r="173" spans="1:15" ht="22.95" customHeight="1" x14ac:dyDescent="0.3">
      <c r="A173" s="52" t="s">
        <v>268</v>
      </c>
      <c r="B173" s="44">
        <f t="shared" ref="B173:M173" si="73">B67+B68+B69+B70</f>
        <v>150</v>
      </c>
      <c r="C173" s="39">
        <f t="shared" si="73"/>
        <v>92</v>
      </c>
      <c r="D173" s="39">
        <f t="shared" si="73"/>
        <v>42</v>
      </c>
      <c r="E173" s="39">
        <f t="shared" si="73"/>
        <v>60</v>
      </c>
      <c r="F173" s="39">
        <f t="shared" si="73"/>
        <v>149</v>
      </c>
      <c r="G173" s="50">
        <f t="shared" si="73"/>
        <v>493</v>
      </c>
      <c r="H173" s="44">
        <f t="shared" si="73"/>
        <v>0</v>
      </c>
      <c r="I173" s="39">
        <f t="shared" si="73"/>
        <v>0</v>
      </c>
      <c r="J173" s="39">
        <f t="shared" si="73"/>
        <v>0</v>
      </c>
      <c r="K173" s="45">
        <f t="shared" si="73"/>
        <v>0</v>
      </c>
      <c r="L173" s="144">
        <f t="shared" si="73"/>
        <v>0</v>
      </c>
      <c r="M173" s="50">
        <f t="shared" si="73"/>
        <v>0</v>
      </c>
      <c r="N173" s="40">
        <f t="shared" si="14"/>
        <v>493</v>
      </c>
      <c r="O173" s="43">
        <f t="shared" si="15"/>
        <v>1109.5</v>
      </c>
    </row>
    <row r="174" spans="1:15" ht="22.95" customHeight="1" x14ac:dyDescent="0.3">
      <c r="A174" s="52" t="s">
        <v>269</v>
      </c>
      <c r="B174" s="44">
        <f t="shared" ref="B174:M174" si="74">B68+B69+B70+B71</f>
        <v>135</v>
      </c>
      <c r="C174" s="39">
        <f t="shared" si="74"/>
        <v>73</v>
      </c>
      <c r="D174" s="39">
        <f t="shared" si="74"/>
        <v>37</v>
      </c>
      <c r="E174" s="39">
        <f t="shared" si="74"/>
        <v>71</v>
      </c>
      <c r="F174" s="39">
        <f t="shared" si="74"/>
        <v>160</v>
      </c>
      <c r="G174" s="50">
        <f t="shared" si="74"/>
        <v>476</v>
      </c>
      <c r="H174" s="44">
        <f t="shared" si="74"/>
        <v>0</v>
      </c>
      <c r="I174" s="39">
        <f t="shared" si="74"/>
        <v>0</v>
      </c>
      <c r="J174" s="39">
        <f t="shared" si="74"/>
        <v>0</v>
      </c>
      <c r="K174" s="45">
        <f t="shared" si="74"/>
        <v>0</v>
      </c>
      <c r="L174" s="144">
        <f t="shared" si="74"/>
        <v>0</v>
      </c>
      <c r="M174" s="50">
        <f t="shared" si="74"/>
        <v>0</v>
      </c>
      <c r="N174" s="40">
        <f t="shared" si="14"/>
        <v>476</v>
      </c>
      <c r="O174" s="43">
        <f t="shared" si="15"/>
        <v>1160</v>
      </c>
    </row>
    <row r="175" spans="1:15" ht="22.95" customHeight="1" x14ac:dyDescent="0.3">
      <c r="A175" s="54" t="s">
        <v>241</v>
      </c>
      <c r="B175" s="44">
        <f t="shared" ref="B175:M175" si="75">B69+B70+B71+B72</f>
        <v>118</v>
      </c>
      <c r="C175" s="39">
        <f t="shared" si="75"/>
        <v>69</v>
      </c>
      <c r="D175" s="39">
        <f t="shared" si="75"/>
        <v>47</v>
      </c>
      <c r="E175" s="39">
        <f t="shared" si="75"/>
        <v>58</v>
      </c>
      <c r="F175" s="39">
        <f t="shared" si="75"/>
        <v>153</v>
      </c>
      <c r="G175" s="50">
        <f t="shared" si="75"/>
        <v>445</v>
      </c>
      <c r="H175" s="44">
        <f t="shared" si="75"/>
        <v>0</v>
      </c>
      <c r="I175" s="39">
        <f t="shared" si="75"/>
        <v>0</v>
      </c>
      <c r="J175" s="39">
        <f t="shared" si="75"/>
        <v>0</v>
      </c>
      <c r="K175" s="45">
        <f t="shared" si="75"/>
        <v>0</v>
      </c>
      <c r="L175" s="144">
        <f t="shared" si="75"/>
        <v>0</v>
      </c>
      <c r="M175" s="50">
        <f t="shared" si="75"/>
        <v>0</v>
      </c>
      <c r="N175" s="40">
        <f t="shared" si="14"/>
        <v>445</v>
      </c>
      <c r="O175" s="43">
        <f t="shared" si="15"/>
        <v>1085.5</v>
      </c>
    </row>
    <row r="176" spans="1:15" ht="22.95" customHeight="1" x14ac:dyDescent="0.3">
      <c r="A176" s="52" t="s">
        <v>242</v>
      </c>
      <c r="B176" s="44">
        <f t="shared" ref="B176:M176" si="76">B70+B71+B72+B73</f>
        <v>105</v>
      </c>
      <c r="C176" s="39">
        <f t="shared" si="76"/>
        <v>60</v>
      </c>
      <c r="D176" s="39">
        <f t="shared" si="76"/>
        <v>54</v>
      </c>
      <c r="E176" s="39">
        <f t="shared" si="76"/>
        <v>50</v>
      </c>
      <c r="F176" s="39">
        <f t="shared" si="76"/>
        <v>140</v>
      </c>
      <c r="G176" s="50">
        <f t="shared" si="76"/>
        <v>409</v>
      </c>
      <c r="H176" s="44">
        <f t="shared" si="76"/>
        <v>0</v>
      </c>
      <c r="I176" s="39">
        <f t="shared" si="76"/>
        <v>0</v>
      </c>
      <c r="J176" s="39">
        <f t="shared" si="76"/>
        <v>0</v>
      </c>
      <c r="K176" s="45">
        <f t="shared" si="76"/>
        <v>0</v>
      </c>
      <c r="L176" s="144">
        <f t="shared" si="76"/>
        <v>0</v>
      </c>
      <c r="M176" s="50">
        <f t="shared" si="76"/>
        <v>0</v>
      </c>
      <c r="N176" s="40">
        <f t="shared" si="14"/>
        <v>409</v>
      </c>
      <c r="O176" s="43">
        <f t="shared" si="15"/>
        <v>996</v>
      </c>
    </row>
    <row r="177" spans="1:15" ht="22.95" customHeight="1" x14ac:dyDescent="0.3">
      <c r="A177" s="52" t="s">
        <v>243</v>
      </c>
      <c r="B177" s="44">
        <f t="shared" ref="B177:M177" si="77">B71+B72+B73+B74</f>
        <v>96</v>
      </c>
      <c r="C177" s="39">
        <f t="shared" si="77"/>
        <v>40</v>
      </c>
      <c r="D177" s="39">
        <f t="shared" si="77"/>
        <v>62</v>
      </c>
      <c r="E177" s="39">
        <f t="shared" si="77"/>
        <v>45</v>
      </c>
      <c r="F177" s="39">
        <f t="shared" si="77"/>
        <v>120</v>
      </c>
      <c r="G177" s="50">
        <f t="shared" si="77"/>
        <v>363</v>
      </c>
      <c r="H177" s="44">
        <f t="shared" si="77"/>
        <v>0</v>
      </c>
      <c r="I177" s="39">
        <f t="shared" si="77"/>
        <v>0</v>
      </c>
      <c r="J177" s="39">
        <f t="shared" si="77"/>
        <v>0</v>
      </c>
      <c r="K177" s="45">
        <f t="shared" si="77"/>
        <v>0</v>
      </c>
      <c r="L177" s="144">
        <f t="shared" si="77"/>
        <v>0</v>
      </c>
      <c r="M177" s="50">
        <f t="shared" si="77"/>
        <v>0</v>
      </c>
      <c r="N177" s="40">
        <f t="shared" si="14"/>
        <v>363</v>
      </c>
      <c r="O177" s="43">
        <f t="shared" si="15"/>
        <v>884</v>
      </c>
    </row>
    <row r="178" spans="1:15" ht="22.95" customHeight="1" x14ac:dyDescent="0.3">
      <c r="A178" s="52" t="s">
        <v>244</v>
      </c>
      <c r="B178" s="44">
        <f t="shared" ref="B178:M178" si="78">B72+B73+B74+B75</f>
        <v>87</v>
      </c>
      <c r="C178" s="39">
        <f t="shared" si="78"/>
        <v>31</v>
      </c>
      <c r="D178" s="39">
        <f t="shared" si="78"/>
        <v>70</v>
      </c>
      <c r="E178" s="39">
        <f t="shared" si="78"/>
        <v>43</v>
      </c>
      <c r="F178" s="39">
        <f t="shared" si="78"/>
        <v>97</v>
      </c>
      <c r="G178" s="50">
        <f t="shared" si="78"/>
        <v>328</v>
      </c>
      <c r="H178" s="44">
        <f t="shared" si="78"/>
        <v>0</v>
      </c>
      <c r="I178" s="39">
        <f t="shared" si="78"/>
        <v>0</v>
      </c>
      <c r="J178" s="39">
        <f t="shared" si="78"/>
        <v>0</v>
      </c>
      <c r="K178" s="45">
        <f t="shared" si="78"/>
        <v>0</v>
      </c>
      <c r="L178" s="144">
        <f t="shared" si="78"/>
        <v>0</v>
      </c>
      <c r="M178" s="50">
        <f t="shared" si="78"/>
        <v>0</v>
      </c>
      <c r="N178" s="40">
        <f t="shared" si="14"/>
        <v>328</v>
      </c>
      <c r="O178" s="43">
        <f t="shared" si="15"/>
        <v>773</v>
      </c>
    </row>
    <row r="179" spans="1:15" ht="22.95" customHeight="1" x14ac:dyDescent="0.3">
      <c r="A179" s="52" t="s">
        <v>245</v>
      </c>
      <c r="B179" s="44">
        <f t="shared" ref="B179:M179" si="79">B73+B74+B75+B76</f>
        <v>86</v>
      </c>
      <c r="C179" s="39">
        <f t="shared" si="79"/>
        <v>23</v>
      </c>
      <c r="D179" s="39">
        <f t="shared" si="79"/>
        <v>64</v>
      </c>
      <c r="E179" s="39">
        <f t="shared" si="79"/>
        <v>42</v>
      </c>
      <c r="F179" s="39">
        <f t="shared" si="79"/>
        <v>84</v>
      </c>
      <c r="G179" s="50">
        <f t="shared" si="79"/>
        <v>299</v>
      </c>
      <c r="H179" s="44">
        <f t="shared" si="79"/>
        <v>0</v>
      </c>
      <c r="I179" s="39">
        <f t="shared" si="79"/>
        <v>0</v>
      </c>
      <c r="J179" s="39">
        <f t="shared" si="79"/>
        <v>0</v>
      </c>
      <c r="K179" s="45">
        <f t="shared" si="79"/>
        <v>0</v>
      </c>
      <c r="L179" s="144">
        <f t="shared" si="79"/>
        <v>0</v>
      </c>
      <c r="M179" s="50">
        <f t="shared" si="79"/>
        <v>0</v>
      </c>
      <c r="N179" s="40">
        <f t="shared" ref="N179:N206" si="80">G179+M179</f>
        <v>299</v>
      </c>
      <c r="O179" s="43">
        <f t="shared" ref="O179:O206" si="81">B179*1+C179*0.5+D179*1.5+E179*3+F179*4.5+H179*0.5+I179*1.5+J179*3+K179*4+L179*8</f>
        <v>697.5</v>
      </c>
    </row>
    <row r="180" spans="1:15" ht="22.95" customHeight="1" x14ac:dyDescent="0.3">
      <c r="A180" s="52" t="s">
        <v>246</v>
      </c>
      <c r="B180" s="44">
        <f t="shared" ref="B180:M180" si="82">B74+B75+B76+B77</f>
        <v>84</v>
      </c>
      <c r="C180" s="39">
        <f t="shared" si="82"/>
        <v>16</v>
      </c>
      <c r="D180" s="39">
        <f t="shared" si="82"/>
        <v>58</v>
      </c>
      <c r="E180" s="39">
        <f t="shared" si="82"/>
        <v>47</v>
      </c>
      <c r="F180" s="39">
        <f t="shared" si="82"/>
        <v>75</v>
      </c>
      <c r="G180" s="50">
        <f t="shared" si="82"/>
        <v>280</v>
      </c>
      <c r="H180" s="44">
        <f t="shared" si="82"/>
        <v>0</v>
      </c>
      <c r="I180" s="39">
        <f t="shared" si="82"/>
        <v>0</v>
      </c>
      <c r="J180" s="39">
        <f t="shared" si="82"/>
        <v>0</v>
      </c>
      <c r="K180" s="45">
        <f t="shared" si="82"/>
        <v>0</v>
      </c>
      <c r="L180" s="144">
        <f t="shared" si="82"/>
        <v>0</v>
      </c>
      <c r="M180" s="50">
        <f t="shared" si="82"/>
        <v>0</v>
      </c>
      <c r="N180" s="40">
        <f t="shared" si="80"/>
        <v>280</v>
      </c>
      <c r="O180" s="43">
        <f t="shared" si="81"/>
        <v>657.5</v>
      </c>
    </row>
    <row r="181" spans="1:15" ht="22.95" customHeight="1" x14ac:dyDescent="0.3">
      <c r="A181" s="52" t="s">
        <v>247</v>
      </c>
      <c r="B181" s="44">
        <f t="shared" ref="B181:M181" si="83">B75+B76+B77+B78</f>
        <v>82</v>
      </c>
      <c r="C181" s="39">
        <f t="shared" si="83"/>
        <v>17</v>
      </c>
      <c r="D181" s="39">
        <f t="shared" si="83"/>
        <v>46</v>
      </c>
      <c r="E181" s="39">
        <f t="shared" si="83"/>
        <v>46</v>
      </c>
      <c r="F181" s="39">
        <f t="shared" si="83"/>
        <v>58</v>
      </c>
      <c r="G181" s="50">
        <f t="shared" si="83"/>
        <v>249</v>
      </c>
      <c r="H181" s="44">
        <f t="shared" si="83"/>
        <v>0</v>
      </c>
      <c r="I181" s="39">
        <f t="shared" si="83"/>
        <v>0</v>
      </c>
      <c r="J181" s="39">
        <f t="shared" si="83"/>
        <v>0</v>
      </c>
      <c r="K181" s="45">
        <f t="shared" si="83"/>
        <v>0</v>
      </c>
      <c r="L181" s="144">
        <f t="shared" si="83"/>
        <v>0</v>
      </c>
      <c r="M181" s="50">
        <f t="shared" si="83"/>
        <v>0</v>
      </c>
      <c r="N181" s="40">
        <f t="shared" si="80"/>
        <v>249</v>
      </c>
      <c r="O181" s="43">
        <f t="shared" si="81"/>
        <v>558.5</v>
      </c>
    </row>
    <row r="182" spans="1:15" ht="22.95" customHeight="1" x14ac:dyDescent="0.3">
      <c r="A182" s="52" t="s">
        <v>248</v>
      </c>
      <c r="B182" s="44">
        <f t="shared" ref="B182:M182" si="84">B76+B77+B78+B79</f>
        <v>78</v>
      </c>
      <c r="C182" s="39">
        <f t="shared" si="84"/>
        <v>16</v>
      </c>
      <c r="D182" s="39">
        <f t="shared" si="84"/>
        <v>41</v>
      </c>
      <c r="E182" s="39">
        <f t="shared" si="84"/>
        <v>39</v>
      </c>
      <c r="F182" s="39">
        <f t="shared" si="84"/>
        <v>48</v>
      </c>
      <c r="G182" s="50">
        <f t="shared" si="84"/>
        <v>222</v>
      </c>
      <c r="H182" s="44">
        <f t="shared" si="84"/>
        <v>0</v>
      </c>
      <c r="I182" s="39">
        <f t="shared" si="84"/>
        <v>0</v>
      </c>
      <c r="J182" s="39">
        <f t="shared" si="84"/>
        <v>0</v>
      </c>
      <c r="K182" s="45">
        <f t="shared" si="84"/>
        <v>0</v>
      </c>
      <c r="L182" s="144">
        <f t="shared" si="84"/>
        <v>0</v>
      </c>
      <c r="M182" s="50">
        <f t="shared" si="84"/>
        <v>0</v>
      </c>
      <c r="N182" s="40">
        <f t="shared" si="80"/>
        <v>222</v>
      </c>
      <c r="O182" s="43">
        <f t="shared" si="81"/>
        <v>480.5</v>
      </c>
    </row>
    <row r="183" spans="1:15" ht="22.95" customHeight="1" x14ac:dyDescent="0.3">
      <c r="A183" s="52" t="s">
        <v>249</v>
      </c>
      <c r="B183" s="44">
        <f t="shared" ref="B183:M183" si="85">B77+B78+B79+B80</f>
        <v>68</v>
      </c>
      <c r="C183" s="39">
        <f t="shared" si="85"/>
        <v>13</v>
      </c>
      <c r="D183" s="39">
        <f t="shared" si="85"/>
        <v>31</v>
      </c>
      <c r="E183" s="39">
        <f t="shared" si="85"/>
        <v>40</v>
      </c>
      <c r="F183" s="39">
        <f t="shared" si="85"/>
        <v>50</v>
      </c>
      <c r="G183" s="50">
        <f t="shared" si="85"/>
        <v>202</v>
      </c>
      <c r="H183" s="44">
        <f t="shared" si="85"/>
        <v>0</v>
      </c>
      <c r="I183" s="39">
        <f t="shared" si="85"/>
        <v>0</v>
      </c>
      <c r="J183" s="39">
        <f t="shared" si="85"/>
        <v>0</v>
      </c>
      <c r="K183" s="45">
        <f t="shared" si="85"/>
        <v>0</v>
      </c>
      <c r="L183" s="144">
        <f t="shared" si="85"/>
        <v>0</v>
      </c>
      <c r="M183" s="50">
        <f t="shared" si="85"/>
        <v>0</v>
      </c>
      <c r="N183" s="40">
        <f t="shared" si="80"/>
        <v>202</v>
      </c>
      <c r="O183" s="43">
        <f t="shared" si="81"/>
        <v>466</v>
      </c>
    </row>
    <row r="184" spans="1:15" ht="22.95" customHeight="1" x14ac:dyDescent="0.3">
      <c r="A184" s="52" t="s">
        <v>250</v>
      </c>
      <c r="B184" s="44">
        <f t="shared" ref="B184:M184" si="86">B78+B79+B80+B81</f>
        <v>57</v>
      </c>
      <c r="C184" s="39">
        <f t="shared" si="86"/>
        <v>11</v>
      </c>
      <c r="D184" s="39">
        <f t="shared" si="86"/>
        <v>30</v>
      </c>
      <c r="E184" s="39">
        <f t="shared" si="86"/>
        <v>30</v>
      </c>
      <c r="F184" s="39">
        <f t="shared" si="86"/>
        <v>46</v>
      </c>
      <c r="G184" s="50">
        <f t="shared" si="86"/>
        <v>174</v>
      </c>
      <c r="H184" s="44">
        <f t="shared" si="86"/>
        <v>0</v>
      </c>
      <c r="I184" s="39">
        <f t="shared" si="86"/>
        <v>0</v>
      </c>
      <c r="J184" s="39">
        <f t="shared" si="86"/>
        <v>0</v>
      </c>
      <c r="K184" s="45">
        <f t="shared" si="86"/>
        <v>0</v>
      </c>
      <c r="L184" s="144">
        <f t="shared" si="86"/>
        <v>0</v>
      </c>
      <c r="M184" s="50">
        <f t="shared" si="86"/>
        <v>0</v>
      </c>
      <c r="N184" s="40">
        <f t="shared" si="80"/>
        <v>174</v>
      </c>
      <c r="O184" s="43">
        <f t="shared" si="81"/>
        <v>404.5</v>
      </c>
    </row>
    <row r="185" spans="1:15" ht="22.95" customHeight="1" x14ac:dyDescent="0.3">
      <c r="A185" s="52" t="s">
        <v>251</v>
      </c>
      <c r="B185" s="44">
        <f t="shared" ref="B185:M185" si="87">B79+B80+B81+B82</f>
        <v>46</v>
      </c>
      <c r="C185" s="39">
        <f t="shared" si="87"/>
        <v>11</v>
      </c>
      <c r="D185" s="39">
        <f t="shared" si="87"/>
        <v>41</v>
      </c>
      <c r="E185" s="39">
        <f t="shared" si="87"/>
        <v>22</v>
      </c>
      <c r="F185" s="39">
        <f t="shared" si="87"/>
        <v>45</v>
      </c>
      <c r="G185" s="50">
        <f t="shared" si="87"/>
        <v>165</v>
      </c>
      <c r="H185" s="44">
        <f t="shared" si="87"/>
        <v>0</v>
      </c>
      <c r="I185" s="39">
        <f t="shared" si="87"/>
        <v>0</v>
      </c>
      <c r="J185" s="39">
        <f t="shared" si="87"/>
        <v>0</v>
      </c>
      <c r="K185" s="45">
        <f t="shared" si="87"/>
        <v>0</v>
      </c>
      <c r="L185" s="144">
        <f t="shared" si="87"/>
        <v>0</v>
      </c>
      <c r="M185" s="50">
        <f t="shared" si="87"/>
        <v>0</v>
      </c>
      <c r="N185" s="40">
        <f t="shared" si="80"/>
        <v>165</v>
      </c>
      <c r="O185" s="43">
        <f t="shared" si="81"/>
        <v>381.5</v>
      </c>
    </row>
    <row r="186" spans="1:15" ht="22.95" customHeight="1" x14ac:dyDescent="0.3">
      <c r="A186" s="52" t="s">
        <v>252</v>
      </c>
      <c r="B186" s="44">
        <f t="shared" ref="B186:M186" si="88">B80+B81+B82+B83</f>
        <v>38</v>
      </c>
      <c r="C186" s="39">
        <f t="shared" si="88"/>
        <v>8</v>
      </c>
      <c r="D186" s="39">
        <f t="shared" si="88"/>
        <v>39</v>
      </c>
      <c r="E186" s="39">
        <f t="shared" si="88"/>
        <v>21</v>
      </c>
      <c r="F186" s="39">
        <f t="shared" si="88"/>
        <v>40</v>
      </c>
      <c r="G186" s="50">
        <f t="shared" si="88"/>
        <v>146</v>
      </c>
      <c r="H186" s="44">
        <f t="shared" si="88"/>
        <v>0</v>
      </c>
      <c r="I186" s="39">
        <f t="shared" si="88"/>
        <v>0</v>
      </c>
      <c r="J186" s="39">
        <f t="shared" si="88"/>
        <v>0</v>
      </c>
      <c r="K186" s="45">
        <f t="shared" si="88"/>
        <v>0</v>
      </c>
      <c r="L186" s="144">
        <f t="shared" si="88"/>
        <v>0</v>
      </c>
      <c r="M186" s="50">
        <f t="shared" si="88"/>
        <v>0</v>
      </c>
      <c r="N186" s="40">
        <f t="shared" si="80"/>
        <v>146</v>
      </c>
      <c r="O186" s="43">
        <f t="shared" si="81"/>
        <v>343.5</v>
      </c>
    </row>
    <row r="187" spans="1:15" ht="22.95" customHeight="1" x14ac:dyDescent="0.3">
      <c r="A187" s="52" t="s">
        <v>253</v>
      </c>
      <c r="B187" s="44">
        <f t="shared" ref="B187:M187" si="89">B81+B82+B83+B84</f>
        <v>36</v>
      </c>
      <c r="C187" s="39">
        <f t="shared" si="89"/>
        <v>8</v>
      </c>
      <c r="D187" s="39">
        <f t="shared" si="89"/>
        <v>33</v>
      </c>
      <c r="E187" s="39">
        <f t="shared" si="89"/>
        <v>23</v>
      </c>
      <c r="F187" s="39">
        <f t="shared" si="89"/>
        <v>35</v>
      </c>
      <c r="G187" s="50">
        <f t="shared" si="89"/>
        <v>135</v>
      </c>
      <c r="H187" s="44">
        <f t="shared" si="89"/>
        <v>0</v>
      </c>
      <c r="I187" s="39">
        <f t="shared" si="89"/>
        <v>0</v>
      </c>
      <c r="J187" s="39">
        <f t="shared" si="89"/>
        <v>0</v>
      </c>
      <c r="K187" s="45">
        <f t="shared" si="89"/>
        <v>0</v>
      </c>
      <c r="L187" s="144">
        <f t="shared" si="89"/>
        <v>0</v>
      </c>
      <c r="M187" s="50">
        <f t="shared" si="89"/>
        <v>0</v>
      </c>
      <c r="N187" s="40">
        <f t="shared" si="80"/>
        <v>135</v>
      </c>
      <c r="O187" s="43">
        <f t="shared" si="81"/>
        <v>316</v>
      </c>
    </row>
    <row r="188" spans="1:15" ht="22.95" customHeight="1" x14ac:dyDescent="0.3">
      <c r="A188" s="52" t="s">
        <v>254</v>
      </c>
      <c r="B188" s="44">
        <f t="shared" ref="B188:M188" si="90">B82+B83+B84+B85</f>
        <v>47</v>
      </c>
      <c r="C188" s="39">
        <f t="shared" si="90"/>
        <v>13</v>
      </c>
      <c r="D188" s="39">
        <f t="shared" si="90"/>
        <v>29</v>
      </c>
      <c r="E188" s="39">
        <f t="shared" si="90"/>
        <v>30</v>
      </c>
      <c r="F188" s="39">
        <f t="shared" si="90"/>
        <v>43</v>
      </c>
      <c r="G188" s="50">
        <f t="shared" si="90"/>
        <v>162</v>
      </c>
      <c r="H188" s="44">
        <f t="shared" si="90"/>
        <v>0</v>
      </c>
      <c r="I188" s="39">
        <f t="shared" si="90"/>
        <v>0</v>
      </c>
      <c r="J188" s="39">
        <f t="shared" si="90"/>
        <v>0</v>
      </c>
      <c r="K188" s="45">
        <f t="shared" si="90"/>
        <v>0</v>
      </c>
      <c r="L188" s="144">
        <f t="shared" si="90"/>
        <v>0</v>
      </c>
      <c r="M188" s="50">
        <f t="shared" si="90"/>
        <v>0</v>
      </c>
      <c r="N188" s="40">
        <f t="shared" si="80"/>
        <v>162</v>
      </c>
      <c r="O188" s="43">
        <f t="shared" si="81"/>
        <v>380.5</v>
      </c>
    </row>
    <row r="189" spans="1:15" ht="22.95" customHeight="1" x14ac:dyDescent="0.3">
      <c r="A189" s="52" t="s">
        <v>255</v>
      </c>
      <c r="B189" s="44">
        <f t="shared" ref="B189:M189" si="91">B83+B84+B85+B86</f>
        <v>58</v>
      </c>
      <c r="C189" s="39">
        <f t="shared" si="91"/>
        <v>13</v>
      </c>
      <c r="D189" s="39">
        <f t="shared" si="91"/>
        <v>17</v>
      </c>
      <c r="E189" s="39">
        <f t="shared" si="91"/>
        <v>33</v>
      </c>
      <c r="F189" s="39">
        <f t="shared" si="91"/>
        <v>50</v>
      </c>
      <c r="G189" s="50">
        <f t="shared" si="91"/>
        <v>171</v>
      </c>
      <c r="H189" s="44">
        <f t="shared" si="91"/>
        <v>0</v>
      </c>
      <c r="I189" s="39">
        <f t="shared" si="91"/>
        <v>0</v>
      </c>
      <c r="J189" s="39">
        <f t="shared" si="91"/>
        <v>0</v>
      </c>
      <c r="K189" s="45">
        <f t="shared" si="91"/>
        <v>0</v>
      </c>
      <c r="L189" s="144">
        <f t="shared" si="91"/>
        <v>0</v>
      </c>
      <c r="M189" s="50">
        <f t="shared" si="91"/>
        <v>0</v>
      </c>
      <c r="N189" s="40">
        <f t="shared" si="80"/>
        <v>171</v>
      </c>
      <c r="O189" s="43">
        <f t="shared" si="81"/>
        <v>414</v>
      </c>
    </row>
    <row r="190" spans="1:15" ht="22.95" customHeight="1" x14ac:dyDescent="0.3">
      <c r="A190" s="52" t="s">
        <v>256</v>
      </c>
      <c r="B190" s="44">
        <f t="shared" ref="B190:M190" si="92">B84+B85+B86+B87</f>
        <v>69</v>
      </c>
      <c r="C190" s="39">
        <f t="shared" si="92"/>
        <v>16</v>
      </c>
      <c r="D190" s="39">
        <f t="shared" si="92"/>
        <v>20</v>
      </c>
      <c r="E190" s="39">
        <f t="shared" si="92"/>
        <v>33</v>
      </c>
      <c r="F190" s="39">
        <f t="shared" si="92"/>
        <v>58</v>
      </c>
      <c r="G190" s="50">
        <f t="shared" si="92"/>
        <v>196</v>
      </c>
      <c r="H190" s="44">
        <f t="shared" si="92"/>
        <v>0</v>
      </c>
      <c r="I190" s="39">
        <f t="shared" si="92"/>
        <v>0</v>
      </c>
      <c r="J190" s="39">
        <f t="shared" si="92"/>
        <v>0</v>
      </c>
      <c r="K190" s="45">
        <f t="shared" si="92"/>
        <v>0</v>
      </c>
      <c r="L190" s="144">
        <f t="shared" si="92"/>
        <v>0</v>
      </c>
      <c r="M190" s="50">
        <f t="shared" si="92"/>
        <v>0</v>
      </c>
      <c r="N190" s="40">
        <f t="shared" si="80"/>
        <v>196</v>
      </c>
      <c r="O190" s="43">
        <f t="shared" si="81"/>
        <v>467</v>
      </c>
    </row>
    <row r="191" spans="1:15" ht="22.95" customHeight="1" x14ac:dyDescent="0.3">
      <c r="A191" s="52" t="s">
        <v>257</v>
      </c>
      <c r="B191" s="44">
        <f t="shared" ref="B191:M191" si="93">B85+B86+B87+B88</f>
        <v>82</v>
      </c>
      <c r="C191" s="39">
        <f t="shared" si="93"/>
        <v>21</v>
      </c>
      <c r="D191" s="39">
        <f t="shared" si="93"/>
        <v>27</v>
      </c>
      <c r="E191" s="39">
        <f t="shared" si="93"/>
        <v>34</v>
      </c>
      <c r="F191" s="39">
        <f t="shared" si="93"/>
        <v>71</v>
      </c>
      <c r="G191" s="50">
        <f t="shared" si="93"/>
        <v>235</v>
      </c>
      <c r="H191" s="44">
        <f t="shared" si="93"/>
        <v>0</v>
      </c>
      <c r="I191" s="39">
        <f t="shared" si="93"/>
        <v>0</v>
      </c>
      <c r="J191" s="39">
        <f t="shared" si="93"/>
        <v>0</v>
      </c>
      <c r="K191" s="45">
        <f t="shared" si="93"/>
        <v>0</v>
      </c>
      <c r="L191" s="144">
        <f t="shared" si="93"/>
        <v>0</v>
      </c>
      <c r="M191" s="50">
        <f t="shared" si="93"/>
        <v>0</v>
      </c>
      <c r="N191" s="40">
        <f t="shared" si="80"/>
        <v>235</v>
      </c>
      <c r="O191" s="43">
        <f t="shared" si="81"/>
        <v>554.5</v>
      </c>
    </row>
    <row r="192" spans="1:15" ht="22.95" customHeight="1" x14ac:dyDescent="0.3">
      <c r="A192" s="52" t="s">
        <v>258</v>
      </c>
      <c r="B192" s="44">
        <f t="shared" ref="B192:M192" si="94">B86+B87+B88+B89</f>
        <v>86</v>
      </c>
      <c r="C192" s="39">
        <f t="shared" si="94"/>
        <v>25</v>
      </c>
      <c r="D192" s="39">
        <f t="shared" si="94"/>
        <v>32</v>
      </c>
      <c r="E192" s="39">
        <f t="shared" si="94"/>
        <v>31</v>
      </c>
      <c r="F192" s="39">
        <f t="shared" si="94"/>
        <v>66</v>
      </c>
      <c r="G192" s="50">
        <f t="shared" si="94"/>
        <v>240</v>
      </c>
      <c r="H192" s="44">
        <f t="shared" si="94"/>
        <v>1</v>
      </c>
      <c r="I192" s="39">
        <f t="shared" si="94"/>
        <v>0</v>
      </c>
      <c r="J192" s="39">
        <f t="shared" si="94"/>
        <v>0</v>
      </c>
      <c r="K192" s="45">
        <f t="shared" si="94"/>
        <v>0</v>
      </c>
      <c r="L192" s="144">
        <f t="shared" si="94"/>
        <v>0</v>
      </c>
      <c r="M192" s="50">
        <f t="shared" si="94"/>
        <v>1</v>
      </c>
      <c r="N192" s="40">
        <f t="shared" si="80"/>
        <v>241</v>
      </c>
      <c r="O192" s="43">
        <f t="shared" si="81"/>
        <v>537</v>
      </c>
    </row>
    <row r="193" spans="1:15" ht="22.95" customHeight="1" x14ac:dyDescent="0.3">
      <c r="A193" s="52" t="s">
        <v>259</v>
      </c>
      <c r="B193" s="44">
        <f t="shared" ref="B193:M193" si="95">B87+B88+B89+B90</f>
        <v>95</v>
      </c>
      <c r="C193" s="39">
        <f t="shared" si="95"/>
        <v>31</v>
      </c>
      <c r="D193" s="39">
        <f t="shared" si="95"/>
        <v>34</v>
      </c>
      <c r="E193" s="39">
        <f t="shared" si="95"/>
        <v>27</v>
      </c>
      <c r="F193" s="39">
        <f t="shared" si="95"/>
        <v>65</v>
      </c>
      <c r="G193" s="50">
        <f t="shared" si="95"/>
        <v>252</v>
      </c>
      <c r="H193" s="44">
        <f t="shared" si="95"/>
        <v>1</v>
      </c>
      <c r="I193" s="39">
        <f t="shared" si="95"/>
        <v>0</v>
      </c>
      <c r="J193" s="39">
        <f t="shared" si="95"/>
        <v>0</v>
      </c>
      <c r="K193" s="45">
        <f t="shared" si="95"/>
        <v>0</v>
      </c>
      <c r="L193" s="144">
        <f t="shared" si="95"/>
        <v>0</v>
      </c>
      <c r="M193" s="50">
        <f t="shared" si="95"/>
        <v>1</v>
      </c>
      <c r="N193" s="40">
        <f t="shared" si="80"/>
        <v>253</v>
      </c>
      <c r="O193" s="43">
        <f t="shared" si="81"/>
        <v>535.5</v>
      </c>
    </row>
    <row r="194" spans="1:15" ht="22.95" customHeight="1" x14ac:dyDescent="0.3">
      <c r="A194" s="52" t="s">
        <v>260</v>
      </c>
      <c r="B194" s="44">
        <f t="shared" ref="B194:M194" si="96">B88+B89+B90+B91</f>
        <v>106</v>
      </c>
      <c r="C194" s="39">
        <f t="shared" si="96"/>
        <v>40</v>
      </c>
      <c r="D194" s="39">
        <f t="shared" si="96"/>
        <v>29</v>
      </c>
      <c r="E194" s="39">
        <f t="shared" si="96"/>
        <v>21</v>
      </c>
      <c r="F194" s="39">
        <f t="shared" si="96"/>
        <v>67</v>
      </c>
      <c r="G194" s="50">
        <f t="shared" si="96"/>
        <v>263</v>
      </c>
      <c r="H194" s="44">
        <f t="shared" si="96"/>
        <v>1</v>
      </c>
      <c r="I194" s="39">
        <f t="shared" si="96"/>
        <v>0</v>
      </c>
      <c r="J194" s="39">
        <f t="shared" si="96"/>
        <v>0</v>
      </c>
      <c r="K194" s="45">
        <f t="shared" si="96"/>
        <v>0</v>
      </c>
      <c r="L194" s="144">
        <f t="shared" si="96"/>
        <v>0</v>
      </c>
      <c r="M194" s="50">
        <f t="shared" si="96"/>
        <v>1</v>
      </c>
      <c r="N194" s="40">
        <f t="shared" si="80"/>
        <v>264</v>
      </c>
      <c r="O194" s="43">
        <f t="shared" si="81"/>
        <v>534.5</v>
      </c>
    </row>
    <row r="195" spans="1:15" ht="22.95" customHeight="1" x14ac:dyDescent="0.3">
      <c r="A195" s="52" t="s">
        <v>261</v>
      </c>
      <c r="B195" s="44">
        <f t="shared" ref="B195:M195" si="97">B89+B90+B91+B92</f>
        <v>115</v>
      </c>
      <c r="C195" s="39">
        <f t="shared" si="97"/>
        <v>56</v>
      </c>
      <c r="D195" s="39">
        <f t="shared" si="97"/>
        <v>20</v>
      </c>
      <c r="E195" s="39">
        <f t="shared" si="97"/>
        <v>16</v>
      </c>
      <c r="F195" s="39">
        <f t="shared" si="97"/>
        <v>59</v>
      </c>
      <c r="G195" s="50">
        <f t="shared" si="97"/>
        <v>266</v>
      </c>
      <c r="H195" s="44">
        <f t="shared" si="97"/>
        <v>1</v>
      </c>
      <c r="I195" s="39">
        <f t="shared" si="97"/>
        <v>0</v>
      </c>
      <c r="J195" s="39">
        <f t="shared" si="97"/>
        <v>0</v>
      </c>
      <c r="K195" s="45">
        <f t="shared" si="97"/>
        <v>0</v>
      </c>
      <c r="L195" s="144">
        <f t="shared" si="97"/>
        <v>0</v>
      </c>
      <c r="M195" s="50">
        <f t="shared" si="97"/>
        <v>1</v>
      </c>
      <c r="N195" s="40">
        <f t="shared" si="80"/>
        <v>267</v>
      </c>
      <c r="O195" s="43">
        <f t="shared" si="81"/>
        <v>487</v>
      </c>
    </row>
    <row r="196" spans="1:15" ht="22.95" customHeight="1" x14ac:dyDescent="0.3">
      <c r="A196" s="52" t="s">
        <v>270</v>
      </c>
      <c r="B196" s="44">
        <f t="shared" ref="B196:M196" si="98">B90+B91+B92+B93</f>
        <v>123</v>
      </c>
      <c r="C196" s="39">
        <f t="shared" si="98"/>
        <v>67</v>
      </c>
      <c r="D196" s="39">
        <f t="shared" si="98"/>
        <v>16</v>
      </c>
      <c r="E196" s="39">
        <f t="shared" si="98"/>
        <v>12</v>
      </c>
      <c r="F196" s="39">
        <f t="shared" si="98"/>
        <v>63</v>
      </c>
      <c r="G196" s="50">
        <f t="shared" si="98"/>
        <v>281</v>
      </c>
      <c r="H196" s="44">
        <f t="shared" si="98"/>
        <v>1</v>
      </c>
      <c r="I196" s="39">
        <f t="shared" si="98"/>
        <v>0</v>
      </c>
      <c r="J196" s="39">
        <f t="shared" si="98"/>
        <v>0</v>
      </c>
      <c r="K196" s="45">
        <f t="shared" si="98"/>
        <v>0</v>
      </c>
      <c r="L196" s="144">
        <f t="shared" si="98"/>
        <v>0</v>
      </c>
      <c r="M196" s="50">
        <f t="shared" si="98"/>
        <v>1</v>
      </c>
      <c r="N196" s="40">
        <f t="shared" si="80"/>
        <v>282</v>
      </c>
      <c r="O196" s="43">
        <f t="shared" si="81"/>
        <v>500.5</v>
      </c>
    </row>
    <row r="197" spans="1:15" ht="22.95" customHeight="1" x14ac:dyDescent="0.3">
      <c r="A197" s="52" t="s">
        <v>271</v>
      </c>
      <c r="B197" s="44">
        <f t="shared" ref="B197:M197" si="99">B91+B92+B93+B94</f>
        <v>146</v>
      </c>
      <c r="C197" s="39">
        <f t="shared" si="99"/>
        <v>85</v>
      </c>
      <c r="D197" s="39">
        <f t="shared" si="99"/>
        <v>17</v>
      </c>
      <c r="E197" s="39">
        <f t="shared" si="99"/>
        <v>25</v>
      </c>
      <c r="F197" s="39">
        <f t="shared" si="99"/>
        <v>72</v>
      </c>
      <c r="G197" s="50">
        <f t="shared" si="99"/>
        <v>345</v>
      </c>
      <c r="H197" s="44">
        <f t="shared" si="99"/>
        <v>3</v>
      </c>
      <c r="I197" s="39">
        <f t="shared" si="99"/>
        <v>0</v>
      </c>
      <c r="J197" s="39">
        <f t="shared" si="99"/>
        <v>0</v>
      </c>
      <c r="K197" s="45">
        <f t="shared" si="99"/>
        <v>0</v>
      </c>
      <c r="L197" s="144">
        <f t="shared" si="99"/>
        <v>1</v>
      </c>
      <c r="M197" s="50">
        <f t="shared" si="99"/>
        <v>4</v>
      </c>
      <c r="N197" s="40">
        <f t="shared" si="80"/>
        <v>349</v>
      </c>
      <c r="O197" s="43">
        <f t="shared" si="81"/>
        <v>622.5</v>
      </c>
    </row>
    <row r="198" spans="1:15" ht="22.95" customHeight="1" x14ac:dyDescent="0.3">
      <c r="A198" s="52" t="s">
        <v>279</v>
      </c>
      <c r="B198" s="44">
        <f t="shared" ref="B198:M198" si="100">B92+B93+B94+B95</f>
        <v>176</v>
      </c>
      <c r="C198" s="39">
        <f t="shared" si="100"/>
        <v>92</v>
      </c>
      <c r="D198" s="39">
        <f t="shared" si="100"/>
        <v>23</v>
      </c>
      <c r="E198" s="39">
        <f t="shared" si="100"/>
        <v>34</v>
      </c>
      <c r="F198" s="39">
        <f t="shared" si="100"/>
        <v>81</v>
      </c>
      <c r="G198" s="50">
        <f t="shared" si="100"/>
        <v>406</v>
      </c>
      <c r="H198" s="44">
        <f t="shared" si="100"/>
        <v>3</v>
      </c>
      <c r="I198" s="39">
        <f t="shared" si="100"/>
        <v>0</v>
      </c>
      <c r="J198" s="39">
        <f t="shared" si="100"/>
        <v>0</v>
      </c>
      <c r="K198" s="45">
        <f t="shared" si="100"/>
        <v>0</v>
      </c>
      <c r="L198" s="144">
        <f t="shared" si="100"/>
        <v>3</v>
      </c>
      <c r="M198" s="50">
        <f t="shared" si="100"/>
        <v>6</v>
      </c>
      <c r="N198" s="40">
        <f t="shared" si="80"/>
        <v>412</v>
      </c>
      <c r="O198" s="43">
        <f t="shared" si="81"/>
        <v>748.5</v>
      </c>
    </row>
    <row r="199" spans="1:15" ht="22.95" customHeight="1" x14ac:dyDescent="0.3">
      <c r="A199" s="52" t="s">
        <v>62</v>
      </c>
      <c r="B199" s="44">
        <f t="shared" ref="B199:M199" si="101">B93+B94+B95+B96</f>
        <v>195</v>
      </c>
      <c r="C199" s="39">
        <f t="shared" si="101"/>
        <v>111</v>
      </c>
      <c r="D199" s="39">
        <f t="shared" si="101"/>
        <v>38</v>
      </c>
      <c r="E199" s="39">
        <f t="shared" si="101"/>
        <v>41</v>
      </c>
      <c r="F199" s="39">
        <f t="shared" si="101"/>
        <v>88</v>
      </c>
      <c r="G199" s="50">
        <f t="shared" si="101"/>
        <v>473</v>
      </c>
      <c r="H199" s="44">
        <f t="shared" si="101"/>
        <v>4</v>
      </c>
      <c r="I199" s="39">
        <f t="shared" si="101"/>
        <v>0</v>
      </c>
      <c r="J199" s="39">
        <f t="shared" si="101"/>
        <v>0</v>
      </c>
      <c r="K199" s="45">
        <f t="shared" si="101"/>
        <v>0</v>
      </c>
      <c r="L199" s="144">
        <f t="shared" si="101"/>
        <v>4</v>
      </c>
      <c r="M199" s="50">
        <f t="shared" si="101"/>
        <v>8</v>
      </c>
      <c r="N199" s="40">
        <f t="shared" si="80"/>
        <v>481</v>
      </c>
      <c r="O199" s="43">
        <f t="shared" si="81"/>
        <v>860.5</v>
      </c>
    </row>
    <row r="200" spans="1:15" ht="22.95" customHeight="1" x14ac:dyDescent="0.3">
      <c r="A200" s="52" t="s">
        <v>63</v>
      </c>
      <c r="B200" s="44">
        <f t="shared" ref="B200:M200" si="102">B94+B95+B96+B97</f>
        <v>224</v>
      </c>
      <c r="C200" s="39">
        <f t="shared" si="102"/>
        <v>130</v>
      </c>
      <c r="D200" s="39">
        <f t="shared" si="102"/>
        <v>47</v>
      </c>
      <c r="E200" s="39">
        <f t="shared" si="102"/>
        <v>47</v>
      </c>
      <c r="F200" s="39">
        <f t="shared" si="102"/>
        <v>94</v>
      </c>
      <c r="G200" s="50">
        <f t="shared" si="102"/>
        <v>542</v>
      </c>
      <c r="H200" s="44">
        <f t="shared" si="102"/>
        <v>5</v>
      </c>
      <c r="I200" s="39">
        <f t="shared" si="102"/>
        <v>0</v>
      </c>
      <c r="J200" s="39">
        <f t="shared" si="102"/>
        <v>0</v>
      </c>
      <c r="K200" s="45">
        <f t="shared" si="102"/>
        <v>0</v>
      </c>
      <c r="L200" s="144">
        <f t="shared" si="102"/>
        <v>6</v>
      </c>
      <c r="M200" s="50">
        <f t="shared" si="102"/>
        <v>11</v>
      </c>
      <c r="N200" s="40">
        <f t="shared" si="80"/>
        <v>553</v>
      </c>
      <c r="O200" s="43">
        <f t="shared" si="81"/>
        <v>974</v>
      </c>
    </row>
    <row r="201" spans="1:15" ht="22.95" customHeight="1" x14ac:dyDescent="0.3">
      <c r="A201" s="52" t="s">
        <v>64</v>
      </c>
      <c r="B201" s="44">
        <f t="shared" ref="B201:M201" si="103">B95+B96+B97+B98</f>
        <v>230</v>
      </c>
      <c r="C201" s="39">
        <f t="shared" si="103"/>
        <v>153</v>
      </c>
      <c r="D201" s="39">
        <f t="shared" si="103"/>
        <v>54</v>
      </c>
      <c r="E201" s="39">
        <f t="shared" si="103"/>
        <v>37</v>
      </c>
      <c r="F201" s="39">
        <f t="shared" si="103"/>
        <v>106</v>
      </c>
      <c r="G201" s="50">
        <f t="shared" si="103"/>
        <v>580</v>
      </c>
      <c r="H201" s="44">
        <f t="shared" si="103"/>
        <v>6</v>
      </c>
      <c r="I201" s="39">
        <f t="shared" si="103"/>
        <v>0</v>
      </c>
      <c r="J201" s="39">
        <f t="shared" si="103"/>
        <v>0</v>
      </c>
      <c r="K201" s="45">
        <f t="shared" si="103"/>
        <v>0</v>
      </c>
      <c r="L201" s="144">
        <f t="shared" si="103"/>
        <v>7</v>
      </c>
      <c r="M201" s="50">
        <f t="shared" si="103"/>
        <v>13</v>
      </c>
      <c r="N201" s="40">
        <f t="shared" si="80"/>
        <v>593</v>
      </c>
      <c r="O201" s="43">
        <f t="shared" si="81"/>
        <v>1034.5</v>
      </c>
    </row>
    <row r="202" spans="1:15" ht="22.95" customHeight="1" x14ac:dyDescent="0.3">
      <c r="A202" s="52" t="s">
        <v>65</v>
      </c>
      <c r="B202" s="44">
        <f t="shared" ref="B202:M202" si="104">B96+B97+B98+B99</f>
        <v>243</v>
      </c>
      <c r="C202" s="39">
        <f t="shared" si="104"/>
        <v>196</v>
      </c>
      <c r="D202" s="39">
        <f t="shared" si="104"/>
        <v>59</v>
      </c>
      <c r="E202" s="39">
        <f t="shared" si="104"/>
        <v>42</v>
      </c>
      <c r="F202" s="39">
        <f t="shared" si="104"/>
        <v>108</v>
      </c>
      <c r="G202" s="50">
        <f t="shared" si="104"/>
        <v>648</v>
      </c>
      <c r="H202" s="44">
        <f t="shared" si="104"/>
        <v>7</v>
      </c>
      <c r="I202" s="39">
        <f t="shared" si="104"/>
        <v>0</v>
      </c>
      <c r="J202" s="39">
        <f t="shared" si="104"/>
        <v>0</v>
      </c>
      <c r="K202" s="45">
        <f t="shared" si="104"/>
        <v>0</v>
      </c>
      <c r="L202" s="144">
        <f t="shared" si="104"/>
        <v>7</v>
      </c>
      <c r="M202" s="50">
        <f t="shared" si="104"/>
        <v>14</v>
      </c>
      <c r="N202" s="40">
        <f t="shared" si="80"/>
        <v>662</v>
      </c>
      <c r="O202" s="43">
        <f t="shared" si="81"/>
        <v>1101</v>
      </c>
    </row>
    <row r="203" spans="1:15" ht="22.95" customHeight="1" x14ac:dyDescent="0.3">
      <c r="A203" s="52" t="s">
        <v>66</v>
      </c>
      <c r="B203" s="44">
        <f t="shared" ref="B203:M203" si="105">B97+B98+B99+B100</f>
        <v>277</v>
      </c>
      <c r="C203" s="39">
        <f t="shared" si="105"/>
        <v>251</v>
      </c>
      <c r="D203" s="39">
        <f t="shared" si="105"/>
        <v>56</v>
      </c>
      <c r="E203" s="39">
        <f t="shared" si="105"/>
        <v>47</v>
      </c>
      <c r="F203" s="39">
        <f t="shared" si="105"/>
        <v>105</v>
      </c>
      <c r="G203" s="50">
        <f t="shared" si="105"/>
        <v>736</v>
      </c>
      <c r="H203" s="44">
        <f t="shared" si="105"/>
        <v>8</v>
      </c>
      <c r="I203" s="39">
        <f t="shared" si="105"/>
        <v>0</v>
      </c>
      <c r="J203" s="39">
        <f t="shared" si="105"/>
        <v>0</v>
      </c>
      <c r="K203" s="45">
        <f t="shared" si="105"/>
        <v>0</v>
      </c>
      <c r="L203" s="144">
        <f t="shared" si="105"/>
        <v>7</v>
      </c>
      <c r="M203" s="50">
        <f t="shared" si="105"/>
        <v>15</v>
      </c>
      <c r="N203" s="40">
        <f t="shared" si="80"/>
        <v>751</v>
      </c>
      <c r="O203" s="43">
        <f t="shared" si="81"/>
        <v>1160</v>
      </c>
    </row>
    <row r="204" spans="1:15" ht="22.95" customHeight="1" x14ac:dyDescent="0.3">
      <c r="A204" s="52" t="s">
        <v>67</v>
      </c>
      <c r="B204" s="44">
        <f t="shared" ref="B204:M204" si="106">B98+B99+B100+B101</f>
        <v>323</v>
      </c>
      <c r="C204" s="39">
        <f t="shared" si="106"/>
        <v>313</v>
      </c>
      <c r="D204" s="39">
        <f t="shared" si="106"/>
        <v>57</v>
      </c>
      <c r="E204" s="39">
        <f t="shared" si="106"/>
        <v>49</v>
      </c>
      <c r="F204" s="39">
        <f t="shared" si="106"/>
        <v>106</v>
      </c>
      <c r="G204" s="50">
        <f t="shared" si="106"/>
        <v>848</v>
      </c>
      <c r="H204" s="44">
        <f t="shared" si="106"/>
        <v>10</v>
      </c>
      <c r="I204" s="39">
        <f t="shared" si="106"/>
        <v>0</v>
      </c>
      <c r="J204" s="39">
        <f t="shared" si="106"/>
        <v>0</v>
      </c>
      <c r="K204" s="45">
        <f t="shared" si="106"/>
        <v>0</v>
      </c>
      <c r="L204" s="144">
        <f t="shared" si="106"/>
        <v>8</v>
      </c>
      <c r="M204" s="50">
        <f t="shared" si="106"/>
        <v>18</v>
      </c>
      <c r="N204" s="40">
        <f t="shared" si="80"/>
        <v>866</v>
      </c>
      <c r="O204" s="43">
        <f t="shared" si="81"/>
        <v>1258</v>
      </c>
    </row>
    <row r="205" spans="1:15" ht="22.95" customHeight="1" x14ac:dyDescent="0.3">
      <c r="A205" s="52" t="s">
        <v>68</v>
      </c>
      <c r="B205" s="44">
        <f t="shared" ref="B205:M205" si="107">B99+B100+B101+B102</f>
        <v>346</v>
      </c>
      <c r="C205" s="39">
        <f t="shared" si="107"/>
        <v>369</v>
      </c>
      <c r="D205" s="39">
        <f t="shared" si="107"/>
        <v>56</v>
      </c>
      <c r="E205" s="39">
        <f t="shared" si="107"/>
        <v>53</v>
      </c>
      <c r="F205" s="39">
        <f t="shared" si="107"/>
        <v>99</v>
      </c>
      <c r="G205" s="50">
        <f t="shared" si="107"/>
        <v>923</v>
      </c>
      <c r="H205" s="44">
        <f t="shared" si="107"/>
        <v>12</v>
      </c>
      <c r="I205" s="39">
        <f t="shared" si="107"/>
        <v>0</v>
      </c>
      <c r="J205" s="39">
        <f t="shared" si="107"/>
        <v>0</v>
      </c>
      <c r="K205" s="45">
        <f t="shared" si="107"/>
        <v>0</v>
      </c>
      <c r="L205" s="144">
        <f t="shared" si="107"/>
        <v>11</v>
      </c>
      <c r="M205" s="50">
        <f t="shared" si="107"/>
        <v>23</v>
      </c>
      <c r="N205" s="40">
        <f t="shared" si="80"/>
        <v>946</v>
      </c>
      <c r="O205" s="43">
        <f t="shared" si="81"/>
        <v>1313</v>
      </c>
    </row>
    <row r="206" spans="1:15" ht="22.95" customHeight="1" thickBot="1" x14ac:dyDescent="0.35">
      <c r="A206" s="52" t="s">
        <v>69</v>
      </c>
      <c r="B206" s="46">
        <f t="shared" ref="B206:M206" si="108">B100+B101+B102+B103</f>
        <v>370</v>
      </c>
      <c r="C206" s="47">
        <f t="shared" si="108"/>
        <v>435</v>
      </c>
      <c r="D206" s="47">
        <f t="shared" si="108"/>
        <v>61</v>
      </c>
      <c r="E206" s="47">
        <f t="shared" si="108"/>
        <v>47</v>
      </c>
      <c r="F206" s="47">
        <f t="shared" si="108"/>
        <v>89</v>
      </c>
      <c r="G206" s="50">
        <f t="shared" si="108"/>
        <v>1002</v>
      </c>
      <c r="H206" s="44">
        <f t="shared" si="108"/>
        <v>16</v>
      </c>
      <c r="I206" s="39">
        <f t="shared" si="108"/>
        <v>0</v>
      </c>
      <c r="J206" s="39">
        <f t="shared" si="108"/>
        <v>0</v>
      </c>
      <c r="K206" s="45">
        <f t="shared" si="108"/>
        <v>0</v>
      </c>
      <c r="L206" s="145">
        <f t="shared" si="108"/>
        <v>12</v>
      </c>
      <c r="M206" s="50">
        <f t="shared" si="108"/>
        <v>28</v>
      </c>
      <c r="N206" s="40">
        <f t="shared" si="80"/>
        <v>1030</v>
      </c>
      <c r="O206" s="43">
        <f t="shared" si="81"/>
        <v>1324.5</v>
      </c>
    </row>
  </sheetData>
  <mergeCells count="31">
    <mergeCell ref="M6:M7"/>
    <mergeCell ref="N6:N7"/>
    <mergeCell ref="O6:O7"/>
    <mergeCell ref="D112:D113"/>
    <mergeCell ref="E112:E113"/>
    <mergeCell ref="K112:K113"/>
    <mergeCell ref="M112:M113"/>
    <mergeCell ref="N112:N113"/>
    <mergeCell ref="O112:O113"/>
    <mergeCell ref="I112:I113"/>
    <mergeCell ref="J112:J113"/>
    <mergeCell ref="D6:D7"/>
    <mergeCell ref="E6:E7"/>
    <mergeCell ref="L6:L7"/>
    <mergeCell ref="L112:L113"/>
    <mergeCell ref="K6:K7"/>
    <mergeCell ref="A1:J1"/>
    <mergeCell ref="A6:A7"/>
    <mergeCell ref="A112:A113"/>
    <mergeCell ref="H6:H7"/>
    <mergeCell ref="G6:G7"/>
    <mergeCell ref="I6:I7"/>
    <mergeCell ref="J6:J7"/>
    <mergeCell ref="C112:C113"/>
    <mergeCell ref="B6:B7"/>
    <mergeCell ref="B112:B113"/>
    <mergeCell ref="C6:C7"/>
    <mergeCell ref="F6:F7"/>
    <mergeCell ref="H112:H113"/>
    <mergeCell ref="F112:F113"/>
    <mergeCell ref="G112:G113"/>
  </mergeCells>
  <pageMargins left="0.7" right="0.7" top="0.75" bottom="0.75" header="0.3" footer="0.3"/>
  <pageSetup paperSize="9" scale="28" orientation="portrait" r:id="rId1"/>
  <rowBreaks count="1" manualBreakCount="1">
    <brk id="106" max="16383" man="1"/>
  </row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206"/>
  <sheetViews>
    <sheetView view="pageBreakPreview" zoomScale="60" zoomScaleNormal="70" workbookViewId="0">
      <selection activeCell="A114" sqref="A114:A206"/>
    </sheetView>
  </sheetViews>
  <sheetFormatPr defaultColWidth="9" defaultRowHeight="15.6" x14ac:dyDescent="0.3"/>
  <cols>
    <col min="1" max="1" width="21.59765625" customWidth="1"/>
    <col min="2" max="7" width="11.69921875" customWidth="1"/>
    <col min="8" max="8" width="15.09765625" bestFit="1" customWidth="1"/>
    <col min="9" max="15" width="11.69921875" customWidth="1"/>
  </cols>
  <sheetData>
    <row r="1" spans="1:15" x14ac:dyDescent="0.3">
      <c r="A1" s="247" t="s">
        <v>99</v>
      </c>
      <c r="B1" s="247"/>
      <c r="C1" s="247"/>
      <c r="D1" s="247"/>
      <c r="E1" s="247"/>
      <c r="F1" s="247"/>
      <c r="G1" s="247"/>
      <c r="H1" s="247"/>
      <c r="I1" s="247"/>
      <c r="J1" s="247"/>
    </row>
    <row r="2" spans="1:15" s="4" customFormat="1" x14ac:dyDescent="0.3">
      <c r="A2" s="4" t="s">
        <v>103</v>
      </c>
      <c r="B2" s="4" t="str">
        <f>Summary!B2</f>
        <v>TMC-14 Number (D2)</v>
      </c>
      <c r="H2" s="181">
        <f>+Summary!I1</f>
        <v>46245</v>
      </c>
    </row>
    <row r="3" spans="1:15" s="4" customFormat="1" x14ac:dyDescent="0.3">
      <c r="A3" s="4" t="s">
        <v>102</v>
      </c>
      <c r="B3" s="4" t="str">
        <f>Summary!B3</f>
        <v>D2</v>
      </c>
      <c r="H3" s="181" t="str">
        <f>+Summary!I2</f>
        <v>Tuesday</v>
      </c>
    </row>
    <row r="4" spans="1:15" s="4" customFormat="1" x14ac:dyDescent="0.3">
      <c r="A4" s="4" t="s">
        <v>104</v>
      </c>
      <c r="B4" s="4" t="str">
        <f>+Summary!A8</f>
        <v>Chomu Pulia</v>
      </c>
    </row>
    <row r="5" spans="1:15" ht="16.2" thickBot="1" x14ac:dyDescent="0.35"/>
    <row r="6" spans="1:15" ht="25.2" customHeight="1" x14ac:dyDescent="0.3">
      <c r="A6" s="252" t="s">
        <v>95</v>
      </c>
      <c r="B6" s="258" t="s">
        <v>280</v>
      </c>
      <c r="C6" s="254" t="s">
        <v>281</v>
      </c>
      <c r="D6" s="250" t="s">
        <v>282</v>
      </c>
      <c r="E6" s="260" t="s">
        <v>283</v>
      </c>
      <c r="F6" s="256" t="s">
        <v>284</v>
      </c>
      <c r="G6" s="250" t="s">
        <v>129</v>
      </c>
      <c r="H6" s="248" t="s">
        <v>150</v>
      </c>
      <c r="I6" s="250" t="s">
        <v>151</v>
      </c>
      <c r="J6" s="250" t="s">
        <v>285</v>
      </c>
      <c r="K6" s="248" t="s">
        <v>286</v>
      </c>
      <c r="L6" s="250" t="s">
        <v>287</v>
      </c>
      <c r="M6" s="250" t="s">
        <v>78</v>
      </c>
      <c r="N6" s="250" t="s">
        <v>131</v>
      </c>
      <c r="O6" s="250" t="s">
        <v>132</v>
      </c>
    </row>
    <row r="7" spans="1:15" ht="58.5" customHeight="1" thickBot="1" x14ac:dyDescent="0.35">
      <c r="A7" s="253"/>
      <c r="B7" s="259"/>
      <c r="C7" s="255"/>
      <c r="D7" s="251"/>
      <c r="E7" s="261"/>
      <c r="F7" s="257"/>
      <c r="G7" s="259"/>
      <c r="H7" s="249"/>
      <c r="I7" s="251"/>
      <c r="J7" s="251"/>
      <c r="K7" s="249"/>
      <c r="L7" s="251"/>
      <c r="M7" s="251"/>
      <c r="N7" s="251"/>
      <c r="O7" s="251"/>
    </row>
    <row r="8" spans="1:15" ht="22.5" customHeight="1" x14ac:dyDescent="0.3">
      <c r="A8" s="148" t="s">
        <v>177</v>
      </c>
      <c r="B8" s="112">
        <f>V_2!B8+V_4!B8+V_12!B8</f>
        <v>269</v>
      </c>
      <c r="C8" s="113">
        <f>V_2!C8+V_4!C8+V_12!C8</f>
        <v>282</v>
      </c>
      <c r="D8" s="113">
        <f>V_2!D8+V_4!D8+V_12!D8</f>
        <v>5</v>
      </c>
      <c r="E8" s="113">
        <f>V_2!E8+V_4!E8+V_12!E8</f>
        <v>10</v>
      </c>
      <c r="F8" s="151">
        <f>V_2!F8+V_4!F8+V_12!F8</f>
        <v>11</v>
      </c>
      <c r="G8" s="79">
        <f t="shared" ref="G8:G39" si="0">SUM(B8:F8)</f>
        <v>577</v>
      </c>
      <c r="H8" s="112">
        <f>V_2!H8+V_4!H8+V_12!H8</f>
        <v>2</v>
      </c>
      <c r="I8" s="113">
        <f>V_2!I8+V_4!I8+V_12!I8</f>
        <v>0</v>
      </c>
      <c r="J8" s="113">
        <f>V_2!J8+V_4!J8+V_12!J8</f>
        <v>0</v>
      </c>
      <c r="K8" s="114">
        <f>V_2!K8+V_4!K8+V_12!K8</f>
        <v>0</v>
      </c>
      <c r="L8" s="139">
        <f>V_2!L8+V_4!L8+V_12!L8</f>
        <v>9</v>
      </c>
      <c r="M8" s="148">
        <f>SUM(H8:L8)</f>
        <v>11</v>
      </c>
      <c r="N8" s="43">
        <f>G8+M8</f>
        <v>588</v>
      </c>
      <c r="O8" s="115">
        <f>B8*1+C8*0.5+D8*1.5+E8*3+F8*4.5+H8*0.5+I8*1.5+J8*3+K8*4+L8*8</f>
        <v>570</v>
      </c>
    </row>
    <row r="9" spans="1:15" ht="22.5" customHeight="1" x14ac:dyDescent="0.3">
      <c r="A9" s="149" t="s">
        <v>178</v>
      </c>
      <c r="B9" s="44">
        <f>V_2!B9+V_4!B9+V_12!B9</f>
        <v>275</v>
      </c>
      <c r="C9" s="39">
        <f>V_2!C9+V_4!C9+V_12!C9</f>
        <v>256</v>
      </c>
      <c r="D9" s="39">
        <f>V_2!D9+V_4!D9+V_12!D9</f>
        <v>3</v>
      </c>
      <c r="E9" s="39">
        <f>V_2!E9+V_4!E9+V_12!E9</f>
        <v>9</v>
      </c>
      <c r="F9" s="152">
        <f>V_2!F9+V_4!F9+V_12!F9</f>
        <v>7</v>
      </c>
      <c r="G9" s="154">
        <f t="shared" si="0"/>
        <v>550</v>
      </c>
      <c r="H9" s="44">
        <f>V_2!H9+V_4!H9+V_12!H9</f>
        <v>1</v>
      </c>
      <c r="I9" s="39">
        <f>V_2!I9+V_4!I9+V_12!I9</f>
        <v>0</v>
      </c>
      <c r="J9" s="39">
        <f>V_2!J9+V_4!J9+V_12!J9</f>
        <v>0</v>
      </c>
      <c r="K9" s="45">
        <f>V_2!K9+V_4!K9+V_12!K9</f>
        <v>0</v>
      </c>
      <c r="L9" s="140">
        <f>V_2!L9+V_4!L9+V_12!L9</f>
        <v>7</v>
      </c>
      <c r="M9" s="149">
        <f t="shared" ref="M9:M72" si="1">SUM(H9:L9)</f>
        <v>8</v>
      </c>
      <c r="N9" s="100">
        <f t="shared" ref="N9:N72" si="2">G9+M9</f>
        <v>558</v>
      </c>
      <c r="O9" s="43">
        <f t="shared" ref="O9:O72" si="3">B9*1+C9*0.5+D9*1.5+E9*3+F9*4.5+H9*0.5+I9*1.5+J9*3+K9*4+L9*8</f>
        <v>522.5</v>
      </c>
    </row>
    <row r="10" spans="1:15" ht="22.5" customHeight="1" x14ac:dyDescent="0.3">
      <c r="A10" s="149" t="s">
        <v>179</v>
      </c>
      <c r="B10" s="44">
        <f>V_2!B10+V_4!B10+V_12!B10</f>
        <v>268</v>
      </c>
      <c r="C10" s="39">
        <f>V_2!C10+V_4!C10+V_12!C10</f>
        <v>297</v>
      </c>
      <c r="D10" s="39">
        <f>V_2!D10+V_4!D10+V_12!D10</f>
        <v>11</v>
      </c>
      <c r="E10" s="39">
        <f>V_2!E10+V_4!E10+V_12!E10</f>
        <v>17</v>
      </c>
      <c r="F10" s="152">
        <f>V_2!F10+V_4!F10+V_12!F10</f>
        <v>18</v>
      </c>
      <c r="G10" s="154">
        <f t="shared" si="0"/>
        <v>611</v>
      </c>
      <c r="H10" s="44">
        <f>V_2!H10+V_4!H10+V_12!H10</f>
        <v>1</v>
      </c>
      <c r="I10" s="39">
        <f>V_2!I10+V_4!I10+V_12!I10</f>
        <v>0</v>
      </c>
      <c r="J10" s="39">
        <f>V_2!J10+V_4!J10+V_12!J10</f>
        <v>0</v>
      </c>
      <c r="K10" s="45">
        <f>V_2!K10+V_4!K10+V_12!K10</f>
        <v>0</v>
      </c>
      <c r="L10" s="140">
        <f>V_2!L10+V_4!L10+V_12!L10</f>
        <v>8</v>
      </c>
      <c r="M10" s="149">
        <f t="shared" si="1"/>
        <v>9</v>
      </c>
      <c r="N10" s="100">
        <f t="shared" si="2"/>
        <v>620</v>
      </c>
      <c r="O10" s="43">
        <f t="shared" si="3"/>
        <v>629.5</v>
      </c>
    </row>
    <row r="11" spans="1:15" ht="22.5" customHeight="1" x14ac:dyDescent="0.3">
      <c r="A11" s="149" t="s">
        <v>180</v>
      </c>
      <c r="B11" s="44">
        <f>V_2!B11+V_4!B11+V_12!B11</f>
        <v>240</v>
      </c>
      <c r="C11" s="39">
        <f>V_2!C11+V_4!C11+V_12!C11</f>
        <v>286</v>
      </c>
      <c r="D11" s="39">
        <f>V_2!D11+V_4!D11+V_12!D11</f>
        <v>6</v>
      </c>
      <c r="E11" s="39">
        <f>V_2!E11+V_4!E11+V_12!E11</f>
        <v>7</v>
      </c>
      <c r="F11" s="152">
        <f>V_2!F11+V_4!F11+V_12!F11</f>
        <v>7</v>
      </c>
      <c r="G11" s="154">
        <f t="shared" si="0"/>
        <v>546</v>
      </c>
      <c r="H11" s="44">
        <f>V_2!H11+V_4!H11+V_12!H11</f>
        <v>0</v>
      </c>
      <c r="I11" s="39">
        <f>V_2!I11+V_4!I11+V_12!I11</f>
        <v>0</v>
      </c>
      <c r="J11" s="39">
        <f>V_2!J11+V_4!J11+V_12!J11</f>
        <v>0</v>
      </c>
      <c r="K11" s="45">
        <f>V_2!K11+V_4!K11+V_12!K11</f>
        <v>0</v>
      </c>
      <c r="L11" s="140">
        <f>V_2!L11+V_4!L11+V_12!L11</f>
        <v>12</v>
      </c>
      <c r="M11" s="149">
        <f t="shared" si="1"/>
        <v>12</v>
      </c>
      <c r="N11" s="100">
        <f t="shared" si="2"/>
        <v>558</v>
      </c>
      <c r="O11" s="43">
        <f t="shared" si="3"/>
        <v>540.5</v>
      </c>
    </row>
    <row r="12" spans="1:15" ht="22.5" customHeight="1" x14ac:dyDescent="0.3">
      <c r="A12" s="149" t="s">
        <v>181</v>
      </c>
      <c r="B12" s="44">
        <f>V_2!B12+V_4!B12+V_12!B12</f>
        <v>319</v>
      </c>
      <c r="C12" s="39">
        <f>V_2!C12+V_4!C12+V_12!C12</f>
        <v>327</v>
      </c>
      <c r="D12" s="39">
        <f>V_2!D12+V_4!D12+V_12!D12</f>
        <v>3</v>
      </c>
      <c r="E12" s="39">
        <f>V_2!E12+V_4!E12+V_12!E12</f>
        <v>10</v>
      </c>
      <c r="F12" s="152">
        <f>V_2!F12+V_4!F12+V_12!F12</f>
        <v>4</v>
      </c>
      <c r="G12" s="154">
        <f t="shared" si="0"/>
        <v>663</v>
      </c>
      <c r="H12" s="44">
        <f>V_2!H12+V_4!H12+V_12!H12</f>
        <v>1</v>
      </c>
      <c r="I12" s="39">
        <f>V_2!I12+V_4!I12+V_12!I12</f>
        <v>0</v>
      </c>
      <c r="J12" s="39">
        <f>V_2!J12+V_4!J12+V_12!J12</f>
        <v>0</v>
      </c>
      <c r="K12" s="45">
        <f>V_2!K12+V_4!K12+V_12!K12</f>
        <v>0</v>
      </c>
      <c r="L12" s="140">
        <f>V_2!L12+V_4!L12+V_12!L12</f>
        <v>14</v>
      </c>
      <c r="M12" s="149">
        <f t="shared" si="1"/>
        <v>15</v>
      </c>
      <c r="N12" s="100">
        <f t="shared" si="2"/>
        <v>678</v>
      </c>
      <c r="O12" s="43">
        <f t="shared" si="3"/>
        <v>647.5</v>
      </c>
    </row>
    <row r="13" spans="1:15" ht="22.5" customHeight="1" x14ac:dyDescent="0.3">
      <c r="A13" s="149" t="s">
        <v>182</v>
      </c>
      <c r="B13" s="44">
        <f>V_2!B13+V_4!B13+V_12!B13</f>
        <v>328</v>
      </c>
      <c r="C13" s="39">
        <f>V_2!C13+V_4!C13+V_12!C13</f>
        <v>380</v>
      </c>
      <c r="D13" s="39">
        <f>V_2!D13+V_4!D13+V_12!D13</f>
        <v>9</v>
      </c>
      <c r="E13" s="39">
        <f>V_2!E13+V_4!E13+V_12!E13</f>
        <v>7</v>
      </c>
      <c r="F13" s="152">
        <f>V_2!F13+V_4!F13+V_12!F13</f>
        <v>10</v>
      </c>
      <c r="G13" s="154">
        <f t="shared" si="0"/>
        <v>734</v>
      </c>
      <c r="H13" s="44">
        <f>V_2!H13+V_4!H13+V_12!H13</f>
        <v>1</v>
      </c>
      <c r="I13" s="39">
        <f>V_2!I13+V_4!I13+V_12!I13</f>
        <v>0</v>
      </c>
      <c r="J13" s="39">
        <f>V_2!J13+V_4!J13+V_12!J13</f>
        <v>0</v>
      </c>
      <c r="K13" s="45">
        <f>V_2!K13+V_4!K13+V_12!K13</f>
        <v>0</v>
      </c>
      <c r="L13" s="140">
        <f>V_2!L13+V_4!L13+V_12!L13</f>
        <v>14</v>
      </c>
      <c r="M13" s="149">
        <f t="shared" si="1"/>
        <v>15</v>
      </c>
      <c r="N13" s="100">
        <f t="shared" si="2"/>
        <v>749</v>
      </c>
      <c r="O13" s="43">
        <f t="shared" si="3"/>
        <v>710</v>
      </c>
    </row>
    <row r="14" spans="1:15" ht="22.5" customHeight="1" x14ac:dyDescent="0.3">
      <c r="A14" s="149" t="s">
        <v>183</v>
      </c>
      <c r="B14" s="44">
        <f>V_2!B14+V_4!B14+V_12!B14</f>
        <v>445</v>
      </c>
      <c r="C14" s="39">
        <f>V_2!C14+V_4!C14+V_12!C14</f>
        <v>490</v>
      </c>
      <c r="D14" s="39">
        <f>V_2!D14+V_4!D14+V_12!D14</f>
        <v>14</v>
      </c>
      <c r="E14" s="39">
        <f>V_2!E14+V_4!E14+V_12!E14</f>
        <v>9</v>
      </c>
      <c r="F14" s="152">
        <f>V_2!F14+V_4!F14+V_12!F14</f>
        <v>14</v>
      </c>
      <c r="G14" s="154">
        <f t="shared" si="0"/>
        <v>972</v>
      </c>
      <c r="H14" s="44">
        <f>V_2!H14+V_4!H14+V_12!H14</f>
        <v>2</v>
      </c>
      <c r="I14" s="39">
        <f>V_2!I14+V_4!I14+V_12!I14</f>
        <v>0</v>
      </c>
      <c r="J14" s="39">
        <f>V_2!J14+V_4!J14+V_12!J14</f>
        <v>0</v>
      </c>
      <c r="K14" s="45">
        <f>V_2!K14+V_4!K14+V_12!K14</f>
        <v>0</v>
      </c>
      <c r="L14" s="140">
        <f>V_2!L14+V_4!L14+V_12!L14</f>
        <v>15</v>
      </c>
      <c r="M14" s="149">
        <f t="shared" si="1"/>
        <v>17</v>
      </c>
      <c r="N14" s="100">
        <f t="shared" si="2"/>
        <v>989</v>
      </c>
      <c r="O14" s="43">
        <f t="shared" si="3"/>
        <v>922</v>
      </c>
    </row>
    <row r="15" spans="1:15" ht="22.5" customHeight="1" x14ac:dyDescent="0.3">
      <c r="A15" s="149" t="s">
        <v>184</v>
      </c>
      <c r="B15" s="44">
        <f>V_2!B15+V_4!B15+V_12!B15</f>
        <v>440</v>
      </c>
      <c r="C15" s="39">
        <f>V_2!C15+V_4!C15+V_12!C15</f>
        <v>373</v>
      </c>
      <c r="D15" s="39">
        <f>V_2!D15+V_4!D15+V_12!D15</f>
        <v>18</v>
      </c>
      <c r="E15" s="39">
        <f>V_2!E15+V_4!E15+V_12!E15</f>
        <v>26</v>
      </c>
      <c r="F15" s="152">
        <f>V_2!F15+V_4!F15+V_12!F15</f>
        <v>2</v>
      </c>
      <c r="G15" s="154">
        <f t="shared" si="0"/>
        <v>859</v>
      </c>
      <c r="H15" s="44">
        <f>V_2!H15+V_4!H15+V_12!H15</f>
        <v>0</v>
      </c>
      <c r="I15" s="39">
        <f>V_2!I15+V_4!I15+V_12!I15</f>
        <v>0</v>
      </c>
      <c r="J15" s="39">
        <f>V_2!J15+V_4!J15+V_12!J15</f>
        <v>0</v>
      </c>
      <c r="K15" s="45">
        <f>V_2!K15+V_4!K15+V_12!K15</f>
        <v>0</v>
      </c>
      <c r="L15" s="140">
        <f>V_2!L15+V_4!L15+V_12!L15</f>
        <v>1</v>
      </c>
      <c r="M15" s="149">
        <f t="shared" si="1"/>
        <v>1</v>
      </c>
      <c r="N15" s="100">
        <f t="shared" si="2"/>
        <v>860</v>
      </c>
      <c r="O15" s="43">
        <f t="shared" si="3"/>
        <v>748.5</v>
      </c>
    </row>
    <row r="16" spans="1:15" ht="22.5" customHeight="1" x14ac:dyDescent="0.3">
      <c r="A16" s="149" t="s">
        <v>185</v>
      </c>
      <c r="B16" s="44">
        <f>V_2!B16+V_4!B16+V_12!B16</f>
        <v>429</v>
      </c>
      <c r="C16" s="39">
        <f>V_2!C16+V_4!C16+V_12!C16</f>
        <v>363</v>
      </c>
      <c r="D16" s="39">
        <f>V_2!D16+V_4!D16+V_12!D16</f>
        <v>14</v>
      </c>
      <c r="E16" s="39">
        <f>V_2!E16+V_4!E16+V_12!E16</f>
        <v>20</v>
      </c>
      <c r="F16" s="152">
        <f>V_2!F16+V_4!F16+V_12!F16</f>
        <v>16</v>
      </c>
      <c r="G16" s="154">
        <f t="shared" si="0"/>
        <v>842</v>
      </c>
      <c r="H16" s="44">
        <f>V_2!H16+V_4!H16+V_12!H16</f>
        <v>0</v>
      </c>
      <c r="I16" s="39">
        <f>V_2!I16+V_4!I16+V_12!I16</f>
        <v>0</v>
      </c>
      <c r="J16" s="39">
        <f>V_2!J16+V_4!J16+V_12!J16</f>
        <v>0</v>
      </c>
      <c r="K16" s="45">
        <f>V_2!K16+V_4!K16+V_12!K16</f>
        <v>0</v>
      </c>
      <c r="L16" s="140">
        <f>V_2!L16+V_4!L16+V_12!L16</f>
        <v>3</v>
      </c>
      <c r="M16" s="149">
        <f t="shared" si="1"/>
        <v>3</v>
      </c>
      <c r="N16" s="100">
        <f t="shared" si="2"/>
        <v>845</v>
      </c>
      <c r="O16" s="43">
        <f t="shared" si="3"/>
        <v>787.5</v>
      </c>
    </row>
    <row r="17" spans="1:15" ht="22.5" customHeight="1" x14ac:dyDescent="0.3">
      <c r="A17" s="149" t="s">
        <v>186</v>
      </c>
      <c r="B17" s="44">
        <f>V_2!B17+V_4!B17+V_12!B17</f>
        <v>401</v>
      </c>
      <c r="C17" s="39">
        <f>V_2!C17+V_4!C17+V_12!C17</f>
        <v>294</v>
      </c>
      <c r="D17" s="39">
        <f>V_2!D17+V_4!D17+V_12!D17</f>
        <v>15</v>
      </c>
      <c r="E17" s="39">
        <f>V_2!E17+V_4!E17+V_12!E17</f>
        <v>16</v>
      </c>
      <c r="F17" s="152">
        <f>V_2!F17+V_4!F17+V_12!F17</f>
        <v>10</v>
      </c>
      <c r="G17" s="154">
        <f t="shared" si="0"/>
        <v>736</v>
      </c>
      <c r="H17" s="44">
        <f>V_2!H17+V_4!H17+V_12!H17</f>
        <v>0</v>
      </c>
      <c r="I17" s="39">
        <f>V_2!I17+V_4!I17+V_12!I17</f>
        <v>0</v>
      </c>
      <c r="J17" s="39">
        <f>V_2!J17+V_4!J17+V_12!J17</f>
        <v>0</v>
      </c>
      <c r="K17" s="45">
        <f>V_2!K17+V_4!K17+V_12!K17</f>
        <v>0</v>
      </c>
      <c r="L17" s="140">
        <f>V_2!L17+V_4!L17+V_12!L17</f>
        <v>4</v>
      </c>
      <c r="M17" s="149">
        <f t="shared" si="1"/>
        <v>4</v>
      </c>
      <c r="N17" s="100">
        <f t="shared" si="2"/>
        <v>740</v>
      </c>
      <c r="O17" s="43">
        <f t="shared" si="3"/>
        <v>695.5</v>
      </c>
    </row>
    <row r="18" spans="1:15" ht="22.5" customHeight="1" x14ac:dyDescent="0.3">
      <c r="A18" s="149" t="s">
        <v>187</v>
      </c>
      <c r="B18" s="44">
        <f>V_2!B18+V_4!B18+V_12!B18</f>
        <v>363</v>
      </c>
      <c r="C18" s="39">
        <f>V_2!C18+V_4!C18+V_12!C18</f>
        <v>223</v>
      </c>
      <c r="D18" s="39">
        <f>V_2!D18+V_4!D18+V_12!D18</f>
        <v>14</v>
      </c>
      <c r="E18" s="39">
        <f>V_2!E18+V_4!E18+V_12!E18</f>
        <v>19</v>
      </c>
      <c r="F18" s="152">
        <f>V_2!F18+V_4!F18+V_12!F18</f>
        <v>17</v>
      </c>
      <c r="G18" s="154">
        <f t="shared" si="0"/>
        <v>636</v>
      </c>
      <c r="H18" s="44">
        <f>V_2!H18+V_4!H18+V_12!H18</f>
        <v>0</v>
      </c>
      <c r="I18" s="39">
        <f>V_2!I18+V_4!I18+V_12!I18</f>
        <v>0</v>
      </c>
      <c r="J18" s="39">
        <f>V_2!J18+V_4!J18+V_12!J18</f>
        <v>0</v>
      </c>
      <c r="K18" s="45">
        <f>V_2!K18+V_4!K18+V_12!K18</f>
        <v>0</v>
      </c>
      <c r="L18" s="140">
        <f>V_2!L18+V_4!L18+V_12!L18</f>
        <v>3</v>
      </c>
      <c r="M18" s="149">
        <f t="shared" si="1"/>
        <v>3</v>
      </c>
      <c r="N18" s="100">
        <f t="shared" si="2"/>
        <v>639</v>
      </c>
      <c r="O18" s="43">
        <f t="shared" si="3"/>
        <v>653</v>
      </c>
    </row>
    <row r="19" spans="1:15" ht="22.5" customHeight="1" x14ac:dyDescent="0.3">
      <c r="A19" s="149" t="s">
        <v>188</v>
      </c>
      <c r="B19" s="44">
        <f>V_2!B19+V_4!B19+V_12!B19</f>
        <v>348</v>
      </c>
      <c r="C19" s="39">
        <f>V_2!C19+V_4!C19+V_12!C19</f>
        <v>220</v>
      </c>
      <c r="D19" s="39">
        <f>V_2!D19+V_4!D19+V_12!D19</f>
        <v>16</v>
      </c>
      <c r="E19" s="39">
        <f>V_2!E19+V_4!E19+V_12!E19</f>
        <v>10</v>
      </c>
      <c r="F19" s="152">
        <f>V_2!F19+V_4!F19+V_12!F19</f>
        <v>7</v>
      </c>
      <c r="G19" s="154">
        <f t="shared" si="0"/>
        <v>601</v>
      </c>
      <c r="H19" s="44">
        <f>V_2!H19+V_4!H19+V_12!H19</f>
        <v>0</v>
      </c>
      <c r="I19" s="39">
        <f>V_2!I19+V_4!I19+V_12!I19</f>
        <v>0</v>
      </c>
      <c r="J19" s="39">
        <f>V_2!J19+V_4!J19+V_12!J19</f>
        <v>0</v>
      </c>
      <c r="K19" s="45">
        <f>V_2!K19+V_4!K19+V_12!K19</f>
        <v>0</v>
      </c>
      <c r="L19" s="140">
        <f>V_2!L19+V_4!L19+V_12!L19</f>
        <v>6</v>
      </c>
      <c r="M19" s="149">
        <f t="shared" si="1"/>
        <v>6</v>
      </c>
      <c r="N19" s="100">
        <f t="shared" si="2"/>
        <v>607</v>
      </c>
      <c r="O19" s="43">
        <f t="shared" si="3"/>
        <v>591.5</v>
      </c>
    </row>
    <row r="20" spans="1:15" ht="22.5" customHeight="1" x14ac:dyDescent="0.3">
      <c r="A20" s="149" t="s">
        <v>189</v>
      </c>
      <c r="B20" s="44">
        <f>V_2!B20+V_4!B20+V_12!B20</f>
        <v>350</v>
      </c>
      <c r="C20" s="39">
        <f>V_2!C20+V_4!C20+V_12!C20</f>
        <v>177</v>
      </c>
      <c r="D20" s="39">
        <f>V_2!D20+V_4!D20+V_12!D20</f>
        <v>15</v>
      </c>
      <c r="E20" s="39">
        <f>V_2!E20+V_4!E20+V_12!E20</f>
        <v>12</v>
      </c>
      <c r="F20" s="152">
        <f>V_2!F20+V_4!F20+V_12!F20</f>
        <v>11</v>
      </c>
      <c r="G20" s="154">
        <f t="shared" si="0"/>
        <v>565</v>
      </c>
      <c r="H20" s="44">
        <f>V_2!H20+V_4!H20+V_12!H20</f>
        <v>0</v>
      </c>
      <c r="I20" s="39">
        <f>V_2!I20+V_4!I20+V_12!I20</f>
        <v>0</v>
      </c>
      <c r="J20" s="39">
        <f>V_2!J20+V_4!J20+V_12!J20</f>
        <v>0</v>
      </c>
      <c r="K20" s="45">
        <f>V_2!K20+V_4!K20+V_12!K20</f>
        <v>0</v>
      </c>
      <c r="L20" s="140">
        <f>V_2!L20+V_4!L20+V_12!L20</f>
        <v>5</v>
      </c>
      <c r="M20" s="149">
        <f t="shared" si="1"/>
        <v>5</v>
      </c>
      <c r="N20" s="100">
        <f t="shared" si="2"/>
        <v>570</v>
      </c>
      <c r="O20" s="43">
        <f t="shared" si="3"/>
        <v>586.5</v>
      </c>
    </row>
    <row r="21" spans="1:15" ht="22.5" customHeight="1" x14ac:dyDescent="0.3">
      <c r="A21" s="149" t="s">
        <v>190</v>
      </c>
      <c r="B21" s="44">
        <f>V_2!B21+V_4!B21+V_12!B21</f>
        <v>415</v>
      </c>
      <c r="C21" s="39">
        <f>V_2!C21+V_4!C21+V_12!C21</f>
        <v>334</v>
      </c>
      <c r="D21" s="39">
        <f>V_2!D21+V_4!D21+V_12!D21</f>
        <v>14</v>
      </c>
      <c r="E21" s="39">
        <f>V_2!E21+V_4!E21+V_12!E21</f>
        <v>14</v>
      </c>
      <c r="F21" s="152">
        <f>V_2!F21+V_4!F21+V_12!F21</f>
        <v>7</v>
      </c>
      <c r="G21" s="154">
        <f t="shared" si="0"/>
        <v>784</v>
      </c>
      <c r="H21" s="44">
        <f>V_2!H21+V_4!H21+V_12!H21</f>
        <v>1</v>
      </c>
      <c r="I21" s="39">
        <f>V_2!I21+V_4!I21+V_12!I21</f>
        <v>0</v>
      </c>
      <c r="J21" s="39">
        <f>V_2!J21+V_4!J21+V_12!J21</f>
        <v>0</v>
      </c>
      <c r="K21" s="45">
        <f>V_2!K21+V_4!K21+V_12!K21</f>
        <v>0</v>
      </c>
      <c r="L21" s="140">
        <f>V_2!L21+V_4!L21+V_12!L21</f>
        <v>6</v>
      </c>
      <c r="M21" s="149">
        <f t="shared" si="1"/>
        <v>7</v>
      </c>
      <c r="N21" s="100">
        <f t="shared" si="2"/>
        <v>791</v>
      </c>
      <c r="O21" s="43">
        <f t="shared" si="3"/>
        <v>725</v>
      </c>
    </row>
    <row r="22" spans="1:15" ht="22.5" customHeight="1" x14ac:dyDescent="0.3">
      <c r="A22" s="149" t="s">
        <v>191</v>
      </c>
      <c r="B22" s="44">
        <f>V_2!B22+V_4!B22+V_12!B22</f>
        <v>329</v>
      </c>
      <c r="C22" s="39">
        <f>V_2!C22+V_4!C22+V_12!C22</f>
        <v>151</v>
      </c>
      <c r="D22" s="39">
        <f>V_2!D22+V_4!D22+V_12!D22</f>
        <v>12</v>
      </c>
      <c r="E22" s="39">
        <f>V_2!E22+V_4!E22+V_12!E22</f>
        <v>19</v>
      </c>
      <c r="F22" s="152">
        <f>V_2!F22+V_4!F22+V_12!F22</f>
        <v>10</v>
      </c>
      <c r="G22" s="154">
        <f t="shared" si="0"/>
        <v>521</v>
      </c>
      <c r="H22" s="44">
        <f>V_2!H22+V_4!H22+V_12!H22</f>
        <v>0</v>
      </c>
      <c r="I22" s="39">
        <f>V_2!I22+V_4!I22+V_12!I22</f>
        <v>0</v>
      </c>
      <c r="J22" s="39">
        <f>V_2!J22+V_4!J22+V_12!J22</f>
        <v>0</v>
      </c>
      <c r="K22" s="45">
        <f>V_2!K22+V_4!K22+V_12!K22</f>
        <v>0</v>
      </c>
      <c r="L22" s="140">
        <f>V_2!L22+V_4!L22+V_12!L22</f>
        <v>5</v>
      </c>
      <c r="M22" s="149">
        <f t="shared" si="1"/>
        <v>5</v>
      </c>
      <c r="N22" s="100">
        <f t="shared" si="2"/>
        <v>526</v>
      </c>
      <c r="O22" s="43">
        <f t="shared" si="3"/>
        <v>564.5</v>
      </c>
    </row>
    <row r="23" spans="1:15" ht="22.5" customHeight="1" x14ac:dyDescent="0.3">
      <c r="A23" s="149" t="s">
        <v>192</v>
      </c>
      <c r="B23" s="44">
        <f>V_2!B23+V_4!B23+V_12!B23</f>
        <v>339</v>
      </c>
      <c r="C23" s="39">
        <f>V_2!C23+V_4!C23+V_12!C23</f>
        <v>173</v>
      </c>
      <c r="D23" s="39">
        <f>V_2!D23+V_4!D23+V_12!D23</f>
        <v>8</v>
      </c>
      <c r="E23" s="39">
        <f>V_2!E23+V_4!E23+V_12!E23</f>
        <v>6</v>
      </c>
      <c r="F23" s="152">
        <f>V_2!F23+V_4!F23+V_12!F23</f>
        <v>15</v>
      </c>
      <c r="G23" s="154">
        <f t="shared" si="0"/>
        <v>541</v>
      </c>
      <c r="H23" s="44">
        <f>V_2!H23+V_4!H23+V_12!H23</f>
        <v>0</v>
      </c>
      <c r="I23" s="39">
        <f>V_2!I23+V_4!I23+V_12!I23</f>
        <v>0</v>
      </c>
      <c r="J23" s="39">
        <f>V_2!J23+V_4!J23+V_12!J23</f>
        <v>0</v>
      </c>
      <c r="K23" s="45">
        <f>V_2!K23+V_4!K23+V_12!K23</f>
        <v>0</v>
      </c>
      <c r="L23" s="140">
        <f>V_2!L23+V_4!L23+V_12!L23</f>
        <v>3</v>
      </c>
      <c r="M23" s="149">
        <f t="shared" si="1"/>
        <v>3</v>
      </c>
      <c r="N23" s="100">
        <f t="shared" si="2"/>
        <v>544</v>
      </c>
      <c r="O23" s="43">
        <f t="shared" si="3"/>
        <v>547</v>
      </c>
    </row>
    <row r="24" spans="1:15" ht="22.5" customHeight="1" x14ac:dyDescent="0.3">
      <c r="A24" s="149" t="s">
        <v>193</v>
      </c>
      <c r="B24" s="44">
        <f>V_2!B24+V_4!B24+V_12!B24</f>
        <v>312</v>
      </c>
      <c r="C24" s="39">
        <f>V_2!C24+V_4!C24+V_12!C24</f>
        <v>174</v>
      </c>
      <c r="D24" s="39">
        <f>V_2!D24+V_4!D24+V_12!D24</f>
        <v>8</v>
      </c>
      <c r="E24" s="39">
        <f>V_2!E24+V_4!E24+V_12!E24</f>
        <v>10</v>
      </c>
      <c r="F24" s="152">
        <f>V_2!F24+V_4!F24+V_12!F24</f>
        <v>21</v>
      </c>
      <c r="G24" s="154">
        <f t="shared" si="0"/>
        <v>525</v>
      </c>
      <c r="H24" s="44">
        <f>V_2!H24+V_4!H24+V_12!H24</f>
        <v>0</v>
      </c>
      <c r="I24" s="39">
        <f>V_2!I24+V_4!I24+V_12!I24</f>
        <v>0</v>
      </c>
      <c r="J24" s="39">
        <f>V_2!J24+V_4!J24+V_12!J24</f>
        <v>0</v>
      </c>
      <c r="K24" s="45">
        <f>V_2!K24+V_4!K24+V_12!K24</f>
        <v>0</v>
      </c>
      <c r="L24" s="140">
        <f>V_2!L24+V_4!L24+V_12!L24</f>
        <v>6</v>
      </c>
      <c r="M24" s="149">
        <f t="shared" si="1"/>
        <v>6</v>
      </c>
      <c r="N24" s="100">
        <f t="shared" si="2"/>
        <v>531</v>
      </c>
      <c r="O24" s="43">
        <f t="shared" si="3"/>
        <v>583.5</v>
      </c>
    </row>
    <row r="25" spans="1:15" ht="22.5" customHeight="1" x14ac:dyDescent="0.3">
      <c r="A25" s="149" t="s">
        <v>194</v>
      </c>
      <c r="B25" s="44">
        <f>V_2!B25+V_4!B25+V_12!B25</f>
        <v>328</v>
      </c>
      <c r="C25" s="39">
        <f>V_2!C25+V_4!C25+V_12!C25</f>
        <v>102</v>
      </c>
      <c r="D25" s="39">
        <f>V_2!D25+V_4!D25+V_12!D25</f>
        <v>14</v>
      </c>
      <c r="E25" s="39">
        <f>V_2!E25+V_4!E25+V_12!E25</f>
        <v>10</v>
      </c>
      <c r="F25" s="152">
        <f>V_2!F25+V_4!F25+V_12!F25</f>
        <v>20</v>
      </c>
      <c r="G25" s="154">
        <f t="shared" si="0"/>
        <v>474</v>
      </c>
      <c r="H25" s="44">
        <f>V_2!H25+V_4!H25+V_12!H25</f>
        <v>0</v>
      </c>
      <c r="I25" s="39">
        <f>V_2!I25+V_4!I25+V_12!I25</f>
        <v>0</v>
      </c>
      <c r="J25" s="39">
        <f>V_2!J25+V_4!J25+V_12!J25</f>
        <v>0</v>
      </c>
      <c r="K25" s="45">
        <f>V_2!K25+V_4!K25+V_12!K25</f>
        <v>0</v>
      </c>
      <c r="L25" s="140">
        <f>V_2!L25+V_4!L25+V_12!L25</f>
        <v>4</v>
      </c>
      <c r="M25" s="149">
        <f t="shared" si="1"/>
        <v>4</v>
      </c>
      <c r="N25" s="100">
        <f t="shared" si="2"/>
        <v>478</v>
      </c>
      <c r="O25" s="43">
        <f t="shared" si="3"/>
        <v>552</v>
      </c>
    </row>
    <row r="26" spans="1:15" ht="22.5" customHeight="1" x14ac:dyDescent="0.3">
      <c r="A26" s="149" t="s">
        <v>195</v>
      </c>
      <c r="B26" s="44">
        <f>V_2!B26+V_4!B26+V_12!B26</f>
        <v>300</v>
      </c>
      <c r="C26" s="39">
        <f>V_2!C26+V_4!C26+V_12!C26</f>
        <v>113</v>
      </c>
      <c r="D26" s="39">
        <f>V_2!D26+V_4!D26+V_12!D26</f>
        <v>18</v>
      </c>
      <c r="E26" s="39">
        <f>V_2!E26+V_4!E26+V_12!E26</f>
        <v>20</v>
      </c>
      <c r="F26" s="152">
        <f>V_2!F26+V_4!F26+V_12!F26</f>
        <v>13</v>
      </c>
      <c r="G26" s="154">
        <f t="shared" si="0"/>
        <v>464</v>
      </c>
      <c r="H26" s="44">
        <f>V_2!H26+V_4!H26+V_12!H26</f>
        <v>0</v>
      </c>
      <c r="I26" s="39">
        <f>V_2!I26+V_4!I26+V_12!I26</f>
        <v>0</v>
      </c>
      <c r="J26" s="39">
        <f>V_2!J26+V_4!J26+V_12!J26</f>
        <v>0</v>
      </c>
      <c r="K26" s="45">
        <f>V_2!K26+V_4!K26+V_12!K26</f>
        <v>0</v>
      </c>
      <c r="L26" s="140">
        <f>V_2!L26+V_4!L26+V_12!L26</f>
        <v>3</v>
      </c>
      <c r="M26" s="149">
        <f t="shared" si="1"/>
        <v>3</v>
      </c>
      <c r="N26" s="100">
        <f t="shared" si="2"/>
        <v>467</v>
      </c>
      <c r="O26" s="43">
        <f t="shared" si="3"/>
        <v>526</v>
      </c>
    </row>
    <row r="27" spans="1:15" ht="22.5" customHeight="1" x14ac:dyDescent="0.3">
      <c r="A27" s="149" t="s">
        <v>196</v>
      </c>
      <c r="B27" s="44">
        <f>V_2!B27+V_4!B27+V_12!B27</f>
        <v>248</v>
      </c>
      <c r="C27" s="39">
        <f>V_2!C27+V_4!C27+V_12!C27</f>
        <v>130</v>
      </c>
      <c r="D27" s="39">
        <f>V_2!D27+V_4!D27+V_12!D27</f>
        <v>19</v>
      </c>
      <c r="E27" s="39">
        <f>V_2!E27+V_4!E27+V_12!E27</f>
        <v>16</v>
      </c>
      <c r="F27" s="152">
        <f>V_2!F27+V_4!F27+V_12!F27</f>
        <v>18</v>
      </c>
      <c r="G27" s="154">
        <f t="shared" si="0"/>
        <v>431</v>
      </c>
      <c r="H27" s="44">
        <f>V_2!H27+V_4!H27+V_12!H27</f>
        <v>0</v>
      </c>
      <c r="I27" s="39">
        <f>V_2!I27+V_4!I27+V_12!I27</f>
        <v>0</v>
      </c>
      <c r="J27" s="39">
        <f>V_2!J27+V_4!J27+V_12!J27</f>
        <v>0</v>
      </c>
      <c r="K27" s="45">
        <f>V_2!K27+V_4!K27+V_12!K27</f>
        <v>0</v>
      </c>
      <c r="L27" s="140">
        <f>V_2!L27+V_4!L27+V_12!L27</f>
        <v>3</v>
      </c>
      <c r="M27" s="149">
        <f t="shared" si="1"/>
        <v>3</v>
      </c>
      <c r="N27" s="100">
        <f t="shared" si="2"/>
        <v>434</v>
      </c>
      <c r="O27" s="43">
        <f t="shared" si="3"/>
        <v>494.5</v>
      </c>
    </row>
    <row r="28" spans="1:15" ht="22.5" customHeight="1" x14ac:dyDescent="0.3">
      <c r="A28" s="149" t="s">
        <v>197</v>
      </c>
      <c r="B28" s="44">
        <f>V_2!B28+V_4!B28+V_12!B28</f>
        <v>303</v>
      </c>
      <c r="C28" s="39">
        <f>V_2!C28+V_4!C28+V_12!C28</f>
        <v>173</v>
      </c>
      <c r="D28" s="39">
        <f>V_2!D28+V_4!D28+V_12!D28</f>
        <v>15</v>
      </c>
      <c r="E28" s="39">
        <f>V_2!E28+V_4!E28+V_12!E28</f>
        <v>16</v>
      </c>
      <c r="F28" s="152">
        <f>V_2!F28+V_4!F28+V_12!F28</f>
        <v>16</v>
      </c>
      <c r="G28" s="154">
        <f t="shared" si="0"/>
        <v>523</v>
      </c>
      <c r="H28" s="44">
        <f>V_2!H28+V_4!H28+V_12!H28</f>
        <v>0</v>
      </c>
      <c r="I28" s="39">
        <f>V_2!I28+V_4!I28+V_12!I28</f>
        <v>0</v>
      </c>
      <c r="J28" s="39">
        <f>V_2!J28+V_4!J28+V_12!J28</f>
        <v>0</v>
      </c>
      <c r="K28" s="45">
        <f>V_2!K28+V_4!K28+V_12!K28</f>
        <v>0</v>
      </c>
      <c r="L28" s="140">
        <f>V_2!L28+V_4!L28+V_12!L28</f>
        <v>3</v>
      </c>
      <c r="M28" s="149">
        <f t="shared" si="1"/>
        <v>3</v>
      </c>
      <c r="N28" s="100">
        <f t="shared" si="2"/>
        <v>526</v>
      </c>
      <c r="O28" s="43">
        <f t="shared" si="3"/>
        <v>556</v>
      </c>
    </row>
    <row r="29" spans="1:15" ht="22.5" customHeight="1" x14ac:dyDescent="0.3">
      <c r="A29" s="149" t="s">
        <v>198</v>
      </c>
      <c r="B29" s="44">
        <f>V_2!B29+V_4!B29+V_12!B29</f>
        <v>294</v>
      </c>
      <c r="C29" s="39">
        <f>V_2!C29+V_4!C29+V_12!C29</f>
        <v>152</v>
      </c>
      <c r="D29" s="39">
        <f>V_2!D29+V_4!D29+V_12!D29</f>
        <v>15</v>
      </c>
      <c r="E29" s="39">
        <f>V_2!E29+V_4!E29+V_12!E29</f>
        <v>7</v>
      </c>
      <c r="F29" s="152">
        <f>V_2!F29+V_4!F29+V_12!F29</f>
        <v>14</v>
      </c>
      <c r="G29" s="154">
        <f t="shared" si="0"/>
        <v>482</v>
      </c>
      <c r="H29" s="44">
        <f>V_2!H29+V_4!H29+V_12!H29</f>
        <v>0</v>
      </c>
      <c r="I29" s="39">
        <f>V_2!I29+V_4!I29+V_12!I29</f>
        <v>0</v>
      </c>
      <c r="J29" s="39">
        <f>V_2!J29+V_4!J29+V_12!J29</f>
        <v>0</v>
      </c>
      <c r="K29" s="45">
        <f>V_2!K29+V_4!K29+V_12!K29</f>
        <v>0</v>
      </c>
      <c r="L29" s="140">
        <f>V_2!L29+V_4!L29+V_12!L29</f>
        <v>0</v>
      </c>
      <c r="M29" s="149">
        <f t="shared" si="1"/>
        <v>0</v>
      </c>
      <c r="N29" s="100">
        <f t="shared" si="2"/>
        <v>482</v>
      </c>
      <c r="O29" s="43">
        <f t="shared" si="3"/>
        <v>476.5</v>
      </c>
    </row>
    <row r="30" spans="1:15" ht="22.5" customHeight="1" x14ac:dyDescent="0.3">
      <c r="A30" s="149" t="s">
        <v>199</v>
      </c>
      <c r="B30" s="44">
        <f>V_2!B30+V_4!B30+V_12!B30</f>
        <v>291</v>
      </c>
      <c r="C30" s="39">
        <f>V_2!C30+V_4!C30+V_12!C30</f>
        <v>163</v>
      </c>
      <c r="D30" s="39">
        <f>V_2!D30+V_4!D30+V_12!D30</f>
        <v>22</v>
      </c>
      <c r="E30" s="39">
        <f>V_2!E30+V_4!E30+V_12!E30</f>
        <v>10</v>
      </c>
      <c r="F30" s="152">
        <f>V_2!F30+V_4!F30+V_12!F30</f>
        <v>8</v>
      </c>
      <c r="G30" s="154">
        <f t="shared" si="0"/>
        <v>494</v>
      </c>
      <c r="H30" s="44">
        <f>V_2!H30+V_4!H30+V_12!H30</f>
        <v>0</v>
      </c>
      <c r="I30" s="39">
        <f>V_2!I30+V_4!I30+V_12!I30</f>
        <v>0</v>
      </c>
      <c r="J30" s="39">
        <f>V_2!J30+V_4!J30+V_12!J30</f>
        <v>0</v>
      </c>
      <c r="K30" s="45">
        <f>V_2!K30+V_4!K30+V_12!K30</f>
        <v>0</v>
      </c>
      <c r="L30" s="140">
        <f>V_2!L30+V_4!L30+V_12!L30</f>
        <v>2</v>
      </c>
      <c r="M30" s="149">
        <f t="shared" si="1"/>
        <v>2</v>
      </c>
      <c r="N30" s="100">
        <f t="shared" si="2"/>
        <v>496</v>
      </c>
      <c r="O30" s="43">
        <f t="shared" si="3"/>
        <v>487.5</v>
      </c>
    </row>
    <row r="31" spans="1:15" ht="22.5" customHeight="1" x14ac:dyDescent="0.3">
      <c r="A31" s="149" t="s">
        <v>200</v>
      </c>
      <c r="B31" s="44">
        <f>V_2!B31+V_4!B31+V_12!B31</f>
        <v>280</v>
      </c>
      <c r="C31" s="39">
        <f>V_2!C31+V_4!C31+V_12!C31</f>
        <v>154</v>
      </c>
      <c r="D31" s="39">
        <f>V_2!D31+V_4!D31+V_12!D31</f>
        <v>18</v>
      </c>
      <c r="E31" s="39">
        <f>V_2!E31+V_4!E31+V_12!E31</f>
        <v>9</v>
      </c>
      <c r="F31" s="152">
        <f>V_2!F31+V_4!F31+V_12!F31</f>
        <v>14</v>
      </c>
      <c r="G31" s="154">
        <f t="shared" si="0"/>
        <v>475</v>
      </c>
      <c r="H31" s="44">
        <f>V_2!H31+V_4!H31+V_12!H31</f>
        <v>0</v>
      </c>
      <c r="I31" s="39">
        <f>V_2!I31+V_4!I31+V_12!I31</f>
        <v>0</v>
      </c>
      <c r="J31" s="39">
        <f>V_2!J31+V_4!J31+V_12!J31</f>
        <v>0</v>
      </c>
      <c r="K31" s="45">
        <f>V_2!K31+V_4!K31+V_12!K31</f>
        <v>0</v>
      </c>
      <c r="L31" s="140">
        <f>V_2!L31+V_4!L31+V_12!L31</f>
        <v>1</v>
      </c>
      <c r="M31" s="149">
        <f t="shared" si="1"/>
        <v>1</v>
      </c>
      <c r="N31" s="100">
        <f t="shared" si="2"/>
        <v>476</v>
      </c>
      <c r="O31" s="43">
        <f t="shared" si="3"/>
        <v>482</v>
      </c>
    </row>
    <row r="32" spans="1:15" ht="22.5" customHeight="1" x14ac:dyDescent="0.3">
      <c r="A32" s="149" t="s">
        <v>201</v>
      </c>
      <c r="B32" s="44">
        <f>V_2!B32+V_4!B32+V_12!B32</f>
        <v>292</v>
      </c>
      <c r="C32" s="39">
        <f>V_2!C32+V_4!C32+V_12!C32</f>
        <v>99</v>
      </c>
      <c r="D32" s="39">
        <f>V_2!D32+V_4!D32+V_12!D32</f>
        <v>16</v>
      </c>
      <c r="E32" s="39">
        <f>V_2!E32+V_4!E32+V_12!E32</f>
        <v>13</v>
      </c>
      <c r="F32" s="152">
        <f>V_2!F32+V_4!F32+V_12!F32</f>
        <v>13</v>
      </c>
      <c r="G32" s="154">
        <f t="shared" si="0"/>
        <v>433</v>
      </c>
      <c r="H32" s="44">
        <f>V_2!H32+V_4!H32+V_12!H32</f>
        <v>0</v>
      </c>
      <c r="I32" s="39">
        <f>V_2!I32+V_4!I32+V_12!I32</f>
        <v>0</v>
      </c>
      <c r="J32" s="39">
        <f>V_2!J32+V_4!J32+V_12!J32</f>
        <v>0</v>
      </c>
      <c r="K32" s="45">
        <f>V_2!K32+V_4!K32+V_12!K32</f>
        <v>0</v>
      </c>
      <c r="L32" s="140">
        <f>V_2!L32+V_4!L32+V_12!L32</f>
        <v>5</v>
      </c>
      <c r="M32" s="149">
        <f t="shared" si="1"/>
        <v>5</v>
      </c>
      <c r="N32" s="100">
        <f t="shared" si="2"/>
        <v>438</v>
      </c>
      <c r="O32" s="43">
        <f t="shared" si="3"/>
        <v>503</v>
      </c>
    </row>
    <row r="33" spans="1:15" ht="22.5" customHeight="1" x14ac:dyDescent="0.3">
      <c r="A33" s="149" t="s">
        <v>202</v>
      </c>
      <c r="B33" s="44">
        <f>V_2!B33+V_4!B33+V_12!B33</f>
        <v>216</v>
      </c>
      <c r="C33" s="39">
        <f>V_2!C33+V_4!C33+V_12!C33</f>
        <v>96</v>
      </c>
      <c r="D33" s="39">
        <f>V_2!D33+V_4!D33+V_12!D33</f>
        <v>16</v>
      </c>
      <c r="E33" s="39">
        <f>V_2!E33+V_4!E33+V_12!E33</f>
        <v>15</v>
      </c>
      <c r="F33" s="152">
        <f>V_2!F33+V_4!F33+V_12!F33</f>
        <v>11</v>
      </c>
      <c r="G33" s="154">
        <f t="shared" si="0"/>
        <v>354</v>
      </c>
      <c r="H33" s="44">
        <f>V_2!H33+V_4!H33+V_12!H33</f>
        <v>0</v>
      </c>
      <c r="I33" s="39">
        <f>V_2!I33+V_4!I33+V_12!I33</f>
        <v>0</v>
      </c>
      <c r="J33" s="39">
        <f>V_2!J33+V_4!J33+V_12!J33</f>
        <v>0</v>
      </c>
      <c r="K33" s="45">
        <f>V_2!K33+V_4!K33+V_12!K33</f>
        <v>0</v>
      </c>
      <c r="L33" s="140">
        <f>V_2!L33+V_4!L33+V_12!L33</f>
        <v>2</v>
      </c>
      <c r="M33" s="149">
        <f t="shared" si="1"/>
        <v>2</v>
      </c>
      <c r="N33" s="100">
        <f t="shared" si="2"/>
        <v>356</v>
      </c>
      <c r="O33" s="43">
        <f t="shared" si="3"/>
        <v>398.5</v>
      </c>
    </row>
    <row r="34" spans="1:15" ht="22.5" customHeight="1" x14ac:dyDescent="0.3">
      <c r="A34" s="149" t="s">
        <v>203</v>
      </c>
      <c r="B34" s="44">
        <f>V_2!B34+V_4!B34+V_12!B34</f>
        <v>259</v>
      </c>
      <c r="C34" s="39">
        <f>V_2!C34+V_4!C34+V_12!C34</f>
        <v>124</v>
      </c>
      <c r="D34" s="39">
        <f>V_2!D34+V_4!D34+V_12!D34</f>
        <v>20</v>
      </c>
      <c r="E34" s="39">
        <f>V_2!E34+V_4!E34+V_12!E34</f>
        <v>14</v>
      </c>
      <c r="F34" s="152">
        <f>V_2!F34+V_4!F34+V_12!F34</f>
        <v>13</v>
      </c>
      <c r="G34" s="154">
        <f t="shared" si="0"/>
        <v>430</v>
      </c>
      <c r="H34" s="44">
        <f>V_2!H34+V_4!H34+V_12!H34</f>
        <v>0</v>
      </c>
      <c r="I34" s="39">
        <f>V_2!I34+V_4!I34+V_12!I34</f>
        <v>0</v>
      </c>
      <c r="J34" s="39">
        <f>V_2!J34+V_4!J34+V_12!J34</f>
        <v>0</v>
      </c>
      <c r="K34" s="45">
        <f>V_2!K34+V_4!K34+V_12!K34</f>
        <v>0</v>
      </c>
      <c r="L34" s="140">
        <f>V_2!L34+V_4!L34+V_12!L34</f>
        <v>1</v>
      </c>
      <c r="M34" s="149">
        <f t="shared" si="1"/>
        <v>1</v>
      </c>
      <c r="N34" s="100">
        <f t="shared" si="2"/>
        <v>431</v>
      </c>
      <c r="O34" s="43">
        <f t="shared" si="3"/>
        <v>459.5</v>
      </c>
    </row>
    <row r="35" spans="1:15" ht="22.5" customHeight="1" x14ac:dyDescent="0.3">
      <c r="A35" s="149" t="s">
        <v>204</v>
      </c>
      <c r="B35" s="44">
        <f>V_2!B35+V_4!B35+V_12!B35</f>
        <v>259</v>
      </c>
      <c r="C35" s="39">
        <f>V_2!C35+V_4!C35+V_12!C35</f>
        <v>146</v>
      </c>
      <c r="D35" s="39">
        <f>V_2!D35+V_4!D35+V_12!D35</f>
        <v>19</v>
      </c>
      <c r="E35" s="39">
        <f>V_2!E35+V_4!E35+V_12!E35</f>
        <v>11</v>
      </c>
      <c r="F35" s="152">
        <f>V_2!F35+V_4!F35+V_12!F35</f>
        <v>4</v>
      </c>
      <c r="G35" s="154">
        <f t="shared" si="0"/>
        <v>439</v>
      </c>
      <c r="H35" s="44">
        <f>V_2!H35+V_4!H35+V_12!H35</f>
        <v>0</v>
      </c>
      <c r="I35" s="39">
        <f>V_2!I35+V_4!I35+V_12!I35</f>
        <v>0</v>
      </c>
      <c r="J35" s="39">
        <f>V_2!J35+V_4!J35+V_12!J35</f>
        <v>0</v>
      </c>
      <c r="K35" s="45">
        <f>V_2!K35+V_4!K35+V_12!K35</f>
        <v>0</v>
      </c>
      <c r="L35" s="140">
        <f>V_2!L35+V_4!L35+V_12!L35</f>
        <v>5</v>
      </c>
      <c r="M35" s="149">
        <f t="shared" si="1"/>
        <v>5</v>
      </c>
      <c r="N35" s="100">
        <f t="shared" si="2"/>
        <v>444</v>
      </c>
      <c r="O35" s="43">
        <f t="shared" si="3"/>
        <v>451.5</v>
      </c>
    </row>
    <row r="36" spans="1:15" ht="22.5" customHeight="1" x14ac:dyDescent="0.3">
      <c r="A36" s="149" t="s">
        <v>205</v>
      </c>
      <c r="B36" s="44">
        <f>V_2!B36+V_4!B36+V_12!B36</f>
        <v>257</v>
      </c>
      <c r="C36" s="39">
        <f>V_2!C36+V_4!C36+V_12!C36</f>
        <v>108</v>
      </c>
      <c r="D36" s="39">
        <f>V_2!D36+V_4!D36+V_12!D36</f>
        <v>20</v>
      </c>
      <c r="E36" s="39">
        <f>V_2!E36+V_4!E36+V_12!E36</f>
        <v>9</v>
      </c>
      <c r="F36" s="152">
        <f>V_2!F36+V_4!F36+V_12!F36</f>
        <v>8</v>
      </c>
      <c r="G36" s="154">
        <f t="shared" si="0"/>
        <v>402</v>
      </c>
      <c r="H36" s="44">
        <f>V_2!H36+V_4!H36+V_12!H36</f>
        <v>0</v>
      </c>
      <c r="I36" s="39">
        <f>V_2!I36+V_4!I36+V_12!I36</f>
        <v>0</v>
      </c>
      <c r="J36" s="39">
        <f>V_2!J36+V_4!J36+V_12!J36</f>
        <v>0</v>
      </c>
      <c r="K36" s="45">
        <f>V_2!K36+V_4!K36+V_12!K36</f>
        <v>0</v>
      </c>
      <c r="L36" s="140">
        <f>V_2!L36+V_4!L36+V_12!L36</f>
        <v>3</v>
      </c>
      <c r="M36" s="149">
        <f t="shared" si="1"/>
        <v>3</v>
      </c>
      <c r="N36" s="100">
        <f t="shared" si="2"/>
        <v>405</v>
      </c>
      <c r="O36" s="43">
        <f t="shared" si="3"/>
        <v>428</v>
      </c>
    </row>
    <row r="37" spans="1:15" ht="22.5" customHeight="1" x14ac:dyDescent="0.3">
      <c r="A37" s="149" t="s">
        <v>206</v>
      </c>
      <c r="B37" s="44">
        <f>V_2!B37+V_4!B37+V_12!B37</f>
        <v>259</v>
      </c>
      <c r="C37" s="39">
        <f>V_2!C37+V_4!C37+V_12!C37</f>
        <v>112</v>
      </c>
      <c r="D37" s="39">
        <f>V_2!D37+V_4!D37+V_12!D37</f>
        <v>17</v>
      </c>
      <c r="E37" s="39">
        <f>V_2!E37+V_4!E37+V_12!E37</f>
        <v>16</v>
      </c>
      <c r="F37" s="152">
        <f>V_2!F37+V_4!F37+V_12!F37</f>
        <v>7</v>
      </c>
      <c r="G37" s="154">
        <f t="shared" si="0"/>
        <v>411</v>
      </c>
      <c r="H37" s="44">
        <f>V_2!H37+V_4!H37+V_12!H37</f>
        <v>0</v>
      </c>
      <c r="I37" s="39">
        <f>V_2!I37+V_4!I37+V_12!I37</f>
        <v>0</v>
      </c>
      <c r="J37" s="39">
        <f>V_2!J37+V_4!J37+V_12!J37</f>
        <v>0</v>
      </c>
      <c r="K37" s="45">
        <f>V_2!K37+V_4!K37+V_12!K37</f>
        <v>0</v>
      </c>
      <c r="L37" s="140">
        <f>V_2!L37+V_4!L37+V_12!L37</f>
        <v>4</v>
      </c>
      <c r="M37" s="149">
        <f t="shared" si="1"/>
        <v>4</v>
      </c>
      <c r="N37" s="100">
        <f t="shared" si="2"/>
        <v>415</v>
      </c>
      <c r="O37" s="43">
        <f t="shared" si="3"/>
        <v>452</v>
      </c>
    </row>
    <row r="38" spans="1:15" ht="22.5" customHeight="1" x14ac:dyDescent="0.3">
      <c r="A38" s="149" t="s">
        <v>207</v>
      </c>
      <c r="B38" s="44">
        <f>V_2!B38+V_4!B38+V_12!B38</f>
        <v>288</v>
      </c>
      <c r="C38" s="39">
        <f>V_2!C38+V_4!C38+V_12!C38</f>
        <v>77</v>
      </c>
      <c r="D38" s="39">
        <f>V_2!D38+V_4!D38+V_12!D38</f>
        <v>26</v>
      </c>
      <c r="E38" s="39">
        <f>V_2!E38+V_4!E38+V_12!E38</f>
        <v>20</v>
      </c>
      <c r="F38" s="152">
        <f>V_2!F38+V_4!F38+V_12!F38</f>
        <v>13</v>
      </c>
      <c r="G38" s="154">
        <f t="shared" si="0"/>
        <v>424</v>
      </c>
      <c r="H38" s="44">
        <f>V_2!H38+V_4!H38+V_12!H38</f>
        <v>0</v>
      </c>
      <c r="I38" s="39">
        <f>V_2!I38+V_4!I38+V_12!I38</f>
        <v>0</v>
      </c>
      <c r="J38" s="39">
        <f>V_2!J38+V_4!J38+V_12!J38</f>
        <v>0</v>
      </c>
      <c r="K38" s="45">
        <f>V_2!K38+V_4!K38+V_12!K38</f>
        <v>0</v>
      </c>
      <c r="L38" s="140">
        <f>V_2!L38+V_4!L38+V_12!L38</f>
        <v>3</v>
      </c>
      <c r="M38" s="149">
        <f t="shared" si="1"/>
        <v>3</v>
      </c>
      <c r="N38" s="100">
        <f t="shared" si="2"/>
        <v>427</v>
      </c>
      <c r="O38" s="43">
        <f t="shared" si="3"/>
        <v>508</v>
      </c>
    </row>
    <row r="39" spans="1:15" ht="22.5" customHeight="1" x14ac:dyDescent="0.3">
      <c r="A39" s="149" t="s">
        <v>208</v>
      </c>
      <c r="B39" s="44">
        <f>V_2!B39+V_4!B39+V_12!B39</f>
        <v>299</v>
      </c>
      <c r="C39" s="39">
        <f>V_2!C39+V_4!C39+V_12!C39</f>
        <v>91</v>
      </c>
      <c r="D39" s="39">
        <f>V_2!D39+V_4!D39+V_12!D39</f>
        <v>23</v>
      </c>
      <c r="E39" s="39">
        <f>V_2!E39+V_4!E39+V_12!E39</f>
        <v>13</v>
      </c>
      <c r="F39" s="152">
        <f>V_2!F39+V_4!F39+V_12!F39</f>
        <v>6</v>
      </c>
      <c r="G39" s="154">
        <f t="shared" si="0"/>
        <v>432</v>
      </c>
      <c r="H39" s="44">
        <f>V_2!H39+V_4!H39+V_12!H39</f>
        <v>0</v>
      </c>
      <c r="I39" s="39">
        <f>V_2!I39+V_4!I39+V_12!I39</f>
        <v>0</v>
      </c>
      <c r="J39" s="39">
        <f>V_2!J39+V_4!J39+V_12!J39</f>
        <v>0</v>
      </c>
      <c r="K39" s="45">
        <f>V_2!K39+V_4!K39+V_12!K39</f>
        <v>0</v>
      </c>
      <c r="L39" s="140">
        <f>V_2!L39+V_4!L39+V_12!L39</f>
        <v>0</v>
      </c>
      <c r="M39" s="149">
        <f t="shared" si="1"/>
        <v>0</v>
      </c>
      <c r="N39" s="100">
        <f t="shared" si="2"/>
        <v>432</v>
      </c>
      <c r="O39" s="43">
        <f t="shared" si="3"/>
        <v>445</v>
      </c>
    </row>
    <row r="40" spans="1:15" ht="22.5" customHeight="1" x14ac:dyDescent="0.3">
      <c r="A40" s="149" t="s">
        <v>209</v>
      </c>
      <c r="B40" s="44">
        <f>V_2!B40+V_4!B40+V_12!B40</f>
        <v>314</v>
      </c>
      <c r="C40" s="39">
        <f>V_2!C40+V_4!C40+V_12!C40</f>
        <v>122</v>
      </c>
      <c r="D40" s="39">
        <f>V_2!D40+V_4!D40+V_12!D40</f>
        <v>7</v>
      </c>
      <c r="E40" s="39">
        <f>V_2!E40+V_4!E40+V_12!E40</f>
        <v>7</v>
      </c>
      <c r="F40" s="152">
        <f>V_2!F40+V_4!F40+V_12!F40</f>
        <v>12</v>
      </c>
      <c r="G40" s="154">
        <f t="shared" ref="G40:G71" si="4">SUM(B40:F40)</f>
        <v>462</v>
      </c>
      <c r="H40" s="44">
        <f>V_2!H40+V_4!H40+V_12!H40</f>
        <v>0</v>
      </c>
      <c r="I40" s="39">
        <f>V_2!I40+V_4!I40+V_12!I40</f>
        <v>0</v>
      </c>
      <c r="J40" s="39">
        <f>V_2!J40+V_4!J40+V_12!J40</f>
        <v>1</v>
      </c>
      <c r="K40" s="45">
        <f>V_2!K40+V_4!K40+V_12!K40</f>
        <v>0</v>
      </c>
      <c r="L40" s="140">
        <f>V_2!L40+V_4!L40+V_12!L40</f>
        <v>2</v>
      </c>
      <c r="M40" s="149">
        <f t="shared" si="1"/>
        <v>3</v>
      </c>
      <c r="N40" s="100">
        <f t="shared" si="2"/>
        <v>465</v>
      </c>
      <c r="O40" s="43">
        <f t="shared" si="3"/>
        <v>479.5</v>
      </c>
    </row>
    <row r="41" spans="1:15" ht="22.5" customHeight="1" x14ac:dyDescent="0.3">
      <c r="A41" s="149" t="s">
        <v>210</v>
      </c>
      <c r="B41" s="44">
        <f>V_2!B41+V_4!B41+V_12!B41</f>
        <v>320</v>
      </c>
      <c r="C41" s="39">
        <f>V_2!C41+V_4!C41+V_12!C41</f>
        <v>132</v>
      </c>
      <c r="D41" s="39">
        <f>V_2!D41+V_4!D41+V_12!D41</f>
        <v>17</v>
      </c>
      <c r="E41" s="39">
        <f>V_2!E41+V_4!E41+V_12!E41</f>
        <v>6</v>
      </c>
      <c r="F41" s="152">
        <f>V_2!F41+V_4!F41+V_12!F41</f>
        <v>12</v>
      </c>
      <c r="G41" s="154">
        <f t="shared" si="4"/>
        <v>487</v>
      </c>
      <c r="H41" s="44">
        <f>V_2!H41+V_4!H41+V_12!H41</f>
        <v>0</v>
      </c>
      <c r="I41" s="39">
        <f>V_2!I41+V_4!I41+V_12!I41</f>
        <v>0</v>
      </c>
      <c r="J41" s="39">
        <f>V_2!J41+V_4!J41+V_12!J41</f>
        <v>2</v>
      </c>
      <c r="K41" s="45">
        <f>V_2!K41+V_4!K41+V_12!K41</f>
        <v>0</v>
      </c>
      <c r="L41" s="140">
        <f>V_2!L41+V_4!L41+V_12!L41</f>
        <v>6</v>
      </c>
      <c r="M41" s="149">
        <f t="shared" si="1"/>
        <v>8</v>
      </c>
      <c r="N41" s="100">
        <f t="shared" si="2"/>
        <v>495</v>
      </c>
      <c r="O41" s="43">
        <f t="shared" si="3"/>
        <v>537.5</v>
      </c>
    </row>
    <row r="42" spans="1:15" ht="22.5" customHeight="1" x14ac:dyDescent="0.3">
      <c r="A42" s="149" t="s">
        <v>211</v>
      </c>
      <c r="B42" s="44">
        <f>V_2!B42+V_4!B42+V_12!B42</f>
        <v>306</v>
      </c>
      <c r="C42" s="39">
        <f>V_2!C42+V_4!C42+V_12!C42</f>
        <v>150</v>
      </c>
      <c r="D42" s="39">
        <f>V_2!D42+V_4!D42+V_12!D42</f>
        <v>7</v>
      </c>
      <c r="E42" s="39">
        <f>V_2!E42+V_4!E42+V_12!E42</f>
        <v>22</v>
      </c>
      <c r="F42" s="152">
        <f>V_2!F42+V_4!F42+V_12!F42</f>
        <v>7</v>
      </c>
      <c r="G42" s="154">
        <f t="shared" si="4"/>
        <v>492</v>
      </c>
      <c r="H42" s="44">
        <f>V_2!H42+V_4!H42+V_12!H42</f>
        <v>0</v>
      </c>
      <c r="I42" s="39">
        <f>V_2!I42+V_4!I42+V_12!I42</f>
        <v>0</v>
      </c>
      <c r="J42" s="39">
        <f>V_2!J42+V_4!J42+V_12!J42</f>
        <v>0</v>
      </c>
      <c r="K42" s="45">
        <f>V_2!K42+V_4!K42+V_12!K42</f>
        <v>0</v>
      </c>
      <c r="L42" s="140">
        <f>V_2!L42+V_4!L42+V_12!L42</f>
        <v>5</v>
      </c>
      <c r="M42" s="149">
        <f t="shared" si="1"/>
        <v>5</v>
      </c>
      <c r="N42" s="100">
        <f t="shared" si="2"/>
        <v>497</v>
      </c>
      <c r="O42" s="43">
        <f t="shared" si="3"/>
        <v>529</v>
      </c>
    </row>
    <row r="43" spans="1:15" ht="22.5" customHeight="1" x14ac:dyDescent="0.3">
      <c r="A43" s="149" t="s">
        <v>212</v>
      </c>
      <c r="B43" s="44">
        <f>V_2!B43+V_4!B43+V_12!B43</f>
        <v>247</v>
      </c>
      <c r="C43" s="39">
        <f>V_2!C43+V_4!C43+V_12!C43</f>
        <v>116</v>
      </c>
      <c r="D43" s="39">
        <f>V_2!D43+V_4!D43+V_12!D43</f>
        <v>9</v>
      </c>
      <c r="E43" s="39">
        <f>V_2!E43+V_4!E43+V_12!E43</f>
        <v>5</v>
      </c>
      <c r="F43" s="152">
        <f>V_2!F43+V_4!F43+V_12!F43</f>
        <v>10</v>
      </c>
      <c r="G43" s="154">
        <f t="shared" si="4"/>
        <v>387</v>
      </c>
      <c r="H43" s="44">
        <f>V_2!H43+V_4!H43+V_12!H43</f>
        <v>0</v>
      </c>
      <c r="I43" s="39">
        <f>V_2!I43+V_4!I43+V_12!I43</f>
        <v>0</v>
      </c>
      <c r="J43" s="39">
        <f>V_2!J43+V_4!J43+V_12!J43</f>
        <v>0</v>
      </c>
      <c r="K43" s="45">
        <f>V_2!K43+V_4!K43+V_12!K43</f>
        <v>0</v>
      </c>
      <c r="L43" s="140">
        <f>V_2!L43+V_4!L43+V_12!L43</f>
        <v>6</v>
      </c>
      <c r="M43" s="149">
        <f t="shared" si="1"/>
        <v>6</v>
      </c>
      <c r="N43" s="100">
        <f t="shared" si="2"/>
        <v>393</v>
      </c>
      <c r="O43" s="43">
        <f t="shared" si="3"/>
        <v>426.5</v>
      </c>
    </row>
    <row r="44" spans="1:15" ht="22.5" customHeight="1" x14ac:dyDescent="0.3">
      <c r="A44" s="149" t="s">
        <v>213</v>
      </c>
      <c r="B44" s="44">
        <f>V_2!B44+V_4!B44+V_12!B44</f>
        <v>310</v>
      </c>
      <c r="C44" s="39">
        <f>V_2!C44+V_4!C44+V_12!C44</f>
        <v>162</v>
      </c>
      <c r="D44" s="39">
        <f>V_2!D44+V_4!D44+V_12!D44</f>
        <v>13</v>
      </c>
      <c r="E44" s="39">
        <f>V_2!E44+V_4!E44+V_12!E44</f>
        <v>12</v>
      </c>
      <c r="F44" s="152">
        <f>V_2!F44+V_4!F44+V_12!F44</f>
        <v>7</v>
      </c>
      <c r="G44" s="154">
        <f t="shared" si="4"/>
        <v>504</v>
      </c>
      <c r="H44" s="44">
        <f>V_2!H44+V_4!H44+V_12!H44</f>
        <v>0</v>
      </c>
      <c r="I44" s="39">
        <f>V_2!I44+V_4!I44+V_12!I44</f>
        <v>0</v>
      </c>
      <c r="J44" s="39">
        <f>V_2!J44+V_4!J44+V_12!J44</f>
        <v>0</v>
      </c>
      <c r="K44" s="45">
        <f>V_2!K44+V_4!K44+V_12!K44</f>
        <v>0</v>
      </c>
      <c r="L44" s="140">
        <f>V_2!L44+V_4!L44+V_12!L44</f>
        <v>6</v>
      </c>
      <c r="M44" s="149">
        <f t="shared" si="1"/>
        <v>6</v>
      </c>
      <c r="N44" s="100">
        <f t="shared" si="2"/>
        <v>510</v>
      </c>
      <c r="O44" s="43">
        <f t="shared" si="3"/>
        <v>526</v>
      </c>
    </row>
    <row r="45" spans="1:15" ht="22.5" customHeight="1" x14ac:dyDescent="0.3">
      <c r="A45" s="149" t="s">
        <v>214</v>
      </c>
      <c r="B45" s="44">
        <f>V_2!B45+V_4!B45+V_12!B45</f>
        <v>314</v>
      </c>
      <c r="C45" s="39">
        <f>V_2!C45+V_4!C45+V_12!C45</f>
        <v>135</v>
      </c>
      <c r="D45" s="39">
        <f>V_2!D45+V_4!D45+V_12!D45</f>
        <v>16</v>
      </c>
      <c r="E45" s="39">
        <f>V_2!E45+V_4!E45+V_12!E45</f>
        <v>17</v>
      </c>
      <c r="F45" s="152">
        <f>V_2!F45+V_4!F45+V_12!F45</f>
        <v>5</v>
      </c>
      <c r="G45" s="154">
        <f t="shared" si="4"/>
        <v>487</v>
      </c>
      <c r="H45" s="44">
        <f>V_2!H45+V_4!H45+V_12!H45</f>
        <v>0</v>
      </c>
      <c r="I45" s="39">
        <f>V_2!I45+V_4!I45+V_12!I45</f>
        <v>0</v>
      </c>
      <c r="J45" s="39">
        <f>V_2!J45+V_4!J45+V_12!J45</f>
        <v>0</v>
      </c>
      <c r="K45" s="45">
        <f>V_2!K45+V_4!K45+V_12!K45</f>
        <v>0</v>
      </c>
      <c r="L45" s="140">
        <f>V_2!L45+V_4!L45+V_12!L45</f>
        <v>8</v>
      </c>
      <c r="M45" s="149">
        <f t="shared" si="1"/>
        <v>8</v>
      </c>
      <c r="N45" s="100">
        <f t="shared" si="2"/>
        <v>495</v>
      </c>
      <c r="O45" s="43">
        <f t="shared" si="3"/>
        <v>543</v>
      </c>
    </row>
    <row r="46" spans="1:15" ht="22.5" customHeight="1" x14ac:dyDescent="0.3">
      <c r="A46" s="149" t="s">
        <v>215</v>
      </c>
      <c r="B46" s="44">
        <f>V_2!B46+V_4!B46+V_12!B46</f>
        <v>307</v>
      </c>
      <c r="C46" s="39">
        <f>V_2!C46+V_4!C46+V_12!C46</f>
        <v>139</v>
      </c>
      <c r="D46" s="39">
        <f>V_2!D46+V_4!D46+V_12!D46</f>
        <v>13</v>
      </c>
      <c r="E46" s="39">
        <f>V_2!E46+V_4!E46+V_12!E46</f>
        <v>16</v>
      </c>
      <c r="F46" s="152">
        <f>V_2!F46+V_4!F46+V_12!F46</f>
        <v>9</v>
      </c>
      <c r="G46" s="154">
        <f t="shared" si="4"/>
        <v>484</v>
      </c>
      <c r="H46" s="44">
        <f>V_2!H46+V_4!H46+V_12!H46</f>
        <v>0</v>
      </c>
      <c r="I46" s="39">
        <f>V_2!I46+V_4!I46+V_12!I46</f>
        <v>0</v>
      </c>
      <c r="J46" s="39">
        <f>V_2!J46+V_4!J46+V_12!J46</f>
        <v>0</v>
      </c>
      <c r="K46" s="45">
        <f>V_2!K46+V_4!K46+V_12!K46</f>
        <v>0</v>
      </c>
      <c r="L46" s="140">
        <f>V_2!L46+V_4!L46+V_12!L46</f>
        <v>11</v>
      </c>
      <c r="M46" s="149">
        <f t="shared" si="1"/>
        <v>11</v>
      </c>
      <c r="N46" s="100">
        <f t="shared" si="2"/>
        <v>495</v>
      </c>
      <c r="O46" s="43">
        <f t="shared" si="3"/>
        <v>572.5</v>
      </c>
    </row>
    <row r="47" spans="1:15" ht="22.5" customHeight="1" x14ac:dyDescent="0.3">
      <c r="A47" s="149" t="s">
        <v>216</v>
      </c>
      <c r="B47" s="44">
        <f>V_2!B47+V_4!B47+V_12!B47</f>
        <v>291</v>
      </c>
      <c r="C47" s="39">
        <f>V_2!C47+V_4!C47+V_12!C47</f>
        <v>158</v>
      </c>
      <c r="D47" s="39">
        <f>V_2!D47+V_4!D47+V_12!D47</f>
        <v>8</v>
      </c>
      <c r="E47" s="39">
        <f>V_2!E47+V_4!E47+V_12!E47</f>
        <v>16</v>
      </c>
      <c r="F47" s="152">
        <f>V_2!F47+V_4!F47+V_12!F47</f>
        <v>5</v>
      </c>
      <c r="G47" s="154">
        <f t="shared" si="4"/>
        <v>478</v>
      </c>
      <c r="H47" s="44">
        <f>V_2!H47+V_4!H47+V_12!H47</f>
        <v>0</v>
      </c>
      <c r="I47" s="39">
        <f>V_2!I47+V_4!I47+V_12!I47</f>
        <v>0</v>
      </c>
      <c r="J47" s="39">
        <f>V_2!J47+V_4!J47+V_12!J47</f>
        <v>0</v>
      </c>
      <c r="K47" s="45">
        <f>V_2!K47+V_4!K47+V_12!K47</f>
        <v>0</v>
      </c>
      <c r="L47" s="140">
        <f>V_2!L47+V_4!L47+V_12!L47</f>
        <v>3</v>
      </c>
      <c r="M47" s="149">
        <f t="shared" si="1"/>
        <v>3</v>
      </c>
      <c r="N47" s="100">
        <f t="shared" si="2"/>
        <v>481</v>
      </c>
      <c r="O47" s="43">
        <f t="shared" si="3"/>
        <v>476.5</v>
      </c>
    </row>
    <row r="48" spans="1:15" ht="22.5" customHeight="1" x14ac:dyDescent="0.3">
      <c r="A48" s="149" t="s">
        <v>217</v>
      </c>
      <c r="B48" s="44">
        <f>V_2!B48+V_4!B48+V_12!B48</f>
        <v>261</v>
      </c>
      <c r="C48" s="39">
        <f>V_2!C48+V_4!C48+V_12!C48</f>
        <v>150</v>
      </c>
      <c r="D48" s="39">
        <f>V_2!D48+V_4!D48+V_12!D48</f>
        <v>8</v>
      </c>
      <c r="E48" s="39">
        <f>V_2!E48+V_4!E48+V_12!E48</f>
        <v>3</v>
      </c>
      <c r="F48" s="152">
        <f>V_2!F48+V_4!F48+V_12!F48</f>
        <v>6</v>
      </c>
      <c r="G48" s="154">
        <f t="shared" si="4"/>
        <v>428</v>
      </c>
      <c r="H48" s="44">
        <f>V_2!H48+V_4!H48+V_12!H48</f>
        <v>0</v>
      </c>
      <c r="I48" s="39">
        <f>V_2!I48+V_4!I48+V_12!I48</f>
        <v>0</v>
      </c>
      <c r="J48" s="39">
        <f>V_2!J48+V_4!J48+V_12!J48</f>
        <v>0</v>
      </c>
      <c r="K48" s="45">
        <f>V_2!K48+V_4!K48+V_12!K48</f>
        <v>0</v>
      </c>
      <c r="L48" s="140">
        <f>V_2!L48+V_4!L48+V_12!L48</f>
        <v>7</v>
      </c>
      <c r="M48" s="149">
        <f t="shared" si="1"/>
        <v>7</v>
      </c>
      <c r="N48" s="100">
        <f t="shared" si="2"/>
        <v>435</v>
      </c>
      <c r="O48" s="43">
        <f t="shared" si="3"/>
        <v>440</v>
      </c>
    </row>
    <row r="49" spans="1:15" ht="22.5" customHeight="1" x14ac:dyDescent="0.3">
      <c r="A49" s="149" t="s">
        <v>218</v>
      </c>
      <c r="B49" s="44">
        <f>V_2!B49+V_4!B49+V_12!B49</f>
        <v>268</v>
      </c>
      <c r="C49" s="39">
        <f>V_2!C49+V_4!C49+V_12!C49</f>
        <v>127</v>
      </c>
      <c r="D49" s="39">
        <f>V_2!D49+V_4!D49+V_12!D49</f>
        <v>6</v>
      </c>
      <c r="E49" s="39">
        <f>V_2!E49+V_4!E49+V_12!E49</f>
        <v>8</v>
      </c>
      <c r="F49" s="152">
        <f>V_2!F49+V_4!F49+V_12!F49</f>
        <v>3</v>
      </c>
      <c r="G49" s="154">
        <f t="shared" si="4"/>
        <v>412</v>
      </c>
      <c r="H49" s="44">
        <f>V_2!H49+V_4!H49+V_12!H49</f>
        <v>0</v>
      </c>
      <c r="I49" s="39">
        <f>V_2!I49+V_4!I49+V_12!I49</f>
        <v>0</v>
      </c>
      <c r="J49" s="39">
        <f>V_2!J49+V_4!J49+V_12!J49</f>
        <v>0</v>
      </c>
      <c r="K49" s="45">
        <f>V_2!K49+V_4!K49+V_12!K49</f>
        <v>0</v>
      </c>
      <c r="L49" s="140">
        <f>V_2!L49+V_4!L49+V_12!L49</f>
        <v>6</v>
      </c>
      <c r="M49" s="149">
        <f t="shared" si="1"/>
        <v>6</v>
      </c>
      <c r="N49" s="100">
        <f t="shared" si="2"/>
        <v>418</v>
      </c>
      <c r="O49" s="43">
        <f t="shared" si="3"/>
        <v>426</v>
      </c>
    </row>
    <row r="50" spans="1:15" ht="22.5" customHeight="1" x14ac:dyDescent="0.3">
      <c r="A50" s="149" t="s">
        <v>219</v>
      </c>
      <c r="B50" s="44">
        <f>V_2!B50+V_4!B50+V_12!B50</f>
        <v>296</v>
      </c>
      <c r="C50" s="39">
        <f>V_2!C50+V_4!C50+V_12!C50</f>
        <v>119</v>
      </c>
      <c r="D50" s="39">
        <f>V_2!D50+V_4!D50+V_12!D50</f>
        <v>15</v>
      </c>
      <c r="E50" s="39">
        <f>V_2!E50+V_4!E50+V_12!E50</f>
        <v>11</v>
      </c>
      <c r="F50" s="152">
        <f>V_2!F50+V_4!F50+V_12!F50</f>
        <v>7</v>
      </c>
      <c r="G50" s="154">
        <f t="shared" si="4"/>
        <v>448</v>
      </c>
      <c r="H50" s="44">
        <f>V_2!H50+V_4!H50+V_12!H50</f>
        <v>0</v>
      </c>
      <c r="I50" s="39">
        <f>V_2!I50+V_4!I50+V_12!I50</f>
        <v>0</v>
      </c>
      <c r="J50" s="39">
        <f>V_2!J50+V_4!J50+V_12!J50</f>
        <v>0</v>
      </c>
      <c r="K50" s="45">
        <f>V_2!K50+V_4!K50+V_12!K50</f>
        <v>0</v>
      </c>
      <c r="L50" s="140">
        <f>V_2!L50+V_4!L50+V_12!L50</f>
        <v>7</v>
      </c>
      <c r="M50" s="149">
        <f t="shared" si="1"/>
        <v>7</v>
      </c>
      <c r="N50" s="100">
        <f t="shared" si="2"/>
        <v>455</v>
      </c>
      <c r="O50" s="43">
        <f t="shared" si="3"/>
        <v>498.5</v>
      </c>
    </row>
    <row r="51" spans="1:15" ht="22.5" customHeight="1" x14ac:dyDescent="0.3">
      <c r="A51" s="149" t="s">
        <v>220</v>
      </c>
      <c r="B51" s="44">
        <f>V_2!B51+V_4!B51+V_12!B51</f>
        <v>248</v>
      </c>
      <c r="C51" s="39">
        <f>V_2!C51+V_4!C51+V_12!C51</f>
        <v>134</v>
      </c>
      <c r="D51" s="39">
        <f>V_2!D51+V_4!D51+V_12!D51</f>
        <v>15</v>
      </c>
      <c r="E51" s="39">
        <f>V_2!E51+V_4!E51+V_12!E51</f>
        <v>4</v>
      </c>
      <c r="F51" s="152">
        <f>V_2!F51+V_4!F51+V_12!F51</f>
        <v>8</v>
      </c>
      <c r="G51" s="154">
        <f t="shared" si="4"/>
        <v>409</v>
      </c>
      <c r="H51" s="44">
        <f>V_2!H51+V_4!H51+V_12!H51</f>
        <v>0</v>
      </c>
      <c r="I51" s="39">
        <f>V_2!I51+V_4!I51+V_12!I51</f>
        <v>0</v>
      </c>
      <c r="J51" s="39">
        <f>V_2!J51+V_4!J51+V_12!J51</f>
        <v>0</v>
      </c>
      <c r="K51" s="45">
        <f>V_2!K51+V_4!K51+V_12!K51</f>
        <v>0</v>
      </c>
      <c r="L51" s="140">
        <f>V_2!L51+V_4!L51+V_12!L51</f>
        <v>5</v>
      </c>
      <c r="M51" s="149">
        <f t="shared" si="1"/>
        <v>5</v>
      </c>
      <c r="N51" s="100">
        <f t="shared" si="2"/>
        <v>414</v>
      </c>
      <c r="O51" s="43">
        <f t="shared" si="3"/>
        <v>425.5</v>
      </c>
    </row>
    <row r="52" spans="1:15" ht="22.5" customHeight="1" x14ac:dyDescent="0.3">
      <c r="A52" s="149" t="s">
        <v>221</v>
      </c>
      <c r="B52" s="44">
        <f>V_2!B52+V_4!B52+V_12!B52</f>
        <v>273</v>
      </c>
      <c r="C52" s="39">
        <f>V_2!C52+V_4!C52+V_12!C52</f>
        <v>108</v>
      </c>
      <c r="D52" s="39">
        <f>V_2!D52+V_4!D52+V_12!D52</f>
        <v>5</v>
      </c>
      <c r="E52" s="39">
        <f>V_2!E52+V_4!E52+V_12!E52</f>
        <v>11</v>
      </c>
      <c r="F52" s="152">
        <f>V_2!F52+V_4!F52+V_12!F52</f>
        <v>4</v>
      </c>
      <c r="G52" s="154">
        <f t="shared" si="4"/>
        <v>401</v>
      </c>
      <c r="H52" s="44">
        <f>V_2!H52+V_4!H52+V_12!H52</f>
        <v>0</v>
      </c>
      <c r="I52" s="39">
        <f>V_2!I52+V_4!I52+V_12!I52</f>
        <v>0</v>
      </c>
      <c r="J52" s="39">
        <f>V_2!J52+V_4!J52+V_12!J52</f>
        <v>0</v>
      </c>
      <c r="K52" s="45">
        <f>V_2!K52+V_4!K52+V_12!K52</f>
        <v>0</v>
      </c>
      <c r="L52" s="140">
        <f>V_2!L52+V_4!L52+V_12!L52</f>
        <v>1</v>
      </c>
      <c r="M52" s="149">
        <f t="shared" si="1"/>
        <v>1</v>
      </c>
      <c r="N52" s="100">
        <f t="shared" si="2"/>
        <v>402</v>
      </c>
      <c r="O52" s="43">
        <f t="shared" si="3"/>
        <v>393.5</v>
      </c>
    </row>
    <row r="53" spans="1:15" ht="22.5" customHeight="1" x14ac:dyDescent="0.3">
      <c r="A53" s="149" t="s">
        <v>222</v>
      </c>
      <c r="B53" s="44">
        <f>V_2!B53+V_4!B53+V_12!B53</f>
        <v>234</v>
      </c>
      <c r="C53" s="39">
        <f>V_2!C53+V_4!C53+V_12!C53</f>
        <v>82</v>
      </c>
      <c r="D53" s="39">
        <f>V_2!D53+V_4!D53+V_12!D53</f>
        <v>8</v>
      </c>
      <c r="E53" s="39">
        <f>V_2!E53+V_4!E53+V_12!E53</f>
        <v>6</v>
      </c>
      <c r="F53" s="152">
        <f>V_2!F53+V_4!F53+V_12!F53</f>
        <v>5</v>
      </c>
      <c r="G53" s="154">
        <f t="shared" si="4"/>
        <v>335</v>
      </c>
      <c r="H53" s="44">
        <f>V_2!H53+V_4!H53+V_12!H53</f>
        <v>0</v>
      </c>
      <c r="I53" s="39">
        <f>V_2!I53+V_4!I53+V_12!I53</f>
        <v>0</v>
      </c>
      <c r="J53" s="39">
        <f>V_2!J53+V_4!J53+V_12!J53</f>
        <v>0</v>
      </c>
      <c r="K53" s="45">
        <f>V_2!K53+V_4!K53+V_12!K53</f>
        <v>0</v>
      </c>
      <c r="L53" s="140">
        <f>V_2!L53+V_4!L53+V_12!L53</f>
        <v>4</v>
      </c>
      <c r="M53" s="149">
        <f t="shared" si="1"/>
        <v>4</v>
      </c>
      <c r="N53" s="100">
        <f t="shared" si="2"/>
        <v>339</v>
      </c>
      <c r="O53" s="43">
        <f t="shared" si="3"/>
        <v>359.5</v>
      </c>
    </row>
    <row r="54" spans="1:15" ht="22.5" customHeight="1" x14ac:dyDescent="0.3">
      <c r="A54" s="149" t="s">
        <v>223</v>
      </c>
      <c r="B54" s="44">
        <f>V_2!B54+V_4!B54+V_12!B54</f>
        <v>271</v>
      </c>
      <c r="C54" s="39">
        <f>V_2!C54+V_4!C54+V_12!C54</f>
        <v>58</v>
      </c>
      <c r="D54" s="39">
        <f>V_2!D54+V_4!D54+V_12!D54</f>
        <v>13</v>
      </c>
      <c r="E54" s="39">
        <f>V_2!E54+V_4!E54+V_12!E54</f>
        <v>9</v>
      </c>
      <c r="F54" s="152">
        <f>V_2!F54+V_4!F54+V_12!F54</f>
        <v>12</v>
      </c>
      <c r="G54" s="154">
        <f t="shared" si="4"/>
        <v>363</v>
      </c>
      <c r="H54" s="44">
        <f>V_2!H54+V_4!H54+V_12!H54</f>
        <v>1</v>
      </c>
      <c r="I54" s="39">
        <f>V_2!I54+V_4!I54+V_12!I54</f>
        <v>0</v>
      </c>
      <c r="J54" s="39">
        <f>V_2!J54+V_4!J54+V_12!J54</f>
        <v>0</v>
      </c>
      <c r="K54" s="45">
        <f>V_2!K54+V_4!K54+V_12!K54</f>
        <v>0</v>
      </c>
      <c r="L54" s="140">
        <f>V_2!L54+V_4!L54+V_12!L54</f>
        <v>7</v>
      </c>
      <c r="M54" s="149">
        <f t="shared" si="1"/>
        <v>8</v>
      </c>
      <c r="N54" s="100">
        <f t="shared" si="2"/>
        <v>371</v>
      </c>
      <c r="O54" s="43">
        <f t="shared" si="3"/>
        <v>457</v>
      </c>
    </row>
    <row r="55" spans="1:15" ht="22.5" customHeight="1" x14ac:dyDescent="0.3">
      <c r="A55" s="149" t="s">
        <v>224</v>
      </c>
      <c r="B55" s="44">
        <f>V_2!B55+V_4!B55+V_12!B55</f>
        <v>263</v>
      </c>
      <c r="C55" s="39">
        <f>V_2!C55+V_4!C55+V_12!C55</f>
        <v>83</v>
      </c>
      <c r="D55" s="39">
        <f>V_2!D55+V_4!D55+V_12!D55</f>
        <v>4</v>
      </c>
      <c r="E55" s="39">
        <f>V_2!E55+V_4!E55+V_12!E55</f>
        <v>13</v>
      </c>
      <c r="F55" s="152">
        <f>V_2!F55+V_4!F55+V_12!F55</f>
        <v>3</v>
      </c>
      <c r="G55" s="154">
        <f t="shared" si="4"/>
        <v>366</v>
      </c>
      <c r="H55" s="44">
        <f>V_2!H55+V_4!H55+V_12!H55</f>
        <v>0</v>
      </c>
      <c r="I55" s="39">
        <f>V_2!I55+V_4!I55+V_12!I55</f>
        <v>0</v>
      </c>
      <c r="J55" s="39">
        <f>V_2!J55+V_4!J55+V_12!J55</f>
        <v>0</v>
      </c>
      <c r="K55" s="45">
        <f>V_2!K55+V_4!K55+V_12!K55</f>
        <v>0</v>
      </c>
      <c r="L55" s="140">
        <f>V_2!L55+V_4!L55+V_12!L55</f>
        <v>5</v>
      </c>
      <c r="M55" s="149">
        <f t="shared" si="1"/>
        <v>5</v>
      </c>
      <c r="N55" s="100">
        <f t="shared" si="2"/>
        <v>371</v>
      </c>
      <c r="O55" s="43">
        <f t="shared" si="3"/>
        <v>403</v>
      </c>
    </row>
    <row r="56" spans="1:15" ht="22.5" customHeight="1" x14ac:dyDescent="0.3">
      <c r="A56" s="149" t="s">
        <v>225</v>
      </c>
      <c r="B56" s="44">
        <f>V_2!B56+V_4!B56+V_12!B56</f>
        <v>229</v>
      </c>
      <c r="C56" s="39">
        <f>V_2!C56+V_4!C56+V_12!C56</f>
        <v>80</v>
      </c>
      <c r="D56" s="39">
        <f>V_2!D56+V_4!D56+V_12!D56</f>
        <v>11</v>
      </c>
      <c r="E56" s="39">
        <f>V_2!E56+V_4!E56+V_12!E56</f>
        <v>11</v>
      </c>
      <c r="F56" s="152">
        <f>V_2!F56+V_4!F56+V_12!F56</f>
        <v>3</v>
      </c>
      <c r="G56" s="154">
        <f t="shared" si="4"/>
        <v>334</v>
      </c>
      <c r="H56" s="44">
        <f>V_2!H56+V_4!H56+V_12!H56</f>
        <v>0</v>
      </c>
      <c r="I56" s="39">
        <f>V_2!I56+V_4!I56+V_12!I56</f>
        <v>0</v>
      </c>
      <c r="J56" s="39">
        <f>V_2!J56+V_4!J56+V_12!J56</f>
        <v>0</v>
      </c>
      <c r="K56" s="45">
        <f>V_2!K56+V_4!K56+V_12!K56</f>
        <v>0</v>
      </c>
      <c r="L56" s="140">
        <f>V_2!L56+V_4!L56+V_12!L56</f>
        <v>3</v>
      </c>
      <c r="M56" s="149">
        <f t="shared" si="1"/>
        <v>3</v>
      </c>
      <c r="N56" s="100">
        <f t="shared" si="2"/>
        <v>337</v>
      </c>
      <c r="O56" s="43">
        <f t="shared" si="3"/>
        <v>356</v>
      </c>
    </row>
    <row r="57" spans="1:15" ht="22.5" customHeight="1" x14ac:dyDescent="0.3">
      <c r="A57" s="149" t="s">
        <v>226</v>
      </c>
      <c r="B57" s="44">
        <f>V_2!B57+V_4!B57+V_12!B57</f>
        <v>197</v>
      </c>
      <c r="C57" s="39">
        <f>V_2!C57+V_4!C57+V_12!C57</f>
        <v>35</v>
      </c>
      <c r="D57" s="39">
        <f>V_2!D57+V_4!D57+V_12!D57</f>
        <v>10</v>
      </c>
      <c r="E57" s="39">
        <f>V_2!E57+V_4!E57+V_12!E57</f>
        <v>12</v>
      </c>
      <c r="F57" s="152">
        <f>V_2!F57+V_4!F57+V_12!F57</f>
        <v>2</v>
      </c>
      <c r="G57" s="154">
        <f t="shared" si="4"/>
        <v>256</v>
      </c>
      <c r="H57" s="44">
        <f>V_2!H57+V_4!H57+V_12!H57</f>
        <v>0</v>
      </c>
      <c r="I57" s="39">
        <f>V_2!I57+V_4!I57+V_12!I57</f>
        <v>0</v>
      </c>
      <c r="J57" s="39">
        <f>V_2!J57+V_4!J57+V_12!J57</f>
        <v>0</v>
      </c>
      <c r="K57" s="45">
        <f>V_2!K57+V_4!K57+V_12!K57</f>
        <v>0</v>
      </c>
      <c r="L57" s="140">
        <f>V_2!L57+V_4!L57+V_12!L57</f>
        <v>1</v>
      </c>
      <c r="M57" s="149">
        <f t="shared" si="1"/>
        <v>1</v>
      </c>
      <c r="N57" s="100">
        <f t="shared" si="2"/>
        <v>257</v>
      </c>
      <c r="O57" s="43">
        <f t="shared" si="3"/>
        <v>282.5</v>
      </c>
    </row>
    <row r="58" spans="1:15" ht="22.5" customHeight="1" x14ac:dyDescent="0.3">
      <c r="A58" s="149" t="s">
        <v>227</v>
      </c>
      <c r="B58" s="44">
        <f>V_2!B58+V_4!B58+V_12!B58</f>
        <v>187</v>
      </c>
      <c r="C58" s="39">
        <f>V_2!C58+V_4!C58+V_12!C58</f>
        <v>49</v>
      </c>
      <c r="D58" s="39">
        <f>V_2!D58+V_4!D58+V_12!D58</f>
        <v>8</v>
      </c>
      <c r="E58" s="39">
        <f>V_2!E58+V_4!E58+V_12!E58</f>
        <v>10</v>
      </c>
      <c r="F58" s="152">
        <f>V_2!F58+V_4!F58+V_12!F58</f>
        <v>2</v>
      </c>
      <c r="G58" s="154">
        <f t="shared" si="4"/>
        <v>256</v>
      </c>
      <c r="H58" s="44">
        <f>V_2!H58+V_4!H58+V_12!H58</f>
        <v>0</v>
      </c>
      <c r="I58" s="39">
        <f>V_2!I58+V_4!I58+V_12!I58</f>
        <v>0</v>
      </c>
      <c r="J58" s="39">
        <f>V_2!J58+V_4!J58+V_12!J58</f>
        <v>0</v>
      </c>
      <c r="K58" s="45">
        <f>V_2!K58+V_4!K58+V_12!K58</f>
        <v>0</v>
      </c>
      <c r="L58" s="140">
        <f>V_2!L58+V_4!L58+V_12!L58</f>
        <v>0</v>
      </c>
      <c r="M58" s="149">
        <f t="shared" si="1"/>
        <v>0</v>
      </c>
      <c r="N58" s="100">
        <f t="shared" si="2"/>
        <v>256</v>
      </c>
      <c r="O58" s="43">
        <f t="shared" si="3"/>
        <v>262.5</v>
      </c>
    </row>
    <row r="59" spans="1:15" ht="22.5" customHeight="1" x14ac:dyDescent="0.3">
      <c r="A59" s="149" t="s">
        <v>228</v>
      </c>
      <c r="B59" s="44">
        <f>V_2!B59+V_4!B59+V_12!B59</f>
        <v>184</v>
      </c>
      <c r="C59" s="39">
        <f>V_2!C59+V_4!C59+V_12!C59</f>
        <v>58</v>
      </c>
      <c r="D59" s="39">
        <f>V_2!D59+V_4!D59+V_12!D59</f>
        <v>6</v>
      </c>
      <c r="E59" s="39">
        <f>V_2!E59+V_4!E59+V_12!E59</f>
        <v>9</v>
      </c>
      <c r="F59" s="152">
        <f>V_2!F59+V_4!F59+V_12!F59</f>
        <v>1</v>
      </c>
      <c r="G59" s="154">
        <f t="shared" si="4"/>
        <v>258</v>
      </c>
      <c r="H59" s="44">
        <f>V_2!H59+V_4!H59+V_12!H59</f>
        <v>0</v>
      </c>
      <c r="I59" s="39">
        <f>V_2!I59+V_4!I59+V_12!I59</f>
        <v>0</v>
      </c>
      <c r="J59" s="39">
        <f>V_2!J59+V_4!J59+V_12!J59</f>
        <v>0</v>
      </c>
      <c r="K59" s="45">
        <f>V_2!K59+V_4!K59+V_12!K59</f>
        <v>0</v>
      </c>
      <c r="L59" s="140">
        <f>V_2!L59+V_4!L59+V_12!L59</f>
        <v>0</v>
      </c>
      <c r="M59" s="149">
        <f t="shared" si="1"/>
        <v>0</v>
      </c>
      <c r="N59" s="100">
        <f t="shared" si="2"/>
        <v>258</v>
      </c>
      <c r="O59" s="43">
        <f t="shared" si="3"/>
        <v>253.5</v>
      </c>
    </row>
    <row r="60" spans="1:15" ht="22.5" customHeight="1" x14ac:dyDescent="0.3">
      <c r="A60" s="149" t="s">
        <v>229</v>
      </c>
      <c r="B60" s="44">
        <f>V_2!B60+V_4!B60+V_12!B60</f>
        <v>164</v>
      </c>
      <c r="C60" s="39">
        <f>V_2!C60+V_4!C60+V_12!C60</f>
        <v>26</v>
      </c>
      <c r="D60" s="39">
        <f>V_2!D60+V_4!D60+V_12!D60</f>
        <v>8</v>
      </c>
      <c r="E60" s="39">
        <f>V_2!E60+V_4!E60+V_12!E60</f>
        <v>6</v>
      </c>
      <c r="F60" s="152">
        <f>V_2!F60+V_4!F60+V_12!F60</f>
        <v>3</v>
      </c>
      <c r="G60" s="154">
        <f t="shared" si="4"/>
        <v>207</v>
      </c>
      <c r="H60" s="44">
        <f>V_2!H60+V_4!H60+V_12!H60</f>
        <v>0</v>
      </c>
      <c r="I60" s="39">
        <f>V_2!I60+V_4!I60+V_12!I60</f>
        <v>0</v>
      </c>
      <c r="J60" s="39">
        <f>V_2!J60+V_4!J60+V_12!J60</f>
        <v>0</v>
      </c>
      <c r="K60" s="45">
        <f>V_2!K60+V_4!K60+V_12!K60</f>
        <v>0</v>
      </c>
      <c r="L60" s="140">
        <f>V_2!L60+V_4!L60+V_12!L60</f>
        <v>2</v>
      </c>
      <c r="M60" s="149">
        <f t="shared" si="1"/>
        <v>2</v>
      </c>
      <c r="N60" s="100">
        <f t="shared" si="2"/>
        <v>209</v>
      </c>
      <c r="O60" s="43">
        <f t="shared" si="3"/>
        <v>236.5</v>
      </c>
    </row>
    <row r="61" spans="1:15" ht="22.5" customHeight="1" x14ac:dyDescent="0.3">
      <c r="A61" s="149" t="s">
        <v>230</v>
      </c>
      <c r="B61" s="44">
        <f>V_2!B61+V_4!B61+V_12!B61</f>
        <v>168</v>
      </c>
      <c r="C61" s="39">
        <f>V_2!C61+V_4!C61+V_12!C61</f>
        <v>68</v>
      </c>
      <c r="D61" s="39">
        <f>V_2!D61+V_4!D61+V_12!D61</f>
        <v>8</v>
      </c>
      <c r="E61" s="39">
        <f>V_2!E61+V_4!E61+V_12!E61</f>
        <v>11</v>
      </c>
      <c r="F61" s="152">
        <f>V_2!F61+V_4!F61+V_12!F61</f>
        <v>2</v>
      </c>
      <c r="G61" s="154">
        <f t="shared" si="4"/>
        <v>257</v>
      </c>
      <c r="H61" s="44">
        <f>V_2!H61+V_4!H61+V_12!H61</f>
        <v>0</v>
      </c>
      <c r="I61" s="39">
        <f>V_2!I61+V_4!I61+V_12!I61</f>
        <v>0</v>
      </c>
      <c r="J61" s="39">
        <f>V_2!J61+V_4!J61+V_12!J61</f>
        <v>0</v>
      </c>
      <c r="K61" s="45">
        <f>V_2!K61+V_4!K61+V_12!K61</f>
        <v>0</v>
      </c>
      <c r="L61" s="140">
        <f>V_2!L61+V_4!L61+V_12!L61</f>
        <v>4</v>
      </c>
      <c r="M61" s="149">
        <f t="shared" si="1"/>
        <v>4</v>
      </c>
      <c r="N61" s="100">
        <f t="shared" si="2"/>
        <v>261</v>
      </c>
      <c r="O61" s="43">
        <f t="shared" si="3"/>
        <v>288</v>
      </c>
    </row>
    <row r="62" spans="1:15" ht="22.5" customHeight="1" x14ac:dyDescent="0.3">
      <c r="A62" s="149" t="s">
        <v>231</v>
      </c>
      <c r="B62" s="44">
        <f>V_2!B62+V_4!B62+V_12!B62</f>
        <v>182</v>
      </c>
      <c r="C62" s="39">
        <f>V_2!C62+V_4!C62+V_12!C62</f>
        <v>40</v>
      </c>
      <c r="D62" s="39">
        <f>V_2!D62+V_4!D62+V_12!D62</f>
        <v>9</v>
      </c>
      <c r="E62" s="39">
        <f>V_2!E62+V_4!E62+V_12!E62</f>
        <v>13</v>
      </c>
      <c r="F62" s="152">
        <f>V_2!F62+V_4!F62+V_12!F62</f>
        <v>6</v>
      </c>
      <c r="G62" s="154">
        <f t="shared" si="4"/>
        <v>250</v>
      </c>
      <c r="H62" s="44">
        <f>V_2!H62+V_4!H62+V_12!H62</f>
        <v>0</v>
      </c>
      <c r="I62" s="39">
        <f>V_2!I62+V_4!I62+V_12!I62</f>
        <v>0</v>
      </c>
      <c r="J62" s="39">
        <f>V_2!J62+V_4!J62+V_12!J62</f>
        <v>0</v>
      </c>
      <c r="K62" s="45">
        <f>V_2!K62+V_4!K62+V_12!K62</f>
        <v>0</v>
      </c>
      <c r="L62" s="140">
        <f>V_2!L62+V_4!L62+V_12!L62</f>
        <v>2</v>
      </c>
      <c r="M62" s="149">
        <f t="shared" si="1"/>
        <v>2</v>
      </c>
      <c r="N62" s="100">
        <f t="shared" si="2"/>
        <v>252</v>
      </c>
      <c r="O62" s="43">
        <f t="shared" si="3"/>
        <v>297.5</v>
      </c>
    </row>
    <row r="63" spans="1:15" ht="22.5" customHeight="1" x14ac:dyDescent="0.3">
      <c r="A63" s="149" t="s">
        <v>232</v>
      </c>
      <c r="B63" s="44">
        <f>V_2!B63+V_4!B63+V_12!B63</f>
        <v>144</v>
      </c>
      <c r="C63" s="39">
        <f>V_2!C63+V_4!C63+V_12!C63</f>
        <v>30</v>
      </c>
      <c r="D63" s="39">
        <f>V_2!D63+V_4!D63+V_12!D63</f>
        <v>1</v>
      </c>
      <c r="E63" s="39">
        <f>V_2!E63+V_4!E63+V_12!E63</f>
        <v>9</v>
      </c>
      <c r="F63" s="152">
        <f>V_2!F63+V_4!F63+V_12!F63</f>
        <v>3</v>
      </c>
      <c r="G63" s="154">
        <f t="shared" si="4"/>
        <v>187</v>
      </c>
      <c r="H63" s="44">
        <f>V_2!H63+V_4!H63+V_12!H63</f>
        <v>0</v>
      </c>
      <c r="I63" s="39">
        <f>V_2!I63+V_4!I63+V_12!I63</f>
        <v>0</v>
      </c>
      <c r="J63" s="39">
        <f>V_2!J63+V_4!J63+V_12!J63</f>
        <v>0</v>
      </c>
      <c r="K63" s="45">
        <f>V_2!K63+V_4!K63+V_12!K63</f>
        <v>0</v>
      </c>
      <c r="L63" s="140">
        <f>V_2!L63+V_4!L63+V_12!L63</f>
        <v>2</v>
      </c>
      <c r="M63" s="149">
        <f t="shared" si="1"/>
        <v>2</v>
      </c>
      <c r="N63" s="100">
        <f t="shared" si="2"/>
        <v>189</v>
      </c>
      <c r="O63" s="43">
        <f t="shared" si="3"/>
        <v>217</v>
      </c>
    </row>
    <row r="64" spans="1:15" ht="22.5" customHeight="1" x14ac:dyDescent="0.3">
      <c r="A64" s="149" t="s">
        <v>233</v>
      </c>
      <c r="B64" s="44">
        <f>V_2!B64+V_4!B64+V_12!B64</f>
        <v>140</v>
      </c>
      <c r="C64" s="39">
        <f>V_2!C64+V_4!C64+V_12!C64</f>
        <v>47</v>
      </c>
      <c r="D64" s="39">
        <f>V_2!D64+V_4!D64+V_12!D64</f>
        <v>11</v>
      </c>
      <c r="E64" s="39">
        <f>V_2!E64+V_4!E64+V_12!E64</f>
        <v>14</v>
      </c>
      <c r="F64" s="152">
        <f>V_2!F64+V_4!F64+V_12!F64</f>
        <v>9</v>
      </c>
      <c r="G64" s="154">
        <f t="shared" si="4"/>
        <v>221</v>
      </c>
      <c r="H64" s="44">
        <f>V_2!H64+V_4!H64+V_12!H64</f>
        <v>0</v>
      </c>
      <c r="I64" s="39">
        <f>V_2!I64+V_4!I64+V_12!I64</f>
        <v>0</v>
      </c>
      <c r="J64" s="39">
        <f>V_2!J64+V_4!J64+V_12!J64</f>
        <v>0</v>
      </c>
      <c r="K64" s="45">
        <f>V_2!K64+V_4!K64+V_12!K64</f>
        <v>0</v>
      </c>
      <c r="L64" s="140">
        <f>V_2!L64+V_4!L64+V_12!L64</f>
        <v>0</v>
      </c>
      <c r="M64" s="149">
        <f t="shared" si="1"/>
        <v>0</v>
      </c>
      <c r="N64" s="100">
        <f t="shared" si="2"/>
        <v>221</v>
      </c>
      <c r="O64" s="43">
        <f t="shared" si="3"/>
        <v>262.5</v>
      </c>
    </row>
    <row r="65" spans="1:15" ht="22.5" customHeight="1" x14ac:dyDescent="0.3">
      <c r="A65" s="149" t="s">
        <v>234</v>
      </c>
      <c r="B65" s="44">
        <f>V_2!B65+V_4!B65+V_12!B65</f>
        <v>118</v>
      </c>
      <c r="C65" s="39">
        <f>V_2!C65+V_4!C65+V_12!C65</f>
        <v>32</v>
      </c>
      <c r="D65" s="39">
        <f>V_2!D65+V_4!D65+V_12!D65</f>
        <v>6</v>
      </c>
      <c r="E65" s="39">
        <f>V_2!E65+V_4!E65+V_12!E65</f>
        <v>8</v>
      </c>
      <c r="F65" s="152">
        <f>V_2!F65+V_4!F65+V_12!F65</f>
        <v>9</v>
      </c>
      <c r="G65" s="154">
        <f t="shared" si="4"/>
        <v>173</v>
      </c>
      <c r="H65" s="44">
        <f>V_2!H65+V_4!H65+V_12!H65</f>
        <v>0</v>
      </c>
      <c r="I65" s="39">
        <f>V_2!I65+V_4!I65+V_12!I65</f>
        <v>0</v>
      </c>
      <c r="J65" s="39">
        <f>V_2!J65+V_4!J65+V_12!J65</f>
        <v>0</v>
      </c>
      <c r="K65" s="45">
        <f>V_2!K65+V_4!K65+V_12!K65</f>
        <v>0</v>
      </c>
      <c r="L65" s="140">
        <f>V_2!L65+V_4!L65+V_12!L65</f>
        <v>1</v>
      </c>
      <c r="M65" s="149">
        <f t="shared" si="1"/>
        <v>1</v>
      </c>
      <c r="N65" s="100">
        <f t="shared" si="2"/>
        <v>174</v>
      </c>
      <c r="O65" s="43">
        <f t="shared" si="3"/>
        <v>215.5</v>
      </c>
    </row>
    <row r="66" spans="1:15" ht="22.5" customHeight="1" x14ac:dyDescent="0.3">
      <c r="A66" s="149" t="s">
        <v>235</v>
      </c>
      <c r="B66" s="44">
        <f>V_2!B66+V_4!B66+V_12!B66</f>
        <v>97</v>
      </c>
      <c r="C66" s="39">
        <f>V_2!C66+V_4!C66+V_12!C66</f>
        <v>26</v>
      </c>
      <c r="D66" s="39">
        <f>V_2!D66+V_4!D66+V_12!D66</f>
        <v>8</v>
      </c>
      <c r="E66" s="39">
        <f>V_2!E66+V_4!E66+V_12!E66</f>
        <v>17</v>
      </c>
      <c r="F66" s="152">
        <f>V_2!F66+V_4!F66+V_12!F66</f>
        <v>10</v>
      </c>
      <c r="G66" s="154">
        <f t="shared" si="4"/>
        <v>158</v>
      </c>
      <c r="H66" s="44">
        <f>V_2!H66+V_4!H66+V_12!H66</f>
        <v>0</v>
      </c>
      <c r="I66" s="39">
        <f>V_2!I66+V_4!I66+V_12!I66</f>
        <v>0</v>
      </c>
      <c r="J66" s="39">
        <f>V_2!J66+V_4!J66+V_12!J66</f>
        <v>0</v>
      </c>
      <c r="K66" s="45">
        <f>V_2!K66+V_4!K66+V_12!K66</f>
        <v>0</v>
      </c>
      <c r="L66" s="140">
        <f>V_2!L66+V_4!L66+V_12!L66</f>
        <v>1</v>
      </c>
      <c r="M66" s="149">
        <f t="shared" si="1"/>
        <v>1</v>
      </c>
      <c r="N66" s="100">
        <f t="shared" si="2"/>
        <v>159</v>
      </c>
      <c r="O66" s="43">
        <f t="shared" si="3"/>
        <v>226</v>
      </c>
    </row>
    <row r="67" spans="1:15" ht="22.5" customHeight="1" x14ac:dyDescent="0.3">
      <c r="A67" s="149" t="s">
        <v>236</v>
      </c>
      <c r="B67" s="44">
        <f>V_2!B67+V_4!B67+V_12!B67</f>
        <v>87</v>
      </c>
      <c r="C67" s="39">
        <f>V_2!C67+V_4!C67+V_12!C67</f>
        <v>34</v>
      </c>
      <c r="D67" s="39">
        <f>V_2!D67+V_4!D67+V_12!D67</f>
        <v>8</v>
      </c>
      <c r="E67" s="39">
        <f>V_2!E67+V_4!E67+V_12!E67</f>
        <v>6</v>
      </c>
      <c r="F67" s="152">
        <f>V_2!F67+V_4!F67+V_12!F67</f>
        <v>6</v>
      </c>
      <c r="G67" s="154">
        <f t="shared" si="4"/>
        <v>141</v>
      </c>
      <c r="H67" s="44">
        <f>V_2!H67+V_4!H67+V_12!H67</f>
        <v>0</v>
      </c>
      <c r="I67" s="39">
        <f>V_2!I67+V_4!I67+V_12!I67</f>
        <v>0</v>
      </c>
      <c r="J67" s="39">
        <f>V_2!J67+V_4!J67+V_12!J67</f>
        <v>0</v>
      </c>
      <c r="K67" s="45">
        <f>V_2!K67+V_4!K67+V_12!K67</f>
        <v>0</v>
      </c>
      <c r="L67" s="140">
        <f>V_2!L67+V_4!L67+V_12!L67</f>
        <v>1</v>
      </c>
      <c r="M67" s="149">
        <f t="shared" si="1"/>
        <v>1</v>
      </c>
      <c r="N67" s="100">
        <f t="shared" si="2"/>
        <v>142</v>
      </c>
      <c r="O67" s="43">
        <f t="shared" si="3"/>
        <v>169</v>
      </c>
    </row>
    <row r="68" spans="1:15" ht="22.5" customHeight="1" x14ac:dyDescent="0.3">
      <c r="A68" s="149" t="s">
        <v>237</v>
      </c>
      <c r="B68" s="44">
        <f>V_2!B68+V_4!B68+V_12!B68</f>
        <v>94</v>
      </c>
      <c r="C68" s="39">
        <f>V_2!C68+V_4!C68+V_12!C68</f>
        <v>33</v>
      </c>
      <c r="D68" s="39">
        <f>V_2!D68+V_4!D68+V_12!D68</f>
        <v>9</v>
      </c>
      <c r="E68" s="39">
        <f>V_2!E68+V_4!E68+V_12!E68</f>
        <v>11</v>
      </c>
      <c r="F68" s="152">
        <f>V_2!F68+V_4!F68+V_12!F68</f>
        <v>8</v>
      </c>
      <c r="G68" s="154">
        <f t="shared" si="4"/>
        <v>155</v>
      </c>
      <c r="H68" s="44">
        <f>V_2!H68+V_4!H68+V_12!H68</f>
        <v>0</v>
      </c>
      <c r="I68" s="39">
        <f>V_2!I68+V_4!I68+V_12!I68</f>
        <v>0</v>
      </c>
      <c r="J68" s="39">
        <f>V_2!J68+V_4!J68+V_12!J68</f>
        <v>0</v>
      </c>
      <c r="K68" s="45">
        <f>V_2!K68+V_4!K68+V_12!K68</f>
        <v>0</v>
      </c>
      <c r="L68" s="140">
        <f>V_2!L68+V_4!L68+V_12!L68</f>
        <v>0</v>
      </c>
      <c r="M68" s="149">
        <f t="shared" si="1"/>
        <v>0</v>
      </c>
      <c r="N68" s="100">
        <f t="shared" si="2"/>
        <v>155</v>
      </c>
      <c r="O68" s="43">
        <f t="shared" si="3"/>
        <v>193</v>
      </c>
    </row>
    <row r="69" spans="1:15" ht="22.5" customHeight="1" x14ac:dyDescent="0.3">
      <c r="A69" s="149" t="s">
        <v>238</v>
      </c>
      <c r="B69" s="44">
        <f>V_2!B69+V_4!B69+V_12!B69</f>
        <v>76</v>
      </c>
      <c r="C69" s="39">
        <f>V_2!C69+V_4!C69+V_12!C69</f>
        <v>32</v>
      </c>
      <c r="D69" s="39">
        <f>V_2!D69+V_4!D69+V_12!D69</f>
        <v>5</v>
      </c>
      <c r="E69" s="39">
        <f>V_2!E69+V_4!E69+V_12!E69</f>
        <v>8</v>
      </c>
      <c r="F69" s="152">
        <f>V_2!F69+V_4!F69+V_12!F69</f>
        <v>8</v>
      </c>
      <c r="G69" s="154">
        <f t="shared" si="4"/>
        <v>129</v>
      </c>
      <c r="H69" s="44">
        <f>V_2!H69+V_4!H69+V_12!H69</f>
        <v>0</v>
      </c>
      <c r="I69" s="39">
        <f>V_2!I69+V_4!I69+V_12!I69</f>
        <v>0</v>
      </c>
      <c r="J69" s="39">
        <f>V_2!J69+V_4!J69+V_12!J69</f>
        <v>0</v>
      </c>
      <c r="K69" s="45">
        <f>V_2!K69+V_4!K69+V_12!K69</f>
        <v>0</v>
      </c>
      <c r="L69" s="140">
        <f>V_2!L69+V_4!L69+V_12!L69</f>
        <v>1</v>
      </c>
      <c r="M69" s="149">
        <f t="shared" si="1"/>
        <v>1</v>
      </c>
      <c r="N69" s="100">
        <f t="shared" si="2"/>
        <v>130</v>
      </c>
      <c r="O69" s="43">
        <f t="shared" si="3"/>
        <v>167.5</v>
      </c>
    </row>
    <row r="70" spans="1:15" ht="22.5" customHeight="1" x14ac:dyDescent="0.3">
      <c r="A70" s="149" t="s">
        <v>239</v>
      </c>
      <c r="B70" s="44">
        <f>V_2!B70+V_4!B70+V_12!B70</f>
        <v>58</v>
      </c>
      <c r="C70" s="39">
        <f>V_2!C70+V_4!C70+V_12!C70</f>
        <v>29</v>
      </c>
      <c r="D70" s="39">
        <f>V_2!D70+V_4!D70+V_12!D70</f>
        <v>8</v>
      </c>
      <c r="E70" s="39">
        <f>V_2!E70+V_4!E70+V_12!E70</f>
        <v>8</v>
      </c>
      <c r="F70" s="152">
        <f>V_2!F70+V_4!F70+V_12!F70</f>
        <v>7</v>
      </c>
      <c r="G70" s="154">
        <f t="shared" si="4"/>
        <v>110</v>
      </c>
      <c r="H70" s="44">
        <f>V_2!H70+V_4!H70+V_12!H70</f>
        <v>0</v>
      </c>
      <c r="I70" s="39">
        <f>V_2!I70+V_4!I70+V_12!I70</f>
        <v>0</v>
      </c>
      <c r="J70" s="39">
        <f>V_2!J70+V_4!J70+V_12!J70</f>
        <v>0</v>
      </c>
      <c r="K70" s="45">
        <f>V_2!K70+V_4!K70+V_12!K70</f>
        <v>0</v>
      </c>
      <c r="L70" s="140">
        <f>V_2!L70+V_4!L70+V_12!L70</f>
        <v>3</v>
      </c>
      <c r="M70" s="149">
        <f t="shared" si="1"/>
        <v>3</v>
      </c>
      <c r="N70" s="100">
        <f t="shared" si="2"/>
        <v>113</v>
      </c>
      <c r="O70" s="43">
        <f t="shared" si="3"/>
        <v>164</v>
      </c>
    </row>
    <row r="71" spans="1:15" ht="22.5" customHeight="1" x14ac:dyDescent="0.3">
      <c r="A71" s="149" t="s">
        <v>240</v>
      </c>
      <c r="B71" s="44">
        <f>V_2!B71+V_4!B71+V_12!B71</f>
        <v>40</v>
      </c>
      <c r="C71" s="39">
        <f>V_2!C71+V_4!C71+V_12!C71</f>
        <v>17</v>
      </c>
      <c r="D71" s="39">
        <f>V_2!D71+V_4!D71+V_12!D71</f>
        <v>4</v>
      </c>
      <c r="E71" s="39">
        <f>V_2!E71+V_4!E71+V_12!E71</f>
        <v>6</v>
      </c>
      <c r="F71" s="152">
        <f>V_2!F71+V_4!F71+V_12!F71</f>
        <v>7</v>
      </c>
      <c r="G71" s="154">
        <f t="shared" si="4"/>
        <v>74</v>
      </c>
      <c r="H71" s="44">
        <f>V_2!H71+V_4!H71+V_12!H71</f>
        <v>0</v>
      </c>
      <c r="I71" s="39">
        <f>V_2!I71+V_4!I71+V_12!I71</f>
        <v>0</v>
      </c>
      <c r="J71" s="39">
        <f>V_2!J71+V_4!J71+V_12!J71</f>
        <v>0</v>
      </c>
      <c r="K71" s="45">
        <f>V_2!K71+V_4!K71+V_12!K71</f>
        <v>0</v>
      </c>
      <c r="L71" s="140">
        <f>V_2!L71+V_4!L71+V_12!L71</f>
        <v>3</v>
      </c>
      <c r="M71" s="149">
        <f t="shared" si="1"/>
        <v>3</v>
      </c>
      <c r="N71" s="100">
        <f t="shared" si="2"/>
        <v>77</v>
      </c>
      <c r="O71" s="43">
        <f t="shared" si="3"/>
        <v>128</v>
      </c>
    </row>
    <row r="72" spans="1:15" ht="22.5" customHeight="1" x14ac:dyDescent="0.3">
      <c r="A72" s="149" t="s">
        <v>153</v>
      </c>
      <c r="B72" s="44">
        <f>V_2!B72+V_4!B72+V_12!B72</f>
        <v>40</v>
      </c>
      <c r="C72" s="39">
        <f>V_2!C72+V_4!C72+V_12!C72</f>
        <v>24</v>
      </c>
      <c r="D72" s="39">
        <f>V_2!D72+V_4!D72+V_12!D72</f>
        <v>11</v>
      </c>
      <c r="E72" s="39">
        <f>V_2!E72+V_4!E72+V_12!E72</f>
        <v>3</v>
      </c>
      <c r="F72" s="152">
        <f>V_2!F72+V_4!F72+V_12!F72</f>
        <v>5</v>
      </c>
      <c r="G72" s="154">
        <f t="shared" ref="G72:G103" si="5">SUM(B72:F72)</f>
        <v>83</v>
      </c>
      <c r="H72" s="44">
        <f>V_2!H72+V_4!H72+V_12!H72</f>
        <v>0</v>
      </c>
      <c r="I72" s="39">
        <f>V_2!I72+V_4!I72+V_12!I72</f>
        <v>0</v>
      </c>
      <c r="J72" s="39">
        <f>V_2!J72+V_4!J72+V_12!J72</f>
        <v>0</v>
      </c>
      <c r="K72" s="45">
        <f>V_2!K72+V_4!K72+V_12!K72</f>
        <v>0</v>
      </c>
      <c r="L72" s="140">
        <f>V_2!L72+V_4!L72+V_12!L72</f>
        <v>4</v>
      </c>
      <c r="M72" s="149">
        <f t="shared" si="1"/>
        <v>4</v>
      </c>
      <c r="N72" s="100">
        <f t="shared" si="2"/>
        <v>87</v>
      </c>
      <c r="O72" s="43">
        <f t="shared" si="3"/>
        <v>132</v>
      </c>
    </row>
    <row r="73" spans="1:15" ht="22.5" customHeight="1" x14ac:dyDescent="0.3">
      <c r="A73" s="149" t="s">
        <v>154</v>
      </c>
      <c r="B73" s="44">
        <f>V_2!B73+V_4!B73+V_12!B73</f>
        <v>51</v>
      </c>
      <c r="C73" s="39">
        <f>V_2!C73+V_4!C73+V_12!C73</f>
        <v>19</v>
      </c>
      <c r="D73" s="39">
        <f>V_2!D73+V_4!D73+V_12!D73</f>
        <v>7</v>
      </c>
      <c r="E73" s="39">
        <f>V_2!E73+V_4!E73+V_12!E73</f>
        <v>4</v>
      </c>
      <c r="F73" s="152">
        <f>V_2!F73+V_4!F73+V_12!F73</f>
        <v>2</v>
      </c>
      <c r="G73" s="154">
        <f t="shared" si="5"/>
        <v>83</v>
      </c>
      <c r="H73" s="44">
        <f>V_2!H73+V_4!H73+V_12!H73</f>
        <v>1</v>
      </c>
      <c r="I73" s="39">
        <f>V_2!I73+V_4!I73+V_12!I73</f>
        <v>0</v>
      </c>
      <c r="J73" s="39">
        <f>V_2!J73+V_4!J73+V_12!J73</f>
        <v>0</v>
      </c>
      <c r="K73" s="45">
        <f>V_2!K73+V_4!K73+V_12!K73</f>
        <v>0</v>
      </c>
      <c r="L73" s="140">
        <f>V_2!L73+V_4!L73+V_12!L73</f>
        <v>0</v>
      </c>
      <c r="M73" s="149">
        <f t="shared" ref="M73:M103" si="6">SUM(H73:L73)</f>
        <v>1</v>
      </c>
      <c r="N73" s="100">
        <f t="shared" ref="N73:N103" si="7">G73+M73</f>
        <v>84</v>
      </c>
      <c r="O73" s="43">
        <f t="shared" ref="O73:O103" si="8">B73*1+C73*0.5+D73*1.5+E73*3+F73*4.5+H73*0.5+I73*1.5+J73*3+K73*4+L73*8</f>
        <v>92.5</v>
      </c>
    </row>
    <row r="74" spans="1:15" ht="22.5" customHeight="1" x14ac:dyDescent="0.3">
      <c r="A74" s="149" t="s">
        <v>155</v>
      </c>
      <c r="B74" s="44">
        <f>V_2!B74+V_4!B74+V_12!B74</f>
        <v>47</v>
      </c>
      <c r="C74" s="39">
        <f>V_2!C74+V_4!C74+V_12!C74</f>
        <v>15</v>
      </c>
      <c r="D74" s="39">
        <f>V_2!D74+V_4!D74+V_12!D74</f>
        <v>4</v>
      </c>
      <c r="E74" s="39">
        <f>V_2!E74+V_4!E74+V_12!E74</f>
        <v>4</v>
      </c>
      <c r="F74" s="152">
        <f>V_2!F74+V_4!F74+V_12!F74</f>
        <v>2</v>
      </c>
      <c r="G74" s="154">
        <f t="shared" si="5"/>
        <v>72</v>
      </c>
      <c r="H74" s="44">
        <f>V_2!H74+V_4!H74+V_12!H74</f>
        <v>0</v>
      </c>
      <c r="I74" s="39">
        <f>V_2!I74+V_4!I74+V_12!I74</f>
        <v>0</v>
      </c>
      <c r="J74" s="39">
        <f>V_2!J74+V_4!J74+V_12!J74</f>
        <v>0</v>
      </c>
      <c r="K74" s="45">
        <f>V_2!K74+V_4!K74+V_12!K74</f>
        <v>0</v>
      </c>
      <c r="L74" s="140">
        <f>V_2!L74+V_4!L74+V_12!L74</f>
        <v>0</v>
      </c>
      <c r="M74" s="149">
        <f t="shared" si="6"/>
        <v>0</v>
      </c>
      <c r="N74" s="100">
        <f t="shared" si="7"/>
        <v>72</v>
      </c>
      <c r="O74" s="43">
        <f t="shared" si="8"/>
        <v>81.5</v>
      </c>
    </row>
    <row r="75" spans="1:15" ht="22.5" customHeight="1" x14ac:dyDescent="0.3">
      <c r="A75" s="149" t="s">
        <v>156</v>
      </c>
      <c r="B75" s="44">
        <f>V_2!B75+V_4!B75+V_12!B75</f>
        <v>30</v>
      </c>
      <c r="C75" s="39">
        <f>V_2!C75+V_4!C75+V_12!C75</f>
        <v>14</v>
      </c>
      <c r="D75" s="39">
        <f>V_2!D75+V_4!D75+V_12!D75</f>
        <v>7</v>
      </c>
      <c r="E75" s="39">
        <f>V_2!E75+V_4!E75+V_12!E75</f>
        <v>2</v>
      </c>
      <c r="F75" s="152">
        <f>V_2!F75+V_4!F75+V_12!F75</f>
        <v>4</v>
      </c>
      <c r="G75" s="154">
        <f t="shared" si="5"/>
        <v>57</v>
      </c>
      <c r="H75" s="44">
        <f>V_2!H75+V_4!H75+V_12!H75</f>
        <v>0</v>
      </c>
      <c r="I75" s="39">
        <f>V_2!I75+V_4!I75+V_12!I75</f>
        <v>0</v>
      </c>
      <c r="J75" s="39">
        <f>V_2!J75+V_4!J75+V_12!J75</f>
        <v>0</v>
      </c>
      <c r="K75" s="45">
        <f>V_2!K75+V_4!K75+V_12!K75</f>
        <v>0</v>
      </c>
      <c r="L75" s="140">
        <f>V_2!L75+V_4!L75+V_12!L75</f>
        <v>0</v>
      </c>
      <c r="M75" s="149">
        <f t="shared" si="6"/>
        <v>0</v>
      </c>
      <c r="N75" s="100">
        <f t="shared" si="7"/>
        <v>57</v>
      </c>
      <c r="O75" s="43">
        <f t="shared" si="8"/>
        <v>71.5</v>
      </c>
    </row>
    <row r="76" spans="1:15" ht="22.5" customHeight="1" x14ac:dyDescent="0.3">
      <c r="A76" s="149" t="s">
        <v>157</v>
      </c>
      <c r="B76" s="44">
        <f>V_2!B76+V_4!B76+V_12!B76</f>
        <v>27</v>
      </c>
      <c r="C76" s="39">
        <f>V_2!C76+V_4!C76+V_12!C76</f>
        <v>23</v>
      </c>
      <c r="D76" s="39">
        <f>V_2!D76+V_4!D76+V_12!D76</f>
        <v>5</v>
      </c>
      <c r="E76" s="39">
        <f>V_2!E76+V_4!E76+V_12!E76</f>
        <v>1</v>
      </c>
      <c r="F76" s="152">
        <f>V_2!F76+V_4!F76+V_12!F76</f>
        <v>3</v>
      </c>
      <c r="G76" s="154">
        <f t="shared" si="5"/>
        <v>59</v>
      </c>
      <c r="H76" s="44">
        <f>V_2!H76+V_4!H76+V_12!H76</f>
        <v>1</v>
      </c>
      <c r="I76" s="39">
        <f>V_2!I76+V_4!I76+V_12!I76</f>
        <v>0</v>
      </c>
      <c r="J76" s="39">
        <f>V_2!J76+V_4!J76+V_12!J76</f>
        <v>0</v>
      </c>
      <c r="K76" s="45">
        <f>V_2!K76+V_4!K76+V_12!K76</f>
        <v>0</v>
      </c>
      <c r="L76" s="140">
        <f>V_2!L76+V_4!L76+V_12!L76</f>
        <v>0</v>
      </c>
      <c r="M76" s="149">
        <f t="shared" si="6"/>
        <v>1</v>
      </c>
      <c r="N76" s="100">
        <f t="shared" si="7"/>
        <v>60</v>
      </c>
      <c r="O76" s="43">
        <f t="shared" si="8"/>
        <v>63</v>
      </c>
    </row>
    <row r="77" spans="1:15" ht="22.5" customHeight="1" x14ac:dyDescent="0.3">
      <c r="A77" s="149" t="s">
        <v>158</v>
      </c>
      <c r="B77" s="44">
        <f>V_2!B77+V_4!B77+V_12!B77</f>
        <v>22</v>
      </c>
      <c r="C77" s="39">
        <f>V_2!C77+V_4!C77+V_12!C77</f>
        <v>11</v>
      </c>
      <c r="D77" s="39">
        <f>V_2!D77+V_4!D77+V_12!D77</f>
        <v>2</v>
      </c>
      <c r="E77" s="39">
        <f>V_2!E77+V_4!E77+V_12!E77</f>
        <v>2</v>
      </c>
      <c r="F77" s="152">
        <f>V_2!F77+V_4!F77+V_12!F77</f>
        <v>0</v>
      </c>
      <c r="G77" s="154">
        <f t="shared" si="5"/>
        <v>37</v>
      </c>
      <c r="H77" s="44">
        <f>V_2!H77+V_4!H77+V_12!H77</f>
        <v>0</v>
      </c>
      <c r="I77" s="39">
        <f>V_2!I77+V_4!I77+V_12!I77</f>
        <v>0</v>
      </c>
      <c r="J77" s="39">
        <f>V_2!J77+V_4!J77+V_12!J77</f>
        <v>0</v>
      </c>
      <c r="K77" s="45">
        <f>V_2!K77+V_4!K77+V_12!K77</f>
        <v>0</v>
      </c>
      <c r="L77" s="140">
        <f>V_2!L77+V_4!L77+V_12!L77</f>
        <v>0</v>
      </c>
      <c r="M77" s="149">
        <f t="shared" si="6"/>
        <v>0</v>
      </c>
      <c r="N77" s="100">
        <f t="shared" si="7"/>
        <v>37</v>
      </c>
      <c r="O77" s="43">
        <f t="shared" si="8"/>
        <v>36.5</v>
      </c>
    </row>
    <row r="78" spans="1:15" ht="22.5" customHeight="1" x14ac:dyDescent="0.3">
      <c r="A78" s="149" t="s">
        <v>159</v>
      </c>
      <c r="B78" s="44">
        <f>V_2!B78+V_4!B78+V_12!B78</f>
        <v>21</v>
      </c>
      <c r="C78" s="39">
        <f>V_2!C78+V_4!C78+V_12!C78</f>
        <v>10</v>
      </c>
      <c r="D78" s="39">
        <f>V_2!D78+V_4!D78+V_12!D78</f>
        <v>2</v>
      </c>
      <c r="E78" s="39">
        <f>V_2!E78+V_4!E78+V_12!E78</f>
        <v>3</v>
      </c>
      <c r="F78" s="152">
        <f>V_2!F78+V_4!F78+V_12!F78</f>
        <v>3</v>
      </c>
      <c r="G78" s="154">
        <f t="shared" si="5"/>
        <v>39</v>
      </c>
      <c r="H78" s="44">
        <f>V_2!H78+V_4!H78+V_12!H78</f>
        <v>0</v>
      </c>
      <c r="I78" s="39">
        <f>V_2!I78+V_4!I78+V_12!I78</f>
        <v>0</v>
      </c>
      <c r="J78" s="39">
        <f>V_2!J78+V_4!J78+V_12!J78</f>
        <v>0</v>
      </c>
      <c r="K78" s="45">
        <f>V_2!K78+V_4!K78+V_12!K78</f>
        <v>0</v>
      </c>
      <c r="L78" s="140">
        <f>V_2!L78+V_4!L78+V_12!L78</f>
        <v>0</v>
      </c>
      <c r="M78" s="149">
        <f t="shared" si="6"/>
        <v>0</v>
      </c>
      <c r="N78" s="100">
        <f t="shared" si="7"/>
        <v>39</v>
      </c>
      <c r="O78" s="43">
        <f t="shared" si="8"/>
        <v>51.5</v>
      </c>
    </row>
    <row r="79" spans="1:15" ht="22.5" customHeight="1" x14ac:dyDescent="0.3">
      <c r="A79" s="149" t="s">
        <v>160</v>
      </c>
      <c r="B79" s="44">
        <f>V_2!B79+V_4!B79+V_12!B79</f>
        <v>17</v>
      </c>
      <c r="C79" s="39">
        <f>V_2!C79+V_4!C79+V_12!C79</f>
        <v>14</v>
      </c>
      <c r="D79" s="39">
        <f>V_2!D79+V_4!D79+V_12!D79</f>
        <v>2</v>
      </c>
      <c r="E79" s="39">
        <f>V_2!E79+V_4!E79+V_12!E79</f>
        <v>1</v>
      </c>
      <c r="F79" s="152">
        <f>V_2!F79+V_4!F79+V_12!F79</f>
        <v>4</v>
      </c>
      <c r="G79" s="154">
        <f t="shared" si="5"/>
        <v>38</v>
      </c>
      <c r="H79" s="44">
        <f>V_2!H79+V_4!H79+V_12!H79</f>
        <v>0</v>
      </c>
      <c r="I79" s="39">
        <f>V_2!I79+V_4!I79+V_12!I79</f>
        <v>0</v>
      </c>
      <c r="J79" s="39">
        <f>V_2!J79+V_4!J79+V_12!J79</f>
        <v>0</v>
      </c>
      <c r="K79" s="45">
        <f>V_2!K79+V_4!K79+V_12!K79</f>
        <v>0</v>
      </c>
      <c r="L79" s="140">
        <f>V_2!L79+V_4!L79+V_12!L79</f>
        <v>0</v>
      </c>
      <c r="M79" s="149">
        <f t="shared" si="6"/>
        <v>0</v>
      </c>
      <c r="N79" s="100">
        <f t="shared" si="7"/>
        <v>38</v>
      </c>
      <c r="O79" s="43">
        <f t="shared" si="8"/>
        <v>48</v>
      </c>
    </row>
    <row r="80" spans="1:15" ht="22.5" customHeight="1" x14ac:dyDescent="0.3">
      <c r="A80" s="149" t="s">
        <v>161</v>
      </c>
      <c r="B80" s="44">
        <f>V_2!B80+V_4!B80+V_12!B80</f>
        <v>5</v>
      </c>
      <c r="C80" s="39">
        <f>V_2!C80+V_4!C80+V_12!C80</f>
        <v>5</v>
      </c>
      <c r="D80" s="39">
        <f>V_2!D80+V_4!D80+V_12!D80</f>
        <v>2</v>
      </c>
      <c r="E80" s="39">
        <f>V_2!E80+V_4!E80+V_12!E80</f>
        <v>0</v>
      </c>
      <c r="F80" s="152">
        <f>V_2!F80+V_4!F80+V_12!F80</f>
        <v>2</v>
      </c>
      <c r="G80" s="154">
        <f t="shared" si="5"/>
        <v>14</v>
      </c>
      <c r="H80" s="44">
        <f>V_2!H80+V_4!H80+V_12!H80</f>
        <v>0</v>
      </c>
      <c r="I80" s="39">
        <f>V_2!I80+V_4!I80+V_12!I80</f>
        <v>0</v>
      </c>
      <c r="J80" s="39">
        <f>V_2!J80+V_4!J80+V_12!J80</f>
        <v>0</v>
      </c>
      <c r="K80" s="45">
        <f>V_2!K80+V_4!K80+V_12!K80</f>
        <v>0</v>
      </c>
      <c r="L80" s="140">
        <f>V_2!L80+V_4!L80+V_12!L80</f>
        <v>0</v>
      </c>
      <c r="M80" s="149">
        <f t="shared" si="6"/>
        <v>0</v>
      </c>
      <c r="N80" s="100">
        <f t="shared" si="7"/>
        <v>14</v>
      </c>
      <c r="O80" s="43">
        <f t="shared" si="8"/>
        <v>19.5</v>
      </c>
    </row>
    <row r="81" spans="1:15" ht="22.5" customHeight="1" x14ac:dyDescent="0.3">
      <c r="A81" s="149" t="s">
        <v>162</v>
      </c>
      <c r="B81" s="44">
        <f>V_2!B81+V_4!B81+V_12!B81</f>
        <v>14</v>
      </c>
      <c r="C81" s="39">
        <f>V_2!C81+V_4!C81+V_12!C81</f>
        <v>21</v>
      </c>
      <c r="D81" s="39">
        <f>V_2!D81+V_4!D81+V_12!D81</f>
        <v>1</v>
      </c>
      <c r="E81" s="39">
        <f>V_2!E81+V_4!E81+V_12!E81</f>
        <v>2</v>
      </c>
      <c r="F81" s="152">
        <f>V_2!F81+V_4!F81+V_12!F81</f>
        <v>1</v>
      </c>
      <c r="G81" s="154">
        <f t="shared" si="5"/>
        <v>39</v>
      </c>
      <c r="H81" s="44">
        <f>V_2!H81+V_4!H81+V_12!H81</f>
        <v>1</v>
      </c>
      <c r="I81" s="39">
        <f>V_2!I81+V_4!I81+V_12!I81</f>
        <v>0</v>
      </c>
      <c r="J81" s="39">
        <f>V_2!J81+V_4!J81+V_12!J81</f>
        <v>0</v>
      </c>
      <c r="K81" s="45">
        <f>V_2!K81+V_4!K81+V_12!K81</f>
        <v>0</v>
      </c>
      <c r="L81" s="140">
        <f>V_2!L81+V_4!L81+V_12!L81</f>
        <v>0</v>
      </c>
      <c r="M81" s="149">
        <f t="shared" si="6"/>
        <v>1</v>
      </c>
      <c r="N81" s="100">
        <f t="shared" si="7"/>
        <v>40</v>
      </c>
      <c r="O81" s="43">
        <f t="shared" si="8"/>
        <v>37</v>
      </c>
    </row>
    <row r="82" spans="1:15" ht="22.5" customHeight="1" x14ac:dyDescent="0.3">
      <c r="A82" s="149" t="s">
        <v>163</v>
      </c>
      <c r="B82" s="44">
        <f>V_2!B82+V_4!B82+V_12!B82</f>
        <v>15</v>
      </c>
      <c r="C82" s="39">
        <f>V_2!C82+V_4!C82+V_12!C82</f>
        <v>16</v>
      </c>
      <c r="D82" s="39">
        <f>V_2!D82+V_4!D82+V_12!D82</f>
        <v>3</v>
      </c>
      <c r="E82" s="39">
        <f>V_2!E82+V_4!E82+V_12!E82</f>
        <v>3</v>
      </c>
      <c r="F82" s="152">
        <f>V_2!F82+V_4!F82+V_12!F82</f>
        <v>6</v>
      </c>
      <c r="G82" s="154">
        <f t="shared" si="5"/>
        <v>43</v>
      </c>
      <c r="H82" s="44">
        <f>V_2!H82+V_4!H82+V_12!H82</f>
        <v>0</v>
      </c>
      <c r="I82" s="39">
        <f>V_2!I82+V_4!I82+V_12!I82</f>
        <v>0</v>
      </c>
      <c r="J82" s="39">
        <f>V_2!J82+V_4!J82+V_12!J82</f>
        <v>0</v>
      </c>
      <c r="K82" s="45">
        <f>V_2!K82+V_4!K82+V_12!K82</f>
        <v>0</v>
      </c>
      <c r="L82" s="140">
        <f>V_2!L82+V_4!L82+V_12!L82</f>
        <v>0</v>
      </c>
      <c r="M82" s="149">
        <f t="shared" si="6"/>
        <v>0</v>
      </c>
      <c r="N82" s="100">
        <f t="shared" si="7"/>
        <v>43</v>
      </c>
      <c r="O82" s="43">
        <f t="shared" si="8"/>
        <v>63.5</v>
      </c>
    </row>
    <row r="83" spans="1:15" ht="22.5" customHeight="1" x14ac:dyDescent="0.3">
      <c r="A83" s="149" t="s">
        <v>164</v>
      </c>
      <c r="B83" s="44">
        <f>V_2!B83+V_4!B83+V_12!B83</f>
        <v>8</v>
      </c>
      <c r="C83" s="39">
        <f>V_2!C83+V_4!C83+V_12!C83</f>
        <v>3</v>
      </c>
      <c r="D83" s="39">
        <f>V_2!D83+V_4!D83+V_12!D83</f>
        <v>3</v>
      </c>
      <c r="E83" s="39">
        <f>V_2!E83+V_4!E83+V_12!E83</f>
        <v>5</v>
      </c>
      <c r="F83" s="152">
        <f>V_2!F83+V_4!F83+V_12!F83</f>
        <v>3</v>
      </c>
      <c r="G83" s="154">
        <f t="shared" si="5"/>
        <v>22</v>
      </c>
      <c r="H83" s="44">
        <f>V_2!H83+V_4!H83+V_12!H83</f>
        <v>0</v>
      </c>
      <c r="I83" s="39">
        <f>V_2!I83+V_4!I83+V_12!I83</f>
        <v>0</v>
      </c>
      <c r="J83" s="39">
        <f>V_2!J83+V_4!J83+V_12!J83</f>
        <v>0</v>
      </c>
      <c r="K83" s="45">
        <f>V_2!K83+V_4!K83+V_12!K83</f>
        <v>0</v>
      </c>
      <c r="L83" s="140">
        <f>V_2!L83+V_4!L83+V_12!L83</f>
        <v>0</v>
      </c>
      <c r="M83" s="149">
        <f t="shared" si="6"/>
        <v>0</v>
      </c>
      <c r="N83" s="100">
        <f t="shared" si="7"/>
        <v>22</v>
      </c>
      <c r="O83" s="43">
        <f t="shared" si="8"/>
        <v>42.5</v>
      </c>
    </row>
    <row r="84" spans="1:15" ht="22.5" customHeight="1" x14ac:dyDescent="0.3">
      <c r="A84" s="149" t="s">
        <v>165</v>
      </c>
      <c r="B84" s="44">
        <f>V_2!B84+V_4!B84+V_12!B84</f>
        <v>11</v>
      </c>
      <c r="C84" s="39">
        <f>V_2!C84+V_4!C84+V_12!C84</f>
        <v>12</v>
      </c>
      <c r="D84" s="39">
        <f>V_2!D84+V_4!D84+V_12!D84</f>
        <v>1</v>
      </c>
      <c r="E84" s="39">
        <f>V_2!E84+V_4!E84+V_12!E84</f>
        <v>2</v>
      </c>
      <c r="F84" s="152">
        <f>V_2!F84+V_4!F84+V_12!F84</f>
        <v>4</v>
      </c>
      <c r="G84" s="154">
        <f t="shared" si="5"/>
        <v>30</v>
      </c>
      <c r="H84" s="44">
        <f>V_2!H84+V_4!H84+V_12!H84</f>
        <v>0</v>
      </c>
      <c r="I84" s="39">
        <f>V_2!I84+V_4!I84+V_12!I84</f>
        <v>0</v>
      </c>
      <c r="J84" s="39">
        <f>V_2!J84+V_4!J84+V_12!J84</f>
        <v>0</v>
      </c>
      <c r="K84" s="45">
        <f>V_2!K84+V_4!K84+V_12!K84</f>
        <v>0</v>
      </c>
      <c r="L84" s="140">
        <f>V_2!L84+V_4!L84+V_12!L84</f>
        <v>0</v>
      </c>
      <c r="M84" s="149">
        <f t="shared" si="6"/>
        <v>0</v>
      </c>
      <c r="N84" s="100">
        <f t="shared" si="7"/>
        <v>30</v>
      </c>
      <c r="O84" s="43">
        <f t="shared" si="8"/>
        <v>42.5</v>
      </c>
    </row>
    <row r="85" spans="1:15" ht="22.5" customHeight="1" x14ac:dyDescent="0.3">
      <c r="A85" s="149" t="s">
        <v>166</v>
      </c>
      <c r="B85" s="44">
        <f>V_2!B85+V_4!B85+V_12!B85</f>
        <v>11</v>
      </c>
      <c r="C85" s="39">
        <f>V_2!C85+V_4!C85+V_12!C85</f>
        <v>9</v>
      </c>
      <c r="D85" s="39">
        <f>V_2!D85+V_4!D85+V_12!D85</f>
        <v>1</v>
      </c>
      <c r="E85" s="39">
        <f>V_2!E85+V_4!E85+V_12!E85</f>
        <v>2</v>
      </c>
      <c r="F85" s="152">
        <f>V_2!F85+V_4!F85+V_12!F85</f>
        <v>2</v>
      </c>
      <c r="G85" s="154">
        <f t="shared" si="5"/>
        <v>25</v>
      </c>
      <c r="H85" s="44">
        <f>V_2!H85+V_4!H85+V_12!H85</f>
        <v>0</v>
      </c>
      <c r="I85" s="39">
        <f>V_2!I85+V_4!I85+V_12!I85</f>
        <v>0</v>
      </c>
      <c r="J85" s="39">
        <f>V_2!J85+V_4!J85+V_12!J85</f>
        <v>0</v>
      </c>
      <c r="K85" s="45">
        <f>V_2!K85+V_4!K85+V_12!K85</f>
        <v>0</v>
      </c>
      <c r="L85" s="140">
        <f>V_2!L85+V_4!L85+V_12!L85</f>
        <v>0</v>
      </c>
      <c r="M85" s="149">
        <f t="shared" si="6"/>
        <v>0</v>
      </c>
      <c r="N85" s="100">
        <f t="shared" si="7"/>
        <v>25</v>
      </c>
      <c r="O85" s="43">
        <f t="shared" si="8"/>
        <v>32</v>
      </c>
    </row>
    <row r="86" spans="1:15" ht="22.5" customHeight="1" x14ac:dyDescent="0.3">
      <c r="A86" s="149" t="s">
        <v>167</v>
      </c>
      <c r="B86" s="44">
        <f>V_2!B86+V_4!B86+V_12!B86</f>
        <v>15</v>
      </c>
      <c r="C86" s="39">
        <f>V_2!C86+V_4!C86+V_12!C86</f>
        <v>22</v>
      </c>
      <c r="D86" s="39">
        <f>V_2!D86+V_4!D86+V_12!D86</f>
        <v>3</v>
      </c>
      <c r="E86" s="39">
        <f>V_2!E86+V_4!E86+V_12!E86</f>
        <v>1</v>
      </c>
      <c r="F86" s="152">
        <f>V_2!F86+V_4!F86+V_12!F86</f>
        <v>5</v>
      </c>
      <c r="G86" s="154">
        <f t="shared" si="5"/>
        <v>46</v>
      </c>
      <c r="H86" s="44">
        <f>V_2!H86+V_4!H86+V_12!H86</f>
        <v>0</v>
      </c>
      <c r="I86" s="39">
        <f>V_2!I86+V_4!I86+V_12!I86</f>
        <v>0</v>
      </c>
      <c r="J86" s="39">
        <f>V_2!J86+V_4!J86+V_12!J86</f>
        <v>0</v>
      </c>
      <c r="K86" s="45">
        <f>V_2!K86+V_4!K86+V_12!K86</f>
        <v>0</v>
      </c>
      <c r="L86" s="140">
        <f>V_2!L86+V_4!L86+V_12!L86</f>
        <v>0</v>
      </c>
      <c r="M86" s="149">
        <f t="shared" si="6"/>
        <v>0</v>
      </c>
      <c r="N86" s="100">
        <f t="shared" si="7"/>
        <v>46</v>
      </c>
      <c r="O86" s="43">
        <f t="shared" si="8"/>
        <v>56</v>
      </c>
    </row>
    <row r="87" spans="1:15" ht="22.5" customHeight="1" x14ac:dyDescent="0.3">
      <c r="A87" s="149" t="s">
        <v>168</v>
      </c>
      <c r="B87" s="44">
        <f>V_2!B87+V_4!B87+V_12!B87</f>
        <v>15</v>
      </c>
      <c r="C87" s="39">
        <f>V_2!C87+V_4!C87+V_12!C87</f>
        <v>20</v>
      </c>
      <c r="D87" s="39">
        <f>V_2!D87+V_4!D87+V_12!D87</f>
        <v>0</v>
      </c>
      <c r="E87" s="39">
        <f>V_2!E87+V_4!E87+V_12!E87</f>
        <v>4</v>
      </c>
      <c r="F87" s="152">
        <f>V_2!F87+V_4!F87+V_12!F87</f>
        <v>3</v>
      </c>
      <c r="G87" s="154">
        <f t="shared" si="5"/>
        <v>42</v>
      </c>
      <c r="H87" s="44">
        <f>V_2!H87+V_4!H87+V_12!H87</f>
        <v>0</v>
      </c>
      <c r="I87" s="39">
        <f>V_2!I87+V_4!I87+V_12!I87</f>
        <v>0</v>
      </c>
      <c r="J87" s="39">
        <f>V_2!J87+V_4!J87+V_12!J87</f>
        <v>0</v>
      </c>
      <c r="K87" s="45">
        <f>V_2!K87+V_4!K87+V_12!K87</f>
        <v>0</v>
      </c>
      <c r="L87" s="140">
        <f>V_2!L87+V_4!L87+V_12!L87</f>
        <v>0</v>
      </c>
      <c r="M87" s="149">
        <f t="shared" si="6"/>
        <v>0</v>
      </c>
      <c r="N87" s="100">
        <f t="shared" si="7"/>
        <v>42</v>
      </c>
      <c r="O87" s="43">
        <f t="shared" si="8"/>
        <v>50.5</v>
      </c>
    </row>
    <row r="88" spans="1:15" ht="22.5" customHeight="1" x14ac:dyDescent="0.3">
      <c r="A88" s="149" t="s">
        <v>169</v>
      </c>
      <c r="B88" s="44">
        <f>V_2!B88+V_4!B88+V_12!B88</f>
        <v>23</v>
      </c>
      <c r="C88" s="39">
        <f>V_2!C88+V_4!C88+V_12!C88</f>
        <v>28</v>
      </c>
      <c r="D88" s="39">
        <f>V_2!D88+V_4!D88+V_12!D88</f>
        <v>4</v>
      </c>
      <c r="E88" s="39">
        <f>V_2!E88+V_4!E88+V_12!E88</f>
        <v>2</v>
      </c>
      <c r="F88" s="152">
        <f>V_2!F88+V_4!F88+V_12!F88</f>
        <v>2</v>
      </c>
      <c r="G88" s="154">
        <f t="shared" si="5"/>
        <v>59</v>
      </c>
      <c r="H88" s="44">
        <f>V_2!H88+V_4!H88+V_12!H88</f>
        <v>1</v>
      </c>
      <c r="I88" s="39">
        <f>V_2!I88+V_4!I88+V_12!I88</f>
        <v>0</v>
      </c>
      <c r="J88" s="39">
        <f>V_2!J88+V_4!J88+V_12!J88</f>
        <v>0</v>
      </c>
      <c r="K88" s="45">
        <f>V_2!K88+V_4!K88+V_12!K88</f>
        <v>0</v>
      </c>
      <c r="L88" s="140">
        <f>V_2!L88+V_4!L88+V_12!L88</f>
        <v>0</v>
      </c>
      <c r="M88" s="149">
        <f t="shared" si="6"/>
        <v>1</v>
      </c>
      <c r="N88" s="100">
        <f t="shared" si="7"/>
        <v>60</v>
      </c>
      <c r="O88" s="43">
        <f t="shared" si="8"/>
        <v>58.5</v>
      </c>
    </row>
    <row r="89" spans="1:15" ht="22.5" customHeight="1" x14ac:dyDescent="0.3">
      <c r="A89" s="149" t="s">
        <v>170</v>
      </c>
      <c r="B89" s="44">
        <f>V_2!B89+V_4!B89+V_12!B89</f>
        <v>14</v>
      </c>
      <c r="C89" s="39">
        <f>V_2!C89+V_4!C89+V_12!C89</f>
        <v>27</v>
      </c>
      <c r="D89" s="39">
        <f>V_2!D89+V_4!D89+V_12!D89</f>
        <v>5</v>
      </c>
      <c r="E89" s="39">
        <f>V_2!E89+V_4!E89+V_12!E89</f>
        <v>5</v>
      </c>
      <c r="F89" s="152">
        <f>V_2!F89+V_4!F89+V_12!F89</f>
        <v>6</v>
      </c>
      <c r="G89" s="154">
        <f t="shared" si="5"/>
        <v>57</v>
      </c>
      <c r="H89" s="44">
        <f>V_2!H89+V_4!H89+V_12!H89</f>
        <v>0</v>
      </c>
      <c r="I89" s="39">
        <f>V_2!I89+V_4!I89+V_12!I89</f>
        <v>0</v>
      </c>
      <c r="J89" s="39">
        <f>V_2!J89+V_4!J89+V_12!J89</f>
        <v>0</v>
      </c>
      <c r="K89" s="45">
        <f>V_2!K89+V_4!K89+V_12!K89</f>
        <v>0</v>
      </c>
      <c r="L89" s="140">
        <f>V_2!L89+V_4!L89+V_12!L89</f>
        <v>0</v>
      </c>
      <c r="M89" s="149">
        <f t="shared" si="6"/>
        <v>0</v>
      </c>
      <c r="N89" s="100">
        <f t="shared" si="7"/>
        <v>57</v>
      </c>
      <c r="O89" s="43">
        <f t="shared" si="8"/>
        <v>77</v>
      </c>
    </row>
    <row r="90" spans="1:15" ht="22.5" customHeight="1" x14ac:dyDescent="0.3">
      <c r="A90" s="149" t="s">
        <v>171</v>
      </c>
      <c r="B90" s="44">
        <f>V_2!B90+V_4!B90+V_12!B90</f>
        <v>23</v>
      </c>
      <c r="C90" s="39">
        <f>V_2!C90+V_4!C90+V_12!C90</f>
        <v>38</v>
      </c>
      <c r="D90" s="39">
        <f>V_2!D90+V_4!D90+V_12!D90</f>
        <v>11</v>
      </c>
      <c r="E90" s="39">
        <f>V_2!E90+V_4!E90+V_12!E90</f>
        <v>1</v>
      </c>
      <c r="F90" s="152">
        <f>V_2!F90+V_4!F90+V_12!F90</f>
        <v>7</v>
      </c>
      <c r="G90" s="154">
        <f t="shared" si="5"/>
        <v>80</v>
      </c>
      <c r="H90" s="44">
        <f>V_2!H90+V_4!H90+V_12!H90</f>
        <v>1</v>
      </c>
      <c r="I90" s="39">
        <f>V_2!I90+V_4!I90+V_12!I90</f>
        <v>0</v>
      </c>
      <c r="J90" s="39">
        <f>V_2!J90+V_4!J90+V_12!J90</f>
        <v>0</v>
      </c>
      <c r="K90" s="45">
        <f>V_2!K90+V_4!K90+V_12!K90</f>
        <v>0</v>
      </c>
      <c r="L90" s="140">
        <f>V_2!L90+V_4!L90+V_12!L90</f>
        <v>0</v>
      </c>
      <c r="M90" s="149">
        <f t="shared" si="6"/>
        <v>1</v>
      </c>
      <c r="N90" s="100">
        <f t="shared" si="7"/>
        <v>81</v>
      </c>
      <c r="O90" s="43">
        <f t="shared" si="8"/>
        <v>93.5</v>
      </c>
    </row>
    <row r="91" spans="1:15" ht="22.5" customHeight="1" x14ac:dyDescent="0.3">
      <c r="A91" s="149" t="s">
        <v>172</v>
      </c>
      <c r="B91" s="44">
        <f>V_2!B91+V_4!B91+V_12!B91</f>
        <v>24</v>
      </c>
      <c r="C91" s="39">
        <f>V_2!C91+V_4!C91+V_12!C91</f>
        <v>34</v>
      </c>
      <c r="D91" s="39">
        <f>V_2!D91+V_4!D91+V_12!D91</f>
        <v>3</v>
      </c>
      <c r="E91" s="39">
        <f>V_2!E91+V_4!E91+V_12!E91</f>
        <v>4</v>
      </c>
      <c r="F91" s="152">
        <f>V_2!F91+V_4!F91+V_12!F91</f>
        <v>4</v>
      </c>
      <c r="G91" s="154">
        <f t="shared" si="5"/>
        <v>69</v>
      </c>
      <c r="H91" s="44">
        <f>V_2!H91+V_4!H91+V_12!H91</f>
        <v>0</v>
      </c>
      <c r="I91" s="39">
        <f>V_2!I91+V_4!I91+V_12!I91</f>
        <v>0</v>
      </c>
      <c r="J91" s="39">
        <f>V_2!J91+V_4!J91+V_12!J91</f>
        <v>0</v>
      </c>
      <c r="K91" s="45">
        <f>V_2!K91+V_4!K91+V_12!K91</f>
        <v>0</v>
      </c>
      <c r="L91" s="140">
        <f>V_2!L91+V_4!L91+V_12!L91</f>
        <v>0</v>
      </c>
      <c r="M91" s="149">
        <f t="shared" si="6"/>
        <v>0</v>
      </c>
      <c r="N91" s="100">
        <f t="shared" si="7"/>
        <v>69</v>
      </c>
      <c r="O91" s="43">
        <f t="shared" si="8"/>
        <v>75.5</v>
      </c>
    </row>
    <row r="92" spans="1:15" ht="22.5" customHeight="1" x14ac:dyDescent="0.3">
      <c r="A92" s="149" t="s">
        <v>173</v>
      </c>
      <c r="B92" s="44">
        <f>V_2!B92+V_4!B92+V_12!B92</f>
        <v>29</v>
      </c>
      <c r="C92" s="39">
        <f>V_2!C92+V_4!C92+V_12!C92</f>
        <v>49</v>
      </c>
      <c r="D92" s="39">
        <f>V_2!D92+V_4!D92+V_12!D92</f>
        <v>3</v>
      </c>
      <c r="E92" s="39">
        <f>V_2!E92+V_4!E92+V_12!E92</f>
        <v>1</v>
      </c>
      <c r="F92" s="152">
        <f>V_2!F92+V_4!F92+V_12!F92</f>
        <v>9</v>
      </c>
      <c r="G92" s="154">
        <f t="shared" si="5"/>
        <v>91</v>
      </c>
      <c r="H92" s="44">
        <f>V_2!H92+V_4!H92+V_12!H92</f>
        <v>0</v>
      </c>
      <c r="I92" s="39">
        <f>V_2!I92+V_4!I92+V_12!I92</f>
        <v>0</v>
      </c>
      <c r="J92" s="39">
        <f>V_2!J92+V_4!J92+V_12!J92</f>
        <v>0</v>
      </c>
      <c r="K92" s="45">
        <f>V_2!K92+V_4!K92+V_12!K92</f>
        <v>0</v>
      </c>
      <c r="L92" s="140">
        <f>V_2!L92+V_4!L92+V_12!L92</f>
        <v>0</v>
      </c>
      <c r="M92" s="149">
        <f t="shared" si="6"/>
        <v>0</v>
      </c>
      <c r="N92" s="100">
        <f t="shared" si="7"/>
        <v>91</v>
      </c>
      <c r="O92" s="43">
        <f t="shared" si="8"/>
        <v>101.5</v>
      </c>
    </row>
    <row r="93" spans="1:15" ht="22.5" customHeight="1" x14ac:dyDescent="0.3">
      <c r="A93" s="149" t="s">
        <v>174</v>
      </c>
      <c r="B93" s="44">
        <f>V_2!B93+V_4!B93+V_12!B93</f>
        <v>40</v>
      </c>
      <c r="C93" s="39">
        <f>V_2!C93+V_4!C93+V_12!C93</f>
        <v>83</v>
      </c>
      <c r="D93" s="39">
        <f>V_2!D93+V_4!D93+V_12!D93</f>
        <v>3</v>
      </c>
      <c r="E93" s="39">
        <f>V_2!E93+V_4!E93+V_12!E93</f>
        <v>2</v>
      </c>
      <c r="F93" s="152">
        <f>V_2!F93+V_4!F93+V_12!F93</f>
        <v>3</v>
      </c>
      <c r="G93" s="154">
        <f t="shared" si="5"/>
        <v>131</v>
      </c>
      <c r="H93" s="44">
        <f>V_2!H93+V_4!H93+V_12!H93</f>
        <v>0</v>
      </c>
      <c r="I93" s="39">
        <f>V_2!I93+V_4!I93+V_12!I93</f>
        <v>0</v>
      </c>
      <c r="J93" s="39">
        <f>V_2!J93+V_4!J93+V_12!J93</f>
        <v>0</v>
      </c>
      <c r="K93" s="45">
        <f>V_2!K93+V_4!K93+V_12!K93</f>
        <v>0</v>
      </c>
      <c r="L93" s="140">
        <f>V_2!L93+V_4!L93+V_12!L93</f>
        <v>0</v>
      </c>
      <c r="M93" s="149">
        <f t="shared" si="6"/>
        <v>0</v>
      </c>
      <c r="N93" s="100">
        <f t="shared" si="7"/>
        <v>131</v>
      </c>
      <c r="O93" s="43">
        <f t="shared" si="8"/>
        <v>105.5</v>
      </c>
    </row>
    <row r="94" spans="1:15" ht="22.5" customHeight="1" x14ac:dyDescent="0.3">
      <c r="A94" s="149" t="s">
        <v>175</v>
      </c>
      <c r="B94" s="44">
        <f>V_2!B94+V_4!B94+V_12!B94</f>
        <v>70</v>
      </c>
      <c r="C94" s="39">
        <f>V_2!C94+V_4!C94+V_12!C94</f>
        <v>122</v>
      </c>
      <c r="D94" s="39">
        <f>V_2!D94+V_4!D94+V_12!D94</f>
        <v>5</v>
      </c>
      <c r="E94" s="39">
        <f>V_2!E94+V_4!E94+V_12!E94</f>
        <v>4</v>
      </c>
      <c r="F94" s="152">
        <f>V_2!F94+V_4!F94+V_12!F94</f>
        <v>13</v>
      </c>
      <c r="G94" s="154">
        <f t="shared" si="5"/>
        <v>214</v>
      </c>
      <c r="H94" s="44">
        <f>V_2!H94+V_4!H94+V_12!H94</f>
        <v>1</v>
      </c>
      <c r="I94" s="39">
        <f>V_2!I94+V_4!I94+V_12!I94</f>
        <v>0</v>
      </c>
      <c r="J94" s="39">
        <f>V_2!J94+V_4!J94+V_12!J94</f>
        <v>0</v>
      </c>
      <c r="K94" s="45">
        <f>V_2!K94+V_4!K94+V_12!K94</f>
        <v>0</v>
      </c>
      <c r="L94" s="140">
        <f>V_2!L94+V_4!L94+V_12!L94</f>
        <v>1</v>
      </c>
      <c r="M94" s="149">
        <f t="shared" si="6"/>
        <v>2</v>
      </c>
      <c r="N94" s="100">
        <f t="shared" si="7"/>
        <v>216</v>
      </c>
      <c r="O94" s="43">
        <f t="shared" si="8"/>
        <v>217.5</v>
      </c>
    </row>
    <row r="95" spans="1:15" ht="22.5" customHeight="1" x14ac:dyDescent="0.3">
      <c r="A95" s="149" t="s">
        <v>176</v>
      </c>
      <c r="B95" s="44">
        <f>V_2!B95+V_4!B95+V_12!B95</f>
        <v>97</v>
      </c>
      <c r="C95" s="39">
        <f>V_2!C95+V_4!C95+V_12!C95</f>
        <v>178</v>
      </c>
      <c r="D95" s="39">
        <f>V_2!D95+V_4!D95+V_12!D95</f>
        <v>3</v>
      </c>
      <c r="E95" s="39">
        <f>V_2!E95+V_4!E95+V_12!E95</f>
        <v>6</v>
      </c>
      <c r="F95" s="152">
        <f>V_2!F95+V_4!F95+V_12!F95</f>
        <v>11</v>
      </c>
      <c r="G95" s="154">
        <f t="shared" si="5"/>
        <v>295</v>
      </c>
      <c r="H95" s="44">
        <f>V_2!H95+V_4!H95+V_12!H95</f>
        <v>0</v>
      </c>
      <c r="I95" s="39">
        <f>V_2!I95+V_4!I95+V_12!I95</f>
        <v>0</v>
      </c>
      <c r="J95" s="39">
        <f>V_2!J95+V_4!J95+V_12!J95</f>
        <v>0</v>
      </c>
      <c r="K95" s="45">
        <f>V_2!K95+V_4!K95+V_12!K95</f>
        <v>0</v>
      </c>
      <c r="L95" s="140">
        <f>V_2!L95+V_4!L95+V_12!L95</f>
        <v>2</v>
      </c>
      <c r="M95" s="149">
        <f t="shared" si="6"/>
        <v>2</v>
      </c>
      <c r="N95" s="100">
        <f t="shared" si="7"/>
        <v>297</v>
      </c>
      <c r="O95" s="43">
        <f t="shared" si="8"/>
        <v>274</v>
      </c>
    </row>
    <row r="96" spans="1:15" ht="22.5" customHeight="1" x14ac:dyDescent="0.3">
      <c r="A96" s="149" t="s">
        <v>135</v>
      </c>
      <c r="B96" s="44">
        <f>V_2!B96+V_4!B96+V_12!B96</f>
        <v>111</v>
      </c>
      <c r="C96" s="39">
        <f>V_2!C96+V_4!C96+V_12!C96</f>
        <v>202</v>
      </c>
      <c r="D96" s="39">
        <f>V_2!D96+V_4!D96+V_12!D96</f>
        <v>3</v>
      </c>
      <c r="E96" s="39">
        <f>V_2!E96+V_4!E96+V_12!E96</f>
        <v>4</v>
      </c>
      <c r="F96" s="152">
        <f>V_2!F96+V_4!F96+V_12!F96</f>
        <v>11</v>
      </c>
      <c r="G96" s="154">
        <f t="shared" si="5"/>
        <v>331</v>
      </c>
      <c r="H96" s="44">
        <f>V_2!H96+V_4!H96+V_12!H96</f>
        <v>0</v>
      </c>
      <c r="I96" s="39">
        <f>V_2!I96+V_4!I96+V_12!I96</f>
        <v>0</v>
      </c>
      <c r="J96" s="39">
        <f>V_2!J96+V_4!J96+V_12!J96</f>
        <v>0</v>
      </c>
      <c r="K96" s="45">
        <f>V_2!K96+V_4!K96+V_12!K96</f>
        <v>0</v>
      </c>
      <c r="L96" s="140">
        <f>V_2!L96+V_4!L96+V_12!L96</f>
        <v>1</v>
      </c>
      <c r="M96" s="149">
        <f t="shared" si="6"/>
        <v>1</v>
      </c>
      <c r="N96" s="100">
        <f t="shared" si="7"/>
        <v>332</v>
      </c>
      <c r="O96" s="43">
        <f t="shared" si="8"/>
        <v>286</v>
      </c>
    </row>
    <row r="97" spans="1:15" ht="22.5" customHeight="1" x14ac:dyDescent="0.3">
      <c r="A97" s="149" t="s">
        <v>136</v>
      </c>
      <c r="B97" s="44">
        <f>V_2!B97+V_4!B97+V_12!B97</f>
        <v>138</v>
      </c>
      <c r="C97" s="39">
        <f>V_2!C97+V_4!C97+V_12!C97</f>
        <v>263</v>
      </c>
      <c r="D97" s="39">
        <f>V_2!D97+V_4!D97+V_12!D97</f>
        <v>6</v>
      </c>
      <c r="E97" s="39">
        <f>V_2!E97+V_4!E97+V_12!E97</f>
        <v>7</v>
      </c>
      <c r="F97" s="152">
        <f>V_2!F97+V_4!F97+V_12!F97</f>
        <v>9</v>
      </c>
      <c r="G97" s="154">
        <f t="shared" si="5"/>
        <v>423</v>
      </c>
      <c r="H97" s="44">
        <f>V_2!H97+V_4!H97+V_12!H97</f>
        <v>1</v>
      </c>
      <c r="I97" s="39">
        <f>V_2!I97+V_4!I97+V_12!I97</f>
        <v>0</v>
      </c>
      <c r="J97" s="39">
        <f>V_2!J97+V_4!J97+V_12!J97</f>
        <v>0</v>
      </c>
      <c r="K97" s="45">
        <f>V_2!K97+V_4!K97+V_12!K97</f>
        <v>0</v>
      </c>
      <c r="L97" s="140">
        <f>V_2!L97+V_4!L97+V_12!L97</f>
        <v>2</v>
      </c>
      <c r="M97" s="149">
        <f t="shared" si="6"/>
        <v>3</v>
      </c>
      <c r="N97" s="100">
        <f t="shared" si="7"/>
        <v>426</v>
      </c>
      <c r="O97" s="43">
        <f t="shared" si="8"/>
        <v>356.5</v>
      </c>
    </row>
    <row r="98" spans="1:15" ht="22.5" customHeight="1" x14ac:dyDescent="0.3">
      <c r="A98" s="149" t="s">
        <v>137</v>
      </c>
      <c r="B98" s="44">
        <f>V_2!B98+V_4!B98+V_12!B98</f>
        <v>197</v>
      </c>
      <c r="C98" s="39">
        <f>V_2!C98+V_4!C98+V_12!C98</f>
        <v>343</v>
      </c>
      <c r="D98" s="39">
        <f>V_2!D98+V_4!D98+V_12!D98</f>
        <v>7</v>
      </c>
      <c r="E98" s="39">
        <f>V_2!E98+V_4!E98+V_12!E98</f>
        <v>8</v>
      </c>
      <c r="F98" s="152">
        <f>V_2!F98+V_4!F98+V_12!F98</f>
        <v>10</v>
      </c>
      <c r="G98" s="154">
        <f t="shared" si="5"/>
        <v>565</v>
      </c>
      <c r="H98" s="44">
        <f>V_2!H98+V_4!H98+V_12!H98</f>
        <v>2</v>
      </c>
      <c r="I98" s="39">
        <f>V_2!I98+V_4!I98+V_12!I98</f>
        <v>0</v>
      </c>
      <c r="J98" s="39">
        <f>V_2!J98+V_4!J98+V_12!J98</f>
        <v>0</v>
      </c>
      <c r="K98" s="45">
        <f>V_2!K98+V_4!K98+V_12!K98</f>
        <v>0</v>
      </c>
      <c r="L98" s="140">
        <f>V_2!L98+V_4!L98+V_12!L98</f>
        <v>4</v>
      </c>
      <c r="M98" s="149">
        <f t="shared" si="6"/>
        <v>6</v>
      </c>
      <c r="N98" s="100">
        <f t="shared" si="7"/>
        <v>571</v>
      </c>
      <c r="O98" s="43">
        <f t="shared" si="8"/>
        <v>481</v>
      </c>
    </row>
    <row r="99" spans="1:15" ht="22.5" customHeight="1" x14ac:dyDescent="0.3">
      <c r="A99" s="149" t="s">
        <v>138</v>
      </c>
      <c r="B99" s="44">
        <f>V_2!B99+V_4!B99+V_12!B99</f>
        <v>206</v>
      </c>
      <c r="C99" s="39">
        <f>V_2!C99+V_4!C99+V_12!C99</f>
        <v>373</v>
      </c>
      <c r="D99" s="39">
        <f>V_2!D99+V_4!D99+V_12!D99</f>
        <v>7</v>
      </c>
      <c r="E99" s="39">
        <f>V_2!E99+V_4!E99+V_12!E99</f>
        <v>8</v>
      </c>
      <c r="F99" s="152">
        <f>V_2!F99+V_4!F99+V_12!F99</f>
        <v>5</v>
      </c>
      <c r="G99" s="154">
        <f t="shared" si="5"/>
        <v>599</v>
      </c>
      <c r="H99" s="44">
        <f>V_2!H99+V_4!H99+V_12!H99</f>
        <v>0</v>
      </c>
      <c r="I99" s="39">
        <f>V_2!I99+V_4!I99+V_12!I99</f>
        <v>0</v>
      </c>
      <c r="J99" s="39">
        <f>V_2!J99+V_4!J99+V_12!J99</f>
        <v>0</v>
      </c>
      <c r="K99" s="45">
        <f>V_2!K99+V_4!K99+V_12!K99</f>
        <v>0</v>
      </c>
      <c r="L99" s="140">
        <f>V_2!L99+V_4!L99+V_12!L99</f>
        <v>2</v>
      </c>
      <c r="M99" s="149">
        <f t="shared" si="6"/>
        <v>2</v>
      </c>
      <c r="N99" s="100">
        <f t="shared" si="7"/>
        <v>601</v>
      </c>
      <c r="O99" s="43">
        <f t="shared" si="8"/>
        <v>465.5</v>
      </c>
    </row>
    <row r="100" spans="1:15" ht="22.5" customHeight="1" x14ac:dyDescent="0.3">
      <c r="A100" s="149" t="s">
        <v>139</v>
      </c>
      <c r="B100" s="44">
        <f>V_2!B100+V_4!B100+V_12!B100</f>
        <v>215</v>
      </c>
      <c r="C100" s="39">
        <f>V_2!C100+V_4!C100+V_12!C100</f>
        <v>419</v>
      </c>
      <c r="D100" s="39">
        <f>V_2!D100+V_4!D100+V_12!D100</f>
        <v>9</v>
      </c>
      <c r="E100" s="39">
        <f>V_2!E100+V_4!E100+V_12!E100</f>
        <v>6</v>
      </c>
      <c r="F100" s="152">
        <f>V_2!F100+V_4!F100+V_12!F100</f>
        <v>6</v>
      </c>
      <c r="G100" s="154">
        <f t="shared" si="5"/>
        <v>655</v>
      </c>
      <c r="H100" s="44">
        <f>V_2!H100+V_4!H100+V_12!H100</f>
        <v>2</v>
      </c>
      <c r="I100" s="39">
        <f>V_2!I100+V_4!I100+V_12!I100</f>
        <v>0</v>
      </c>
      <c r="J100" s="39">
        <f>V_2!J100+V_4!J100+V_12!J100</f>
        <v>0</v>
      </c>
      <c r="K100" s="45">
        <f>V_2!K100+V_4!K100+V_12!K100</f>
        <v>0</v>
      </c>
      <c r="L100" s="140">
        <f>V_2!L100+V_4!L100+V_12!L100</f>
        <v>6</v>
      </c>
      <c r="M100" s="149">
        <f t="shared" si="6"/>
        <v>8</v>
      </c>
      <c r="N100" s="100">
        <f t="shared" si="7"/>
        <v>663</v>
      </c>
      <c r="O100" s="43">
        <f t="shared" si="8"/>
        <v>532</v>
      </c>
    </row>
    <row r="101" spans="1:15" ht="22.5" customHeight="1" x14ac:dyDescent="0.3">
      <c r="A101" s="149" t="s">
        <v>140</v>
      </c>
      <c r="B101" s="44">
        <f>V_2!B101+V_4!B101+V_12!B101</f>
        <v>276</v>
      </c>
      <c r="C101" s="39">
        <f>V_2!C101+V_4!C101+V_12!C101</f>
        <v>497</v>
      </c>
      <c r="D101" s="39">
        <f>V_2!D101+V_4!D101+V_12!D101</f>
        <v>7</v>
      </c>
      <c r="E101" s="39">
        <f>V_2!E101+V_4!E101+V_12!E101</f>
        <v>10</v>
      </c>
      <c r="F101" s="152">
        <f>V_2!F101+V_4!F101+V_12!F101</f>
        <v>6</v>
      </c>
      <c r="G101" s="154">
        <f t="shared" si="5"/>
        <v>796</v>
      </c>
      <c r="H101" s="44">
        <f>V_2!H101+V_4!H101+V_12!H101</f>
        <v>2</v>
      </c>
      <c r="I101" s="39">
        <f>V_2!I101+V_4!I101+V_12!I101</f>
        <v>0</v>
      </c>
      <c r="J101" s="39">
        <f>V_2!J101+V_4!J101+V_12!J101</f>
        <v>0</v>
      </c>
      <c r="K101" s="45">
        <f>V_2!K101+V_4!K101+V_12!K101</f>
        <v>0</v>
      </c>
      <c r="L101" s="140">
        <f>V_2!L101+V_4!L101+V_12!L101</f>
        <v>5</v>
      </c>
      <c r="M101" s="149">
        <f t="shared" si="6"/>
        <v>7</v>
      </c>
      <c r="N101" s="100">
        <f t="shared" si="7"/>
        <v>803</v>
      </c>
      <c r="O101" s="43">
        <f t="shared" si="8"/>
        <v>633</v>
      </c>
    </row>
    <row r="102" spans="1:15" ht="22.5" customHeight="1" x14ac:dyDescent="0.3">
      <c r="A102" s="149" t="s">
        <v>141</v>
      </c>
      <c r="B102" s="44">
        <f>V_2!B102+V_4!B102+V_12!B102</f>
        <v>302</v>
      </c>
      <c r="C102" s="39">
        <f>V_2!C102+V_4!C102+V_12!C102</f>
        <v>582</v>
      </c>
      <c r="D102" s="39">
        <f>V_2!D102+V_4!D102+V_12!D102</f>
        <v>9</v>
      </c>
      <c r="E102" s="39">
        <f>V_2!E102+V_4!E102+V_12!E102</f>
        <v>10</v>
      </c>
      <c r="F102" s="152">
        <f>V_2!F102+V_4!F102+V_12!F102</f>
        <v>12</v>
      </c>
      <c r="G102" s="154">
        <f t="shared" si="5"/>
        <v>915</v>
      </c>
      <c r="H102" s="44">
        <f>V_2!H102+V_4!H102+V_12!H102</f>
        <v>3</v>
      </c>
      <c r="I102" s="39">
        <f>V_2!I102+V_4!I102+V_12!I102</f>
        <v>0</v>
      </c>
      <c r="J102" s="39">
        <f>V_2!J102+V_4!J102+V_12!J102</f>
        <v>0</v>
      </c>
      <c r="K102" s="45">
        <f>V_2!K102+V_4!K102+V_12!K102</f>
        <v>0</v>
      </c>
      <c r="L102" s="140">
        <f>V_2!L102+V_4!L102+V_12!L102</f>
        <v>8</v>
      </c>
      <c r="M102" s="149">
        <f t="shared" si="6"/>
        <v>11</v>
      </c>
      <c r="N102" s="100">
        <f t="shared" si="7"/>
        <v>926</v>
      </c>
      <c r="O102" s="43">
        <f t="shared" si="8"/>
        <v>756</v>
      </c>
    </row>
    <row r="103" spans="1:15" ht="22.5" customHeight="1" thickBot="1" x14ac:dyDescent="0.35">
      <c r="A103" s="150" t="s">
        <v>142</v>
      </c>
      <c r="B103" s="46">
        <f>V_2!B103+V_4!B103+V_12!B103</f>
        <v>346</v>
      </c>
      <c r="C103" s="47">
        <f>V_2!C103+V_4!C103+V_12!C103</f>
        <v>638</v>
      </c>
      <c r="D103" s="47">
        <f>V_2!D103+V_4!D103+V_12!D103</f>
        <v>6</v>
      </c>
      <c r="E103" s="47">
        <f>V_2!E103+V_4!E103+V_12!E103</f>
        <v>13</v>
      </c>
      <c r="F103" s="153">
        <f>V_2!F103+V_4!F103+V_12!F103</f>
        <v>6</v>
      </c>
      <c r="G103" s="80">
        <f t="shared" si="5"/>
        <v>1009</v>
      </c>
      <c r="H103" s="46">
        <f>V_2!H103+V_4!H103+V_12!H103</f>
        <v>3</v>
      </c>
      <c r="I103" s="47">
        <f>V_2!I103+V_4!I103+V_12!I103</f>
        <v>0</v>
      </c>
      <c r="J103" s="47">
        <f>V_2!J103+V_4!J103+V_12!J103</f>
        <v>0</v>
      </c>
      <c r="K103" s="48">
        <f>V_2!K103+V_4!K103+V_12!K103</f>
        <v>0</v>
      </c>
      <c r="L103" s="141">
        <f>V_2!L103+V_4!L103+V_12!L103</f>
        <v>5</v>
      </c>
      <c r="M103" s="150">
        <f t="shared" si="6"/>
        <v>8</v>
      </c>
      <c r="N103" s="101">
        <f t="shared" si="7"/>
        <v>1017</v>
      </c>
      <c r="O103" s="84">
        <f t="shared" si="8"/>
        <v>781.5</v>
      </c>
    </row>
    <row r="104" spans="1:15" ht="22.5" customHeight="1" thickBot="1" x14ac:dyDescent="0.35">
      <c r="A104" s="41" t="s">
        <v>11</v>
      </c>
      <c r="B104" s="117">
        <f t="shared" ref="B104:N104" si="9">SUM(B8:B103)</f>
        <v>19191</v>
      </c>
      <c r="C104" s="117">
        <f t="shared" si="9"/>
        <v>13365</v>
      </c>
      <c r="D104" s="117">
        <f t="shared" si="9"/>
        <v>892</v>
      </c>
      <c r="E104" s="117">
        <f t="shared" si="9"/>
        <v>875</v>
      </c>
      <c r="F104" s="117">
        <f t="shared" si="9"/>
        <v>735</v>
      </c>
      <c r="G104" s="94">
        <f t="shared" si="9"/>
        <v>35058</v>
      </c>
      <c r="H104" s="117">
        <f t="shared" si="9"/>
        <v>29</v>
      </c>
      <c r="I104" s="117">
        <f t="shared" si="9"/>
        <v>0</v>
      </c>
      <c r="J104" s="117">
        <f t="shared" si="9"/>
        <v>3</v>
      </c>
      <c r="K104" s="118">
        <f t="shared" si="9"/>
        <v>0</v>
      </c>
      <c r="L104" s="118">
        <f t="shared" si="9"/>
        <v>313</v>
      </c>
      <c r="M104" s="94">
        <f>SUM(M8:M103)</f>
        <v>345</v>
      </c>
      <c r="N104" s="95">
        <f t="shared" si="9"/>
        <v>35403</v>
      </c>
      <c r="O104" s="142">
        <f>SUM(O8:O103)</f>
        <v>35671.5</v>
      </c>
    </row>
    <row r="105" spans="1:15" ht="22.5" customHeight="1" thickBot="1" x14ac:dyDescent="0.35">
      <c r="A105" s="41" t="s">
        <v>143</v>
      </c>
      <c r="B105" s="88">
        <f>+B104*1</f>
        <v>19191</v>
      </c>
      <c r="C105" s="88">
        <f>+C104*0.5</f>
        <v>6682.5</v>
      </c>
      <c r="D105" s="88">
        <f>+D104*1.5</f>
        <v>1338</v>
      </c>
      <c r="E105" s="88">
        <f>+E104*3</f>
        <v>2625</v>
      </c>
      <c r="F105" s="89">
        <f>+F104*4.5</f>
        <v>3307.5</v>
      </c>
      <c r="G105" s="90">
        <f>SUM(B105:F105)</f>
        <v>33144</v>
      </c>
      <c r="H105" s="88">
        <f>+H104*0.5</f>
        <v>14.5</v>
      </c>
      <c r="I105" s="89">
        <f>+I104*1.5</f>
        <v>0</v>
      </c>
      <c r="J105" s="89">
        <f>+J104*3</f>
        <v>9</v>
      </c>
      <c r="K105" s="96">
        <f>+K104*4</f>
        <v>0</v>
      </c>
      <c r="L105" s="96">
        <f>+L104*8</f>
        <v>2504</v>
      </c>
      <c r="M105" s="147">
        <f>SUM(H105:L105)</f>
        <v>2527.5</v>
      </c>
      <c r="N105" s="91"/>
      <c r="O105" s="92">
        <f>G105+M105</f>
        <v>35671.5</v>
      </c>
    </row>
    <row r="106" spans="1:15" ht="22.5" customHeight="1" thickBot="1" x14ac:dyDescent="0.35">
      <c r="A106" s="42" t="s">
        <v>12</v>
      </c>
      <c r="B106" s="93">
        <f t="shared" ref="B106:N106" si="10">B104/$N$104</f>
        <v>0.54207270570290655</v>
      </c>
      <c r="C106" s="93">
        <f t="shared" si="10"/>
        <v>0.37751038047623081</v>
      </c>
      <c r="D106" s="93">
        <f t="shared" si="10"/>
        <v>2.5195604892240771E-2</v>
      </c>
      <c r="E106" s="93">
        <f t="shared" si="10"/>
        <v>2.4715419597209277E-2</v>
      </c>
      <c r="F106" s="93">
        <f t="shared" si="10"/>
        <v>2.0760952461655793E-2</v>
      </c>
      <c r="G106" s="98">
        <f t="shared" si="10"/>
        <v>0.99025506313024325</v>
      </c>
      <c r="H106" s="93">
        <f t="shared" si="10"/>
        <v>8.191396209360789E-4</v>
      </c>
      <c r="I106" s="93">
        <f t="shared" si="10"/>
        <v>0</v>
      </c>
      <c r="J106" s="93">
        <f t="shared" si="10"/>
        <v>8.4738581476146083E-5</v>
      </c>
      <c r="K106" s="97">
        <f t="shared" si="10"/>
        <v>0</v>
      </c>
      <c r="L106" s="97">
        <f t="shared" si="10"/>
        <v>8.841058667344576E-3</v>
      </c>
      <c r="M106" s="98">
        <f t="shared" si="10"/>
        <v>9.7449368697568005E-3</v>
      </c>
      <c r="N106" s="99">
        <f t="shared" si="10"/>
        <v>1</v>
      </c>
      <c r="O106" s="94"/>
    </row>
    <row r="108" spans="1:15" s="4" customFormat="1" x14ac:dyDescent="0.3">
      <c r="A108" s="4" t="s">
        <v>103</v>
      </c>
      <c r="B108" s="4" t="str">
        <f>B2</f>
        <v>TMC-14 Number (D2)</v>
      </c>
    </row>
    <row r="109" spans="1:15" s="4" customFormat="1" x14ac:dyDescent="0.3">
      <c r="A109" s="4" t="s">
        <v>102</v>
      </c>
      <c r="B109" s="4" t="str">
        <f>B3</f>
        <v>D2</v>
      </c>
    </row>
    <row r="110" spans="1:15" s="4" customFormat="1" x14ac:dyDescent="0.3">
      <c r="A110" s="4" t="s">
        <v>104</v>
      </c>
      <c r="B110" s="4" t="str">
        <f>B4</f>
        <v>Chomu Pulia</v>
      </c>
    </row>
    <row r="111" spans="1:15" ht="16.2" thickBot="1" x14ac:dyDescent="0.35"/>
    <row r="112" spans="1:15" ht="25.2" customHeight="1" x14ac:dyDescent="0.3">
      <c r="A112" s="252" t="s">
        <v>95</v>
      </c>
      <c r="B112" s="258" t="s">
        <v>280</v>
      </c>
      <c r="C112" s="254" t="s">
        <v>281</v>
      </c>
      <c r="D112" s="250" t="s">
        <v>282</v>
      </c>
      <c r="E112" s="260" t="s">
        <v>283</v>
      </c>
      <c r="F112" s="256" t="s">
        <v>284</v>
      </c>
      <c r="G112" s="250" t="s">
        <v>129</v>
      </c>
      <c r="H112" s="248" t="s">
        <v>150</v>
      </c>
      <c r="I112" s="250" t="s">
        <v>151</v>
      </c>
      <c r="J112" s="250" t="s">
        <v>285</v>
      </c>
      <c r="K112" s="248" t="s">
        <v>286</v>
      </c>
      <c r="L112" s="250" t="s">
        <v>287</v>
      </c>
      <c r="M112" s="250" t="s">
        <v>78</v>
      </c>
      <c r="N112" s="250" t="s">
        <v>131</v>
      </c>
      <c r="O112" s="250" t="s">
        <v>132</v>
      </c>
    </row>
    <row r="113" spans="1:15" ht="16.2" thickBot="1" x14ac:dyDescent="0.35">
      <c r="A113" s="253"/>
      <c r="B113" s="259"/>
      <c r="C113" s="255"/>
      <c r="D113" s="251"/>
      <c r="E113" s="261"/>
      <c r="F113" s="257"/>
      <c r="G113" s="259"/>
      <c r="H113" s="249"/>
      <c r="I113" s="251"/>
      <c r="J113" s="251"/>
      <c r="K113" s="249"/>
      <c r="L113" s="251"/>
      <c r="M113" s="251"/>
      <c r="N113" s="251"/>
      <c r="O113" s="251"/>
    </row>
    <row r="114" spans="1:15" ht="22.95" customHeight="1" x14ac:dyDescent="0.3">
      <c r="A114" s="52" t="s">
        <v>15</v>
      </c>
      <c r="B114" s="112">
        <f t="shared" ref="B114:M114" si="11">B8+B9+B10+B11</f>
        <v>1052</v>
      </c>
      <c r="C114" s="113">
        <f t="shared" si="11"/>
        <v>1121</v>
      </c>
      <c r="D114" s="113">
        <f t="shared" si="11"/>
        <v>25</v>
      </c>
      <c r="E114" s="113">
        <f t="shared" si="11"/>
        <v>43</v>
      </c>
      <c r="F114" s="113">
        <f t="shared" si="11"/>
        <v>43</v>
      </c>
      <c r="G114" s="49">
        <f>G8+G9+G10+G11</f>
        <v>2284</v>
      </c>
      <c r="H114" s="112">
        <f t="shared" si="11"/>
        <v>4</v>
      </c>
      <c r="I114" s="113">
        <f t="shared" ref="I114:L114" si="12">I8+I9+I10+I11</f>
        <v>0</v>
      </c>
      <c r="J114" s="113">
        <f t="shared" si="12"/>
        <v>0</v>
      </c>
      <c r="K114" s="114">
        <f t="shared" si="12"/>
        <v>0</v>
      </c>
      <c r="L114" s="143">
        <f t="shared" si="12"/>
        <v>36</v>
      </c>
      <c r="M114" s="49">
        <f t="shared" si="11"/>
        <v>40</v>
      </c>
      <c r="N114" s="40">
        <f>G114+M114</f>
        <v>2324</v>
      </c>
      <c r="O114" s="115">
        <f>B114*1+C114*0.5+D114*1.5+E114*3+F114*4.5+H114*0.5+I114*1.5+J114*3+K114*4+L114*8</f>
        <v>2262.5</v>
      </c>
    </row>
    <row r="115" spans="1:15" ht="22.95" customHeight="1" x14ac:dyDescent="0.3">
      <c r="A115" s="52" t="s">
        <v>16</v>
      </c>
      <c r="B115" s="44">
        <f t="shared" ref="B115:M115" si="13">B9+B10+B11+B12</f>
        <v>1102</v>
      </c>
      <c r="C115" s="39">
        <f t="shared" si="13"/>
        <v>1166</v>
      </c>
      <c r="D115" s="39">
        <f t="shared" si="13"/>
        <v>23</v>
      </c>
      <c r="E115" s="39">
        <f t="shared" si="13"/>
        <v>43</v>
      </c>
      <c r="F115" s="39">
        <f t="shared" si="13"/>
        <v>36</v>
      </c>
      <c r="G115" s="50">
        <f t="shared" si="13"/>
        <v>2370</v>
      </c>
      <c r="H115" s="44">
        <f t="shared" si="13"/>
        <v>3</v>
      </c>
      <c r="I115" s="39">
        <f t="shared" si="13"/>
        <v>0</v>
      </c>
      <c r="J115" s="39">
        <f t="shared" si="13"/>
        <v>0</v>
      </c>
      <c r="K115" s="45">
        <f t="shared" si="13"/>
        <v>0</v>
      </c>
      <c r="L115" s="144">
        <f t="shared" si="13"/>
        <v>41</v>
      </c>
      <c r="M115" s="50">
        <f t="shared" si="13"/>
        <v>44</v>
      </c>
      <c r="N115" s="40">
        <f t="shared" ref="N115:N178" si="14">G115+M115</f>
        <v>2414</v>
      </c>
      <c r="O115" s="43">
        <f t="shared" ref="O115:O178" si="15">B115*1+C115*0.5+D115*1.5+E115*3+F115*4.5+H115*0.5+I115*1.5+J115*3+K115*4+L115*8</f>
        <v>2340</v>
      </c>
    </row>
    <row r="116" spans="1:15" ht="22.95" customHeight="1" x14ac:dyDescent="0.3">
      <c r="A116" s="52" t="s">
        <v>17</v>
      </c>
      <c r="B116" s="44">
        <f t="shared" ref="B116:M116" si="16">B10+B11+B12+B13</f>
        <v>1155</v>
      </c>
      <c r="C116" s="39">
        <f t="shared" si="16"/>
        <v>1290</v>
      </c>
      <c r="D116" s="39">
        <f t="shared" si="16"/>
        <v>29</v>
      </c>
      <c r="E116" s="39">
        <f t="shared" si="16"/>
        <v>41</v>
      </c>
      <c r="F116" s="39">
        <f t="shared" si="16"/>
        <v>39</v>
      </c>
      <c r="G116" s="50">
        <f t="shared" si="16"/>
        <v>2554</v>
      </c>
      <c r="H116" s="44">
        <f t="shared" si="16"/>
        <v>3</v>
      </c>
      <c r="I116" s="39">
        <f t="shared" si="16"/>
        <v>0</v>
      </c>
      <c r="J116" s="39">
        <f t="shared" si="16"/>
        <v>0</v>
      </c>
      <c r="K116" s="45">
        <f t="shared" si="16"/>
        <v>0</v>
      </c>
      <c r="L116" s="144">
        <f t="shared" si="16"/>
        <v>48</v>
      </c>
      <c r="M116" s="50">
        <f t="shared" si="16"/>
        <v>51</v>
      </c>
      <c r="N116" s="40">
        <f t="shared" si="14"/>
        <v>2605</v>
      </c>
      <c r="O116" s="43">
        <f t="shared" si="15"/>
        <v>2527.5</v>
      </c>
    </row>
    <row r="117" spans="1:15" ht="22.95" customHeight="1" x14ac:dyDescent="0.3">
      <c r="A117" s="52" t="s">
        <v>18</v>
      </c>
      <c r="B117" s="44">
        <f t="shared" ref="B117:M117" si="17">B11+B12+B13+B14</f>
        <v>1332</v>
      </c>
      <c r="C117" s="39">
        <f t="shared" si="17"/>
        <v>1483</v>
      </c>
      <c r="D117" s="39">
        <f t="shared" si="17"/>
        <v>32</v>
      </c>
      <c r="E117" s="39">
        <f t="shared" si="17"/>
        <v>33</v>
      </c>
      <c r="F117" s="39">
        <f t="shared" si="17"/>
        <v>35</v>
      </c>
      <c r="G117" s="50">
        <f t="shared" si="17"/>
        <v>2915</v>
      </c>
      <c r="H117" s="44">
        <f t="shared" si="17"/>
        <v>4</v>
      </c>
      <c r="I117" s="39">
        <f t="shared" si="17"/>
        <v>0</v>
      </c>
      <c r="J117" s="39">
        <f t="shared" si="17"/>
        <v>0</v>
      </c>
      <c r="K117" s="45">
        <f t="shared" si="17"/>
        <v>0</v>
      </c>
      <c r="L117" s="144">
        <f t="shared" si="17"/>
        <v>55</v>
      </c>
      <c r="M117" s="50">
        <f t="shared" si="17"/>
        <v>59</v>
      </c>
      <c r="N117" s="40">
        <f t="shared" si="14"/>
        <v>2974</v>
      </c>
      <c r="O117" s="43">
        <f t="shared" si="15"/>
        <v>2820</v>
      </c>
    </row>
    <row r="118" spans="1:15" ht="22.95" customHeight="1" x14ac:dyDescent="0.3">
      <c r="A118" s="52" t="s">
        <v>19</v>
      </c>
      <c r="B118" s="44">
        <f t="shared" ref="B118:M118" si="18">B12+B13+B14+B15</f>
        <v>1532</v>
      </c>
      <c r="C118" s="39">
        <f t="shared" si="18"/>
        <v>1570</v>
      </c>
      <c r="D118" s="39">
        <f t="shared" si="18"/>
        <v>44</v>
      </c>
      <c r="E118" s="39">
        <f t="shared" si="18"/>
        <v>52</v>
      </c>
      <c r="F118" s="39">
        <f t="shared" si="18"/>
        <v>30</v>
      </c>
      <c r="G118" s="50">
        <f t="shared" si="18"/>
        <v>3228</v>
      </c>
      <c r="H118" s="44">
        <f t="shared" si="18"/>
        <v>4</v>
      </c>
      <c r="I118" s="39">
        <f t="shared" si="18"/>
        <v>0</v>
      </c>
      <c r="J118" s="39">
        <f t="shared" si="18"/>
        <v>0</v>
      </c>
      <c r="K118" s="45">
        <f t="shared" si="18"/>
        <v>0</v>
      </c>
      <c r="L118" s="144">
        <f t="shared" si="18"/>
        <v>44</v>
      </c>
      <c r="M118" s="50">
        <f t="shared" si="18"/>
        <v>48</v>
      </c>
      <c r="N118" s="40">
        <f t="shared" si="14"/>
        <v>3276</v>
      </c>
      <c r="O118" s="43">
        <f t="shared" si="15"/>
        <v>3028</v>
      </c>
    </row>
    <row r="119" spans="1:15" ht="22.95" customHeight="1" x14ac:dyDescent="0.3">
      <c r="A119" s="52" t="s">
        <v>20</v>
      </c>
      <c r="B119" s="44">
        <f t="shared" ref="B119:M119" si="19">B13+B14+B15+B16</f>
        <v>1642</v>
      </c>
      <c r="C119" s="39">
        <f t="shared" si="19"/>
        <v>1606</v>
      </c>
      <c r="D119" s="39">
        <f t="shared" si="19"/>
        <v>55</v>
      </c>
      <c r="E119" s="39">
        <f t="shared" si="19"/>
        <v>62</v>
      </c>
      <c r="F119" s="39">
        <f t="shared" si="19"/>
        <v>42</v>
      </c>
      <c r="G119" s="50">
        <f t="shared" si="19"/>
        <v>3407</v>
      </c>
      <c r="H119" s="44">
        <f t="shared" si="19"/>
        <v>3</v>
      </c>
      <c r="I119" s="39">
        <f t="shared" si="19"/>
        <v>0</v>
      </c>
      <c r="J119" s="39">
        <f t="shared" si="19"/>
        <v>0</v>
      </c>
      <c r="K119" s="45">
        <f t="shared" si="19"/>
        <v>0</v>
      </c>
      <c r="L119" s="144">
        <f t="shared" si="19"/>
        <v>33</v>
      </c>
      <c r="M119" s="50">
        <f t="shared" si="19"/>
        <v>36</v>
      </c>
      <c r="N119" s="40">
        <f t="shared" si="14"/>
        <v>3443</v>
      </c>
      <c r="O119" s="43">
        <f t="shared" si="15"/>
        <v>3168</v>
      </c>
    </row>
    <row r="120" spans="1:15" ht="22.95" customHeight="1" x14ac:dyDescent="0.3">
      <c r="A120" s="52" t="s">
        <v>21</v>
      </c>
      <c r="B120" s="44">
        <f t="shared" ref="B120:M120" si="20">B14+B15+B16+B17</f>
        <v>1715</v>
      </c>
      <c r="C120" s="39">
        <f t="shared" si="20"/>
        <v>1520</v>
      </c>
      <c r="D120" s="39">
        <f t="shared" si="20"/>
        <v>61</v>
      </c>
      <c r="E120" s="39">
        <f t="shared" si="20"/>
        <v>71</v>
      </c>
      <c r="F120" s="39">
        <f t="shared" si="20"/>
        <v>42</v>
      </c>
      <c r="G120" s="50">
        <f t="shared" si="20"/>
        <v>3409</v>
      </c>
      <c r="H120" s="44">
        <f t="shared" si="20"/>
        <v>2</v>
      </c>
      <c r="I120" s="39">
        <f t="shared" si="20"/>
        <v>0</v>
      </c>
      <c r="J120" s="39">
        <f t="shared" si="20"/>
        <v>0</v>
      </c>
      <c r="K120" s="45">
        <f t="shared" si="20"/>
        <v>0</v>
      </c>
      <c r="L120" s="144">
        <f t="shared" si="20"/>
        <v>23</v>
      </c>
      <c r="M120" s="50">
        <f t="shared" si="20"/>
        <v>25</v>
      </c>
      <c r="N120" s="40">
        <f t="shared" si="14"/>
        <v>3434</v>
      </c>
      <c r="O120" s="43">
        <f t="shared" si="15"/>
        <v>3153.5</v>
      </c>
    </row>
    <row r="121" spans="1:15" ht="22.95" customHeight="1" x14ac:dyDescent="0.3">
      <c r="A121" s="52" t="s">
        <v>22</v>
      </c>
      <c r="B121" s="44">
        <f t="shared" ref="B121:M121" si="21">B15+B16+B17+B18</f>
        <v>1633</v>
      </c>
      <c r="C121" s="39">
        <f t="shared" si="21"/>
        <v>1253</v>
      </c>
      <c r="D121" s="39">
        <f t="shared" si="21"/>
        <v>61</v>
      </c>
      <c r="E121" s="39">
        <f t="shared" si="21"/>
        <v>81</v>
      </c>
      <c r="F121" s="39">
        <f t="shared" si="21"/>
        <v>45</v>
      </c>
      <c r="G121" s="50">
        <f t="shared" si="21"/>
        <v>3073</v>
      </c>
      <c r="H121" s="44">
        <f t="shared" si="21"/>
        <v>0</v>
      </c>
      <c r="I121" s="39">
        <f t="shared" si="21"/>
        <v>0</v>
      </c>
      <c r="J121" s="39">
        <f t="shared" si="21"/>
        <v>0</v>
      </c>
      <c r="K121" s="45">
        <f t="shared" si="21"/>
        <v>0</v>
      </c>
      <c r="L121" s="144">
        <f t="shared" si="21"/>
        <v>11</v>
      </c>
      <c r="M121" s="50">
        <f t="shared" si="21"/>
        <v>11</v>
      </c>
      <c r="N121" s="40">
        <f t="shared" si="14"/>
        <v>3084</v>
      </c>
      <c r="O121" s="43">
        <f t="shared" si="15"/>
        <v>2884.5</v>
      </c>
    </row>
    <row r="122" spans="1:15" ht="22.95" customHeight="1" x14ac:dyDescent="0.3">
      <c r="A122" s="52" t="s">
        <v>23</v>
      </c>
      <c r="B122" s="44">
        <f t="shared" ref="B122:M122" si="22">B16+B17+B18+B19</f>
        <v>1541</v>
      </c>
      <c r="C122" s="39">
        <f t="shared" si="22"/>
        <v>1100</v>
      </c>
      <c r="D122" s="39">
        <f t="shared" si="22"/>
        <v>59</v>
      </c>
      <c r="E122" s="39">
        <f t="shared" si="22"/>
        <v>65</v>
      </c>
      <c r="F122" s="39">
        <f t="shared" si="22"/>
        <v>50</v>
      </c>
      <c r="G122" s="50">
        <f t="shared" si="22"/>
        <v>2815</v>
      </c>
      <c r="H122" s="44">
        <f t="shared" si="22"/>
        <v>0</v>
      </c>
      <c r="I122" s="39">
        <f t="shared" si="22"/>
        <v>0</v>
      </c>
      <c r="J122" s="39">
        <f t="shared" si="22"/>
        <v>0</v>
      </c>
      <c r="K122" s="45">
        <f t="shared" si="22"/>
        <v>0</v>
      </c>
      <c r="L122" s="144">
        <f t="shared" si="22"/>
        <v>16</v>
      </c>
      <c r="M122" s="50">
        <f t="shared" si="22"/>
        <v>16</v>
      </c>
      <c r="N122" s="40">
        <f t="shared" si="14"/>
        <v>2831</v>
      </c>
      <c r="O122" s="43">
        <f t="shared" si="15"/>
        <v>2727.5</v>
      </c>
    </row>
    <row r="123" spans="1:15" ht="22.95" customHeight="1" x14ac:dyDescent="0.3">
      <c r="A123" s="52" t="s">
        <v>24</v>
      </c>
      <c r="B123" s="44">
        <f t="shared" ref="B123:M123" si="23">B17+B18+B19+B20</f>
        <v>1462</v>
      </c>
      <c r="C123" s="39">
        <f t="shared" si="23"/>
        <v>914</v>
      </c>
      <c r="D123" s="39">
        <f t="shared" si="23"/>
        <v>60</v>
      </c>
      <c r="E123" s="39">
        <f t="shared" si="23"/>
        <v>57</v>
      </c>
      <c r="F123" s="39">
        <f t="shared" si="23"/>
        <v>45</v>
      </c>
      <c r="G123" s="50">
        <f t="shared" si="23"/>
        <v>2538</v>
      </c>
      <c r="H123" s="44">
        <f t="shared" si="23"/>
        <v>0</v>
      </c>
      <c r="I123" s="39">
        <f t="shared" si="23"/>
        <v>0</v>
      </c>
      <c r="J123" s="39">
        <f t="shared" si="23"/>
        <v>0</v>
      </c>
      <c r="K123" s="45">
        <f t="shared" si="23"/>
        <v>0</v>
      </c>
      <c r="L123" s="144">
        <f t="shared" si="23"/>
        <v>18</v>
      </c>
      <c r="M123" s="50">
        <f t="shared" si="23"/>
        <v>18</v>
      </c>
      <c r="N123" s="40">
        <f t="shared" si="14"/>
        <v>2556</v>
      </c>
      <c r="O123" s="43">
        <f t="shared" si="15"/>
        <v>2526.5</v>
      </c>
    </row>
    <row r="124" spans="1:15" ht="22.95" customHeight="1" x14ac:dyDescent="0.3">
      <c r="A124" s="52" t="s">
        <v>25</v>
      </c>
      <c r="B124" s="44">
        <f t="shared" ref="B124:M124" si="24">B18+B19+B20+B21</f>
        <v>1476</v>
      </c>
      <c r="C124" s="39">
        <f t="shared" si="24"/>
        <v>954</v>
      </c>
      <c r="D124" s="39">
        <f t="shared" si="24"/>
        <v>59</v>
      </c>
      <c r="E124" s="39">
        <f t="shared" si="24"/>
        <v>55</v>
      </c>
      <c r="F124" s="39">
        <f t="shared" si="24"/>
        <v>42</v>
      </c>
      <c r="G124" s="50">
        <f t="shared" si="24"/>
        <v>2586</v>
      </c>
      <c r="H124" s="44">
        <f t="shared" si="24"/>
        <v>1</v>
      </c>
      <c r="I124" s="39">
        <f t="shared" si="24"/>
        <v>0</v>
      </c>
      <c r="J124" s="39">
        <f t="shared" si="24"/>
        <v>0</v>
      </c>
      <c r="K124" s="45">
        <f t="shared" si="24"/>
        <v>0</v>
      </c>
      <c r="L124" s="144">
        <f t="shared" si="24"/>
        <v>20</v>
      </c>
      <c r="M124" s="50">
        <f t="shared" si="24"/>
        <v>21</v>
      </c>
      <c r="N124" s="40">
        <f t="shared" si="14"/>
        <v>2607</v>
      </c>
      <c r="O124" s="43">
        <f t="shared" si="15"/>
        <v>2556</v>
      </c>
    </row>
    <row r="125" spans="1:15" ht="22.95" customHeight="1" x14ac:dyDescent="0.3">
      <c r="A125" s="52" t="s">
        <v>26</v>
      </c>
      <c r="B125" s="44">
        <f t="shared" ref="B125:M125" si="25">B19+B20+B21+B22</f>
        <v>1442</v>
      </c>
      <c r="C125" s="39">
        <f t="shared" si="25"/>
        <v>882</v>
      </c>
      <c r="D125" s="39">
        <f t="shared" si="25"/>
        <v>57</v>
      </c>
      <c r="E125" s="39">
        <f t="shared" si="25"/>
        <v>55</v>
      </c>
      <c r="F125" s="39">
        <f t="shared" si="25"/>
        <v>35</v>
      </c>
      <c r="G125" s="50">
        <f t="shared" si="25"/>
        <v>2471</v>
      </c>
      <c r="H125" s="44">
        <f t="shared" si="25"/>
        <v>1</v>
      </c>
      <c r="I125" s="39">
        <f t="shared" si="25"/>
        <v>0</v>
      </c>
      <c r="J125" s="39">
        <f t="shared" si="25"/>
        <v>0</v>
      </c>
      <c r="K125" s="45">
        <f t="shared" si="25"/>
        <v>0</v>
      </c>
      <c r="L125" s="144">
        <f t="shared" si="25"/>
        <v>22</v>
      </c>
      <c r="M125" s="50">
        <f t="shared" si="25"/>
        <v>23</v>
      </c>
      <c r="N125" s="40">
        <f t="shared" si="14"/>
        <v>2494</v>
      </c>
      <c r="O125" s="43">
        <f t="shared" si="15"/>
        <v>2467.5</v>
      </c>
    </row>
    <row r="126" spans="1:15" ht="22.95" customHeight="1" x14ac:dyDescent="0.3">
      <c r="A126" s="52" t="s">
        <v>27</v>
      </c>
      <c r="B126" s="44">
        <f t="shared" ref="B126:M126" si="26">B20+B21+B22+B23</f>
        <v>1433</v>
      </c>
      <c r="C126" s="39">
        <f t="shared" si="26"/>
        <v>835</v>
      </c>
      <c r="D126" s="39">
        <f t="shared" si="26"/>
        <v>49</v>
      </c>
      <c r="E126" s="39">
        <f t="shared" si="26"/>
        <v>51</v>
      </c>
      <c r="F126" s="39">
        <f t="shared" si="26"/>
        <v>43</v>
      </c>
      <c r="G126" s="50">
        <f t="shared" si="26"/>
        <v>2411</v>
      </c>
      <c r="H126" s="44">
        <f t="shared" si="26"/>
        <v>1</v>
      </c>
      <c r="I126" s="39">
        <f t="shared" si="26"/>
        <v>0</v>
      </c>
      <c r="J126" s="39">
        <f t="shared" si="26"/>
        <v>0</v>
      </c>
      <c r="K126" s="45">
        <f t="shared" si="26"/>
        <v>0</v>
      </c>
      <c r="L126" s="144">
        <f t="shared" si="26"/>
        <v>19</v>
      </c>
      <c r="M126" s="50">
        <f t="shared" si="26"/>
        <v>20</v>
      </c>
      <c r="N126" s="40">
        <f t="shared" si="14"/>
        <v>2431</v>
      </c>
      <c r="O126" s="43">
        <f t="shared" si="15"/>
        <v>2423</v>
      </c>
    </row>
    <row r="127" spans="1:15" ht="22.95" customHeight="1" x14ac:dyDescent="0.3">
      <c r="A127" s="52" t="s">
        <v>28</v>
      </c>
      <c r="B127" s="44">
        <f t="shared" ref="B127:M127" si="27">B21+B22+B23+B24</f>
        <v>1395</v>
      </c>
      <c r="C127" s="39">
        <f t="shared" si="27"/>
        <v>832</v>
      </c>
      <c r="D127" s="39">
        <f t="shared" si="27"/>
        <v>42</v>
      </c>
      <c r="E127" s="39">
        <f t="shared" si="27"/>
        <v>49</v>
      </c>
      <c r="F127" s="39">
        <f t="shared" si="27"/>
        <v>53</v>
      </c>
      <c r="G127" s="50">
        <f t="shared" si="27"/>
        <v>2371</v>
      </c>
      <c r="H127" s="44">
        <f t="shared" si="27"/>
        <v>1</v>
      </c>
      <c r="I127" s="39">
        <f t="shared" si="27"/>
        <v>0</v>
      </c>
      <c r="J127" s="39">
        <f t="shared" si="27"/>
        <v>0</v>
      </c>
      <c r="K127" s="45">
        <f t="shared" si="27"/>
        <v>0</v>
      </c>
      <c r="L127" s="144">
        <f t="shared" si="27"/>
        <v>20</v>
      </c>
      <c r="M127" s="50">
        <f t="shared" si="27"/>
        <v>21</v>
      </c>
      <c r="N127" s="40">
        <f t="shared" si="14"/>
        <v>2392</v>
      </c>
      <c r="O127" s="43">
        <f t="shared" si="15"/>
        <v>2420</v>
      </c>
    </row>
    <row r="128" spans="1:15" ht="22.95" customHeight="1" x14ac:dyDescent="0.3">
      <c r="A128" s="52" t="s">
        <v>29</v>
      </c>
      <c r="B128" s="44">
        <f t="shared" ref="B128:M128" si="28">B22+B23+B24+B25</f>
        <v>1308</v>
      </c>
      <c r="C128" s="39">
        <f t="shared" si="28"/>
        <v>600</v>
      </c>
      <c r="D128" s="39">
        <f t="shared" si="28"/>
        <v>42</v>
      </c>
      <c r="E128" s="39">
        <f t="shared" si="28"/>
        <v>45</v>
      </c>
      <c r="F128" s="39">
        <f t="shared" si="28"/>
        <v>66</v>
      </c>
      <c r="G128" s="50">
        <f t="shared" si="28"/>
        <v>2061</v>
      </c>
      <c r="H128" s="44">
        <f t="shared" si="28"/>
        <v>0</v>
      </c>
      <c r="I128" s="39">
        <f t="shared" si="28"/>
        <v>0</v>
      </c>
      <c r="J128" s="39">
        <f t="shared" si="28"/>
        <v>0</v>
      </c>
      <c r="K128" s="45">
        <f t="shared" si="28"/>
        <v>0</v>
      </c>
      <c r="L128" s="144">
        <f t="shared" si="28"/>
        <v>18</v>
      </c>
      <c r="M128" s="50">
        <f t="shared" si="28"/>
        <v>18</v>
      </c>
      <c r="N128" s="40">
        <f t="shared" si="14"/>
        <v>2079</v>
      </c>
      <c r="O128" s="43">
        <f t="shared" si="15"/>
        <v>2247</v>
      </c>
    </row>
    <row r="129" spans="1:15" ht="22.95" customHeight="1" x14ac:dyDescent="0.3">
      <c r="A129" s="52" t="s">
        <v>30</v>
      </c>
      <c r="B129" s="44">
        <f t="shared" ref="B129:M129" si="29">B23+B24+B25+B26</f>
        <v>1279</v>
      </c>
      <c r="C129" s="39">
        <f t="shared" si="29"/>
        <v>562</v>
      </c>
      <c r="D129" s="39">
        <f t="shared" si="29"/>
        <v>48</v>
      </c>
      <c r="E129" s="39">
        <f t="shared" si="29"/>
        <v>46</v>
      </c>
      <c r="F129" s="39">
        <f t="shared" si="29"/>
        <v>69</v>
      </c>
      <c r="G129" s="50">
        <f t="shared" si="29"/>
        <v>2004</v>
      </c>
      <c r="H129" s="44">
        <f t="shared" si="29"/>
        <v>0</v>
      </c>
      <c r="I129" s="39">
        <f t="shared" si="29"/>
        <v>0</v>
      </c>
      <c r="J129" s="39">
        <f t="shared" si="29"/>
        <v>0</v>
      </c>
      <c r="K129" s="45">
        <f t="shared" si="29"/>
        <v>0</v>
      </c>
      <c r="L129" s="144">
        <f t="shared" si="29"/>
        <v>16</v>
      </c>
      <c r="M129" s="50">
        <f t="shared" si="29"/>
        <v>16</v>
      </c>
      <c r="N129" s="40">
        <f t="shared" si="14"/>
        <v>2020</v>
      </c>
      <c r="O129" s="43">
        <f t="shared" si="15"/>
        <v>2208.5</v>
      </c>
    </row>
    <row r="130" spans="1:15" ht="22.95" customHeight="1" x14ac:dyDescent="0.3">
      <c r="A130" s="52" t="s">
        <v>31</v>
      </c>
      <c r="B130" s="44">
        <f t="shared" ref="B130:M130" si="30">B24+B25+B26+B27</f>
        <v>1188</v>
      </c>
      <c r="C130" s="39">
        <f t="shared" si="30"/>
        <v>519</v>
      </c>
      <c r="D130" s="39">
        <f t="shared" si="30"/>
        <v>59</v>
      </c>
      <c r="E130" s="39">
        <f t="shared" si="30"/>
        <v>56</v>
      </c>
      <c r="F130" s="39">
        <f t="shared" si="30"/>
        <v>72</v>
      </c>
      <c r="G130" s="50">
        <f t="shared" si="30"/>
        <v>1894</v>
      </c>
      <c r="H130" s="44">
        <f t="shared" si="30"/>
        <v>0</v>
      </c>
      <c r="I130" s="39">
        <f t="shared" si="30"/>
        <v>0</v>
      </c>
      <c r="J130" s="39">
        <f t="shared" si="30"/>
        <v>0</v>
      </c>
      <c r="K130" s="45">
        <f t="shared" si="30"/>
        <v>0</v>
      </c>
      <c r="L130" s="144">
        <f t="shared" si="30"/>
        <v>16</v>
      </c>
      <c r="M130" s="50">
        <f t="shared" si="30"/>
        <v>16</v>
      </c>
      <c r="N130" s="40">
        <f t="shared" si="14"/>
        <v>1910</v>
      </c>
      <c r="O130" s="43">
        <f t="shared" si="15"/>
        <v>2156</v>
      </c>
    </row>
    <row r="131" spans="1:15" ht="22.95" customHeight="1" x14ac:dyDescent="0.3">
      <c r="A131" s="52" t="s">
        <v>32</v>
      </c>
      <c r="B131" s="44">
        <f t="shared" ref="B131:M131" si="31">B25+B26+B27+B28</f>
        <v>1179</v>
      </c>
      <c r="C131" s="39">
        <f t="shared" si="31"/>
        <v>518</v>
      </c>
      <c r="D131" s="39">
        <f t="shared" si="31"/>
        <v>66</v>
      </c>
      <c r="E131" s="39">
        <f t="shared" si="31"/>
        <v>62</v>
      </c>
      <c r="F131" s="39">
        <f t="shared" si="31"/>
        <v>67</v>
      </c>
      <c r="G131" s="50">
        <f t="shared" si="31"/>
        <v>1892</v>
      </c>
      <c r="H131" s="44">
        <f t="shared" si="31"/>
        <v>0</v>
      </c>
      <c r="I131" s="39">
        <f t="shared" si="31"/>
        <v>0</v>
      </c>
      <c r="J131" s="39">
        <f t="shared" si="31"/>
        <v>0</v>
      </c>
      <c r="K131" s="45">
        <f t="shared" si="31"/>
        <v>0</v>
      </c>
      <c r="L131" s="144">
        <f t="shared" si="31"/>
        <v>13</v>
      </c>
      <c r="M131" s="50">
        <f t="shared" si="31"/>
        <v>13</v>
      </c>
      <c r="N131" s="40">
        <f t="shared" si="14"/>
        <v>1905</v>
      </c>
      <c r="O131" s="43">
        <f t="shared" si="15"/>
        <v>2128.5</v>
      </c>
    </row>
    <row r="132" spans="1:15" ht="22.95" customHeight="1" x14ac:dyDescent="0.3">
      <c r="A132" s="52" t="s">
        <v>33</v>
      </c>
      <c r="B132" s="44">
        <f t="shared" ref="B132:M132" si="32">B26+B27+B28+B29</f>
        <v>1145</v>
      </c>
      <c r="C132" s="39">
        <f t="shared" si="32"/>
        <v>568</v>
      </c>
      <c r="D132" s="39">
        <f t="shared" si="32"/>
        <v>67</v>
      </c>
      <c r="E132" s="39">
        <f t="shared" si="32"/>
        <v>59</v>
      </c>
      <c r="F132" s="39">
        <f t="shared" si="32"/>
        <v>61</v>
      </c>
      <c r="G132" s="50">
        <f t="shared" si="32"/>
        <v>1900</v>
      </c>
      <c r="H132" s="44">
        <f t="shared" si="32"/>
        <v>0</v>
      </c>
      <c r="I132" s="39">
        <f t="shared" si="32"/>
        <v>0</v>
      </c>
      <c r="J132" s="39">
        <f t="shared" si="32"/>
        <v>0</v>
      </c>
      <c r="K132" s="45">
        <f t="shared" si="32"/>
        <v>0</v>
      </c>
      <c r="L132" s="144">
        <f t="shared" si="32"/>
        <v>9</v>
      </c>
      <c r="M132" s="50">
        <f t="shared" si="32"/>
        <v>9</v>
      </c>
      <c r="N132" s="40">
        <f t="shared" si="14"/>
        <v>1909</v>
      </c>
      <c r="O132" s="43">
        <f t="shared" si="15"/>
        <v>2053</v>
      </c>
    </row>
    <row r="133" spans="1:15" ht="22.95" customHeight="1" x14ac:dyDescent="0.3">
      <c r="A133" s="52" t="s">
        <v>34</v>
      </c>
      <c r="B133" s="44">
        <f t="shared" ref="B133:M133" si="33">B27+B28+B29+B30</f>
        <v>1136</v>
      </c>
      <c r="C133" s="39">
        <f t="shared" si="33"/>
        <v>618</v>
      </c>
      <c r="D133" s="39">
        <f t="shared" si="33"/>
        <v>71</v>
      </c>
      <c r="E133" s="39">
        <f t="shared" si="33"/>
        <v>49</v>
      </c>
      <c r="F133" s="39">
        <f t="shared" si="33"/>
        <v>56</v>
      </c>
      <c r="G133" s="50">
        <f t="shared" si="33"/>
        <v>1930</v>
      </c>
      <c r="H133" s="44">
        <f t="shared" si="33"/>
        <v>0</v>
      </c>
      <c r="I133" s="39">
        <f t="shared" si="33"/>
        <v>0</v>
      </c>
      <c r="J133" s="39">
        <f t="shared" si="33"/>
        <v>0</v>
      </c>
      <c r="K133" s="45">
        <f t="shared" si="33"/>
        <v>0</v>
      </c>
      <c r="L133" s="144">
        <f t="shared" si="33"/>
        <v>8</v>
      </c>
      <c r="M133" s="50">
        <f t="shared" si="33"/>
        <v>8</v>
      </c>
      <c r="N133" s="40">
        <f t="shared" si="14"/>
        <v>1938</v>
      </c>
      <c r="O133" s="43">
        <f t="shared" si="15"/>
        <v>2014.5</v>
      </c>
    </row>
    <row r="134" spans="1:15" ht="22.95" customHeight="1" x14ac:dyDescent="0.3">
      <c r="A134" s="52" t="s">
        <v>35</v>
      </c>
      <c r="B134" s="44">
        <f t="shared" ref="B134:M134" si="34">B28+B29+B30+B31</f>
        <v>1168</v>
      </c>
      <c r="C134" s="39">
        <f t="shared" si="34"/>
        <v>642</v>
      </c>
      <c r="D134" s="39">
        <f t="shared" si="34"/>
        <v>70</v>
      </c>
      <c r="E134" s="39">
        <f t="shared" si="34"/>
        <v>42</v>
      </c>
      <c r="F134" s="39">
        <f t="shared" si="34"/>
        <v>52</v>
      </c>
      <c r="G134" s="50">
        <f t="shared" si="34"/>
        <v>1974</v>
      </c>
      <c r="H134" s="44">
        <f t="shared" si="34"/>
        <v>0</v>
      </c>
      <c r="I134" s="39">
        <f t="shared" si="34"/>
        <v>0</v>
      </c>
      <c r="J134" s="39">
        <f t="shared" si="34"/>
        <v>0</v>
      </c>
      <c r="K134" s="45">
        <f t="shared" si="34"/>
        <v>0</v>
      </c>
      <c r="L134" s="144">
        <f t="shared" si="34"/>
        <v>6</v>
      </c>
      <c r="M134" s="50">
        <f t="shared" si="34"/>
        <v>6</v>
      </c>
      <c r="N134" s="40">
        <f t="shared" si="14"/>
        <v>1980</v>
      </c>
      <c r="O134" s="43">
        <f t="shared" si="15"/>
        <v>2002</v>
      </c>
    </row>
    <row r="135" spans="1:15" ht="22.95" customHeight="1" x14ac:dyDescent="0.3">
      <c r="A135" s="52" t="s">
        <v>36</v>
      </c>
      <c r="B135" s="44">
        <f t="shared" ref="B135:M135" si="35">B29+B30+B31+B32</f>
        <v>1157</v>
      </c>
      <c r="C135" s="39">
        <f t="shared" si="35"/>
        <v>568</v>
      </c>
      <c r="D135" s="39">
        <f t="shared" si="35"/>
        <v>71</v>
      </c>
      <c r="E135" s="39">
        <f t="shared" si="35"/>
        <v>39</v>
      </c>
      <c r="F135" s="39">
        <f t="shared" si="35"/>
        <v>49</v>
      </c>
      <c r="G135" s="50">
        <f t="shared" si="35"/>
        <v>1884</v>
      </c>
      <c r="H135" s="44">
        <f t="shared" si="35"/>
        <v>0</v>
      </c>
      <c r="I135" s="39">
        <f t="shared" si="35"/>
        <v>0</v>
      </c>
      <c r="J135" s="39">
        <f t="shared" si="35"/>
        <v>0</v>
      </c>
      <c r="K135" s="45">
        <f t="shared" si="35"/>
        <v>0</v>
      </c>
      <c r="L135" s="144">
        <f t="shared" si="35"/>
        <v>8</v>
      </c>
      <c r="M135" s="50">
        <f t="shared" si="35"/>
        <v>8</v>
      </c>
      <c r="N135" s="40">
        <f t="shared" si="14"/>
        <v>1892</v>
      </c>
      <c r="O135" s="43">
        <f t="shared" si="15"/>
        <v>1949</v>
      </c>
    </row>
    <row r="136" spans="1:15" ht="22.95" customHeight="1" x14ac:dyDescent="0.3">
      <c r="A136" s="52" t="s">
        <v>37</v>
      </c>
      <c r="B136" s="44">
        <f t="shared" ref="B136:M136" si="36">B30+B31+B32+B33</f>
        <v>1079</v>
      </c>
      <c r="C136" s="39">
        <f t="shared" si="36"/>
        <v>512</v>
      </c>
      <c r="D136" s="39">
        <f t="shared" si="36"/>
        <v>72</v>
      </c>
      <c r="E136" s="39">
        <f t="shared" si="36"/>
        <v>47</v>
      </c>
      <c r="F136" s="39">
        <f t="shared" si="36"/>
        <v>46</v>
      </c>
      <c r="G136" s="50">
        <f t="shared" si="36"/>
        <v>1756</v>
      </c>
      <c r="H136" s="44">
        <f t="shared" si="36"/>
        <v>0</v>
      </c>
      <c r="I136" s="39">
        <f t="shared" si="36"/>
        <v>0</v>
      </c>
      <c r="J136" s="39">
        <f t="shared" si="36"/>
        <v>0</v>
      </c>
      <c r="K136" s="45">
        <f t="shared" si="36"/>
        <v>0</v>
      </c>
      <c r="L136" s="144">
        <f t="shared" si="36"/>
        <v>10</v>
      </c>
      <c r="M136" s="50">
        <f t="shared" si="36"/>
        <v>10</v>
      </c>
      <c r="N136" s="40">
        <f t="shared" si="14"/>
        <v>1766</v>
      </c>
      <c r="O136" s="43">
        <f t="shared" si="15"/>
        <v>1871</v>
      </c>
    </row>
    <row r="137" spans="1:15" ht="22.95" customHeight="1" x14ac:dyDescent="0.3">
      <c r="A137" s="52" t="s">
        <v>38</v>
      </c>
      <c r="B137" s="44">
        <f t="shared" ref="B137:M137" si="37">B31+B32+B33+B34</f>
        <v>1047</v>
      </c>
      <c r="C137" s="39">
        <f t="shared" si="37"/>
        <v>473</v>
      </c>
      <c r="D137" s="39">
        <f t="shared" si="37"/>
        <v>70</v>
      </c>
      <c r="E137" s="39">
        <f t="shared" si="37"/>
        <v>51</v>
      </c>
      <c r="F137" s="39">
        <f t="shared" si="37"/>
        <v>51</v>
      </c>
      <c r="G137" s="50">
        <f t="shared" si="37"/>
        <v>1692</v>
      </c>
      <c r="H137" s="44">
        <f t="shared" si="37"/>
        <v>0</v>
      </c>
      <c r="I137" s="39">
        <f t="shared" si="37"/>
        <v>0</v>
      </c>
      <c r="J137" s="39">
        <f t="shared" si="37"/>
        <v>0</v>
      </c>
      <c r="K137" s="45">
        <f t="shared" si="37"/>
        <v>0</v>
      </c>
      <c r="L137" s="144">
        <f t="shared" si="37"/>
        <v>9</v>
      </c>
      <c r="M137" s="50">
        <f t="shared" si="37"/>
        <v>9</v>
      </c>
      <c r="N137" s="40">
        <f t="shared" si="14"/>
        <v>1701</v>
      </c>
      <c r="O137" s="43">
        <f t="shared" si="15"/>
        <v>1843</v>
      </c>
    </row>
    <row r="138" spans="1:15" ht="22.95" customHeight="1" x14ac:dyDescent="0.3">
      <c r="A138" s="52" t="s">
        <v>39</v>
      </c>
      <c r="B138" s="44">
        <f t="shared" ref="B138:M138" si="38">B32+B33+B34+B35</f>
        <v>1026</v>
      </c>
      <c r="C138" s="39">
        <f t="shared" si="38"/>
        <v>465</v>
      </c>
      <c r="D138" s="39">
        <f t="shared" si="38"/>
        <v>71</v>
      </c>
      <c r="E138" s="39">
        <f t="shared" si="38"/>
        <v>53</v>
      </c>
      <c r="F138" s="39">
        <f t="shared" si="38"/>
        <v>41</v>
      </c>
      <c r="G138" s="50">
        <f t="shared" si="38"/>
        <v>1656</v>
      </c>
      <c r="H138" s="44">
        <f t="shared" si="38"/>
        <v>0</v>
      </c>
      <c r="I138" s="39">
        <f t="shared" si="38"/>
        <v>0</v>
      </c>
      <c r="J138" s="39">
        <f t="shared" si="38"/>
        <v>0</v>
      </c>
      <c r="K138" s="45">
        <f t="shared" si="38"/>
        <v>0</v>
      </c>
      <c r="L138" s="144">
        <f t="shared" si="38"/>
        <v>13</v>
      </c>
      <c r="M138" s="50">
        <f t="shared" si="38"/>
        <v>13</v>
      </c>
      <c r="N138" s="40">
        <f t="shared" si="14"/>
        <v>1669</v>
      </c>
      <c r="O138" s="43">
        <f t="shared" si="15"/>
        <v>1812.5</v>
      </c>
    </row>
    <row r="139" spans="1:15" ht="22.95" customHeight="1" x14ac:dyDescent="0.3">
      <c r="A139" s="52" t="s">
        <v>40</v>
      </c>
      <c r="B139" s="44">
        <f t="shared" ref="B139:M139" si="39">B33+B34+B35+B36</f>
        <v>991</v>
      </c>
      <c r="C139" s="39">
        <f t="shared" si="39"/>
        <v>474</v>
      </c>
      <c r="D139" s="39">
        <f t="shared" si="39"/>
        <v>75</v>
      </c>
      <c r="E139" s="39">
        <f t="shared" si="39"/>
        <v>49</v>
      </c>
      <c r="F139" s="39">
        <f t="shared" si="39"/>
        <v>36</v>
      </c>
      <c r="G139" s="50">
        <f t="shared" si="39"/>
        <v>1625</v>
      </c>
      <c r="H139" s="44">
        <f t="shared" si="39"/>
        <v>0</v>
      </c>
      <c r="I139" s="39">
        <f t="shared" si="39"/>
        <v>0</v>
      </c>
      <c r="J139" s="39">
        <f t="shared" si="39"/>
        <v>0</v>
      </c>
      <c r="K139" s="45">
        <f t="shared" si="39"/>
        <v>0</v>
      </c>
      <c r="L139" s="144">
        <f t="shared" si="39"/>
        <v>11</v>
      </c>
      <c r="M139" s="50">
        <f t="shared" si="39"/>
        <v>11</v>
      </c>
      <c r="N139" s="40">
        <f t="shared" si="14"/>
        <v>1636</v>
      </c>
      <c r="O139" s="43">
        <f t="shared" si="15"/>
        <v>1737.5</v>
      </c>
    </row>
    <row r="140" spans="1:15" ht="22.95" customHeight="1" x14ac:dyDescent="0.3">
      <c r="A140" s="52" t="s">
        <v>41</v>
      </c>
      <c r="B140" s="44">
        <f t="shared" ref="B140:M140" si="40">B34+B35+B36+B37</f>
        <v>1034</v>
      </c>
      <c r="C140" s="39">
        <f t="shared" si="40"/>
        <v>490</v>
      </c>
      <c r="D140" s="39">
        <f t="shared" si="40"/>
        <v>76</v>
      </c>
      <c r="E140" s="39">
        <f t="shared" si="40"/>
        <v>50</v>
      </c>
      <c r="F140" s="39">
        <f t="shared" si="40"/>
        <v>32</v>
      </c>
      <c r="G140" s="50">
        <f t="shared" si="40"/>
        <v>1682</v>
      </c>
      <c r="H140" s="44">
        <f t="shared" si="40"/>
        <v>0</v>
      </c>
      <c r="I140" s="39">
        <f t="shared" si="40"/>
        <v>0</v>
      </c>
      <c r="J140" s="39">
        <f t="shared" si="40"/>
        <v>0</v>
      </c>
      <c r="K140" s="45">
        <f t="shared" si="40"/>
        <v>0</v>
      </c>
      <c r="L140" s="144">
        <f t="shared" si="40"/>
        <v>13</v>
      </c>
      <c r="M140" s="50">
        <f t="shared" si="40"/>
        <v>13</v>
      </c>
      <c r="N140" s="40">
        <f t="shared" si="14"/>
        <v>1695</v>
      </c>
      <c r="O140" s="43">
        <f t="shared" si="15"/>
        <v>1791</v>
      </c>
    </row>
    <row r="141" spans="1:15" ht="22.95" customHeight="1" x14ac:dyDescent="0.3">
      <c r="A141" s="52" t="s">
        <v>42</v>
      </c>
      <c r="B141" s="44">
        <f t="shared" ref="B141:M141" si="41">B35+B36+B37+B38</f>
        <v>1063</v>
      </c>
      <c r="C141" s="39">
        <f t="shared" si="41"/>
        <v>443</v>
      </c>
      <c r="D141" s="39">
        <f t="shared" si="41"/>
        <v>82</v>
      </c>
      <c r="E141" s="39">
        <f t="shared" si="41"/>
        <v>56</v>
      </c>
      <c r="F141" s="39">
        <f t="shared" si="41"/>
        <v>32</v>
      </c>
      <c r="G141" s="50">
        <f t="shared" si="41"/>
        <v>1676</v>
      </c>
      <c r="H141" s="44">
        <f t="shared" si="41"/>
        <v>0</v>
      </c>
      <c r="I141" s="39">
        <f t="shared" si="41"/>
        <v>0</v>
      </c>
      <c r="J141" s="39">
        <f t="shared" si="41"/>
        <v>0</v>
      </c>
      <c r="K141" s="45">
        <f t="shared" si="41"/>
        <v>0</v>
      </c>
      <c r="L141" s="144">
        <f t="shared" si="41"/>
        <v>15</v>
      </c>
      <c r="M141" s="50">
        <f t="shared" si="41"/>
        <v>15</v>
      </c>
      <c r="N141" s="40">
        <f t="shared" si="14"/>
        <v>1691</v>
      </c>
      <c r="O141" s="43">
        <f t="shared" si="15"/>
        <v>1839.5</v>
      </c>
    </row>
    <row r="142" spans="1:15" ht="22.95" customHeight="1" x14ac:dyDescent="0.3">
      <c r="A142" s="52" t="s">
        <v>43</v>
      </c>
      <c r="B142" s="44">
        <f t="shared" ref="B142:M142" si="42">B36+B37+B38+B39</f>
        <v>1103</v>
      </c>
      <c r="C142" s="39">
        <f t="shared" si="42"/>
        <v>388</v>
      </c>
      <c r="D142" s="39">
        <f t="shared" si="42"/>
        <v>86</v>
      </c>
      <c r="E142" s="39">
        <f t="shared" si="42"/>
        <v>58</v>
      </c>
      <c r="F142" s="39">
        <f t="shared" si="42"/>
        <v>34</v>
      </c>
      <c r="G142" s="50">
        <f t="shared" si="42"/>
        <v>1669</v>
      </c>
      <c r="H142" s="44">
        <f t="shared" si="42"/>
        <v>0</v>
      </c>
      <c r="I142" s="39">
        <f t="shared" si="42"/>
        <v>0</v>
      </c>
      <c r="J142" s="39">
        <f t="shared" si="42"/>
        <v>0</v>
      </c>
      <c r="K142" s="45">
        <f t="shared" si="42"/>
        <v>0</v>
      </c>
      <c r="L142" s="144">
        <f t="shared" si="42"/>
        <v>10</v>
      </c>
      <c r="M142" s="50">
        <f t="shared" si="42"/>
        <v>10</v>
      </c>
      <c r="N142" s="40">
        <f t="shared" si="14"/>
        <v>1679</v>
      </c>
      <c r="O142" s="43">
        <f t="shared" si="15"/>
        <v>1833</v>
      </c>
    </row>
    <row r="143" spans="1:15" ht="22.95" customHeight="1" x14ac:dyDescent="0.3">
      <c r="A143" s="52" t="s">
        <v>44</v>
      </c>
      <c r="B143" s="44">
        <f t="shared" ref="B143:M143" si="43">B37+B38+B39+B40</f>
        <v>1160</v>
      </c>
      <c r="C143" s="39">
        <f t="shared" si="43"/>
        <v>402</v>
      </c>
      <c r="D143" s="39">
        <f t="shared" si="43"/>
        <v>73</v>
      </c>
      <c r="E143" s="39">
        <f t="shared" si="43"/>
        <v>56</v>
      </c>
      <c r="F143" s="39">
        <f t="shared" si="43"/>
        <v>38</v>
      </c>
      <c r="G143" s="50">
        <f t="shared" si="43"/>
        <v>1729</v>
      </c>
      <c r="H143" s="44">
        <f t="shared" si="43"/>
        <v>0</v>
      </c>
      <c r="I143" s="39">
        <f t="shared" si="43"/>
        <v>0</v>
      </c>
      <c r="J143" s="39">
        <f t="shared" si="43"/>
        <v>1</v>
      </c>
      <c r="K143" s="45">
        <f t="shared" si="43"/>
        <v>0</v>
      </c>
      <c r="L143" s="144">
        <f t="shared" si="43"/>
        <v>9</v>
      </c>
      <c r="M143" s="50">
        <f t="shared" si="43"/>
        <v>10</v>
      </c>
      <c r="N143" s="40">
        <f t="shared" si="14"/>
        <v>1739</v>
      </c>
      <c r="O143" s="43">
        <f t="shared" si="15"/>
        <v>1884.5</v>
      </c>
    </row>
    <row r="144" spans="1:15" ht="22.95" customHeight="1" x14ac:dyDescent="0.3">
      <c r="A144" s="52" t="s">
        <v>45</v>
      </c>
      <c r="B144" s="44">
        <f t="shared" ref="B144:M144" si="44">B38+B39+B40+B41</f>
        <v>1221</v>
      </c>
      <c r="C144" s="39">
        <f t="shared" si="44"/>
        <v>422</v>
      </c>
      <c r="D144" s="39">
        <f t="shared" si="44"/>
        <v>73</v>
      </c>
      <c r="E144" s="39">
        <f t="shared" si="44"/>
        <v>46</v>
      </c>
      <c r="F144" s="39">
        <f t="shared" si="44"/>
        <v>43</v>
      </c>
      <c r="G144" s="50">
        <f t="shared" si="44"/>
        <v>1805</v>
      </c>
      <c r="H144" s="44">
        <f t="shared" si="44"/>
        <v>0</v>
      </c>
      <c r="I144" s="39">
        <f t="shared" si="44"/>
        <v>0</v>
      </c>
      <c r="J144" s="39">
        <f t="shared" si="44"/>
        <v>3</v>
      </c>
      <c r="K144" s="45">
        <f t="shared" si="44"/>
        <v>0</v>
      </c>
      <c r="L144" s="144">
        <f t="shared" si="44"/>
        <v>11</v>
      </c>
      <c r="M144" s="50">
        <f t="shared" si="44"/>
        <v>14</v>
      </c>
      <c r="N144" s="40">
        <f t="shared" si="14"/>
        <v>1819</v>
      </c>
      <c r="O144" s="43">
        <f t="shared" si="15"/>
        <v>1970</v>
      </c>
    </row>
    <row r="145" spans="1:15" ht="22.95" customHeight="1" x14ac:dyDescent="0.3">
      <c r="A145" s="52" t="s">
        <v>46</v>
      </c>
      <c r="B145" s="44">
        <f t="shared" ref="B145:M145" si="45">B39+B40+B41+B42</f>
        <v>1239</v>
      </c>
      <c r="C145" s="39">
        <f t="shared" si="45"/>
        <v>495</v>
      </c>
      <c r="D145" s="39">
        <f t="shared" si="45"/>
        <v>54</v>
      </c>
      <c r="E145" s="39">
        <f t="shared" si="45"/>
        <v>48</v>
      </c>
      <c r="F145" s="39">
        <f t="shared" si="45"/>
        <v>37</v>
      </c>
      <c r="G145" s="50">
        <f t="shared" si="45"/>
        <v>1873</v>
      </c>
      <c r="H145" s="44">
        <f t="shared" si="45"/>
        <v>0</v>
      </c>
      <c r="I145" s="39">
        <f t="shared" si="45"/>
        <v>0</v>
      </c>
      <c r="J145" s="39">
        <f t="shared" si="45"/>
        <v>3</v>
      </c>
      <c r="K145" s="45">
        <f t="shared" si="45"/>
        <v>0</v>
      </c>
      <c r="L145" s="144">
        <f t="shared" si="45"/>
        <v>13</v>
      </c>
      <c r="M145" s="50">
        <f t="shared" si="45"/>
        <v>16</v>
      </c>
      <c r="N145" s="40">
        <f t="shared" si="14"/>
        <v>1889</v>
      </c>
      <c r="O145" s="43">
        <f t="shared" si="15"/>
        <v>1991</v>
      </c>
    </row>
    <row r="146" spans="1:15" ht="22.95" customHeight="1" x14ac:dyDescent="0.3">
      <c r="A146" s="52" t="s">
        <v>47</v>
      </c>
      <c r="B146" s="44">
        <f t="shared" ref="B146:M146" si="46">B40+B41+B42+B43</f>
        <v>1187</v>
      </c>
      <c r="C146" s="39">
        <f t="shared" si="46"/>
        <v>520</v>
      </c>
      <c r="D146" s="39">
        <f t="shared" si="46"/>
        <v>40</v>
      </c>
      <c r="E146" s="39">
        <f t="shared" si="46"/>
        <v>40</v>
      </c>
      <c r="F146" s="39">
        <f t="shared" si="46"/>
        <v>41</v>
      </c>
      <c r="G146" s="50">
        <f t="shared" si="46"/>
        <v>1828</v>
      </c>
      <c r="H146" s="44">
        <f t="shared" si="46"/>
        <v>0</v>
      </c>
      <c r="I146" s="39">
        <f t="shared" si="46"/>
        <v>0</v>
      </c>
      <c r="J146" s="39">
        <f t="shared" si="46"/>
        <v>3</v>
      </c>
      <c r="K146" s="45">
        <f t="shared" si="46"/>
        <v>0</v>
      </c>
      <c r="L146" s="144">
        <f t="shared" si="46"/>
        <v>19</v>
      </c>
      <c r="M146" s="50">
        <f t="shared" si="46"/>
        <v>22</v>
      </c>
      <c r="N146" s="40">
        <f t="shared" si="14"/>
        <v>1850</v>
      </c>
      <c r="O146" s="43">
        <f t="shared" si="15"/>
        <v>1972.5</v>
      </c>
    </row>
    <row r="147" spans="1:15" ht="22.95" customHeight="1" x14ac:dyDescent="0.3">
      <c r="A147" s="52" t="s">
        <v>48</v>
      </c>
      <c r="B147" s="44">
        <f t="shared" ref="B147:M147" si="47">B41+B42+B43+B44</f>
        <v>1183</v>
      </c>
      <c r="C147" s="39">
        <f t="shared" si="47"/>
        <v>560</v>
      </c>
      <c r="D147" s="39">
        <f t="shared" si="47"/>
        <v>46</v>
      </c>
      <c r="E147" s="39">
        <f t="shared" si="47"/>
        <v>45</v>
      </c>
      <c r="F147" s="39">
        <f t="shared" si="47"/>
        <v>36</v>
      </c>
      <c r="G147" s="50">
        <f t="shared" si="47"/>
        <v>1870</v>
      </c>
      <c r="H147" s="44">
        <f t="shared" si="47"/>
        <v>0</v>
      </c>
      <c r="I147" s="39">
        <f t="shared" si="47"/>
        <v>0</v>
      </c>
      <c r="J147" s="39">
        <f t="shared" si="47"/>
        <v>2</v>
      </c>
      <c r="K147" s="45">
        <f t="shared" si="47"/>
        <v>0</v>
      </c>
      <c r="L147" s="144">
        <f t="shared" si="47"/>
        <v>23</v>
      </c>
      <c r="M147" s="50">
        <f t="shared" si="47"/>
        <v>25</v>
      </c>
      <c r="N147" s="40">
        <f t="shared" si="14"/>
        <v>1895</v>
      </c>
      <c r="O147" s="43">
        <f t="shared" si="15"/>
        <v>2019</v>
      </c>
    </row>
    <row r="148" spans="1:15" ht="22.95" customHeight="1" x14ac:dyDescent="0.3">
      <c r="A148" s="52" t="s">
        <v>49</v>
      </c>
      <c r="B148" s="44">
        <f t="shared" ref="B148:M148" si="48">B42+B43+B44+B45</f>
        <v>1177</v>
      </c>
      <c r="C148" s="39">
        <f t="shared" si="48"/>
        <v>563</v>
      </c>
      <c r="D148" s="39">
        <f t="shared" si="48"/>
        <v>45</v>
      </c>
      <c r="E148" s="39">
        <f t="shared" si="48"/>
        <v>56</v>
      </c>
      <c r="F148" s="39">
        <f t="shared" si="48"/>
        <v>29</v>
      </c>
      <c r="G148" s="50">
        <f t="shared" si="48"/>
        <v>1870</v>
      </c>
      <c r="H148" s="44">
        <f t="shared" si="48"/>
        <v>0</v>
      </c>
      <c r="I148" s="39">
        <f t="shared" si="48"/>
        <v>0</v>
      </c>
      <c r="J148" s="39">
        <f t="shared" si="48"/>
        <v>0</v>
      </c>
      <c r="K148" s="45">
        <f t="shared" si="48"/>
        <v>0</v>
      </c>
      <c r="L148" s="144">
        <f t="shared" si="48"/>
        <v>25</v>
      </c>
      <c r="M148" s="50">
        <f t="shared" si="48"/>
        <v>25</v>
      </c>
      <c r="N148" s="40">
        <f t="shared" si="14"/>
        <v>1895</v>
      </c>
      <c r="O148" s="43">
        <f t="shared" si="15"/>
        <v>2024.5</v>
      </c>
    </row>
    <row r="149" spans="1:15" ht="22.95" customHeight="1" x14ac:dyDescent="0.3">
      <c r="A149" s="52" t="s">
        <v>50</v>
      </c>
      <c r="B149" s="44">
        <f t="shared" ref="B149:M149" si="49">B43+B44+B45+B46</f>
        <v>1178</v>
      </c>
      <c r="C149" s="39">
        <f t="shared" si="49"/>
        <v>552</v>
      </c>
      <c r="D149" s="39">
        <f t="shared" si="49"/>
        <v>51</v>
      </c>
      <c r="E149" s="39">
        <f t="shared" si="49"/>
        <v>50</v>
      </c>
      <c r="F149" s="39">
        <f t="shared" si="49"/>
        <v>31</v>
      </c>
      <c r="G149" s="50">
        <f t="shared" si="49"/>
        <v>1862</v>
      </c>
      <c r="H149" s="44">
        <f t="shared" si="49"/>
        <v>0</v>
      </c>
      <c r="I149" s="39">
        <f t="shared" si="49"/>
        <v>0</v>
      </c>
      <c r="J149" s="39">
        <f t="shared" si="49"/>
        <v>0</v>
      </c>
      <c r="K149" s="45">
        <f t="shared" si="49"/>
        <v>0</v>
      </c>
      <c r="L149" s="144">
        <f t="shared" si="49"/>
        <v>31</v>
      </c>
      <c r="M149" s="50">
        <f t="shared" si="49"/>
        <v>31</v>
      </c>
      <c r="N149" s="40">
        <f t="shared" si="14"/>
        <v>1893</v>
      </c>
      <c r="O149" s="43">
        <f t="shared" si="15"/>
        <v>2068</v>
      </c>
    </row>
    <row r="150" spans="1:15" ht="22.95" customHeight="1" x14ac:dyDescent="0.3">
      <c r="A150" s="52" t="s">
        <v>51</v>
      </c>
      <c r="B150" s="44">
        <f t="shared" ref="B150:M150" si="50">B44+B45+B46+B47</f>
        <v>1222</v>
      </c>
      <c r="C150" s="39">
        <f t="shared" si="50"/>
        <v>594</v>
      </c>
      <c r="D150" s="39">
        <f t="shared" si="50"/>
        <v>50</v>
      </c>
      <c r="E150" s="39">
        <f t="shared" si="50"/>
        <v>61</v>
      </c>
      <c r="F150" s="39">
        <f t="shared" si="50"/>
        <v>26</v>
      </c>
      <c r="G150" s="50">
        <f t="shared" si="50"/>
        <v>1953</v>
      </c>
      <c r="H150" s="44">
        <f t="shared" si="50"/>
        <v>0</v>
      </c>
      <c r="I150" s="39">
        <f t="shared" si="50"/>
        <v>0</v>
      </c>
      <c r="J150" s="39">
        <f t="shared" si="50"/>
        <v>0</v>
      </c>
      <c r="K150" s="45">
        <f t="shared" si="50"/>
        <v>0</v>
      </c>
      <c r="L150" s="144">
        <f t="shared" si="50"/>
        <v>28</v>
      </c>
      <c r="M150" s="50">
        <f t="shared" si="50"/>
        <v>28</v>
      </c>
      <c r="N150" s="40">
        <f t="shared" si="14"/>
        <v>1981</v>
      </c>
      <c r="O150" s="43">
        <f t="shared" si="15"/>
        <v>2118</v>
      </c>
    </row>
    <row r="151" spans="1:15" ht="22.95" customHeight="1" x14ac:dyDescent="0.3">
      <c r="A151" s="52" t="s">
        <v>52</v>
      </c>
      <c r="B151" s="44">
        <f t="shared" ref="B151:M151" si="51">B45+B46+B47+B48</f>
        <v>1173</v>
      </c>
      <c r="C151" s="39">
        <f t="shared" si="51"/>
        <v>582</v>
      </c>
      <c r="D151" s="39">
        <f t="shared" si="51"/>
        <v>45</v>
      </c>
      <c r="E151" s="39">
        <f t="shared" si="51"/>
        <v>52</v>
      </c>
      <c r="F151" s="39">
        <f t="shared" si="51"/>
        <v>25</v>
      </c>
      <c r="G151" s="50">
        <f t="shared" si="51"/>
        <v>1877</v>
      </c>
      <c r="H151" s="44">
        <f t="shared" si="51"/>
        <v>0</v>
      </c>
      <c r="I151" s="39">
        <f t="shared" si="51"/>
        <v>0</v>
      </c>
      <c r="J151" s="39">
        <f t="shared" si="51"/>
        <v>0</v>
      </c>
      <c r="K151" s="45">
        <f t="shared" si="51"/>
        <v>0</v>
      </c>
      <c r="L151" s="144">
        <f t="shared" si="51"/>
        <v>29</v>
      </c>
      <c r="M151" s="50">
        <f t="shared" si="51"/>
        <v>29</v>
      </c>
      <c r="N151" s="40">
        <f t="shared" si="14"/>
        <v>1906</v>
      </c>
      <c r="O151" s="43">
        <f t="shared" si="15"/>
        <v>2032</v>
      </c>
    </row>
    <row r="152" spans="1:15" ht="22.95" customHeight="1" x14ac:dyDescent="0.3">
      <c r="A152" s="52" t="s">
        <v>53</v>
      </c>
      <c r="B152" s="44">
        <f t="shared" ref="B152:M152" si="52">B46+B47+B48+B49</f>
        <v>1127</v>
      </c>
      <c r="C152" s="39">
        <f t="shared" si="52"/>
        <v>574</v>
      </c>
      <c r="D152" s="39">
        <f t="shared" si="52"/>
        <v>35</v>
      </c>
      <c r="E152" s="39">
        <f t="shared" si="52"/>
        <v>43</v>
      </c>
      <c r="F152" s="39">
        <f t="shared" si="52"/>
        <v>23</v>
      </c>
      <c r="G152" s="50">
        <f t="shared" si="52"/>
        <v>1802</v>
      </c>
      <c r="H152" s="44">
        <f t="shared" si="52"/>
        <v>0</v>
      </c>
      <c r="I152" s="39">
        <f t="shared" si="52"/>
        <v>0</v>
      </c>
      <c r="J152" s="39">
        <f t="shared" si="52"/>
        <v>0</v>
      </c>
      <c r="K152" s="45">
        <f t="shared" si="52"/>
        <v>0</v>
      </c>
      <c r="L152" s="144">
        <f t="shared" si="52"/>
        <v>27</v>
      </c>
      <c r="M152" s="50">
        <f t="shared" si="52"/>
        <v>27</v>
      </c>
      <c r="N152" s="40">
        <f t="shared" si="14"/>
        <v>1829</v>
      </c>
      <c r="O152" s="43">
        <f t="shared" si="15"/>
        <v>1915</v>
      </c>
    </row>
    <row r="153" spans="1:15" ht="22.95" customHeight="1" x14ac:dyDescent="0.3">
      <c r="A153" s="52" t="s">
        <v>54</v>
      </c>
      <c r="B153" s="44">
        <f t="shared" ref="B153:M153" si="53">B47+B48+B49+B50</f>
        <v>1116</v>
      </c>
      <c r="C153" s="39">
        <f t="shared" si="53"/>
        <v>554</v>
      </c>
      <c r="D153" s="39">
        <f t="shared" si="53"/>
        <v>37</v>
      </c>
      <c r="E153" s="39">
        <f t="shared" si="53"/>
        <v>38</v>
      </c>
      <c r="F153" s="39">
        <f t="shared" si="53"/>
        <v>21</v>
      </c>
      <c r="G153" s="50">
        <f t="shared" si="53"/>
        <v>1766</v>
      </c>
      <c r="H153" s="44">
        <f t="shared" si="53"/>
        <v>0</v>
      </c>
      <c r="I153" s="39">
        <f t="shared" si="53"/>
        <v>0</v>
      </c>
      <c r="J153" s="39">
        <f t="shared" si="53"/>
        <v>0</v>
      </c>
      <c r="K153" s="45">
        <f t="shared" si="53"/>
        <v>0</v>
      </c>
      <c r="L153" s="144">
        <f t="shared" si="53"/>
        <v>23</v>
      </c>
      <c r="M153" s="50">
        <f t="shared" si="53"/>
        <v>23</v>
      </c>
      <c r="N153" s="40">
        <f t="shared" si="14"/>
        <v>1789</v>
      </c>
      <c r="O153" s="43">
        <f t="shared" si="15"/>
        <v>1841</v>
      </c>
    </row>
    <row r="154" spans="1:15" ht="22.95" customHeight="1" x14ac:dyDescent="0.3">
      <c r="A154" s="52" t="s">
        <v>55</v>
      </c>
      <c r="B154" s="44">
        <f t="shared" ref="B154:M154" si="54">B48+B49+B50+B51</f>
        <v>1073</v>
      </c>
      <c r="C154" s="39">
        <f t="shared" si="54"/>
        <v>530</v>
      </c>
      <c r="D154" s="39">
        <f t="shared" si="54"/>
        <v>44</v>
      </c>
      <c r="E154" s="39">
        <f t="shared" si="54"/>
        <v>26</v>
      </c>
      <c r="F154" s="39">
        <f t="shared" si="54"/>
        <v>24</v>
      </c>
      <c r="G154" s="50">
        <f t="shared" si="54"/>
        <v>1697</v>
      </c>
      <c r="H154" s="44">
        <f t="shared" si="54"/>
        <v>0</v>
      </c>
      <c r="I154" s="39">
        <f t="shared" si="54"/>
        <v>0</v>
      </c>
      <c r="J154" s="39">
        <f t="shared" si="54"/>
        <v>0</v>
      </c>
      <c r="K154" s="45">
        <f t="shared" si="54"/>
        <v>0</v>
      </c>
      <c r="L154" s="144">
        <f t="shared" si="54"/>
        <v>25</v>
      </c>
      <c r="M154" s="50">
        <f t="shared" si="54"/>
        <v>25</v>
      </c>
      <c r="N154" s="40">
        <f t="shared" si="14"/>
        <v>1722</v>
      </c>
      <c r="O154" s="43">
        <f t="shared" si="15"/>
        <v>1790</v>
      </c>
    </row>
    <row r="155" spans="1:15" ht="22.95" customHeight="1" x14ac:dyDescent="0.3">
      <c r="A155" s="52" t="s">
        <v>56</v>
      </c>
      <c r="B155" s="44">
        <f t="shared" ref="B155:M155" si="55">B49+B50+B51+B52</f>
        <v>1085</v>
      </c>
      <c r="C155" s="39">
        <f t="shared" si="55"/>
        <v>488</v>
      </c>
      <c r="D155" s="39">
        <f t="shared" si="55"/>
        <v>41</v>
      </c>
      <c r="E155" s="39">
        <f t="shared" si="55"/>
        <v>34</v>
      </c>
      <c r="F155" s="39">
        <f t="shared" si="55"/>
        <v>22</v>
      </c>
      <c r="G155" s="50">
        <f t="shared" si="55"/>
        <v>1670</v>
      </c>
      <c r="H155" s="44">
        <f t="shared" si="55"/>
        <v>0</v>
      </c>
      <c r="I155" s="39">
        <f t="shared" si="55"/>
        <v>0</v>
      </c>
      <c r="J155" s="39">
        <f t="shared" si="55"/>
        <v>0</v>
      </c>
      <c r="K155" s="45">
        <f t="shared" si="55"/>
        <v>0</v>
      </c>
      <c r="L155" s="144">
        <f t="shared" si="55"/>
        <v>19</v>
      </c>
      <c r="M155" s="50">
        <f t="shared" si="55"/>
        <v>19</v>
      </c>
      <c r="N155" s="40">
        <f t="shared" si="14"/>
        <v>1689</v>
      </c>
      <c r="O155" s="43">
        <f t="shared" si="15"/>
        <v>1743.5</v>
      </c>
    </row>
    <row r="156" spans="1:15" ht="22.95" customHeight="1" x14ac:dyDescent="0.3">
      <c r="A156" s="52" t="s">
        <v>57</v>
      </c>
      <c r="B156" s="44">
        <f t="shared" ref="B156:M156" si="56">B50+B51+B52+B53</f>
        <v>1051</v>
      </c>
      <c r="C156" s="39">
        <f t="shared" si="56"/>
        <v>443</v>
      </c>
      <c r="D156" s="39">
        <f t="shared" si="56"/>
        <v>43</v>
      </c>
      <c r="E156" s="39">
        <f t="shared" si="56"/>
        <v>32</v>
      </c>
      <c r="F156" s="39">
        <f t="shared" si="56"/>
        <v>24</v>
      </c>
      <c r="G156" s="50">
        <f t="shared" si="56"/>
        <v>1593</v>
      </c>
      <c r="H156" s="44">
        <f t="shared" si="56"/>
        <v>0</v>
      </c>
      <c r="I156" s="39">
        <f t="shared" si="56"/>
        <v>0</v>
      </c>
      <c r="J156" s="39">
        <f t="shared" si="56"/>
        <v>0</v>
      </c>
      <c r="K156" s="45">
        <f t="shared" si="56"/>
        <v>0</v>
      </c>
      <c r="L156" s="144">
        <f t="shared" si="56"/>
        <v>17</v>
      </c>
      <c r="M156" s="50">
        <f t="shared" si="56"/>
        <v>17</v>
      </c>
      <c r="N156" s="40">
        <f t="shared" si="14"/>
        <v>1610</v>
      </c>
      <c r="O156" s="43">
        <f t="shared" si="15"/>
        <v>1677</v>
      </c>
    </row>
    <row r="157" spans="1:15" ht="22.95" customHeight="1" x14ac:dyDescent="0.3">
      <c r="A157" s="52" t="s">
        <v>58</v>
      </c>
      <c r="B157" s="44">
        <f t="shared" ref="B157:M157" si="57">B51+B52+B53+B54</f>
        <v>1026</v>
      </c>
      <c r="C157" s="39">
        <f t="shared" si="57"/>
        <v>382</v>
      </c>
      <c r="D157" s="39">
        <f t="shared" si="57"/>
        <v>41</v>
      </c>
      <c r="E157" s="39">
        <f t="shared" si="57"/>
        <v>30</v>
      </c>
      <c r="F157" s="39">
        <f t="shared" si="57"/>
        <v>29</v>
      </c>
      <c r="G157" s="50">
        <f t="shared" si="57"/>
        <v>1508</v>
      </c>
      <c r="H157" s="44">
        <f t="shared" si="57"/>
        <v>1</v>
      </c>
      <c r="I157" s="39">
        <f t="shared" si="57"/>
        <v>0</v>
      </c>
      <c r="J157" s="39">
        <f t="shared" si="57"/>
        <v>0</v>
      </c>
      <c r="K157" s="45">
        <f t="shared" si="57"/>
        <v>0</v>
      </c>
      <c r="L157" s="144">
        <f t="shared" si="57"/>
        <v>17</v>
      </c>
      <c r="M157" s="50">
        <f t="shared" si="57"/>
        <v>18</v>
      </c>
      <c r="N157" s="40">
        <f t="shared" si="14"/>
        <v>1526</v>
      </c>
      <c r="O157" s="43">
        <f t="shared" si="15"/>
        <v>1635.5</v>
      </c>
    </row>
    <row r="158" spans="1:15" ht="22.95" customHeight="1" x14ac:dyDescent="0.3">
      <c r="A158" s="52" t="s">
        <v>59</v>
      </c>
      <c r="B158" s="44">
        <f t="shared" ref="B158:M158" si="58">B52+B53+B54+B55</f>
        <v>1041</v>
      </c>
      <c r="C158" s="39">
        <f t="shared" si="58"/>
        <v>331</v>
      </c>
      <c r="D158" s="39">
        <f t="shared" si="58"/>
        <v>30</v>
      </c>
      <c r="E158" s="39">
        <f t="shared" si="58"/>
        <v>39</v>
      </c>
      <c r="F158" s="39">
        <f t="shared" si="58"/>
        <v>24</v>
      </c>
      <c r="G158" s="50">
        <f t="shared" si="58"/>
        <v>1465</v>
      </c>
      <c r="H158" s="44">
        <f t="shared" si="58"/>
        <v>1</v>
      </c>
      <c r="I158" s="39">
        <f t="shared" si="58"/>
        <v>0</v>
      </c>
      <c r="J158" s="39">
        <f t="shared" si="58"/>
        <v>0</v>
      </c>
      <c r="K158" s="45">
        <f t="shared" si="58"/>
        <v>0</v>
      </c>
      <c r="L158" s="144">
        <f t="shared" si="58"/>
        <v>17</v>
      </c>
      <c r="M158" s="50">
        <f t="shared" si="58"/>
        <v>18</v>
      </c>
      <c r="N158" s="40">
        <f t="shared" si="14"/>
        <v>1483</v>
      </c>
      <c r="O158" s="43">
        <f t="shared" si="15"/>
        <v>1613</v>
      </c>
    </row>
    <row r="159" spans="1:15" ht="22.95" customHeight="1" x14ac:dyDescent="0.3">
      <c r="A159" s="52" t="s">
        <v>77</v>
      </c>
      <c r="B159" s="44">
        <f t="shared" ref="B159:M159" si="59">B53+B54+B55+B56</f>
        <v>997</v>
      </c>
      <c r="C159" s="39">
        <f t="shared" si="59"/>
        <v>303</v>
      </c>
      <c r="D159" s="39">
        <f t="shared" si="59"/>
        <v>36</v>
      </c>
      <c r="E159" s="39">
        <f t="shared" si="59"/>
        <v>39</v>
      </c>
      <c r="F159" s="39">
        <f t="shared" si="59"/>
        <v>23</v>
      </c>
      <c r="G159" s="50">
        <f t="shared" si="59"/>
        <v>1398</v>
      </c>
      <c r="H159" s="44">
        <f t="shared" si="59"/>
        <v>1</v>
      </c>
      <c r="I159" s="39">
        <f t="shared" si="59"/>
        <v>0</v>
      </c>
      <c r="J159" s="39">
        <f t="shared" si="59"/>
        <v>0</v>
      </c>
      <c r="K159" s="45">
        <f t="shared" si="59"/>
        <v>0</v>
      </c>
      <c r="L159" s="144">
        <f t="shared" si="59"/>
        <v>19</v>
      </c>
      <c r="M159" s="50">
        <f t="shared" si="59"/>
        <v>20</v>
      </c>
      <c r="N159" s="40">
        <f t="shared" si="14"/>
        <v>1418</v>
      </c>
      <c r="O159" s="43">
        <f t="shared" si="15"/>
        <v>1575.5</v>
      </c>
    </row>
    <row r="160" spans="1:15" ht="22.95" customHeight="1" x14ac:dyDescent="0.3">
      <c r="A160" s="52" t="s">
        <v>75</v>
      </c>
      <c r="B160" s="44">
        <f t="shared" ref="B160:M160" si="60">B54+B55+B56+B57</f>
        <v>960</v>
      </c>
      <c r="C160" s="39">
        <f t="shared" si="60"/>
        <v>256</v>
      </c>
      <c r="D160" s="39">
        <f t="shared" si="60"/>
        <v>38</v>
      </c>
      <c r="E160" s="39">
        <f t="shared" si="60"/>
        <v>45</v>
      </c>
      <c r="F160" s="39">
        <f t="shared" si="60"/>
        <v>20</v>
      </c>
      <c r="G160" s="50">
        <f t="shared" si="60"/>
        <v>1319</v>
      </c>
      <c r="H160" s="44">
        <f t="shared" si="60"/>
        <v>1</v>
      </c>
      <c r="I160" s="39">
        <f t="shared" si="60"/>
        <v>0</v>
      </c>
      <c r="J160" s="39">
        <f t="shared" si="60"/>
        <v>0</v>
      </c>
      <c r="K160" s="45">
        <f t="shared" si="60"/>
        <v>0</v>
      </c>
      <c r="L160" s="144">
        <f t="shared" si="60"/>
        <v>16</v>
      </c>
      <c r="M160" s="50">
        <f t="shared" si="60"/>
        <v>17</v>
      </c>
      <c r="N160" s="40">
        <f t="shared" si="14"/>
        <v>1336</v>
      </c>
      <c r="O160" s="43">
        <f t="shared" si="15"/>
        <v>1498.5</v>
      </c>
    </row>
    <row r="161" spans="1:15" ht="22.95" customHeight="1" x14ac:dyDescent="0.3">
      <c r="A161" s="52" t="s">
        <v>76</v>
      </c>
      <c r="B161" s="44">
        <f t="shared" ref="B161:M161" si="61">B55+B56+B57+B58</f>
        <v>876</v>
      </c>
      <c r="C161" s="39">
        <f t="shared" si="61"/>
        <v>247</v>
      </c>
      <c r="D161" s="39">
        <f t="shared" si="61"/>
        <v>33</v>
      </c>
      <c r="E161" s="39">
        <f t="shared" si="61"/>
        <v>46</v>
      </c>
      <c r="F161" s="39">
        <f t="shared" si="61"/>
        <v>10</v>
      </c>
      <c r="G161" s="50">
        <f t="shared" si="61"/>
        <v>1212</v>
      </c>
      <c r="H161" s="44">
        <f t="shared" si="61"/>
        <v>0</v>
      </c>
      <c r="I161" s="39">
        <f t="shared" si="61"/>
        <v>0</v>
      </c>
      <c r="J161" s="39">
        <f t="shared" si="61"/>
        <v>0</v>
      </c>
      <c r="K161" s="45">
        <f t="shared" si="61"/>
        <v>0</v>
      </c>
      <c r="L161" s="144">
        <f t="shared" si="61"/>
        <v>9</v>
      </c>
      <c r="M161" s="50">
        <f t="shared" si="61"/>
        <v>9</v>
      </c>
      <c r="N161" s="40">
        <f t="shared" si="14"/>
        <v>1221</v>
      </c>
      <c r="O161" s="43">
        <f t="shared" si="15"/>
        <v>1304</v>
      </c>
    </row>
    <row r="162" spans="1:15" ht="22.95" customHeight="1" x14ac:dyDescent="0.3">
      <c r="A162" s="52" t="s">
        <v>70</v>
      </c>
      <c r="B162" s="44">
        <f t="shared" ref="B162:M162" si="62">B56+B57+B58+B59</f>
        <v>797</v>
      </c>
      <c r="C162" s="39">
        <f t="shared" si="62"/>
        <v>222</v>
      </c>
      <c r="D162" s="39">
        <f t="shared" si="62"/>
        <v>35</v>
      </c>
      <c r="E162" s="39">
        <f t="shared" si="62"/>
        <v>42</v>
      </c>
      <c r="F162" s="39">
        <f t="shared" si="62"/>
        <v>8</v>
      </c>
      <c r="G162" s="50">
        <f t="shared" si="62"/>
        <v>1104</v>
      </c>
      <c r="H162" s="44">
        <f t="shared" si="62"/>
        <v>0</v>
      </c>
      <c r="I162" s="39">
        <f t="shared" si="62"/>
        <v>0</v>
      </c>
      <c r="J162" s="39">
        <f t="shared" si="62"/>
        <v>0</v>
      </c>
      <c r="K162" s="45">
        <f t="shared" si="62"/>
        <v>0</v>
      </c>
      <c r="L162" s="144">
        <f t="shared" si="62"/>
        <v>4</v>
      </c>
      <c r="M162" s="50">
        <f t="shared" si="62"/>
        <v>4</v>
      </c>
      <c r="N162" s="40">
        <f t="shared" si="14"/>
        <v>1108</v>
      </c>
      <c r="O162" s="43">
        <f t="shared" si="15"/>
        <v>1154.5</v>
      </c>
    </row>
    <row r="163" spans="1:15" ht="22.95" customHeight="1" x14ac:dyDescent="0.3">
      <c r="A163" s="52" t="s">
        <v>71</v>
      </c>
      <c r="B163" s="44">
        <f t="shared" ref="B163:M163" si="63">B57+B58+B59+B60</f>
        <v>732</v>
      </c>
      <c r="C163" s="39">
        <f t="shared" si="63"/>
        <v>168</v>
      </c>
      <c r="D163" s="39">
        <f t="shared" si="63"/>
        <v>32</v>
      </c>
      <c r="E163" s="39">
        <f t="shared" si="63"/>
        <v>37</v>
      </c>
      <c r="F163" s="39">
        <f t="shared" si="63"/>
        <v>8</v>
      </c>
      <c r="G163" s="50">
        <f t="shared" si="63"/>
        <v>977</v>
      </c>
      <c r="H163" s="44">
        <f t="shared" si="63"/>
        <v>0</v>
      </c>
      <c r="I163" s="39">
        <f t="shared" si="63"/>
        <v>0</v>
      </c>
      <c r="J163" s="39">
        <f t="shared" si="63"/>
        <v>0</v>
      </c>
      <c r="K163" s="45">
        <f t="shared" si="63"/>
        <v>0</v>
      </c>
      <c r="L163" s="144">
        <f t="shared" si="63"/>
        <v>3</v>
      </c>
      <c r="M163" s="50">
        <f t="shared" si="63"/>
        <v>3</v>
      </c>
      <c r="N163" s="40">
        <f t="shared" si="14"/>
        <v>980</v>
      </c>
      <c r="O163" s="43">
        <f t="shared" si="15"/>
        <v>1035</v>
      </c>
    </row>
    <row r="164" spans="1:15" ht="22.95" customHeight="1" x14ac:dyDescent="0.3">
      <c r="A164" s="52" t="s">
        <v>72</v>
      </c>
      <c r="B164" s="44">
        <f t="shared" ref="B164:M164" si="64">B58+B59+B60+B61</f>
        <v>703</v>
      </c>
      <c r="C164" s="39">
        <f t="shared" si="64"/>
        <v>201</v>
      </c>
      <c r="D164" s="39">
        <f t="shared" si="64"/>
        <v>30</v>
      </c>
      <c r="E164" s="39">
        <f t="shared" si="64"/>
        <v>36</v>
      </c>
      <c r="F164" s="39">
        <f t="shared" si="64"/>
        <v>8</v>
      </c>
      <c r="G164" s="50">
        <f t="shared" si="64"/>
        <v>978</v>
      </c>
      <c r="H164" s="44">
        <f t="shared" si="64"/>
        <v>0</v>
      </c>
      <c r="I164" s="39">
        <f t="shared" si="64"/>
        <v>0</v>
      </c>
      <c r="J164" s="39">
        <f t="shared" si="64"/>
        <v>0</v>
      </c>
      <c r="K164" s="45">
        <f t="shared" si="64"/>
        <v>0</v>
      </c>
      <c r="L164" s="144">
        <f t="shared" si="64"/>
        <v>6</v>
      </c>
      <c r="M164" s="50">
        <f t="shared" si="64"/>
        <v>6</v>
      </c>
      <c r="N164" s="40">
        <f t="shared" si="14"/>
        <v>984</v>
      </c>
      <c r="O164" s="43">
        <f t="shared" si="15"/>
        <v>1040.5</v>
      </c>
    </row>
    <row r="165" spans="1:15" ht="22.95" customHeight="1" x14ac:dyDescent="0.3">
      <c r="A165" s="52" t="s">
        <v>73</v>
      </c>
      <c r="B165" s="44">
        <f t="shared" ref="B165:M165" si="65">B59+B60+B61+B62</f>
        <v>698</v>
      </c>
      <c r="C165" s="39">
        <f t="shared" si="65"/>
        <v>192</v>
      </c>
      <c r="D165" s="39">
        <f t="shared" si="65"/>
        <v>31</v>
      </c>
      <c r="E165" s="39">
        <f t="shared" si="65"/>
        <v>39</v>
      </c>
      <c r="F165" s="39">
        <f t="shared" si="65"/>
        <v>12</v>
      </c>
      <c r="G165" s="50">
        <f t="shared" si="65"/>
        <v>972</v>
      </c>
      <c r="H165" s="44">
        <f t="shared" si="65"/>
        <v>0</v>
      </c>
      <c r="I165" s="39">
        <f t="shared" si="65"/>
        <v>0</v>
      </c>
      <c r="J165" s="39">
        <f t="shared" si="65"/>
        <v>0</v>
      </c>
      <c r="K165" s="45">
        <f t="shared" si="65"/>
        <v>0</v>
      </c>
      <c r="L165" s="144">
        <f t="shared" si="65"/>
        <v>8</v>
      </c>
      <c r="M165" s="50">
        <f t="shared" si="65"/>
        <v>8</v>
      </c>
      <c r="N165" s="40">
        <f t="shared" si="14"/>
        <v>980</v>
      </c>
      <c r="O165" s="43">
        <f t="shared" si="15"/>
        <v>1075.5</v>
      </c>
    </row>
    <row r="166" spans="1:15" ht="22.95" customHeight="1" x14ac:dyDescent="0.3">
      <c r="A166" s="52" t="s">
        <v>74</v>
      </c>
      <c r="B166" s="44">
        <f t="shared" ref="B166:M166" si="66">B60+B61+B62+B63</f>
        <v>658</v>
      </c>
      <c r="C166" s="39">
        <f t="shared" si="66"/>
        <v>164</v>
      </c>
      <c r="D166" s="39">
        <f t="shared" si="66"/>
        <v>26</v>
      </c>
      <c r="E166" s="39">
        <f t="shared" si="66"/>
        <v>39</v>
      </c>
      <c r="F166" s="39">
        <f t="shared" si="66"/>
        <v>14</v>
      </c>
      <c r="G166" s="50">
        <f t="shared" si="66"/>
        <v>901</v>
      </c>
      <c r="H166" s="44">
        <f t="shared" si="66"/>
        <v>0</v>
      </c>
      <c r="I166" s="39">
        <f t="shared" si="66"/>
        <v>0</v>
      </c>
      <c r="J166" s="39">
        <f t="shared" si="66"/>
        <v>0</v>
      </c>
      <c r="K166" s="45">
        <f t="shared" si="66"/>
        <v>0</v>
      </c>
      <c r="L166" s="144">
        <f t="shared" si="66"/>
        <v>10</v>
      </c>
      <c r="M166" s="50">
        <f t="shared" si="66"/>
        <v>10</v>
      </c>
      <c r="N166" s="40">
        <f t="shared" si="14"/>
        <v>911</v>
      </c>
      <c r="O166" s="43">
        <f t="shared" si="15"/>
        <v>1039</v>
      </c>
    </row>
    <row r="167" spans="1:15" ht="22.95" customHeight="1" x14ac:dyDescent="0.3">
      <c r="A167" s="52" t="s">
        <v>262</v>
      </c>
      <c r="B167" s="44">
        <f t="shared" ref="B167:M167" si="67">B61+B62+B63+B64</f>
        <v>634</v>
      </c>
      <c r="C167" s="39">
        <f t="shared" si="67"/>
        <v>185</v>
      </c>
      <c r="D167" s="39">
        <f t="shared" si="67"/>
        <v>29</v>
      </c>
      <c r="E167" s="39">
        <f t="shared" si="67"/>
        <v>47</v>
      </c>
      <c r="F167" s="39">
        <f t="shared" si="67"/>
        <v>20</v>
      </c>
      <c r="G167" s="50">
        <f t="shared" si="67"/>
        <v>915</v>
      </c>
      <c r="H167" s="44">
        <f t="shared" si="67"/>
        <v>0</v>
      </c>
      <c r="I167" s="39">
        <f t="shared" si="67"/>
        <v>0</v>
      </c>
      <c r="J167" s="39">
        <f t="shared" si="67"/>
        <v>0</v>
      </c>
      <c r="K167" s="45">
        <f t="shared" si="67"/>
        <v>0</v>
      </c>
      <c r="L167" s="144">
        <f t="shared" si="67"/>
        <v>8</v>
      </c>
      <c r="M167" s="50">
        <f t="shared" si="67"/>
        <v>8</v>
      </c>
      <c r="N167" s="40">
        <f t="shared" si="14"/>
        <v>923</v>
      </c>
      <c r="O167" s="43">
        <f t="shared" si="15"/>
        <v>1065</v>
      </c>
    </row>
    <row r="168" spans="1:15" ht="22.95" customHeight="1" x14ac:dyDescent="0.3">
      <c r="A168" s="52" t="s">
        <v>263</v>
      </c>
      <c r="B168" s="44">
        <f t="shared" ref="B168:M168" si="68">B62+B63+B64+B65</f>
        <v>584</v>
      </c>
      <c r="C168" s="39">
        <f t="shared" si="68"/>
        <v>149</v>
      </c>
      <c r="D168" s="39">
        <f t="shared" si="68"/>
        <v>27</v>
      </c>
      <c r="E168" s="39">
        <f t="shared" si="68"/>
        <v>44</v>
      </c>
      <c r="F168" s="39">
        <f t="shared" si="68"/>
        <v>27</v>
      </c>
      <c r="G168" s="50">
        <f t="shared" si="68"/>
        <v>831</v>
      </c>
      <c r="H168" s="44">
        <f t="shared" si="68"/>
        <v>0</v>
      </c>
      <c r="I168" s="39">
        <f t="shared" si="68"/>
        <v>0</v>
      </c>
      <c r="J168" s="39">
        <f t="shared" si="68"/>
        <v>0</v>
      </c>
      <c r="K168" s="45">
        <f t="shared" si="68"/>
        <v>0</v>
      </c>
      <c r="L168" s="144">
        <f t="shared" si="68"/>
        <v>5</v>
      </c>
      <c r="M168" s="50">
        <f t="shared" si="68"/>
        <v>5</v>
      </c>
      <c r="N168" s="40">
        <f t="shared" si="14"/>
        <v>836</v>
      </c>
      <c r="O168" s="43">
        <f t="shared" si="15"/>
        <v>992.5</v>
      </c>
    </row>
    <row r="169" spans="1:15" ht="22.95" customHeight="1" x14ac:dyDescent="0.3">
      <c r="A169" s="52" t="s">
        <v>264</v>
      </c>
      <c r="B169" s="44">
        <f t="shared" ref="B169:M169" si="69">B63+B64+B65+B66</f>
        <v>499</v>
      </c>
      <c r="C169" s="39">
        <f t="shared" si="69"/>
        <v>135</v>
      </c>
      <c r="D169" s="39">
        <f t="shared" si="69"/>
        <v>26</v>
      </c>
      <c r="E169" s="39">
        <f t="shared" si="69"/>
        <v>48</v>
      </c>
      <c r="F169" s="39">
        <f t="shared" si="69"/>
        <v>31</v>
      </c>
      <c r="G169" s="50">
        <f t="shared" si="69"/>
        <v>739</v>
      </c>
      <c r="H169" s="44">
        <f t="shared" si="69"/>
        <v>0</v>
      </c>
      <c r="I169" s="39">
        <f t="shared" si="69"/>
        <v>0</v>
      </c>
      <c r="J169" s="39">
        <f t="shared" si="69"/>
        <v>0</v>
      </c>
      <c r="K169" s="45">
        <f t="shared" si="69"/>
        <v>0</v>
      </c>
      <c r="L169" s="144">
        <f t="shared" si="69"/>
        <v>4</v>
      </c>
      <c r="M169" s="50">
        <f t="shared" si="69"/>
        <v>4</v>
      </c>
      <c r="N169" s="40">
        <f t="shared" si="14"/>
        <v>743</v>
      </c>
      <c r="O169" s="43">
        <f t="shared" si="15"/>
        <v>921</v>
      </c>
    </row>
    <row r="170" spans="1:15" ht="22.95" customHeight="1" x14ac:dyDescent="0.3">
      <c r="A170" s="52" t="s">
        <v>265</v>
      </c>
      <c r="B170" s="44">
        <f t="shared" ref="B170:M170" si="70">B64+B65+B66+B67</f>
        <v>442</v>
      </c>
      <c r="C170" s="39">
        <f t="shared" si="70"/>
        <v>139</v>
      </c>
      <c r="D170" s="39">
        <f t="shared" si="70"/>
        <v>33</v>
      </c>
      <c r="E170" s="39">
        <f t="shared" si="70"/>
        <v>45</v>
      </c>
      <c r="F170" s="39">
        <f t="shared" si="70"/>
        <v>34</v>
      </c>
      <c r="G170" s="50">
        <f t="shared" si="70"/>
        <v>693</v>
      </c>
      <c r="H170" s="44">
        <f t="shared" si="70"/>
        <v>0</v>
      </c>
      <c r="I170" s="39">
        <f t="shared" si="70"/>
        <v>0</v>
      </c>
      <c r="J170" s="39">
        <f t="shared" si="70"/>
        <v>0</v>
      </c>
      <c r="K170" s="45">
        <f t="shared" si="70"/>
        <v>0</v>
      </c>
      <c r="L170" s="144">
        <f t="shared" si="70"/>
        <v>3</v>
      </c>
      <c r="M170" s="50">
        <f t="shared" si="70"/>
        <v>3</v>
      </c>
      <c r="N170" s="40">
        <f t="shared" si="14"/>
        <v>696</v>
      </c>
      <c r="O170" s="43">
        <f t="shared" si="15"/>
        <v>873</v>
      </c>
    </row>
    <row r="171" spans="1:15" ht="22.95" customHeight="1" x14ac:dyDescent="0.3">
      <c r="A171" s="52" t="s">
        <v>266</v>
      </c>
      <c r="B171" s="44">
        <f t="shared" ref="B171:M171" si="71">B65+B66+B67+B68</f>
        <v>396</v>
      </c>
      <c r="C171" s="39">
        <f t="shared" si="71"/>
        <v>125</v>
      </c>
      <c r="D171" s="39">
        <f t="shared" si="71"/>
        <v>31</v>
      </c>
      <c r="E171" s="39">
        <f t="shared" si="71"/>
        <v>42</v>
      </c>
      <c r="F171" s="39">
        <f t="shared" si="71"/>
        <v>33</v>
      </c>
      <c r="G171" s="50">
        <f t="shared" si="71"/>
        <v>627</v>
      </c>
      <c r="H171" s="44">
        <f t="shared" si="71"/>
        <v>0</v>
      </c>
      <c r="I171" s="39">
        <f t="shared" si="71"/>
        <v>0</v>
      </c>
      <c r="J171" s="39">
        <f t="shared" si="71"/>
        <v>0</v>
      </c>
      <c r="K171" s="45">
        <f t="shared" si="71"/>
        <v>0</v>
      </c>
      <c r="L171" s="144">
        <f t="shared" si="71"/>
        <v>3</v>
      </c>
      <c r="M171" s="50">
        <f t="shared" si="71"/>
        <v>3</v>
      </c>
      <c r="N171" s="40">
        <f t="shared" si="14"/>
        <v>630</v>
      </c>
      <c r="O171" s="43">
        <f t="shared" si="15"/>
        <v>803.5</v>
      </c>
    </row>
    <row r="172" spans="1:15" ht="22.95" customHeight="1" x14ac:dyDescent="0.3">
      <c r="A172" s="52" t="s">
        <v>267</v>
      </c>
      <c r="B172" s="44">
        <f t="shared" ref="B172:M172" si="72">B66+B67+B68+B69</f>
        <v>354</v>
      </c>
      <c r="C172" s="39">
        <f t="shared" si="72"/>
        <v>125</v>
      </c>
      <c r="D172" s="39">
        <f t="shared" si="72"/>
        <v>30</v>
      </c>
      <c r="E172" s="39">
        <f t="shared" si="72"/>
        <v>42</v>
      </c>
      <c r="F172" s="39">
        <f t="shared" si="72"/>
        <v>32</v>
      </c>
      <c r="G172" s="50">
        <f t="shared" si="72"/>
        <v>583</v>
      </c>
      <c r="H172" s="44">
        <f t="shared" si="72"/>
        <v>0</v>
      </c>
      <c r="I172" s="39">
        <f t="shared" si="72"/>
        <v>0</v>
      </c>
      <c r="J172" s="39">
        <f t="shared" si="72"/>
        <v>0</v>
      </c>
      <c r="K172" s="45">
        <f t="shared" si="72"/>
        <v>0</v>
      </c>
      <c r="L172" s="144">
        <f t="shared" si="72"/>
        <v>3</v>
      </c>
      <c r="M172" s="50">
        <f t="shared" si="72"/>
        <v>3</v>
      </c>
      <c r="N172" s="40">
        <f t="shared" si="14"/>
        <v>586</v>
      </c>
      <c r="O172" s="43">
        <f t="shared" si="15"/>
        <v>755.5</v>
      </c>
    </row>
    <row r="173" spans="1:15" ht="22.95" customHeight="1" x14ac:dyDescent="0.3">
      <c r="A173" s="52" t="s">
        <v>268</v>
      </c>
      <c r="B173" s="44">
        <f t="shared" ref="B173:M173" si="73">B67+B68+B69+B70</f>
        <v>315</v>
      </c>
      <c r="C173" s="39">
        <f t="shared" si="73"/>
        <v>128</v>
      </c>
      <c r="D173" s="39">
        <f t="shared" si="73"/>
        <v>30</v>
      </c>
      <c r="E173" s="39">
        <f t="shared" si="73"/>
        <v>33</v>
      </c>
      <c r="F173" s="39">
        <f t="shared" si="73"/>
        <v>29</v>
      </c>
      <c r="G173" s="50">
        <f t="shared" si="73"/>
        <v>535</v>
      </c>
      <c r="H173" s="44">
        <f t="shared" si="73"/>
        <v>0</v>
      </c>
      <c r="I173" s="39">
        <f t="shared" si="73"/>
        <v>0</v>
      </c>
      <c r="J173" s="39">
        <f t="shared" si="73"/>
        <v>0</v>
      </c>
      <c r="K173" s="45">
        <f t="shared" si="73"/>
        <v>0</v>
      </c>
      <c r="L173" s="144">
        <f t="shared" si="73"/>
        <v>5</v>
      </c>
      <c r="M173" s="50">
        <f t="shared" si="73"/>
        <v>5</v>
      </c>
      <c r="N173" s="40">
        <f t="shared" si="14"/>
        <v>540</v>
      </c>
      <c r="O173" s="43">
        <f t="shared" si="15"/>
        <v>693.5</v>
      </c>
    </row>
    <row r="174" spans="1:15" ht="22.95" customHeight="1" x14ac:dyDescent="0.3">
      <c r="A174" s="52" t="s">
        <v>269</v>
      </c>
      <c r="B174" s="44">
        <f t="shared" ref="B174:M174" si="74">B68+B69+B70+B71</f>
        <v>268</v>
      </c>
      <c r="C174" s="39">
        <f t="shared" si="74"/>
        <v>111</v>
      </c>
      <c r="D174" s="39">
        <f t="shared" si="74"/>
        <v>26</v>
      </c>
      <c r="E174" s="39">
        <f t="shared" si="74"/>
        <v>33</v>
      </c>
      <c r="F174" s="39">
        <f t="shared" si="74"/>
        <v>30</v>
      </c>
      <c r="G174" s="50">
        <f t="shared" si="74"/>
        <v>468</v>
      </c>
      <c r="H174" s="44">
        <f t="shared" si="74"/>
        <v>0</v>
      </c>
      <c r="I174" s="39">
        <f t="shared" si="74"/>
        <v>0</v>
      </c>
      <c r="J174" s="39">
        <f t="shared" si="74"/>
        <v>0</v>
      </c>
      <c r="K174" s="45">
        <f t="shared" si="74"/>
        <v>0</v>
      </c>
      <c r="L174" s="144">
        <f t="shared" si="74"/>
        <v>7</v>
      </c>
      <c r="M174" s="50">
        <f t="shared" si="74"/>
        <v>7</v>
      </c>
      <c r="N174" s="40">
        <f t="shared" si="14"/>
        <v>475</v>
      </c>
      <c r="O174" s="43">
        <f t="shared" si="15"/>
        <v>652.5</v>
      </c>
    </row>
    <row r="175" spans="1:15" ht="22.95" customHeight="1" x14ac:dyDescent="0.3">
      <c r="A175" s="54" t="s">
        <v>241</v>
      </c>
      <c r="B175" s="44">
        <f t="shared" ref="B175:M175" si="75">B69+B70+B71+B72</f>
        <v>214</v>
      </c>
      <c r="C175" s="39">
        <f t="shared" si="75"/>
        <v>102</v>
      </c>
      <c r="D175" s="39">
        <f t="shared" si="75"/>
        <v>28</v>
      </c>
      <c r="E175" s="39">
        <f t="shared" si="75"/>
        <v>25</v>
      </c>
      <c r="F175" s="39">
        <f t="shared" si="75"/>
        <v>27</v>
      </c>
      <c r="G175" s="50">
        <f t="shared" si="75"/>
        <v>396</v>
      </c>
      <c r="H175" s="44">
        <f t="shared" si="75"/>
        <v>0</v>
      </c>
      <c r="I175" s="39">
        <f t="shared" si="75"/>
        <v>0</v>
      </c>
      <c r="J175" s="39">
        <f t="shared" si="75"/>
        <v>0</v>
      </c>
      <c r="K175" s="45">
        <f t="shared" si="75"/>
        <v>0</v>
      </c>
      <c r="L175" s="144">
        <f t="shared" si="75"/>
        <v>11</v>
      </c>
      <c r="M175" s="50">
        <f t="shared" si="75"/>
        <v>11</v>
      </c>
      <c r="N175" s="40">
        <f t="shared" si="14"/>
        <v>407</v>
      </c>
      <c r="O175" s="43">
        <f t="shared" si="15"/>
        <v>591.5</v>
      </c>
    </row>
    <row r="176" spans="1:15" ht="22.95" customHeight="1" x14ac:dyDescent="0.3">
      <c r="A176" s="52" t="s">
        <v>242</v>
      </c>
      <c r="B176" s="44">
        <f t="shared" ref="B176:M176" si="76">B70+B71+B72+B73</f>
        <v>189</v>
      </c>
      <c r="C176" s="39">
        <f t="shared" si="76"/>
        <v>89</v>
      </c>
      <c r="D176" s="39">
        <f t="shared" si="76"/>
        <v>30</v>
      </c>
      <c r="E176" s="39">
        <f t="shared" si="76"/>
        <v>21</v>
      </c>
      <c r="F176" s="39">
        <f t="shared" si="76"/>
        <v>21</v>
      </c>
      <c r="G176" s="50">
        <f t="shared" si="76"/>
        <v>350</v>
      </c>
      <c r="H176" s="44">
        <f t="shared" si="76"/>
        <v>1</v>
      </c>
      <c r="I176" s="39">
        <f t="shared" si="76"/>
        <v>0</v>
      </c>
      <c r="J176" s="39">
        <f t="shared" si="76"/>
        <v>0</v>
      </c>
      <c r="K176" s="45">
        <f t="shared" si="76"/>
        <v>0</v>
      </c>
      <c r="L176" s="144">
        <f t="shared" si="76"/>
        <v>10</v>
      </c>
      <c r="M176" s="50">
        <f t="shared" si="76"/>
        <v>11</v>
      </c>
      <c r="N176" s="40">
        <f t="shared" si="14"/>
        <v>361</v>
      </c>
      <c r="O176" s="43">
        <f t="shared" si="15"/>
        <v>516.5</v>
      </c>
    </row>
    <row r="177" spans="1:15" ht="22.95" customHeight="1" x14ac:dyDescent="0.3">
      <c r="A177" s="52" t="s">
        <v>243</v>
      </c>
      <c r="B177" s="44">
        <f t="shared" ref="B177:M177" si="77">B71+B72+B73+B74</f>
        <v>178</v>
      </c>
      <c r="C177" s="39">
        <f t="shared" si="77"/>
        <v>75</v>
      </c>
      <c r="D177" s="39">
        <f t="shared" si="77"/>
        <v>26</v>
      </c>
      <c r="E177" s="39">
        <f t="shared" si="77"/>
        <v>17</v>
      </c>
      <c r="F177" s="39">
        <f t="shared" si="77"/>
        <v>16</v>
      </c>
      <c r="G177" s="50">
        <f t="shared" si="77"/>
        <v>312</v>
      </c>
      <c r="H177" s="44">
        <f t="shared" si="77"/>
        <v>1</v>
      </c>
      <c r="I177" s="39">
        <f t="shared" si="77"/>
        <v>0</v>
      </c>
      <c r="J177" s="39">
        <f t="shared" si="77"/>
        <v>0</v>
      </c>
      <c r="K177" s="45">
        <f t="shared" si="77"/>
        <v>0</v>
      </c>
      <c r="L177" s="144">
        <f t="shared" si="77"/>
        <v>7</v>
      </c>
      <c r="M177" s="50">
        <f t="shared" si="77"/>
        <v>8</v>
      </c>
      <c r="N177" s="40">
        <f t="shared" si="14"/>
        <v>320</v>
      </c>
      <c r="O177" s="43">
        <f t="shared" si="15"/>
        <v>434</v>
      </c>
    </row>
    <row r="178" spans="1:15" ht="22.95" customHeight="1" x14ac:dyDescent="0.3">
      <c r="A178" s="52" t="s">
        <v>244</v>
      </c>
      <c r="B178" s="44">
        <f t="shared" ref="B178:M178" si="78">B72+B73+B74+B75</f>
        <v>168</v>
      </c>
      <c r="C178" s="39">
        <f t="shared" si="78"/>
        <v>72</v>
      </c>
      <c r="D178" s="39">
        <f t="shared" si="78"/>
        <v>29</v>
      </c>
      <c r="E178" s="39">
        <f t="shared" si="78"/>
        <v>13</v>
      </c>
      <c r="F178" s="39">
        <f t="shared" si="78"/>
        <v>13</v>
      </c>
      <c r="G178" s="50">
        <f t="shared" si="78"/>
        <v>295</v>
      </c>
      <c r="H178" s="44">
        <f t="shared" si="78"/>
        <v>1</v>
      </c>
      <c r="I178" s="39">
        <f t="shared" si="78"/>
        <v>0</v>
      </c>
      <c r="J178" s="39">
        <f t="shared" si="78"/>
        <v>0</v>
      </c>
      <c r="K178" s="45">
        <f t="shared" si="78"/>
        <v>0</v>
      </c>
      <c r="L178" s="144">
        <f t="shared" si="78"/>
        <v>4</v>
      </c>
      <c r="M178" s="50">
        <f t="shared" si="78"/>
        <v>5</v>
      </c>
      <c r="N178" s="40">
        <f t="shared" si="14"/>
        <v>300</v>
      </c>
      <c r="O178" s="43">
        <f t="shared" si="15"/>
        <v>377.5</v>
      </c>
    </row>
    <row r="179" spans="1:15" ht="22.95" customHeight="1" x14ac:dyDescent="0.3">
      <c r="A179" s="52" t="s">
        <v>245</v>
      </c>
      <c r="B179" s="44">
        <f t="shared" ref="B179:M179" si="79">B73+B74+B75+B76</f>
        <v>155</v>
      </c>
      <c r="C179" s="39">
        <f t="shared" si="79"/>
        <v>71</v>
      </c>
      <c r="D179" s="39">
        <f t="shared" si="79"/>
        <v>23</v>
      </c>
      <c r="E179" s="39">
        <f t="shared" si="79"/>
        <v>11</v>
      </c>
      <c r="F179" s="39">
        <f t="shared" si="79"/>
        <v>11</v>
      </c>
      <c r="G179" s="50">
        <f t="shared" si="79"/>
        <v>271</v>
      </c>
      <c r="H179" s="44">
        <f t="shared" si="79"/>
        <v>2</v>
      </c>
      <c r="I179" s="39">
        <f t="shared" si="79"/>
        <v>0</v>
      </c>
      <c r="J179" s="39">
        <f t="shared" si="79"/>
        <v>0</v>
      </c>
      <c r="K179" s="45">
        <f t="shared" si="79"/>
        <v>0</v>
      </c>
      <c r="L179" s="144">
        <f t="shared" si="79"/>
        <v>0</v>
      </c>
      <c r="M179" s="50">
        <f t="shared" si="79"/>
        <v>2</v>
      </c>
      <c r="N179" s="40">
        <f t="shared" ref="N179:N206" si="80">G179+M179</f>
        <v>273</v>
      </c>
      <c r="O179" s="43">
        <f t="shared" ref="O179:O206" si="81">B179*1+C179*0.5+D179*1.5+E179*3+F179*4.5+H179*0.5+I179*1.5+J179*3+K179*4+L179*8</f>
        <v>308.5</v>
      </c>
    </row>
    <row r="180" spans="1:15" ht="22.95" customHeight="1" x14ac:dyDescent="0.3">
      <c r="A180" s="52" t="s">
        <v>246</v>
      </c>
      <c r="B180" s="44">
        <f t="shared" ref="B180:M180" si="82">B74+B75+B76+B77</f>
        <v>126</v>
      </c>
      <c r="C180" s="39">
        <f t="shared" si="82"/>
        <v>63</v>
      </c>
      <c r="D180" s="39">
        <f t="shared" si="82"/>
        <v>18</v>
      </c>
      <c r="E180" s="39">
        <f t="shared" si="82"/>
        <v>9</v>
      </c>
      <c r="F180" s="39">
        <f t="shared" si="82"/>
        <v>9</v>
      </c>
      <c r="G180" s="50">
        <f t="shared" si="82"/>
        <v>225</v>
      </c>
      <c r="H180" s="44">
        <f t="shared" si="82"/>
        <v>1</v>
      </c>
      <c r="I180" s="39">
        <f t="shared" si="82"/>
        <v>0</v>
      </c>
      <c r="J180" s="39">
        <f t="shared" si="82"/>
        <v>0</v>
      </c>
      <c r="K180" s="45">
        <f t="shared" si="82"/>
        <v>0</v>
      </c>
      <c r="L180" s="144">
        <f t="shared" si="82"/>
        <v>0</v>
      </c>
      <c r="M180" s="50">
        <f t="shared" si="82"/>
        <v>1</v>
      </c>
      <c r="N180" s="40">
        <f t="shared" si="80"/>
        <v>226</v>
      </c>
      <c r="O180" s="43">
        <f t="shared" si="81"/>
        <v>252.5</v>
      </c>
    </row>
    <row r="181" spans="1:15" ht="22.95" customHeight="1" x14ac:dyDescent="0.3">
      <c r="A181" s="52" t="s">
        <v>247</v>
      </c>
      <c r="B181" s="44">
        <f t="shared" ref="B181:M181" si="83">B75+B76+B77+B78</f>
        <v>100</v>
      </c>
      <c r="C181" s="39">
        <f t="shared" si="83"/>
        <v>58</v>
      </c>
      <c r="D181" s="39">
        <f t="shared" si="83"/>
        <v>16</v>
      </c>
      <c r="E181" s="39">
        <f t="shared" si="83"/>
        <v>8</v>
      </c>
      <c r="F181" s="39">
        <f t="shared" si="83"/>
        <v>10</v>
      </c>
      <c r="G181" s="50">
        <f t="shared" si="83"/>
        <v>192</v>
      </c>
      <c r="H181" s="44">
        <f t="shared" si="83"/>
        <v>1</v>
      </c>
      <c r="I181" s="39">
        <f t="shared" si="83"/>
        <v>0</v>
      </c>
      <c r="J181" s="39">
        <f t="shared" si="83"/>
        <v>0</v>
      </c>
      <c r="K181" s="45">
        <f t="shared" si="83"/>
        <v>0</v>
      </c>
      <c r="L181" s="144">
        <f t="shared" si="83"/>
        <v>0</v>
      </c>
      <c r="M181" s="50">
        <f t="shared" si="83"/>
        <v>1</v>
      </c>
      <c r="N181" s="40">
        <f t="shared" si="80"/>
        <v>193</v>
      </c>
      <c r="O181" s="43">
        <f t="shared" si="81"/>
        <v>222.5</v>
      </c>
    </row>
    <row r="182" spans="1:15" ht="22.95" customHeight="1" x14ac:dyDescent="0.3">
      <c r="A182" s="52" t="s">
        <v>248</v>
      </c>
      <c r="B182" s="44">
        <f t="shared" ref="B182:M182" si="84">B76+B77+B78+B79</f>
        <v>87</v>
      </c>
      <c r="C182" s="39">
        <f t="shared" si="84"/>
        <v>58</v>
      </c>
      <c r="D182" s="39">
        <f t="shared" si="84"/>
        <v>11</v>
      </c>
      <c r="E182" s="39">
        <f t="shared" si="84"/>
        <v>7</v>
      </c>
      <c r="F182" s="39">
        <f t="shared" si="84"/>
        <v>10</v>
      </c>
      <c r="G182" s="50">
        <f t="shared" si="84"/>
        <v>173</v>
      </c>
      <c r="H182" s="44">
        <f t="shared" si="84"/>
        <v>1</v>
      </c>
      <c r="I182" s="39">
        <f t="shared" si="84"/>
        <v>0</v>
      </c>
      <c r="J182" s="39">
        <f t="shared" si="84"/>
        <v>0</v>
      </c>
      <c r="K182" s="45">
        <f t="shared" si="84"/>
        <v>0</v>
      </c>
      <c r="L182" s="144">
        <f t="shared" si="84"/>
        <v>0</v>
      </c>
      <c r="M182" s="50">
        <f t="shared" si="84"/>
        <v>1</v>
      </c>
      <c r="N182" s="40">
        <f t="shared" si="80"/>
        <v>174</v>
      </c>
      <c r="O182" s="43">
        <f t="shared" si="81"/>
        <v>199</v>
      </c>
    </row>
    <row r="183" spans="1:15" ht="22.95" customHeight="1" x14ac:dyDescent="0.3">
      <c r="A183" s="52" t="s">
        <v>249</v>
      </c>
      <c r="B183" s="44">
        <f t="shared" ref="B183:M183" si="85">B77+B78+B79+B80</f>
        <v>65</v>
      </c>
      <c r="C183" s="39">
        <f t="shared" si="85"/>
        <v>40</v>
      </c>
      <c r="D183" s="39">
        <f t="shared" si="85"/>
        <v>8</v>
      </c>
      <c r="E183" s="39">
        <f t="shared" si="85"/>
        <v>6</v>
      </c>
      <c r="F183" s="39">
        <f t="shared" si="85"/>
        <v>9</v>
      </c>
      <c r="G183" s="50">
        <f t="shared" si="85"/>
        <v>128</v>
      </c>
      <c r="H183" s="44">
        <f t="shared" si="85"/>
        <v>0</v>
      </c>
      <c r="I183" s="39">
        <f t="shared" si="85"/>
        <v>0</v>
      </c>
      <c r="J183" s="39">
        <f t="shared" si="85"/>
        <v>0</v>
      </c>
      <c r="K183" s="45">
        <f t="shared" si="85"/>
        <v>0</v>
      </c>
      <c r="L183" s="144">
        <f t="shared" si="85"/>
        <v>0</v>
      </c>
      <c r="M183" s="50">
        <f t="shared" si="85"/>
        <v>0</v>
      </c>
      <c r="N183" s="40">
        <f t="shared" si="80"/>
        <v>128</v>
      </c>
      <c r="O183" s="43">
        <f t="shared" si="81"/>
        <v>155.5</v>
      </c>
    </row>
    <row r="184" spans="1:15" ht="22.95" customHeight="1" x14ac:dyDescent="0.3">
      <c r="A184" s="52" t="s">
        <v>250</v>
      </c>
      <c r="B184" s="44">
        <f t="shared" ref="B184:M184" si="86">B78+B79+B80+B81</f>
        <v>57</v>
      </c>
      <c r="C184" s="39">
        <f t="shared" si="86"/>
        <v>50</v>
      </c>
      <c r="D184" s="39">
        <f t="shared" si="86"/>
        <v>7</v>
      </c>
      <c r="E184" s="39">
        <f t="shared" si="86"/>
        <v>6</v>
      </c>
      <c r="F184" s="39">
        <f t="shared" si="86"/>
        <v>10</v>
      </c>
      <c r="G184" s="50">
        <f t="shared" si="86"/>
        <v>130</v>
      </c>
      <c r="H184" s="44">
        <f t="shared" si="86"/>
        <v>1</v>
      </c>
      <c r="I184" s="39">
        <f t="shared" si="86"/>
        <v>0</v>
      </c>
      <c r="J184" s="39">
        <f t="shared" si="86"/>
        <v>0</v>
      </c>
      <c r="K184" s="45">
        <f t="shared" si="86"/>
        <v>0</v>
      </c>
      <c r="L184" s="144">
        <f t="shared" si="86"/>
        <v>0</v>
      </c>
      <c r="M184" s="50">
        <f t="shared" si="86"/>
        <v>1</v>
      </c>
      <c r="N184" s="40">
        <f t="shared" si="80"/>
        <v>131</v>
      </c>
      <c r="O184" s="43">
        <f t="shared" si="81"/>
        <v>156</v>
      </c>
    </row>
    <row r="185" spans="1:15" ht="22.95" customHeight="1" x14ac:dyDescent="0.3">
      <c r="A185" s="52" t="s">
        <v>251</v>
      </c>
      <c r="B185" s="44">
        <f t="shared" ref="B185:M185" si="87">B79+B80+B81+B82</f>
        <v>51</v>
      </c>
      <c r="C185" s="39">
        <f t="shared" si="87"/>
        <v>56</v>
      </c>
      <c r="D185" s="39">
        <f t="shared" si="87"/>
        <v>8</v>
      </c>
      <c r="E185" s="39">
        <f t="shared" si="87"/>
        <v>6</v>
      </c>
      <c r="F185" s="39">
        <f t="shared" si="87"/>
        <v>13</v>
      </c>
      <c r="G185" s="50">
        <f t="shared" si="87"/>
        <v>134</v>
      </c>
      <c r="H185" s="44">
        <f t="shared" si="87"/>
        <v>1</v>
      </c>
      <c r="I185" s="39">
        <f t="shared" si="87"/>
        <v>0</v>
      </c>
      <c r="J185" s="39">
        <f t="shared" si="87"/>
        <v>0</v>
      </c>
      <c r="K185" s="45">
        <f t="shared" si="87"/>
        <v>0</v>
      </c>
      <c r="L185" s="144">
        <f t="shared" si="87"/>
        <v>0</v>
      </c>
      <c r="M185" s="50">
        <f t="shared" si="87"/>
        <v>1</v>
      </c>
      <c r="N185" s="40">
        <f t="shared" si="80"/>
        <v>135</v>
      </c>
      <c r="O185" s="43">
        <f t="shared" si="81"/>
        <v>168</v>
      </c>
    </row>
    <row r="186" spans="1:15" ht="22.95" customHeight="1" x14ac:dyDescent="0.3">
      <c r="A186" s="52" t="s">
        <v>252</v>
      </c>
      <c r="B186" s="44">
        <f t="shared" ref="B186:M186" si="88">B80+B81+B82+B83</f>
        <v>42</v>
      </c>
      <c r="C186" s="39">
        <f t="shared" si="88"/>
        <v>45</v>
      </c>
      <c r="D186" s="39">
        <f t="shared" si="88"/>
        <v>9</v>
      </c>
      <c r="E186" s="39">
        <f t="shared" si="88"/>
        <v>10</v>
      </c>
      <c r="F186" s="39">
        <f t="shared" si="88"/>
        <v>12</v>
      </c>
      <c r="G186" s="50">
        <f t="shared" si="88"/>
        <v>118</v>
      </c>
      <c r="H186" s="44">
        <f t="shared" si="88"/>
        <v>1</v>
      </c>
      <c r="I186" s="39">
        <f t="shared" si="88"/>
        <v>0</v>
      </c>
      <c r="J186" s="39">
        <f t="shared" si="88"/>
        <v>0</v>
      </c>
      <c r="K186" s="45">
        <f t="shared" si="88"/>
        <v>0</v>
      </c>
      <c r="L186" s="144">
        <f t="shared" si="88"/>
        <v>0</v>
      </c>
      <c r="M186" s="50">
        <f t="shared" si="88"/>
        <v>1</v>
      </c>
      <c r="N186" s="40">
        <f t="shared" si="80"/>
        <v>119</v>
      </c>
      <c r="O186" s="43">
        <f t="shared" si="81"/>
        <v>162.5</v>
      </c>
    </row>
    <row r="187" spans="1:15" ht="22.95" customHeight="1" x14ac:dyDescent="0.3">
      <c r="A187" s="52" t="s">
        <v>253</v>
      </c>
      <c r="B187" s="44">
        <f t="shared" ref="B187:M187" si="89">B81+B82+B83+B84</f>
        <v>48</v>
      </c>
      <c r="C187" s="39">
        <f t="shared" si="89"/>
        <v>52</v>
      </c>
      <c r="D187" s="39">
        <f t="shared" si="89"/>
        <v>8</v>
      </c>
      <c r="E187" s="39">
        <f t="shared" si="89"/>
        <v>12</v>
      </c>
      <c r="F187" s="39">
        <f t="shared" si="89"/>
        <v>14</v>
      </c>
      <c r="G187" s="50">
        <f t="shared" si="89"/>
        <v>134</v>
      </c>
      <c r="H187" s="44">
        <f t="shared" si="89"/>
        <v>1</v>
      </c>
      <c r="I187" s="39">
        <f t="shared" si="89"/>
        <v>0</v>
      </c>
      <c r="J187" s="39">
        <f t="shared" si="89"/>
        <v>0</v>
      </c>
      <c r="K187" s="45">
        <f t="shared" si="89"/>
        <v>0</v>
      </c>
      <c r="L187" s="144">
        <f t="shared" si="89"/>
        <v>0</v>
      </c>
      <c r="M187" s="50">
        <f t="shared" si="89"/>
        <v>1</v>
      </c>
      <c r="N187" s="40">
        <f t="shared" si="80"/>
        <v>135</v>
      </c>
      <c r="O187" s="43">
        <f t="shared" si="81"/>
        <v>185.5</v>
      </c>
    </row>
    <row r="188" spans="1:15" ht="22.95" customHeight="1" x14ac:dyDescent="0.3">
      <c r="A188" s="52" t="s">
        <v>254</v>
      </c>
      <c r="B188" s="44">
        <f t="shared" ref="B188:M188" si="90">B82+B83+B84+B85</f>
        <v>45</v>
      </c>
      <c r="C188" s="39">
        <f t="shared" si="90"/>
        <v>40</v>
      </c>
      <c r="D188" s="39">
        <f t="shared" si="90"/>
        <v>8</v>
      </c>
      <c r="E188" s="39">
        <f t="shared" si="90"/>
        <v>12</v>
      </c>
      <c r="F188" s="39">
        <f t="shared" si="90"/>
        <v>15</v>
      </c>
      <c r="G188" s="50">
        <f t="shared" si="90"/>
        <v>120</v>
      </c>
      <c r="H188" s="44">
        <f t="shared" si="90"/>
        <v>0</v>
      </c>
      <c r="I188" s="39">
        <f t="shared" si="90"/>
        <v>0</v>
      </c>
      <c r="J188" s="39">
        <f t="shared" si="90"/>
        <v>0</v>
      </c>
      <c r="K188" s="45">
        <f t="shared" si="90"/>
        <v>0</v>
      </c>
      <c r="L188" s="144">
        <f t="shared" si="90"/>
        <v>0</v>
      </c>
      <c r="M188" s="50">
        <f t="shared" si="90"/>
        <v>0</v>
      </c>
      <c r="N188" s="40">
        <f t="shared" si="80"/>
        <v>120</v>
      </c>
      <c r="O188" s="43">
        <f t="shared" si="81"/>
        <v>180.5</v>
      </c>
    </row>
    <row r="189" spans="1:15" ht="22.95" customHeight="1" x14ac:dyDescent="0.3">
      <c r="A189" s="52" t="s">
        <v>255</v>
      </c>
      <c r="B189" s="44">
        <f t="shared" ref="B189:M189" si="91">B83+B84+B85+B86</f>
        <v>45</v>
      </c>
      <c r="C189" s="39">
        <f t="shared" si="91"/>
        <v>46</v>
      </c>
      <c r="D189" s="39">
        <f t="shared" si="91"/>
        <v>8</v>
      </c>
      <c r="E189" s="39">
        <f t="shared" si="91"/>
        <v>10</v>
      </c>
      <c r="F189" s="39">
        <f t="shared" si="91"/>
        <v>14</v>
      </c>
      <c r="G189" s="50">
        <f t="shared" si="91"/>
        <v>123</v>
      </c>
      <c r="H189" s="44">
        <f t="shared" si="91"/>
        <v>0</v>
      </c>
      <c r="I189" s="39">
        <f t="shared" si="91"/>
        <v>0</v>
      </c>
      <c r="J189" s="39">
        <f t="shared" si="91"/>
        <v>0</v>
      </c>
      <c r="K189" s="45">
        <f t="shared" si="91"/>
        <v>0</v>
      </c>
      <c r="L189" s="144">
        <f t="shared" si="91"/>
        <v>0</v>
      </c>
      <c r="M189" s="50">
        <f t="shared" si="91"/>
        <v>0</v>
      </c>
      <c r="N189" s="40">
        <f t="shared" si="80"/>
        <v>123</v>
      </c>
      <c r="O189" s="43">
        <f t="shared" si="81"/>
        <v>173</v>
      </c>
    </row>
    <row r="190" spans="1:15" ht="22.95" customHeight="1" x14ac:dyDescent="0.3">
      <c r="A190" s="52" t="s">
        <v>256</v>
      </c>
      <c r="B190" s="44">
        <f t="shared" ref="B190:M190" si="92">B84+B85+B86+B87</f>
        <v>52</v>
      </c>
      <c r="C190" s="39">
        <f t="shared" si="92"/>
        <v>63</v>
      </c>
      <c r="D190" s="39">
        <f t="shared" si="92"/>
        <v>5</v>
      </c>
      <c r="E190" s="39">
        <f t="shared" si="92"/>
        <v>9</v>
      </c>
      <c r="F190" s="39">
        <f t="shared" si="92"/>
        <v>14</v>
      </c>
      <c r="G190" s="50">
        <f t="shared" si="92"/>
        <v>143</v>
      </c>
      <c r="H190" s="44">
        <f t="shared" si="92"/>
        <v>0</v>
      </c>
      <c r="I190" s="39">
        <f t="shared" si="92"/>
        <v>0</v>
      </c>
      <c r="J190" s="39">
        <f t="shared" si="92"/>
        <v>0</v>
      </c>
      <c r="K190" s="45">
        <f t="shared" si="92"/>
        <v>0</v>
      </c>
      <c r="L190" s="144">
        <f t="shared" si="92"/>
        <v>0</v>
      </c>
      <c r="M190" s="50">
        <f t="shared" si="92"/>
        <v>0</v>
      </c>
      <c r="N190" s="40">
        <f t="shared" si="80"/>
        <v>143</v>
      </c>
      <c r="O190" s="43">
        <f t="shared" si="81"/>
        <v>181</v>
      </c>
    </row>
    <row r="191" spans="1:15" ht="22.95" customHeight="1" x14ac:dyDescent="0.3">
      <c r="A191" s="52" t="s">
        <v>257</v>
      </c>
      <c r="B191" s="44">
        <f t="shared" ref="B191:M191" si="93">B85+B86+B87+B88</f>
        <v>64</v>
      </c>
      <c r="C191" s="39">
        <f t="shared" si="93"/>
        <v>79</v>
      </c>
      <c r="D191" s="39">
        <f t="shared" si="93"/>
        <v>8</v>
      </c>
      <c r="E191" s="39">
        <f t="shared" si="93"/>
        <v>9</v>
      </c>
      <c r="F191" s="39">
        <f t="shared" si="93"/>
        <v>12</v>
      </c>
      <c r="G191" s="50">
        <f t="shared" si="93"/>
        <v>172</v>
      </c>
      <c r="H191" s="44">
        <f t="shared" si="93"/>
        <v>1</v>
      </c>
      <c r="I191" s="39">
        <f t="shared" si="93"/>
        <v>0</v>
      </c>
      <c r="J191" s="39">
        <f t="shared" si="93"/>
        <v>0</v>
      </c>
      <c r="K191" s="45">
        <f t="shared" si="93"/>
        <v>0</v>
      </c>
      <c r="L191" s="144">
        <f t="shared" si="93"/>
        <v>0</v>
      </c>
      <c r="M191" s="50">
        <f t="shared" si="93"/>
        <v>1</v>
      </c>
      <c r="N191" s="40">
        <f t="shared" si="80"/>
        <v>173</v>
      </c>
      <c r="O191" s="43">
        <f t="shared" si="81"/>
        <v>197</v>
      </c>
    </row>
    <row r="192" spans="1:15" ht="22.95" customHeight="1" x14ac:dyDescent="0.3">
      <c r="A192" s="52" t="s">
        <v>258</v>
      </c>
      <c r="B192" s="44">
        <f t="shared" ref="B192:M192" si="94">B86+B87+B88+B89</f>
        <v>67</v>
      </c>
      <c r="C192" s="39">
        <f t="shared" si="94"/>
        <v>97</v>
      </c>
      <c r="D192" s="39">
        <f t="shared" si="94"/>
        <v>12</v>
      </c>
      <c r="E192" s="39">
        <f t="shared" si="94"/>
        <v>12</v>
      </c>
      <c r="F192" s="39">
        <f t="shared" si="94"/>
        <v>16</v>
      </c>
      <c r="G192" s="50">
        <f t="shared" si="94"/>
        <v>204</v>
      </c>
      <c r="H192" s="44">
        <f t="shared" si="94"/>
        <v>1</v>
      </c>
      <c r="I192" s="39">
        <f t="shared" si="94"/>
        <v>0</v>
      </c>
      <c r="J192" s="39">
        <f t="shared" si="94"/>
        <v>0</v>
      </c>
      <c r="K192" s="45">
        <f t="shared" si="94"/>
        <v>0</v>
      </c>
      <c r="L192" s="144">
        <f t="shared" si="94"/>
        <v>0</v>
      </c>
      <c r="M192" s="50">
        <f t="shared" si="94"/>
        <v>1</v>
      </c>
      <c r="N192" s="40">
        <f t="shared" si="80"/>
        <v>205</v>
      </c>
      <c r="O192" s="43">
        <f t="shared" si="81"/>
        <v>242</v>
      </c>
    </row>
    <row r="193" spans="1:15" ht="22.95" customHeight="1" x14ac:dyDescent="0.3">
      <c r="A193" s="52" t="s">
        <v>259</v>
      </c>
      <c r="B193" s="44">
        <f t="shared" ref="B193:M193" si="95">B87+B88+B89+B90</f>
        <v>75</v>
      </c>
      <c r="C193" s="39">
        <f t="shared" si="95"/>
        <v>113</v>
      </c>
      <c r="D193" s="39">
        <f t="shared" si="95"/>
        <v>20</v>
      </c>
      <c r="E193" s="39">
        <f t="shared" si="95"/>
        <v>12</v>
      </c>
      <c r="F193" s="39">
        <f t="shared" si="95"/>
        <v>18</v>
      </c>
      <c r="G193" s="50">
        <f t="shared" si="95"/>
        <v>238</v>
      </c>
      <c r="H193" s="44">
        <f t="shared" si="95"/>
        <v>2</v>
      </c>
      <c r="I193" s="39">
        <f t="shared" si="95"/>
        <v>0</v>
      </c>
      <c r="J193" s="39">
        <f t="shared" si="95"/>
        <v>0</v>
      </c>
      <c r="K193" s="45">
        <f t="shared" si="95"/>
        <v>0</v>
      </c>
      <c r="L193" s="144">
        <f t="shared" si="95"/>
        <v>0</v>
      </c>
      <c r="M193" s="50">
        <f t="shared" si="95"/>
        <v>2</v>
      </c>
      <c r="N193" s="40">
        <f t="shared" si="80"/>
        <v>240</v>
      </c>
      <c r="O193" s="43">
        <f t="shared" si="81"/>
        <v>279.5</v>
      </c>
    </row>
    <row r="194" spans="1:15" ht="22.95" customHeight="1" x14ac:dyDescent="0.3">
      <c r="A194" s="52" t="s">
        <v>260</v>
      </c>
      <c r="B194" s="44">
        <f t="shared" ref="B194:M194" si="96">B88+B89+B90+B91</f>
        <v>84</v>
      </c>
      <c r="C194" s="39">
        <f t="shared" si="96"/>
        <v>127</v>
      </c>
      <c r="D194" s="39">
        <f t="shared" si="96"/>
        <v>23</v>
      </c>
      <c r="E194" s="39">
        <f t="shared" si="96"/>
        <v>12</v>
      </c>
      <c r="F194" s="39">
        <f t="shared" si="96"/>
        <v>19</v>
      </c>
      <c r="G194" s="50">
        <f t="shared" si="96"/>
        <v>265</v>
      </c>
      <c r="H194" s="44">
        <f t="shared" si="96"/>
        <v>2</v>
      </c>
      <c r="I194" s="39">
        <f t="shared" si="96"/>
        <v>0</v>
      </c>
      <c r="J194" s="39">
        <f t="shared" si="96"/>
        <v>0</v>
      </c>
      <c r="K194" s="45">
        <f t="shared" si="96"/>
        <v>0</v>
      </c>
      <c r="L194" s="144">
        <f t="shared" si="96"/>
        <v>0</v>
      </c>
      <c r="M194" s="50">
        <f t="shared" si="96"/>
        <v>2</v>
      </c>
      <c r="N194" s="40">
        <f t="shared" si="80"/>
        <v>267</v>
      </c>
      <c r="O194" s="43">
        <f t="shared" si="81"/>
        <v>304.5</v>
      </c>
    </row>
    <row r="195" spans="1:15" ht="22.95" customHeight="1" x14ac:dyDescent="0.3">
      <c r="A195" s="52" t="s">
        <v>261</v>
      </c>
      <c r="B195" s="44">
        <f t="shared" ref="B195:M195" si="97">B89+B90+B91+B92</f>
        <v>90</v>
      </c>
      <c r="C195" s="39">
        <f t="shared" si="97"/>
        <v>148</v>
      </c>
      <c r="D195" s="39">
        <f t="shared" si="97"/>
        <v>22</v>
      </c>
      <c r="E195" s="39">
        <f t="shared" si="97"/>
        <v>11</v>
      </c>
      <c r="F195" s="39">
        <f t="shared" si="97"/>
        <v>26</v>
      </c>
      <c r="G195" s="50">
        <f t="shared" si="97"/>
        <v>297</v>
      </c>
      <c r="H195" s="44">
        <f t="shared" si="97"/>
        <v>1</v>
      </c>
      <c r="I195" s="39">
        <f t="shared" si="97"/>
        <v>0</v>
      </c>
      <c r="J195" s="39">
        <f t="shared" si="97"/>
        <v>0</v>
      </c>
      <c r="K195" s="45">
        <f t="shared" si="97"/>
        <v>0</v>
      </c>
      <c r="L195" s="144">
        <f t="shared" si="97"/>
        <v>0</v>
      </c>
      <c r="M195" s="50">
        <f t="shared" si="97"/>
        <v>1</v>
      </c>
      <c r="N195" s="40">
        <f t="shared" si="80"/>
        <v>298</v>
      </c>
      <c r="O195" s="43">
        <f t="shared" si="81"/>
        <v>347.5</v>
      </c>
    </row>
    <row r="196" spans="1:15" ht="22.95" customHeight="1" x14ac:dyDescent="0.3">
      <c r="A196" s="52" t="s">
        <v>270</v>
      </c>
      <c r="B196" s="44">
        <f t="shared" ref="B196:M196" si="98">B90+B91+B92+B93</f>
        <v>116</v>
      </c>
      <c r="C196" s="39">
        <f t="shared" si="98"/>
        <v>204</v>
      </c>
      <c r="D196" s="39">
        <f t="shared" si="98"/>
        <v>20</v>
      </c>
      <c r="E196" s="39">
        <f t="shared" si="98"/>
        <v>8</v>
      </c>
      <c r="F196" s="39">
        <f t="shared" si="98"/>
        <v>23</v>
      </c>
      <c r="G196" s="50">
        <f t="shared" si="98"/>
        <v>371</v>
      </c>
      <c r="H196" s="44">
        <f t="shared" si="98"/>
        <v>1</v>
      </c>
      <c r="I196" s="39">
        <f t="shared" si="98"/>
        <v>0</v>
      </c>
      <c r="J196" s="39">
        <f t="shared" si="98"/>
        <v>0</v>
      </c>
      <c r="K196" s="45">
        <f t="shared" si="98"/>
        <v>0</v>
      </c>
      <c r="L196" s="144">
        <f t="shared" si="98"/>
        <v>0</v>
      </c>
      <c r="M196" s="50">
        <f t="shared" si="98"/>
        <v>1</v>
      </c>
      <c r="N196" s="40">
        <f t="shared" si="80"/>
        <v>372</v>
      </c>
      <c r="O196" s="43">
        <f t="shared" si="81"/>
        <v>376</v>
      </c>
    </row>
    <row r="197" spans="1:15" ht="22.95" customHeight="1" x14ac:dyDescent="0.3">
      <c r="A197" s="52" t="s">
        <v>271</v>
      </c>
      <c r="B197" s="44">
        <f t="shared" ref="B197:M197" si="99">B91+B92+B93+B94</f>
        <v>163</v>
      </c>
      <c r="C197" s="39">
        <f t="shared" si="99"/>
        <v>288</v>
      </c>
      <c r="D197" s="39">
        <f t="shared" si="99"/>
        <v>14</v>
      </c>
      <c r="E197" s="39">
        <f t="shared" si="99"/>
        <v>11</v>
      </c>
      <c r="F197" s="39">
        <f t="shared" si="99"/>
        <v>29</v>
      </c>
      <c r="G197" s="50">
        <f t="shared" si="99"/>
        <v>505</v>
      </c>
      <c r="H197" s="44">
        <f t="shared" si="99"/>
        <v>1</v>
      </c>
      <c r="I197" s="39">
        <f t="shared" si="99"/>
        <v>0</v>
      </c>
      <c r="J197" s="39">
        <f t="shared" si="99"/>
        <v>0</v>
      </c>
      <c r="K197" s="45">
        <f t="shared" si="99"/>
        <v>0</v>
      </c>
      <c r="L197" s="144">
        <f t="shared" si="99"/>
        <v>1</v>
      </c>
      <c r="M197" s="50">
        <f t="shared" si="99"/>
        <v>2</v>
      </c>
      <c r="N197" s="40">
        <f t="shared" si="80"/>
        <v>507</v>
      </c>
      <c r="O197" s="43">
        <f t="shared" si="81"/>
        <v>500</v>
      </c>
    </row>
    <row r="198" spans="1:15" ht="22.95" customHeight="1" x14ac:dyDescent="0.3">
      <c r="A198" s="52" t="s">
        <v>279</v>
      </c>
      <c r="B198" s="44">
        <f t="shared" ref="B198:M198" si="100">B92+B93+B94+B95</f>
        <v>236</v>
      </c>
      <c r="C198" s="39">
        <f t="shared" si="100"/>
        <v>432</v>
      </c>
      <c r="D198" s="39">
        <f t="shared" si="100"/>
        <v>14</v>
      </c>
      <c r="E198" s="39">
        <f t="shared" si="100"/>
        <v>13</v>
      </c>
      <c r="F198" s="39">
        <f t="shared" si="100"/>
        <v>36</v>
      </c>
      <c r="G198" s="50">
        <f t="shared" si="100"/>
        <v>731</v>
      </c>
      <c r="H198" s="44">
        <f t="shared" si="100"/>
        <v>1</v>
      </c>
      <c r="I198" s="39">
        <f t="shared" si="100"/>
        <v>0</v>
      </c>
      <c r="J198" s="39">
        <f t="shared" si="100"/>
        <v>0</v>
      </c>
      <c r="K198" s="45">
        <f t="shared" si="100"/>
        <v>0</v>
      </c>
      <c r="L198" s="144">
        <f t="shared" si="100"/>
        <v>3</v>
      </c>
      <c r="M198" s="50">
        <f t="shared" si="100"/>
        <v>4</v>
      </c>
      <c r="N198" s="40">
        <f t="shared" si="80"/>
        <v>735</v>
      </c>
      <c r="O198" s="43">
        <f t="shared" si="81"/>
        <v>698.5</v>
      </c>
    </row>
    <row r="199" spans="1:15" ht="22.95" customHeight="1" x14ac:dyDescent="0.3">
      <c r="A199" s="52" t="s">
        <v>62</v>
      </c>
      <c r="B199" s="44">
        <f t="shared" ref="B199:M199" si="101">B93+B94+B95+B96</f>
        <v>318</v>
      </c>
      <c r="C199" s="39">
        <f t="shared" si="101"/>
        <v>585</v>
      </c>
      <c r="D199" s="39">
        <f t="shared" si="101"/>
        <v>14</v>
      </c>
      <c r="E199" s="39">
        <f t="shared" si="101"/>
        <v>16</v>
      </c>
      <c r="F199" s="39">
        <f t="shared" si="101"/>
        <v>38</v>
      </c>
      <c r="G199" s="50">
        <f t="shared" si="101"/>
        <v>971</v>
      </c>
      <c r="H199" s="44">
        <f t="shared" si="101"/>
        <v>1</v>
      </c>
      <c r="I199" s="39">
        <f t="shared" si="101"/>
        <v>0</v>
      </c>
      <c r="J199" s="39">
        <f t="shared" si="101"/>
        <v>0</v>
      </c>
      <c r="K199" s="45">
        <f t="shared" si="101"/>
        <v>0</v>
      </c>
      <c r="L199" s="144">
        <f t="shared" si="101"/>
        <v>4</v>
      </c>
      <c r="M199" s="50">
        <f t="shared" si="101"/>
        <v>5</v>
      </c>
      <c r="N199" s="40">
        <f t="shared" si="80"/>
        <v>976</v>
      </c>
      <c r="O199" s="43">
        <f t="shared" si="81"/>
        <v>883</v>
      </c>
    </row>
    <row r="200" spans="1:15" ht="22.95" customHeight="1" x14ac:dyDescent="0.3">
      <c r="A200" s="52" t="s">
        <v>63</v>
      </c>
      <c r="B200" s="44">
        <f t="shared" ref="B200:M200" si="102">B94+B95+B96+B97</f>
        <v>416</v>
      </c>
      <c r="C200" s="39">
        <f t="shared" si="102"/>
        <v>765</v>
      </c>
      <c r="D200" s="39">
        <f t="shared" si="102"/>
        <v>17</v>
      </c>
      <c r="E200" s="39">
        <f t="shared" si="102"/>
        <v>21</v>
      </c>
      <c r="F200" s="39">
        <f t="shared" si="102"/>
        <v>44</v>
      </c>
      <c r="G200" s="50">
        <f t="shared" si="102"/>
        <v>1263</v>
      </c>
      <c r="H200" s="44">
        <f t="shared" si="102"/>
        <v>2</v>
      </c>
      <c r="I200" s="39">
        <f t="shared" si="102"/>
        <v>0</v>
      </c>
      <c r="J200" s="39">
        <f t="shared" si="102"/>
        <v>0</v>
      </c>
      <c r="K200" s="45">
        <f t="shared" si="102"/>
        <v>0</v>
      </c>
      <c r="L200" s="144">
        <f t="shared" si="102"/>
        <v>6</v>
      </c>
      <c r="M200" s="50">
        <f t="shared" si="102"/>
        <v>8</v>
      </c>
      <c r="N200" s="40">
        <f t="shared" si="80"/>
        <v>1271</v>
      </c>
      <c r="O200" s="43">
        <f t="shared" si="81"/>
        <v>1134</v>
      </c>
    </row>
    <row r="201" spans="1:15" ht="22.95" customHeight="1" x14ac:dyDescent="0.3">
      <c r="A201" s="52" t="s">
        <v>64</v>
      </c>
      <c r="B201" s="44">
        <f t="shared" ref="B201:M201" si="103">B95+B96+B97+B98</f>
        <v>543</v>
      </c>
      <c r="C201" s="39">
        <f t="shared" si="103"/>
        <v>986</v>
      </c>
      <c r="D201" s="39">
        <f t="shared" si="103"/>
        <v>19</v>
      </c>
      <c r="E201" s="39">
        <f t="shared" si="103"/>
        <v>25</v>
      </c>
      <c r="F201" s="39">
        <f t="shared" si="103"/>
        <v>41</v>
      </c>
      <c r="G201" s="50">
        <f t="shared" si="103"/>
        <v>1614</v>
      </c>
      <c r="H201" s="44">
        <f t="shared" si="103"/>
        <v>3</v>
      </c>
      <c r="I201" s="39">
        <f t="shared" si="103"/>
        <v>0</v>
      </c>
      <c r="J201" s="39">
        <f t="shared" si="103"/>
        <v>0</v>
      </c>
      <c r="K201" s="45">
        <f t="shared" si="103"/>
        <v>0</v>
      </c>
      <c r="L201" s="144">
        <f t="shared" si="103"/>
        <v>9</v>
      </c>
      <c r="M201" s="50">
        <f t="shared" si="103"/>
        <v>12</v>
      </c>
      <c r="N201" s="40">
        <f t="shared" si="80"/>
        <v>1626</v>
      </c>
      <c r="O201" s="43">
        <f t="shared" si="81"/>
        <v>1397.5</v>
      </c>
    </row>
    <row r="202" spans="1:15" ht="22.95" customHeight="1" x14ac:dyDescent="0.3">
      <c r="A202" s="52" t="s">
        <v>65</v>
      </c>
      <c r="B202" s="44">
        <f t="shared" ref="B202:M202" si="104">B96+B97+B98+B99</f>
        <v>652</v>
      </c>
      <c r="C202" s="39">
        <f t="shared" si="104"/>
        <v>1181</v>
      </c>
      <c r="D202" s="39">
        <f t="shared" si="104"/>
        <v>23</v>
      </c>
      <c r="E202" s="39">
        <f t="shared" si="104"/>
        <v>27</v>
      </c>
      <c r="F202" s="39">
        <f t="shared" si="104"/>
        <v>35</v>
      </c>
      <c r="G202" s="50">
        <f t="shared" si="104"/>
        <v>1918</v>
      </c>
      <c r="H202" s="44">
        <f t="shared" si="104"/>
        <v>3</v>
      </c>
      <c r="I202" s="39">
        <f t="shared" si="104"/>
        <v>0</v>
      </c>
      <c r="J202" s="39">
        <f t="shared" si="104"/>
        <v>0</v>
      </c>
      <c r="K202" s="45">
        <f t="shared" si="104"/>
        <v>0</v>
      </c>
      <c r="L202" s="144">
        <f t="shared" si="104"/>
        <v>9</v>
      </c>
      <c r="M202" s="50">
        <f t="shared" si="104"/>
        <v>12</v>
      </c>
      <c r="N202" s="40">
        <f t="shared" si="80"/>
        <v>1930</v>
      </c>
      <c r="O202" s="43">
        <f t="shared" si="81"/>
        <v>1589</v>
      </c>
    </row>
    <row r="203" spans="1:15" ht="22.95" customHeight="1" x14ac:dyDescent="0.3">
      <c r="A203" s="52" t="s">
        <v>66</v>
      </c>
      <c r="B203" s="44">
        <f t="shared" ref="B203:M203" si="105">B97+B98+B99+B100</f>
        <v>756</v>
      </c>
      <c r="C203" s="39">
        <f t="shared" si="105"/>
        <v>1398</v>
      </c>
      <c r="D203" s="39">
        <f t="shared" si="105"/>
        <v>29</v>
      </c>
      <c r="E203" s="39">
        <f t="shared" si="105"/>
        <v>29</v>
      </c>
      <c r="F203" s="39">
        <f t="shared" si="105"/>
        <v>30</v>
      </c>
      <c r="G203" s="50">
        <f t="shared" si="105"/>
        <v>2242</v>
      </c>
      <c r="H203" s="44">
        <f t="shared" si="105"/>
        <v>5</v>
      </c>
      <c r="I203" s="39">
        <f t="shared" si="105"/>
        <v>0</v>
      </c>
      <c r="J203" s="39">
        <f t="shared" si="105"/>
        <v>0</v>
      </c>
      <c r="K203" s="45">
        <f t="shared" si="105"/>
        <v>0</v>
      </c>
      <c r="L203" s="144">
        <f t="shared" si="105"/>
        <v>14</v>
      </c>
      <c r="M203" s="50">
        <f t="shared" si="105"/>
        <v>19</v>
      </c>
      <c r="N203" s="40">
        <f t="shared" si="80"/>
        <v>2261</v>
      </c>
      <c r="O203" s="43">
        <f t="shared" si="81"/>
        <v>1835</v>
      </c>
    </row>
    <row r="204" spans="1:15" ht="22.95" customHeight="1" x14ac:dyDescent="0.3">
      <c r="A204" s="52" t="s">
        <v>67</v>
      </c>
      <c r="B204" s="44">
        <f t="shared" ref="B204:M204" si="106">B98+B99+B100+B101</f>
        <v>894</v>
      </c>
      <c r="C204" s="39">
        <f t="shared" si="106"/>
        <v>1632</v>
      </c>
      <c r="D204" s="39">
        <f t="shared" si="106"/>
        <v>30</v>
      </c>
      <c r="E204" s="39">
        <f t="shared" si="106"/>
        <v>32</v>
      </c>
      <c r="F204" s="39">
        <f t="shared" si="106"/>
        <v>27</v>
      </c>
      <c r="G204" s="50">
        <f t="shared" si="106"/>
        <v>2615</v>
      </c>
      <c r="H204" s="44">
        <f t="shared" si="106"/>
        <v>6</v>
      </c>
      <c r="I204" s="39">
        <f t="shared" si="106"/>
        <v>0</v>
      </c>
      <c r="J204" s="39">
        <f t="shared" si="106"/>
        <v>0</v>
      </c>
      <c r="K204" s="45">
        <f t="shared" si="106"/>
        <v>0</v>
      </c>
      <c r="L204" s="144">
        <f t="shared" si="106"/>
        <v>17</v>
      </c>
      <c r="M204" s="50">
        <f t="shared" si="106"/>
        <v>23</v>
      </c>
      <c r="N204" s="40">
        <f t="shared" si="80"/>
        <v>2638</v>
      </c>
      <c r="O204" s="43">
        <f t="shared" si="81"/>
        <v>2111.5</v>
      </c>
    </row>
    <row r="205" spans="1:15" ht="22.95" customHeight="1" x14ac:dyDescent="0.3">
      <c r="A205" s="52" t="s">
        <v>68</v>
      </c>
      <c r="B205" s="44">
        <f t="shared" ref="B205:M205" si="107">B99+B100+B101+B102</f>
        <v>999</v>
      </c>
      <c r="C205" s="39">
        <f t="shared" si="107"/>
        <v>1871</v>
      </c>
      <c r="D205" s="39">
        <f t="shared" si="107"/>
        <v>32</v>
      </c>
      <c r="E205" s="39">
        <f t="shared" si="107"/>
        <v>34</v>
      </c>
      <c r="F205" s="39">
        <f t="shared" si="107"/>
        <v>29</v>
      </c>
      <c r="G205" s="50">
        <f t="shared" si="107"/>
        <v>2965</v>
      </c>
      <c r="H205" s="44">
        <f t="shared" si="107"/>
        <v>7</v>
      </c>
      <c r="I205" s="39">
        <f t="shared" si="107"/>
        <v>0</v>
      </c>
      <c r="J205" s="39">
        <f t="shared" si="107"/>
        <v>0</v>
      </c>
      <c r="K205" s="45">
        <f t="shared" si="107"/>
        <v>0</v>
      </c>
      <c r="L205" s="144">
        <f t="shared" si="107"/>
        <v>21</v>
      </c>
      <c r="M205" s="50">
        <f t="shared" si="107"/>
        <v>28</v>
      </c>
      <c r="N205" s="40">
        <f t="shared" si="80"/>
        <v>2993</v>
      </c>
      <c r="O205" s="43">
        <f t="shared" si="81"/>
        <v>2386.5</v>
      </c>
    </row>
    <row r="206" spans="1:15" ht="22.95" customHeight="1" thickBot="1" x14ac:dyDescent="0.35">
      <c r="A206" s="52" t="s">
        <v>69</v>
      </c>
      <c r="B206" s="46">
        <f t="shared" ref="B206:M206" si="108">B100+B101+B102+B103</f>
        <v>1139</v>
      </c>
      <c r="C206" s="47">
        <f t="shared" si="108"/>
        <v>2136</v>
      </c>
      <c r="D206" s="47">
        <f t="shared" si="108"/>
        <v>31</v>
      </c>
      <c r="E206" s="47">
        <f t="shared" si="108"/>
        <v>39</v>
      </c>
      <c r="F206" s="47">
        <f t="shared" si="108"/>
        <v>30</v>
      </c>
      <c r="G206" s="50">
        <f t="shared" si="108"/>
        <v>3375</v>
      </c>
      <c r="H206" s="44">
        <f t="shared" si="108"/>
        <v>10</v>
      </c>
      <c r="I206" s="39">
        <f t="shared" si="108"/>
        <v>0</v>
      </c>
      <c r="J206" s="39">
        <f t="shared" si="108"/>
        <v>0</v>
      </c>
      <c r="K206" s="45">
        <f t="shared" si="108"/>
        <v>0</v>
      </c>
      <c r="L206" s="145">
        <f t="shared" si="108"/>
        <v>24</v>
      </c>
      <c r="M206" s="50">
        <f t="shared" si="108"/>
        <v>34</v>
      </c>
      <c r="N206" s="40">
        <f t="shared" si="80"/>
        <v>3409</v>
      </c>
      <c r="O206" s="43">
        <f t="shared" si="81"/>
        <v>2702.5</v>
      </c>
    </row>
  </sheetData>
  <mergeCells count="31">
    <mergeCell ref="H112:H113"/>
    <mergeCell ref="K112:K113"/>
    <mergeCell ref="M112:M113"/>
    <mergeCell ref="N112:N113"/>
    <mergeCell ref="O112:O113"/>
    <mergeCell ref="I112:I113"/>
    <mergeCell ref="J112:J113"/>
    <mergeCell ref="L112:L113"/>
    <mergeCell ref="A1:J1"/>
    <mergeCell ref="I6:I7"/>
    <mergeCell ref="J6:J7"/>
    <mergeCell ref="A6:A7"/>
    <mergeCell ref="O6:O7"/>
    <mergeCell ref="K6:K7"/>
    <mergeCell ref="M6:M7"/>
    <mergeCell ref="N6:N7"/>
    <mergeCell ref="L6:L7"/>
    <mergeCell ref="H6:H7"/>
    <mergeCell ref="A112:A113"/>
    <mergeCell ref="C6:C7"/>
    <mergeCell ref="C112:C113"/>
    <mergeCell ref="G112:G113"/>
    <mergeCell ref="B6:B7"/>
    <mergeCell ref="B112:B113"/>
    <mergeCell ref="D6:D7"/>
    <mergeCell ref="G6:G7"/>
    <mergeCell ref="E6:E7"/>
    <mergeCell ref="F6:F7"/>
    <mergeCell ref="F112:F113"/>
    <mergeCell ref="D112:D113"/>
    <mergeCell ref="E112:E113"/>
  </mergeCells>
  <pageMargins left="0.7" right="0.7" top="0.75" bottom="0.75" header="0.3" footer="0.3"/>
  <pageSetup paperSize="9" scale="28" orientation="portrait" r:id="rId1"/>
  <rowBreaks count="1" manualBreakCount="1">
    <brk id="106" max="16383" man="1"/>
  </row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206"/>
  <sheetViews>
    <sheetView view="pageBreakPreview" zoomScale="60" zoomScaleNormal="70" workbookViewId="0">
      <selection activeCell="A114" sqref="A114:A206"/>
    </sheetView>
  </sheetViews>
  <sheetFormatPr defaultColWidth="9" defaultRowHeight="15.6" x14ac:dyDescent="0.3"/>
  <cols>
    <col min="1" max="1" width="21.59765625" customWidth="1"/>
    <col min="2" max="7" width="11.69921875" customWidth="1"/>
    <col min="8" max="8" width="15.09765625" bestFit="1" customWidth="1"/>
    <col min="9" max="15" width="11.69921875" customWidth="1"/>
  </cols>
  <sheetData>
    <row r="1" spans="1:15" x14ac:dyDescent="0.3">
      <c r="A1" s="247" t="s">
        <v>99</v>
      </c>
      <c r="B1" s="247"/>
      <c r="C1" s="247"/>
      <c r="D1" s="247"/>
      <c r="E1" s="247"/>
      <c r="F1" s="247"/>
      <c r="G1" s="247"/>
      <c r="H1" s="247"/>
      <c r="I1" s="247"/>
      <c r="J1" s="247"/>
    </row>
    <row r="2" spans="1:15" s="4" customFormat="1" x14ac:dyDescent="0.3">
      <c r="A2" s="4" t="s">
        <v>103</v>
      </c>
      <c r="B2" s="4" t="str">
        <f>Summary!B2</f>
        <v>TMC-14 Number (D2)</v>
      </c>
      <c r="H2" s="181">
        <f>+Summary!I1</f>
        <v>46245</v>
      </c>
    </row>
    <row r="3" spans="1:15" s="4" customFormat="1" x14ac:dyDescent="0.3">
      <c r="A3" s="4" t="s">
        <v>102</v>
      </c>
      <c r="B3" s="4" t="str">
        <f>Summary!B3</f>
        <v>D2</v>
      </c>
      <c r="H3" s="181" t="str">
        <f>+Summary!I2</f>
        <v>Tuesday</v>
      </c>
    </row>
    <row r="4" spans="1:15" s="4" customFormat="1" x14ac:dyDescent="0.3">
      <c r="A4" s="4" t="s">
        <v>104</v>
      </c>
      <c r="B4" s="4" t="str">
        <f>+Summary!A9</f>
        <v>Mansarover</v>
      </c>
    </row>
    <row r="5" spans="1:15" ht="16.2" thickBot="1" x14ac:dyDescent="0.35"/>
    <row r="6" spans="1:15" ht="25.2" customHeight="1" x14ac:dyDescent="0.3">
      <c r="A6" s="252" t="s">
        <v>95</v>
      </c>
      <c r="B6" s="258" t="s">
        <v>280</v>
      </c>
      <c r="C6" s="254" t="s">
        <v>281</v>
      </c>
      <c r="D6" s="250" t="s">
        <v>282</v>
      </c>
      <c r="E6" s="260" t="s">
        <v>283</v>
      </c>
      <c r="F6" s="256" t="s">
        <v>284</v>
      </c>
      <c r="G6" s="250" t="s">
        <v>129</v>
      </c>
      <c r="H6" s="248" t="s">
        <v>150</v>
      </c>
      <c r="I6" s="250" t="s">
        <v>151</v>
      </c>
      <c r="J6" s="250" t="s">
        <v>285</v>
      </c>
      <c r="K6" s="248" t="s">
        <v>286</v>
      </c>
      <c r="L6" s="250" t="s">
        <v>287</v>
      </c>
      <c r="M6" s="250" t="s">
        <v>78</v>
      </c>
      <c r="N6" s="250" t="s">
        <v>131</v>
      </c>
      <c r="O6" s="250" t="s">
        <v>132</v>
      </c>
    </row>
    <row r="7" spans="1:15" ht="43.5" customHeight="1" thickBot="1" x14ac:dyDescent="0.35">
      <c r="A7" s="253"/>
      <c r="B7" s="259"/>
      <c r="C7" s="255"/>
      <c r="D7" s="251"/>
      <c r="E7" s="261"/>
      <c r="F7" s="257"/>
      <c r="G7" s="259"/>
      <c r="H7" s="249"/>
      <c r="I7" s="251"/>
      <c r="J7" s="251"/>
      <c r="K7" s="249"/>
      <c r="L7" s="251"/>
      <c r="M7" s="251"/>
      <c r="N7" s="251"/>
      <c r="O7" s="251"/>
    </row>
    <row r="8" spans="1:15" ht="22.5" customHeight="1" x14ac:dyDescent="0.3">
      <c r="A8" s="148" t="s">
        <v>177</v>
      </c>
      <c r="B8" s="112">
        <f>V_3!B8+V_5!B8+V_7!B8</f>
        <v>251</v>
      </c>
      <c r="C8" s="113">
        <f>V_3!C8+V_5!C8+V_7!C8</f>
        <v>188</v>
      </c>
      <c r="D8" s="113">
        <f>V_3!D8+V_5!D8+V_7!D8</f>
        <v>28</v>
      </c>
      <c r="E8" s="113">
        <f>V_3!E8+V_5!E8+V_7!E8</f>
        <v>16</v>
      </c>
      <c r="F8" s="151">
        <f>V_3!F8+V_5!F8+V_7!F8</f>
        <v>45</v>
      </c>
      <c r="G8" s="79">
        <f t="shared" ref="G8:G39" si="0">SUM(B8:F8)</f>
        <v>528</v>
      </c>
      <c r="H8" s="112">
        <f>V_3!H8+V_5!H8+V_7!H8</f>
        <v>0</v>
      </c>
      <c r="I8" s="113">
        <f>V_3!I8+V_5!I8+V_7!I8</f>
        <v>0</v>
      </c>
      <c r="J8" s="113">
        <f>V_3!J8+V_5!J8+V_7!J8</f>
        <v>0</v>
      </c>
      <c r="K8" s="114">
        <f>V_3!K8+V_5!K8+V_7!K8</f>
        <v>0</v>
      </c>
      <c r="L8" s="139">
        <f>V_3!L8+V_5!L8+V_7!L8</f>
        <v>11</v>
      </c>
      <c r="M8" s="148">
        <f>SUM(H8:L8)</f>
        <v>11</v>
      </c>
      <c r="N8" s="43">
        <f>G8+M8</f>
        <v>539</v>
      </c>
      <c r="O8" s="115">
        <f>B8*1+C8*0.5+D8*1.5+E8*3+F8*4.5+H8*0.5+I8*1.5+J8*3+K8*4+L8*8</f>
        <v>725.5</v>
      </c>
    </row>
    <row r="9" spans="1:15" ht="22.5" customHeight="1" x14ac:dyDescent="0.3">
      <c r="A9" s="149" t="s">
        <v>178</v>
      </c>
      <c r="B9" s="44">
        <f>V_3!B9+V_5!B9+V_7!B9</f>
        <v>288</v>
      </c>
      <c r="C9" s="39">
        <f>V_3!C9+V_5!C9+V_7!C9</f>
        <v>260</v>
      </c>
      <c r="D9" s="39">
        <f>V_3!D9+V_5!D9+V_7!D9</f>
        <v>35</v>
      </c>
      <c r="E9" s="39">
        <f>V_3!E9+V_5!E9+V_7!E9</f>
        <v>19</v>
      </c>
      <c r="F9" s="152">
        <f>V_3!F9+V_5!F9+V_7!F9</f>
        <v>38</v>
      </c>
      <c r="G9" s="154">
        <f t="shared" si="0"/>
        <v>640</v>
      </c>
      <c r="H9" s="44">
        <f>V_3!H9+V_5!H9+V_7!H9</f>
        <v>2</v>
      </c>
      <c r="I9" s="39">
        <f>V_3!I9+V_5!I9+V_7!I9</f>
        <v>0</v>
      </c>
      <c r="J9" s="39">
        <f>V_3!J9+V_5!J9+V_7!J9</f>
        <v>0</v>
      </c>
      <c r="K9" s="45">
        <f>V_3!K9+V_5!K9+V_7!K9</f>
        <v>0</v>
      </c>
      <c r="L9" s="140">
        <f>V_3!L9+V_5!L9+V_7!L9</f>
        <v>8</v>
      </c>
      <c r="M9" s="149">
        <f t="shared" ref="M9:M72" si="1">SUM(H9:L9)</f>
        <v>10</v>
      </c>
      <c r="N9" s="100">
        <f t="shared" ref="N9:N72" si="2">G9+M9</f>
        <v>650</v>
      </c>
      <c r="O9" s="43">
        <f t="shared" ref="O9:O72" si="3">B9*1+C9*0.5+D9*1.5+E9*3+F9*4.5+H9*0.5+I9*1.5+J9*3+K9*4+L9*8</f>
        <v>763.5</v>
      </c>
    </row>
    <row r="10" spans="1:15" ht="22.5" customHeight="1" x14ac:dyDescent="0.3">
      <c r="A10" s="149" t="s">
        <v>179</v>
      </c>
      <c r="B10" s="44">
        <f>V_3!B10+V_5!B10+V_7!B10</f>
        <v>264</v>
      </c>
      <c r="C10" s="39">
        <f>V_3!C10+V_5!C10+V_7!C10</f>
        <v>259</v>
      </c>
      <c r="D10" s="39">
        <f>V_3!D10+V_5!D10+V_7!D10</f>
        <v>34</v>
      </c>
      <c r="E10" s="39">
        <f>V_3!E10+V_5!E10+V_7!E10</f>
        <v>18</v>
      </c>
      <c r="F10" s="152">
        <f>V_3!F10+V_5!F10+V_7!F10</f>
        <v>34</v>
      </c>
      <c r="G10" s="154">
        <f t="shared" si="0"/>
        <v>609</v>
      </c>
      <c r="H10" s="44">
        <f>V_3!H10+V_5!H10+V_7!H10</f>
        <v>0</v>
      </c>
      <c r="I10" s="39">
        <f>V_3!I10+V_5!I10+V_7!I10</f>
        <v>0</v>
      </c>
      <c r="J10" s="39">
        <f>V_3!J10+V_5!J10+V_7!J10</f>
        <v>0</v>
      </c>
      <c r="K10" s="45">
        <f>V_3!K10+V_5!K10+V_7!K10</f>
        <v>0</v>
      </c>
      <c r="L10" s="140">
        <f>V_3!L10+V_5!L10+V_7!L10</f>
        <v>8</v>
      </c>
      <c r="M10" s="149">
        <f t="shared" si="1"/>
        <v>8</v>
      </c>
      <c r="N10" s="100">
        <f t="shared" si="2"/>
        <v>617</v>
      </c>
      <c r="O10" s="43">
        <f t="shared" si="3"/>
        <v>715.5</v>
      </c>
    </row>
    <row r="11" spans="1:15" ht="22.5" customHeight="1" x14ac:dyDescent="0.3">
      <c r="A11" s="149" t="s">
        <v>180</v>
      </c>
      <c r="B11" s="44">
        <f>V_3!B11+V_5!B11+V_7!B11</f>
        <v>287</v>
      </c>
      <c r="C11" s="39">
        <f>V_3!C11+V_5!C11+V_7!C11</f>
        <v>244</v>
      </c>
      <c r="D11" s="39">
        <f>V_3!D11+V_5!D11+V_7!D11</f>
        <v>26</v>
      </c>
      <c r="E11" s="39">
        <f>V_3!E11+V_5!E11+V_7!E11</f>
        <v>18</v>
      </c>
      <c r="F11" s="152">
        <f>V_3!F11+V_5!F11+V_7!F11</f>
        <v>27</v>
      </c>
      <c r="G11" s="154">
        <f t="shared" si="0"/>
        <v>602</v>
      </c>
      <c r="H11" s="44">
        <f>V_3!H11+V_5!H11+V_7!H11</f>
        <v>1</v>
      </c>
      <c r="I11" s="39">
        <f>V_3!I11+V_5!I11+V_7!I11</f>
        <v>0</v>
      </c>
      <c r="J11" s="39">
        <f>V_3!J11+V_5!J11+V_7!J11</f>
        <v>0</v>
      </c>
      <c r="K11" s="45">
        <f>V_3!K11+V_5!K11+V_7!K11</f>
        <v>0</v>
      </c>
      <c r="L11" s="140">
        <f>V_3!L11+V_5!L11+V_7!L11</f>
        <v>8</v>
      </c>
      <c r="M11" s="149">
        <f t="shared" si="1"/>
        <v>9</v>
      </c>
      <c r="N11" s="100">
        <f t="shared" si="2"/>
        <v>611</v>
      </c>
      <c r="O11" s="43">
        <f t="shared" si="3"/>
        <v>688</v>
      </c>
    </row>
    <row r="12" spans="1:15" ht="22.5" customHeight="1" x14ac:dyDescent="0.3">
      <c r="A12" s="149" t="s">
        <v>181</v>
      </c>
      <c r="B12" s="44">
        <f>V_3!B12+V_5!B12+V_7!B12</f>
        <v>303</v>
      </c>
      <c r="C12" s="39">
        <f>V_3!C12+V_5!C12+V_7!C12</f>
        <v>259</v>
      </c>
      <c r="D12" s="39">
        <f>V_3!D12+V_5!D12+V_7!D12</f>
        <v>22</v>
      </c>
      <c r="E12" s="39">
        <f>V_3!E12+V_5!E12+V_7!E12</f>
        <v>13</v>
      </c>
      <c r="F12" s="152">
        <f>V_3!F12+V_5!F12+V_7!F12</f>
        <v>43</v>
      </c>
      <c r="G12" s="154">
        <f t="shared" si="0"/>
        <v>640</v>
      </c>
      <c r="H12" s="44">
        <f>V_3!H12+V_5!H12+V_7!H12</f>
        <v>1</v>
      </c>
      <c r="I12" s="39">
        <f>V_3!I12+V_5!I12+V_7!I12</f>
        <v>0</v>
      </c>
      <c r="J12" s="39">
        <f>V_3!J12+V_5!J12+V_7!J12</f>
        <v>0</v>
      </c>
      <c r="K12" s="45">
        <f>V_3!K12+V_5!K12+V_7!K12</f>
        <v>0</v>
      </c>
      <c r="L12" s="140">
        <f>V_3!L12+V_5!L12+V_7!L12</f>
        <v>9</v>
      </c>
      <c r="M12" s="149">
        <f t="shared" si="1"/>
        <v>10</v>
      </c>
      <c r="N12" s="100">
        <f t="shared" si="2"/>
        <v>650</v>
      </c>
      <c r="O12" s="43">
        <f t="shared" si="3"/>
        <v>770.5</v>
      </c>
    </row>
    <row r="13" spans="1:15" ht="22.5" customHeight="1" x14ac:dyDescent="0.3">
      <c r="A13" s="149" t="s">
        <v>182</v>
      </c>
      <c r="B13" s="44">
        <f>V_3!B13+V_5!B13+V_7!B13</f>
        <v>308</v>
      </c>
      <c r="C13" s="39">
        <f>V_3!C13+V_5!C13+V_7!C13</f>
        <v>295</v>
      </c>
      <c r="D13" s="39">
        <f>V_3!D13+V_5!D13+V_7!D13</f>
        <v>23</v>
      </c>
      <c r="E13" s="39">
        <f>V_3!E13+V_5!E13+V_7!E13</f>
        <v>19</v>
      </c>
      <c r="F13" s="152">
        <f>V_3!F13+V_5!F13+V_7!F13</f>
        <v>18</v>
      </c>
      <c r="G13" s="154">
        <f t="shared" si="0"/>
        <v>663</v>
      </c>
      <c r="H13" s="44">
        <f>V_3!H13+V_5!H13+V_7!H13</f>
        <v>0</v>
      </c>
      <c r="I13" s="39">
        <f>V_3!I13+V_5!I13+V_7!I13</f>
        <v>0</v>
      </c>
      <c r="J13" s="39">
        <f>V_3!J13+V_5!J13+V_7!J13</f>
        <v>0</v>
      </c>
      <c r="K13" s="45">
        <f>V_3!K13+V_5!K13+V_7!K13</f>
        <v>0</v>
      </c>
      <c r="L13" s="140">
        <f>V_3!L13+V_5!L13+V_7!L13</f>
        <v>11</v>
      </c>
      <c r="M13" s="149">
        <f t="shared" si="1"/>
        <v>11</v>
      </c>
      <c r="N13" s="100">
        <f t="shared" si="2"/>
        <v>674</v>
      </c>
      <c r="O13" s="43">
        <f t="shared" si="3"/>
        <v>716</v>
      </c>
    </row>
    <row r="14" spans="1:15" ht="22.5" customHeight="1" x14ac:dyDescent="0.3">
      <c r="A14" s="149" t="s">
        <v>183</v>
      </c>
      <c r="B14" s="44">
        <f>V_3!B14+V_5!B14+V_7!B14</f>
        <v>369</v>
      </c>
      <c r="C14" s="39">
        <f>V_3!C14+V_5!C14+V_7!C14</f>
        <v>376</v>
      </c>
      <c r="D14" s="39">
        <f>V_3!D14+V_5!D14+V_7!D14</f>
        <v>40</v>
      </c>
      <c r="E14" s="39">
        <f>V_3!E14+V_5!E14+V_7!E14</f>
        <v>21</v>
      </c>
      <c r="F14" s="152">
        <f>V_3!F14+V_5!F14+V_7!F14</f>
        <v>29</v>
      </c>
      <c r="G14" s="154">
        <f t="shared" si="0"/>
        <v>835</v>
      </c>
      <c r="H14" s="44">
        <f>V_3!H14+V_5!H14+V_7!H14</f>
        <v>0</v>
      </c>
      <c r="I14" s="39">
        <f>V_3!I14+V_5!I14+V_7!I14</f>
        <v>0</v>
      </c>
      <c r="J14" s="39">
        <f>V_3!J14+V_5!J14+V_7!J14</f>
        <v>0</v>
      </c>
      <c r="K14" s="45">
        <f>V_3!K14+V_5!K14+V_7!K14</f>
        <v>0</v>
      </c>
      <c r="L14" s="140">
        <f>V_3!L14+V_5!L14+V_7!L14</f>
        <v>11</v>
      </c>
      <c r="M14" s="149">
        <f t="shared" si="1"/>
        <v>11</v>
      </c>
      <c r="N14" s="100">
        <f t="shared" si="2"/>
        <v>846</v>
      </c>
      <c r="O14" s="43">
        <f t="shared" si="3"/>
        <v>898.5</v>
      </c>
    </row>
    <row r="15" spans="1:15" ht="22.5" customHeight="1" x14ac:dyDescent="0.3">
      <c r="A15" s="149" t="s">
        <v>184</v>
      </c>
      <c r="B15" s="44">
        <f>V_3!B15+V_5!B15+V_7!B15</f>
        <v>403</v>
      </c>
      <c r="C15" s="39">
        <f>V_3!C15+V_5!C15+V_7!C15</f>
        <v>267</v>
      </c>
      <c r="D15" s="39">
        <f>V_3!D15+V_5!D15+V_7!D15</f>
        <v>39</v>
      </c>
      <c r="E15" s="39">
        <f>V_3!E15+V_5!E15+V_7!E15</f>
        <v>14</v>
      </c>
      <c r="F15" s="152">
        <f>V_3!F15+V_5!F15+V_7!F15</f>
        <v>31</v>
      </c>
      <c r="G15" s="154">
        <f t="shared" si="0"/>
        <v>754</v>
      </c>
      <c r="H15" s="44">
        <f>V_3!H15+V_5!H15+V_7!H15</f>
        <v>0</v>
      </c>
      <c r="I15" s="39">
        <f>V_3!I15+V_5!I15+V_7!I15</f>
        <v>0</v>
      </c>
      <c r="J15" s="39">
        <f>V_3!J15+V_5!J15+V_7!J15</f>
        <v>0</v>
      </c>
      <c r="K15" s="45">
        <f>V_3!K15+V_5!K15+V_7!K15</f>
        <v>0</v>
      </c>
      <c r="L15" s="140">
        <f>V_3!L15+V_5!L15+V_7!L15</f>
        <v>6</v>
      </c>
      <c r="M15" s="149">
        <f t="shared" si="1"/>
        <v>6</v>
      </c>
      <c r="N15" s="100">
        <f t="shared" si="2"/>
        <v>760</v>
      </c>
      <c r="O15" s="43">
        <f t="shared" si="3"/>
        <v>824.5</v>
      </c>
    </row>
    <row r="16" spans="1:15" ht="22.5" customHeight="1" x14ac:dyDescent="0.3">
      <c r="A16" s="149" t="s">
        <v>185</v>
      </c>
      <c r="B16" s="44">
        <f>V_3!B16+V_5!B16+V_7!B16</f>
        <v>372</v>
      </c>
      <c r="C16" s="39">
        <f>V_3!C16+V_5!C16+V_7!C16</f>
        <v>274</v>
      </c>
      <c r="D16" s="39">
        <f>V_3!D16+V_5!D16+V_7!D16</f>
        <v>36</v>
      </c>
      <c r="E16" s="39">
        <f>V_3!E16+V_5!E16+V_7!E16</f>
        <v>15</v>
      </c>
      <c r="F16" s="152">
        <f>V_3!F16+V_5!F16+V_7!F16</f>
        <v>28</v>
      </c>
      <c r="G16" s="154">
        <f t="shared" si="0"/>
        <v>725</v>
      </c>
      <c r="H16" s="44">
        <f>V_3!H16+V_5!H16+V_7!H16</f>
        <v>1</v>
      </c>
      <c r="I16" s="39">
        <f>V_3!I16+V_5!I16+V_7!I16</f>
        <v>0</v>
      </c>
      <c r="J16" s="39">
        <f>V_3!J16+V_5!J16+V_7!J16</f>
        <v>0</v>
      </c>
      <c r="K16" s="45">
        <f>V_3!K16+V_5!K16+V_7!K16</f>
        <v>0</v>
      </c>
      <c r="L16" s="140">
        <f>V_3!L16+V_5!L16+V_7!L16</f>
        <v>14</v>
      </c>
      <c r="M16" s="149">
        <f t="shared" si="1"/>
        <v>15</v>
      </c>
      <c r="N16" s="100">
        <f t="shared" si="2"/>
        <v>740</v>
      </c>
      <c r="O16" s="43">
        <f t="shared" si="3"/>
        <v>846.5</v>
      </c>
    </row>
    <row r="17" spans="1:15" ht="22.5" customHeight="1" x14ac:dyDescent="0.3">
      <c r="A17" s="149" t="s">
        <v>186</v>
      </c>
      <c r="B17" s="44">
        <f>V_3!B17+V_5!B17+V_7!B17</f>
        <v>349</v>
      </c>
      <c r="C17" s="39">
        <f>V_3!C17+V_5!C17+V_7!C17</f>
        <v>243</v>
      </c>
      <c r="D17" s="39">
        <f>V_3!D17+V_5!D17+V_7!D17</f>
        <v>34</v>
      </c>
      <c r="E17" s="39">
        <f>V_3!E17+V_5!E17+V_7!E17</f>
        <v>11</v>
      </c>
      <c r="F17" s="152">
        <f>V_3!F17+V_5!F17+V_7!F17</f>
        <v>39</v>
      </c>
      <c r="G17" s="154">
        <f t="shared" si="0"/>
        <v>676</v>
      </c>
      <c r="H17" s="44">
        <f>V_3!H17+V_5!H17+V_7!H17</f>
        <v>0</v>
      </c>
      <c r="I17" s="39">
        <f>V_3!I17+V_5!I17+V_7!I17</f>
        <v>0</v>
      </c>
      <c r="J17" s="39">
        <f>V_3!J17+V_5!J17+V_7!J17</f>
        <v>0</v>
      </c>
      <c r="K17" s="45">
        <f>V_3!K17+V_5!K17+V_7!K17</f>
        <v>0</v>
      </c>
      <c r="L17" s="140">
        <f>V_3!L17+V_5!L17+V_7!L17</f>
        <v>8</v>
      </c>
      <c r="M17" s="149">
        <f t="shared" si="1"/>
        <v>8</v>
      </c>
      <c r="N17" s="100">
        <f t="shared" si="2"/>
        <v>684</v>
      </c>
      <c r="O17" s="43">
        <f t="shared" si="3"/>
        <v>794</v>
      </c>
    </row>
    <row r="18" spans="1:15" ht="22.5" customHeight="1" x14ac:dyDescent="0.3">
      <c r="A18" s="149" t="s">
        <v>187</v>
      </c>
      <c r="B18" s="44">
        <f>V_3!B18+V_5!B18+V_7!B18</f>
        <v>400</v>
      </c>
      <c r="C18" s="39">
        <f>V_3!C18+V_5!C18+V_7!C18</f>
        <v>180</v>
      </c>
      <c r="D18" s="39">
        <f>V_3!D18+V_5!D18+V_7!D18</f>
        <v>42</v>
      </c>
      <c r="E18" s="39">
        <f>V_3!E18+V_5!E18+V_7!E18</f>
        <v>16</v>
      </c>
      <c r="F18" s="152">
        <f>V_3!F18+V_5!F18+V_7!F18</f>
        <v>36</v>
      </c>
      <c r="G18" s="154">
        <f t="shared" si="0"/>
        <v>674</v>
      </c>
      <c r="H18" s="44">
        <f>V_3!H18+V_5!H18+V_7!H18</f>
        <v>0</v>
      </c>
      <c r="I18" s="39">
        <f>V_3!I18+V_5!I18+V_7!I18</f>
        <v>0</v>
      </c>
      <c r="J18" s="39">
        <f>V_3!J18+V_5!J18+V_7!J18</f>
        <v>0</v>
      </c>
      <c r="K18" s="45">
        <f>V_3!K18+V_5!K18+V_7!K18</f>
        <v>0</v>
      </c>
      <c r="L18" s="140">
        <f>V_3!L18+V_5!L18+V_7!L18</f>
        <v>7</v>
      </c>
      <c r="M18" s="149">
        <f t="shared" si="1"/>
        <v>7</v>
      </c>
      <c r="N18" s="100">
        <f t="shared" si="2"/>
        <v>681</v>
      </c>
      <c r="O18" s="43">
        <f t="shared" si="3"/>
        <v>819</v>
      </c>
    </row>
    <row r="19" spans="1:15" ht="22.5" customHeight="1" x14ac:dyDescent="0.3">
      <c r="A19" s="149" t="s">
        <v>188</v>
      </c>
      <c r="B19" s="44">
        <f>V_3!B19+V_5!B19+V_7!B19</f>
        <v>391</v>
      </c>
      <c r="C19" s="39">
        <f>V_3!C19+V_5!C19+V_7!C19</f>
        <v>200</v>
      </c>
      <c r="D19" s="39">
        <f>V_3!D19+V_5!D19+V_7!D19</f>
        <v>40</v>
      </c>
      <c r="E19" s="39">
        <f>V_3!E19+V_5!E19+V_7!E19</f>
        <v>22</v>
      </c>
      <c r="F19" s="152">
        <f>V_3!F19+V_5!F19+V_7!F19</f>
        <v>29</v>
      </c>
      <c r="G19" s="154">
        <f t="shared" si="0"/>
        <v>682</v>
      </c>
      <c r="H19" s="44">
        <f>V_3!H19+V_5!H19+V_7!H19</f>
        <v>0</v>
      </c>
      <c r="I19" s="39">
        <f>V_3!I19+V_5!I19+V_7!I19</f>
        <v>0</v>
      </c>
      <c r="J19" s="39">
        <f>V_3!J19+V_5!J19+V_7!J19</f>
        <v>0</v>
      </c>
      <c r="K19" s="45">
        <f>V_3!K19+V_5!K19+V_7!K19</f>
        <v>0</v>
      </c>
      <c r="L19" s="140">
        <f>V_3!L19+V_5!L19+V_7!L19</f>
        <v>9</v>
      </c>
      <c r="M19" s="149">
        <f t="shared" si="1"/>
        <v>9</v>
      </c>
      <c r="N19" s="100">
        <f t="shared" si="2"/>
        <v>691</v>
      </c>
      <c r="O19" s="43">
        <f t="shared" si="3"/>
        <v>819.5</v>
      </c>
    </row>
    <row r="20" spans="1:15" ht="22.5" customHeight="1" x14ac:dyDescent="0.3">
      <c r="A20" s="149" t="s">
        <v>189</v>
      </c>
      <c r="B20" s="44">
        <f>V_3!B20+V_5!B20+V_7!B20</f>
        <v>413</v>
      </c>
      <c r="C20" s="39">
        <f>V_3!C20+V_5!C20+V_7!C20</f>
        <v>183</v>
      </c>
      <c r="D20" s="39">
        <f>V_3!D20+V_5!D20+V_7!D20</f>
        <v>18</v>
      </c>
      <c r="E20" s="39">
        <f>V_3!E20+V_5!E20+V_7!E20</f>
        <v>23</v>
      </c>
      <c r="F20" s="152">
        <f>V_3!F20+V_5!F20+V_7!F20</f>
        <v>34</v>
      </c>
      <c r="G20" s="154">
        <f t="shared" si="0"/>
        <v>671</v>
      </c>
      <c r="H20" s="44">
        <f>V_3!H20+V_5!H20+V_7!H20</f>
        <v>0</v>
      </c>
      <c r="I20" s="39">
        <f>V_3!I20+V_5!I20+V_7!I20</f>
        <v>0</v>
      </c>
      <c r="J20" s="39">
        <f>V_3!J20+V_5!J20+V_7!J20</f>
        <v>0</v>
      </c>
      <c r="K20" s="45">
        <f>V_3!K20+V_5!K20+V_7!K20</f>
        <v>0</v>
      </c>
      <c r="L20" s="140">
        <f>V_3!L20+V_5!L20+V_7!L20</f>
        <v>8</v>
      </c>
      <c r="M20" s="149">
        <f t="shared" si="1"/>
        <v>8</v>
      </c>
      <c r="N20" s="100">
        <f t="shared" si="2"/>
        <v>679</v>
      </c>
      <c r="O20" s="43">
        <f t="shared" si="3"/>
        <v>817.5</v>
      </c>
    </row>
    <row r="21" spans="1:15" ht="22.5" customHeight="1" x14ac:dyDescent="0.3">
      <c r="A21" s="149" t="s">
        <v>190</v>
      </c>
      <c r="B21" s="44">
        <f>V_3!B21+V_5!B21+V_7!B21</f>
        <v>421</v>
      </c>
      <c r="C21" s="39">
        <f>V_3!C21+V_5!C21+V_7!C21</f>
        <v>164</v>
      </c>
      <c r="D21" s="39">
        <f>V_3!D21+V_5!D21+V_7!D21</f>
        <v>44</v>
      </c>
      <c r="E21" s="39">
        <f>V_3!E21+V_5!E21+V_7!E21</f>
        <v>22</v>
      </c>
      <c r="F21" s="152">
        <f>V_3!F21+V_5!F21+V_7!F21</f>
        <v>35</v>
      </c>
      <c r="G21" s="154">
        <f t="shared" si="0"/>
        <v>686</v>
      </c>
      <c r="H21" s="44">
        <f>V_3!H21+V_5!H21+V_7!H21</f>
        <v>0</v>
      </c>
      <c r="I21" s="39">
        <f>V_3!I21+V_5!I21+V_7!I21</f>
        <v>0</v>
      </c>
      <c r="J21" s="39">
        <f>V_3!J21+V_5!J21+V_7!J21</f>
        <v>0</v>
      </c>
      <c r="K21" s="45">
        <f>V_3!K21+V_5!K21+V_7!K21</f>
        <v>0</v>
      </c>
      <c r="L21" s="140">
        <f>V_3!L21+V_5!L21+V_7!L21</f>
        <v>7</v>
      </c>
      <c r="M21" s="149">
        <f t="shared" si="1"/>
        <v>7</v>
      </c>
      <c r="N21" s="100">
        <f t="shared" si="2"/>
        <v>693</v>
      </c>
      <c r="O21" s="43">
        <f t="shared" si="3"/>
        <v>848.5</v>
      </c>
    </row>
    <row r="22" spans="1:15" ht="22.5" customHeight="1" x14ac:dyDescent="0.3">
      <c r="A22" s="149" t="s">
        <v>191</v>
      </c>
      <c r="B22" s="44">
        <f>V_3!B22+V_5!B22+V_7!B22</f>
        <v>388</v>
      </c>
      <c r="C22" s="39">
        <f>V_3!C22+V_5!C22+V_7!C22</f>
        <v>134</v>
      </c>
      <c r="D22" s="39">
        <f>V_3!D22+V_5!D22+V_7!D22</f>
        <v>32</v>
      </c>
      <c r="E22" s="39">
        <f>V_3!E22+V_5!E22+V_7!E22</f>
        <v>23</v>
      </c>
      <c r="F22" s="152">
        <f>V_3!F22+V_5!F22+V_7!F22</f>
        <v>37</v>
      </c>
      <c r="G22" s="154">
        <f t="shared" si="0"/>
        <v>614</v>
      </c>
      <c r="H22" s="44">
        <f>V_3!H22+V_5!H22+V_7!H22</f>
        <v>0</v>
      </c>
      <c r="I22" s="39">
        <f>V_3!I22+V_5!I22+V_7!I22</f>
        <v>0</v>
      </c>
      <c r="J22" s="39">
        <f>V_3!J22+V_5!J22+V_7!J22</f>
        <v>0</v>
      </c>
      <c r="K22" s="45">
        <f>V_3!K22+V_5!K22+V_7!K22</f>
        <v>0</v>
      </c>
      <c r="L22" s="140">
        <f>V_3!L22+V_5!L22+V_7!L22</f>
        <v>7</v>
      </c>
      <c r="M22" s="149">
        <f t="shared" si="1"/>
        <v>7</v>
      </c>
      <c r="N22" s="100">
        <f t="shared" si="2"/>
        <v>621</v>
      </c>
      <c r="O22" s="43">
        <f t="shared" si="3"/>
        <v>794.5</v>
      </c>
    </row>
    <row r="23" spans="1:15" ht="22.5" customHeight="1" x14ac:dyDescent="0.3">
      <c r="A23" s="149" t="s">
        <v>192</v>
      </c>
      <c r="B23" s="44">
        <f>V_3!B23+V_5!B23+V_7!B23</f>
        <v>399</v>
      </c>
      <c r="C23" s="39">
        <f>V_3!C23+V_5!C23+V_7!C23</f>
        <v>128</v>
      </c>
      <c r="D23" s="39">
        <f>V_3!D23+V_5!D23+V_7!D23</f>
        <v>33</v>
      </c>
      <c r="E23" s="39">
        <f>V_3!E23+V_5!E23+V_7!E23</f>
        <v>24</v>
      </c>
      <c r="F23" s="152">
        <f>V_3!F23+V_5!F23+V_7!F23</f>
        <v>42</v>
      </c>
      <c r="G23" s="154">
        <f t="shared" si="0"/>
        <v>626</v>
      </c>
      <c r="H23" s="44">
        <f>V_3!H23+V_5!H23+V_7!H23</f>
        <v>1</v>
      </c>
      <c r="I23" s="39">
        <f>V_3!I23+V_5!I23+V_7!I23</f>
        <v>0</v>
      </c>
      <c r="J23" s="39">
        <f>V_3!J23+V_5!J23+V_7!J23</f>
        <v>0</v>
      </c>
      <c r="K23" s="45">
        <f>V_3!K23+V_5!K23+V_7!K23</f>
        <v>0</v>
      </c>
      <c r="L23" s="140">
        <f>V_3!L23+V_5!L23+V_7!L23</f>
        <v>8</v>
      </c>
      <c r="M23" s="149">
        <f t="shared" si="1"/>
        <v>9</v>
      </c>
      <c r="N23" s="100">
        <f t="shared" si="2"/>
        <v>635</v>
      </c>
      <c r="O23" s="43">
        <f t="shared" si="3"/>
        <v>838</v>
      </c>
    </row>
    <row r="24" spans="1:15" ht="22.5" customHeight="1" x14ac:dyDescent="0.3">
      <c r="A24" s="149" t="s">
        <v>193</v>
      </c>
      <c r="B24" s="44">
        <f>V_3!B24+V_5!B24+V_7!B24</f>
        <v>340</v>
      </c>
      <c r="C24" s="39">
        <f>V_3!C24+V_5!C24+V_7!C24</f>
        <v>107</v>
      </c>
      <c r="D24" s="39">
        <f>V_3!D24+V_5!D24+V_7!D24</f>
        <v>38</v>
      </c>
      <c r="E24" s="39">
        <f>V_3!E24+V_5!E24+V_7!E24</f>
        <v>14</v>
      </c>
      <c r="F24" s="152">
        <f>V_3!F24+V_5!F24+V_7!F24</f>
        <v>46</v>
      </c>
      <c r="G24" s="154">
        <f t="shared" si="0"/>
        <v>545</v>
      </c>
      <c r="H24" s="44">
        <f>V_3!H24+V_5!H24+V_7!H24</f>
        <v>0</v>
      </c>
      <c r="I24" s="39">
        <f>V_3!I24+V_5!I24+V_7!I24</f>
        <v>0</v>
      </c>
      <c r="J24" s="39">
        <f>V_3!J24+V_5!J24+V_7!J24</f>
        <v>0</v>
      </c>
      <c r="K24" s="45">
        <f>V_3!K24+V_5!K24+V_7!K24</f>
        <v>0</v>
      </c>
      <c r="L24" s="140">
        <f>V_3!L24+V_5!L24+V_7!L24</f>
        <v>0</v>
      </c>
      <c r="M24" s="149">
        <f t="shared" si="1"/>
        <v>0</v>
      </c>
      <c r="N24" s="100">
        <f t="shared" si="2"/>
        <v>545</v>
      </c>
      <c r="O24" s="43">
        <f t="shared" si="3"/>
        <v>699.5</v>
      </c>
    </row>
    <row r="25" spans="1:15" ht="22.5" customHeight="1" x14ac:dyDescent="0.3">
      <c r="A25" s="149" t="s">
        <v>194</v>
      </c>
      <c r="B25" s="44">
        <f>V_3!B25+V_5!B25+V_7!B25</f>
        <v>315</v>
      </c>
      <c r="C25" s="39">
        <f>V_3!C25+V_5!C25+V_7!C25</f>
        <v>106</v>
      </c>
      <c r="D25" s="39">
        <f>V_3!D25+V_5!D25+V_7!D25</f>
        <v>23</v>
      </c>
      <c r="E25" s="39">
        <f>V_3!E25+V_5!E25+V_7!E25</f>
        <v>12</v>
      </c>
      <c r="F25" s="152">
        <f>V_3!F25+V_5!F25+V_7!F25</f>
        <v>50</v>
      </c>
      <c r="G25" s="154">
        <f t="shared" si="0"/>
        <v>506</v>
      </c>
      <c r="H25" s="44">
        <f>V_3!H25+V_5!H25+V_7!H25</f>
        <v>0</v>
      </c>
      <c r="I25" s="39">
        <f>V_3!I25+V_5!I25+V_7!I25</f>
        <v>0</v>
      </c>
      <c r="J25" s="39">
        <f>V_3!J25+V_5!J25+V_7!J25</f>
        <v>0</v>
      </c>
      <c r="K25" s="45">
        <f>V_3!K25+V_5!K25+V_7!K25</f>
        <v>0</v>
      </c>
      <c r="L25" s="140">
        <f>V_3!L25+V_5!L25+V_7!L25</f>
        <v>0</v>
      </c>
      <c r="M25" s="149">
        <f t="shared" si="1"/>
        <v>0</v>
      </c>
      <c r="N25" s="100">
        <f t="shared" si="2"/>
        <v>506</v>
      </c>
      <c r="O25" s="43">
        <f t="shared" si="3"/>
        <v>663.5</v>
      </c>
    </row>
    <row r="26" spans="1:15" ht="22.5" customHeight="1" x14ac:dyDescent="0.3">
      <c r="A26" s="149" t="s">
        <v>195</v>
      </c>
      <c r="B26" s="44">
        <f>V_3!B26+V_5!B26+V_7!B26</f>
        <v>304</v>
      </c>
      <c r="C26" s="39">
        <f>V_3!C26+V_5!C26+V_7!C26</f>
        <v>106</v>
      </c>
      <c r="D26" s="39">
        <f>V_3!D26+V_5!D26+V_7!D26</f>
        <v>38</v>
      </c>
      <c r="E26" s="39">
        <f>V_3!E26+V_5!E26+V_7!E26</f>
        <v>16</v>
      </c>
      <c r="F26" s="152">
        <f>V_3!F26+V_5!F26+V_7!F26</f>
        <v>67</v>
      </c>
      <c r="G26" s="154">
        <f t="shared" si="0"/>
        <v>531</v>
      </c>
      <c r="H26" s="44">
        <f>V_3!H26+V_5!H26+V_7!H26</f>
        <v>0</v>
      </c>
      <c r="I26" s="39">
        <f>V_3!I26+V_5!I26+V_7!I26</f>
        <v>0</v>
      </c>
      <c r="J26" s="39">
        <f>V_3!J26+V_5!J26+V_7!J26</f>
        <v>0</v>
      </c>
      <c r="K26" s="45">
        <f>V_3!K26+V_5!K26+V_7!K26</f>
        <v>0</v>
      </c>
      <c r="L26" s="140">
        <f>V_3!L26+V_5!L26+V_7!L26</f>
        <v>2</v>
      </c>
      <c r="M26" s="149">
        <f t="shared" si="1"/>
        <v>2</v>
      </c>
      <c r="N26" s="100">
        <f t="shared" si="2"/>
        <v>533</v>
      </c>
      <c r="O26" s="43">
        <f t="shared" si="3"/>
        <v>779.5</v>
      </c>
    </row>
    <row r="27" spans="1:15" ht="22.5" customHeight="1" x14ac:dyDescent="0.3">
      <c r="A27" s="149" t="s">
        <v>196</v>
      </c>
      <c r="B27" s="44">
        <f>V_3!B27+V_5!B27+V_7!B27</f>
        <v>279</v>
      </c>
      <c r="C27" s="39">
        <f>V_3!C27+V_5!C27+V_7!C27</f>
        <v>104</v>
      </c>
      <c r="D27" s="39">
        <f>V_3!D27+V_5!D27+V_7!D27</f>
        <v>28</v>
      </c>
      <c r="E27" s="39">
        <f>V_3!E27+V_5!E27+V_7!E27</f>
        <v>8</v>
      </c>
      <c r="F27" s="152">
        <f>V_3!F27+V_5!F27+V_7!F27</f>
        <v>49</v>
      </c>
      <c r="G27" s="154">
        <f t="shared" si="0"/>
        <v>468</v>
      </c>
      <c r="H27" s="44">
        <f>V_3!H27+V_5!H27+V_7!H27</f>
        <v>0</v>
      </c>
      <c r="I27" s="39">
        <f>V_3!I27+V_5!I27+V_7!I27</f>
        <v>0</v>
      </c>
      <c r="J27" s="39">
        <f>V_3!J27+V_5!J27+V_7!J27</f>
        <v>0</v>
      </c>
      <c r="K27" s="45">
        <f>V_3!K27+V_5!K27+V_7!K27</f>
        <v>0</v>
      </c>
      <c r="L27" s="140">
        <f>V_3!L27+V_5!L27+V_7!L27</f>
        <v>0</v>
      </c>
      <c r="M27" s="149">
        <f t="shared" si="1"/>
        <v>0</v>
      </c>
      <c r="N27" s="100">
        <f t="shared" si="2"/>
        <v>468</v>
      </c>
      <c r="O27" s="43">
        <f t="shared" si="3"/>
        <v>617.5</v>
      </c>
    </row>
    <row r="28" spans="1:15" ht="22.5" customHeight="1" x14ac:dyDescent="0.3">
      <c r="A28" s="149" t="s">
        <v>197</v>
      </c>
      <c r="B28" s="44">
        <f>V_3!B28+V_5!B28+V_7!B28</f>
        <v>261</v>
      </c>
      <c r="C28" s="39">
        <f>V_3!C28+V_5!C28+V_7!C28</f>
        <v>101</v>
      </c>
      <c r="D28" s="39">
        <f>V_3!D28+V_5!D28+V_7!D28</f>
        <v>29</v>
      </c>
      <c r="E28" s="39">
        <f>V_3!E28+V_5!E28+V_7!E28</f>
        <v>16</v>
      </c>
      <c r="F28" s="152">
        <f>V_3!F28+V_5!F28+V_7!F28</f>
        <v>46</v>
      </c>
      <c r="G28" s="154">
        <f t="shared" si="0"/>
        <v>453</v>
      </c>
      <c r="H28" s="44">
        <f>V_3!H28+V_5!H28+V_7!H28</f>
        <v>0</v>
      </c>
      <c r="I28" s="39">
        <f>V_3!I28+V_5!I28+V_7!I28</f>
        <v>0</v>
      </c>
      <c r="J28" s="39">
        <f>V_3!J28+V_5!J28+V_7!J28</f>
        <v>0</v>
      </c>
      <c r="K28" s="45">
        <f>V_3!K28+V_5!K28+V_7!K28</f>
        <v>0</v>
      </c>
      <c r="L28" s="140">
        <f>V_3!L28+V_5!L28+V_7!L28</f>
        <v>0</v>
      </c>
      <c r="M28" s="149">
        <f t="shared" si="1"/>
        <v>0</v>
      </c>
      <c r="N28" s="100">
        <f t="shared" si="2"/>
        <v>453</v>
      </c>
      <c r="O28" s="43">
        <f t="shared" si="3"/>
        <v>610</v>
      </c>
    </row>
    <row r="29" spans="1:15" ht="22.5" customHeight="1" x14ac:dyDescent="0.3">
      <c r="A29" s="149" t="s">
        <v>198</v>
      </c>
      <c r="B29" s="44">
        <f>V_3!B29+V_5!B29+V_7!B29</f>
        <v>265</v>
      </c>
      <c r="C29" s="39">
        <f>V_3!C29+V_5!C29+V_7!C29</f>
        <v>113</v>
      </c>
      <c r="D29" s="39">
        <f>V_3!D29+V_5!D29+V_7!D29</f>
        <v>24</v>
      </c>
      <c r="E29" s="39">
        <f>V_3!E29+V_5!E29+V_7!E29</f>
        <v>8</v>
      </c>
      <c r="F29" s="152">
        <f>V_3!F29+V_5!F29+V_7!F29</f>
        <v>44</v>
      </c>
      <c r="G29" s="154">
        <f t="shared" si="0"/>
        <v>454</v>
      </c>
      <c r="H29" s="44">
        <f>V_3!H29+V_5!H29+V_7!H29</f>
        <v>0</v>
      </c>
      <c r="I29" s="39">
        <f>V_3!I29+V_5!I29+V_7!I29</f>
        <v>0</v>
      </c>
      <c r="J29" s="39">
        <f>V_3!J29+V_5!J29+V_7!J29</f>
        <v>0</v>
      </c>
      <c r="K29" s="45">
        <f>V_3!K29+V_5!K29+V_7!K29</f>
        <v>0</v>
      </c>
      <c r="L29" s="140">
        <f>V_3!L29+V_5!L29+V_7!L29</f>
        <v>0</v>
      </c>
      <c r="M29" s="149">
        <f t="shared" si="1"/>
        <v>0</v>
      </c>
      <c r="N29" s="100">
        <f t="shared" si="2"/>
        <v>454</v>
      </c>
      <c r="O29" s="43">
        <f t="shared" si="3"/>
        <v>579.5</v>
      </c>
    </row>
    <row r="30" spans="1:15" ht="22.5" customHeight="1" x14ac:dyDescent="0.3">
      <c r="A30" s="149" t="s">
        <v>199</v>
      </c>
      <c r="B30" s="44">
        <f>V_3!B30+V_5!B30+V_7!B30</f>
        <v>281</v>
      </c>
      <c r="C30" s="39">
        <f>V_3!C30+V_5!C30+V_7!C30</f>
        <v>98</v>
      </c>
      <c r="D30" s="39">
        <f>V_3!D30+V_5!D30+V_7!D30</f>
        <v>25</v>
      </c>
      <c r="E30" s="39">
        <f>V_3!E30+V_5!E30+V_7!E30</f>
        <v>6</v>
      </c>
      <c r="F30" s="152">
        <f>V_3!F30+V_5!F30+V_7!F30</f>
        <v>37</v>
      </c>
      <c r="G30" s="154">
        <f t="shared" si="0"/>
        <v>447</v>
      </c>
      <c r="H30" s="44">
        <f>V_3!H30+V_5!H30+V_7!H30</f>
        <v>0</v>
      </c>
      <c r="I30" s="39">
        <f>V_3!I30+V_5!I30+V_7!I30</f>
        <v>0</v>
      </c>
      <c r="J30" s="39">
        <f>V_3!J30+V_5!J30+V_7!J30</f>
        <v>0</v>
      </c>
      <c r="K30" s="45">
        <f>V_3!K30+V_5!K30+V_7!K30</f>
        <v>0</v>
      </c>
      <c r="L30" s="140">
        <f>V_3!L30+V_5!L30+V_7!L30</f>
        <v>0</v>
      </c>
      <c r="M30" s="149">
        <f t="shared" si="1"/>
        <v>0</v>
      </c>
      <c r="N30" s="100">
        <f t="shared" si="2"/>
        <v>447</v>
      </c>
      <c r="O30" s="43">
        <f t="shared" si="3"/>
        <v>552</v>
      </c>
    </row>
    <row r="31" spans="1:15" ht="22.5" customHeight="1" x14ac:dyDescent="0.3">
      <c r="A31" s="149" t="s">
        <v>200</v>
      </c>
      <c r="B31" s="44">
        <f>V_3!B31+V_5!B31+V_7!B31</f>
        <v>269</v>
      </c>
      <c r="C31" s="39">
        <f>V_3!C31+V_5!C31+V_7!C31</f>
        <v>133</v>
      </c>
      <c r="D31" s="39">
        <f>V_3!D31+V_5!D31+V_7!D31</f>
        <v>30</v>
      </c>
      <c r="E31" s="39">
        <f>V_3!E31+V_5!E31+V_7!E31</f>
        <v>6</v>
      </c>
      <c r="F31" s="152">
        <f>V_3!F31+V_5!F31+V_7!F31</f>
        <v>47</v>
      </c>
      <c r="G31" s="154">
        <f t="shared" si="0"/>
        <v>485</v>
      </c>
      <c r="H31" s="44">
        <f>V_3!H31+V_5!H31+V_7!H31</f>
        <v>0</v>
      </c>
      <c r="I31" s="39">
        <f>V_3!I31+V_5!I31+V_7!I31</f>
        <v>0</v>
      </c>
      <c r="J31" s="39">
        <f>V_3!J31+V_5!J31+V_7!J31</f>
        <v>0</v>
      </c>
      <c r="K31" s="45">
        <f>V_3!K31+V_5!K31+V_7!K31</f>
        <v>0</v>
      </c>
      <c r="L31" s="140">
        <f>V_3!L31+V_5!L31+V_7!L31</f>
        <v>0</v>
      </c>
      <c r="M31" s="149">
        <f t="shared" si="1"/>
        <v>0</v>
      </c>
      <c r="N31" s="100">
        <f t="shared" si="2"/>
        <v>485</v>
      </c>
      <c r="O31" s="43">
        <f t="shared" si="3"/>
        <v>610</v>
      </c>
    </row>
    <row r="32" spans="1:15" ht="22.5" customHeight="1" x14ac:dyDescent="0.3">
      <c r="A32" s="149" t="s">
        <v>201</v>
      </c>
      <c r="B32" s="44">
        <f>V_3!B32+V_5!B32+V_7!B32</f>
        <v>216</v>
      </c>
      <c r="C32" s="39">
        <f>V_3!C32+V_5!C32+V_7!C32</f>
        <v>84</v>
      </c>
      <c r="D32" s="39">
        <f>V_3!D32+V_5!D32+V_7!D32</f>
        <v>23</v>
      </c>
      <c r="E32" s="39">
        <f>V_3!E32+V_5!E32+V_7!E32</f>
        <v>4</v>
      </c>
      <c r="F32" s="152">
        <f>V_3!F32+V_5!F32+V_7!F32</f>
        <v>31</v>
      </c>
      <c r="G32" s="154">
        <f t="shared" si="0"/>
        <v>358</v>
      </c>
      <c r="H32" s="44">
        <f>V_3!H32+V_5!H32+V_7!H32</f>
        <v>0</v>
      </c>
      <c r="I32" s="39">
        <f>V_3!I32+V_5!I32+V_7!I32</f>
        <v>0</v>
      </c>
      <c r="J32" s="39">
        <f>V_3!J32+V_5!J32+V_7!J32</f>
        <v>0</v>
      </c>
      <c r="K32" s="45">
        <f>V_3!K32+V_5!K32+V_7!K32</f>
        <v>0</v>
      </c>
      <c r="L32" s="140">
        <f>V_3!L32+V_5!L32+V_7!L32</f>
        <v>1</v>
      </c>
      <c r="M32" s="149">
        <f t="shared" si="1"/>
        <v>1</v>
      </c>
      <c r="N32" s="100">
        <f t="shared" si="2"/>
        <v>359</v>
      </c>
      <c r="O32" s="43">
        <f t="shared" si="3"/>
        <v>452</v>
      </c>
    </row>
    <row r="33" spans="1:15" ht="22.5" customHeight="1" x14ac:dyDescent="0.3">
      <c r="A33" s="149" t="s">
        <v>202</v>
      </c>
      <c r="B33" s="44">
        <f>V_3!B33+V_5!B33+V_7!B33</f>
        <v>262</v>
      </c>
      <c r="C33" s="39">
        <f>V_3!C33+V_5!C33+V_7!C33</f>
        <v>108</v>
      </c>
      <c r="D33" s="39">
        <f>V_3!D33+V_5!D33+V_7!D33</f>
        <v>53</v>
      </c>
      <c r="E33" s="39">
        <f>V_3!E33+V_5!E33+V_7!E33</f>
        <v>12</v>
      </c>
      <c r="F33" s="152">
        <f>V_3!F33+V_5!F33+V_7!F33</f>
        <v>28</v>
      </c>
      <c r="G33" s="154">
        <f t="shared" si="0"/>
        <v>463</v>
      </c>
      <c r="H33" s="44">
        <f>V_3!H33+V_5!H33+V_7!H33</f>
        <v>0</v>
      </c>
      <c r="I33" s="39">
        <f>V_3!I33+V_5!I33+V_7!I33</f>
        <v>0</v>
      </c>
      <c r="J33" s="39">
        <f>V_3!J33+V_5!J33+V_7!J33</f>
        <v>0</v>
      </c>
      <c r="K33" s="45">
        <f>V_3!K33+V_5!K33+V_7!K33</f>
        <v>0</v>
      </c>
      <c r="L33" s="140">
        <f>V_3!L33+V_5!L33+V_7!L33</f>
        <v>0</v>
      </c>
      <c r="M33" s="149">
        <f t="shared" si="1"/>
        <v>0</v>
      </c>
      <c r="N33" s="100">
        <f t="shared" si="2"/>
        <v>463</v>
      </c>
      <c r="O33" s="43">
        <f t="shared" si="3"/>
        <v>557.5</v>
      </c>
    </row>
    <row r="34" spans="1:15" ht="22.5" customHeight="1" x14ac:dyDescent="0.3">
      <c r="A34" s="149" t="s">
        <v>203</v>
      </c>
      <c r="B34" s="44">
        <f>V_3!B34+V_5!B34+V_7!B34</f>
        <v>245</v>
      </c>
      <c r="C34" s="39">
        <f>V_3!C34+V_5!C34+V_7!C34</f>
        <v>93</v>
      </c>
      <c r="D34" s="39">
        <f>V_3!D34+V_5!D34+V_7!D34</f>
        <v>39</v>
      </c>
      <c r="E34" s="39">
        <f>V_3!E34+V_5!E34+V_7!E34</f>
        <v>7</v>
      </c>
      <c r="F34" s="152">
        <f>V_3!F34+V_5!F34+V_7!F34</f>
        <v>38</v>
      </c>
      <c r="G34" s="154">
        <f t="shared" si="0"/>
        <v>422</v>
      </c>
      <c r="H34" s="44">
        <f>V_3!H34+V_5!H34+V_7!H34</f>
        <v>0</v>
      </c>
      <c r="I34" s="39">
        <f>V_3!I34+V_5!I34+V_7!I34</f>
        <v>0</v>
      </c>
      <c r="J34" s="39">
        <f>V_3!J34+V_5!J34+V_7!J34</f>
        <v>0</v>
      </c>
      <c r="K34" s="45">
        <f>V_3!K34+V_5!K34+V_7!K34</f>
        <v>0</v>
      </c>
      <c r="L34" s="140">
        <f>V_3!L34+V_5!L34+V_7!L34</f>
        <v>1</v>
      </c>
      <c r="M34" s="149">
        <f t="shared" si="1"/>
        <v>1</v>
      </c>
      <c r="N34" s="100">
        <f t="shared" si="2"/>
        <v>423</v>
      </c>
      <c r="O34" s="43">
        <f t="shared" si="3"/>
        <v>550</v>
      </c>
    </row>
    <row r="35" spans="1:15" ht="22.5" customHeight="1" x14ac:dyDescent="0.3">
      <c r="A35" s="149" t="s">
        <v>204</v>
      </c>
      <c r="B35" s="44">
        <f>V_3!B35+V_5!B35+V_7!B35</f>
        <v>233</v>
      </c>
      <c r="C35" s="39">
        <f>V_3!C35+V_5!C35+V_7!C35</f>
        <v>91</v>
      </c>
      <c r="D35" s="39">
        <f>V_3!D35+V_5!D35+V_7!D35</f>
        <v>40</v>
      </c>
      <c r="E35" s="39">
        <f>V_3!E35+V_5!E35+V_7!E35</f>
        <v>12</v>
      </c>
      <c r="F35" s="152">
        <f>V_3!F35+V_5!F35+V_7!F35</f>
        <v>13</v>
      </c>
      <c r="G35" s="154">
        <f t="shared" si="0"/>
        <v>389</v>
      </c>
      <c r="H35" s="44">
        <f>V_3!H35+V_5!H35+V_7!H35</f>
        <v>0</v>
      </c>
      <c r="I35" s="39">
        <f>V_3!I35+V_5!I35+V_7!I35</f>
        <v>0</v>
      </c>
      <c r="J35" s="39">
        <f>V_3!J35+V_5!J35+V_7!J35</f>
        <v>0</v>
      </c>
      <c r="K35" s="45">
        <f>V_3!K35+V_5!K35+V_7!K35</f>
        <v>0</v>
      </c>
      <c r="L35" s="140">
        <f>V_3!L35+V_5!L35+V_7!L35</f>
        <v>1</v>
      </c>
      <c r="M35" s="149">
        <f t="shared" si="1"/>
        <v>1</v>
      </c>
      <c r="N35" s="100">
        <f t="shared" si="2"/>
        <v>390</v>
      </c>
      <c r="O35" s="43">
        <f t="shared" si="3"/>
        <v>441</v>
      </c>
    </row>
    <row r="36" spans="1:15" ht="22.5" customHeight="1" x14ac:dyDescent="0.3">
      <c r="A36" s="149" t="s">
        <v>205</v>
      </c>
      <c r="B36" s="44">
        <f>V_3!B36+V_5!B36+V_7!B36</f>
        <v>223</v>
      </c>
      <c r="C36" s="39">
        <f>V_3!C36+V_5!C36+V_7!C36</f>
        <v>83</v>
      </c>
      <c r="D36" s="39">
        <f>V_3!D36+V_5!D36+V_7!D36</f>
        <v>21</v>
      </c>
      <c r="E36" s="39">
        <f>V_3!E36+V_5!E36+V_7!E36</f>
        <v>12</v>
      </c>
      <c r="F36" s="152">
        <f>V_3!F36+V_5!F36+V_7!F36</f>
        <v>35</v>
      </c>
      <c r="G36" s="154">
        <f t="shared" si="0"/>
        <v>374</v>
      </c>
      <c r="H36" s="44">
        <f>V_3!H36+V_5!H36+V_7!H36</f>
        <v>0</v>
      </c>
      <c r="I36" s="39">
        <f>V_3!I36+V_5!I36+V_7!I36</f>
        <v>0</v>
      </c>
      <c r="J36" s="39">
        <f>V_3!J36+V_5!J36+V_7!J36</f>
        <v>0</v>
      </c>
      <c r="K36" s="45">
        <f>V_3!K36+V_5!K36+V_7!K36</f>
        <v>0</v>
      </c>
      <c r="L36" s="140">
        <f>V_3!L36+V_5!L36+V_7!L36</f>
        <v>1</v>
      </c>
      <c r="M36" s="149">
        <f t="shared" si="1"/>
        <v>1</v>
      </c>
      <c r="N36" s="100">
        <f t="shared" si="2"/>
        <v>375</v>
      </c>
      <c r="O36" s="43">
        <f t="shared" si="3"/>
        <v>497.5</v>
      </c>
    </row>
    <row r="37" spans="1:15" ht="22.5" customHeight="1" x14ac:dyDescent="0.3">
      <c r="A37" s="149" t="s">
        <v>206</v>
      </c>
      <c r="B37" s="44">
        <f>V_3!B37+V_5!B37+V_7!B37</f>
        <v>289</v>
      </c>
      <c r="C37" s="39">
        <f>V_3!C37+V_5!C37+V_7!C37</f>
        <v>84</v>
      </c>
      <c r="D37" s="39">
        <f>V_3!D37+V_5!D37+V_7!D37</f>
        <v>27</v>
      </c>
      <c r="E37" s="39">
        <f>V_3!E37+V_5!E37+V_7!E37</f>
        <v>10</v>
      </c>
      <c r="F37" s="152">
        <f>V_3!F37+V_5!F37+V_7!F37</f>
        <v>43</v>
      </c>
      <c r="G37" s="154">
        <f t="shared" si="0"/>
        <v>453</v>
      </c>
      <c r="H37" s="44">
        <f>V_3!H37+V_5!H37+V_7!H37</f>
        <v>0</v>
      </c>
      <c r="I37" s="39">
        <f>V_3!I37+V_5!I37+V_7!I37</f>
        <v>0</v>
      </c>
      <c r="J37" s="39">
        <f>V_3!J37+V_5!J37+V_7!J37</f>
        <v>0</v>
      </c>
      <c r="K37" s="45">
        <f>V_3!K37+V_5!K37+V_7!K37</f>
        <v>0</v>
      </c>
      <c r="L37" s="140">
        <f>V_3!L37+V_5!L37+V_7!L37</f>
        <v>0</v>
      </c>
      <c r="M37" s="149">
        <f t="shared" si="1"/>
        <v>0</v>
      </c>
      <c r="N37" s="100">
        <f t="shared" si="2"/>
        <v>453</v>
      </c>
      <c r="O37" s="43">
        <f t="shared" si="3"/>
        <v>595</v>
      </c>
    </row>
    <row r="38" spans="1:15" ht="22.5" customHeight="1" x14ac:dyDescent="0.3">
      <c r="A38" s="149" t="s">
        <v>207</v>
      </c>
      <c r="B38" s="44">
        <f>V_3!B38+V_5!B38+V_7!B38</f>
        <v>291</v>
      </c>
      <c r="C38" s="39">
        <f>V_3!C38+V_5!C38+V_7!C38</f>
        <v>88</v>
      </c>
      <c r="D38" s="39">
        <f>V_3!D38+V_5!D38+V_7!D38</f>
        <v>32</v>
      </c>
      <c r="E38" s="39">
        <f>V_3!E38+V_5!E38+V_7!E38</f>
        <v>10</v>
      </c>
      <c r="F38" s="152">
        <f>V_3!F38+V_5!F38+V_7!F38</f>
        <v>44</v>
      </c>
      <c r="G38" s="154">
        <f t="shared" si="0"/>
        <v>465</v>
      </c>
      <c r="H38" s="44">
        <f>V_3!H38+V_5!H38+V_7!H38</f>
        <v>0</v>
      </c>
      <c r="I38" s="39">
        <f>V_3!I38+V_5!I38+V_7!I38</f>
        <v>0</v>
      </c>
      <c r="J38" s="39">
        <f>V_3!J38+V_5!J38+V_7!J38</f>
        <v>0</v>
      </c>
      <c r="K38" s="45">
        <f>V_3!K38+V_5!K38+V_7!K38</f>
        <v>0</v>
      </c>
      <c r="L38" s="140">
        <f>V_3!L38+V_5!L38+V_7!L38</f>
        <v>0</v>
      </c>
      <c r="M38" s="149">
        <f t="shared" si="1"/>
        <v>0</v>
      </c>
      <c r="N38" s="100">
        <f t="shared" si="2"/>
        <v>465</v>
      </c>
      <c r="O38" s="43">
        <f t="shared" si="3"/>
        <v>611</v>
      </c>
    </row>
    <row r="39" spans="1:15" ht="22.5" customHeight="1" x14ac:dyDescent="0.3">
      <c r="A39" s="149" t="s">
        <v>208</v>
      </c>
      <c r="B39" s="44">
        <f>V_3!B39+V_5!B39+V_7!B39</f>
        <v>361</v>
      </c>
      <c r="C39" s="39">
        <f>V_3!C39+V_5!C39+V_7!C39</f>
        <v>104</v>
      </c>
      <c r="D39" s="39">
        <f>V_3!D39+V_5!D39+V_7!D39</f>
        <v>39</v>
      </c>
      <c r="E39" s="39">
        <f>V_3!E39+V_5!E39+V_7!E39</f>
        <v>15</v>
      </c>
      <c r="F39" s="152">
        <f>V_3!F39+V_5!F39+V_7!F39</f>
        <v>32</v>
      </c>
      <c r="G39" s="154">
        <f t="shared" si="0"/>
        <v>551</v>
      </c>
      <c r="H39" s="44">
        <f>V_3!H39+V_5!H39+V_7!H39</f>
        <v>0</v>
      </c>
      <c r="I39" s="39">
        <f>V_3!I39+V_5!I39+V_7!I39</f>
        <v>0</v>
      </c>
      <c r="J39" s="39">
        <f>V_3!J39+V_5!J39+V_7!J39</f>
        <v>0</v>
      </c>
      <c r="K39" s="45">
        <f>V_3!K39+V_5!K39+V_7!K39</f>
        <v>0</v>
      </c>
      <c r="L39" s="140">
        <f>V_3!L39+V_5!L39+V_7!L39</f>
        <v>0</v>
      </c>
      <c r="M39" s="149">
        <f t="shared" si="1"/>
        <v>0</v>
      </c>
      <c r="N39" s="100">
        <f t="shared" si="2"/>
        <v>551</v>
      </c>
      <c r="O39" s="43">
        <f t="shared" si="3"/>
        <v>660.5</v>
      </c>
    </row>
    <row r="40" spans="1:15" ht="22.5" customHeight="1" x14ac:dyDescent="0.3">
      <c r="A40" s="149" t="s">
        <v>209</v>
      </c>
      <c r="B40" s="44">
        <f>V_3!B40+V_5!B40+V_7!B40</f>
        <v>388</v>
      </c>
      <c r="C40" s="39">
        <f>V_3!C40+V_5!C40+V_7!C40</f>
        <v>140</v>
      </c>
      <c r="D40" s="39">
        <f>V_3!D40+V_5!D40+V_7!D40</f>
        <v>34</v>
      </c>
      <c r="E40" s="39">
        <f>V_3!E40+V_5!E40+V_7!E40</f>
        <v>21</v>
      </c>
      <c r="F40" s="152">
        <f>V_3!F40+V_5!F40+V_7!F40</f>
        <v>32</v>
      </c>
      <c r="G40" s="154">
        <f t="shared" ref="G40:G71" si="4">SUM(B40:F40)</f>
        <v>615</v>
      </c>
      <c r="H40" s="44">
        <f>V_3!H40+V_5!H40+V_7!H40</f>
        <v>0</v>
      </c>
      <c r="I40" s="39">
        <f>V_3!I40+V_5!I40+V_7!I40</f>
        <v>0</v>
      </c>
      <c r="J40" s="39">
        <f>V_3!J40+V_5!J40+V_7!J40</f>
        <v>0</v>
      </c>
      <c r="K40" s="45">
        <f>V_3!K40+V_5!K40+V_7!K40</f>
        <v>0</v>
      </c>
      <c r="L40" s="140">
        <f>V_3!L40+V_5!L40+V_7!L40</f>
        <v>3</v>
      </c>
      <c r="M40" s="149">
        <f t="shared" si="1"/>
        <v>3</v>
      </c>
      <c r="N40" s="100">
        <f t="shared" si="2"/>
        <v>618</v>
      </c>
      <c r="O40" s="43">
        <f t="shared" si="3"/>
        <v>740</v>
      </c>
    </row>
    <row r="41" spans="1:15" ht="22.5" customHeight="1" x14ac:dyDescent="0.3">
      <c r="A41" s="149" t="s">
        <v>210</v>
      </c>
      <c r="B41" s="44">
        <f>V_3!B41+V_5!B41+V_7!B41</f>
        <v>373</v>
      </c>
      <c r="C41" s="39">
        <f>V_3!C41+V_5!C41+V_7!C41</f>
        <v>189</v>
      </c>
      <c r="D41" s="39">
        <f>V_3!D41+V_5!D41+V_7!D41</f>
        <v>27</v>
      </c>
      <c r="E41" s="39">
        <f>V_3!E41+V_5!E41+V_7!E41</f>
        <v>20</v>
      </c>
      <c r="F41" s="152">
        <f>V_3!F41+V_5!F41+V_7!F41</f>
        <v>37</v>
      </c>
      <c r="G41" s="154">
        <f t="shared" si="4"/>
        <v>646</v>
      </c>
      <c r="H41" s="44">
        <f>V_3!H41+V_5!H41+V_7!H41</f>
        <v>0</v>
      </c>
      <c r="I41" s="39">
        <f>V_3!I41+V_5!I41+V_7!I41</f>
        <v>0</v>
      </c>
      <c r="J41" s="39">
        <f>V_3!J41+V_5!J41+V_7!J41</f>
        <v>0</v>
      </c>
      <c r="K41" s="45">
        <f>V_3!K41+V_5!K41+V_7!K41</f>
        <v>0</v>
      </c>
      <c r="L41" s="140">
        <f>V_3!L41+V_5!L41+V_7!L41</f>
        <v>6</v>
      </c>
      <c r="M41" s="149">
        <f t="shared" si="1"/>
        <v>6</v>
      </c>
      <c r="N41" s="100">
        <f t="shared" si="2"/>
        <v>652</v>
      </c>
      <c r="O41" s="43">
        <f t="shared" si="3"/>
        <v>782.5</v>
      </c>
    </row>
    <row r="42" spans="1:15" ht="22.5" customHeight="1" x14ac:dyDescent="0.3">
      <c r="A42" s="149" t="s">
        <v>211</v>
      </c>
      <c r="B42" s="44">
        <f>V_3!B42+V_5!B42+V_7!B42</f>
        <v>412</v>
      </c>
      <c r="C42" s="39">
        <f>V_3!C42+V_5!C42+V_7!C42</f>
        <v>155</v>
      </c>
      <c r="D42" s="39">
        <f>V_3!D42+V_5!D42+V_7!D42</f>
        <v>35</v>
      </c>
      <c r="E42" s="39">
        <f>V_3!E42+V_5!E42+V_7!E42</f>
        <v>17</v>
      </c>
      <c r="F42" s="152">
        <f>V_3!F42+V_5!F42+V_7!F42</f>
        <v>39</v>
      </c>
      <c r="G42" s="154">
        <f t="shared" si="4"/>
        <v>658</v>
      </c>
      <c r="H42" s="44">
        <f>V_3!H42+V_5!H42+V_7!H42</f>
        <v>0</v>
      </c>
      <c r="I42" s="39">
        <f>V_3!I42+V_5!I42+V_7!I42</f>
        <v>0</v>
      </c>
      <c r="J42" s="39">
        <f>V_3!J42+V_5!J42+V_7!J42</f>
        <v>0</v>
      </c>
      <c r="K42" s="45">
        <f>V_3!K42+V_5!K42+V_7!K42</f>
        <v>0</v>
      </c>
      <c r="L42" s="140">
        <f>V_3!L42+V_5!L42+V_7!L42</f>
        <v>1</v>
      </c>
      <c r="M42" s="149">
        <f t="shared" si="1"/>
        <v>1</v>
      </c>
      <c r="N42" s="100">
        <f t="shared" si="2"/>
        <v>659</v>
      </c>
      <c r="O42" s="43">
        <f t="shared" si="3"/>
        <v>776.5</v>
      </c>
    </row>
    <row r="43" spans="1:15" ht="22.5" customHeight="1" x14ac:dyDescent="0.3">
      <c r="A43" s="149" t="s">
        <v>212</v>
      </c>
      <c r="B43" s="44">
        <f>V_3!B43+V_5!B43+V_7!B43</f>
        <v>419</v>
      </c>
      <c r="C43" s="39">
        <f>V_3!C43+V_5!C43+V_7!C43</f>
        <v>173</v>
      </c>
      <c r="D43" s="39">
        <f>V_3!D43+V_5!D43+V_7!D43</f>
        <v>21</v>
      </c>
      <c r="E43" s="39">
        <f>V_3!E43+V_5!E43+V_7!E43</f>
        <v>28</v>
      </c>
      <c r="F43" s="152">
        <f>V_3!F43+V_5!F43+V_7!F43</f>
        <v>42</v>
      </c>
      <c r="G43" s="154">
        <f t="shared" si="4"/>
        <v>683</v>
      </c>
      <c r="H43" s="44">
        <f>V_3!H43+V_5!H43+V_7!H43</f>
        <v>1</v>
      </c>
      <c r="I43" s="39">
        <f>V_3!I43+V_5!I43+V_7!I43</f>
        <v>0</v>
      </c>
      <c r="J43" s="39">
        <f>V_3!J43+V_5!J43+V_7!J43</f>
        <v>0</v>
      </c>
      <c r="K43" s="45">
        <f>V_3!K43+V_5!K43+V_7!K43</f>
        <v>0</v>
      </c>
      <c r="L43" s="140">
        <f>V_3!L43+V_5!L43+V_7!L43</f>
        <v>9</v>
      </c>
      <c r="M43" s="149">
        <f t="shared" si="1"/>
        <v>10</v>
      </c>
      <c r="N43" s="100">
        <f t="shared" si="2"/>
        <v>693</v>
      </c>
      <c r="O43" s="43">
        <f t="shared" si="3"/>
        <v>882.5</v>
      </c>
    </row>
    <row r="44" spans="1:15" ht="22.5" customHeight="1" x14ac:dyDescent="0.3">
      <c r="A44" s="149" t="s">
        <v>213</v>
      </c>
      <c r="B44" s="44">
        <f>V_3!B44+V_5!B44+V_7!B44</f>
        <v>467</v>
      </c>
      <c r="C44" s="39">
        <f>V_3!C44+V_5!C44+V_7!C44</f>
        <v>208</v>
      </c>
      <c r="D44" s="39">
        <f>V_3!D44+V_5!D44+V_7!D44</f>
        <v>23</v>
      </c>
      <c r="E44" s="39">
        <f>V_3!E44+V_5!E44+V_7!E44</f>
        <v>18</v>
      </c>
      <c r="F44" s="152">
        <f>V_3!F44+V_5!F44+V_7!F44</f>
        <v>40</v>
      </c>
      <c r="G44" s="154">
        <f t="shared" si="4"/>
        <v>756</v>
      </c>
      <c r="H44" s="44">
        <f>V_3!H44+V_5!H44+V_7!H44</f>
        <v>0</v>
      </c>
      <c r="I44" s="39">
        <f>V_3!I44+V_5!I44+V_7!I44</f>
        <v>0</v>
      </c>
      <c r="J44" s="39">
        <f>V_3!J44+V_5!J44+V_7!J44</f>
        <v>0</v>
      </c>
      <c r="K44" s="45">
        <f>V_3!K44+V_5!K44+V_7!K44</f>
        <v>0</v>
      </c>
      <c r="L44" s="140">
        <f>V_3!L44+V_5!L44+V_7!L44</f>
        <v>9</v>
      </c>
      <c r="M44" s="149">
        <f t="shared" si="1"/>
        <v>9</v>
      </c>
      <c r="N44" s="100">
        <f t="shared" si="2"/>
        <v>765</v>
      </c>
      <c r="O44" s="43">
        <f t="shared" si="3"/>
        <v>911.5</v>
      </c>
    </row>
    <row r="45" spans="1:15" ht="22.5" customHeight="1" x14ac:dyDescent="0.3">
      <c r="A45" s="149" t="s">
        <v>214</v>
      </c>
      <c r="B45" s="44">
        <f>V_3!B45+V_5!B45+V_7!B45</f>
        <v>524</v>
      </c>
      <c r="C45" s="39">
        <f>V_3!C45+V_5!C45+V_7!C45</f>
        <v>172</v>
      </c>
      <c r="D45" s="39">
        <f>V_3!D45+V_5!D45+V_7!D45</f>
        <v>29</v>
      </c>
      <c r="E45" s="39">
        <f>V_3!E45+V_5!E45+V_7!E45</f>
        <v>22</v>
      </c>
      <c r="F45" s="152">
        <f>V_3!F45+V_5!F45+V_7!F45</f>
        <v>27</v>
      </c>
      <c r="G45" s="154">
        <f t="shared" si="4"/>
        <v>774</v>
      </c>
      <c r="H45" s="44">
        <f>V_3!H45+V_5!H45+V_7!H45</f>
        <v>0</v>
      </c>
      <c r="I45" s="39">
        <f>V_3!I45+V_5!I45+V_7!I45</f>
        <v>0</v>
      </c>
      <c r="J45" s="39">
        <f>V_3!J45+V_5!J45+V_7!J45</f>
        <v>0</v>
      </c>
      <c r="K45" s="45">
        <f>V_3!K45+V_5!K45+V_7!K45</f>
        <v>0</v>
      </c>
      <c r="L45" s="140">
        <f>V_3!L45+V_5!L45+V_7!L45</f>
        <v>2</v>
      </c>
      <c r="M45" s="149">
        <f t="shared" si="1"/>
        <v>2</v>
      </c>
      <c r="N45" s="100">
        <f t="shared" si="2"/>
        <v>776</v>
      </c>
      <c r="O45" s="43">
        <f t="shared" si="3"/>
        <v>857</v>
      </c>
    </row>
    <row r="46" spans="1:15" ht="22.5" customHeight="1" x14ac:dyDescent="0.3">
      <c r="A46" s="149" t="s">
        <v>215</v>
      </c>
      <c r="B46" s="44">
        <f>V_3!B46+V_5!B46+V_7!B46</f>
        <v>378</v>
      </c>
      <c r="C46" s="39">
        <f>V_3!C46+V_5!C46+V_7!C46</f>
        <v>290</v>
      </c>
      <c r="D46" s="39">
        <f>V_3!D46+V_5!D46+V_7!D46</f>
        <v>35</v>
      </c>
      <c r="E46" s="39">
        <f>V_3!E46+V_5!E46+V_7!E46</f>
        <v>19</v>
      </c>
      <c r="F46" s="152">
        <f>V_3!F46+V_5!F46+V_7!F46</f>
        <v>51</v>
      </c>
      <c r="G46" s="154">
        <f t="shared" si="4"/>
        <v>773</v>
      </c>
      <c r="H46" s="44">
        <f>V_3!H46+V_5!H46+V_7!H46</f>
        <v>0</v>
      </c>
      <c r="I46" s="39">
        <f>V_3!I46+V_5!I46+V_7!I46</f>
        <v>0</v>
      </c>
      <c r="J46" s="39">
        <f>V_3!J46+V_5!J46+V_7!J46</f>
        <v>0</v>
      </c>
      <c r="K46" s="45">
        <f>V_3!K46+V_5!K46+V_7!K46</f>
        <v>0</v>
      </c>
      <c r="L46" s="140">
        <f>V_3!L46+V_5!L46+V_7!L46</f>
        <v>10</v>
      </c>
      <c r="M46" s="149">
        <f t="shared" si="1"/>
        <v>10</v>
      </c>
      <c r="N46" s="100">
        <f t="shared" si="2"/>
        <v>783</v>
      </c>
      <c r="O46" s="43">
        <f t="shared" si="3"/>
        <v>942</v>
      </c>
    </row>
    <row r="47" spans="1:15" ht="22.5" customHeight="1" x14ac:dyDescent="0.3">
      <c r="A47" s="149" t="s">
        <v>216</v>
      </c>
      <c r="B47" s="44">
        <f>V_3!B47+V_5!B47+V_7!B47</f>
        <v>460</v>
      </c>
      <c r="C47" s="39">
        <f>V_3!C47+V_5!C47+V_7!C47</f>
        <v>224</v>
      </c>
      <c r="D47" s="39">
        <f>V_3!D47+V_5!D47+V_7!D47</f>
        <v>26</v>
      </c>
      <c r="E47" s="39">
        <f>V_3!E47+V_5!E47+V_7!E47</f>
        <v>34</v>
      </c>
      <c r="F47" s="152">
        <f>V_3!F47+V_5!F47+V_7!F47</f>
        <v>53</v>
      </c>
      <c r="G47" s="154">
        <f t="shared" si="4"/>
        <v>797</v>
      </c>
      <c r="H47" s="44">
        <f>V_3!H47+V_5!H47+V_7!H47</f>
        <v>0</v>
      </c>
      <c r="I47" s="39">
        <f>V_3!I47+V_5!I47+V_7!I47</f>
        <v>0</v>
      </c>
      <c r="J47" s="39">
        <f>V_3!J47+V_5!J47+V_7!J47</f>
        <v>0</v>
      </c>
      <c r="K47" s="45">
        <f>V_3!K47+V_5!K47+V_7!K47</f>
        <v>0</v>
      </c>
      <c r="L47" s="140">
        <f>V_3!L47+V_5!L47+V_7!L47</f>
        <v>8</v>
      </c>
      <c r="M47" s="149">
        <f t="shared" si="1"/>
        <v>8</v>
      </c>
      <c r="N47" s="100">
        <f t="shared" si="2"/>
        <v>805</v>
      </c>
      <c r="O47" s="43">
        <f t="shared" si="3"/>
        <v>1015.5</v>
      </c>
    </row>
    <row r="48" spans="1:15" ht="22.5" customHeight="1" x14ac:dyDescent="0.3">
      <c r="A48" s="149" t="s">
        <v>217</v>
      </c>
      <c r="B48" s="44">
        <f>V_3!B48+V_5!B48+V_7!B48</f>
        <v>416</v>
      </c>
      <c r="C48" s="39">
        <f>V_3!C48+V_5!C48+V_7!C48</f>
        <v>239</v>
      </c>
      <c r="D48" s="39">
        <f>V_3!D48+V_5!D48+V_7!D48</f>
        <v>33</v>
      </c>
      <c r="E48" s="39">
        <f>V_3!E48+V_5!E48+V_7!E48</f>
        <v>15</v>
      </c>
      <c r="F48" s="152">
        <f>V_3!F48+V_5!F48+V_7!F48</f>
        <v>49</v>
      </c>
      <c r="G48" s="154">
        <f t="shared" si="4"/>
        <v>752</v>
      </c>
      <c r="H48" s="44">
        <f>V_3!H48+V_5!H48+V_7!H48</f>
        <v>0</v>
      </c>
      <c r="I48" s="39">
        <f>V_3!I48+V_5!I48+V_7!I48</f>
        <v>0</v>
      </c>
      <c r="J48" s="39">
        <f>V_3!J48+V_5!J48+V_7!J48</f>
        <v>0</v>
      </c>
      <c r="K48" s="45">
        <f>V_3!K48+V_5!K48+V_7!K48</f>
        <v>0</v>
      </c>
      <c r="L48" s="140">
        <f>V_3!L48+V_5!L48+V_7!L48</f>
        <v>10</v>
      </c>
      <c r="M48" s="149">
        <f t="shared" si="1"/>
        <v>10</v>
      </c>
      <c r="N48" s="100">
        <f t="shared" si="2"/>
        <v>762</v>
      </c>
      <c r="O48" s="43">
        <f t="shared" si="3"/>
        <v>930.5</v>
      </c>
    </row>
    <row r="49" spans="1:15" ht="22.5" customHeight="1" x14ac:dyDescent="0.3">
      <c r="A49" s="149" t="s">
        <v>218</v>
      </c>
      <c r="B49" s="44">
        <f>V_3!B49+V_5!B49+V_7!B49</f>
        <v>484</v>
      </c>
      <c r="C49" s="39">
        <f>V_3!C49+V_5!C49+V_7!C49</f>
        <v>270</v>
      </c>
      <c r="D49" s="39">
        <f>V_3!D49+V_5!D49+V_7!D49</f>
        <v>32</v>
      </c>
      <c r="E49" s="39">
        <f>V_3!E49+V_5!E49+V_7!E49</f>
        <v>16</v>
      </c>
      <c r="F49" s="152">
        <f>V_3!F49+V_5!F49+V_7!F49</f>
        <v>61</v>
      </c>
      <c r="G49" s="154">
        <f t="shared" si="4"/>
        <v>863</v>
      </c>
      <c r="H49" s="44">
        <f>V_3!H49+V_5!H49+V_7!H49</f>
        <v>1</v>
      </c>
      <c r="I49" s="39">
        <f>V_3!I49+V_5!I49+V_7!I49</f>
        <v>0</v>
      </c>
      <c r="J49" s="39">
        <f>V_3!J49+V_5!J49+V_7!J49</f>
        <v>0</v>
      </c>
      <c r="K49" s="45">
        <f>V_3!K49+V_5!K49+V_7!K49</f>
        <v>0</v>
      </c>
      <c r="L49" s="140">
        <f>V_3!L49+V_5!L49+V_7!L49</f>
        <v>13</v>
      </c>
      <c r="M49" s="149">
        <f t="shared" si="1"/>
        <v>14</v>
      </c>
      <c r="N49" s="100">
        <f t="shared" si="2"/>
        <v>877</v>
      </c>
      <c r="O49" s="43">
        <f t="shared" si="3"/>
        <v>1094</v>
      </c>
    </row>
    <row r="50" spans="1:15" ht="22.5" customHeight="1" x14ac:dyDescent="0.3">
      <c r="A50" s="149" t="s">
        <v>219</v>
      </c>
      <c r="B50" s="44">
        <f>V_3!B50+V_5!B50+V_7!B50</f>
        <v>474</v>
      </c>
      <c r="C50" s="39">
        <f>V_3!C50+V_5!C50+V_7!C50</f>
        <v>357</v>
      </c>
      <c r="D50" s="39">
        <f>V_3!D50+V_5!D50+V_7!D50</f>
        <v>27</v>
      </c>
      <c r="E50" s="39">
        <f>V_3!E50+V_5!E50+V_7!E50</f>
        <v>18</v>
      </c>
      <c r="F50" s="152">
        <f>V_3!F50+V_5!F50+V_7!F50</f>
        <v>35</v>
      </c>
      <c r="G50" s="154">
        <f t="shared" si="4"/>
        <v>911</v>
      </c>
      <c r="H50" s="44">
        <f>V_3!H50+V_5!H50+V_7!H50</f>
        <v>0</v>
      </c>
      <c r="I50" s="39">
        <f>V_3!I50+V_5!I50+V_7!I50</f>
        <v>0</v>
      </c>
      <c r="J50" s="39">
        <f>V_3!J50+V_5!J50+V_7!J50</f>
        <v>0</v>
      </c>
      <c r="K50" s="45">
        <f>V_3!K50+V_5!K50+V_7!K50</f>
        <v>0</v>
      </c>
      <c r="L50" s="140">
        <f>V_3!L50+V_5!L50+V_7!L50</f>
        <v>20</v>
      </c>
      <c r="M50" s="149">
        <f t="shared" si="1"/>
        <v>20</v>
      </c>
      <c r="N50" s="100">
        <f t="shared" si="2"/>
        <v>931</v>
      </c>
      <c r="O50" s="43">
        <f t="shared" si="3"/>
        <v>1064.5</v>
      </c>
    </row>
    <row r="51" spans="1:15" ht="22.5" customHeight="1" x14ac:dyDescent="0.3">
      <c r="A51" s="149" t="s">
        <v>220</v>
      </c>
      <c r="B51" s="44">
        <f>V_3!B51+V_5!B51+V_7!B51</f>
        <v>486</v>
      </c>
      <c r="C51" s="39">
        <f>V_3!C51+V_5!C51+V_7!C51</f>
        <v>328</v>
      </c>
      <c r="D51" s="39">
        <f>V_3!D51+V_5!D51+V_7!D51</f>
        <v>35</v>
      </c>
      <c r="E51" s="39">
        <f>V_3!E51+V_5!E51+V_7!E51</f>
        <v>24</v>
      </c>
      <c r="F51" s="152">
        <f>V_3!F51+V_5!F51+V_7!F51</f>
        <v>46</v>
      </c>
      <c r="G51" s="154">
        <f t="shared" si="4"/>
        <v>919</v>
      </c>
      <c r="H51" s="44">
        <f>V_3!H51+V_5!H51+V_7!H51</f>
        <v>0</v>
      </c>
      <c r="I51" s="39">
        <f>V_3!I51+V_5!I51+V_7!I51</f>
        <v>0</v>
      </c>
      <c r="J51" s="39">
        <f>V_3!J51+V_5!J51+V_7!J51</f>
        <v>0</v>
      </c>
      <c r="K51" s="45">
        <f>V_3!K51+V_5!K51+V_7!K51</f>
        <v>0</v>
      </c>
      <c r="L51" s="140">
        <f>V_3!L51+V_5!L51+V_7!L51</f>
        <v>13</v>
      </c>
      <c r="M51" s="149">
        <f t="shared" si="1"/>
        <v>13</v>
      </c>
      <c r="N51" s="100">
        <f t="shared" si="2"/>
        <v>932</v>
      </c>
      <c r="O51" s="43">
        <f t="shared" si="3"/>
        <v>1085.5</v>
      </c>
    </row>
    <row r="52" spans="1:15" ht="22.5" customHeight="1" x14ac:dyDescent="0.3">
      <c r="A52" s="149" t="s">
        <v>221</v>
      </c>
      <c r="B52" s="44">
        <f>V_3!B52+V_5!B52+V_7!B52</f>
        <v>417</v>
      </c>
      <c r="C52" s="39">
        <f>V_3!C52+V_5!C52+V_7!C52</f>
        <v>301</v>
      </c>
      <c r="D52" s="39">
        <f>V_3!D52+V_5!D52+V_7!D52</f>
        <v>36</v>
      </c>
      <c r="E52" s="39">
        <f>V_3!E52+V_5!E52+V_7!E52</f>
        <v>20</v>
      </c>
      <c r="F52" s="152">
        <f>V_3!F52+V_5!F52+V_7!F52</f>
        <v>43</v>
      </c>
      <c r="G52" s="154">
        <f t="shared" si="4"/>
        <v>817</v>
      </c>
      <c r="H52" s="44">
        <f>V_3!H52+V_5!H52+V_7!H52</f>
        <v>0</v>
      </c>
      <c r="I52" s="39">
        <f>V_3!I52+V_5!I52+V_7!I52</f>
        <v>0</v>
      </c>
      <c r="J52" s="39">
        <f>V_3!J52+V_5!J52+V_7!J52</f>
        <v>0</v>
      </c>
      <c r="K52" s="45">
        <f>V_3!K52+V_5!K52+V_7!K52</f>
        <v>1</v>
      </c>
      <c r="L52" s="140">
        <f>V_3!L52+V_5!L52+V_7!L52</f>
        <v>4</v>
      </c>
      <c r="M52" s="149">
        <f t="shared" si="1"/>
        <v>5</v>
      </c>
      <c r="N52" s="100">
        <f t="shared" si="2"/>
        <v>822</v>
      </c>
      <c r="O52" s="43">
        <f t="shared" si="3"/>
        <v>911</v>
      </c>
    </row>
    <row r="53" spans="1:15" ht="22.5" customHeight="1" x14ac:dyDescent="0.3">
      <c r="A53" s="149" t="s">
        <v>222</v>
      </c>
      <c r="B53" s="44">
        <f>V_3!B53+V_5!B53+V_7!B53</f>
        <v>432</v>
      </c>
      <c r="C53" s="39">
        <f>V_3!C53+V_5!C53+V_7!C53</f>
        <v>258</v>
      </c>
      <c r="D53" s="39">
        <f>V_3!D53+V_5!D53+V_7!D53</f>
        <v>24</v>
      </c>
      <c r="E53" s="39">
        <f>V_3!E53+V_5!E53+V_7!E53</f>
        <v>17</v>
      </c>
      <c r="F53" s="152">
        <f>V_3!F53+V_5!F53+V_7!F53</f>
        <v>72</v>
      </c>
      <c r="G53" s="154">
        <f t="shared" si="4"/>
        <v>803</v>
      </c>
      <c r="H53" s="44">
        <f>V_3!H53+V_5!H53+V_7!H53</f>
        <v>1</v>
      </c>
      <c r="I53" s="39">
        <f>V_3!I53+V_5!I53+V_7!I53</f>
        <v>0</v>
      </c>
      <c r="J53" s="39">
        <f>V_3!J53+V_5!J53+V_7!J53</f>
        <v>0</v>
      </c>
      <c r="K53" s="45">
        <f>V_3!K53+V_5!K53+V_7!K53</f>
        <v>0</v>
      </c>
      <c r="L53" s="140">
        <f>V_3!L53+V_5!L53+V_7!L53</f>
        <v>3</v>
      </c>
      <c r="M53" s="149">
        <f t="shared" si="1"/>
        <v>4</v>
      </c>
      <c r="N53" s="100">
        <f t="shared" si="2"/>
        <v>807</v>
      </c>
      <c r="O53" s="43">
        <f t="shared" si="3"/>
        <v>996.5</v>
      </c>
    </row>
    <row r="54" spans="1:15" ht="22.5" customHeight="1" x14ac:dyDescent="0.3">
      <c r="A54" s="149" t="s">
        <v>223</v>
      </c>
      <c r="B54" s="44">
        <f>V_3!B54+V_5!B54+V_7!B54</f>
        <v>395</v>
      </c>
      <c r="C54" s="39">
        <f>V_3!C54+V_5!C54+V_7!C54</f>
        <v>237</v>
      </c>
      <c r="D54" s="39">
        <f>V_3!D54+V_5!D54+V_7!D54</f>
        <v>25</v>
      </c>
      <c r="E54" s="39">
        <f>V_3!E54+V_5!E54+V_7!E54</f>
        <v>19</v>
      </c>
      <c r="F54" s="152">
        <f>V_3!F54+V_5!F54+V_7!F54</f>
        <v>51</v>
      </c>
      <c r="G54" s="154">
        <f t="shared" si="4"/>
        <v>727</v>
      </c>
      <c r="H54" s="44">
        <f>V_3!H54+V_5!H54+V_7!H54</f>
        <v>0</v>
      </c>
      <c r="I54" s="39">
        <f>V_3!I54+V_5!I54+V_7!I54</f>
        <v>0</v>
      </c>
      <c r="J54" s="39">
        <f>V_3!J54+V_5!J54+V_7!J54</f>
        <v>0</v>
      </c>
      <c r="K54" s="45">
        <f>V_3!K54+V_5!K54+V_7!K54</f>
        <v>0</v>
      </c>
      <c r="L54" s="140">
        <f>V_3!L54+V_5!L54+V_7!L54</f>
        <v>3</v>
      </c>
      <c r="M54" s="149">
        <f t="shared" si="1"/>
        <v>3</v>
      </c>
      <c r="N54" s="100">
        <f t="shared" si="2"/>
        <v>730</v>
      </c>
      <c r="O54" s="43">
        <f t="shared" si="3"/>
        <v>861.5</v>
      </c>
    </row>
    <row r="55" spans="1:15" ht="22.5" customHeight="1" x14ac:dyDescent="0.3">
      <c r="A55" s="149" t="s">
        <v>224</v>
      </c>
      <c r="B55" s="44">
        <f>V_3!B55+V_5!B55+V_7!B55</f>
        <v>388</v>
      </c>
      <c r="C55" s="39">
        <f>V_3!C55+V_5!C55+V_7!C55</f>
        <v>227</v>
      </c>
      <c r="D55" s="39">
        <f>V_3!D55+V_5!D55+V_7!D55</f>
        <v>32</v>
      </c>
      <c r="E55" s="39">
        <f>V_3!E55+V_5!E55+V_7!E55</f>
        <v>17</v>
      </c>
      <c r="F55" s="152">
        <f>V_3!F55+V_5!F55+V_7!F55</f>
        <v>54</v>
      </c>
      <c r="G55" s="154">
        <f t="shared" si="4"/>
        <v>718</v>
      </c>
      <c r="H55" s="44">
        <f>V_3!H55+V_5!H55+V_7!H55</f>
        <v>0</v>
      </c>
      <c r="I55" s="39">
        <f>V_3!I55+V_5!I55+V_7!I55</f>
        <v>0</v>
      </c>
      <c r="J55" s="39">
        <f>V_3!J55+V_5!J55+V_7!J55</f>
        <v>0</v>
      </c>
      <c r="K55" s="45">
        <f>V_3!K55+V_5!K55+V_7!K55</f>
        <v>0</v>
      </c>
      <c r="L55" s="140">
        <f>V_3!L55+V_5!L55+V_7!L55</f>
        <v>8</v>
      </c>
      <c r="M55" s="149">
        <f t="shared" si="1"/>
        <v>8</v>
      </c>
      <c r="N55" s="100">
        <f t="shared" si="2"/>
        <v>726</v>
      </c>
      <c r="O55" s="43">
        <f t="shared" si="3"/>
        <v>907.5</v>
      </c>
    </row>
    <row r="56" spans="1:15" ht="22.5" customHeight="1" x14ac:dyDescent="0.3">
      <c r="A56" s="149" t="s">
        <v>225</v>
      </c>
      <c r="B56" s="44">
        <f>V_3!B56+V_5!B56+V_7!B56</f>
        <v>413</v>
      </c>
      <c r="C56" s="39">
        <f>V_3!C56+V_5!C56+V_7!C56</f>
        <v>230</v>
      </c>
      <c r="D56" s="39">
        <f>V_3!D56+V_5!D56+V_7!D56</f>
        <v>14</v>
      </c>
      <c r="E56" s="39">
        <f>V_3!E56+V_5!E56+V_7!E56</f>
        <v>12</v>
      </c>
      <c r="F56" s="152">
        <f>V_3!F56+V_5!F56+V_7!F56</f>
        <v>54</v>
      </c>
      <c r="G56" s="154">
        <f t="shared" si="4"/>
        <v>723</v>
      </c>
      <c r="H56" s="44">
        <f>V_3!H56+V_5!H56+V_7!H56</f>
        <v>0</v>
      </c>
      <c r="I56" s="39">
        <f>V_3!I56+V_5!I56+V_7!I56</f>
        <v>0</v>
      </c>
      <c r="J56" s="39">
        <f>V_3!J56+V_5!J56+V_7!J56</f>
        <v>0</v>
      </c>
      <c r="K56" s="45">
        <f>V_3!K56+V_5!K56+V_7!K56</f>
        <v>0</v>
      </c>
      <c r="L56" s="140">
        <f>V_3!L56+V_5!L56+V_7!L56</f>
        <v>4</v>
      </c>
      <c r="M56" s="149">
        <f t="shared" si="1"/>
        <v>4</v>
      </c>
      <c r="N56" s="100">
        <f t="shared" si="2"/>
        <v>727</v>
      </c>
      <c r="O56" s="43">
        <f t="shared" si="3"/>
        <v>860</v>
      </c>
    </row>
    <row r="57" spans="1:15" ht="22.5" customHeight="1" x14ac:dyDescent="0.3">
      <c r="A57" s="149" t="s">
        <v>226</v>
      </c>
      <c r="B57" s="44">
        <f>V_3!B57+V_5!B57+V_7!B57</f>
        <v>376</v>
      </c>
      <c r="C57" s="39">
        <f>V_3!C57+V_5!C57+V_7!C57</f>
        <v>222</v>
      </c>
      <c r="D57" s="39">
        <f>V_3!D57+V_5!D57+V_7!D57</f>
        <v>18</v>
      </c>
      <c r="E57" s="39">
        <f>V_3!E57+V_5!E57+V_7!E57</f>
        <v>12</v>
      </c>
      <c r="F57" s="152">
        <f>V_3!F57+V_5!F57+V_7!F57</f>
        <v>36</v>
      </c>
      <c r="G57" s="154">
        <f t="shared" si="4"/>
        <v>664</v>
      </c>
      <c r="H57" s="44">
        <f>V_3!H57+V_5!H57+V_7!H57</f>
        <v>0</v>
      </c>
      <c r="I57" s="39">
        <f>V_3!I57+V_5!I57+V_7!I57</f>
        <v>0</v>
      </c>
      <c r="J57" s="39">
        <f>V_3!J57+V_5!J57+V_7!J57</f>
        <v>0</v>
      </c>
      <c r="K57" s="45">
        <f>V_3!K57+V_5!K57+V_7!K57</f>
        <v>0</v>
      </c>
      <c r="L57" s="140">
        <f>V_3!L57+V_5!L57+V_7!L57</f>
        <v>2</v>
      </c>
      <c r="M57" s="149">
        <f t="shared" si="1"/>
        <v>2</v>
      </c>
      <c r="N57" s="100">
        <f t="shared" si="2"/>
        <v>666</v>
      </c>
      <c r="O57" s="43">
        <f t="shared" si="3"/>
        <v>728</v>
      </c>
    </row>
    <row r="58" spans="1:15" ht="22.5" customHeight="1" x14ac:dyDescent="0.3">
      <c r="A58" s="149" t="s">
        <v>227</v>
      </c>
      <c r="B58" s="44">
        <f>V_3!B58+V_5!B58+V_7!B58</f>
        <v>330</v>
      </c>
      <c r="C58" s="39">
        <f>V_3!C58+V_5!C58+V_7!C58</f>
        <v>188</v>
      </c>
      <c r="D58" s="39">
        <f>V_3!D58+V_5!D58+V_7!D58</f>
        <v>13</v>
      </c>
      <c r="E58" s="39">
        <f>V_3!E58+V_5!E58+V_7!E58</f>
        <v>8</v>
      </c>
      <c r="F58" s="152">
        <f>V_3!F58+V_5!F58+V_7!F58</f>
        <v>63</v>
      </c>
      <c r="G58" s="154">
        <f t="shared" si="4"/>
        <v>602</v>
      </c>
      <c r="H58" s="44">
        <f>V_3!H58+V_5!H58+V_7!H58</f>
        <v>0</v>
      </c>
      <c r="I58" s="39">
        <f>V_3!I58+V_5!I58+V_7!I58</f>
        <v>0</v>
      </c>
      <c r="J58" s="39">
        <f>V_3!J58+V_5!J58+V_7!J58</f>
        <v>0</v>
      </c>
      <c r="K58" s="45">
        <f>V_3!K58+V_5!K58+V_7!K58</f>
        <v>0</v>
      </c>
      <c r="L58" s="140">
        <f>V_3!L58+V_5!L58+V_7!L58</f>
        <v>1</v>
      </c>
      <c r="M58" s="149">
        <f t="shared" si="1"/>
        <v>1</v>
      </c>
      <c r="N58" s="100">
        <f t="shared" si="2"/>
        <v>603</v>
      </c>
      <c r="O58" s="43">
        <f t="shared" si="3"/>
        <v>759</v>
      </c>
    </row>
    <row r="59" spans="1:15" ht="22.5" customHeight="1" x14ac:dyDescent="0.3">
      <c r="A59" s="149" t="s">
        <v>228</v>
      </c>
      <c r="B59" s="44">
        <f>V_3!B59+V_5!B59+V_7!B59</f>
        <v>296</v>
      </c>
      <c r="C59" s="39">
        <f>V_3!C59+V_5!C59+V_7!C59</f>
        <v>160</v>
      </c>
      <c r="D59" s="39">
        <f>V_3!D59+V_5!D59+V_7!D59</f>
        <v>10</v>
      </c>
      <c r="E59" s="39">
        <f>V_3!E59+V_5!E59+V_7!E59</f>
        <v>8</v>
      </c>
      <c r="F59" s="152">
        <f>V_3!F59+V_5!F59+V_7!F59</f>
        <v>69</v>
      </c>
      <c r="G59" s="154">
        <f t="shared" si="4"/>
        <v>543</v>
      </c>
      <c r="H59" s="44">
        <f>V_3!H59+V_5!H59+V_7!H59</f>
        <v>0</v>
      </c>
      <c r="I59" s="39">
        <f>V_3!I59+V_5!I59+V_7!I59</f>
        <v>0</v>
      </c>
      <c r="J59" s="39">
        <f>V_3!J59+V_5!J59+V_7!J59</f>
        <v>0</v>
      </c>
      <c r="K59" s="45">
        <f>V_3!K59+V_5!K59+V_7!K59</f>
        <v>0</v>
      </c>
      <c r="L59" s="140">
        <f>V_3!L59+V_5!L59+V_7!L59</f>
        <v>1</v>
      </c>
      <c r="M59" s="149">
        <f t="shared" si="1"/>
        <v>1</v>
      </c>
      <c r="N59" s="100">
        <f t="shared" si="2"/>
        <v>544</v>
      </c>
      <c r="O59" s="43">
        <f t="shared" si="3"/>
        <v>733.5</v>
      </c>
    </row>
    <row r="60" spans="1:15" ht="22.5" customHeight="1" x14ac:dyDescent="0.3">
      <c r="A60" s="149" t="s">
        <v>229</v>
      </c>
      <c r="B60" s="44">
        <f>V_3!B60+V_5!B60+V_7!B60</f>
        <v>290</v>
      </c>
      <c r="C60" s="39">
        <f>V_3!C60+V_5!C60+V_7!C60</f>
        <v>139</v>
      </c>
      <c r="D60" s="39">
        <f>V_3!D60+V_5!D60+V_7!D60</f>
        <v>17</v>
      </c>
      <c r="E60" s="39">
        <f>V_3!E60+V_5!E60+V_7!E60</f>
        <v>7</v>
      </c>
      <c r="F60" s="152">
        <f>V_3!F60+V_5!F60+V_7!F60</f>
        <v>69</v>
      </c>
      <c r="G60" s="154">
        <f t="shared" si="4"/>
        <v>522</v>
      </c>
      <c r="H60" s="44">
        <f>V_3!H60+V_5!H60+V_7!H60</f>
        <v>0</v>
      </c>
      <c r="I60" s="39">
        <f>V_3!I60+V_5!I60+V_7!I60</f>
        <v>0</v>
      </c>
      <c r="J60" s="39">
        <f>V_3!J60+V_5!J60+V_7!J60</f>
        <v>0</v>
      </c>
      <c r="K60" s="45">
        <f>V_3!K60+V_5!K60+V_7!K60</f>
        <v>0</v>
      </c>
      <c r="L60" s="140">
        <f>V_3!L60+V_5!L60+V_7!L60</f>
        <v>0</v>
      </c>
      <c r="M60" s="149">
        <f t="shared" si="1"/>
        <v>0</v>
      </c>
      <c r="N60" s="100">
        <f t="shared" si="2"/>
        <v>522</v>
      </c>
      <c r="O60" s="43">
        <f t="shared" si="3"/>
        <v>716.5</v>
      </c>
    </row>
    <row r="61" spans="1:15" ht="22.5" customHeight="1" x14ac:dyDescent="0.3">
      <c r="A61" s="149" t="s">
        <v>230</v>
      </c>
      <c r="B61" s="44">
        <f>V_3!B61+V_5!B61+V_7!B61</f>
        <v>253</v>
      </c>
      <c r="C61" s="39">
        <f>V_3!C61+V_5!C61+V_7!C61</f>
        <v>127</v>
      </c>
      <c r="D61" s="39">
        <f>V_3!D61+V_5!D61+V_7!D61</f>
        <v>16</v>
      </c>
      <c r="E61" s="39">
        <f>V_3!E61+V_5!E61+V_7!E61</f>
        <v>10</v>
      </c>
      <c r="F61" s="152">
        <f>V_3!F61+V_5!F61+V_7!F61</f>
        <v>69</v>
      </c>
      <c r="G61" s="154">
        <f t="shared" si="4"/>
        <v>475</v>
      </c>
      <c r="H61" s="44">
        <f>V_3!H61+V_5!H61+V_7!H61</f>
        <v>0</v>
      </c>
      <c r="I61" s="39">
        <f>V_3!I61+V_5!I61+V_7!I61</f>
        <v>0</v>
      </c>
      <c r="J61" s="39">
        <f>V_3!J61+V_5!J61+V_7!J61</f>
        <v>0</v>
      </c>
      <c r="K61" s="45">
        <f>V_3!K61+V_5!K61+V_7!K61</f>
        <v>0</v>
      </c>
      <c r="L61" s="140">
        <f>V_3!L61+V_5!L61+V_7!L61</f>
        <v>0</v>
      </c>
      <c r="M61" s="149">
        <f t="shared" si="1"/>
        <v>0</v>
      </c>
      <c r="N61" s="100">
        <f t="shared" si="2"/>
        <v>475</v>
      </c>
      <c r="O61" s="43">
        <f t="shared" si="3"/>
        <v>681</v>
      </c>
    </row>
    <row r="62" spans="1:15" ht="22.5" customHeight="1" x14ac:dyDescent="0.3">
      <c r="A62" s="149" t="s">
        <v>231</v>
      </c>
      <c r="B62" s="44">
        <f>V_3!B62+V_5!B62+V_7!B62</f>
        <v>265</v>
      </c>
      <c r="C62" s="39">
        <f>V_3!C62+V_5!C62+V_7!C62</f>
        <v>98</v>
      </c>
      <c r="D62" s="39">
        <f>V_3!D62+V_5!D62+V_7!D62</f>
        <v>26</v>
      </c>
      <c r="E62" s="39">
        <f>V_3!E62+V_5!E62+V_7!E62</f>
        <v>6</v>
      </c>
      <c r="F62" s="152">
        <f>V_3!F62+V_5!F62+V_7!F62</f>
        <v>83</v>
      </c>
      <c r="G62" s="154">
        <f t="shared" si="4"/>
        <v>478</v>
      </c>
      <c r="H62" s="44">
        <f>V_3!H62+V_5!H62+V_7!H62</f>
        <v>0</v>
      </c>
      <c r="I62" s="39">
        <f>V_3!I62+V_5!I62+V_7!I62</f>
        <v>0</v>
      </c>
      <c r="J62" s="39">
        <f>V_3!J62+V_5!J62+V_7!J62</f>
        <v>0</v>
      </c>
      <c r="K62" s="45">
        <f>V_3!K62+V_5!K62+V_7!K62</f>
        <v>0</v>
      </c>
      <c r="L62" s="140">
        <f>V_3!L62+V_5!L62+V_7!L62</f>
        <v>0</v>
      </c>
      <c r="M62" s="149">
        <f t="shared" si="1"/>
        <v>0</v>
      </c>
      <c r="N62" s="100">
        <f t="shared" si="2"/>
        <v>478</v>
      </c>
      <c r="O62" s="43">
        <f t="shared" si="3"/>
        <v>744.5</v>
      </c>
    </row>
    <row r="63" spans="1:15" ht="22.5" customHeight="1" x14ac:dyDescent="0.3">
      <c r="A63" s="149" t="s">
        <v>232</v>
      </c>
      <c r="B63" s="44">
        <f>V_3!B63+V_5!B63+V_7!B63</f>
        <v>223</v>
      </c>
      <c r="C63" s="39">
        <f>V_3!C63+V_5!C63+V_7!C63</f>
        <v>133</v>
      </c>
      <c r="D63" s="39">
        <f>V_3!D63+V_5!D63+V_7!D63</f>
        <v>24</v>
      </c>
      <c r="E63" s="39">
        <f>V_3!E63+V_5!E63+V_7!E63</f>
        <v>5</v>
      </c>
      <c r="F63" s="152">
        <f>V_3!F63+V_5!F63+V_7!F63</f>
        <v>56</v>
      </c>
      <c r="G63" s="154">
        <f t="shared" si="4"/>
        <v>441</v>
      </c>
      <c r="H63" s="44">
        <f>V_3!H63+V_5!H63+V_7!H63</f>
        <v>0</v>
      </c>
      <c r="I63" s="39">
        <f>V_3!I63+V_5!I63+V_7!I63</f>
        <v>0</v>
      </c>
      <c r="J63" s="39">
        <f>V_3!J63+V_5!J63+V_7!J63</f>
        <v>0</v>
      </c>
      <c r="K63" s="45">
        <f>V_3!K63+V_5!K63+V_7!K63</f>
        <v>0</v>
      </c>
      <c r="L63" s="140">
        <f>V_3!L63+V_5!L63+V_7!L63</f>
        <v>0</v>
      </c>
      <c r="M63" s="149">
        <f t="shared" si="1"/>
        <v>0</v>
      </c>
      <c r="N63" s="100">
        <f t="shared" si="2"/>
        <v>441</v>
      </c>
      <c r="O63" s="43">
        <f t="shared" si="3"/>
        <v>592.5</v>
      </c>
    </row>
    <row r="64" spans="1:15" ht="22.5" customHeight="1" x14ac:dyDescent="0.3">
      <c r="A64" s="149" t="s">
        <v>233</v>
      </c>
      <c r="B64" s="44">
        <f>V_3!B64+V_5!B64+V_7!B64</f>
        <v>201</v>
      </c>
      <c r="C64" s="39">
        <f>V_3!C64+V_5!C64+V_7!C64</f>
        <v>51</v>
      </c>
      <c r="D64" s="39">
        <f>V_3!D64+V_5!D64+V_7!D64</f>
        <v>26</v>
      </c>
      <c r="E64" s="39">
        <f>V_3!E64+V_5!E64+V_7!E64</f>
        <v>12</v>
      </c>
      <c r="F64" s="152">
        <f>V_3!F64+V_5!F64+V_7!F64</f>
        <v>59</v>
      </c>
      <c r="G64" s="154">
        <f t="shared" si="4"/>
        <v>349</v>
      </c>
      <c r="H64" s="44">
        <f>V_3!H64+V_5!H64+V_7!H64</f>
        <v>0</v>
      </c>
      <c r="I64" s="39">
        <f>V_3!I64+V_5!I64+V_7!I64</f>
        <v>0</v>
      </c>
      <c r="J64" s="39">
        <f>V_3!J64+V_5!J64+V_7!J64</f>
        <v>0</v>
      </c>
      <c r="K64" s="45">
        <f>V_3!K64+V_5!K64+V_7!K64</f>
        <v>0</v>
      </c>
      <c r="L64" s="140">
        <f>V_3!L64+V_5!L64+V_7!L64</f>
        <v>0</v>
      </c>
      <c r="M64" s="149">
        <f t="shared" si="1"/>
        <v>0</v>
      </c>
      <c r="N64" s="100">
        <f t="shared" si="2"/>
        <v>349</v>
      </c>
      <c r="O64" s="43">
        <f t="shared" si="3"/>
        <v>567</v>
      </c>
    </row>
    <row r="65" spans="1:15" ht="22.5" customHeight="1" x14ac:dyDescent="0.3">
      <c r="A65" s="149" t="s">
        <v>234</v>
      </c>
      <c r="B65" s="44">
        <f>V_3!B65+V_5!B65+V_7!B65</f>
        <v>162</v>
      </c>
      <c r="C65" s="39">
        <f>V_3!C65+V_5!C65+V_7!C65</f>
        <v>43</v>
      </c>
      <c r="D65" s="39">
        <f>V_3!D65+V_5!D65+V_7!D65</f>
        <v>25</v>
      </c>
      <c r="E65" s="39">
        <f>V_3!E65+V_5!E65+V_7!E65</f>
        <v>5</v>
      </c>
      <c r="F65" s="152">
        <f>V_3!F65+V_5!F65+V_7!F65</f>
        <v>61</v>
      </c>
      <c r="G65" s="154">
        <f t="shared" si="4"/>
        <v>296</v>
      </c>
      <c r="H65" s="44">
        <f>V_3!H65+V_5!H65+V_7!H65</f>
        <v>0</v>
      </c>
      <c r="I65" s="39">
        <f>V_3!I65+V_5!I65+V_7!I65</f>
        <v>0</v>
      </c>
      <c r="J65" s="39">
        <f>V_3!J65+V_5!J65+V_7!J65</f>
        <v>0</v>
      </c>
      <c r="K65" s="45">
        <f>V_3!K65+V_5!K65+V_7!K65</f>
        <v>0</v>
      </c>
      <c r="L65" s="140">
        <f>V_3!L65+V_5!L65+V_7!L65</f>
        <v>0</v>
      </c>
      <c r="M65" s="149">
        <f t="shared" si="1"/>
        <v>0</v>
      </c>
      <c r="N65" s="100">
        <f t="shared" si="2"/>
        <v>296</v>
      </c>
      <c r="O65" s="43">
        <f t="shared" si="3"/>
        <v>510.5</v>
      </c>
    </row>
    <row r="66" spans="1:15" ht="22.5" customHeight="1" x14ac:dyDescent="0.3">
      <c r="A66" s="149" t="s">
        <v>235</v>
      </c>
      <c r="B66" s="44">
        <f>V_3!B66+V_5!B66+V_7!B66</f>
        <v>132</v>
      </c>
      <c r="C66" s="39">
        <f>V_3!C66+V_5!C66+V_7!C66</f>
        <v>26</v>
      </c>
      <c r="D66" s="39">
        <f>V_3!D66+V_5!D66+V_7!D66</f>
        <v>25</v>
      </c>
      <c r="E66" s="39">
        <f>V_3!E66+V_5!E66+V_7!E66</f>
        <v>8</v>
      </c>
      <c r="F66" s="152">
        <f>V_3!F66+V_5!F66+V_7!F66</f>
        <v>62</v>
      </c>
      <c r="G66" s="154">
        <f t="shared" si="4"/>
        <v>253</v>
      </c>
      <c r="H66" s="44">
        <f>V_3!H66+V_5!H66+V_7!H66</f>
        <v>0</v>
      </c>
      <c r="I66" s="39">
        <f>V_3!I66+V_5!I66+V_7!I66</f>
        <v>0</v>
      </c>
      <c r="J66" s="39">
        <f>V_3!J66+V_5!J66+V_7!J66</f>
        <v>0</v>
      </c>
      <c r="K66" s="45">
        <f>V_3!K66+V_5!K66+V_7!K66</f>
        <v>0</v>
      </c>
      <c r="L66" s="140">
        <f>V_3!L66+V_5!L66+V_7!L66</f>
        <v>0</v>
      </c>
      <c r="M66" s="149">
        <f t="shared" si="1"/>
        <v>0</v>
      </c>
      <c r="N66" s="100">
        <f t="shared" si="2"/>
        <v>253</v>
      </c>
      <c r="O66" s="43">
        <f t="shared" si="3"/>
        <v>485.5</v>
      </c>
    </row>
    <row r="67" spans="1:15" ht="22.5" customHeight="1" x14ac:dyDescent="0.3">
      <c r="A67" s="149" t="s">
        <v>236</v>
      </c>
      <c r="B67" s="44">
        <f>V_3!B67+V_5!B67+V_7!B67</f>
        <v>114</v>
      </c>
      <c r="C67" s="39">
        <f>V_3!C67+V_5!C67+V_7!C67</f>
        <v>44</v>
      </c>
      <c r="D67" s="39">
        <f>V_3!D67+V_5!D67+V_7!D67</f>
        <v>25</v>
      </c>
      <c r="E67" s="39">
        <f>V_3!E67+V_5!E67+V_7!E67</f>
        <v>9</v>
      </c>
      <c r="F67" s="152">
        <f>V_3!F67+V_5!F67+V_7!F67</f>
        <v>43</v>
      </c>
      <c r="G67" s="154">
        <f t="shared" si="4"/>
        <v>235</v>
      </c>
      <c r="H67" s="44">
        <f>V_3!H67+V_5!H67+V_7!H67</f>
        <v>0</v>
      </c>
      <c r="I67" s="39">
        <f>V_3!I67+V_5!I67+V_7!I67</f>
        <v>0</v>
      </c>
      <c r="J67" s="39">
        <f>V_3!J67+V_5!J67+V_7!J67</f>
        <v>0</v>
      </c>
      <c r="K67" s="45">
        <f>V_3!K67+V_5!K67+V_7!K67</f>
        <v>0</v>
      </c>
      <c r="L67" s="140">
        <f>V_3!L67+V_5!L67+V_7!L67</f>
        <v>0</v>
      </c>
      <c r="M67" s="149">
        <f t="shared" si="1"/>
        <v>0</v>
      </c>
      <c r="N67" s="100">
        <f t="shared" si="2"/>
        <v>235</v>
      </c>
      <c r="O67" s="43">
        <f t="shared" si="3"/>
        <v>394</v>
      </c>
    </row>
    <row r="68" spans="1:15" ht="22.5" customHeight="1" x14ac:dyDescent="0.3">
      <c r="A68" s="149" t="s">
        <v>237</v>
      </c>
      <c r="B68" s="44">
        <f>V_3!B68+V_5!B68+V_7!B68</f>
        <v>89</v>
      </c>
      <c r="C68" s="39">
        <f>V_3!C68+V_5!C68+V_7!C68</f>
        <v>24</v>
      </c>
      <c r="D68" s="39">
        <f>V_3!D68+V_5!D68+V_7!D68</f>
        <v>19</v>
      </c>
      <c r="E68" s="39">
        <f>V_3!E68+V_5!E68+V_7!E68</f>
        <v>6</v>
      </c>
      <c r="F68" s="152">
        <f>V_3!F68+V_5!F68+V_7!F68</f>
        <v>60</v>
      </c>
      <c r="G68" s="154">
        <f t="shared" si="4"/>
        <v>198</v>
      </c>
      <c r="H68" s="44">
        <f>V_3!H68+V_5!H68+V_7!H68</f>
        <v>0</v>
      </c>
      <c r="I68" s="39">
        <f>V_3!I68+V_5!I68+V_7!I68</f>
        <v>0</v>
      </c>
      <c r="J68" s="39">
        <f>V_3!J68+V_5!J68+V_7!J68</f>
        <v>0</v>
      </c>
      <c r="K68" s="45">
        <f>V_3!K68+V_5!K68+V_7!K68</f>
        <v>0</v>
      </c>
      <c r="L68" s="140">
        <f>V_3!L68+V_5!L68+V_7!L68</f>
        <v>0</v>
      </c>
      <c r="M68" s="149">
        <f t="shared" si="1"/>
        <v>0</v>
      </c>
      <c r="N68" s="100">
        <f t="shared" si="2"/>
        <v>198</v>
      </c>
      <c r="O68" s="43">
        <f t="shared" si="3"/>
        <v>417.5</v>
      </c>
    </row>
    <row r="69" spans="1:15" ht="22.5" customHeight="1" x14ac:dyDescent="0.3">
      <c r="A69" s="149" t="s">
        <v>238</v>
      </c>
      <c r="B69" s="44">
        <f>V_3!B69+V_5!B69+V_7!B69</f>
        <v>85</v>
      </c>
      <c r="C69" s="39">
        <f>V_3!C69+V_5!C69+V_7!C69</f>
        <v>25</v>
      </c>
      <c r="D69" s="39">
        <f>V_3!D69+V_5!D69+V_7!D69</f>
        <v>5</v>
      </c>
      <c r="E69" s="39">
        <f>V_3!E69+V_5!E69+V_7!E69</f>
        <v>6</v>
      </c>
      <c r="F69" s="152">
        <f>V_3!F69+V_5!F69+V_7!F69</f>
        <v>40</v>
      </c>
      <c r="G69" s="154">
        <f t="shared" si="4"/>
        <v>161</v>
      </c>
      <c r="H69" s="44">
        <f>V_3!H69+V_5!H69+V_7!H69</f>
        <v>0</v>
      </c>
      <c r="I69" s="39">
        <f>V_3!I69+V_5!I69+V_7!I69</f>
        <v>0</v>
      </c>
      <c r="J69" s="39">
        <f>V_3!J69+V_5!J69+V_7!J69</f>
        <v>0</v>
      </c>
      <c r="K69" s="45">
        <f>V_3!K69+V_5!K69+V_7!K69</f>
        <v>0</v>
      </c>
      <c r="L69" s="140">
        <f>V_3!L69+V_5!L69+V_7!L69</f>
        <v>0</v>
      </c>
      <c r="M69" s="149">
        <f t="shared" si="1"/>
        <v>0</v>
      </c>
      <c r="N69" s="100">
        <f t="shared" si="2"/>
        <v>161</v>
      </c>
      <c r="O69" s="43">
        <f t="shared" si="3"/>
        <v>303</v>
      </c>
    </row>
    <row r="70" spans="1:15" ht="22.5" customHeight="1" x14ac:dyDescent="0.3">
      <c r="A70" s="149" t="s">
        <v>239</v>
      </c>
      <c r="B70" s="44">
        <f>V_3!B70+V_5!B70+V_7!B70</f>
        <v>46</v>
      </c>
      <c r="C70" s="39">
        <f>V_3!C70+V_5!C70+V_7!C70</f>
        <v>21</v>
      </c>
      <c r="D70" s="39">
        <f>V_3!D70+V_5!D70+V_7!D70</f>
        <v>20</v>
      </c>
      <c r="E70" s="39">
        <f>V_3!E70+V_5!E70+V_7!E70</f>
        <v>7</v>
      </c>
      <c r="F70" s="152">
        <f>V_3!F70+V_5!F70+V_7!F70</f>
        <v>51</v>
      </c>
      <c r="G70" s="154">
        <f t="shared" si="4"/>
        <v>145</v>
      </c>
      <c r="H70" s="44">
        <f>V_3!H70+V_5!H70+V_7!H70</f>
        <v>0</v>
      </c>
      <c r="I70" s="39">
        <f>V_3!I70+V_5!I70+V_7!I70</f>
        <v>0</v>
      </c>
      <c r="J70" s="39">
        <f>V_3!J70+V_5!J70+V_7!J70</f>
        <v>0</v>
      </c>
      <c r="K70" s="45">
        <f>V_3!K70+V_5!K70+V_7!K70</f>
        <v>0</v>
      </c>
      <c r="L70" s="140">
        <f>V_3!L70+V_5!L70+V_7!L70</f>
        <v>1</v>
      </c>
      <c r="M70" s="149">
        <f t="shared" si="1"/>
        <v>1</v>
      </c>
      <c r="N70" s="100">
        <f t="shared" si="2"/>
        <v>146</v>
      </c>
      <c r="O70" s="43">
        <f t="shared" si="3"/>
        <v>345</v>
      </c>
    </row>
    <row r="71" spans="1:15" ht="22.5" customHeight="1" x14ac:dyDescent="0.3">
      <c r="A71" s="149" t="s">
        <v>240</v>
      </c>
      <c r="B71" s="44">
        <f>V_3!B71+V_5!B71+V_7!B71</f>
        <v>32</v>
      </c>
      <c r="C71" s="39">
        <f>V_3!C71+V_5!C71+V_7!C71</f>
        <v>10</v>
      </c>
      <c r="D71" s="39">
        <f>V_3!D71+V_5!D71+V_7!D71</f>
        <v>13</v>
      </c>
      <c r="E71" s="39">
        <f>V_3!E71+V_5!E71+V_7!E71</f>
        <v>6</v>
      </c>
      <c r="F71" s="152">
        <f>V_3!F71+V_5!F71+V_7!F71</f>
        <v>43</v>
      </c>
      <c r="G71" s="154">
        <f t="shared" si="4"/>
        <v>104</v>
      </c>
      <c r="H71" s="44">
        <f>V_3!H71+V_5!H71+V_7!H71</f>
        <v>0</v>
      </c>
      <c r="I71" s="39">
        <f>V_3!I71+V_5!I71+V_7!I71</f>
        <v>0</v>
      </c>
      <c r="J71" s="39">
        <f>V_3!J71+V_5!J71+V_7!J71</f>
        <v>0</v>
      </c>
      <c r="K71" s="45">
        <f>V_3!K71+V_5!K71+V_7!K71</f>
        <v>0</v>
      </c>
      <c r="L71" s="140">
        <f>V_3!L71+V_5!L71+V_7!L71</f>
        <v>0</v>
      </c>
      <c r="M71" s="149">
        <f t="shared" si="1"/>
        <v>0</v>
      </c>
      <c r="N71" s="100">
        <f t="shared" si="2"/>
        <v>104</v>
      </c>
      <c r="O71" s="43">
        <f t="shared" si="3"/>
        <v>268</v>
      </c>
    </row>
    <row r="72" spans="1:15" ht="22.5" customHeight="1" x14ac:dyDescent="0.3">
      <c r="A72" s="149" t="s">
        <v>153</v>
      </c>
      <c r="B72" s="44">
        <f>V_3!B72+V_5!B72+V_7!B72</f>
        <v>31</v>
      </c>
      <c r="C72" s="39">
        <f>V_3!C72+V_5!C72+V_7!C72</f>
        <v>13</v>
      </c>
      <c r="D72" s="39">
        <f>V_3!D72+V_5!D72+V_7!D72</f>
        <v>15</v>
      </c>
      <c r="E72" s="39">
        <f>V_3!E72+V_5!E72+V_7!E72</f>
        <v>6</v>
      </c>
      <c r="F72" s="152">
        <f>V_3!F72+V_5!F72+V_7!F72</f>
        <v>38</v>
      </c>
      <c r="G72" s="154">
        <f t="shared" ref="G72:G103" si="5">SUM(B72:F72)</f>
        <v>103</v>
      </c>
      <c r="H72" s="44">
        <f>V_3!H72+V_5!H72+V_7!H72</f>
        <v>0</v>
      </c>
      <c r="I72" s="39">
        <f>V_3!I72+V_5!I72+V_7!I72</f>
        <v>0</v>
      </c>
      <c r="J72" s="39">
        <f>V_3!J72+V_5!J72+V_7!J72</f>
        <v>0</v>
      </c>
      <c r="K72" s="45">
        <f>V_3!K72+V_5!K72+V_7!K72</f>
        <v>0</v>
      </c>
      <c r="L72" s="140">
        <f>V_3!L72+V_5!L72+V_7!L72</f>
        <v>0</v>
      </c>
      <c r="M72" s="149">
        <f t="shared" si="1"/>
        <v>0</v>
      </c>
      <c r="N72" s="100">
        <f t="shared" si="2"/>
        <v>103</v>
      </c>
      <c r="O72" s="43">
        <f t="shared" si="3"/>
        <v>249</v>
      </c>
    </row>
    <row r="73" spans="1:15" ht="22.5" customHeight="1" x14ac:dyDescent="0.3">
      <c r="A73" s="149" t="s">
        <v>154</v>
      </c>
      <c r="B73" s="44">
        <f>V_3!B73+V_5!B73+V_7!B73</f>
        <v>33</v>
      </c>
      <c r="C73" s="39">
        <f>V_3!C73+V_5!C73+V_7!C73</f>
        <v>4</v>
      </c>
      <c r="D73" s="39">
        <f>V_3!D73+V_5!D73+V_7!D73</f>
        <v>19</v>
      </c>
      <c r="E73" s="39">
        <f>V_3!E73+V_5!E73+V_7!E73</f>
        <v>10</v>
      </c>
      <c r="F73" s="152">
        <f>V_3!F73+V_5!F73+V_7!F73</f>
        <v>26</v>
      </c>
      <c r="G73" s="154">
        <f t="shared" si="5"/>
        <v>92</v>
      </c>
      <c r="H73" s="44">
        <f>V_3!H73+V_5!H73+V_7!H73</f>
        <v>0</v>
      </c>
      <c r="I73" s="39">
        <f>V_3!I73+V_5!I73+V_7!I73</f>
        <v>0</v>
      </c>
      <c r="J73" s="39">
        <f>V_3!J73+V_5!J73+V_7!J73</f>
        <v>0</v>
      </c>
      <c r="K73" s="45">
        <f>V_3!K73+V_5!K73+V_7!K73</f>
        <v>0</v>
      </c>
      <c r="L73" s="140">
        <f>V_3!L73+V_5!L73+V_7!L73</f>
        <v>0</v>
      </c>
      <c r="M73" s="149">
        <f t="shared" ref="M73:M103" si="6">SUM(H73:L73)</f>
        <v>0</v>
      </c>
      <c r="N73" s="100">
        <f t="shared" ref="N73:N103" si="7">G73+M73</f>
        <v>92</v>
      </c>
      <c r="O73" s="43">
        <f t="shared" ref="O73:O103" si="8">B73*1+C73*0.5+D73*1.5+E73*3+F73*4.5+H73*0.5+I73*1.5+J73*3+K73*4+L73*8</f>
        <v>210.5</v>
      </c>
    </row>
    <row r="74" spans="1:15" ht="22.5" customHeight="1" x14ac:dyDescent="0.3">
      <c r="A74" s="149" t="s">
        <v>155</v>
      </c>
      <c r="B74" s="44">
        <f>V_3!B74+V_5!B74+V_7!B74</f>
        <v>27</v>
      </c>
      <c r="C74" s="39">
        <f>V_3!C74+V_5!C74+V_7!C74</f>
        <v>8</v>
      </c>
      <c r="D74" s="39">
        <f>V_3!D74+V_5!D74+V_7!D74</f>
        <v>20</v>
      </c>
      <c r="E74" s="39">
        <f>V_3!E74+V_5!E74+V_7!E74</f>
        <v>6</v>
      </c>
      <c r="F74" s="152">
        <f>V_3!F74+V_5!F74+V_7!F74</f>
        <v>26</v>
      </c>
      <c r="G74" s="154">
        <f t="shared" si="5"/>
        <v>87</v>
      </c>
      <c r="H74" s="44">
        <f>V_3!H74+V_5!H74+V_7!H74</f>
        <v>0</v>
      </c>
      <c r="I74" s="39">
        <f>V_3!I74+V_5!I74+V_7!I74</f>
        <v>0</v>
      </c>
      <c r="J74" s="39">
        <f>V_3!J74+V_5!J74+V_7!J74</f>
        <v>0</v>
      </c>
      <c r="K74" s="45">
        <f>V_3!K74+V_5!K74+V_7!K74</f>
        <v>0</v>
      </c>
      <c r="L74" s="140">
        <f>V_3!L74+V_5!L74+V_7!L74</f>
        <v>0</v>
      </c>
      <c r="M74" s="149">
        <f t="shared" si="6"/>
        <v>0</v>
      </c>
      <c r="N74" s="100">
        <f t="shared" si="7"/>
        <v>87</v>
      </c>
      <c r="O74" s="43">
        <f t="shared" si="8"/>
        <v>196</v>
      </c>
    </row>
    <row r="75" spans="1:15" ht="22.5" customHeight="1" x14ac:dyDescent="0.3">
      <c r="A75" s="149" t="s">
        <v>156</v>
      </c>
      <c r="B75" s="44">
        <f>V_3!B75+V_5!B75+V_7!B75</f>
        <v>28</v>
      </c>
      <c r="C75" s="39">
        <f>V_3!C75+V_5!C75+V_7!C75</f>
        <v>6</v>
      </c>
      <c r="D75" s="39">
        <f>V_3!D75+V_5!D75+V_7!D75</f>
        <v>15</v>
      </c>
      <c r="E75" s="39">
        <f>V_3!E75+V_5!E75+V_7!E75</f>
        <v>4</v>
      </c>
      <c r="F75" s="152">
        <f>V_3!F75+V_5!F75+V_7!F75</f>
        <v>40</v>
      </c>
      <c r="G75" s="154">
        <f t="shared" si="5"/>
        <v>93</v>
      </c>
      <c r="H75" s="44">
        <f>V_3!H75+V_5!H75+V_7!H75</f>
        <v>0</v>
      </c>
      <c r="I75" s="39">
        <f>V_3!I75+V_5!I75+V_7!I75</f>
        <v>0</v>
      </c>
      <c r="J75" s="39">
        <f>V_3!J75+V_5!J75+V_7!J75</f>
        <v>0</v>
      </c>
      <c r="K75" s="45">
        <f>V_3!K75+V_5!K75+V_7!K75</f>
        <v>0</v>
      </c>
      <c r="L75" s="140">
        <f>V_3!L75+V_5!L75+V_7!L75</f>
        <v>0</v>
      </c>
      <c r="M75" s="149">
        <f t="shared" si="6"/>
        <v>0</v>
      </c>
      <c r="N75" s="100">
        <f t="shared" si="7"/>
        <v>93</v>
      </c>
      <c r="O75" s="43">
        <f t="shared" si="8"/>
        <v>245.5</v>
      </c>
    </row>
    <row r="76" spans="1:15" ht="22.5" customHeight="1" x14ac:dyDescent="0.3">
      <c r="A76" s="149" t="s">
        <v>157</v>
      </c>
      <c r="B76" s="44">
        <f>V_3!B76+V_5!B76+V_7!B76</f>
        <v>26</v>
      </c>
      <c r="C76" s="39">
        <f>V_3!C76+V_5!C76+V_7!C76</f>
        <v>8</v>
      </c>
      <c r="D76" s="39">
        <f>V_3!D76+V_5!D76+V_7!D76</f>
        <v>16</v>
      </c>
      <c r="E76" s="39">
        <f>V_3!E76+V_5!E76+V_7!E76</f>
        <v>1</v>
      </c>
      <c r="F76" s="152">
        <f>V_3!F76+V_5!F76+V_7!F76</f>
        <v>35</v>
      </c>
      <c r="G76" s="154">
        <f t="shared" si="5"/>
        <v>86</v>
      </c>
      <c r="H76" s="44">
        <f>V_3!H76+V_5!H76+V_7!H76</f>
        <v>0</v>
      </c>
      <c r="I76" s="39">
        <f>V_3!I76+V_5!I76+V_7!I76</f>
        <v>0</v>
      </c>
      <c r="J76" s="39">
        <f>V_3!J76+V_5!J76+V_7!J76</f>
        <v>0</v>
      </c>
      <c r="K76" s="45">
        <f>V_3!K76+V_5!K76+V_7!K76</f>
        <v>0</v>
      </c>
      <c r="L76" s="140">
        <f>V_3!L76+V_5!L76+V_7!L76</f>
        <v>0</v>
      </c>
      <c r="M76" s="149">
        <f t="shared" si="6"/>
        <v>0</v>
      </c>
      <c r="N76" s="100">
        <f t="shared" si="7"/>
        <v>86</v>
      </c>
      <c r="O76" s="43">
        <f t="shared" si="8"/>
        <v>214.5</v>
      </c>
    </row>
    <row r="77" spans="1:15" ht="22.5" customHeight="1" x14ac:dyDescent="0.3">
      <c r="A77" s="149" t="s">
        <v>158</v>
      </c>
      <c r="B77" s="44">
        <f>V_3!B77+V_5!B77+V_7!B77</f>
        <v>26</v>
      </c>
      <c r="C77" s="39">
        <f>V_3!C77+V_5!C77+V_7!C77</f>
        <v>5</v>
      </c>
      <c r="D77" s="39">
        <f>V_3!D77+V_5!D77+V_7!D77</f>
        <v>13</v>
      </c>
      <c r="E77" s="39">
        <f>V_3!E77+V_5!E77+V_7!E77</f>
        <v>4</v>
      </c>
      <c r="F77" s="152">
        <f>V_3!F77+V_5!F77+V_7!F77</f>
        <v>33</v>
      </c>
      <c r="G77" s="154">
        <f t="shared" si="5"/>
        <v>81</v>
      </c>
      <c r="H77" s="44">
        <f>V_3!H77+V_5!H77+V_7!H77</f>
        <v>0</v>
      </c>
      <c r="I77" s="39">
        <f>V_3!I77+V_5!I77+V_7!I77</f>
        <v>0</v>
      </c>
      <c r="J77" s="39">
        <f>V_3!J77+V_5!J77+V_7!J77</f>
        <v>0</v>
      </c>
      <c r="K77" s="45">
        <f>V_3!K77+V_5!K77+V_7!K77</f>
        <v>0</v>
      </c>
      <c r="L77" s="140">
        <f>V_3!L77+V_5!L77+V_7!L77</f>
        <v>0</v>
      </c>
      <c r="M77" s="149">
        <f t="shared" si="6"/>
        <v>0</v>
      </c>
      <c r="N77" s="100">
        <f t="shared" si="7"/>
        <v>81</v>
      </c>
      <c r="O77" s="43">
        <f t="shared" si="8"/>
        <v>208.5</v>
      </c>
    </row>
    <row r="78" spans="1:15" ht="22.5" customHeight="1" x14ac:dyDescent="0.3">
      <c r="A78" s="149" t="s">
        <v>159</v>
      </c>
      <c r="B78" s="44">
        <f>V_3!B78+V_5!B78+V_7!B78</f>
        <v>28</v>
      </c>
      <c r="C78" s="39">
        <f>V_3!C78+V_5!C78+V_7!C78</f>
        <v>8</v>
      </c>
      <c r="D78" s="39">
        <f>V_3!D78+V_5!D78+V_7!D78</f>
        <v>4</v>
      </c>
      <c r="E78" s="39">
        <f>V_3!E78+V_5!E78+V_7!E78</f>
        <v>3</v>
      </c>
      <c r="F78" s="152">
        <f>V_3!F78+V_5!F78+V_7!F78</f>
        <v>29</v>
      </c>
      <c r="G78" s="154">
        <f t="shared" si="5"/>
        <v>72</v>
      </c>
      <c r="H78" s="44">
        <f>V_3!H78+V_5!H78+V_7!H78</f>
        <v>0</v>
      </c>
      <c r="I78" s="39">
        <f>V_3!I78+V_5!I78+V_7!I78</f>
        <v>0</v>
      </c>
      <c r="J78" s="39">
        <f>V_3!J78+V_5!J78+V_7!J78</f>
        <v>0</v>
      </c>
      <c r="K78" s="45">
        <f>V_3!K78+V_5!K78+V_7!K78</f>
        <v>0</v>
      </c>
      <c r="L78" s="140">
        <f>V_3!L78+V_5!L78+V_7!L78</f>
        <v>0</v>
      </c>
      <c r="M78" s="149">
        <f t="shared" si="6"/>
        <v>0</v>
      </c>
      <c r="N78" s="100">
        <f t="shared" si="7"/>
        <v>72</v>
      </c>
      <c r="O78" s="43">
        <f t="shared" si="8"/>
        <v>177.5</v>
      </c>
    </row>
    <row r="79" spans="1:15" ht="22.5" customHeight="1" x14ac:dyDescent="0.3">
      <c r="A79" s="149" t="s">
        <v>160</v>
      </c>
      <c r="B79" s="44">
        <f>V_3!B79+V_5!B79+V_7!B79</f>
        <v>22</v>
      </c>
      <c r="C79" s="39">
        <f>V_3!C79+V_5!C79+V_7!C79</f>
        <v>4</v>
      </c>
      <c r="D79" s="39">
        <f>V_3!D79+V_5!D79+V_7!D79</f>
        <v>6</v>
      </c>
      <c r="E79" s="39">
        <f>V_3!E79+V_5!E79+V_7!E79</f>
        <v>5</v>
      </c>
      <c r="F79" s="152">
        <f>V_3!F79+V_5!F79+V_7!F79</f>
        <v>38</v>
      </c>
      <c r="G79" s="154">
        <f t="shared" si="5"/>
        <v>75</v>
      </c>
      <c r="H79" s="44">
        <f>V_3!H79+V_5!H79+V_7!H79</f>
        <v>0</v>
      </c>
      <c r="I79" s="39">
        <f>V_3!I79+V_5!I79+V_7!I79</f>
        <v>0</v>
      </c>
      <c r="J79" s="39">
        <f>V_3!J79+V_5!J79+V_7!J79</f>
        <v>0</v>
      </c>
      <c r="K79" s="45">
        <f>V_3!K79+V_5!K79+V_7!K79</f>
        <v>0</v>
      </c>
      <c r="L79" s="140">
        <f>V_3!L79+V_5!L79+V_7!L79</f>
        <v>0</v>
      </c>
      <c r="M79" s="149">
        <f t="shared" si="6"/>
        <v>0</v>
      </c>
      <c r="N79" s="100">
        <f t="shared" si="7"/>
        <v>75</v>
      </c>
      <c r="O79" s="43">
        <f t="shared" si="8"/>
        <v>219</v>
      </c>
    </row>
    <row r="80" spans="1:15" ht="22.5" customHeight="1" x14ac:dyDescent="0.3">
      <c r="A80" s="149" t="s">
        <v>161</v>
      </c>
      <c r="B80" s="44">
        <f>V_3!B80+V_5!B80+V_7!B80</f>
        <v>11</v>
      </c>
      <c r="C80" s="39">
        <f>V_3!C80+V_5!C80+V_7!C80</f>
        <v>8</v>
      </c>
      <c r="D80" s="39">
        <f>V_3!D80+V_5!D80+V_7!D80</f>
        <v>16</v>
      </c>
      <c r="E80" s="39">
        <f>V_3!E80+V_5!E80+V_7!E80</f>
        <v>3</v>
      </c>
      <c r="F80" s="152">
        <f>V_3!F80+V_5!F80+V_7!F80</f>
        <v>22</v>
      </c>
      <c r="G80" s="154">
        <f t="shared" si="5"/>
        <v>60</v>
      </c>
      <c r="H80" s="44">
        <f>V_3!H80+V_5!H80+V_7!H80</f>
        <v>0</v>
      </c>
      <c r="I80" s="39">
        <f>V_3!I80+V_5!I80+V_7!I80</f>
        <v>0</v>
      </c>
      <c r="J80" s="39">
        <f>V_3!J80+V_5!J80+V_7!J80</f>
        <v>0</v>
      </c>
      <c r="K80" s="45">
        <f>V_3!K80+V_5!K80+V_7!K80</f>
        <v>0</v>
      </c>
      <c r="L80" s="140">
        <f>V_3!L80+V_5!L80+V_7!L80</f>
        <v>0</v>
      </c>
      <c r="M80" s="149">
        <f t="shared" si="6"/>
        <v>0</v>
      </c>
      <c r="N80" s="100">
        <f t="shared" si="7"/>
        <v>60</v>
      </c>
      <c r="O80" s="43">
        <f t="shared" si="8"/>
        <v>147</v>
      </c>
    </row>
    <row r="81" spans="1:15" ht="22.5" customHeight="1" x14ac:dyDescent="0.3">
      <c r="A81" s="149" t="s">
        <v>162</v>
      </c>
      <c r="B81" s="44">
        <f>V_3!B81+V_5!B81+V_7!B81</f>
        <v>19</v>
      </c>
      <c r="C81" s="39">
        <f>V_3!C81+V_5!C81+V_7!C81</f>
        <v>1</v>
      </c>
      <c r="D81" s="39">
        <f>V_3!D81+V_5!D81+V_7!D81</f>
        <v>10</v>
      </c>
      <c r="E81" s="39">
        <f>V_3!E81+V_5!E81+V_7!E81</f>
        <v>4</v>
      </c>
      <c r="F81" s="152">
        <f>V_3!F81+V_5!F81+V_7!F81</f>
        <v>17</v>
      </c>
      <c r="G81" s="154">
        <f t="shared" si="5"/>
        <v>51</v>
      </c>
      <c r="H81" s="44">
        <f>V_3!H81+V_5!H81+V_7!H81</f>
        <v>0</v>
      </c>
      <c r="I81" s="39">
        <f>V_3!I81+V_5!I81+V_7!I81</f>
        <v>0</v>
      </c>
      <c r="J81" s="39">
        <f>V_3!J81+V_5!J81+V_7!J81</f>
        <v>0</v>
      </c>
      <c r="K81" s="45">
        <f>V_3!K81+V_5!K81+V_7!K81</f>
        <v>0</v>
      </c>
      <c r="L81" s="140">
        <f>V_3!L81+V_5!L81+V_7!L81</f>
        <v>0</v>
      </c>
      <c r="M81" s="149">
        <f t="shared" si="6"/>
        <v>0</v>
      </c>
      <c r="N81" s="100">
        <f t="shared" si="7"/>
        <v>51</v>
      </c>
      <c r="O81" s="43">
        <f t="shared" si="8"/>
        <v>123</v>
      </c>
    </row>
    <row r="82" spans="1:15" ht="22.5" customHeight="1" x14ac:dyDescent="0.3">
      <c r="A82" s="149" t="s">
        <v>163</v>
      </c>
      <c r="B82" s="44">
        <f>V_3!B82+V_5!B82+V_7!B82</f>
        <v>26</v>
      </c>
      <c r="C82" s="39">
        <f>V_3!C82+V_5!C82+V_7!C82</f>
        <v>3</v>
      </c>
      <c r="D82" s="39">
        <f>V_3!D82+V_5!D82+V_7!D82</f>
        <v>10</v>
      </c>
      <c r="E82" s="39">
        <f>V_3!E82+V_5!E82+V_7!E82</f>
        <v>3</v>
      </c>
      <c r="F82" s="152">
        <f>V_3!F82+V_5!F82+V_7!F82</f>
        <v>17</v>
      </c>
      <c r="G82" s="154">
        <f t="shared" si="5"/>
        <v>59</v>
      </c>
      <c r="H82" s="44">
        <f>V_3!H82+V_5!H82+V_7!H82</f>
        <v>0</v>
      </c>
      <c r="I82" s="39">
        <f>V_3!I82+V_5!I82+V_7!I82</f>
        <v>0</v>
      </c>
      <c r="J82" s="39">
        <f>V_3!J82+V_5!J82+V_7!J82</f>
        <v>0</v>
      </c>
      <c r="K82" s="45">
        <f>V_3!K82+V_5!K82+V_7!K82</f>
        <v>0</v>
      </c>
      <c r="L82" s="140">
        <f>V_3!L82+V_5!L82+V_7!L82</f>
        <v>0</v>
      </c>
      <c r="M82" s="149">
        <f t="shared" si="6"/>
        <v>0</v>
      </c>
      <c r="N82" s="100">
        <f t="shared" si="7"/>
        <v>59</v>
      </c>
      <c r="O82" s="43">
        <f t="shared" si="8"/>
        <v>128</v>
      </c>
    </row>
    <row r="83" spans="1:15" ht="22.5" customHeight="1" x14ac:dyDescent="0.3">
      <c r="A83" s="149" t="s">
        <v>164</v>
      </c>
      <c r="B83" s="44">
        <f>V_3!B83+V_5!B83+V_7!B83</f>
        <v>26</v>
      </c>
      <c r="C83" s="39">
        <f>V_3!C83+V_5!C83+V_7!C83</f>
        <v>5</v>
      </c>
      <c r="D83" s="39">
        <f>V_3!D83+V_5!D83+V_7!D83</f>
        <v>20</v>
      </c>
      <c r="E83" s="39">
        <f>V_3!E83+V_5!E83+V_7!E83</f>
        <v>2</v>
      </c>
      <c r="F83" s="152">
        <f>V_3!F83+V_5!F83+V_7!F83</f>
        <v>14</v>
      </c>
      <c r="G83" s="154">
        <f t="shared" si="5"/>
        <v>67</v>
      </c>
      <c r="H83" s="44">
        <f>V_3!H83+V_5!H83+V_7!H83</f>
        <v>0</v>
      </c>
      <c r="I83" s="39">
        <f>V_3!I83+V_5!I83+V_7!I83</f>
        <v>0</v>
      </c>
      <c r="J83" s="39">
        <f>V_3!J83+V_5!J83+V_7!J83</f>
        <v>0</v>
      </c>
      <c r="K83" s="45">
        <f>V_3!K83+V_5!K83+V_7!K83</f>
        <v>0</v>
      </c>
      <c r="L83" s="140">
        <f>V_3!L83+V_5!L83+V_7!L83</f>
        <v>0</v>
      </c>
      <c r="M83" s="149">
        <f t="shared" si="6"/>
        <v>0</v>
      </c>
      <c r="N83" s="100">
        <f t="shared" si="7"/>
        <v>67</v>
      </c>
      <c r="O83" s="43">
        <f t="shared" si="8"/>
        <v>127.5</v>
      </c>
    </row>
    <row r="84" spans="1:15" ht="22.5" customHeight="1" x14ac:dyDescent="0.3">
      <c r="A84" s="149" t="s">
        <v>165</v>
      </c>
      <c r="B84" s="44">
        <f>V_3!B84+V_5!B84+V_7!B84</f>
        <v>25</v>
      </c>
      <c r="C84" s="39">
        <f>V_3!C84+V_5!C84+V_7!C84</f>
        <v>8</v>
      </c>
      <c r="D84" s="39">
        <f>V_3!D84+V_5!D84+V_7!D84</f>
        <v>20</v>
      </c>
      <c r="E84" s="39">
        <f>V_3!E84+V_5!E84+V_7!E84</f>
        <v>5</v>
      </c>
      <c r="F84" s="152">
        <f>V_3!F84+V_5!F84+V_7!F84</f>
        <v>15</v>
      </c>
      <c r="G84" s="154">
        <f t="shared" si="5"/>
        <v>73</v>
      </c>
      <c r="H84" s="44">
        <f>V_3!H84+V_5!H84+V_7!H84</f>
        <v>0</v>
      </c>
      <c r="I84" s="39">
        <f>V_3!I84+V_5!I84+V_7!I84</f>
        <v>0</v>
      </c>
      <c r="J84" s="39">
        <f>V_3!J84+V_5!J84+V_7!J84</f>
        <v>0</v>
      </c>
      <c r="K84" s="45">
        <f>V_3!K84+V_5!K84+V_7!K84</f>
        <v>0</v>
      </c>
      <c r="L84" s="140">
        <f>V_3!L84+V_5!L84+V_7!L84</f>
        <v>0</v>
      </c>
      <c r="M84" s="149">
        <f t="shared" si="6"/>
        <v>0</v>
      </c>
      <c r="N84" s="100">
        <f t="shared" si="7"/>
        <v>73</v>
      </c>
      <c r="O84" s="43">
        <f t="shared" si="8"/>
        <v>141.5</v>
      </c>
    </row>
    <row r="85" spans="1:15" ht="22.5" customHeight="1" x14ac:dyDescent="0.3">
      <c r="A85" s="149" t="s">
        <v>166</v>
      </c>
      <c r="B85" s="44">
        <f>V_3!B85+V_5!B85+V_7!B85</f>
        <v>16</v>
      </c>
      <c r="C85" s="39">
        <f>V_3!C85+V_5!C85+V_7!C85</f>
        <v>7</v>
      </c>
      <c r="D85" s="39">
        <f>V_3!D85+V_5!D85+V_7!D85</f>
        <v>18</v>
      </c>
      <c r="E85" s="39">
        <f>V_3!E85+V_5!E85+V_7!E85</f>
        <v>8</v>
      </c>
      <c r="F85" s="152">
        <f>V_3!F85+V_5!F85+V_7!F85</f>
        <v>16</v>
      </c>
      <c r="G85" s="154">
        <f t="shared" si="5"/>
        <v>65</v>
      </c>
      <c r="H85" s="44">
        <f>V_3!H85+V_5!H85+V_7!H85</f>
        <v>0</v>
      </c>
      <c r="I85" s="39">
        <f>V_3!I85+V_5!I85+V_7!I85</f>
        <v>0</v>
      </c>
      <c r="J85" s="39">
        <f>V_3!J85+V_5!J85+V_7!J85</f>
        <v>0</v>
      </c>
      <c r="K85" s="45">
        <f>V_3!K85+V_5!K85+V_7!K85</f>
        <v>0</v>
      </c>
      <c r="L85" s="140">
        <f>V_3!L85+V_5!L85+V_7!L85</f>
        <v>0</v>
      </c>
      <c r="M85" s="149">
        <f t="shared" si="6"/>
        <v>0</v>
      </c>
      <c r="N85" s="100">
        <f t="shared" si="7"/>
        <v>65</v>
      </c>
      <c r="O85" s="43">
        <f t="shared" si="8"/>
        <v>142.5</v>
      </c>
    </row>
    <row r="86" spans="1:15" ht="22.5" customHeight="1" x14ac:dyDescent="0.3">
      <c r="A86" s="149" t="s">
        <v>167</v>
      </c>
      <c r="B86" s="44">
        <f>V_3!B86+V_5!B86+V_7!B86</f>
        <v>14</v>
      </c>
      <c r="C86" s="39">
        <f>V_3!C86+V_5!C86+V_7!C86</f>
        <v>1</v>
      </c>
      <c r="D86" s="39">
        <f>V_3!D86+V_5!D86+V_7!D86</f>
        <v>23</v>
      </c>
      <c r="E86" s="39">
        <f>V_3!E86+V_5!E86+V_7!E86</f>
        <v>8</v>
      </c>
      <c r="F86" s="152">
        <f>V_3!F86+V_5!F86+V_7!F86</f>
        <v>20</v>
      </c>
      <c r="G86" s="154">
        <f t="shared" si="5"/>
        <v>66</v>
      </c>
      <c r="H86" s="44">
        <f>V_3!H86+V_5!H86+V_7!H86</f>
        <v>0</v>
      </c>
      <c r="I86" s="39">
        <f>V_3!I86+V_5!I86+V_7!I86</f>
        <v>0</v>
      </c>
      <c r="J86" s="39">
        <f>V_3!J86+V_5!J86+V_7!J86</f>
        <v>0</v>
      </c>
      <c r="K86" s="45">
        <f>V_3!K86+V_5!K86+V_7!K86</f>
        <v>0</v>
      </c>
      <c r="L86" s="140">
        <f>V_3!L86+V_5!L86+V_7!L86</f>
        <v>0</v>
      </c>
      <c r="M86" s="149">
        <f t="shared" si="6"/>
        <v>0</v>
      </c>
      <c r="N86" s="100">
        <f t="shared" si="7"/>
        <v>66</v>
      </c>
      <c r="O86" s="43">
        <f t="shared" si="8"/>
        <v>163</v>
      </c>
    </row>
    <row r="87" spans="1:15" ht="22.5" customHeight="1" x14ac:dyDescent="0.3">
      <c r="A87" s="149" t="s">
        <v>168</v>
      </c>
      <c r="B87" s="44">
        <f>V_3!B87+V_5!B87+V_7!B87</f>
        <v>13</v>
      </c>
      <c r="C87" s="39">
        <f>V_3!C87+V_5!C87+V_7!C87</f>
        <v>8</v>
      </c>
      <c r="D87" s="39">
        <f>V_3!D87+V_5!D87+V_7!D87</f>
        <v>12</v>
      </c>
      <c r="E87" s="39">
        <f>V_3!E87+V_5!E87+V_7!E87</f>
        <v>7</v>
      </c>
      <c r="F87" s="152">
        <f>V_3!F87+V_5!F87+V_7!F87</f>
        <v>20</v>
      </c>
      <c r="G87" s="154">
        <f t="shared" si="5"/>
        <v>60</v>
      </c>
      <c r="H87" s="44">
        <f>V_3!H87+V_5!H87+V_7!H87</f>
        <v>0</v>
      </c>
      <c r="I87" s="39">
        <f>V_3!I87+V_5!I87+V_7!I87</f>
        <v>0</v>
      </c>
      <c r="J87" s="39">
        <f>V_3!J87+V_5!J87+V_7!J87</f>
        <v>0</v>
      </c>
      <c r="K87" s="45">
        <f>V_3!K87+V_5!K87+V_7!K87</f>
        <v>0</v>
      </c>
      <c r="L87" s="140">
        <f>V_3!L87+V_5!L87+V_7!L87</f>
        <v>0</v>
      </c>
      <c r="M87" s="149">
        <f t="shared" si="6"/>
        <v>0</v>
      </c>
      <c r="N87" s="100">
        <f t="shared" si="7"/>
        <v>60</v>
      </c>
      <c r="O87" s="43">
        <f t="shared" si="8"/>
        <v>146</v>
      </c>
    </row>
    <row r="88" spans="1:15" ht="22.5" customHeight="1" x14ac:dyDescent="0.3">
      <c r="A88" s="149" t="s">
        <v>169</v>
      </c>
      <c r="B88" s="44">
        <f>V_3!B88+V_5!B88+V_7!B88</f>
        <v>21</v>
      </c>
      <c r="C88" s="39">
        <f>V_3!C88+V_5!C88+V_7!C88</f>
        <v>9</v>
      </c>
      <c r="D88" s="39">
        <f>V_3!D88+V_5!D88+V_7!D88</f>
        <v>13</v>
      </c>
      <c r="E88" s="39">
        <f>V_3!E88+V_5!E88+V_7!E88</f>
        <v>3</v>
      </c>
      <c r="F88" s="152">
        <f>V_3!F88+V_5!F88+V_7!F88</f>
        <v>21</v>
      </c>
      <c r="G88" s="154">
        <f t="shared" si="5"/>
        <v>67</v>
      </c>
      <c r="H88" s="44">
        <f>V_3!H88+V_5!H88+V_7!H88</f>
        <v>0</v>
      </c>
      <c r="I88" s="39">
        <f>V_3!I88+V_5!I88+V_7!I88</f>
        <v>0</v>
      </c>
      <c r="J88" s="39">
        <f>V_3!J88+V_5!J88+V_7!J88</f>
        <v>0</v>
      </c>
      <c r="K88" s="45">
        <f>V_3!K88+V_5!K88+V_7!K88</f>
        <v>0</v>
      </c>
      <c r="L88" s="140">
        <f>V_3!L88+V_5!L88+V_7!L88</f>
        <v>0</v>
      </c>
      <c r="M88" s="149">
        <f t="shared" si="6"/>
        <v>0</v>
      </c>
      <c r="N88" s="100">
        <f t="shared" si="7"/>
        <v>67</v>
      </c>
      <c r="O88" s="43">
        <f t="shared" si="8"/>
        <v>148.5</v>
      </c>
    </row>
    <row r="89" spans="1:15" ht="22.5" customHeight="1" x14ac:dyDescent="0.3">
      <c r="A89" s="149" t="s">
        <v>170</v>
      </c>
      <c r="B89" s="44">
        <f>V_3!B89+V_5!B89+V_7!B89</f>
        <v>17</v>
      </c>
      <c r="C89" s="39">
        <f>V_3!C89+V_5!C89+V_7!C89</f>
        <v>6</v>
      </c>
      <c r="D89" s="39">
        <f>V_3!D89+V_5!D89+V_7!D89</f>
        <v>13</v>
      </c>
      <c r="E89" s="39">
        <f>V_3!E89+V_5!E89+V_7!E89</f>
        <v>7</v>
      </c>
      <c r="F89" s="152">
        <f>V_3!F89+V_5!F89+V_7!F89</f>
        <v>17</v>
      </c>
      <c r="G89" s="154">
        <f t="shared" si="5"/>
        <v>60</v>
      </c>
      <c r="H89" s="44">
        <f>V_3!H89+V_5!H89+V_7!H89</f>
        <v>0</v>
      </c>
      <c r="I89" s="39">
        <f>V_3!I89+V_5!I89+V_7!I89</f>
        <v>0</v>
      </c>
      <c r="J89" s="39">
        <f>V_3!J89+V_5!J89+V_7!J89</f>
        <v>0</v>
      </c>
      <c r="K89" s="45">
        <f>V_3!K89+V_5!K89+V_7!K89</f>
        <v>0</v>
      </c>
      <c r="L89" s="140">
        <f>V_3!L89+V_5!L89+V_7!L89</f>
        <v>0</v>
      </c>
      <c r="M89" s="149">
        <f t="shared" si="6"/>
        <v>0</v>
      </c>
      <c r="N89" s="100">
        <f t="shared" si="7"/>
        <v>60</v>
      </c>
      <c r="O89" s="43">
        <f t="shared" si="8"/>
        <v>137</v>
      </c>
    </row>
    <row r="90" spans="1:15" ht="22.5" customHeight="1" x14ac:dyDescent="0.3">
      <c r="A90" s="149" t="s">
        <v>171</v>
      </c>
      <c r="B90" s="44">
        <f>V_3!B90+V_5!B90+V_7!B90</f>
        <v>18</v>
      </c>
      <c r="C90" s="39">
        <f>V_3!C90+V_5!C90+V_7!C90</f>
        <v>4</v>
      </c>
      <c r="D90" s="39">
        <f>V_3!D90+V_5!D90+V_7!D90</f>
        <v>20</v>
      </c>
      <c r="E90" s="39">
        <f>V_3!E90+V_5!E90+V_7!E90</f>
        <v>3</v>
      </c>
      <c r="F90" s="152">
        <f>V_3!F90+V_5!F90+V_7!F90</f>
        <v>18</v>
      </c>
      <c r="G90" s="154">
        <f t="shared" si="5"/>
        <v>63</v>
      </c>
      <c r="H90" s="44">
        <f>V_3!H90+V_5!H90+V_7!H90</f>
        <v>0</v>
      </c>
      <c r="I90" s="39">
        <f>V_3!I90+V_5!I90+V_7!I90</f>
        <v>0</v>
      </c>
      <c r="J90" s="39">
        <f>V_3!J90+V_5!J90+V_7!J90</f>
        <v>0</v>
      </c>
      <c r="K90" s="45">
        <f>V_3!K90+V_5!K90+V_7!K90</f>
        <v>0</v>
      </c>
      <c r="L90" s="140">
        <f>V_3!L90+V_5!L90+V_7!L90</f>
        <v>0</v>
      </c>
      <c r="M90" s="149">
        <f t="shared" si="6"/>
        <v>0</v>
      </c>
      <c r="N90" s="100">
        <f t="shared" si="7"/>
        <v>63</v>
      </c>
      <c r="O90" s="43">
        <f t="shared" si="8"/>
        <v>140</v>
      </c>
    </row>
    <row r="91" spans="1:15" ht="22.5" customHeight="1" x14ac:dyDescent="0.3">
      <c r="A91" s="149" t="s">
        <v>172</v>
      </c>
      <c r="B91" s="44">
        <f>V_3!B91+V_5!B91+V_7!B91</f>
        <v>18</v>
      </c>
      <c r="C91" s="39">
        <f>V_3!C91+V_5!C91+V_7!C91</f>
        <v>5</v>
      </c>
      <c r="D91" s="39">
        <f>V_3!D91+V_5!D91+V_7!D91</f>
        <v>12</v>
      </c>
      <c r="E91" s="39">
        <f>V_3!E91+V_5!E91+V_7!E91</f>
        <v>5</v>
      </c>
      <c r="F91" s="152">
        <f>V_3!F91+V_5!F91+V_7!F91</f>
        <v>15</v>
      </c>
      <c r="G91" s="154">
        <f t="shared" si="5"/>
        <v>55</v>
      </c>
      <c r="H91" s="44">
        <f>V_3!H91+V_5!H91+V_7!H91</f>
        <v>0</v>
      </c>
      <c r="I91" s="39">
        <f>V_3!I91+V_5!I91+V_7!I91</f>
        <v>0</v>
      </c>
      <c r="J91" s="39">
        <f>V_3!J91+V_5!J91+V_7!J91</f>
        <v>0</v>
      </c>
      <c r="K91" s="45">
        <f>V_3!K91+V_5!K91+V_7!K91</f>
        <v>0</v>
      </c>
      <c r="L91" s="140">
        <f>V_3!L91+V_5!L91+V_7!L91</f>
        <v>0</v>
      </c>
      <c r="M91" s="149">
        <f t="shared" si="6"/>
        <v>0</v>
      </c>
      <c r="N91" s="100">
        <f t="shared" si="7"/>
        <v>55</v>
      </c>
      <c r="O91" s="43">
        <f t="shared" si="8"/>
        <v>121</v>
      </c>
    </row>
    <row r="92" spans="1:15" ht="22.5" customHeight="1" x14ac:dyDescent="0.3">
      <c r="A92" s="149" t="s">
        <v>173</v>
      </c>
      <c r="B92" s="44">
        <f>V_3!B92+V_5!B92+V_7!B92</f>
        <v>19</v>
      </c>
      <c r="C92" s="39">
        <f>V_3!C92+V_5!C92+V_7!C92</f>
        <v>10</v>
      </c>
      <c r="D92" s="39">
        <f>V_3!D92+V_5!D92+V_7!D92</f>
        <v>22</v>
      </c>
      <c r="E92" s="39">
        <f>V_3!E92+V_5!E92+V_7!E92</f>
        <v>5</v>
      </c>
      <c r="F92" s="152">
        <f>V_3!F92+V_5!F92+V_7!F92</f>
        <v>18</v>
      </c>
      <c r="G92" s="154">
        <f t="shared" si="5"/>
        <v>74</v>
      </c>
      <c r="H92" s="44">
        <f>V_3!H92+V_5!H92+V_7!H92</f>
        <v>0</v>
      </c>
      <c r="I92" s="39">
        <f>V_3!I92+V_5!I92+V_7!I92</f>
        <v>0</v>
      </c>
      <c r="J92" s="39">
        <f>V_3!J92+V_5!J92+V_7!J92</f>
        <v>0</v>
      </c>
      <c r="K92" s="45">
        <f>V_3!K92+V_5!K92+V_7!K92</f>
        <v>0</v>
      </c>
      <c r="L92" s="140">
        <f>V_3!L92+V_5!L92+V_7!L92</f>
        <v>0</v>
      </c>
      <c r="M92" s="149">
        <f t="shared" si="6"/>
        <v>0</v>
      </c>
      <c r="N92" s="100">
        <f t="shared" si="7"/>
        <v>74</v>
      </c>
      <c r="O92" s="43">
        <f t="shared" si="8"/>
        <v>153</v>
      </c>
    </row>
    <row r="93" spans="1:15" ht="22.5" customHeight="1" x14ac:dyDescent="0.3">
      <c r="A93" s="149" t="s">
        <v>174</v>
      </c>
      <c r="B93" s="44">
        <f>V_3!B93+V_5!B93+V_7!B93</f>
        <v>29</v>
      </c>
      <c r="C93" s="39">
        <f>V_3!C93+V_5!C93+V_7!C93</f>
        <v>11</v>
      </c>
      <c r="D93" s="39">
        <f>V_3!D93+V_5!D93+V_7!D93</f>
        <v>22</v>
      </c>
      <c r="E93" s="39">
        <f>V_3!E93+V_5!E93+V_7!E93</f>
        <v>10</v>
      </c>
      <c r="F93" s="152">
        <f>V_3!F93+V_5!F93+V_7!F93</f>
        <v>30</v>
      </c>
      <c r="G93" s="154">
        <f t="shared" si="5"/>
        <v>102</v>
      </c>
      <c r="H93" s="44">
        <f>V_3!H93+V_5!H93+V_7!H93</f>
        <v>0</v>
      </c>
      <c r="I93" s="39">
        <f>V_3!I93+V_5!I93+V_7!I93</f>
        <v>0</v>
      </c>
      <c r="J93" s="39">
        <f>V_3!J93+V_5!J93+V_7!J93</f>
        <v>0</v>
      </c>
      <c r="K93" s="45">
        <f>V_3!K93+V_5!K93+V_7!K93</f>
        <v>0</v>
      </c>
      <c r="L93" s="140">
        <f>V_3!L93+V_5!L93+V_7!L93</f>
        <v>0</v>
      </c>
      <c r="M93" s="149">
        <f t="shared" si="6"/>
        <v>0</v>
      </c>
      <c r="N93" s="100">
        <f t="shared" si="7"/>
        <v>102</v>
      </c>
      <c r="O93" s="43">
        <f t="shared" si="8"/>
        <v>232.5</v>
      </c>
    </row>
    <row r="94" spans="1:15" ht="22.5" customHeight="1" x14ac:dyDescent="0.3">
      <c r="A94" s="149" t="s">
        <v>175</v>
      </c>
      <c r="B94" s="44">
        <f>V_3!B94+V_5!B94+V_7!B94</f>
        <v>37</v>
      </c>
      <c r="C94" s="39">
        <f>V_3!C94+V_5!C94+V_7!C94</f>
        <v>13</v>
      </c>
      <c r="D94" s="39">
        <f>V_3!D94+V_5!D94+V_7!D94</f>
        <v>15</v>
      </c>
      <c r="E94" s="39">
        <f>V_3!E94+V_5!E94+V_7!E94</f>
        <v>3</v>
      </c>
      <c r="F94" s="152">
        <f>V_3!F94+V_5!F94+V_7!F94</f>
        <v>26</v>
      </c>
      <c r="G94" s="154">
        <f t="shared" si="5"/>
        <v>94</v>
      </c>
      <c r="H94" s="44">
        <f>V_3!H94+V_5!H94+V_7!H94</f>
        <v>0</v>
      </c>
      <c r="I94" s="39">
        <f>V_3!I94+V_5!I94+V_7!I94</f>
        <v>0</v>
      </c>
      <c r="J94" s="39">
        <f>V_3!J94+V_5!J94+V_7!J94</f>
        <v>0</v>
      </c>
      <c r="K94" s="45">
        <f>V_3!K94+V_5!K94+V_7!K94</f>
        <v>0</v>
      </c>
      <c r="L94" s="140">
        <f>V_3!L94+V_5!L94+V_7!L94</f>
        <v>0</v>
      </c>
      <c r="M94" s="149">
        <f t="shared" si="6"/>
        <v>0</v>
      </c>
      <c r="N94" s="100">
        <f t="shared" si="7"/>
        <v>94</v>
      </c>
      <c r="O94" s="43">
        <f t="shared" si="8"/>
        <v>192</v>
      </c>
    </row>
    <row r="95" spans="1:15" ht="22.5" customHeight="1" x14ac:dyDescent="0.3">
      <c r="A95" s="149" t="s">
        <v>176</v>
      </c>
      <c r="B95" s="44">
        <f>V_3!B95+V_5!B95+V_7!B95</f>
        <v>45</v>
      </c>
      <c r="C95" s="39">
        <f>V_3!C95+V_5!C95+V_7!C95</f>
        <v>10</v>
      </c>
      <c r="D95" s="39">
        <f>V_3!D95+V_5!D95+V_7!D95</f>
        <v>13</v>
      </c>
      <c r="E95" s="39">
        <f>V_3!E95+V_5!E95+V_7!E95</f>
        <v>2</v>
      </c>
      <c r="F95" s="152">
        <f>V_3!F95+V_5!F95+V_7!F95</f>
        <v>26</v>
      </c>
      <c r="G95" s="154">
        <f t="shared" si="5"/>
        <v>96</v>
      </c>
      <c r="H95" s="44">
        <f>V_3!H95+V_5!H95+V_7!H95</f>
        <v>0</v>
      </c>
      <c r="I95" s="39">
        <f>V_3!I95+V_5!I95+V_7!I95</f>
        <v>0</v>
      </c>
      <c r="J95" s="39">
        <f>V_3!J95+V_5!J95+V_7!J95</f>
        <v>0</v>
      </c>
      <c r="K95" s="45">
        <f>V_3!K95+V_5!K95+V_7!K95</f>
        <v>0</v>
      </c>
      <c r="L95" s="140">
        <f>V_3!L95+V_5!L95+V_7!L95</f>
        <v>0</v>
      </c>
      <c r="M95" s="149">
        <f t="shared" si="6"/>
        <v>0</v>
      </c>
      <c r="N95" s="100">
        <f t="shared" si="7"/>
        <v>96</v>
      </c>
      <c r="O95" s="43">
        <f t="shared" si="8"/>
        <v>192.5</v>
      </c>
    </row>
    <row r="96" spans="1:15" ht="22.5" customHeight="1" x14ac:dyDescent="0.3">
      <c r="A96" s="149" t="s">
        <v>135</v>
      </c>
      <c r="B96" s="44">
        <f>V_3!B96+V_5!B96+V_7!B96</f>
        <v>70</v>
      </c>
      <c r="C96" s="39">
        <f>V_3!C96+V_5!C96+V_7!C96</f>
        <v>32</v>
      </c>
      <c r="D96" s="39">
        <f>V_3!D96+V_5!D96+V_7!D96</f>
        <v>16</v>
      </c>
      <c r="E96" s="39">
        <f>V_3!E96+V_5!E96+V_7!E96</f>
        <v>2</v>
      </c>
      <c r="F96" s="152">
        <f>V_3!F96+V_5!F96+V_7!F96</f>
        <v>25</v>
      </c>
      <c r="G96" s="154">
        <f t="shared" si="5"/>
        <v>145</v>
      </c>
      <c r="H96" s="44">
        <f>V_3!H96+V_5!H96+V_7!H96</f>
        <v>0</v>
      </c>
      <c r="I96" s="39">
        <f>V_3!I96+V_5!I96+V_7!I96</f>
        <v>0</v>
      </c>
      <c r="J96" s="39">
        <f>V_3!J96+V_5!J96+V_7!J96</f>
        <v>0</v>
      </c>
      <c r="K96" s="45">
        <f>V_3!K96+V_5!K96+V_7!K96</f>
        <v>0</v>
      </c>
      <c r="L96" s="140">
        <f>V_3!L96+V_5!L96+V_7!L96</f>
        <v>0</v>
      </c>
      <c r="M96" s="149">
        <f t="shared" si="6"/>
        <v>0</v>
      </c>
      <c r="N96" s="100">
        <f t="shared" si="7"/>
        <v>145</v>
      </c>
      <c r="O96" s="43">
        <f t="shared" si="8"/>
        <v>228.5</v>
      </c>
    </row>
    <row r="97" spans="1:15" ht="22.5" customHeight="1" x14ac:dyDescent="0.3">
      <c r="A97" s="149" t="s">
        <v>136</v>
      </c>
      <c r="B97" s="44">
        <f>V_3!B97+V_5!B97+V_7!B97</f>
        <v>88</v>
      </c>
      <c r="C97" s="39">
        <f>V_3!C97+V_5!C97+V_7!C97</f>
        <v>36</v>
      </c>
      <c r="D97" s="39">
        <f>V_3!D97+V_5!D97+V_7!D97</f>
        <v>6</v>
      </c>
      <c r="E97" s="39">
        <f>V_3!E97+V_5!E97+V_7!E97</f>
        <v>9</v>
      </c>
      <c r="F97" s="152">
        <f>V_3!F97+V_5!F97+V_7!F97</f>
        <v>15</v>
      </c>
      <c r="G97" s="154">
        <f t="shared" si="5"/>
        <v>154</v>
      </c>
      <c r="H97" s="44">
        <f>V_3!H97+V_5!H97+V_7!H97</f>
        <v>0</v>
      </c>
      <c r="I97" s="39">
        <f>V_3!I97+V_5!I97+V_7!I97</f>
        <v>0</v>
      </c>
      <c r="J97" s="39">
        <f>V_3!J97+V_5!J97+V_7!J97</f>
        <v>0</v>
      </c>
      <c r="K97" s="45">
        <f>V_3!K97+V_5!K97+V_7!K97</f>
        <v>0</v>
      </c>
      <c r="L97" s="140">
        <f>V_3!L97+V_5!L97+V_7!L97</f>
        <v>0</v>
      </c>
      <c r="M97" s="149">
        <f t="shared" si="6"/>
        <v>0</v>
      </c>
      <c r="N97" s="100">
        <f t="shared" si="7"/>
        <v>154</v>
      </c>
      <c r="O97" s="43">
        <f t="shared" si="8"/>
        <v>209.5</v>
      </c>
    </row>
    <row r="98" spans="1:15" ht="22.5" customHeight="1" x14ac:dyDescent="0.3">
      <c r="A98" s="149" t="s">
        <v>137</v>
      </c>
      <c r="B98" s="44">
        <f>V_3!B98+V_5!B98+V_7!B98</f>
        <v>136</v>
      </c>
      <c r="C98" s="39">
        <f>V_3!C98+V_5!C98+V_7!C98</f>
        <v>46</v>
      </c>
      <c r="D98" s="39">
        <f>V_3!D98+V_5!D98+V_7!D98</f>
        <v>9</v>
      </c>
      <c r="E98" s="39">
        <f>V_3!E98+V_5!E98+V_7!E98</f>
        <v>8</v>
      </c>
      <c r="F98" s="152">
        <f>V_3!F98+V_5!F98+V_7!F98</f>
        <v>21</v>
      </c>
      <c r="G98" s="154">
        <f t="shared" si="5"/>
        <v>220</v>
      </c>
      <c r="H98" s="44">
        <f>V_3!H98+V_5!H98+V_7!H98</f>
        <v>0</v>
      </c>
      <c r="I98" s="39">
        <f>V_3!I98+V_5!I98+V_7!I98</f>
        <v>0</v>
      </c>
      <c r="J98" s="39">
        <f>V_3!J98+V_5!J98+V_7!J98</f>
        <v>0</v>
      </c>
      <c r="K98" s="45">
        <f>V_3!K98+V_5!K98+V_7!K98</f>
        <v>0</v>
      </c>
      <c r="L98" s="140">
        <f>V_3!L98+V_5!L98+V_7!L98</f>
        <v>0</v>
      </c>
      <c r="M98" s="149">
        <f t="shared" si="6"/>
        <v>0</v>
      </c>
      <c r="N98" s="100">
        <f t="shared" si="7"/>
        <v>220</v>
      </c>
      <c r="O98" s="43">
        <f t="shared" si="8"/>
        <v>291</v>
      </c>
    </row>
    <row r="99" spans="1:15" ht="22.5" customHeight="1" x14ac:dyDescent="0.3">
      <c r="A99" s="149" t="s">
        <v>138</v>
      </c>
      <c r="B99" s="44">
        <f>V_3!B99+V_5!B99+V_7!B99</f>
        <v>144</v>
      </c>
      <c r="C99" s="39">
        <f>V_3!C99+V_5!C99+V_7!C99</f>
        <v>47</v>
      </c>
      <c r="D99" s="39">
        <f>V_3!D99+V_5!D99+V_7!D99</f>
        <v>11</v>
      </c>
      <c r="E99" s="39">
        <f>V_3!E99+V_5!E99+V_7!E99</f>
        <v>8</v>
      </c>
      <c r="F99" s="152">
        <f>V_3!F99+V_5!F99+V_7!F99</f>
        <v>17</v>
      </c>
      <c r="G99" s="154">
        <f t="shared" si="5"/>
        <v>227</v>
      </c>
      <c r="H99" s="44">
        <f>V_3!H99+V_5!H99+V_7!H99</f>
        <v>0</v>
      </c>
      <c r="I99" s="39">
        <f>V_3!I99+V_5!I99+V_7!I99</f>
        <v>0</v>
      </c>
      <c r="J99" s="39">
        <f>V_3!J99+V_5!J99+V_7!J99</f>
        <v>0</v>
      </c>
      <c r="K99" s="45">
        <f>V_3!K99+V_5!K99+V_7!K99</f>
        <v>0</v>
      </c>
      <c r="L99" s="140">
        <f>V_3!L99+V_5!L99+V_7!L99</f>
        <v>0</v>
      </c>
      <c r="M99" s="149">
        <f t="shared" si="6"/>
        <v>0</v>
      </c>
      <c r="N99" s="100">
        <f t="shared" si="7"/>
        <v>227</v>
      </c>
      <c r="O99" s="43">
        <f t="shared" si="8"/>
        <v>284.5</v>
      </c>
    </row>
    <row r="100" spans="1:15" ht="22.5" customHeight="1" x14ac:dyDescent="0.3">
      <c r="A100" s="149" t="s">
        <v>139</v>
      </c>
      <c r="B100" s="44">
        <f>V_3!B100+V_5!B100+V_7!B100</f>
        <v>189</v>
      </c>
      <c r="C100" s="39">
        <f>V_3!C100+V_5!C100+V_7!C100</f>
        <v>50</v>
      </c>
      <c r="D100" s="39">
        <f>V_3!D100+V_5!D100+V_7!D100</f>
        <v>16</v>
      </c>
      <c r="E100" s="39">
        <f>V_3!E100+V_5!E100+V_7!E100</f>
        <v>14</v>
      </c>
      <c r="F100" s="152">
        <f>V_3!F100+V_5!F100+V_7!F100</f>
        <v>28</v>
      </c>
      <c r="G100" s="154">
        <f t="shared" si="5"/>
        <v>297</v>
      </c>
      <c r="H100" s="44">
        <f>V_3!H100+V_5!H100+V_7!H100</f>
        <v>1</v>
      </c>
      <c r="I100" s="39">
        <f>V_3!I100+V_5!I100+V_7!I100</f>
        <v>0</v>
      </c>
      <c r="J100" s="39">
        <f>V_3!J100+V_5!J100+V_7!J100</f>
        <v>0</v>
      </c>
      <c r="K100" s="45">
        <f>V_3!K100+V_5!K100+V_7!K100</f>
        <v>0</v>
      </c>
      <c r="L100" s="140">
        <f>V_3!L100+V_5!L100+V_7!L100</f>
        <v>5</v>
      </c>
      <c r="M100" s="149">
        <f t="shared" si="6"/>
        <v>6</v>
      </c>
      <c r="N100" s="100">
        <f t="shared" si="7"/>
        <v>303</v>
      </c>
      <c r="O100" s="43">
        <f t="shared" si="8"/>
        <v>446.5</v>
      </c>
    </row>
    <row r="101" spans="1:15" ht="22.5" customHeight="1" x14ac:dyDescent="0.3">
      <c r="A101" s="149" t="s">
        <v>140</v>
      </c>
      <c r="B101" s="44">
        <f>V_3!B101+V_5!B101+V_7!B101</f>
        <v>225</v>
      </c>
      <c r="C101" s="39">
        <f>V_3!C101+V_5!C101+V_7!C101</f>
        <v>73</v>
      </c>
      <c r="D101" s="39">
        <f>V_3!D101+V_5!D101+V_7!D101</f>
        <v>19</v>
      </c>
      <c r="E101" s="39">
        <f>V_3!E101+V_5!E101+V_7!E101</f>
        <v>17</v>
      </c>
      <c r="F101" s="152">
        <f>V_3!F101+V_5!F101+V_7!F101</f>
        <v>27</v>
      </c>
      <c r="G101" s="154">
        <f t="shared" si="5"/>
        <v>361</v>
      </c>
      <c r="H101" s="44">
        <f>V_3!H101+V_5!H101+V_7!H101</f>
        <v>0</v>
      </c>
      <c r="I101" s="39">
        <f>V_3!I101+V_5!I101+V_7!I101</f>
        <v>0</v>
      </c>
      <c r="J101" s="39">
        <f>V_3!J101+V_5!J101+V_7!J101</f>
        <v>0</v>
      </c>
      <c r="K101" s="45">
        <f>V_3!K101+V_5!K101+V_7!K101</f>
        <v>0</v>
      </c>
      <c r="L101" s="140">
        <f>V_3!L101+V_5!L101+V_7!L101</f>
        <v>2</v>
      </c>
      <c r="M101" s="149">
        <f t="shared" si="6"/>
        <v>2</v>
      </c>
      <c r="N101" s="100">
        <f t="shared" si="7"/>
        <v>363</v>
      </c>
      <c r="O101" s="43">
        <f t="shared" si="8"/>
        <v>478.5</v>
      </c>
    </row>
    <row r="102" spans="1:15" ht="22.5" customHeight="1" x14ac:dyDescent="0.3">
      <c r="A102" s="149" t="s">
        <v>141</v>
      </c>
      <c r="B102" s="44">
        <f>V_3!B102+V_5!B102+V_7!B102</f>
        <v>250</v>
      </c>
      <c r="C102" s="39">
        <f>V_3!C102+V_5!C102+V_7!C102</f>
        <v>89</v>
      </c>
      <c r="D102" s="39">
        <f>V_3!D102+V_5!D102+V_7!D102</f>
        <v>9</v>
      </c>
      <c r="E102" s="39">
        <f>V_3!E102+V_5!E102+V_7!E102</f>
        <v>14</v>
      </c>
      <c r="F102" s="152">
        <f>V_3!F102+V_5!F102+V_7!F102</f>
        <v>18</v>
      </c>
      <c r="G102" s="154">
        <f t="shared" si="5"/>
        <v>380</v>
      </c>
      <c r="H102" s="44">
        <f>V_3!H102+V_5!H102+V_7!H102</f>
        <v>0</v>
      </c>
      <c r="I102" s="39">
        <f>V_3!I102+V_5!I102+V_7!I102</f>
        <v>0</v>
      </c>
      <c r="J102" s="39">
        <f>V_3!J102+V_5!J102+V_7!J102</f>
        <v>0</v>
      </c>
      <c r="K102" s="45">
        <f>V_3!K102+V_5!K102+V_7!K102</f>
        <v>0</v>
      </c>
      <c r="L102" s="140">
        <f>V_3!L102+V_5!L102+V_7!L102</f>
        <v>3</v>
      </c>
      <c r="M102" s="149">
        <f t="shared" si="6"/>
        <v>3</v>
      </c>
      <c r="N102" s="100">
        <f t="shared" si="7"/>
        <v>383</v>
      </c>
      <c r="O102" s="43">
        <f t="shared" si="8"/>
        <v>455</v>
      </c>
    </row>
    <row r="103" spans="1:15" ht="22.5" customHeight="1" thickBot="1" x14ac:dyDescent="0.35">
      <c r="A103" s="150" t="s">
        <v>142</v>
      </c>
      <c r="B103" s="46">
        <f>V_3!B103+V_5!B103+V_7!B103</f>
        <v>281</v>
      </c>
      <c r="C103" s="47">
        <f>V_3!C103+V_5!C103+V_7!C103</f>
        <v>106</v>
      </c>
      <c r="D103" s="47">
        <f>V_3!D103+V_5!D103+V_7!D103</f>
        <v>18</v>
      </c>
      <c r="E103" s="47">
        <f>V_3!E103+V_5!E103+V_7!E103</f>
        <v>11</v>
      </c>
      <c r="F103" s="153">
        <f>V_3!F103+V_5!F103+V_7!F103</f>
        <v>24</v>
      </c>
      <c r="G103" s="80">
        <f t="shared" si="5"/>
        <v>440</v>
      </c>
      <c r="H103" s="46">
        <f>V_3!H103+V_5!H103+V_7!H103</f>
        <v>0</v>
      </c>
      <c r="I103" s="47">
        <f>V_3!I103+V_5!I103+V_7!I103</f>
        <v>0</v>
      </c>
      <c r="J103" s="47">
        <f>V_3!J103+V_5!J103+V_7!J103</f>
        <v>0</v>
      </c>
      <c r="K103" s="48">
        <f>V_3!K103+V_5!K103+V_7!K103</f>
        <v>0</v>
      </c>
      <c r="L103" s="141">
        <f>V_3!L103+V_5!L103+V_7!L103</f>
        <v>2</v>
      </c>
      <c r="M103" s="150">
        <f t="shared" si="6"/>
        <v>2</v>
      </c>
      <c r="N103" s="101">
        <f t="shared" si="7"/>
        <v>442</v>
      </c>
      <c r="O103" s="84">
        <f t="shared" si="8"/>
        <v>518</v>
      </c>
    </row>
    <row r="104" spans="1:15" ht="22.5" customHeight="1" thickBot="1" x14ac:dyDescent="0.35">
      <c r="A104" s="41" t="s">
        <v>11</v>
      </c>
      <c r="B104" s="117">
        <f t="shared" ref="B104:N104" si="9">SUM(B8:B103)</f>
        <v>22218</v>
      </c>
      <c r="C104" s="117">
        <f t="shared" si="9"/>
        <v>11210</v>
      </c>
      <c r="D104" s="117">
        <f t="shared" si="9"/>
        <v>2276</v>
      </c>
      <c r="E104" s="117">
        <f t="shared" si="9"/>
        <v>1114</v>
      </c>
      <c r="F104" s="117">
        <f t="shared" si="9"/>
        <v>3597</v>
      </c>
      <c r="G104" s="94">
        <f t="shared" si="9"/>
        <v>40415</v>
      </c>
      <c r="H104" s="117">
        <f t="shared" si="9"/>
        <v>10</v>
      </c>
      <c r="I104" s="117">
        <f t="shared" si="9"/>
        <v>0</v>
      </c>
      <c r="J104" s="117">
        <f t="shared" si="9"/>
        <v>0</v>
      </c>
      <c r="K104" s="118">
        <f t="shared" si="9"/>
        <v>1</v>
      </c>
      <c r="L104" s="118">
        <f t="shared" si="9"/>
        <v>289</v>
      </c>
      <c r="M104" s="94">
        <f>SUM(M8:M103)</f>
        <v>300</v>
      </c>
      <c r="N104" s="95">
        <f t="shared" si="9"/>
        <v>40715</v>
      </c>
      <c r="O104" s="142">
        <f>SUM(O8:O103)</f>
        <v>53086.5</v>
      </c>
    </row>
    <row r="105" spans="1:15" ht="22.5" customHeight="1" thickBot="1" x14ac:dyDescent="0.35">
      <c r="A105" s="41" t="s">
        <v>143</v>
      </c>
      <c r="B105" s="88">
        <f>+B104*1</f>
        <v>22218</v>
      </c>
      <c r="C105" s="88">
        <f>+C104*0.5</f>
        <v>5605</v>
      </c>
      <c r="D105" s="88">
        <f>+D104*1.5</f>
        <v>3414</v>
      </c>
      <c r="E105" s="88">
        <f>+E104*3</f>
        <v>3342</v>
      </c>
      <c r="F105" s="89">
        <f>+F104*4.5</f>
        <v>16186.5</v>
      </c>
      <c r="G105" s="90">
        <f>SUM(B105:F105)</f>
        <v>50765.5</v>
      </c>
      <c r="H105" s="88">
        <f>+H104*0.5</f>
        <v>5</v>
      </c>
      <c r="I105" s="89">
        <f>+I104*1.5</f>
        <v>0</v>
      </c>
      <c r="J105" s="89">
        <f>+J104*3</f>
        <v>0</v>
      </c>
      <c r="K105" s="96">
        <f>+K104*4</f>
        <v>4</v>
      </c>
      <c r="L105" s="96">
        <f>+L104*8</f>
        <v>2312</v>
      </c>
      <c r="M105" s="147">
        <f>SUM(H105:L105)</f>
        <v>2321</v>
      </c>
      <c r="N105" s="91"/>
      <c r="O105" s="92">
        <f>G105+M105</f>
        <v>53086.5</v>
      </c>
    </row>
    <row r="106" spans="1:15" ht="22.5" customHeight="1" thickBot="1" x14ac:dyDescent="0.35">
      <c r="A106" s="42" t="s">
        <v>12</v>
      </c>
      <c r="B106" s="93">
        <f t="shared" ref="B106:N106" si="10">B104/$N$104</f>
        <v>0.54569568954930614</v>
      </c>
      <c r="C106" s="93">
        <f t="shared" si="10"/>
        <v>0.27532850300871914</v>
      </c>
      <c r="D106" s="93">
        <f t="shared" si="10"/>
        <v>5.5900773670637359E-2</v>
      </c>
      <c r="E106" s="93">
        <f t="shared" si="10"/>
        <v>2.7360923492570306E-2</v>
      </c>
      <c r="F106" s="93">
        <f t="shared" si="10"/>
        <v>8.8345818494412379E-2</v>
      </c>
      <c r="G106" s="98">
        <f t="shared" si="10"/>
        <v>0.99263170821564539</v>
      </c>
      <c r="H106" s="93">
        <f t="shared" si="10"/>
        <v>2.4560972614515533E-4</v>
      </c>
      <c r="I106" s="93">
        <f t="shared" si="10"/>
        <v>0</v>
      </c>
      <c r="J106" s="93">
        <f t="shared" si="10"/>
        <v>0</v>
      </c>
      <c r="K106" s="97">
        <f t="shared" si="10"/>
        <v>2.4560972614515536E-5</v>
      </c>
      <c r="L106" s="97">
        <f t="shared" si="10"/>
        <v>7.0981210855949892E-3</v>
      </c>
      <c r="M106" s="98">
        <f t="shared" si="10"/>
        <v>7.3682917843546601E-3</v>
      </c>
      <c r="N106" s="99">
        <f t="shared" si="10"/>
        <v>1</v>
      </c>
      <c r="O106" s="94"/>
    </row>
    <row r="108" spans="1:15" s="4" customFormat="1" x14ac:dyDescent="0.3">
      <c r="A108" s="4" t="s">
        <v>103</v>
      </c>
      <c r="B108" s="4" t="str">
        <f>B2</f>
        <v>TMC-14 Number (D2)</v>
      </c>
    </row>
    <row r="109" spans="1:15" s="4" customFormat="1" x14ac:dyDescent="0.3">
      <c r="A109" s="4" t="s">
        <v>102</v>
      </c>
      <c r="B109" s="4" t="str">
        <f>B3</f>
        <v>D2</v>
      </c>
    </row>
    <row r="110" spans="1:15" s="4" customFormat="1" x14ac:dyDescent="0.3">
      <c r="A110" s="4" t="s">
        <v>104</v>
      </c>
      <c r="B110" s="4" t="str">
        <f>B4</f>
        <v>Mansarover</v>
      </c>
    </row>
    <row r="111" spans="1:15" ht="16.2" thickBot="1" x14ac:dyDescent="0.35"/>
    <row r="112" spans="1:15" ht="25.2" customHeight="1" x14ac:dyDescent="0.3">
      <c r="A112" s="252" t="s">
        <v>95</v>
      </c>
      <c r="B112" s="258" t="s">
        <v>280</v>
      </c>
      <c r="C112" s="254" t="s">
        <v>281</v>
      </c>
      <c r="D112" s="250" t="s">
        <v>282</v>
      </c>
      <c r="E112" s="260" t="s">
        <v>283</v>
      </c>
      <c r="F112" s="256" t="s">
        <v>284</v>
      </c>
      <c r="G112" s="250" t="s">
        <v>129</v>
      </c>
      <c r="H112" s="248" t="s">
        <v>150</v>
      </c>
      <c r="I112" s="250" t="s">
        <v>151</v>
      </c>
      <c r="J112" s="250" t="s">
        <v>285</v>
      </c>
      <c r="K112" s="248" t="s">
        <v>286</v>
      </c>
      <c r="L112" s="250" t="s">
        <v>287</v>
      </c>
      <c r="M112" s="250" t="s">
        <v>78</v>
      </c>
      <c r="N112" s="250" t="s">
        <v>131</v>
      </c>
      <c r="O112" s="250" t="s">
        <v>132</v>
      </c>
    </row>
    <row r="113" spans="1:15" ht="16.2" thickBot="1" x14ac:dyDescent="0.35">
      <c r="A113" s="253"/>
      <c r="B113" s="259"/>
      <c r="C113" s="255"/>
      <c r="D113" s="251"/>
      <c r="E113" s="261"/>
      <c r="F113" s="257"/>
      <c r="G113" s="259"/>
      <c r="H113" s="249"/>
      <c r="I113" s="251"/>
      <c r="J113" s="251"/>
      <c r="K113" s="249"/>
      <c r="L113" s="251"/>
      <c r="M113" s="251"/>
      <c r="N113" s="251"/>
      <c r="O113" s="251"/>
    </row>
    <row r="114" spans="1:15" ht="22.95" customHeight="1" x14ac:dyDescent="0.3">
      <c r="A114" s="52" t="s">
        <v>15</v>
      </c>
      <c r="B114" s="112">
        <f t="shared" ref="B114:M114" si="11">B8+B9+B10+B11</f>
        <v>1090</v>
      </c>
      <c r="C114" s="113">
        <f t="shared" si="11"/>
        <v>951</v>
      </c>
      <c r="D114" s="113">
        <f t="shared" si="11"/>
        <v>123</v>
      </c>
      <c r="E114" s="113">
        <f t="shared" si="11"/>
        <v>71</v>
      </c>
      <c r="F114" s="113">
        <f t="shared" si="11"/>
        <v>144</v>
      </c>
      <c r="G114" s="49">
        <f>G8+G9+G10+G11</f>
        <v>2379</v>
      </c>
      <c r="H114" s="112">
        <f t="shared" si="11"/>
        <v>3</v>
      </c>
      <c r="I114" s="113">
        <f t="shared" ref="I114:L114" si="12">I8+I9+I10+I11</f>
        <v>0</v>
      </c>
      <c r="J114" s="113">
        <f t="shared" si="12"/>
        <v>0</v>
      </c>
      <c r="K114" s="114">
        <f t="shared" si="12"/>
        <v>0</v>
      </c>
      <c r="L114" s="143">
        <f t="shared" si="12"/>
        <v>35</v>
      </c>
      <c r="M114" s="49">
        <f t="shared" si="11"/>
        <v>38</v>
      </c>
      <c r="N114" s="40">
        <f>G114+M114</f>
        <v>2417</v>
      </c>
      <c r="O114" s="115">
        <f>B114*1+C114*0.5+D114*1.5+E114*3+F114*4.5+H114*0.5+I114*1.5+J114*3+K114*4+L114*8</f>
        <v>2892.5</v>
      </c>
    </row>
    <row r="115" spans="1:15" ht="22.95" customHeight="1" x14ac:dyDescent="0.3">
      <c r="A115" s="52" t="s">
        <v>16</v>
      </c>
      <c r="B115" s="44">
        <f t="shared" ref="B115:M115" si="13">B9+B10+B11+B12</f>
        <v>1142</v>
      </c>
      <c r="C115" s="39">
        <f t="shared" si="13"/>
        <v>1022</v>
      </c>
      <c r="D115" s="39">
        <f t="shared" si="13"/>
        <v>117</v>
      </c>
      <c r="E115" s="39">
        <f t="shared" si="13"/>
        <v>68</v>
      </c>
      <c r="F115" s="39">
        <f t="shared" si="13"/>
        <v>142</v>
      </c>
      <c r="G115" s="50">
        <f t="shared" si="13"/>
        <v>2491</v>
      </c>
      <c r="H115" s="44">
        <f t="shared" si="13"/>
        <v>4</v>
      </c>
      <c r="I115" s="39">
        <f t="shared" si="13"/>
        <v>0</v>
      </c>
      <c r="J115" s="39">
        <f t="shared" si="13"/>
        <v>0</v>
      </c>
      <c r="K115" s="45">
        <f t="shared" si="13"/>
        <v>0</v>
      </c>
      <c r="L115" s="144">
        <f t="shared" si="13"/>
        <v>33</v>
      </c>
      <c r="M115" s="50">
        <f t="shared" si="13"/>
        <v>37</v>
      </c>
      <c r="N115" s="40">
        <f t="shared" ref="N115:N178" si="14">G115+M115</f>
        <v>2528</v>
      </c>
      <c r="O115" s="43">
        <f t="shared" ref="O115:O178" si="15">B115*1+C115*0.5+D115*1.5+E115*3+F115*4.5+H115*0.5+I115*1.5+J115*3+K115*4+L115*8</f>
        <v>2937.5</v>
      </c>
    </row>
    <row r="116" spans="1:15" ht="22.95" customHeight="1" x14ac:dyDescent="0.3">
      <c r="A116" s="52" t="s">
        <v>17</v>
      </c>
      <c r="B116" s="44">
        <f t="shared" ref="B116:M116" si="16">B10+B11+B12+B13</f>
        <v>1162</v>
      </c>
      <c r="C116" s="39">
        <f t="shared" si="16"/>
        <v>1057</v>
      </c>
      <c r="D116" s="39">
        <f t="shared" si="16"/>
        <v>105</v>
      </c>
      <c r="E116" s="39">
        <f t="shared" si="16"/>
        <v>68</v>
      </c>
      <c r="F116" s="39">
        <f t="shared" si="16"/>
        <v>122</v>
      </c>
      <c r="G116" s="50">
        <f t="shared" si="16"/>
        <v>2514</v>
      </c>
      <c r="H116" s="44">
        <f t="shared" si="16"/>
        <v>2</v>
      </c>
      <c r="I116" s="39">
        <f t="shared" si="16"/>
        <v>0</v>
      </c>
      <c r="J116" s="39">
        <f t="shared" si="16"/>
        <v>0</v>
      </c>
      <c r="K116" s="45">
        <f t="shared" si="16"/>
        <v>0</v>
      </c>
      <c r="L116" s="144">
        <f t="shared" si="16"/>
        <v>36</v>
      </c>
      <c r="M116" s="50">
        <f t="shared" si="16"/>
        <v>38</v>
      </c>
      <c r="N116" s="40">
        <f t="shared" si="14"/>
        <v>2552</v>
      </c>
      <c r="O116" s="43">
        <f t="shared" si="15"/>
        <v>2890</v>
      </c>
    </row>
    <row r="117" spans="1:15" ht="22.95" customHeight="1" x14ac:dyDescent="0.3">
      <c r="A117" s="52" t="s">
        <v>18</v>
      </c>
      <c r="B117" s="44">
        <f t="shared" ref="B117:M117" si="17">B11+B12+B13+B14</f>
        <v>1267</v>
      </c>
      <c r="C117" s="39">
        <f t="shared" si="17"/>
        <v>1174</v>
      </c>
      <c r="D117" s="39">
        <f t="shared" si="17"/>
        <v>111</v>
      </c>
      <c r="E117" s="39">
        <f t="shared" si="17"/>
        <v>71</v>
      </c>
      <c r="F117" s="39">
        <f t="shared" si="17"/>
        <v>117</v>
      </c>
      <c r="G117" s="50">
        <f t="shared" si="17"/>
        <v>2740</v>
      </c>
      <c r="H117" s="44">
        <f t="shared" si="17"/>
        <v>2</v>
      </c>
      <c r="I117" s="39">
        <f t="shared" si="17"/>
        <v>0</v>
      </c>
      <c r="J117" s="39">
        <f t="shared" si="17"/>
        <v>0</v>
      </c>
      <c r="K117" s="45">
        <f t="shared" si="17"/>
        <v>0</v>
      </c>
      <c r="L117" s="144">
        <f t="shared" si="17"/>
        <v>39</v>
      </c>
      <c r="M117" s="50">
        <f t="shared" si="17"/>
        <v>41</v>
      </c>
      <c r="N117" s="40">
        <f t="shared" si="14"/>
        <v>2781</v>
      </c>
      <c r="O117" s="43">
        <f t="shared" si="15"/>
        <v>3073</v>
      </c>
    </row>
    <row r="118" spans="1:15" ht="22.95" customHeight="1" x14ac:dyDescent="0.3">
      <c r="A118" s="52" t="s">
        <v>19</v>
      </c>
      <c r="B118" s="44">
        <f t="shared" ref="B118:M118" si="18">B12+B13+B14+B15</f>
        <v>1383</v>
      </c>
      <c r="C118" s="39">
        <f t="shared" si="18"/>
        <v>1197</v>
      </c>
      <c r="D118" s="39">
        <f t="shared" si="18"/>
        <v>124</v>
      </c>
      <c r="E118" s="39">
        <f t="shared" si="18"/>
        <v>67</v>
      </c>
      <c r="F118" s="39">
        <f t="shared" si="18"/>
        <v>121</v>
      </c>
      <c r="G118" s="50">
        <f t="shared" si="18"/>
        <v>2892</v>
      </c>
      <c r="H118" s="44">
        <f t="shared" si="18"/>
        <v>1</v>
      </c>
      <c r="I118" s="39">
        <f t="shared" si="18"/>
        <v>0</v>
      </c>
      <c r="J118" s="39">
        <f t="shared" si="18"/>
        <v>0</v>
      </c>
      <c r="K118" s="45">
        <f t="shared" si="18"/>
        <v>0</v>
      </c>
      <c r="L118" s="144">
        <f t="shared" si="18"/>
        <v>37</v>
      </c>
      <c r="M118" s="50">
        <f t="shared" si="18"/>
        <v>38</v>
      </c>
      <c r="N118" s="40">
        <f t="shared" si="14"/>
        <v>2930</v>
      </c>
      <c r="O118" s="43">
        <f t="shared" si="15"/>
        <v>3209.5</v>
      </c>
    </row>
    <row r="119" spans="1:15" ht="22.95" customHeight="1" x14ac:dyDescent="0.3">
      <c r="A119" s="52" t="s">
        <v>20</v>
      </c>
      <c r="B119" s="44">
        <f t="shared" ref="B119:M119" si="19">B13+B14+B15+B16</f>
        <v>1452</v>
      </c>
      <c r="C119" s="39">
        <f t="shared" si="19"/>
        <v>1212</v>
      </c>
      <c r="D119" s="39">
        <f t="shared" si="19"/>
        <v>138</v>
      </c>
      <c r="E119" s="39">
        <f t="shared" si="19"/>
        <v>69</v>
      </c>
      <c r="F119" s="39">
        <f t="shared" si="19"/>
        <v>106</v>
      </c>
      <c r="G119" s="50">
        <f t="shared" si="19"/>
        <v>2977</v>
      </c>
      <c r="H119" s="44">
        <f t="shared" si="19"/>
        <v>1</v>
      </c>
      <c r="I119" s="39">
        <f t="shared" si="19"/>
        <v>0</v>
      </c>
      <c r="J119" s="39">
        <f t="shared" si="19"/>
        <v>0</v>
      </c>
      <c r="K119" s="45">
        <f t="shared" si="19"/>
        <v>0</v>
      </c>
      <c r="L119" s="144">
        <f t="shared" si="19"/>
        <v>42</v>
      </c>
      <c r="M119" s="50">
        <f t="shared" si="19"/>
        <v>43</v>
      </c>
      <c r="N119" s="40">
        <f t="shared" si="14"/>
        <v>3020</v>
      </c>
      <c r="O119" s="43">
        <f t="shared" si="15"/>
        <v>3285.5</v>
      </c>
    </row>
    <row r="120" spans="1:15" ht="22.95" customHeight="1" x14ac:dyDescent="0.3">
      <c r="A120" s="52" t="s">
        <v>21</v>
      </c>
      <c r="B120" s="44">
        <f t="shared" ref="B120:M120" si="20">B14+B15+B16+B17</f>
        <v>1493</v>
      </c>
      <c r="C120" s="39">
        <f t="shared" si="20"/>
        <v>1160</v>
      </c>
      <c r="D120" s="39">
        <f t="shared" si="20"/>
        <v>149</v>
      </c>
      <c r="E120" s="39">
        <f t="shared" si="20"/>
        <v>61</v>
      </c>
      <c r="F120" s="39">
        <f t="shared" si="20"/>
        <v>127</v>
      </c>
      <c r="G120" s="50">
        <f t="shared" si="20"/>
        <v>2990</v>
      </c>
      <c r="H120" s="44">
        <f t="shared" si="20"/>
        <v>1</v>
      </c>
      <c r="I120" s="39">
        <f t="shared" si="20"/>
        <v>0</v>
      </c>
      <c r="J120" s="39">
        <f t="shared" si="20"/>
        <v>0</v>
      </c>
      <c r="K120" s="45">
        <f t="shared" si="20"/>
        <v>0</v>
      </c>
      <c r="L120" s="144">
        <f t="shared" si="20"/>
        <v>39</v>
      </c>
      <c r="M120" s="50">
        <f t="shared" si="20"/>
        <v>40</v>
      </c>
      <c r="N120" s="40">
        <f t="shared" si="14"/>
        <v>3030</v>
      </c>
      <c r="O120" s="43">
        <f t="shared" si="15"/>
        <v>3363.5</v>
      </c>
    </row>
    <row r="121" spans="1:15" ht="22.95" customHeight="1" x14ac:dyDescent="0.3">
      <c r="A121" s="52" t="s">
        <v>22</v>
      </c>
      <c r="B121" s="44">
        <f t="shared" ref="B121:M121" si="21">B15+B16+B17+B18</f>
        <v>1524</v>
      </c>
      <c r="C121" s="39">
        <f t="shared" si="21"/>
        <v>964</v>
      </c>
      <c r="D121" s="39">
        <f t="shared" si="21"/>
        <v>151</v>
      </c>
      <c r="E121" s="39">
        <f t="shared" si="21"/>
        <v>56</v>
      </c>
      <c r="F121" s="39">
        <f t="shared" si="21"/>
        <v>134</v>
      </c>
      <c r="G121" s="50">
        <f t="shared" si="21"/>
        <v>2829</v>
      </c>
      <c r="H121" s="44">
        <f t="shared" si="21"/>
        <v>1</v>
      </c>
      <c r="I121" s="39">
        <f t="shared" si="21"/>
        <v>0</v>
      </c>
      <c r="J121" s="39">
        <f t="shared" si="21"/>
        <v>0</v>
      </c>
      <c r="K121" s="45">
        <f t="shared" si="21"/>
        <v>0</v>
      </c>
      <c r="L121" s="144">
        <f t="shared" si="21"/>
        <v>35</v>
      </c>
      <c r="M121" s="50">
        <f t="shared" si="21"/>
        <v>36</v>
      </c>
      <c r="N121" s="40">
        <f t="shared" si="14"/>
        <v>2865</v>
      </c>
      <c r="O121" s="43">
        <f t="shared" si="15"/>
        <v>3284</v>
      </c>
    </row>
    <row r="122" spans="1:15" ht="22.95" customHeight="1" x14ac:dyDescent="0.3">
      <c r="A122" s="52" t="s">
        <v>23</v>
      </c>
      <c r="B122" s="44">
        <f t="shared" ref="B122:M122" si="22">B16+B17+B18+B19</f>
        <v>1512</v>
      </c>
      <c r="C122" s="39">
        <f t="shared" si="22"/>
        <v>897</v>
      </c>
      <c r="D122" s="39">
        <f t="shared" si="22"/>
        <v>152</v>
      </c>
      <c r="E122" s="39">
        <f t="shared" si="22"/>
        <v>64</v>
      </c>
      <c r="F122" s="39">
        <f t="shared" si="22"/>
        <v>132</v>
      </c>
      <c r="G122" s="50">
        <f t="shared" si="22"/>
        <v>2757</v>
      </c>
      <c r="H122" s="44">
        <f t="shared" si="22"/>
        <v>1</v>
      </c>
      <c r="I122" s="39">
        <f t="shared" si="22"/>
        <v>0</v>
      </c>
      <c r="J122" s="39">
        <f t="shared" si="22"/>
        <v>0</v>
      </c>
      <c r="K122" s="45">
        <f t="shared" si="22"/>
        <v>0</v>
      </c>
      <c r="L122" s="144">
        <f t="shared" si="22"/>
        <v>38</v>
      </c>
      <c r="M122" s="50">
        <f t="shared" si="22"/>
        <v>39</v>
      </c>
      <c r="N122" s="40">
        <f t="shared" si="14"/>
        <v>2796</v>
      </c>
      <c r="O122" s="43">
        <f t="shared" si="15"/>
        <v>3279</v>
      </c>
    </row>
    <row r="123" spans="1:15" ht="22.95" customHeight="1" x14ac:dyDescent="0.3">
      <c r="A123" s="52" t="s">
        <v>24</v>
      </c>
      <c r="B123" s="44">
        <f t="shared" ref="B123:M123" si="23">B17+B18+B19+B20</f>
        <v>1553</v>
      </c>
      <c r="C123" s="39">
        <f t="shared" si="23"/>
        <v>806</v>
      </c>
      <c r="D123" s="39">
        <f t="shared" si="23"/>
        <v>134</v>
      </c>
      <c r="E123" s="39">
        <f t="shared" si="23"/>
        <v>72</v>
      </c>
      <c r="F123" s="39">
        <f t="shared" si="23"/>
        <v>138</v>
      </c>
      <c r="G123" s="50">
        <f t="shared" si="23"/>
        <v>2703</v>
      </c>
      <c r="H123" s="44">
        <f t="shared" si="23"/>
        <v>0</v>
      </c>
      <c r="I123" s="39">
        <f t="shared" si="23"/>
        <v>0</v>
      </c>
      <c r="J123" s="39">
        <f t="shared" si="23"/>
        <v>0</v>
      </c>
      <c r="K123" s="45">
        <f t="shared" si="23"/>
        <v>0</v>
      </c>
      <c r="L123" s="144">
        <f t="shared" si="23"/>
        <v>32</v>
      </c>
      <c r="M123" s="50">
        <f t="shared" si="23"/>
        <v>32</v>
      </c>
      <c r="N123" s="40">
        <f t="shared" si="14"/>
        <v>2735</v>
      </c>
      <c r="O123" s="43">
        <f t="shared" si="15"/>
        <v>3250</v>
      </c>
    </row>
    <row r="124" spans="1:15" ht="22.95" customHeight="1" x14ac:dyDescent="0.3">
      <c r="A124" s="52" t="s">
        <v>25</v>
      </c>
      <c r="B124" s="44">
        <f t="shared" ref="B124:M124" si="24">B18+B19+B20+B21</f>
        <v>1625</v>
      </c>
      <c r="C124" s="39">
        <f t="shared" si="24"/>
        <v>727</v>
      </c>
      <c r="D124" s="39">
        <f t="shared" si="24"/>
        <v>144</v>
      </c>
      <c r="E124" s="39">
        <f t="shared" si="24"/>
        <v>83</v>
      </c>
      <c r="F124" s="39">
        <f t="shared" si="24"/>
        <v>134</v>
      </c>
      <c r="G124" s="50">
        <f t="shared" si="24"/>
        <v>2713</v>
      </c>
      <c r="H124" s="44">
        <f t="shared" si="24"/>
        <v>0</v>
      </c>
      <c r="I124" s="39">
        <f t="shared" si="24"/>
        <v>0</v>
      </c>
      <c r="J124" s="39">
        <f t="shared" si="24"/>
        <v>0</v>
      </c>
      <c r="K124" s="45">
        <f t="shared" si="24"/>
        <v>0</v>
      </c>
      <c r="L124" s="144">
        <f t="shared" si="24"/>
        <v>31</v>
      </c>
      <c r="M124" s="50">
        <f t="shared" si="24"/>
        <v>31</v>
      </c>
      <c r="N124" s="40">
        <f t="shared" si="14"/>
        <v>2744</v>
      </c>
      <c r="O124" s="43">
        <f t="shared" si="15"/>
        <v>3304.5</v>
      </c>
    </row>
    <row r="125" spans="1:15" ht="22.95" customHeight="1" x14ac:dyDescent="0.3">
      <c r="A125" s="52" t="s">
        <v>26</v>
      </c>
      <c r="B125" s="44">
        <f t="shared" ref="B125:M125" si="25">B19+B20+B21+B22</f>
        <v>1613</v>
      </c>
      <c r="C125" s="39">
        <f t="shared" si="25"/>
        <v>681</v>
      </c>
      <c r="D125" s="39">
        <f t="shared" si="25"/>
        <v>134</v>
      </c>
      <c r="E125" s="39">
        <f t="shared" si="25"/>
        <v>90</v>
      </c>
      <c r="F125" s="39">
        <f t="shared" si="25"/>
        <v>135</v>
      </c>
      <c r="G125" s="50">
        <f t="shared" si="25"/>
        <v>2653</v>
      </c>
      <c r="H125" s="44">
        <f t="shared" si="25"/>
        <v>0</v>
      </c>
      <c r="I125" s="39">
        <f t="shared" si="25"/>
        <v>0</v>
      </c>
      <c r="J125" s="39">
        <f t="shared" si="25"/>
        <v>0</v>
      </c>
      <c r="K125" s="45">
        <f t="shared" si="25"/>
        <v>0</v>
      </c>
      <c r="L125" s="144">
        <f t="shared" si="25"/>
        <v>31</v>
      </c>
      <c r="M125" s="50">
        <f t="shared" si="25"/>
        <v>31</v>
      </c>
      <c r="N125" s="40">
        <f t="shared" si="14"/>
        <v>2684</v>
      </c>
      <c r="O125" s="43">
        <f t="shared" si="15"/>
        <v>3280</v>
      </c>
    </row>
    <row r="126" spans="1:15" ht="22.95" customHeight="1" x14ac:dyDescent="0.3">
      <c r="A126" s="52" t="s">
        <v>27</v>
      </c>
      <c r="B126" s="44">
        <f t="shared" ref="B126:M126" si="26">B20+B21+B22+B23</f>
        <v>1621</v>
      </c>
      <c r="C126" s="39">
        <f t="shared" si="26"/>
        <v>609</v>
      </c>
      <c r="D126" s="39">
        <f t="shared" si="26"/>
        <v>127</v>
      </c>
      <c r="E126" s="39">
        <f t="shared" si="26"/>
        <v>92</v>
      </c>
      <c r="F126" s="39">
        <f t="shared" si="26"/>
        <v>148</v>
      </c>
      <c r="G126" s="50">
        <f t="shared" si="26"/>
        <v>2597</v>
      </c>
      <c r="H126" s="44">
        <f t="shared" si="26"/>
        <v>1</v>
      </c>
      <c r="I126" s="39">
        <f t="shared" si="26"/>
        <v>0</v>
      </c>
      <c r="J126" s="39">
        <f t="shared" si="26"/>
        <v>0</v>
      </c>
      <c r="K126" s="45">
        <f t="shared" si="26"/>
        <v>0</v>
      </c>
      <c r="L126" s="144">
        <f t="shared" si="26"/>
        <v>30</v>
      </c>
      <c r="M126" s="50">
        <f t="shared" si="26"/>
        <v>31</v>
      </c>
      <c r="N126" s="40">
        <f t="shared" si="14"/>
        <v>2628</v>
      </c>
      <c r="O126" s="43">
        <f t="shared" si="15"/>
        <v>3298.5</v>
      </c>
    </row>
    <row r="127" spans="1:15" ht="22.95" customHeight="1" x14ac:dyDescent="0.3">
      <c r="A127" s="52" t="s">
        <v>28</v>
      </c>
      <c r="B127" s="44">
        <f t="shared" ref="B127:M127" si="27">B21+B22+B23+B24</f>
        <v>1548</v>
      </c>
      <c r="C127" s="39">
        <f t="shared" si="27"/>
        <v>533</v>
      </c>
      <c r="D127" s="39">
        <f t="shared" si="27"/>
        <v>147</v>
      </c>
      <c r="E127" s="39">
        <f t="shared" si="27"/>
        <v>83</v>
      </c>
      <c r="F127" s="39">
        <f t="shared" si="27"/>
        <v>160</v>
      </c>
      <c r="G127" s="50">
        <f t="shared" si="27"/>
        <v>2471</v>
      </c>
      <c r="H127" s="44">
        <f t="shared" si="27"/>
        <v>1</v>
      </c>
      <c r="I127" s="39">
        <f t="shared" si="27"/>
        <v>0</v>
      </c>
      <c r="J127" s="39">
        <f t="shared" si="27"/>
        <v>0</v>
      </c>
      <c r="K127" s="45">
        <f t="shared" si="27"/>
        <v>0</v>
      </c>
      <c r="L127" s="144">
        <f t="shared" si="27"/>
        <v>22</v>
      </c>
      <c r="M127" s="50">
        <f t="shared" si="27"/>
        <v>23</v>
      </c>
      <c r="N127" s="40">
        <f t="shared" si="14"/>
        <v>2494</v>
      </c>
      <c r="O127" s="43">
        <f t="shared" si="15"/>
        <v>3180.5</v>
      </c>
    </row>
    <row r="128" spans="1:15" ht="22.95" customHeight="1" x14ac:dyDescent="0.3">
      <c r="A128" s="52" t="s">
        <v>29</v>
      </c>
      <c r="B128" s="44">
        <f t="shared" ref="B128:M128" si="28">B22+B23+B24+B25</f>
        <v>1442</v>
      </c>
      <c r="C128" s="39">
        <f t="shared" si="28"/>
        <v>475</v>
      </c>
      <c r="D128" s="39">
        <f t="shared" si="28"/>
        <v>126</v>
      </c>
      <c r="E128" s="39">
        <f t="shared" si="28"/>
        <v>73</v>
      </c>
      <c r="F128" s="39">
        <f t="shared" si="28"/>
        <v>175</v>
      </c>
      <c r="G128" s="50">
        <f t="shared" si="28"/>
        <v>2291</v>
      </c>
      <c r="H128" s="44">
        <f t="shared" si="28"/>
        <v>1</v>
      </c>
      <c r="I128" s="39">
        <f t="shared" si="28"/>
        <v>0</v>
      </c>
      <c r="J128" s="39">
        <f t="shared" si="28"/>
        <v>0</v>
      </c>
      <c r="K128" s="45">
        <f t="shared" si="28"/>
        <v>0</v>
      </c>
      <c r="L128" s="144">
        <f t="shared" si="28"/>
        <v>15</v>
      </c>
      <c r="M128" s="50">
        <f t="shared" si="28"/>
        <v>16</v>
      </c>
      <c r="N128" s="40">
        <f t="shared" si="14"/>
        <v>2307</v>
      </c>
      <c r="O128" s="43">
        <f t="shared" si="15"/>
        <v>2995.5</v>
      </c>
    </row>
    <row r="129" spans="1:15" ht="22.95" customHeight="1" x14ac:dyDescent="0.3">
      <c r="A129" s="52" t="s">
        <v>30</v>
      </c>
      <c r="B129" s="44">
        <f t="shared" ref="B129:M129" si="29">B23+B24+B25+B26</f>
        <v>1358</v>
      </c>
      <c r="C129" s="39">
        <f t="shared" si="29"/>
        <v>447</v>
      </c>
      <c r="D129" s="39">
        <f t="shared" si="29"/>
        <v>132</v>
      </c>
      <c r="E129" s="39">
        <f t="shared" si="29"/>
        <v>66</v>
      </c>
      <c r="F129" s="39">
        <f t="shared" si="29"/>
        <v>205</v>
      </c>
      <c r="G129" s="50">
        <f t="shared" si="29"/>
        <v>2208</v>
      </c>
      <c r="H129" s="44">
        <f t="shared" si="29"/>
        <v>1</v>
      </c>
      <c r="I129" s="39">
        <f t="shared" si="29"/>
        <v>0</v>
      </c>
      <c r="J129" s="39">
        <f t="shared" si="29"/>
        <v>0</v>
      </c>
      <c r="K129" s="45">
        <f t="shared" si="29"/>
        <v>0</v>
      </c>
      <c r="L129" s="144">
        <f t="shared" si="29"/>
        <v>10</v>
      </c>
      <c r="M129" s="50">
        <f t="shared" si="29"/>
        <v>11</v>
      </c>
      <c r="N129" s="40">
        <f t="shared" si="14"/>
        <v>2219</v>
      </c>
      <c r="O129" s="43">
        <f t="shared" si="15"/>
        <v>2980.5</v>
      </c>
    </row>
    <row r="130" spans="1:15" ht="22.95" customHeight="1" x14ac:dyDescent="0.3">
      <c r="A130" s="52" t="s">
        <v>31</v>
      </c>
      <c r="B130" s="44">
        <f t="shared" ref="B130:M130" si="30">B24+B25+B26+B27</f>
        <v>1238</v>
      </c>
      <c r="C130" s="39">
        <f t="shared" si="30"/>
        <v>423</v>
      </c>
      <c r="D130" s="39">
        <f t="shared" si="30"/>
        <v>127</v>
      </c>
      <c r="E130" s="39">
        <f t="shared" si="30"/>
        <v>50</v>
      </c>
      <c r="F130" s="39">
        <f t="shared" si="30"/>
        <v>212</v>
      </c>
      <c r="G130" s="50">
        <f t="shared" si="30"/>
        <v>2050</v>
      </c>
      <c r="H130" s="44">
        <f t="shared" si="30"/>
        <v>0</v>
      </c>
      <c r="I130" s="39">
        <f t="shared" si="30"/>
        <v>0</v>
      </c>
      <c r="J130" s="39">
        <f t="shared" si="30"/>
        <v>0</v>
      </c>
      <c r="K130" s="45">
        <f t="shared" si="30"/>
        <v>0</v>
      </c>
      <c r="L130" s="144">
        <f t="shared" si="30"/>
        <v>2</v>
      </c>
      <c r="M130" s="50">
        <f t="shared" si="30"/>
        <v>2</v>
      </c>
      <c r="N130" s="40">
        <f t="shared" si="14"/>
        <v>2052</v>
      </c>
      <c r="O130" s="43">
        <f t="shared" si="15"/>
        <v>2760</v>
      </c>
    </row>
    <row r="131" spans="1:15" ht="22.95" customHeight="1" x14ac:dyDescent="0.3">
      <c r="A131" s="52" t="s">
        <v>32</v>
      </c>
      <c r="B131" s="44">
        <f t="shared" ref="B131:M131" si="31">B25+B26+B27+B28</f>
        <v>1159</v>
      </c>
      <c r="C131" s="39">
        <f t="shared" si="31"/>
        <v>417</v>
      </c>
      <c r="D131" s="39">
        <f t="shared" si="31"/>
        <v>118</v>
      </c>
      <c r="E131" s="39">
        <f t="shared" si="31"/>
        <v>52</v>
      </c>
      <c r="F131" s="39">
        <f t="shared" si="31"/>
        <v>212</v>
      </c>
      <c r="G131" s="50">
        <f t="shared" si="31"/>
        <v>1958</v>
      </c>
      <c r="H131" s="44">
        <f t="shared" si="31"/>
        <v>0</v>
      </c>
      <c r="I131" s="39">
        <f t="shared" si="31"/>
        <v>0</v>
      </c>
      <c r="J131" s="39">
        <f t="shared" si="31"/>
        <v>0</v>
      </c>
      <c r="K131" s="45">
        <f t="shared" si="31"/>
        <v>0</v>
      </c>
      <c r="L131" s="144">
        <f t="shared" si="31"/>
        <v>2</v>
      </c>
      <c r="M131" s="50">
        <f t="shared" si="31"/>
        <v>2</v>
      </c>
      <c r="N131" s="40">
        <f t="shared" si="14"/>
        <v>1960</v>
      </c>
      <c r="O131" s="43">
        <f t="shared" si="15"/>
        <v>2670.5</v>
      </c>
    </row>
    <row r="132" spans="1:15" ht="22.95" customHeight="1" x14ac:dyDescent="0.3">
      <c r="A132" s="52" t="s">
        <v>33</v>
      </c>
      <c r="B132" s="44">
        <f t="shared" ref="B132:M132" si="32">B26+B27+B28+B29</f>
        <v>1109</v>
      </c>
      <c r="C132" s="39">
        <f t="shared" si="32"/>
        <v>424</v>
      </c>
      <c r="D132" s="39">
        <f t="shared" si="32"/>
        <v>119</v>
      </c>
      <c r="E132" s="39">
        <f t="shared" si="32"/>
        <v>48</v>
      </c>
      <c r="F132" s="39">
        <f t="shared" si="32"/>
        <v>206</v>
      </c>
      <c r="G132" s="50">
        <f t="shared" si="32"/>
        <v>1906</v>
      </c>
      <c r="H132" s="44">
        <f t="shared" si="32"/>
        <v>0</v>
      </c>
      <c r="I132" s="39">
        <f t="shared" si="32"/>
        <v>0</v>
      </c>
      <c r="J132" s="39">
        <f t="shared" si="32"/>
        <v>0</v>
      </c>
      <c r="K132" s="45">
        <f t="shared" si="32"/>
        <v>0</v>
      </c>
      <c r="L132" s="144">
        <f t="shared" si="32"/>
        <v>2</v>
      </c>
      <c r="M132" s="50">
        <f t="shared" si="32"/>
        <v>2</v>
      </c>
      <c r="N132" s="40">
        <f t="shared" si="14"/>
        <v>1908</v>
      </c>
      <c r="O132" s="43">
        <f t="shared" si="15"/>
        <v>2586.5</v>
      </c>
    </row>
    <row r="133" spans="1:15" ht="22.95" customHeight="1" x14ac:dyDescent="0.3">
      <c r="A133" s="52" t="s">
        <v>34</v>
      </c>
      <c r="B133" s="44">
        <f t="shared" ref="B133:M133" si="33">B27+B28+B29+B30</f>
        <v>1086</v>
      </c>
      <c r="C133" s="39">
        <f t="shared" si="33"/>
        <v>416</v>
      </c>
      <c r="D133" s="39">
        <f t="shared" si="33"/>
        <v>106</v>
      </c>
      <c r="E133" s="39">
        <f t="shared" si="33"/>
        <v>38</v>
      </c>
      <c r="F133" s="39">
        <f t="shared" si="33"/>
        <v>176</v>
      </c>
      <c r="G133" s="50">
        <f t="shared" si="33"/>
        <v>1822</v>
      </c>
      <c r="H133" s="44">
        <f t="shared" si="33"/>
        <v>0</v>
      </c>
      <c r="I133" s="39">
        <f t="shared" si="33"/>
        <v>0</v>
      </c>
      <c r="J133" s="39">
        <f t="shared" si="33"/>
        <v>0</v>
      </c>
      <c r="K133" s="45">
        <f t="shared" si="33"/>
        <v>0</v>
      </c>
      <c r="L133" s="144">
        <f t="shared" si="33"/>
        <v>0</v>
      </c>
      <c r="M133" s="50">
        <f t="shared" si="33"/>
        <v>0</v>
      </c>
      <c r="N133" s="40">
        <f t="shared" si="14"/>
        <v>1822</v>
      </c>
      <c r="O133" s="43">
        <f t="shared" si="15"/>
        <v>2359</v>
      </c>
    </row>
    <row r="134" spans="1:15" ht="22.95" customHeight="1" x14ac:dyDescent="0.3">
      <c r="A134" s="52" t="s">
        <v>35</v>
      </c>
      <c r="B134" s="44">
        <f t="shared" ref="B134:M134" si="34">B28+B29+B30+B31</f>
        <v>1076</v>
      </c>
      <c r="C134" s="39">
        <f t="shared" si="34"/>
        <v>445</v>
      </c>
      <c r="D134" s="39">
        <f t="shared" si="34"/>
        <v>108</v>
      </c>
      <c r="E134" s="39">
        <f t="shared" si="34"/>
        <v>36</v>
      </c>
      <c r="F134" s="39">
        <f t="shared" si="34"/>
        <v>174</v>
      </c>
      <c r="G134" s="50">
        <f t="shared" si="34"/>
        <v>1839</v>
      </c>
      <c r="H134" s="44">
        <f t="shared" si="34"/>
        <v>0</v>
      </c>
      <c r="I134" s="39">
        <f t="shared" si="34"/>
        <v>0</v>
      </c>
      <c r="J134" s="39">
        <f t="shared" si="34"/>
        <v>0</v>
      </c>
      <c r="K134" s="45">
        <f t="shared" si="34"/>
        <v>0</v>
      </c>
      <c r="L134" s="144">
        <f t="shared" si="34"/>
        <v>0</v>
      </c>
      <c r="M134" s="50">
        <f t="shared" si="34"/>
        <v>0</v>
      </c>
      <c r="N134" s="40">
        <f t="shared" si="14"/>
        <v>1839</v>
      </c>
      <c r="O134" s="43">
        <f t="shared" si="15"/>
        <v>2351.5</v>
      </c>
    </row>
    <row r="135" spans="1:15" ht="22.95" customHeight="1" x14ac:dyDescent="0.3">
      <c r="A135" s="52" t="s">
        <v>36</v>
      </c>
      <c r="B135" s="44">
        <f t="shared" ref="B135:M135" si="35">B29+B30+B31+B32</f>
        <v>1031</v>
      </c>
      <c r="C135" s="39">
        <f t="shared" si="35"/>
        <v>428</v>
      </c>
      <c r="D135" s="39">
        <f t="shared" si="35"/>
        <v>102</v>
      </c>
      <c r="E135" s="39">
        <f t="shared" si="35"/>
        <v>24</v>
      </c>
      <c r="F135" s="39">
        <f t="shared" si="35"/>
        <v>159</v>
      </c>
      <c r="G135" s="50">
        <f t="shared" si="35"/>
        <v>1744</v>
      </c>
      <c r="H135" s="44">
        <f t="shared" si="35"/>
        <v>0</v>
      </c>
      <c r="I135" s="39">
        <f t="shared" si="35"/>
        <v>0</v>
      </c>
      <c r="J135" s="39">
        <f t="shared" si="35"/>
        <v>0</v>
      </c>
      <c r="K135" s="45">
        <f t="shared" si="35"/>
        <v>0</v>
      </c>
      <c r="L135" s="144">
        <f t="shared" si="35"/>
        <v>1</v>
      </c>
      <c r="M135" s="50">
        <f t="shared" si="35"/>
        <v>1</v>
      </c>
      <c r="N135" s="40">
        <f t="shared" si="14"/>
        <v>1745</v>
      </c>
      <c r="O135" s="43">
        <f t="shared" si="15"/>
        <v>2193.5</v>
      </c>
    </row>
    <row r="136" spans="1:15" ht="22.95" customHeight="1" x14ac:dyDescent="0.3">
      <c r="A136" s="52" t="s">
        <v>37</v>
      </c>
      <c r="B136" s="44">
        <f t="shared" ref="B136:M136" si="36">B30+B31+B32+B33</f>
        <v>1028</v>
      </c>
      <c r="C136" s="39">
        <f t="shared" si="36"/>
        <v>423</v>
      </c>
      <c r="D136" s="39">
        <f t="shared" si="36"/>
        <v>131</v>
      </c>
      <c r="E136" s="39">
        <f t="shared" si="36"/>
        <v>28</v>
      </c>
      <c r="F136" s="39">
        <f t="shared" si="36"/>
        <v>143</v>
      </c>
      <c r="G136" s="50">
        <f t="shared" si="36"/>
        <v>1753</v>
      </c>
      <c r="H136" s="44">
        <f t="shared" si="36"/>
        <v>0</v>
      </c>
      <c r="I136" s="39">
        <f t="shared" si="36"/>
        <v>0</v>
      </c>
      <c r="J136" s="39">
        <f t="shared" si="36"/>
        <v>0</v>
      </c>
      <c r="K136" s="45">
        <f t="shared" si="36"/>
        <v>0</v>
      </c>
      <c r="L136" s="144">
        <f t="shared" si="36"/>
        <v>1</v>
      </c>
      <c r="M136" s="50">
        <f t="shared" si="36"/>
        <v>1</v>
      </c>
      <c r="N136" s="40">
        <f t="shared" si="14"/>
        <v>1754</v>
      </c>
      <c r="O136" s="43">
        <f t="shared" si="15"/>
        <v>2171.5</v>
      </c>
    </row>
    <row r="137" spans="1:15" ht="22.95" customHeight="1" x14ac:dyDescent="0.3">
      <c r="A137" s="52" t="s">
        <v>38</v>
      </c>
      <c r="B137" s="44">
        <f t="shared" ref="B137:M137" si="37">B31+B32+B33+B34</f>
        <v>992</v>
      </c>
      <c r="C137" s="39">
        <f t="shared" si="37"/>
        <v>418</v>
      </c>
      <c r="D137" s="39">
        <f t="shared" si="37"/>
        <v>145</v>
      </c>
      <c r="E137" s="39">
        <f t="shared" si="37"/>
        <v>29</v>
      </c>
      <c r="F137" s="39">
        <f t="shared" si="37"/>
        <v>144</v>
      </c>
      <c r="G137" s="50">
        <f t="shared" si="37"/>
        <v>1728</v>
      </c>
      <c r="H137" s="44">
        <f t="shared" si="37"/>
        <v>0</v>
      </c>
      <c r="I137" s="39">
        <f t="shared" si="37"/>
        <v>0</v>
      </c>
      <c r="J137" s="39">
        <f t="shared" si="37"/>
        <v>0</v>
      </c>
      <c r="K137" s="45">
        <f t="shared" si="37"/>
        <v>0</v>
      </c>
      <c r="L137" s="144">
        <f t="shared" si="37"/>
        <v>2</v>
      </c>
      <c r="M137" s="50">
        <f t="shared" si="37"/>
        <v>2</v>
      </c>
      <c r="N137" s="40">
        <f t="shared" si="14"/>
        <v>1730</v>
      </c>
      <c r="O137" s="43">
        <f t="shared" si="15"/>
        <v>2169.5</v>
      </c>
    </row>
    <row r="138" spans="1:15" ht="22.95" customHeight="1" x14ac:dyDescent="0.3">
      <c r="A138" s="52" t="s">
        <v>39</v>
      </c>
      <c r="B138" s="44">
        <f t="shared" ref="B138:M138" si="38">B32+B33+B34+B35</f>
        <v>956</v>
      </c>
      <c r="C138" s="39">
        <f t="shared" si="38"/>
        <v>376</v>
      </c>
      <c r="D138" s="39">
        <f t="shared" si="38"/>
        <v>155</v>
      </c>
      <c r="E138" s="39">
        <f t="shared" si="38"/>
        <v>35</v>
      </c>
      <c r="F138" s="39">
        <f t="shared" si="38"/>
        <v>110</v>
      </c>
      <c r="G138" s="50">
        <f t="shared" si="38"/>
        <v>1632</v>
      </c>
      <c r="H138" s="44">
        <f t="shared" si="38"/>
        <v>0</v>
      </c>
      <c r="I138" s="39">
        <f t="shared" si="38"/>
        <v>0</v>
      </c>
      <c r="J138" s="39">
        <f t="shared" si="38"/>
        <v>0</v>
      </c>
      <c r="K138" s="45">
        <f t="shared" si="38"/>
        <v>0</v>
      </c>
      <c r="L138" s="144">
        <f t="shared" si="38"/>
        <v>3</v>
      </c>
      <c r="M138" s="50">
        <f t="shared" si="38"/>
        <v>3</v>
      </c>
      <c r="N138" s="40">
        <f t="shared" si="14"/>
        <v>1635</v>
      </c>
      <c r="O138" s="43">
        <f t="shared" si="15"/>
        <v>2000.5</v>
      </c>
    </row>
    <row r="139" spans="1:15" ht="22.95" customHeight="1" x14ac:dyDescent="0.3">
      <c r="A139" s="52" t="s">
        <v>40</v>
      </c>
      <c r="B139" s="44">
        <f t="shared" ref="B139:M139" si="39">B33+B34+B35+B36</f>
        <v>963</v>
      </c>
      <c r="C139" s="39">
        <f t="shared" si="39"/>
        <v>375</v>
      </c>
      <c r="D139" s="39">
        <f t="shared" si="39"/>
        <v>153</v>
      </c>
      <c r="E139" s="39">
        <f t="shared" si="39"/>
        <v>43</v>
      </c>
      <c r="F139" s="39">
        <f t="shared" si="39"/>
        <v>114</v>
      </c>
      <c r="G139" s="50">
        <f t="shared" si="39"/>
        <v>1648</v>
      </c>
      <c r="H139" s="44">
        <f t="shared" si="39"/>
        <v>0</v>
      </c>
      <c r="I139" s="39">
        <f t="shared" si="39"/>
        <v>0</v>
      </c>
      <c r="J139" s="39">
        <f t="shared" si="39"/>
        <v>0</v>
      </c>
      <c r="K139" s="45">
        <f t="shared" si="39"/>
        <v>0</v>
      </c>
      <c r="L139" s="144">
        <f t="shared" si="39"/>
        <v>3</v>
      </c>
      <c r="M139" s="50">
        <f t="shared" si="39"/>
        <v>3</v>
      </c>
      <c r="N139" s="40">
        <f t="shared" si="14"/>
        <v>1651</v>
      </c>
      <c r="O139" s="43">
        <f t="shared" si="15"/>
        <v>2046</v>
      </c>
    </row>
    <row r="140" spans="1:15" ht="22.95" customHeight="1" x14ac:dyDescent="0.3">
      <c r="A140" s="52" t="s">
        <v>41</v>
      </c>
      <c r="B140" s="44">
        <f t="shared" ref="B140:M140" si="40">B34+B35+B36+B37</f>
        <v>990</v>
      </c>
      <c r="C140" s="39">
        <f t="shared" si="40"/>
        <v>351</v>
      </c>
      <c r="D140" s="39">
        <f t="shared" si="40"/>
        <v>127</v>
      </c>
      <c r="E140" s="39">
        <f t="shared" si="40"/>
        <v>41</v>
      </c>
      <c r="F140" s="39">
        <f t="shared" si="40"/>
        <v>129</v>
      </c>
      <c r="G140" s="50">
        <f t="shared" si="40"/>
        <v>1638</v>
      </c>
      <c r="H140" s="44">
        <f t="shared" si="40"/>
        <v>0</v>
      </c>
      <c r="I140" s="39">
        <f t="shared" si="40"/>
        <v>0</v>
      </c>
      <c r="J140" s="39">
        <f t="shared" si="40"/>
        <v>0</v>
      </c>
      <c r="K140" s="45">
        <f t="shared" si="40"/>
        <v>0</v>
      </c>
      <c r="L140" s="144">
        <f t="shared" si="40"/>
        <v>3</v>
      </c>
      <c r="M140" s="50">
        <f t="shared" si="40"/>
        <v>3</v>
      </c>
      <c r="N140" s="40">
        <f t="shared" si="14"/>
        <v>1641</v>
      </c>
      <c r="O140" s="43">
        <f t="shared" si="15"/>
        <v>2083.5</v>
      </c>
    </row>
    <row r="141" spans="1:15" ht="22.95" customHeight="1" x14ac:dyDescent="0.3">
      <c r="A141" s="52" t="s">
        <v>42</v>
      </c>
      <c r="B141" s="44">
        <f t="shared" ref="B141:M141" si="41">B35+B36+B37+B38</f>
        <v>1036</v>
      </c>
      <c r="C141" s="39">
        <f t="shared" si="41"/>
        <v>346</v>
      </c>
      <c r="D141" s="39">
        <f t="shared" si="41"/>
        <v>120</v>
      </c>
      <c r="E141" s="39">
        <f t="shared" si="41"/>
        <v>44</v>
      </c>
      <c r="F141" s="39">
        <f t="shared" si="41"/>
        <v>135</v>
      </c>
      <c r="G141" s="50">
        <f t="shared" si="41"/>
        <v>1681</v>
      </c>
      <c r="H141" s="44">
        <f t="shared" si="41"/>
        <v>0</v>
      </c>
      <c r="I141" s="39">
        <f t="shared" si="41"/>
        <v>0</v>
      </c>
      <c r="J141" s="39">
        <f t="shared" si="41"/>
        <v>0</v>
      </c>
      <c r="K141" s="45">
        <f t="shared" si="41"/>
        <v>0</v>
      </c>
      <c r="L141" s="144">
        <f t="shared" si="41"/>
        <v>2</v>
      </c>
      <c r="M141" s="50">
        <f t="shared" si="41"/>
        <v>2</v>
      </c>
      <c r="N141" s="40">
        <f t="shared" si="14"/>
        <v>1683</v>
      </c>
      <c r="O141" s="43">
        <f t="shared" si="15"/>
        <v>2144.5</v>
      </c>
    </row>
    <row r="142" spans="1:15" ht="22.95" customHeight="1" x14ac:dyDescent="0.3">
      <c r="A142" s="52" t="s">
        <v>43</v>
      </c>
      <c r="B142" s="44">
        <f t="shared" ref="B142:M142" si="42">B36+B37+B38+B39</f>
        <v>1164</v>
      </c>
      <c r="C142" s="39">
        <f t="shared" si="42"/>
        <v>359</v>
      </c>
      <c r="D142" s="39">
        <f t="shared" si="42"/>
        <v>119</v>
      </c>
      <c r="E142" s="39">
        <f t="shared" si="42"/>
        <v>47</v>
      </c>
      <c r="F142" s="39">
        <f t="shared" si="42"/>
        <v>154</v>
      </c>
      <c r="G142" s="50">
        <f t="shared" si="42"/>
        <v>1843</v>
      </c>
      <c r="H142" s="44">
        <f t="shared" si="42"/>
        <v>0</v>
      </c>
      <c r="I142" s="39">
        <f t="shared" si="42"/>
        <v>0</v>
      </c>
      <c r="J142" s="39">
        <f t="shared" si="42"/>
        <v>0</v>
      </c>
      <c r="K142" s="45">
        <f t="shared" si="42"/>
        <v>0</v>
      </c>
      <c r="L142" s="144">
        <f t="shared" si="42"/>
        <v>1</v>
      </c>
      <c r="M142" s="50">
        <f t="shared" si="42"/>
        <v>1</v>
      </c>
      <c r="N142" s="40">
        <f t="shared" si="14"/>
        <v>1844</v>
      </c>
      <c r="O142" s="43">
        <f t="shared" si="15"/>
        <v>2364</v>
      </c>
    </row>
    <row r="143" spans="1:15" ht="22.95" customHeight="1" x14ac:dyDescent="0.3">
      <c r="A143" s="52" t="s">
        <v>44</v>
      </c>
      <c r="B143" s="44">
        <f t="shared" ref="B143:M143" si="43">B37+B38+B39+B40</f>
        <v>1329</v>
      </c>
      <c r="C143" s="39">
        <f t="shared" si="43"/>
        <v>416</v>
      </c>
      <c r="D143" s="39">
        <f t="shared" si="43"/>
        <v>132</v>
      </c>
      <c r="E143" s="39">
        <f t="shared" si="43"/>
        <v>56</v>
      </c>
      <c r="F143" s="39">
        <f t="shared" si="43"/>
        <v>151</v>
      </c>
      <c r="G143" s="50">
        <f t="shared" si="43"/>
        <v>2084</v>
      </c>
      <c r="H143" s="44">
        <f t="shared" si="43"/>
        <v>0</v>
      </c>
      <c r="I143" s="39">
        <f t="shared" si="43"/>
        <v>0</v>
      </c>
      <c r="J143" s="39">
        <f t="shared" si="43"/>
        <v>0</v>
      </c>
      <c r="K143" s="45">
        <f t="shared" si="43"/>
        <v>0</v>
      </c>
      <c r="L143" s="144">
        <f t="shared" si="43"/>
        <v>3</v>
      </c>
      <c r="M143" s="50">
        <f t="shared" si="43"/>
        <v>3</v>
      </c>
      <c r="N143" s="40">
        <f t="shared" si="14"/>
        <v>2087</v>
      </c>
      <c r="O143" s="43">
        <f t="shared" si="15"/>
        <v>2606.5</v>
      </c>
    </row>
    <row r="144" spans="1:15" ht="22.95" customHeight="1" x14ac:dyDescent="0.3">
      <c r="A144" s="52" t="s">
        <v>45</v>
      </c>
      <c r="B144" s="44">
        <f t="shared" ref="B144:M144" si="44">B38+B39+B40+B41</f>
        <v>1413</v>
      </c>
      <c r="C144" s="39">
        <f t="shared" si="44"/>
        <v>521</v>
      </c>
      <c r="D144" s="39">
        <f t="shared" si="44"/>
        <v>132</v>
      </c>
      <c r="E144" s="39">
        <f t="shared" si="44"/>
        <v>66</v>
      </c>
      <c r="F144" s="39">
        <f t="shared" si="44"/>
        <v>145</v>
      </c>
      <c r="G144" s="50">
        <f t="shared" si="44"/>
        <v>2277</v>
      </c>
      <c r="H144" s="44">
        <f t="shared" si="44"/>
        <v>0</v>
      </c>
      <c r="I144" s="39">
        <f t="shared" si="44"/>
        <v>0</v>
      </c>
      <c r="J144" s="39">
        <f t="shared" si="44"/>
        <v>0</v>
      </c>
      <c r="K144" s="45">
        <f t="shared" si="44"/>
        <v>0</v>
      </c>
      <c r="L144" s="144">
        <f t="shared" si="44"/>
        <v>9</v>
      </c>
      <c r="M144" s="50">
        <f t="shared" si="44"/>
        <v>9</v>
      </c>
      <c r="N144" s="40">
        <f t="shared" si="14"/>
        <v>2286</v>
      </c>
      <c r="O144" s="43">
        <f t="shared" si="15"/>
        <v>2794</v>
      </c>
    </row>
    <row r="145" spans="1:15" ht="22.95" customHeight="1" x14ac:dyDescent="0.3">
      <c r="A145" s="52" t="s">
        <v>46</v>
      </c>
      <c r="B145" s="44">
        <f t="shared" ref="B145:M145" si="45">B39+B40+B41+B42</f>
        <v>1534</v>
      </c>
      <c r="C145" s="39">
        <f t="shared" si="45"/>
        <v>588</v>
      </c>
      <c r="D145" s="39">
        <f t="shared" si="45"/>
        <v>135</v>
      </c>
      <c r="E145" s="39">
        <f t="shared" si="45"/>
        <v>73</v>
      </c>
      <c r="F145" s="39">
        <f t="shared" si="45"/>
        <v>140</v>
      </c>
      <c r="G145" s="50">
        <f t="shared" si="45"/>
        <v>2470</v>
      </c>
      <c r="H145" s="44">
        <f t="shared" si="45"/>
        <v>0</v>
      </c>
      <c r="I145" s="39">
        <f t="shared" si="45"/>
        <v>0</v>
      </c>
      <c r="J145" s="39">
        <f t="shared" si="45"/>
        <v>0</v>
      </c>
      <c r="K145" s="45">
        <f t="shared" si="45"/>
        <v>0</v>
      </c>
      <c r="L145" s="144">
        <f t="shared" si="45"/>
        <v>10</v>
      </c>
      <c r="M145" s="50">
        <f t="shared" si="45"/>
        <v>10</v>
      </c>
      <c r="N145" s="40">
        <f t="shared" si="14"/>
        <v>2480</v>
      </c>
      <c r="O145" s="43">
        <f t="shared" si="15"/>
        <v>2959.5</v>
      </c>
    </row>
    <row r="146" spans="1:15" ht="22.95" customHeight="1" x14ac:dyDescent="0.3">
      <c r="A146" s="52" t="s">
        <v>47</v>
      </c>
      <c r="B146" s="44">
        <f t="shared" ref="B146:M146" si="46">B40+B41+B42+B43</f>
        <v>1592</v>
      </c>
      <c r="C146" s="39">
        <f t="shared" si="46"/>
        <v>657</v>
      </c>
      <c r="D146" s="39">
        <f t="shared" si="46"/>
        <v>117</v>
      </c>
      <c r="E146" s="39">
        <f t="shared" si="46"/>
        <v>86</v>
      </c>
      <c r="F146" s="39">
        <f t="shared" si="46"/>
        <v>150</v>
      </c>
      <c r="G146" s="50">
        <f t="shared" si="46"/>
        <v>2602</v>
      </c>
      <c r="H146" s="44">
        <f t="shared" si="46"/>
        <v>1</v>
      </c>
      <c r="I146" s="39">
        <f t="shared" si="46"/>
        <v>0</v>
      </c>
      <c r="J146" s="39">
        <f t="shared" si="46"/>
        <v>0</v>
      </c>
      <c r="K146" s="45">
        <f t="shared" si="46"/>
        <v>0</v>
      </c>
      <c r="L146" s="144">
        <f t="shared" si="46"/>
        <v>19</v>
      </c>
      <c r="M146" s="50">
        <f t="shared" si="46"/>
        <v>20</v>
      </c>
      <c r="N146" s="40">
        <f t="shared" si="14"/>
        <v>2622</v>
      </c>
      <c r="O146" s="43">
        <f t="shared" si="15"/>
        <v>3181.5</v>
      </c>
    </row>
    <row r="147" spans="1:15" ht="22.95" customHeight="1" x14ac:dyDescent="0.3">
      <c r="A147" s="52" t="s">
        <v>48</v>
      </c>
      <c r="B147" s="44">
        <f t="shared" ref="B147:M147" si="47">B41+B42+B43+B44</f>
        <v>1671</v>
      </c>
      <c r="C147" s="39">
        <f t="shared" si="47"/>
        <v>725</v>
      </c>
      <c r="D147" s="39">
        <f t="shared" si="47"/>
        <v>106</v>
      </c>
      <c r="E147" s="39">
        <f t="shared" si="47"/>
        <v>83</v>
      </c>
      <c r="F147" s="39">
        <f t="shared" si="47"/>
        <v>158</v>
      </c>
      <c r="G147" s="50">
        <f t="shared" si="47"/>
        <v>2743</v>
      </c>
      <c r="H147" s="44">
        <f t="shared" si="47"/>
        <v>1</v>
      </c>
      <c r="I147" s="39">
        <f t="shared" si="47"/>
        <v>0</v>
      </c>
      <c r="J147" s="39">
        <f t="shared" si="47"/>
        <v>0</v>
      </c>
      <c r="K147" s="45">
        <f t="shared" si="47"/>
        <v>0</v>
      </c>
      <c r="L147" s="144">
        <f t="shared" si="47"/>
        <v>25</v>
      </c>
      <c r="M147" s="50">
        <f t="shared" si="47"/>
        <v>26</v>
      </c>
      <c r="N147" s="40">
        <f t="shared" si="14"/>
        <v>2769</v>
      </c>
      <c r="O147" s="43">
        <f t="shared" si="15"/>
        <v>3353</v>
      </c>
    </row>
    <row r="148" spans="1:15" ht="22.95" customHeight="1" x14ac:dyDescent="0.3">
      <c r="A148" s="52" t="s">
        <v>49</v>
      </c>
      <c r="B148" s="44">
        <f t="shared" ref="B148:M148" si="48">B42+B43+B44+B45</f>
        <v>1822</v>
      </c>
      <c r="C148" s="39">
        <f t="shared" si="48"/>
        <v>708</v>
      </c>
      <c r="D148" s="39">
        <f t="shared" si="48"/>
        <v>108</v>
      </c>
      <c r="E148" s="39">
        <f t="shared" si="48"/>
        <v>85</v>
      </c>
      <c r="F148" s="39">
        <f t="shared" si="48"/>
        <v>148</v>
      </c>
      <c r="G148" s="50">
        <f t="shared" si="48"/>
        <v>2871</v>
      </c>
      <c r="H148" s="44">
        <f t="shared" si="48"/>
        <v>1</v>
      </c>
      <c r="I148" s="39">
        <f t="shared" si="48"/>
        <v>0</v>
      </c>
      <c r="J148" s="39">
        <f t="shared" si="48"/>
        <v>0</v>
      </c>
      <c r="K148" s="45">
        <f t="shared" si="48"/>
        <v>0</v>
      </c>
      <c r="L148" s="144">
        <f t="shared" si="48"/>
        <v>21</v>
      </c>
      <c r="M148" s="50">
        <f t="shared" si="48"/>
        <v>22</v>
      </c>
      <c r="N148" s="40">
        <f t="shared" si="14"/>
        <v>2893</v>
      </c>
      <c r="O148" s="43">
        <f t="shared" si="15"/>
        <v>3427.5</v>
      </c>
    </row>
    <row r="149" spans="1:15" ht="22.95" customHeight="1" x14ac:dyDescent="0.3">
      <c r="A149" s="52" t="s">
        <v>50</v>
      </c>
      <c r="B149" s="44">
        <f t="shared" ref="B149:M149" si="49">B43+B44+B45+B46</f>
        <v>1788</v>
      </c>
      <c r="C149" s="39">
        <f t="shared" si="49"/>
        <v>843</v>
      </c>
      <c r="D149" s="39">
        <f t="shared" si="49"/>
        <v>108</v>
      </c>
      <c r="E149" s="39">
        <f t="shared" si="49"/>
        <v>87</v>
      </c>
      <c r="F149" s="39">
        <f t="shared" si="49"/>
        <v>160</v>
      </c>
      <c r="G149" s="50">
        <f t="shared" si="49"/>
        <v>2986</v>
      </c>
      <c r="H149" s="44">
        <f t="shared" si="49"/>
        <v>1</v>
      </c>
      <c r="I149" s="39">
        <f t="shared" si="49"/>
        <v>0</v>
      </c>
      <c r="J149" s="39">
        <f t="shared" si="49"/>
        <v>0</v>
      </c>
      <c r="K149" s="45">
        <f t="shared" si="49"/>
        <v>0</v>
      </c>
      <c r="L149" s="144">
        <f t="shared" si="49"/>
        <v>30</v>
      </c>
      <c r="M149" s="50">
        <f t="shared" si="49"/>
        <v>31</v>
      </c>
      <c r="N149" s="40">
        <f t="shared" si="14"/>
        <v>3017</v>
      </c>
      <c r="O149" s="43">
        <f t="shared" si="15"/>
        <v>3593</v>
      </c>
    </row>
    <row r="150" spans="1:15" ht="22.95" customHeight="1" x14ac:dyDescent="0.3">
      <c r="A150" s="52" t="s">
        <v>51</v>
      </c>
      <c r="B150" s="44">
        <f t="shared" ref="B150:M150" si="50">B44+B45+B46+B47</f>
        <v>1829</v>
      </c>
      <c r="C150" s="39">
        <f t="shared" si="50"/>
        <v>894</v>
      </c>
      <c r="D150" s="39">
        <f t="shared" si="50"/>
        <v>113</v>
      </c>
      <c r="E150" s="39">
        <f t="shared" si="50"/>
        <v>93</v>
      </c>
      <c r="F150" s="39">
        <f t="shared" si="50"/>
        <v>171</v>
      </c>
      <c r="G150" s="50">
        <f t="shared" si="50"/>
        <v>3100</v>
      </c>
      <c r="H150" s="44">
        <f t="shared" si="50"/>
        <v>0</v>
      </c>
      <c r="I150" s="39">
        <f t="shared" si="50"/>
        <v>0</v>
      </c>
      <c r="J150" s="39">
        <f t="shared" si="50"/>
        <v>0</v>
      </c>
      <c r="K150" s="45">
        <f t="shared" si="50"/>
        <v>0</v>
      </c>
      <c r="L150" s="144">
        <f t="shared" si="50"/>
        <v>29</v>
      </c>
      <c r="M150" s="50">
        <f t="shared" si="50"/>
        <v>29</v>
      </c>
      <c r="N150" s="40">
        <f t="shared" si="14"/>
        <v>3129</v>
      </c>
      <c r="O150" s="43">
        <f t="shared" si="15"/>
        <v>3726</v>
      </c>
    </row>
    <row r="151" spans="1:15" ht="22.95" customHeight="1" x14ac:dyDescent="0.3">
      <c r="A151" s="52" t="s">
        <v>52</v>
      </c>
      <c r="B151" s="44">
        <f t="shared" ref="B151:M151" si="51">B45+B46+B47+B48</f>
        <v>1778</v>
      </c>
      <c r="C151" s="39">
        <f t="shared" si="51"/>
        <v>925</v>
      </c>
      <c r="D151" s="39">
        <f t="shared" si="51"/>
        <v>123</v>
      </c>
      <c r="E151" s="39">
        <f t="shared" si="51"/>
        <v>90</v>
      </c>
      <c r="F151" s="39">
        <f t="shared" si="51"/>
        <v>180</v>
      </c>
      <c r="G151" s="50">
        <f t="shared" si="51"/>
        <v>3096</v>
      </c>
      <c r="H151" s="44">
        <f t="shared" si="51"/>
        <v>0</v>
      </c>
      <c r="I151" s="39">
        <f t="shared" si="51"/>
        <v>0</v>
      </c>
      <c r="J151" s="39">
        <f t="shared" si="51"/>
        <v>0</v>
      </c>
      <c r="K151" s="45">
        <f t="shared" si="51"/>
        <v>0</v>
      </c>
      <c r="L151" s="144">
        <f t="shared" si="51"/>
        <v>30</v>
      </c>
      <c r="M151" s="50">
        <f t="shared" si="51"/>
        <v>30</v>
      </c>
      <c r="N151" s="40">
        <f t="shared" si="14"/>
        <v>3126</v>
      </c>
      <c r="O151" s="43">
        <f t="shared" si="15"/>
        <v>3745</v>
      </c>
    </row>
    <row r="152" spans="1:15" ht="22.95" customHeight="1" x14ac:dyDescent="0.3">
      <c r="A152" s="52" t="s">
        <v>53</v>
      </c>
      <c r="B152" s="44">
        <f t="shared" ref="B152:M152" si="52">B46+B47+B48+B49</f>
        <v>1738</v>
      </c>
      <c r="C152" s="39">
        <f t="shared" si="52"/>
        <v>1023</v>
      </c>
      <c r="D152" s="39">
        <f t="shared" si="52"/>
        <v>126</v>
      </c>
      <c r="E152" s="39">
        <f t="shared" si="52"/>
        <v>84</v>
      </c>
      <c r="F152" s="39">
        <f t="shared" si="52"/>
        <v>214</v>
      </c>
      <c r="G152" s="50">
        <f t="shared" si="52"/>
        <v>3185</v>
      </c>
      <c r="H152" s="44">
        <f t="shared" si="52"/>
        <v>1</v>
      </c>
      <c r="I152" s="39">
        <f t="shared" si="52"/>
        <v>0</v>
      </c>
      <c r="J152" s="39">
        <f t="shared" si="52"/>
        <v>0</v>
      </c>
      <c r="K152" s="45">
        <f t="shared" si="52"/>
        <v>0</v>
      </c>
      <c r="L152" s="144">
        <f t="shared" si="52"/>
        <v>41</v>
      </c>
      <c r="M152" s="50">
        <f t="shared" si="52"/>
        <v>42</v>
      </c>
      <c r="N152" s="40">
        <f t="shared" si="14"/>
        <v>3227</v>
      </c>
      <c r="O152" s="43">
        <f t="shared" si="15"/>
        <v>3982</v>
      </c>
    </row>
    <row r="153" spans="1:15" ht="22.95" customHeight="1" x14ac:dyDescent="0.3">
      <c r="A153" s="52" t="s">
        <v>54</v>
      </c>
      <c r="B153" s="44">
        <f t="shared" ref="B153:M153" si="53">B47+B48+B49+B50</f>
        <v>1834</v>
      </c>
      <c r="C153" s="39">
        <f t="shared" si="53"/>
        <v>1090</v>
      </c>
      <c r="D153" s="39">
        <f t="shared" si="53"/>
        <v>118</v>
      </c>
      <c r="E153" s="39">
        <f t="shared" si="53"/>
        <v>83</v>
      </c>
      <c r="F153" s="39">
        <f t="shared" si="53"/>
        <v>198</v>
      </c>
      <c r="G153" s="50">
        <f t="shared" si="53"/>
        <v>3323</v>
      </c>
      <c r="H153" s="44">
        <f t="shared" si="53"/>
        <v>1</v>
      </c>
      <c r="I153" s="39">
        <f t="shared" si="53"/>
        <v>0</v>
      </c>
      <c r="J153" s="39">
        <f t="shared" si="53"/>
        <v>0</v>
      </c>
      <c r="K153" s="45">
        <f t="shared" si="53"/>
        <v>0</v>
      </c>
      <c r="L153" s="144">
        <f t="shared" si="53"/>
        <v>51</v>
      </c>
      <c r="M153" s="50">
        <f t="shared" si="53"/>
        <v>52</v>
      </c>
      <c r="N153" s="40">
        <f t="shared" si="14"/>
        <v>3375</v>
      </c>
      <c r="O153" s="43">
        <f t="shared" si="15"/>
        <v>4104.5</v>
      </c>
    </row>
    <row r="154" spans="1:15" ht="22.95" customHeight="1" x14ac:dyDescent="0.3">
      <c r="A154" s="52" t="s">
        <v>55</v>
      </c>
      <c r="B154" s="44">
        <f t="shared" ref="B154:M154" si="54">B48+B49+B50+B51</f>
        <v>1860</v>
      </c>
      <c r="C154" s="39">
        <f t="shared" si="54"/>
        <v>1194</v>
      </c>
      <c r="D154" s="39">
        <f t="shared" si="54"/>
        <v>127</v>
      </c>
      <c r="E154" s="39">
        <f t="shared" si="54"/>
        <v>73</v>
      </c>
      <c r="F154" s="39">
        <f t="shared" si="54"/>
        <v>191</v>
      </c>
      <c r="G154" s="50">
        <f t="shared" si="54"/>
        <v>3445</v>
      </c>
      <c r="H154" s="44">
        <f t="shared" si="54"/>
        <v>1</v>
      </c>
      <c r="I154" s="39">
        <f t="shared" si="54"/>
        <v>0</v>
      </c>
      <c r="J154" s="39">
        <f t="shared" si="54"/>
        <v>0</v>
      </c>
      <c r="K154" s="45">
        <f t="shared" si="54"/>
        <v>0</v>
      </c>
      <c r="L154" s="144">
        <f t="shared" si="54"/>
        <v>56</v>
      </c>
      <c r="M154" s="50">
        <f t="shared" si="54"/>
        <v>57</v>
      </c>
      <c r="N154" s="40">
        <f t="shared" si="14"/>
        <v>3502</v>
      </c>
      <c r="O154" s="43">
        <f t="shared" si="15"/>
        <v>4174.5</v>
      </c>
    </row>
    <row r="155" spans="1:15" ht="22.95" customHeight="1" x14ac:dyDescent="0.3">
      <c r="A155" s="52" t="s">
        <v>56</v>
      </c>
      <c r="B155" s="44">
        <f t="shared" ref="B155:M155" si="55">B49+B50+B51+B52</f>
        <v>1861</v>
      </c>
      <c r="C155" s="39">
        <f t="shared" si="55"/>
        <v>1256</v>
      </c>
      <c r="D155" s="39">
        <f t="shared" si="55"/>
        <v>130</v>
      </c>
      <c r="E155" s="39">
        <f t="shared" si="55"/>
        <v>78</v>
      </c>
      <c r="F155" s="39">
        <f t="shared" si="55"/>
        <v>185</v>
      </c>
      <c r="G155" s="50">
        <f t="shared" si="55"/>
        <v>3510</v>
      </c>
      <c r="H155" s="44">
        <f t="shared" si="55"/>
        <v>1</v>
      </c>
      <c r="I155" s="39">
        <f t="shared" si="55"/>
        <v>0</v>
      </c>
      <c r="J155" s="39">
        <f t="shared" si="55"/>
        <v>0</v>
      </c>
      <c r="K155" s="45">
        <f t="shared" si="55"/>
        <v>1</v>
      </c>
      <c r="L155" s="144">
        <f t="shared" si="55"/>
        <v>50</v>
      </c>
      <c r="M155" s="50">
        <f t="shared" si="55"/>
        <v>52</v>
      </c>
      <c r="N155" s="40">
        <f t="shared" si="14"/>
        <v>3562</v>
      </c>
      <c r="O155" s="43">
        <f t="shared" si="15"/>
        <v>4155</v>
      </c>
    </row>
    <row r="156" spans="1:15" ht="22.95" customHeight="1" x14ac:dyDescent="0.3">
      <c r="A156" s="52" t="s">
        <v>57</v>
      </c>
      <c r="B156" s="44">
        <f t="shared" ref="B156:M156" si="56">B50+B51+B52+B53</f>
        <v>1809</v>
      </c>
      <c r="C156" s="39">
        <f t="shared" si="56"/>
        <v>1244</v>
      </c>
      <c r="D156" s="39">
        <f t="shared" si="56"/>
        <v>122</v>
      </c>
      <c r="E156" s="39">
        <f t="shared" si="56"/>
        <v>79</v>
      </c>
      <c r="F156" s="39">
        <f t="shared" si="56"/>
        <v>196</v>
      </c>
      <c r="G156" s="50">
        <f t="shared" si="56"/>
        <v>3450</v>
      </c>
      <c r="H156" s="44">
        <f t="shared" si="56"/>
        <v>1</v>
      </c>
      <c r="I156" s="39">
        <f t="shared" si="56"/>
        <v>0</v>
      </c>
      <c r="J156" s="39">
        <f t="shared" si="56"/>
        <v>0</v>
      </c>
      <c r="K156" s="45">
        <f t="shared" si="56"/>
        <v>1</v>
      </c>
      <c r="L156" s="144">
        <f t="shared" si="56"/>
        <v>40</v>
      </c>
      <c r="M156" s="50">
        <f t="shared" si="56"/>
        <v>42</v>
      </c>
      <c r="N156" s="40">
        <f t="shared" si="14"/>
        <v>3492</v>
      </c>
      <c r="O156" s="43">
        <f t="shared" si="15"/>
        <v>4057.5</v>
      </c>
    </row>
    <row r="157" spans="1:15" ht="22.95" customHeight="1" x14ac:dyDescent="0.3">
      <c r="A157" s="52" t="s">
        <v>58</v>
      </c>
      <c r="B157" s="44">
        <f t="shared" ref="B157:M157" si="57">B51+B52+B53+B54</f>
        <v>1730</v>
      </c>
      <c r="C157" s="39">
        <f t="shared" si="57"/>
        <v>1124</v>
      </c>
      <c r="D157" s="39">
        <f t="shared" si="57"/>
        <v>120</v>
      </c>
      <c r="E157" s="39">
        <f t="shared" si="57"/>
        <v>80</v>
      </c>
      <c r="F157" s="39">
        <f t="shared" si="57"/>
        <v>212</v>
      </c>
      <c r="G157" s="50">
        <f t="shared" si="57"/>
        <v>3266</v>
      </c>
      <c r="H157" s="44">
        <f t="shared" si="57"/>
        <v>1</v>
      </c>
      <c r="I157" s="39">
        <f t="shared" si="57"/>
        <v>0</v>
      </c>
      <c r="J157" s="39">
        <f t="shared" si="57"/>
        <v>0</v>
      </c>
      <c r="K157" s="45">
        <f t="shared" si="57"/>
        <v>1</v>
      </c>
      <c r="L157" s="144">
        <f t="shared" si="57"/>
        <v>23</v>
      </c>
      <c r="M157" s="50">
        <f t="shared" si="57"/>
        <v>25</v>
      </c>
      <c r="N157" s="40">
        <f t="shared" si="14"/>
        <v>3291</v>
      </c>
      <c r="O157" s="43">
        <f t="shared" si="15"/>
        <v>3854.5</v>
      </c>
    </row>
    <row r="158" spans="1:15" ht="22.95" customHeight="1" x14ac:dyDescent="0.3">
      <c r="A158" s="52" t="s">
        <v>59</v>
      </c>
      <c r="B158" s="44">
        <f t="shared" ref="B158:M158" si="58">B52+B53+B54+B55</f>
        <v>1632</v>
      </c>
      <c r="C158" s="39">
        <f t="shared" si="58"/>
        <v>1023</v>
      </c>
      <c r="D158" s="39">
        <f t="shared" si="58"/>
        <v>117</v>
      </c>
      <c r="E158" s="39">
        <f t="shared" si="58"/>
        <v>73</v>
      </c>
      <c r="F158" s="39">
        <f t="shared" si="58"/>
        <v>220</v>
      </c>
      <c r="G158" s="50">
        <f t="shared" si="58"/>
        <v>3065</v>
      </c>
      <c r="H158" s="44">
        <f t="shared" si="58"/>
        <v>1</v>
      </c>
      <c r="I158" s="39">
        <f t="shared" si="58"/>
        <v>0</v>
      </c>
      <c r="J158" s="39">
        <f t="shared" si="58"/>
        <v>0</v>
      </c>
      <c r="K158" s="45">
        <f t="shared" si="58"/>
        <v>1</v>
      </c>
      <c r="L158" s="144">
        <f t="shared" si="58"/>
        <v>18</v>
      </c>
      <c r="M158" s="50">
        <f t="shared" si="58"/>
        <v>20</v>
      </c>
      <c r="N158" s="40">
        <f t="shared" si="14"/>
        <v>3085</v>
      </c>
      <c r="O158" s="43">
        <f t="shared" si="15"/>
        <v>3676.5</v>
      </c>
    </row>
    <row r="159" spans="1:15" ht="22.95" customHeight="1" x14ac:dyDescent="0.3">
      <c r="A159" s="52" t="s">
        <v>77</v>
      </c>
      <c r="B159" s="44">
        <f t="shared" ref="B159:M159" si="59">B53+B54+B55+B56</f>
        <v>1628</v>
      </c>
      <c r="C159" s="39">
        <f t="shared" si="59"/>
        <v>952</v>
      </c>
      <c r="D159" s="39">
        <f t="shared" si="59"/>
        <v>95</v>
      </c>
      <c r="E159" s="39">
        <f t="shared" si="59"/>
        <v>65</v>
      </c>
      <c r="F159" s="39">
        <f t="shared" si="59"/>
        <v>231</v>
      </c>
      <c r="G159" s="50">
        <f t="shared" si="59"/>
        <v>2971</v>
      </c>
      <c r="H159" s="44">
        <f t="shared" si="59"/>
        <v>1</v>
      </c>
      <c r="I159" s="39">
        <f t="shared" si="59"/>
        <v>0</v>
      </c>
      <c r="J159" s="39">
        <f t="shared" si="59"/>
        <v>0</v>
      </c>
      <c r="K159" s="45">
        <f t="shared" si="59"/>
        <v>0</v>
      </c>
      <c r="L159" s="144">
        <f t="shared" si="59"/>
        <v>18</v>
      </c>
      <c r="M159" s="50">
        <f t="shared" si="59"/>
        <v>19</v>
      </c>
      <c r="N159" s="40">
        <f t="shared" si="14"/>
        <v>2990</v>
      </c>
      <c r="O159" s="43">
        <f t="shared" si="15"/>
        <v>3625.5</v>
      </c>
    </row>
    <row r="160" spans="1:15" ht="22.95" customHeight="1" x14ac:dyDescent="0.3">
      <c r="A160" s="52" t="s">
        <v>75</v>
      </c>
      <c r="B160" s="44">
        <f t="shared" ref="B160:M160" si="60">B54+B55+B56+B57</f>
        <v>1572</v>
      </c>
      <c r="C160" s="39">
        <f t="shared" si="60"/>
        <v>916</v>
      </c>
      <c r="D160" s="39">
        <f t="shared" si="60"/>
        <v>89</v>
      </c>
      <c r="E160" s="39">
        <f t="shared" si="60"/>
        <v>60</v>
      </c>
      <c r="F160" s="39">
        <f t="shared" si="60"/>
        <v>195</v>
      </c>
      <c r="G160" s="50">
        <f t="shared" si="60"/>
        <v>2832</v>
      </c>
      <c r="H160" s="44">
        <f t="shared" si="60"/>
        <v>0</v>
      </c>
      <c r="I160" s="39">
        <f t="shared" si="60"/>
        <v>0</v>
      </c>
      <c r="J160" s="39">
        <f t="shared" si="60"/>
        <v>0</v>
      </c>
      <c r="K160" s="45">
        <f t="shared" si="60"/>
        <v>0</v>
      </c>
      <c r="L160" s="144">
        <f t="shared" si="60"/>
        <v>17</v>
      </c>
      <c r="M160" s="50">
        <f t="shared" si="60"/>
        <v>17</v>
      </c>
      <c r="N160" s="40">
        <f t="shared" si="14"/>
        <v>2849</v>
      </c>
      <c r="O160" s="43">
        <f t="shared" si="15"/>
        <v>3357</v>
      </c>
    </row>
    <row r="161" spans="1:15" ht="22.95" customHeight="1" x14ac:dyDescent="0.3">
      <c r="A161" s="52" t="s">
        <v>76</v>
      </c>
      <c r="B161" s="44">
        <f t="shared" ref="B161:M161" si="61">B55+B56+B57+B58</f>
        <v>1507</v>
      </c>
      <c r="C161" s="39">
        <f t="shared" si="61"/>
        <v>867</v>
      </c>
      <c r="D161" s="39">
        <f t="shared" si="61"/>
        <v>77</v>
      </c>
      <c r="E161" s="39">
        <f t="shared" si="61"/>
        <v>49</v>
      </c>
      <c r="F161" s="39">
        <f t="shared" si="61"/>
        <v>207</v>
      </c>
      <c r="G161" s="50">
        <f t="shared" si="61"/>
        <v>2707</v>
      </c>
      <c r="H161" s="44">
        <f t="shared" si="61"/>
        <v>0</v>
      </c>
      <c r="I161" s="39">
        <f t="shared" si="61"/>
        <v>0</v>
      </c>
      <c r="J161" s="39">
        <f t="shared" si="61"/>
        <v>0</v>
      </c>
      <c r="K161" s="45">
        <f t="shared" si="61"/>
        <v>0</v>
      </c>
      <c r="L161" s="144">
        <f t="shared" si="61"/>
        <v>15</v>
      </c>
      <c r="M161" s="50">
        <f t="shared" si="61"/>
        <v>15</v>
      </c>
      <c r="N161" s="40">
        <f t="shared" si="14"/>
        <v>2722</v>
      </c>
      <c r="O161" s="43">
        <f t="shared" si="15"/>
        <v>3254.5</v>
      </c>
    </row>
    <row r="162" spans="1:15" ht="22.95" customHeight="1" x14ac:dyDescent="0.3">
      <c r="A162" s="52" t="s">
        <v>70</v>
      </c>
      <c r="B162" s="44">
        <f t="shared" ref="B162:M162" si="62">B56+B57+B58+B59</f>
        <v>1415</v>
      </c>
      <c r="C162" s="39">
        <f t="shared" si="62"/>
        <v>800</v>
      </c>
      <c r="D162" s="39">
        <f t="shared" si="62"/>
        <v>55</v>
      </c>
      <c r="E162" s="39">
        <f t="shared" si="62"/>
        <v>40</v>
      </c>
      <c r="F162" s="39">
        <f t="shared" si="62"/>
        <v>222</v>
      </c>
      <c r="G162" s="50">
        <f t="shared" si="62"/>
        <v>2532</v>
      </c>
      <c r="H162" s="44">
        <f t="shared" si="62"/>
        <v>0</v>
      </c>
      <c r="I162" s="39">
        <f t="shared" si="62"/>
        <v>0</v>
      </c>
      <c r="J162" s="39">
        <f t="shared" si="62"/>
        <v>0</v>
      </c>
      <c r="K162" s="45">
        <f t="shared" si="62"/>
        <v>0</v>
      </c>
      <c r="L162" s="144">
        <f t="shared" si="62"/>
        <v>8</v>
      </c>
      <c r="M162" s="50">
        <f t="shared" si="62"/>
        <v>8</v>
      </c>
      <c r="N162" s="40">
        <f t="shared" si="14"/>
        <v>2540</v>
      </c>
      <c r="O162" s="43">
        <f t="shared" si="15"/>
        <v>3080.5</v>
      </c>
    </row>
    <row r="163" spans="1:15" ht="22.95" customHeight="1" x14ac:dyDescent="0.3">
      <c r="A163" s="52" t="s">
        <v>71</v>
      </c>
      <c r="B163" s="44">
        <f t="shared" ref="B163:M163" si="63">B57+B58+B59+B60</f>
        <v>1292</v>
      </c>
      <c r="C163" s="39">
        <f t="shared" si="63"/>
        <v>709</v>
      </c>
      <c r="D163" s="39">
        <f t="shared" si="63"/>
        <v>58</v>
      </c>
      <c r="E163" s="39">
        <f t="shared" si="63"/>
        <v>35</v>
      </c>
      <c r="F163" s="39">
        <f t="shared" si="63"/>
        <v>237</v>
      </c>
      <c r="G163" s="50">
        <f t="shared" si="63"/>
        <v>2331</v>
      </c>
      <c r="H163" s="44">
        <f t="shared" si="63"/>
        <v>0</v>
      </c>
      <c r="I163" s="39">
        <f t="shared" si="63"/>
        <v>0</v>
      </c>
      <c r="J163" s="39">
        <f t="shared" si="63"/>
        <v>0</v>
      </c>
      <c r="K163" s="45">
        <f t="shared" si="63"/>
        <v>0</v>
      </c>
      <c r="L163" s="144">
        <f t="shared" si="63"/>
        <v>4</v>
      </c>
      <c r="M163" s="50">
        <f t="shared" si="63"/>
        <v>4</v>
      </c>
      <c r="N163" s="40">
        <f t="shared" si="14"/>
        <v>2335</v>
      </c>
      <c r="O163" s="43">
        <f t="shared" si="15"/>
        <v>2937</v>
      </c>
    </row>
    <row r="164" spans="1:15" ht="22.95" customHeight="1" x14ac:dyDescent="0.3">
      <c r="A164" s="52" t="s">
        <v>72</v>
      </c>
      <c r="B164" s="44">
        <f t="shared" ref="B164:M164" si="64">B58+B59+B60+B61</f>
        <v>1169</v>
      </c>
      <c r="C164" s="39">
        <f t="shared" si="64"/>
        <v>614</v>
      </c>
      <c r="D164" s="39">
        <f t="shared" si="64"/>
        <v>56</v>
      </c>
      <c r="E164" s="39">
        <f t="shared" si="64"/>
        <v>33</v>
      </c>
      <c r="F164" s="39">
        <f t="shared" si="64"/>
        <v>270</v>
      </c>
      <c r="G164" s="50">
        <f t="shared" si="64"/>
        <v>2142</v>
      </c>
      <c r="H164" s="44">
        <f t="shared" si="64"/>
        <v>0</v>
      </c>
      <c r="I164" s="39">
        <f t="shared" si="64"/>
        <v>0</v>
      </c>
      <c r="J164" s="39">
        <f t="shared" si="64"/>
        <v>0</v>
      </c>
      <c r="K164" s="45">
        <f t="shared" si="64"/>
        <v>0</v>
      </c>
      <c r="L164" s="144">
        <f t="shared" si="64"/>
        <v>2</v>
      </c>
      <c r="M164" s="50">
        <f t="shared" si="64"/>
        <v>2</v>
      </c>
      <c r="N164" s="40">
        <f t="shared" si="14"/>
        <v>2144</v>
      </c>
      <c r="O164" s="43">
        <f t="shared" si="15"/>
        <v>2890</v>
      </c>
    </row>
    <row r="165" spans="1:15" ht="22.95" customHeight="1" x14ac:dyDescent="0.3">
      <c r="A165" s="52" t="s">
        <v>73</v>
      </c>
      <c r="B165" s="44">
        <f t="shared" ref="B165:M165" si="65">B59+B60+B61+B62</f>
        <v>1104</v>
      </c>
      <c r="C165" s="39">
        <f t="shared" si="65"/>
        <v>524</v>
      </c>
      <c r="D165" s="39">
        <f t="shared" si="65"/>
        <v>69</v>
      </c>
      <c r="E165" s="39">
        <f t="shared" si="65"/>
        <v>31</v>
      </c>
      <c r="F165" s="39">
        <f t="shared" si="65"/>
        <v>290</v>
      </c>
      <c r="G165" s="50">
        <f t="shared" si="65"/>
        <v>2018</v>
      </c>
      <c r="H165" s="44">
        <f t="shared" si="65"/>
        <v>0</v>
      </c>
      <c r="I165" s="39">
        <f t="shared" si="65"/>
        <v>0</v>
      </c>
      <c r="J165" s="39">
        <f t="shared" si="65"/>
        <v>0</v>
      </c>
      <c r="K165" s="45">
        <f t="shared" si="65"/>
        <v>0</v>
      </c>
      <c r="L165" s="144">
        <f t="shared" si="65"/>
        <v>1</v>
      </c>
      <c r="M165" s="50">
        <f t="shared" si="65"/>
        <v>1</v>
      </c>
      <c r="N165" s="40">
        <f t="shared" si="14"/>
        <v>2019</v>
      </c>
      <c r="O165" s="43">
        <f t="shared" si="15"/>
        <v>2875.5</v>
      </c>
    </row>
    <row r="166" spans="1:15" ht="22.95" customHeight="1" x14ac:dyDescent="0.3">
      <c r="A166" s="52" t="s">
        <v>74</v>
      </c>
      <c r="B166" s="44">
        <f t="shared" ref="B166:M166" si="66">B60+B61+B62+B63</f>
        <v>1031</v>
      </c>
      <c r="C166" s="39">
        <f t="shared" si="66"/>
        <v>497</v>
      </c>
      <c r="D166" s="39">
        <f t="shared" si="66"/>
        <v>83</v>
      </c>
      <c r="E166" s="39">
        <f t="shared" si="66"/>
        <v>28</v>
      </c>
      <c r="F166" s="39">
        <f t="shared" si="66"/>
        <v>277</v>
      </c>
      <c r="G166" s="50">
        <f t="shared" si="66"/>
        <v>1916</v>
      </c>
      <c r="H166" s="44">
        <f t="shared" si="66"/>
        <v>0</v>
      </c>
      <c r="I166" s="39">
        <f t="shared" si="66"/>
        <v>0</v>
      </c>
      <c r="J166" s="39">
        <f t="shared" si="66"/>
        <v>0</v>
      </c>
      <c r="K166" s="45">
        <f t="shared" si="66"/>
        <v>0</v>
      </c>
      <c r="L166" s="144">
        <f t="shared" si="66"/>
        <v>0</v>
      </c>
      <c r="M166" s="50">
        <f t="shared" si="66"/>
        <v>0</v>
      </c>
      <c r="N166" s="40">
        <f t="shared" si="14"/>
        <v>1916</v>
      </c>
      <c r="O166" s="43">
        <f t="shared" si="15"/>
        <v>2734.5</v>
      </c>
    </row>
    <row r="167" spans="1:15" ht="22.95" customHeight="1" x14ac:dyDescent="0.3">
      <c r="A167" s="52" t="s">
        <v>262</v>
      </c>
      <c r="B167" s="44">
        <f t="shared" ref="B167:M167" si="67">B61+B62+B63+B64</f>
        <v>942</v>
      </c>
      <c r="C167" s="39">
        <f t="shared" si="67"/>
        <v>409</v>
      </c>
      <c r="D167" s="39">
        <f t="shared" si="67"/>
        <v>92</v>
      </c>
      <c r="E167" s="39">
        <f t="shared" si="67"/>
        <v>33</v>
      </c>
      <c r="F167" s="39">
        <f t="shared" si="67"/>
        <v>267</v>
      </c>
      <c r="G167" s="50">
        <f t="shared" si="67"/>
        <v>1743</v>
      </c>
      <c r="H167" s="44">
        <f t="shared" si="67"/>
        <v>0</v>
      </c>
      <c r="I167" s="39">
        <f t="shared" si="67"/>
        <v>0</v>
      </c>
      <c r="J167" s="39">
        <f t="shared" si="67"/>
        <v>0</v>
      </c>
      <c r="K167" s="45">
        <f t="shared" si="67"/>
        <v>0</v>
      </c>
      <c r="L167" s="144">
        <f t="shared" si="67"/>
        <v>0</v>
      </c>
      <c r="M167" s="50">
        <f t="shared" si="67"/>
        <v>0</v>
      </c>
      <c r="N167" s="40">
        <f t="shared" si="14"/>
        <v>1743</v>
      </c>
      <c r="O167" s="43">
        <f t="shared" si="15"/>
        <v>2585</v>
      </c>
    </row>
    <row r="168" spans="1:15" ht="22.95" customHeight="1" x14ac:dyDescent="0.3">
      <c r="A168" s="52" t="s">
        <v>263</v>
      </c>
      <c r="B168" s="44">
        <f t="shared" ref="B168:M168" si="68">B62+B63+B64+B65</f>
        <v>851</v>
      </c>
      <c r="C168" s="39">
        <f t="shared" si="68"/>
        <v>325</v>
      </c>
      <c r="D168" s="39">
        <f t="shared" si="68"/>
        <v>101</v>
      </c>
      <c r="E168" s="39">
        <f t="shared" si="68"/>
        <v>28</v>
      </c>
      <c r="F168" s="39">
        <f t="shared" si="68"/>
        <v>259</v>
      </c>
      <c r="G168" s="50">
        <f t="shared" si="68"/>
        <v>1564</v>
      </c>
      <c r="H168" s="44">
        <f t="shared" si="68"/>
        <v>0</v>
      </c>
      <c r="I168" s="39">
        <f t="shared" si="68"/>
        <v>0</v>
      </c>
      <c r="J168" s="39">
        <f t="shared" si="68"/>
        <v>0</v>
      </c>
      <c r="K168" s="45">
        <f t="shared" si="68"/>
        <v>0</v>
      </c>
      <c r="L168" s="144">
        <f t="shared" si="68"/>
        <v>0</v>
      </c>
      <c r="M168" s="50">
        <f t="shared" si="68"/>
        <v>0</v>
      </c>
      <c r="N168" s="40">
        <f t="shared" si="14"/>
        <v>1564</v>
      </c>
      <c r="O168" s="43">
        <f t="shared" si="15"/>
        <v>2414.5</v>
      </c>
    </row>
    <row r="169" spans="1:15" ht="22.95" customHeight="1" x14ac:dyDescent="0.3">
      <c r="A169" s="52" t="s">
        <v>264</v>
      </c>
      <c r="B169" s="44">
        <f t="shared" ref="B169:M169" si="69">B63+B64+B65+B66</f>
        <v>718</v>
      </c>
      <c r="C169" s="39">
        <f t="shared" si="69"/>
        <v>253</v>
      </c>
      <c r="D169" s="39">
        <f t="shared" si="69"/>
        <v>100</v>
      </c>
      <c r="E169" s="39">
        <f t="shared" si="69"/>
        <v>30</v>
      </c>
      <c r="F169" s="39">
        <f t="shared" si="69"/>
        <v>238</v>
      </c>
      <c r="G169" s="50">
        <f t="shared" si="69"/>
        <v>1339</v>
      </c>
      <c r="H169" s="44">
        <f t="shared" si="69"/>
        <v>0</v>
      </c>
      <c r="I169" s="39">
        <f t="shared" si="69"/>
        <v>0</v>
      </c>
      <c r="J169" s="39">
        <f t="shared" si="69"/>
        <v>0</v>
      </c>
      <c r="K169" s="45">
        <f t="shared" si="69"/>
        <v>0</v>
      </c>
      <c r="L169" s="144">
        <f t="shared" si="69"/>
        <v>0</v>
      </c>
      <c r="M169" s="50">
        <f t="shared" si="69"/>
        <v>0</v>
      </c>
      <c r="N169" s="40">
        <f t="shared" si="14"/>
        <v>1339</v>
      </c>
      <c r="O169" s="43">
        <f t="shared" si="15"/>
        <v>2155.5</v>
      </c>
    </row>
    <row r="170" spans="1:15" ht="22.95" customHeight="1" x14ac:dyDescent="0.3">
      <c r="A170" s="52" t="s">
        <v>265</v>
      </c>
      <c r="B170" s="44">
        <f t="shared" ref="B170:M170" si="70">B64+B65+B66+B67</f>
        <v>609</v>
      </c>
      <c r="C170" s="39">
        <f t="shared" si="70"/>
        <v>164</v>
      </c>
      <c r="D170" s="39">
        <f t="shared" si="70"/>
        <v>101</v>
      </c>
      <c r="E170" s="39">
        <f t="shared" si="70"/>
        <v>34</v>
      </c>
      <c r="F170" s="39">
        <f t="shared" si="70"/>
        <v>225</v>
      </c>
      <c r="G170" s="50">
        <f t="shared" si="70"/>
        <v>1133</v>
      </c>
      <c r="H170" s="44">
        <f t="shared" si="70"/>
        <v>0</v>
      </c>
      <c r="I170" s="39">
        <f t="shared" si="70"/>
        <v>0</v>
      </c>
      <c r="J170" s="39">
        <f t="shared" si="70"/>
        <v>0</v>
      </c>
      <c r="K170" s="45">
        <f t="shared" si="70"/>
        <v>0</v>
      </c>
      <c r="L170" s="144">
        <f t="shared" si="70"/>
        <v>0</v>
      </c>
      <c r="M170" s="50">
        <f t="shared" si="70"/>
        <v>0</v>
      </c>
      <c r="N170" s="40">
        <f t="shared" si="14"/>
        <v>1133</v>
      </c>
      <c r="O170" s="43">
        <f t="shared" si="15"/>
        <v>1957</v>
      </c>
    </row>
    <row r="171" spans="1:15" ht="22.95" customHeight="1" x14ac:dyDescent="0.3">
      <c r="A171" s="52" t="s">
        <v>266</v>
      </c>
      <c r="B171" s="44">
        <f t="shared" ref="B171:M171" si="71">B65+B66+B67+B68</f>
        <v>497</v>
      </c>
      <c r="C171" s="39">
        <f t="shared" si="71"/>
        <v>137</v>
      </c>
      <c r="D171" s="39">
        <f t="shared" si="71"/>
        <v>94</v>
      </c>
      <c r="E171" s="39">
        <f t="shared" si="71"/>
        <v>28</v>
      </c>
      <c r="F171" s="39">
        <f t="shared" si="71"/>
        <v>226</v>
      </c>
      <c r="G171" s="50">
        <f t="shared" si="71"/>
        <v>982</v>
      </c>
      <c r="H171" s="44">
        <f t="shared" si="71"/>
        <v>0</v>
      </c>
      <c r="I171" s="39">
        <f t="shared" si="71"/>
        <v>0</v>
      </c>
      <c r="J171" s="39">
        <f t="shared" si="71"/>
        <v>0</v>
      </c>
      <c r="K171" s="45">
        <f t="shared" si="71"/>
        <v>0</v>
      </c>
      <c r="L171" s="144">
        <f t="shared" si="71"/>
        <v>0</v>
      </c>
      <c r="M171" s="50">
        <f t="shared" si="71"/>
        <v>0</v>
      </c>
      <c r="N171" s="40">
        <f t="shared" si="14"/>
        <v>982</v>
      </c>
      <c r="O171" s="43">
        <f t="shared" si="15"/>
        <v>1807.5</v>
      </c>
    </row>
    <row r="172" spans="1:15" ht="22.95" customHeight="1" x14ac:dyDescent="0.3">
      <c r="A172" s="52" t="s">
        <v>267</v>
      </c>
      <c r="B172" s="44">
        <f t="shared" ref="B172:M172" si="72">B66+B67+B68+B69</f>
        <v>420</v>
      </c>
      <c r="C172" s="39">
        <f t="shared" si="72"/>
        <v>119</v>
      </c>
      <c r="D172" s="39">
        <f t="shared" si="72"/>
        <v>74</v>
      </c>
      <c r="E172" s="39">
        <f t="shared" si="72"/>
        <v>29</v>
      </c>
      <c r="F172" s="39">
        <f t="shared" si="72"/>
        <v>205</v>
      </c>
      <c r="G172" s="50">
        <f t="shared" si="72"/>
        <v>847</v>
      </c>
      <c r="H172" s="44">
        <f t="shared" si="72"/>
        <v>0</v>
      </c>
      <c r="I172" s="39">
        <f t="shared" si="72"/>
        <v>0</v>
      </c>
      <c r="J172" s="39">
        <f t="shared" si="72"/>
        <v>0</v>
      </c>
      <c r="K172" s="45">
        <f t="shared" si="72"/>
        <v>0</v>
      </c>
      <c r="L172" s="144">
        <f t="shared" si="72"/>
        <v>0</v>
      </c>
      <c r="M172" s="50">
        <f t="shared" si="72"/>
        <v>0</v>
      </c>
      <c r="N172" s="40">
        <f t="shared" si="14"/>
        <v>847</v>
      </c>
      <c r="O172" s="43">
        <f t="shared" si="15"/>
        <v>1600</v>
      </c>
    </row>
    <row r="173" spans="1:15" ht="22.95" customHeight="1" x14ac:dyDescent="0.3">
      <c r="A173" s="52" t="s">
        <v>268</v>
      </c>
      <c r="B173" s="44">
        <f t="shared" ref="B173:M173" si="73">B67+B68+B69+B70</f>
        <v>334</v>
      </c>
      <c r="C173" s="39">
        <f t="shared" si="73"/>
        <v>114</v>
      </c>
      <c r="D173" s="39">
        <f t="shared" si="73"/>
        <v>69</v>
      </c>
      <c r="E173" s="39">
        <f t="shared" si="73"/>
        <v>28</v>
      </c>
      <c r="F173" s="39">
        <f t="shared" si="73"/>
        <v>194</v>
      </c>
      <c r="G173" s="50">
        <f t="shared" si="73"/>
        <v>739</v>
      </c>
      <c r="H173" s="44">
        <f t="shared" si="73"/>
        <v>0</v>
      </c>
      <c r="I173" s="39">
        <f t="shared" si="73"/>
        <v>0</v>
      </c>
      <c r="J173" s="39">
        <f t="shared" si="73"/>
        <v>0</v>
      </c>
      <c r="K173" s="45">
        <f t="shared" si="73"/>
        <v>0</v>
      </c>
      <c r="L173" s="144">
        <f t="shared" si="73"/>
        <v>1</v>
      </c>
      <c r="M173" s="50">
        <f t="shared" si="73"/>
        <v>1</v>
      </c>
      <c r="N173" s="40">
        <f t="shared" si="14"/>
        <v>740</v>
      </c>
      <c r="O173" s="43">
        <f t="shared" si="15"/>
        <v>1459.5</v>
      </c>
    </row>
    <row r="174" spans="1:15" ht="22.95" customHeight="1" x14ac:dyDescent="0.3">
      <c r="A174" s="52" t="s">
        <v>269</v>
      </c>
      <c r="B174" s="44">
        <f t="shared" ref="B174:M174" si="74">B68+B69+B70+B71</f>
        <v>252</v>
      </c>
      <c r="C174" s="39">
        <f t="shared" si="74"/>
        <v>80</v>
      </c>
      <c r="D174" s="39">
        <f t="shared" si="74"/>
        <v>57</v>
      </c>
      <c r="E174" s="39">
        <f t="shared" si="74"/>
        <v>25</v>
      </c>
      <c r="F174" s="39">
        <f t="shared" si="74"/>
        <v>194</v>
      </c>
      <c r="G174" s="50">
        <f t="shared" si="74"/>
        <v>608</v>
      </c>
      <c r="H174" s="44">
        <f t="shared" si="74"/>
        <v>0</v>
      </c>
      <c r="I174" s="39">
        <f t="shared" si="74"/>
        <v>0</v>
      </c>
      <c r="J174" s="39">
        <f t="shared" si="74"/>
        <v>0</v>
      </c>
      <c r="K174" s="45">
        <f t="shared" si="74"/>
        <v>0</v>
      </c>
      <c r="L174" s="144">
        <f t="shared" si="74"/>
        <v>1</v>
      </c>
      <c r="M174" s="50">
        <f t="shared" si="74"/>
        <v>1</v>
      </c>
      <c r="N174" s="40">
        <f t="shared" si="14"/>
        <v>609</v>
      </c>
      <c r="O174" s="43">
        <f t="shared" si="15"/>
        <v>1333.5</v>
      </c>
    </row>
    <row r="175" spans="1:15" ht="22.95" customHeight="1" x14ac:dyDescent="0.3">
      <c r="A175" s="54" t="s">
        <v>241</v>
      </c>
      <c r="B175" s="44">
        <f t="shared" ref="B175:M175" si="75">B69+B70+B71+B72</f>
        <v>194</v>
      </c>
      <c r="C175" s="39">
        <f t="shared" si="75"/>
        <v>69</v>
      </c>
      <c r="D175" s="39">
        <f t="shared" si="75"/>
        <v>53</v>
      </c>
      <c r="E175" s="39">
        <f t="shared" si="75"/>
        <v>25</v>
      </c>
      <c r="F175" s="39">
        <f t="shared" si="75"/>
        <v>172</v>
      </c>
      <c r="G175" s="50">
        <f t="shared" si="75"/>
        <v>513</v>
      </c>
      <c r="H175" s="44">
        <f t="shared" si="75"/>
        <v>0</v>
      </c>
      <c r="I175" s="39">
        <f t="shared" si="75"/>
        <v>0</v>
      </c>
      <c r="J175" s="39">
        <f t="shared" si="75"/>
        <v>0</v>
      </c>
      <c r="K175" s="45">
        <f t="shared" si="75"/>
        <v>0</v>
      </c>
      <c r="L175" s="144">
        <f t="shared" si="75"/>
        <v>1</v>
      </c>
      <c r="M175" s="50">
        <f t="shared" si="75"/>
        <v>1</v>
      </c>
      <c r="N175" s="40">
        <f t="shared" si="14"/>
        <v>514</v>
      </c>
      <c r="O175" s="43">
        <f t="shared" si="15"/>
        <v>1165</v>
      </c>
    </row>
    <row r="176" spans="1:15" ht="22.95" customHeight="1" x14ac:dyDescent="0.3">
      <c r="A176" s="52" t="s">
        <v>242</v>
      </c>
      <c r="B176" s="44">
        <f t="shared" ref="B176:M176" si="76">B70+B71+B72+B73</f>
        <v>142</v>
      </c>
      <c r="C176" s="39">
        <f t="shared" si="76"/>
        <v>48</v>
      </c>
      <c r="D176" s="39">
        <f t="shared" si="76"/>
        <v>67</v>
      </c>
      <c r="E176" s="39">
        <f t="shared" si="76"/>
        <v>29</v>
      </c>
      <c r="F176" s="39">
        <f t="shared" si="76"/>
        <v>158</v>
      </c>
      <c r="G176" s="50">
        <f t="shared" si="76"/>
        <v>444</v>
      </c>
      <c r="H176" s="44">
        <f t="shared" si="76"/>
        <v>0</v>
      </c>
      <c r="I176" s="39">
        <f t="shared" si="76"/>
        <v>0</v>
      </c>
      <c r="J176" s="39">
        <f t="shared" si="76"/>
        <v>0</v>
      </c>
      <c r="K176" s="45">
        <f t="shared" si="76"/>
        <v>0</v>
      </c>
      <c r="L176" s="144">
        <f t="shared" si="76"/>
        <v>1</v>
      </c>
      <c r="M176" s="50">
        <f t="shared" si="76"/>
        <v>1</v>
      </c>
      <c r="N176" s="40">
        <f t="shared" si="14"/>
        <v>445</v>
      </c>
      <c r="O176" s="43">
        <f t="shared" si="15"/>
        <v>1072.5</v>
      </c>
    </row>
    <row r="177" spans="1:15" ht="22.95" customHeight="1" x14ac:dyDescent="0.3">
      <c r="A177" s="52" t="s">
        <v>243</v>
      </c>
      <c r="B177" s="44">
        <f t="shared" ref="B177:M177" si="77">B71+B72+B73+B74</f>
        <v>123</v>
      </c>
      <c r="C177" s="39">
        <f t="shared" si="77"/>
        <v>35</v>
      </c>
      <c r="D177" s="39">
        <f t="shared" si="77"/>
        <v>67</v>
      </c>
      <c r="E177" s="39">
        <f t="shared" si="77"/>
        <v>28</v>
      </c>
      <c r="F177" s="39">
        <f t="shared" si="77"/>
        <v>133</v>
      </c>
      <c r="G177" s="50">
        <f t="shared" si="77"/>
        <v>386</v>
      </c>
      <c r="H177" s="44">
        <f t="shared" si="77"/>
        <v>0</v>
      </c>
      <c r="I177" s="39">
        <f t="shared" si="77"/>
        <v>0</v>
      </c>
      <c r="J177" s="39">
        <f t="shared" si="77"/>
        <v>0</v>
      </c>
      <c r="K177" s="45">
        <f t="shared" si="77"/>
        <v>0</v>
      </c>
      <c r="L177" s="144">
        <f t="shared" si="77"/>
        <v>0</v>
      </c>
      <c r="M177" s="50">
        <f t="shared" si="77"/>
        <v>0</v>
      </c>
      <c r="N177" s="40">
        <f t="shared" si="14"/>
        <v>386</v>
      </c>
      <c r="O177" s="43">
        <f t="shared" si="15"/>
        <v>923.5</v>
      </c>
    </row>
    <row r="178" spans="1:15" ht="22.95" customHeight="1" x14ac:dyDescent="0.3">
      <c r="A178" s="52" t="s">
        <v>244</v>
      </c>
      <c r="B178" s="44">
        <f t="shared" ref="B178:M178" si="78">B72+B73+B74+B75</f>
        <v>119</v>
      </c>
      <c r="C178" s="39">
        <f t="shared" si="78"/>
        <v>31</v>
      </c>
      <c r="D178" s="39">
        <f t="shared" si="78"/>
        <v>69</v>
      </c>
      <c r="E178" s="39">
        <f t="shared" si="78"/>
        <v>26</v>
      </c>
      <c r="F178" s="39">
        <f t="shared" si="78"/>
        <v>130</v>
      </c>
      <c r="G178" s="50">
        <f t="shared" si="78"/>
        <v>375</v>
      </c>
      <c r="H178" s="44">
        <f t="shared" si="78"/>
        <v>0</v>
      </c>
      <c r="I178" s="39">
        <f t="shared" si="78"/>
        <v>0</v>
      </c>
      <c r="J178" s="39">
        <f t="shared" si="78"/>
        <v>0</v>
      </c>
      <c r="K178" s="45">
        <f t="shared" si="78"/>
        <v>0</v>
      </c>
      <c r="L178" s="144">
        <f t="shared" si="78"/>
        <v>0</v>
      </c>
      <c r="M178" s="50">
        <f t="shared" si="78"/>
        <v>0</v>
      </c>
      <c r="N178" s="40">
        <f t="shared" si="14"/>
        <v>375</v>
      </c>
      <c r="O178" s="43">
        <f t="shared" si="15"/>
        <v>901</v>
      </c>
    </row>
    <row r="179" spans="1:15" ht="22.95" customHeight="1" x14ac:dyDescent="0.3">
      <c r="A179" s="52" t="s">
        <v>245</v>
      </c>
      <c r="B179" s="44">
        <f t="shared" ref="B179:M179" si="79">B73+B74+B75+B76</f>
        <v>114</v>
      </c>
      <c r="C179" s="39">
        <f t="shared" si="79"/>
        <v>26</v>
      </c>
      <c r="D179" s="39">
        <f t="shared" si="79"/>
        <v>70</v>
      </c>
      <c r="E179" s="39">
        <f t="shared" si="79"/>
        <v>21</v>
      </c>
      <c r="F179" s="39">
        <f t="shared" si="79"/>
        <v>127</v>
      </c>
      <c r="G179" s="50">
        <f t="shared" si="79"/>
        <v>358</v>
      </c>
      <c r="H179" s="44">
        <f t="shared" si="79"/>
        <v>0</v>
      </c>
      <c r="I179" s="39">
        <f t="shared" si="79"/>
        <v>0</v>
      </c>
      <c r="J179" s="39">
        <f t="shared" si="79"/>
        <v>0</v>
      </c>
      <c r="K179" s="45">
        <f t="shared" si="79"/>
        <v>0</v>
      </c>
      <c r="L179" s="144">
        <f t="shared" si="79"/>
        <v>0</v>
      </c>
      <c r="M179" s="50">
        <f t="shared" si="79"/>
        <v>0</v>
      </c>
      <c r="N179" s="40">
        <f t="shared" ref="N179:N206" si="80">G179+M179</f>
        <v>358</v>
      </c>
      <c r="O179" s="43">
        <f t="shared" ref="O179:O206" si="81">B179*1+C179*0.5+D179*1.5+E179*3+F179*4.5+H179*0.5+I179*1.5+J179*3+K179*4+L179*8</f>
        <v>866.5</v>
      </c>
    </row>
    <row r="180" spans="1:15" ht="22.95" customHeight="1" x14ac:dyDescent="0.3">
      <c r="A180" s="52" t="s">
        <v>246</v>
      </c>
      <c r="B180" s="44">
        <f t="shared" ref="B180:M180" si="82">B74+B75+B76+B77</f>
        <v>107</v>
      </c>
      <c r="C180" s="39">
        <f t="shared" si="82"/>
        <v>27</v>
      </c>
      <c r="D180" s="39">
        <f t="shared" si="82"/>
        <v>64</v>
      </c>
      <c r="E180" s="39">
        <f t="shared" si="82"/>
        <v>15</v>
      </c>
      <c r="F180" s="39">
        <f t="shared" si="82"/>
        <v>134</v>
      </c>
      <c r="G180" s="50">
        <f t="shared" si="82"/>
        <v>347</v>
      </c>
      <c r="H180" s="44">
        <f t="shared" si="82"/>
        <v>0</v>
      </c>
      <c r="I180" s="39">
        <f t="shared" si="82"/>
        <v>0</v>
      </c>
      <c r="J180" s="39">
        <f t="shared" si="82"/>
        <v>0</v>
      </c>
      <c r="K180" s="45">
        <f t="shared" si="82"/>
        <v>0</v>
      </c>
      <c r="L180" s="144">
        <f t="shared" si="82"/>
        <v>0</v>
      </c>
      <c r="M180" s="50">
        <f t="shared" si="82"/>
        <v>0</v>
      </c>
      <c r="N180" s="40">
        <f t="shared" si="80"/>
        <v>347</v>
      </c>
      <c r="O180" s="43">
        <f t="shared" si="81"/>
        <v>864.5</v>
      </c>
    </row>
    <row r="181" spans="1:15" ht="22.95" customHeight="1" x14ac:dyDescent="0.3">
      <c r="A181" s="52" t="s">
        <v>247</v>
      </c>
      <c r="B181" s="44">
        <f t="shared" ref="B181:M181" si="83">B75+B76+B77+B78</f>
        <v>108</v>
      </c>
      <c r="C181" s="39">
        <f t="shared" si="83"/>
        <v>27</v>
      </c>
      <c r="D181" s="39">
        <f t="shared" si="83"/>
        <v>48</v>
      </c>
      <c r="E181" s="39">
        <f t="shared" si="83"/>
        <v>12</v>
      </c>
      <c r="F181" s="39">
        <f t="shared" si="83"/>
        <v>137</v>
      </c>
      <c r="G181" s="50">
        <f t="shared" si="83"/>
        <v>332</v>
      </c>
      <c r="H181" s="44">
        <f t="shared" si="83"/>
        <v>0</v>
      </c>
      <c r="I181" s="39">
        <f t="shared" si="83"/>
        <v>0</v>
      </c>
      <c r="J181" s="39">
        <f t="shared" si="83"/>
        <v>0</v>
      </c>
      <c r="K181" s="45">
        <f t="shared" si="83"/>
        <v>0</v>
      </c>
      <c r="L181" s="144">
        <f t="shared" si="83"/>
        <v>0</v>
      </c>
      <c r="M181" s="50">
        <f t="shared" si="83"/>
        <v>0</v>
      </c>
      <c r="N181" s="40">
        <f t="shared" si="80"/>
        <v>332</v>
      </c>
      <c r="O181" s="43">
        <f t="shared" si="81"/>
        <v>846</v>
      </c>
    </row>
    <row r="182" spans="1:15" ht="22.95" customHeight="1" x14ac:dyDescent="0.3">
      <c r="A182" s="52" t="s">
        <v>248</v>
      </c>
      <c r="B182" s="44">
        <f t="shared" ref="B182:M182" si="84">B76+B77+B78+B79</f>
        <v>102</v>
      </c>
      <c r="C182" s="39">
        <f t="shared" si="84"/>
        <v>25</v>
      </c>
      <c r="D182" s="39">
        <f t="shared" si="84"/>
        <v>39</v>
      </c>
      <c r="E182" s="39">
        <f t="shared" si="84"/>
        <v>13</v>
      </c>
      <c r="F182" s="39">
        <f t="shared" si="84"/>
        <v>135</v>
      </c>
      <c r="G182" s="50">
        <f t="shared" si="84"/>
        <v>314</v>
      </c>
      <c r="H182" s="44">
        <f t="shared" si="84"/>
        <v>0</v>
      </c>
      <c r="I182" s="39">
        <f t="shared" si="84"/>
        <v>0</v>
      </c>
      <c r="J182" s="39">
        <f t="shared" si="84"/>
        <v>0</v>
      </c>
      <c r="K182" s="45">
        <f t="shared" si="84"/>
        <v>0</v>
      </c>
      <c r="L182" s="144">
        <f t="shared" si="84"/>
        <v>0</v>
      </c>
      <c r="M182" s="50">
        <f t="shared" si="84"/>
        <v>0</v>
      </c>
      <c r="N182" s="40">
        <f t="shared" si="80"/>
        <v>314</v>
      </c>
      <c r="O182" s="43">
        <f t="shared" si="81"/>
        <v>819.5</v>
      </c>
    </row>
    <row r="183" spans="1:15" ht="22.95" customHeight="1" x14ac:dyDescent="0.3">
      <c r="A183" s="52" t="s">
        <v>249</v>
      </c>
      <c r="B183" s="44">
        <f t="shared" ref="B183:M183" si="85">B77+B78+B79+B80</f>
        <v>87</v>
      </c>
      <c r="C183" s="39">
        <f t="shared" si="85"/>
        <v>25</v>
      </c>
      <c r="D183" s="39">
        <f t="shared" si="85"/>
        <v>39</v>
      </c>
      <c r="E183" s="39">
        <f t="shared" si="85"/>
        <v>15</v>
      </c>
      <c r="F183" s="39">
        <f t="shared" si="85"/>
        <v>122</v>
      </c>
      <c r="G183" s="50">
        <f t="shared" si="85"/>
        <v>288</v>
      </c>
      <c r="H183" s="44">
        <f t="shared" si="85"/>
        <v>0</v>
      </c>
      <c r="I183" s="39">
        <f t="shared" si="85"/>
        <v>0</v>
      </c>
      <c r="J183" s="39">
        <f t="shared" si="85"/>
        <v>0</v>
      </c>
      <c r="K183" s="45">
        <f t="shared" si="85"/>
        <v>0</v>
      </c>
      <c r="L183" s="144">
        <f t="shared" si="85"/>
        <v>0</v>
      </c>
      <c r="M183" s="50">
        <f t="shared" si="85"/>
        <v>0</v>
      </c>
      <c r="N183" s="40">
        <f t="shared" si="80"/>
        <v>288</v>
      </c>
      <c r="O183" s="43">
        <f t="shared" si="81"/>
        <v>752</v>
      </c>
    </row>
    <row r="184" spans="1:15" ht="22.95" customHeight="1" x14ac:dyDescent="0.3">
      <c r="A184" s="52" t="s">
        <v>250</v>
      </c>
      <c r="B184" s="44">
        <f t="shared" ref="B184:M184" si="86">B78+B79+B80+B81</f>
        <v>80</v>
      </c>
      <c r="C184" s="39">
        <f t="shared" si="86"/>
        <v>21</v>
      </c>
      <c r="D184" s="39">
        <f t="shared" si="86"/>
        <v>36</v>
      </c>
      <c r="E184" s="39">
        <f t="shared" si="86"/>
        <v>15</v>
      </c>
      <c r="F184" s="39">
        <f t="shared" si="86"/>
        <v>106</v>
      </c>
      <c r="G184" s="50">
        <f t="shared" si="86"/>
        <v>258</v>
      </c>
      <c r="H184" s="44">
        <f t="shared" si="86"/>
        <v>0</v>
      </c>
      <c r="I184" s="39">
        <f t="shared" si="86"/>
        <v>0</v>
      </c>
      <c r="J184" s="39">
        <f t="shared" si="86"/>
        <v>0</v>
      </c>
      <c r="K184" s="45">
        <f t="shared" si="86"/>
        <v>0</v>
      </c>
      <c r="L184" s="144">
        <f t="shared" si="86"/>
        <v>0</v>
      </c>
      <c r="M184" s="50">
        <f t="shared" si="86"/>
        <v>0</v>
      </c>
      <c r="N184" s="40">
        <f t="shared" si="80"/>
        <v>258</v>
      </c>
      <c r="O184" s="43">
        <f t="shared" si="81"/>
        <v>666.5</v>
      </c>
    </row>
    <row r="185" spans="1:15" ht="22.95" customHeight="1" x14ac:dyDescent="0.3">
      <c r="A185" s="52" t="s">
        <v>251</v>
      </c>
      <c r="B185" s="44">
        <f t="shared" ref="B185:M185" si="87">B79+B80+B81+B82</f>
        <v>78</v>
      </c>
      <c r="C185" s="39">
        <f t="shared" si="87"/>
        <v>16</v>
      </c>
      <c r="D185" s="39">
        <f t="shared" si="87"/>
        <v>42</v>
      </c>
      <c r="E185" s="39">
        <f t="shared" si="87"/>
        <v>15</v>
      </c>
      <c r="F185" s="39">
        <f t="shared" si="87"/>
        <v>94</v>
      </c>
      <c r="G185" s="50">
        <f t="shared" si="87"/>
        <v>245</v>
      </c>
      <c r="H185" s="44">
        <f t="shared" si="87"/>
        <v>0</v>
      </c>
      <c r="I185" s="39">
        <f t="shared" si="87"/>
        <v>0</v>
      </c>
      <c r="J185" s="39">
        <f t="shared" si="87"/>
        <v>0</v>
      </c>
      <c r="K185" s="45">
        <f t="shared" si="87"/>
        <v>0</v>
      </c>
      <c r="L185" s="144">
        <f t="shared" si="87"/>
        <v>0</v>
      </c>
      <c r="M185" s="50">
        <f t="shared" si="87"/>
        <v>0</v>
      </c>
      <c r="N185" s="40">
        <f t="shared" si="80"/>
        <v>245</v>
      </c>
      <c r="O185" s="43">
        <f t="shared" si="81"/>
        <v>617</v>
      </c>
    </row>
    <row r="186" spans="1:15" ht="22.95" customHeight="1" x14ac:dyDescent="0.3">
      <c r="A186" s="52" t="s">
        <v>252</v>
      </c>
      <c r="B186" s="44">
        <f t="shared" ref="B186:M186" si="88">B80+B81+B82+B83</f>
        <v>82</v>
      </c>
      <c r="C186" s="39">
        <f t="shared" si="88"/>
        <v>17</v>
      </c>
      <c r="D186" s="39">
        <f t="shared" si="88"/>
        <v>56</v>
      </c>
      <c r="E186" s="39">
        <f t="shared" si="88"/>
        <v>12</v>
      </c>
      <c r="F186" s="39">
        <f t="shared" si="88"/>
        <v>70</v>
      </c>
      <c r="G186" s="50">
        <f t="shared" si="88"/>
        <v>237</v>
      </c>
      <c r="H186" s="44">
        <f t="shared" si="88"/>
        <v>0</v>
      </c>
      <c r="I186" s="39">
        <f t="shared" si="88"/>
        <v>0</v>
      </c>
      <c r="J186" s="39">
        <f t="shared" si="88"/>
        <v>0</v>
      </c>
      <c r="K186" s="45">
        <f t="shared" si="88"/>
        <v>0</v>
      </c>
      <c r="L186" s="144">
        <f t="shared" si="88"/>
        <v>0</v>
      </c>
      <c r="M186" s="50">
        <f t="shared" si="88"/>
        <v>0</v>
      </c>
      <c r="N186" s="40">
        <f t="shared" si="80"/>
        <v>237</v>
      </c>
      <c r="O186" s="43">
        <f t="shared" si="81"/>
        <v>525.5</v>
      </c>
    </row>
    <row r="187" spans="1:15" ht="22.95" customHeight="1" x14ac:dyDescent="0.3">
      <c r="A187" s="52" t="s">
        <v>253</v>
      </c>
      <c r="B187" s="44">
        <f t="shared" ref="B187:M187" si="89">B81+B82+B83+B84</f>
        <v>96</v>
      </c>
      <c r="C187" s="39">
        <f t="shared" si="89"/>
        <v>17</v>
      </c>
      <c r="D187" s="39">
        <f t="shared" si="89"/>
        <v>60</v>
      </c>
      <c r="E187" s="39">
        <f t="shared" si="89"/>
        <v>14</v>
      </c>
      <c r="F187" s="39">
        <f t="shared" si="89"/>
        <v>63</v>
      </c>
      <c r="G187" s="50">
        <f t="shared" si="89"/>
        <v>250</v>
      </c>
      <c r="H187" s="44">
        <f t="shared" si="89"/>
        <v>0</v>
      </c>
      <c r="I187" s="39">
        <f t="shared" si="89"/>
        <v>0</v>
      </c>
      <c r="J187" s="39">
        <f t="shared" si="89"/>
        <v>0</v>
      </c>
      <c r="K187" s="45">
        <f t="shared" si="89"/>
        <v>0</v>
      </c>
      <c r="L187" s="144">
        <f t="shared" si="89"/>
        <v>0</v>
      </c>
      <c r="M187" s="50">
        <f t="shared" si="89"/>
        <v>0</v>
      </c>
      <c r="N187" s="40">
        <f t="shared" si="80"/>
        <v>250</v>
      </c>
      <c r="O187" s="43">
        <f t="shared" si="81"/>
        <v>520</v>
      </c>
    </row>
    <row r="188" spans="1:15" ht="22.95" customHeight="1" x14ac:dyDescent="0.3">
      <c r="A188" s="52" t="s">
        <v>254</v>
      </c>
      <c r="B188" s="44">
        <f t="shared" ref="B188:M188" si="90">B82+B83+B84+B85</f>
        <v>93</v>
      </c>
      <c r="C188" s="39">
        <f t="shared" si="90"/>
        <v>23</v>
      </c>
      <c r="D188" s="39">
        <f t="shared" si="90"/>
        <v>68</v>
      </c>
      <c r="E188" s="39">
        <f t="shared" si="90"/>
        <v>18</v>
      </c>
      <c r="F188" s="39">
        <f t="shared" si="90"/>
        <v>62</v>
      </c>
      <c r="G188" s="50">
        <f t="shared" si="90"/>
        <v>264</v>
      </c>
      <c r="H188" s="44">
        <f t="shared" si="90"/>
        <v>0</v>
      </c>
      <c r="I188" s="39">
        <f t="shared" si="90"/>
        <v>0</v>
      </c>
      <c r="J188" s="39">
        <f t="shared" si="90"/>
        <v>0</v>
      </c>
      <c r="K188" s="45">
        <f t="shared" si="90"/>
        <v>0</v>
      </c>
      <c r="L188" s="144">
        <f t="shared" si="90"/>
        <v>0</v>
      </c>
      <c r="M188" s="50">
        <f t="shared" si="90"/>
        <v>0</v>
      </c>
      <c r="N188" s="40">
        <f t="shared" si="80"/>
        <v>264</v>
      </c>
      <c r="O188" s="43">
        <f t="shared" si="81"/>
        <v>539.5</v>
      </c>
    </row>
    <row r="189" spans="1:15" ht="22.95" customHeight="1" x14ac:dyDescent="0.3">
      <c r="A189" s="52" t="s">
        <v>255</v>
      </c>
      <c r="B189" s="44">
        <f t="shared" ref="B189:M189" si="91">B83+B84+B85+B86</f>
        <v>81</v>
      </c>
      <c r="C189" s="39">
        <f t="shared" si="91"/>
        <v>21</v>
      </c>
      <c r="D189" s="39">
        <f t="shared" si="91"/>
        <v>81</v>
      </c>
      <c r="E189" s="39">
        <f t="shared" si="91"/>
        <v>23</v>
      </c>
      <c r="F189" s="39">
        <f t="shared" si="91"/>
        <v>65</v>
      </c>
      <c r="G189" s="50">
        <f t="shared" si="91"/>
        <v>271</v>
      </c>
      <c r="H189" s="44">
        <f t="shared" si="91"/>
        <v>0</v>
      </c>
      <c r="I189" s="39">
        <f t="shared" si="91"/>
        <v>0</v>
      </c>
      <c r="J189" s="39">
        <f t="shared" si="91"/>
        <v>0</v>
      </c>
      <c r="K189" s="45">
        <f t="shared" si="91"/>
        <v>0</v>
      </c>
      <c r="L189" s="144">
        <f t="shared" si="91"/>
        <v>0</v>
      </c>
      <c r="M189" s="50">
        <f t="shared" si="91"/>
        <v>0</v>
      </c>
      <c r="N189" s="40">
        <f t="shared" si="80"/>
        <v>271</v>
      </c>
      <c r="O189" s="43">
        <f t="shared" si="81"/>
        <v>574.5</v>
      </c>
    </row>
    <row r="190" spans="1:15" ht="22.95" customHeight="1" x14ac:dyDescent="0.3">
      <c r="A190" s="52" t="s">
        <v>256</v>
      </c>
      <c r="B190" s="44">
        <f t="shared" ref="B190:M190" si="92">B84+B85+B86+B87</f>
        <v>68</v>
      </c>
      <c r="C190" s="39">
        <f t="shared" si="92"/>
        <v>24</v>
      </c>
      <c r="D190" s="39">
        <f t="shared" si="92"/>
        <v>73</v>
      </c>
      <c r="E190" s="39">
        <f t="shared" si="92"/>
        <v>28</v>
      </c>
      <c r="F190" s="39">
        <f t="shared" si="92"/>
        <v>71</v>
      </c>
      <c r="G190" s="50">
        <f t="shared" si="92"/>
        <v>264</v>
      </c>
      <c r="H190" s="44">
        <f t="shared" si="92"/>
        <v>0</v>
      </c>
      <c r="I190" s="39">
        <f t="shared" si="92"/>
        <v>0</v>
      </c>
      <c r="J190" s="39">
        <f t="shared" si="92"/>
        <v>0</v>
      </c>
      <c r="K190" s="45">
        <f t="shared" si="92"/>
        <v>0</v>
      </c>
      <c r="L190" s="144">
        <f t="shared" si="92"/>
        <v>0</v>
      </c>
      <c r="M190" s="50">
        <f t="shared" si="92"/>
        <v>0</v>
      </c>
      <c r="N190" s="40">
        <f t="shared" si="80"/>
        <v>264</v>
      </c>
      <c r="O190" s="43">
        <f t="shared" si="81"/>
        <v>593</v>
      </c>
    </row>
    <row r="191" spans="1:15" ht="22.95" customHeight="1" x14ac:dyDescent="0.3">
      <c r="A191" s="52" t="s">
        <v>257</v>
      </c>
      <c r="B191" s="44">
        <f t="shared" ref="B191:M191" si="93">B85+B86+B87+B88</f>
        <v>64</v>
      </c>
      <c r="C191" s="39">
        <f t="shared" si="93"/>
        <v>25</v>
      </c>
      <c r="D191" s="39">
        <f t="shared" si="93"/>
        <v>66</v>
      </c>
      <c r="E191" s="39">
        <f t="shared" si="93"/>
        <v>26</v>
      </c>
      <c r="F191" s="39">
        <f t="shared" si="93"/>
        <v>77</v>
      </c>
      <c r="G191" s="50">
        <f t="shared" si="93"/>
        <v>258</v>
      </c>
      <c r="H191" s="44">
        <f t="shared" si="93"/>
        <v>0</v>
      </c>
      <c r="I191" s="39">
        <f t="shared" si="93"/>
        <v>0</v>
      </c>
      <c r="J191" s="39">
        <f t="shared" si="93"/>
        <v>0</v>
      </c>
      <c r="K191" s="45">
        <f t="shared" si="93"/>
        <v>0</v>
      </c>
      <c r="L191" s="144">
        <f t="shared" si="93"/>
        <v>0</v>
      </c>
      <c r="M191" s="50">
        <f t="shared" si="93"/>
        <v>0</v>
      </c>
      <c r="N191" s="40">
        <f t="shared" si="80"/>
        <v>258</v>
      </c>
      <c r="O191" s="43">
        <f t="shared" si="81"/>
        <v>600</v>
      </c>
    </row>
    <row r="192" spans="1:15" ht="22.95" customHeight="1" x14ac:dyDescent="0.3">
      <c r="A192" s="52" t="s">
        <v>258</v>
      </c>
      <c r="B192" s="44">
        <f t="shared" ref="B192:M192" si="94">B86+B87+B88+B89</f>
        <v>65</v>
      </c>
      <c r="C192" s="39">
        <f t="shared" si="94"/>
        <v>24</v>
      </c>
      <c r="D192" s="39">
        <f t="shared" si="94"/>
        <v>61</v>
      </c>
      <c r="E192" s="39">
        <f t="shared" si="94"/>
        <v>25</v>
      </c>
      <c r="F192" s="39">
        <f t="shared" si="94"/>
        <v>78</v>
      </c>
      <c r="G192" s="50">
        <f t="shared" si="94"/>
        <v>253</v>
      </c>
      <c r="H192" s="44">
        <f t="shared" si="94"/>
        <v>0</v>
      </c>
      <c r="I192" s="39">
        <f t="shared" si="94"/>
        <v>0</v>
      </c>
      <c r="J192" s="39">
        <f t="shared" si="94"/>
        <v>0</v>
      </c>
      <c r="K192" s="45">
        <f t="shared" si="94"/>
        <v>0</v>
      </c>
      <c r="L192" s="144">
        <f t="shared" si="94"/>
        <v>0</v>
      </c>
      <c r="M192" s="50">
        <f t="shared" si="94"/>
        <v>0</v>
      </c>
      <c r="N192" s="40">
        <f t="shared" si="80"/>
        <v>253</v>
      </c>
      <c r="O192" s="43">
        <f t="shared" si="81"/>
        <v>594.5</v>
      </c>
    </row>
    <row r="193" spans="1:15" ht="22.95" customHeight="1" x14ac:dyDescent="0.3">
      <c r="A193" s="52" t="s">
        <v>259</v>
      </c>
      <c r="B193" s="44">
        <f t="shared" ref="B193:M193" si="95">B87+B88+B89+B90</f>
        <v>69</v>
      </c>
      <c r="C193" s="39">
        <f t="shared" si="95"/>
        <v>27</v>
      </c>
      <c r="D193" s="39">
        <f t="shared" si="95"/>
        <v>58</v>
      </c>
      <c r="E193" s="39">
        <f t="shared" si="95"/>
        <v>20</v>
      </c>
      <c r="F193" s="39">
        <f t="shared" si="95"/>
        <v>76</v>
      </c>
      <c r="G193" s="50">
        <f t="shared" si="95"/>
        <v>250</v>
      </c>
      <c r="H193" s="44">
        <f t="shared" si="95"/>
        <v>0</v>
      </c>
      <c r="I193" s="39">
        <f t="shared" si="95"/>
        <v>0</v>
      </c>
      <c r="J193" s="39">
        <f t="shared" si="95"/>
        <v>0</v>
      </c>
      <c r="K193" s="45">
        <f t="shared" si="95"/>
        <v>0</v>
      </c>
      <c r="L193" s="144">
        <f t="shared" si="95"/>
        <v>0</v>
      </c>
      <c r="M193" s="50">
        <f t="shared" si="95"/>
        <v>0</v>
      </c>
      <c r="N193" s="40">
        <f t="shared" si="80"/>
        <v>250</v>
      </c>
      <c r="O193" s="43">
        <f t="shared" si="81"/>
        <v>571.5</v>
      </c>
    </row>
    <row r="194" spans="1:15" ht="22.95" customHeight="1" x14ac:dyDescent="0.3">
      <c r="A194" s="52" t="s">
        <v>260</v>
      </c>
      <c r="B194" s="44">
        <f t="shared" ref="B194:M194" si="96">B88+B89+B90+B91</f>
        <v>74</v>
      </c>
      <c r="C194" s="39">
        <f t="shared" si="96"/>
        <v>24</v>
      </c>
      <c r="D194" s="39">
        <f t="shared" si="96"/>
        <v>58</v>
      </c>
      <c r="E194" s="39">
        <f t="shared" si="96"/>
        <v>18</v>
      </c>
      <c r="F194" s="39">
        <f t="shared" si="96"/>
        <v>71</v>
      </c>
      <c r="G194" s="50">
        <f t="shared" si="96"/>
        <v>245</v>
      </c>
      <c r="H194" s="44">
        <f t="shared" si="96"/>
        <v>0</v>
      </c>
      <c r="I194" s="39">
        <f t="shared" si="96"/>
        <v>0</v>
      </c>
      <c r="J194" s="39">
        <f t="shared" si="96"/>
        <v>0</v>
      </c>
      <c r="K194" s="45">
        <f t="shared" si="96"/>
        <v>0</v>
      </c>
      <c r="L194" s="144">
        <f t="shared" si="96"/>
        <v>0</v>
      </c>
      <c r="M194" s="50">
        <f t="shared" si="96"/>
        <v>0</v>
      </c>
      <c r="N194" s="40">
        <f t="shared" si="80"/>
        <v>245</v>
      </c>
      <c r="O194" s="43">
        <f t="shared" si="81"/>
        <v>546.5</v>
      </c>
    </row>
    <row r="195" spans="1:15" ht="22.95" customHeight="1" x14ac:dyDescent="0.3">
      <c r="A195" s="52" t="s">
        <v>261</v>
      </c>
      <c r="B195" s="44">
        <f t="shared" ref="B195:M195" si="97">B89+B90+B91+B92</f>
        <v>72</v>
      </c>
      <c r="C195" s="39">
        <f t="shared" si="97"/>
        <v>25</v>
      </c>
      <c r="D195" s="39">
        <f t="shared" si="97"/>
        <v>67</v>
      </c>
      <c r="E195" s="39">
        <f t="shared" si="97"/>
        <v>20</v>
      </c>
      <c r="F195" s="39">
        <f t="shared" si="97"/>
        <v>68</v>
      </c>
      <c r="G195" s="50">
        <f t="shared" si="97"/>
        <v>252</v>
      </c>
      <c r="H195" s="44">
        <f t="shared" si="97"/>
        <v>0</v>
      </c>
      <c r="I195" s="39">
        <f t="shared" si="97"/>
        <v>0</v>
      </c>
      <c r="J195" s="39">
        <f t="shared" si="97"/>
        <v>0</v>
      </c>
      <c r="K195" s="45">
        <f t="shared" si="97"/>
        <v>0</v>
      </c>
      <c r="L195" s="144">
        <f t="shared" si="97"/>
        <v>0</v>
      </c>
      <c r="M195" s="50">
        <f t="shared" si="97"/>
        <v>0</v>
      </c>
      <c r="N195" s="40">
        <f t="shared" si="80"/>
        <v>252</v>
      </c>
      <c r="O195" s="43">
        <f t="shared" si="81"/>
        <v>551</v>
      </c>
    </row>
    <row r="196" spans="1:15" ht="22.95" customHeight="1" x14ac:dyDescent="0.3">
      <c r="A196" s="52" t="s">
        <v>270</v>
      </c>
      <c r="B196" s="44">
        <f t="shared" ref="B196:M196" si="98">B90+B91+B92+B93</f>
        <v>84</v>
      </c>
      <c r="C196" s="39">
        <f t="shared" si="98"/>
        <v>30</v>
      </c>
      <c r="D196" s="39">
        <f t="shared" si="98"/>
        <v>76</v>
      </c>
      <c r="E196" s="39">
        <f t="shared" si="98"/>
        <v>23</v>
      </c>
      <c r="F196" s="39">
        <f t="shared" si="98"/>
        <v>81</v>
      </c>
      <c r="G196" s="50">
        <f t="shared" si="98"/>
        <v>294</v>
      </c>
      <c r="H196" s="44">
        <f t="shared" si="98"/>
        <v>0</v>
      </c>
      <c r="I196" s="39">
        <f t="shared" si="98"/>
        <v>0</v>
      </c>
      <c r="J196" s="39">
        <f t="shared" si="98"/>
        <v>0</v>
      </c>
      <c r="K196" s="45">
        <f t="shared" si="98"/>
        <v>0</v>
      </c>
      <c r="L196" s="144">
        <f t="shared" si="98"/>
        <v>0</v>
      </c>
      <c r="M196" s="50">
        <f t="shared" si="98"/>
        <v>0</v>
      </c>
      <c r="N196" s="40">
        <f t="shared" si="80"/>
        <v>294</v>
      </c>
      <c r="O196" s="43">
        <f t="shared" si="81"/>
        <v>646.5</v>
      </c>
    </row>
    <row r="197" spans="1:15" ht="22.95" customHeight="1" x14ac:dyDescent="0.3">
      <c r="A197" s="52" t="s">
        <v>271</v>
      </c>
      <c r="B197" s="44">
        <f t="shared" ref="B197:M197" si="99">B91+B92+B93+B94</f>
        <v>103</v>
      </c>
      <c r="C197" s="39">
        <f t="shared" si="99"/>
        <v>39</v>
      </c>
      <c r="D197" s="39">
        <f t="shared" si="99"/>
        <v>71</v>
      </c>
      <c r="E197" s="39">
        <f t="shared" si="99"/>
        <v>23</v>
      </c>
      <c r="F197" s="39">
        <f t="shared" si="99"/>
        <v>89</v>
      </c>
      <c r="G197" s="50">
        <f t="shared" si="99"/>
        <v>325</v>
      </c>
      <c r="H197" s="44">
        <f t="shared" si="99"/>
        <v>0</v>
      </c>
      <c r="I197" s="39">
        <f t="shared" si="99"/>
        <v>0</v>
      </c>
      <c r="J197" s="39">
        <f t="shared" si="99"/>
        <v>0</v>
      </c>
      <c r="K197" s="45">
        <f t="shared" si="99"/>
        <v>0</v>
      </c>
      <c r="L197" s="144">
        <f t="shared" si="99"/>
        <v>0</v>
      </c>
      <c r="M197" s="50">
        <f t="shared" si="99"/>
        <v>0</v>
      </c>
      <c r="N197" s="40">
        <f t="shared" si="80"/>
        <v>325</v>
      </c>
      <c r="O197" s="43">
        <f t="shared" si="81"/>
        <v>698.5</v>
      </c>
    </row>
    <row r="198" spans="1:15" ht="22.95" customHeight="1" x14ac:dyDescent="0.3">
      <c r="A198" s="52" t="s">
        <v>279</v>
      </c>
      <c r="B198" s="44">
        <f t="shared" ref="B198:M198" si="100">B92+B93+B94+B95</f>
        <v>130</v>
      </c>
      <c r="C198" s="39">
        <f t="shared" si="100"/>
        <v>44</v>
      </c>
      <c r="D198" s="39">
        <f t="shared" si="100"/>
        <v>72</v>
      </c>
      <c r="E198" s="39">
        <f t="shared" si="100"/>
        <v>20</v>
      </c>
      <c r="F198" s="39">
        <f t="shared" si="100"/>
        <v>100</v>
      </c>
      <c r="G198" s="50">
        <f t="shared" si="100"/>
        <v>366</v>
      </c>
      <c r="H198" s="44">
        <f t="shared" si="100"/>
        <v>0</v>
      </c>
      <c r="I198" s="39">
        <f t="shared" si="100"/>
        <v>0</v>
      </c>
      <c r="J198" s="39">
        <f t="shared" si="100"/>
        <v>0</v>
      </c>
      <c r="K198" s="45">
        <f t="shared" si="100"/>
        <v>0</v>
      </c>
      <c r="L198" s="144">
        <f t="shared" si="100"/>
        <v>0</v>
      </c>
      <c r="M198" s="50">
        <f t="shared" si="100"/>
        <v>0</v>
      </c>
      <c r="N198" s="40">
        <f t="shared" si="80"/>
        <v>366</v>
      </c>
      <c r="O198" s="43">
        <f t="shared" si="81"/>
        <v>770</v>
      </c>
    </row>
    <row r="199" spans="1:15" ht="22.95" customHeight="1" x14ac:dyDescent="0.3">
      <c r="A199" s="52" t="s">
        <v>62</v>
      </c>
      <c r="B199" s="44">
        <f t="shared" ref="B199:M199" si="101">B93+B94+B95+B96</f>
        <v>181</v>
      </c>
      <c r="C199" s="39">
        <f t="shared" si="101"/>
        <v>66</v>
      </c>
      <c r="D199" s="39">
        <f t="shared" si="101"/>
        <v>66</v>
      </c>
      <c r="E199" s="39">
        <f t="shared" si="101"/>
        <v>17</v>
      </c>
      <c r="F199" s="39">
        <f t="shared" si="101"/>
        <v>107</v>
      </c>
      <c r="G199" s="50">
        <f t="shared" si="101"/>
        <v>437</v>
      </c>
      <c r="H199" s="44">
        <f t="shared" si="101"/>
        <v>0</v>
      </c>
      <c r="I199" s="39">
        <f t="shared" si="101"/>
        <v>0</v>
      </c>
      <c r="J199" s="39">
        <f t="shared" si="101"/>
        <v>0</v>
      </c>
      <c r="K199" s="45">
        <f t="shared" si="101"/>
        <v>0</v>
      </c>
      <c r="L199" s="144">
        <f t="shared" si="101"/>
        <v>0</v>
      </c>
      <c r="M199" s="50">
        <f t="shared" si="101"/>
        <v>0</v>
      </c>
      <c r="N199" s="40">
        <f t="shared" si="80"/>
        <v>437</v>
      </c>
      <c r="O199" s="43">
        <f t="shared" si="81"/>
        <v>845.5</v>
      </c>
    </row>
    <row r="200" spans="1:15" ht="22.95" customHeight="1" x14ac:dyDescent="0.3">
      <c r="A200" s="52" t="s">
        <v>63</v>
      </c>
      <c r="B200" s="44">
        <f t="shared" ref="B200:M200" si="102">B94+B95+B96+B97</f>
        <v>240</v>
      </c>
      <c r="C200" s="39">
        <f t="shared" si="102"/>
        <v>91</v>
      </c>
      <c r="D200" s="39">
        <f t="shared" si="102"/>
        <v>50</v>
      </c>
      <c r="E200" s="39">
        <f t="shared" si="102"/>
        <v>16</v>
      </c>
      <c r="F200" s="39">
        <f t="shared" si="102"/>
        <v>92</v>
      </c>
      <c r="G200" s="50">
        <f t="shared" si="102"/>
        <v>489</v>
      </c>
      <c r="H200" s="44">
        <f t="shared" si="102"/>
        <v>0</v>
      </c>
      <c r="I200" s="39">
        <f t="shared" si="102"/>
        <v>0</v>
      </c>
      <c r="J200" s="39">
        <f t="shared" si="102"/>
        <v>0</v>
      </c>
      <c r="K200" s="45">
        <f t="shared" si="102"/>
        <v>0</v>
      </c>
      <c r="L200" s="144">
        <f t="shared" si="102"/>
        <v>0</v>
      </c>
      <c r="M200" s="50">
        <f t="shared" si="102"/>
        <v>0</v>
      </c>
      <c r="N200" s="40">
        <f t="shared" si="80"/>
        <v>489</v>
      </c>
      <c r="O200" s="43">
        <f t="shared" si="81"/>
        <v>822.5</v>
      </c>
    </row>
    <row r="201" spans="1:15" ht="22.95" customHeight="1" x14ac:dyDescent="0.3">
      <c r="A201" s="52" t="s">
        <v>64</v>
      </c>
      <c r="B201" s="44">
        <f t="shared" ref="B201:M201" si="103">B95+B96+B97+B98</f>
        <v>339</v>
      </c>
      <c r="C201" s="39">
        <f t="shared" si="103"/>
        <v>124</v>
      </c>
      <c r="D201" s="39">
        <f t="shared" si="103"/>
        <v>44</v>
      </c>
      <c r="E201" s="39">
        <f t="shared" si="103"/>
        <v>21</v>
      </c>
      <c r="F201" s="39">
        <f t="shared" si="103"/>
        <v>87</v>
      </c>
      <c r="G201" s="50">
        <f t="shared" si="103"/>
        <v>615</v>
      </c>
      <c r="H201" s="44">
        <f t="shared" si="103"/>
        <v>0</v>
      </c>
      <c r="I201" s="39">
        <f t="shared" si="103"/>
        <v>0</v>
      </c>
      <c r="J201" s="39">
        <f t="shared" si="103"/>
        <v>0</v>
      </c>
      <c r="K201" s="45">
        <f t="shared" si="103"/>
        <v>0</v>
      </c>
      <c r="L201" s="144">
        <f t="shared" si="103"/>
        <v>0</v>
      </c>
      <c r="M201" s="50">
        <f t="shared" si="103"/>
        <v>0</v>
      </c>
      <c r="N201" s="40">
        <f t="shared" si="80"/>
        <v>615</v>
      </c>
      <c r="O201" s="43">
        <f t="shared" si="81"/>
        <v>921.5</v>
      </c>
    </row>
    <row r="202" spans="1:15" ht="22.95" customHeight="1" x14ac:dyDescent="0.3">
      <c r="A202" s="52" t="s">
        <v>65</v>
      </c>
      <c r="B202" s="44">
        <f t="shared" ref="B202:M202" si="104">B96+B97+B98+B99</f>
        <v>438</v>
      </c>
      <c r="C202" s="39">
        <f t="shared" si="104"/>
        <v>161</v>
      </c>
      <c r="D202" s="39">
        <f t="shared" si="104"/>
        <v>42</v>
      </c>
      <c r="E202" s="39">
        <f t="shared" si="104"/>
        <v>27</v>
      </c>
      <c r="F202" s="39">
        <f t="shared" si="104"/>
        <v>78</v>
      </c>
      <c r="G202" s="50">
        <f t="shared" si="104"/>
        <v>746</v>
      </c>
      <c r="H202" s="44">
        <f t="shared" si="104"/>
        <v>0</v>
      </c>
      <c r="I202" s="39">
        <f t="shared" si="104"/>
        <v>0</v>
      </c>
      <c r="J202" s="39">
        <f t="shared" si="104"/>
        <v>0</v>
      </c>
      <c r="K202" s="45">
        <f t="shared" si="104"/>
        <v>0</v>
      </c>
      <c r="L202" s="144">
        <f t="shared" si="104"/>
        <v>0</v>
      </c>
      <c r="M202" s="50">
        <f t="shared" si="104"/>
        <v>0</v>
      </c>
      <c r="N202" s="40">
        <f t="shared" si="80"/>
        <v>746</v>
      </c>
      <c r="O202" s="43">
        <f t="shared" si="81"/>
        <v>1013.5</v>
      </c>
    </row>
    <row r="203" spans="1:15" ht="22.95" customHeight="1" x14ac:dyDescent="0.3">
      <c r="A203" s="52" t="s">
        <v>66</v>
      </c>
      <c r="B203" s="44">
        <f t="shared" ref="B203:M203" si="105">B97+B98+B99+B100</f>
        <v>557</v>
      </c>
      <c r="C203" s="39">
        <f t="shared" si="105"/>
        <v>179</v>
      </c>
      <c r="D203" s="39">
        <f t="shared" si="105"/>
        <v>42</v>
      </c>
      <c r="E203" s="39">
        <f t="shared" si="105"/>
        <v>39</v>
      </c>
      <c r="F203" s="39">
        <f t="shared" si="105"/>
        <v>81</v>
      </c>
      <c r="G203" s="50">
        <f t="shared" si="105"/>
        <v>898</v>
      </c>
      <c r="H203" s="44">
        <f t="shared" si="105"/>
        <v>1</v>
      </c>
      <c r="I203" s="39">
        <f t="shared" si="105"/>
        <v>0</v>
      </c>
      <c r="J203" s="39">
        <f t="shared" si="105"/>
        <v>0</v>
      </c>
      <c r="K203" s="45">
        <f t="shared" si="105"/>
        <v>0</v>
      </c>
      <c r="L203" s="144">
        <f t="shared" si="105"/>
        <v>5</v>
      </c>
      <c r="M203" s="50">
        <f t="shared" si="105"/>
        <v>6</v>
      </c>
      <c r="N203" s="40">
        <f t="shared" si="80"/>
        <v>904</v>
      </c>
      <c r="O203" s="43">
        <f t="shared" si="81"/>
        <v>1231.5</v>
      </c>
    </row>
    <row r="204" spans="1:15" ht="22.95" customHeight="1" x14ac:dyDescent="0.3">
      <c r="A204" s="52" t="s">
        <v>67</v>
      </c>
      <c r="B204" s="44">
        <f t="shared" ref="B204:M204" si="106">B98+B99+B100+B101</f>
        <v>694</v>
      </c>
      <c r="C204" s="39">
        <f t="shared" si="106"/>
        <v>216</v>
      </c>
      <c r="D204" s="39">
        <f t="shared" si="106"/>
        <v>55</v>
      </c>
      <c r="E204" s="39">
        <f t="shared" si="106"/>
        <v>47</v>
      </c>
      <c r="F204" s="39">
        <f t="shared" si="106"/>
        <v>93</v>
      </c>
      <c r="G204" s="50">
        <f t="shared" si="106"/>
        <v>1105</v>
      </c>
      <c r="H204" s="44">
        <f t="shared" si="106"/>
        <v>1</v>
      </c>
      <c r="I204" s="39">
        <f t="shared" si="106"/>
        <v>0</v>
      </c>
      <c r="J204" s="39">
        <f t="shared" si="106"/>
        <v>0</v>
      </c>
      <c r="K204" s="45">
        <f t="shared" si="106"/>
        <v>0</v>
      </c>
      <c r="L204" s="144">
        <f t="shared" si="106"/>
        <v>7</v>
      </c>
      <c r="M204" s="50">
        <f t="shared" si="106"/>
        <v>8</v>
      </c>
      <c r="N204" s="40">
        <f t="shared" si="80"/>
        <v>1113</v>
      </c>
      <c r="O204" s="43">
        <f t="shared" si="81"/>
        <v>1500.5</v>
      </c>
    </row>
    <row r="205" spans="1:15" ht="22.95" customHeight="1" x14ac:dyDescent="0.3">
      <c r="A205" s="52" t="s">
        <v>68</v>
      </c>
      <c r="B205" s="44">
        <f t="shared" ref="B205:M205" si="107">B99+B100+B101+B102</f>
        <v>808</v>
      </c>
      <c r="C205" s="39">
        <f t="shared" si="107"/>
        <v>259</v>
      </c>
      <c r="D205" s="39">
        <f t="shared" si="107"/>
        <v>55</v>
      </c>
      <c r="E205" s="39">
        <f t="shared" si="107"/>
        <v>53</v>
      </c>
      <c r="F205" s="39">
        <f t="shared" si="107"/>
        <v>90</v>
      </c>
      <c r="G205" s="50">
        <f t="shared" si="107"/>
        <v>1265</v>
      </c>
      <c r="H205" s="44">
        <f t="shared" si="107"/>
        <v>1</v>
      </c>
      <c r="I205" s="39">
        <f t="shared" si="107"/>
        <v>0</v>
      </c>
      <c r="J205" s="39">
        <f t="shared" si="107"/>
        <v>0</v>
      </c>
      <c r="K205" s="45">
        <f t="shared" si="107"/>
        <v>0</v>
      </c>
      <c r="L205" s="144">
        <f t="shared" si="107"/>
        <v>10</v>
      </c>
      <c r="M205" s="50">
        <f t="shared" si="107"/>
        <v>11</v>
      </c>
      <c r="N205" s="40">
        <f t="shared" si="80"/>
        <v>1276</v>
      </c>
      <c r="O205" s="43">
        <f t="shared" si="81"/>
        <v>1664.5</v>
      </c>
    </row>
    <row r="206" spans="1:15" ht="22.95" customHeight="1" thickBot="1" x14ac:dyDescent="0.35">
      <c r="A206" s="52" t="s">
        <v>69</v>
      </c>
      <c r="B206" s="46">
        <f t="shared" ref="B206:M206" si="108">B100+B101+B102+B103</f>
        <v>945</v>
      </c>
      <c r="C206" s="47">
        <f t="shared" si="108"/>
        <v>318</v>
      </c>
      <c r="D206" s="47">
        <f t="shared" si="108"/>
        <v>62</v>
      </c>
      <c r="E206" s="47">
        <f t="shared" si="108"/>
        <v>56</v>
      </c>
      <c r="F206" s="47">
        <f t="shared" si="108"/>
        <v>97</v>
      </c>
      <c r="G206" s="50">
        <f t="shared" si="108"/>
        <v>1478</v>
      </c>
      <c r="H206" s="44">
        <f t="shared" si="108"/>
        <v>1</v>
      </c>
      <c r="I206" s="39">
        <f t="shared" si="108"/>
        <v>0</v>
      </c>
      <c r="J206" s="39">
        <f t="shared" si="108"/>
        <v>0</v>
      </c>
      <c r="K206" s="45">
        <f t="shared" si="108"/>
        <v>0</v>
      </c>
      <c r="L206" s="145">
        <f t="shared" si="108"/>
        <v>12</v>
      </c>
      <c r="M206" s="50">
        <f t="shared" si="108"/>
        <v>13</v>
      </c>
      <c r="N206" s="40">
        <f t="shared" si="80"/>
        <v>1491</v>
      </c>
      <c r="O206" s="43">
        <f t="shared" si="81"/>
        <v>1898</v>
      </c>
    </row>
  </sheetData>
  <mergeCells count="31">
    <mergeCell ref="H112:H113"/>
    <mergeCell ref="K112:K113"/>
    <mergeCell ref="M112:M113"/>
    <mergeCell ref="N112:N113"/>
    <mergeCell ref="O112:O113"/>
    <mergeCell ref="I112:I113"/>
    <mergeCell ref="J112:J113"/>
    <mergeCell ref="L112:L113"/>
    <mergeCell ref="A1:J1"/>
    <mergeCell ref="I6:I7"/>
    <mergeCell ref="J6:J7"/>
    <mergeCell ref="A6:A7"/>
    <mergeCell ref="O6:O7"/>
    <mergeCell ref="K6:K7"/>
    <mergeCell ref="M6:M7"/>
    <mergeCell ref="N6:N7"/>
    <mergeCell ref="L6:L7"/>
    <mergeCell ref="H6:H7"/>
    <mergeCell ref="A112:A113"/>
    <mergeCell ref="C6:C7"/>
    <mergeCell ref="C112:C113"/>
    <mergeCell ref="G112:G113"/>
    <mergeCell ref="B6:B7"/>
    <mergeCell ref="B112:B113"/>
    <mergeCell ref="D6:D7"/>
    <mergeCell ref="G6:G7"/>
    <mergeCell ref="E6:E7"/>
    <mergeCell ref="F6:F7"/>
    <mergeCell ref="F112:F113"/>
    <mergeCell ref="D112:D113"/>
    <mergeCell ref="E112:E113"/>
  </mergeCells>
  <pageMargins left="0.7" right="0.7" top="0.75" bottom="0.75" header="0.3" footer="0.3"/>
  <pageSetup paperSize="9" scale="28" orientation="portrait" r:id="rId1"/>
  <rowBreaks count="1" manualBreakCount="1">
    <brk id="106" max="16383" man="1"/>
  </row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206"/>
  <sheetViews>
    <sheetView view="pageBreakPreview" topLeftCell="A106" zoomScale="60" zoomScaleNormal="70" workbookViewId="0">
      <selection activeCell="S103" sqref="S103"/>
    </sheetView>
  </sheetViews>
  <sheetFormatPr defaultColWidth="9" defaultRowHeight="15.6" x14ac:dyDescent="0.3"/>
  <cols>
    <col min="1" max="1" width="17.19921875" customWidth="1"/>
    <col min="2" max="7" width="11.69921875" customWidth="1"/>
    <col min="8" max="8" width="7.59765625" bestFit="1" customWidth="1"/>
    <col min="9" max="15" width="11.69921875" customWidth="1"/>
  </cols>
  <sheetData>
    <row r="1" spans="1:15" x14ac:dyDescent="0.3">
      <c r="A1" s="247" t="s">
        <v>99</v>
      </c>
      <c r="B1" s="247"/>
      <c r="C1" s="247"/>
      <c r="D1" s="247"/>
      <c r="E1" s="247"/>
      <c r="F1" s="247"/>
      <c r="G1" s="247"/>
      <c r="H1" s="33"/>
    </row>
    <row r="2" spans="1:15" s="4" customFormat="1" x14ac:dyDescent="0.3">
      <c r="A2" s="4" t="s">
        <v>103</v>
      </c>
      <c r="B2" s="4" t="str">
        <f>Summary!B2</f>
        <v>TMC-14 Number (D2)</v>
      </c>
    </row>
    <row r="3" spans="1:15" s="4" customFormat="1" x14ac:dyDescent="0.3">
      <c r="A3" s="4" t="s">
        <v>102</v>
      </c>
      <c r="B3" s="4" t="str">
        <f>Summary!B3</f>
        <v>D2</v>
      </c>
    </row>
    <row r="4" spans="1:15" s="4" customFormat="1" x14ac:dyDescent="0.3">
      <c r="A4" s="4" t="s">
        <v>104</v>
      </c>
      <c r="B4" s="4" t="s">
        <v>98</v>
      </c>
    </row>
    <row r="5" spans="1:15" ht="16.2" thickBot="1" x14ac:dyDescent="0.35"/>
    <row r="6" spans="1:15" ht="25.2" customHeight="1" x14ac:dyDescent="0.3">
      <c r="A6" s="252" t="s">
        <v>95</v>
      </c>
      <c r="B6" s="258" t="s">
        <v>280</v>
      </c>
      <c r="C6" s="254" t="s">
        <v>281</v>
      </c>
      <c r="D6" s="250" t="s">
        <v>282</v>
      </c>
      <c r="E6" s="260" t="s">
        <v>283</v>
      </c>
      <c r="F6" s="256" t="s">
        <v>284</v>
      </c>
      <c r="G6" s="250" t="s">
        <v>129</v>
      </c>
      <c r="H6" s="248" t="s">
        <v>150</v>
      </c>
      <c r="I6" s="250" t="s">
        <v>151</v>
      </c>
      <c r="J6" s="250" t="s">
        <v>285</v>
      </c>
      <c r="K6" s="248" t="s">
        <v>286</v>
      </c>
      <c r="L6" s="250" t="s">
        <v>287</v>
      </c>
      <c r="M6" s="250" t="s">
        <v>78</v>
      </c>
      <c r="N6" s="250" t="s">
        <v>131</v>
      </c>
      <c r="O6" s="250" t="s">
        <v>132</v>
      </c>
    </row>
    <row r="7" spans="1:15" ht="43.5" customHeight="1" thickBot="1" x14ac:dyDescent="0.35">
      <c r="A7" s="253"/>
      <c r="B7" s="259"/>
      <c r="C7" s="255"/>
      <c r="D7" s="251"/>
      <c r="E7" s="261"/>
      <c r="F7" s="257"/>
      <c r="G7" s="259"/>
      <c r="H7" s="249"/>
      <c r="I7" s="251"/>
      <c r="J7" s="251"/>
      <c r="K7" s="249"/>
      <c r="L7" s="251"/>
      <c r="M7" s="251"/>
      <c r="N7" s="251"/>
      <c r="O7" s="251"/>
    </row>
    <row r="8" spans="1:15" ht="22.5" customHeight="1" x14ac:dyDescent="0.3">
      <c r="A8" s="148" t="s">
        <v>177</v>
      </c>
      <c r="B8" s="112">
        <f>OUT_1!B8+OUT_2!B8+OUT_3!B8+OUT_4!B8</f>
        <v>867</v>
      </c>
      <c r="C8" s="113">
        <f>OUT_1!C8+OUT_2!C8+OUT_3!C8+OUT_4!C8</f>
        <v>733</v>
      </c>
      <c r="D8" s="113">
        <f>OUT_1!D8+OUT_2!D8+OUT_3!D8+OUT_4!D8</f>
        <v>54</v>
      </c>
      <c r="E8" s="113">
        <f>OUT_1!E8+OUT_2!E8+OUT_3!E8+OUT_4!E8</f>
        <v>52</v>
      </c>
      <c r="F8" s="151">
        <f>OUT_1!F8+OUT_2!F8+OUT_3!F8+OUT_4!F8</f>
        <v>90</v>
      </c>
      <c r="G8" s="79">
        <f t="shared" ref="G8:G39" si="0">SUM(B8:F8)</f>
        <v>1796</v>
      </c>
      <c r="H8" s="112">
        <f>OUT_1!H8+OUT_2!H8+OUT_3!H8+OUT_4!H8</f>
        <v>6</v>
      </c>
      <c r="I8" s="113">
        <f>OUT_1!I8+OUT_2!I8+OUT_3!I8+OUT_4!I8</f>
        <v>0</v>
      </c>
      <c r="J8" s="113">
        <f>OUT_1!J8+OUT_2!J8+OUT_3!J8+OUT_4!J8</f>
        <v>0</v>
      </c>
      <c r="K8" s="114">
        <f>OUT_1!K8+OUT_2!K8+OUT_3!K8+OUT_4!K8</f>
        <v>0</v>
      </c>
      <c r="L8" s="139">
        <f>OUT_1!L8+OUT_2!L8+OUT_3!L8+OUT_4!L8</f>
        <v>28</v>
      </c>
      <c r="M8" s="148">
        <f>SUM(H8:L8)</f>
        <v>34</v>
      </c>
      <c r="N8" s="43">
        <f>G8+M8</f>
        <v>1830</v>
      </c>
      <c r="O8" s="115">
        <f>B8*1+C8*0.5+D8*1.5+E8*3+F8*4.5+H8*0.5+I8*1.5+J8*3+K8*4+L8*8</f>
        <v>2102.5</v>
      </c>
    </row>
    <row r="9" spans="1:15" ht="22.5" customHeight="1" x14ac:dyDescent="0.3">
      <c r="A9" s="149" t="s">
        <v>178</v>
      </c>
      <c r="B9" s="44">
        <f>OUT_1!B9+OUT_2!B9+OUT_3!B9+OUT_4!B9</f>
        <v>888</v>
      </c>
      <c r="C9" s="39">
        <f>OUT_1!C9+OUT_2!C9+OUT_3!C9+OUT_4!C9</f>
        <v>826</v>
      </c>
      <c r="D9" s="39">
        <f>OUT_1!D9+OUT_2!D9+OUT_3!D9+OUT_4!D9</f>
        <v>64</v>
      </c>
      <c r="E9" s="39">
        <f>OUT_1!E9+OUT_2!E9+OUT_3!E9+OUT_4!E9</f>
        <v>46</v>
      </c>
      <c r="F9" s="152">
        <f>OUT_1!F9+OUT_2!F9+OUT_3!F9+OUT_4!F9</f>
        <v>79</v>
      </c>
      <c r="G9" s="154">
        <f t="shared" si="0"/>
        <v>1903</v>
      </c>
      <c r="H9" s="44">
        <f>OUT_1!H9+OUT_2!H9+OUT_3!H9+OUT_4!H9</f>
        <v>9</v>
      </c>
      <c r="I9" s="39">
        <f>OUT_1!I9+OUT_2!I9+OUT_3!I9+OUT_4!I9</f>
        <v>1</v>
      </c>
      <c r="J9" s="39">
        <f>OUT_1!J9+OUT_2!J9+OUT_3!J9+OUT_4!J9</f>
        <v>0</v>
      </c>
      <c r="K9" s="45">
        <f>OUT_1!K9+OUT_2!K9+OUT_3!K9+OUT_4!K9</f>
        <v>0</v>
      </c>
      <c r="L9" s="140">
        <f>OUT_1!L9+OUT_2!L9+OUT_3!L9+OUT_4!L9</f>
        <v>24</v>
      </c>
      <c r="M9" s="149">
        <f t="shared" ref="M9:M72" si="1">SUM(H9:L9)</f>
        <v>34</v>
      </c>
      <c r="N9" s="100">
        <f t="shared" ref="N9:N72" si="2">G9+M9</f>
        <v>1937</v>
      </c>
      <c r="O9" s="43">
        <f t="shared" ref="O9:O72" si="3">B9*1+C9*0.5+D9*1.5+E9*3+F9*4.5+H9*0.5+I9*1.5+J9*3+K9*4+L9*8</f>
        <v>2088.5</v>
      </c>
    </row>
    <row r="10" spans="1:15" ht="22.5" customHeight="1" x14ac:dyDescent="0.3">
      <c r="A10" s="149" t="s">
        <v>179</v>
      </c>
      <c r="B10" s="44">
        <f>OUT_1!B10+OUT_2!B10+OUT_3!B10+OUT_4!B10</f>
        <v>950</v>
      </c>
      <c r="C10" s="39">
        <f>OUT_1!C10+OUT_2!C10+OUT_3!C10+OUT_4!C10</f>
        <v>984</v>
      </c>
      <c r="D10" s="39">
        <f>OUT_1!D10+OUT_2!D10+OUT_3!D10+OUT_4!D10</f>
        <v>69</v>
      </c>
      <c r="E10" s="39">
        <f>OUT_1!E10+OUT_2!E10+OUT_3!E10+OUT_4!E10</f>
        <v>50</v>
      </c>
      <c r="F10" s="152">
        <f>OUT_1!F10+OUT_2!F10+OUT_3!F10+OUT_4!F10</f>
        <v>77</v>
      </c>
      <c r="G10" s="154">
        <f t="shared" si="0"/>
        <v>2130</v>
      </c>
      <c r="H10" s="44">
        <f>OUT_1!H10+OUT_2!H10+OUT_3!H10+OUT_4!H10</f>
        <v>7</v>
      </c>
      <c r="I10" s="39">
        <f>OUT_1!I10+OUT_2!I10+OUT_3!I10+OUT_4!I10</f>
        <v>0</v>
      </c>
      <c r="J10" s="39">
        <f>OUT_1!J10+OUT_2!J10+OUT_3!J10+OUT_4!J10</f>
        <v>0</v>
      </c>
      <c r="K10" s="45">
        <f>OUT_1!K10+OUT_2!K10+OUT_3!K10+OUT_4!K10</f>
        <v>0</v>
      </c>
      <c r="L10" s="140">
        <f>OUT_1!L10+OUT_2!L10+OUT_3!L10+OUT_4!L10</f>
        <v>24</v>
      </c>
      <c r="M10" s="149">
        <f t="shared" si="1"/>
        <v>31</v>
      </c>
      <c r="N10" s="100">
        <f t="shared" si="2"/>
        <v>2161</v>
      </c>
      <c r="O10" s="43">
        <f t="shared" si="3"/>
        <v>2237.5</v>
      </c>
    </row>
    <row r="11" spans="1:15" ht="22.5" customHeight="1" x14ac:dyDescent="0.3">
      <c r="A11" s="149" t="s">
        <v>180</v>
      </c>
      <c r="B11" s="44">
        <f>OUT_1!B11+OUT_2!B11+OUT_3!B11+OUT_4!B11</f>
        <v>1005</v>
      </c>
      <c r="C11" s="39">
        <f>OUT_1!C11+OUT_2!C11+OUT_3!C11+OUT_4!C11</f>
        <v>1055</v>
      </c>
      <c r="D11" s="39">
        <f>OUT_1!D11+OUT_2!D11+OUT_3!D11+OUT_4!D11</f>
        <v>54</v>
      </c>
      <c r="E11" s="39">
        <f>OUT_1!E11+OUT_2!E11+OUT_3!E11+OUT_4!E11</f>
        <v>37</v>
      </c>
      <c r="F11" s="152">
        <f>OUT_1!F11+OUT_2!F11+OUT_3!F11+OUT_4!F11</f>
        <v>68</v>
      </c>
      <c r="G11" s="154">
        <f t="shared" si="0"/>
        <v>2219</v>
      </c>
      <c r="H11" s="44">
        <f>OUT_1!H11+OUT_2!H11+OUT_3!H11+OUT_4!H11</f>
        <v>7</v>
      </c>
      <c r="I11" s="39">
        <f>OUT_1!I11+OUT_2!I11+OUT_3!I11+OUT_4!I11</f>
        <v>0</v>
      </c>
      <c r="J11" s="39">
        <f>OUT_1!J11+OUT_2!J11+OUT_3!J11+OUT_4!J11</f>
        <v>0</v>
      </c>
      <c r="K11" s="45">
        <f>OUT_1!K11+OUT_2!K11+OUT_3!K11+OUT_4!K11</f>
        <v>0</v>
      </c>
      <c r="L11" s="140">
        <f>OUT_1!L11+OUT_2!L11+OUT_3!L11+OUT_4!L11</f>
        <v>26</v>
      </c>
      <c r="M11" s="149">
        <f t="shared" si="1"/>
        <v>33</v>
      </c>
      <c r="N11" s="100">
        <f t="shared" si="2"/>
        <v>2252</v>
      </c>
      <c r="O11" s="43">
        <f t="shared" si="3"/>
        <v>2242</v>
      </c>
    </row>
    <row r="12" spans="1:15" ht="22.5" customHeight="1" x14ac:dyDescent="0.3">
      <c r="A12" s="149" t="s">
        <v>181</v>
      </c>
      <c r="B12" s="44">
        <f>OUT_1!B12+OUT_2!B12+OUT_3!B12+OUT_4!B12</f>
        <v>1106</v>
      </c>
      <c r="C12" s="39">
        <f>OUT_1!C12+OUT_2!C12+OUT_3!C12+OUT_4!C12</f>
        <v>1057</v>
      </c>
      <c r="D12" s="39">
        <f>OUT_1!D12+OUT_2!D12+OUT_3!D12+OUT_4!D12</f>
        <v>53</v>
      </c>
      <c r="E12" s="39">
        <f>OUT_1!E12+OUT_2!E12+OUT_3!E12+OUT_4!E12</f>
        <v>38</v>
      </c>
      <c r="F12" s="152">
        <f>OUT_1!F12+OUT_2!F12+OUT_3!F12+OUT_4!F12</f>
        <v>91</v>
      </c>
      <c r="G12" s="154">
        <f t="shared" si="0"/>
        <v>2345</v>
      </c>
      <c r="H12" s="44">
        <f>OUT_1!H12+OUT_2!H12+OUT_3!H12+OUT_4!H12</f>
        <v>7</v>
      </c>
      <c r="I12" s="39">
        <f>OUT_1!I12+OUT_2!I12+OUT_3!I12+OUT_4!I12</f>
        <v>0</v>
      </c>
      <c r="J12" s="39">
        <f>OUT_1!J12+OUT_2!J12+OUT_3!J12+OUT_4!J12</f>
        <v>0</v>
      </c>
      <c r="K12" s="45">
        <f>OUT_1!K12+OUT_2!K12+OUT_3!K12+OUT_4!K12</f>
        <v>0</v>
      </c>
      <c r="L12" s="140">
        <f>OUT_1!L12+OUT_2!L12+OUT_3!L12+OUT_4!L12</f>
        <v>37</v>
      </c>
      <c r="M12" s="149">
        <f t="shared" si="1"/>
        <v>44</v>
      </c>
      <c r="N12" s="100">
        <f t="shared" si="2"/>
        <v>2389</v>
      </c>
      <c r="O12" s="43">
        <f t="shared" si="3"/>
        <v>2537</v>
      </c>
    </row>
    <row r="13" spans="1:15" ht="22.5" customHeight="1" x14ac:dyDescent="0.3">
      <c r="A13" s="149" t="s">
        <v>182</v>
      </c>
      <c r="B13" s="44">
        <f>OUT_1!B13+OUT_2!B13+OUT_3!B13+OUT_4!B13</f>
        <v>1089</v>
      </c>
      <c r="C13" s="39">
        <f>OUT_1!C13+OUT_2!C13+OUT_3!C13+OUT_4!C13</f>
        <v>1061</v>
      </c>
      <c r="D13" s="39">
        <f>OUT_1!D13+OUT_2!D13+OUT_3!D13+OUT_4!D13</f>
        <v>52</v>
      </c>
      <c r="E13" s="39">
        <f>OUT_1!E13+OUT_2!E13+OUT_3!E13+OUT_4!E13</f>
        <v>35</v>
      </c>
      <c r="F13" s="152">
        <f>OUT_1!F13+OUT_2!F13+OUT_3!F13+OUT_4!F13</f>
        <v>48</v>
      </c>
      <c r="G13" s="154">
        <f t="shared" si="0"/>
        <v>2285</v>
      </c>
      <c r="H13" s="44">
        <f>OUT_1!H13+OUT_2!H13+OUT_3!H13+OUT_4!H13</f>
        <v>5</v>
      </c>
      <c r="I13" s="39">
        <f>OUT_1!I13+OUT_2!I13+OUT_3!I13+OUT_4!I13</f>
        <v>0</v>
      </c>
      <c r="J13" s="39">
        <f>OUT_1!J13+OUT_2!J13+OUT_3!J13+OUT_4!J13</f>
        <v>0</v>
      </c>
      <c r="K13" s="45">
        <f>OUT_1!K13+OUT_2!K13+OUT_3!K13+OUT_4!K13</f>
        <v>0</v>
      </c>
      <c r="L13" s="140">
        <f>OUT_1!L13+OUT_2!L13+OUT_3!L13+OUT_4!L13</f>
        <v>28</v>
      </c>
      <c r="M13" s="149">
        <f t="shared" si="1"/>
        <v>33</v>
      </c>
      <c r="N13" s="100">
        <f t="shared" si="2"/>
        <v>2318</v>
      </c>
      <c r="O13" s="43">
        <f t="shared" si="3"/>
        <v>2245</v>
      </c>
    </row>
    <row r="14" spans="1:15" ht="22.5" customHeight="1" x14ac:dyDescent="0.3">
      <c r="A14" s="149" t="s">
        <v>183</v>
      </c>
      <c r="B14" s="44">
        <f>OUT_1!B14+OUT_2!B14+OUT_3!B14+OUT_4!B14</f>
        <v>1272</v>
      </c>
      <c r="C14" s="39">
        <f>OUT_1!C14+OUT_2!C14+OUT_3!C14+OUT_4!C14</f>
        <v>1273</v>
      </c>
      <c r="D14" s="39">
        <f>OUT_1!D14+OUT_2!D14+OUT_3!D14+OUT_4!D14</f>
        <v>80</v>
      </c>
      <c r="E14" s="39">
        <f>OUT_1!E14+OUT_2!E14+OUT_3!E14+OUT_4!E14</f>
        <v>43</v>
      </c>
      <c r="F14" s="152">
        <f>OUT_1!F14+OUT_2!F14+OUT_3!F14+OUT_4!F14</f>
        <v>80</v>
      </c>
      <c r="G14" s="154">
        <f t="shared" si="0"/>
        <v>2748</v>
      </c>
      <c r="H14" s="44">
        <f>OUT_1!H14+OUT_2!H14+OUT_3!H14+OUT_4!H14</f>
        <v>5</v>
      </c>
      <c r="I14" s="39">
        <f>OUT_1!I14+OUT_2!I14+OUT_3!I14+OUT_4!I14</f>
        <v>0</v>
      </c>
      <c r="J14" s="39">
        <f>OUT_1!J14+OUT_2!J14+OUT_3!J14+OUT_4!J14</f>
        <v>0</v>
      </c>
      <c r="K14" s="45">
        <f>OUT_1!K14+OUT_2!K14+OUT_3!K14+OUT_4!K14</f>
        <v>0</v>
      </c>
      <c r="L14" s="140">
        <f>OUT_1!L14+OUT_2!L14+OUT_3!L14+OUT_4!L14</f>
        <v>31</v>
      </c>
      <c r="M14" s="149">
        <f t="shared" si="1"/>
        <v>36</v>
      </c>
      <c r="N14" s="100">
        <f t="shared" si="2"/>
        <v>2784</v>
      </c>
      <c r="O14" s="43">
        <f t="shared" si="3"/>
        <v>2768</v>
      </c>
    </row>
    <row r="15" spans="1:15" ht="22.5" customHeight="1" x14ac:dyDescent="0.3">
      <c r="A15" s="149" t="s">
        <v>184</v>
      </c>
      <c r="B15" s="44">
        <f>OUT_1!B15+OUT_2!B15+OUT_3!B15+OUT_4!B15</f>
        <v>1306</v>
      </c>
      <c r="C15" s="39">
        <f>OUT_1!C15+OUT_2!C15+OUT_3!C15+OUT_4!C15</f>
        <v>1023</v>
      </c>
      <c r="D15" s="39">
        <f>OUT_1!D15+OUT_2!D15+OUT_3!D15+OUT_4!D15</f>
        <v>84</v>
      </c>
      <c r="E15" s="39">
        <f>OUT_1!E15+OUT_2!E15+OUT_3!E15+OUT_4!E15</f>
        <v>51</v>
      </c>
      <c r="F15" s="152">
        <f>OUT_1!F15+OUT_2!F15+OUT_3!F15+OUT_4!F15</f>
        <v>64</v>
      </c>
      <c r="G15" s="154">
        <f t="shared" si="0"/>
        <v>2528</v>
      </c>
      <c r="H15" s="44">
        <f>OUT_1!H15+OUT_2!H15+OUT_3!H15+OUT_4!H15</f>
        <v>0</v>
      </c>
      <c r="I15" s="39">
        <f>OUT_1!I15+OUT_2!I15+OUT_3!I15+OUT_4!I15</f>
        <v>0</v>
      </c>
      <c r="J15" s="39">
        <f>OUT_1!J15+OUT_2!J15+OUT_3!J15+OUT_4!J15</f>
        <v>0</v>
      </c>
      <c r="K15" s="45">
        <f>OUT_1!K15+OUT_2!K15+OUT_3!K15+OUT_4!K15</f>
        <v>0</v>
      </c>
      <c r="L15" s="140">
        <f>OUT_1!L15+OUT_2!L15+OUT_3!L15+OUT_4!L15</f>
        <v>13</v>
      </c>
      <c r="M15" s="149">
        <f t="shared" si="1"/>
        <v>13</v>
      </c>
      <c r="N15" s="100">
        <f t="shared" si="2"/>
        <v>2541</v>
      </c>
      <c r="O15" s="43">
        <f t="shared" si="3"/>
        <v>2488.5</v>
      </c>
    </row>
    <row r="16" spans="1:15" ht="22.5" customHeight="1" x14ac:dyDescent="0.3">
      <c r="A16" s="149" t="s">
        <v>185</v>
      </c>
      <c r="B16" s="44">
        <f>OUT_1!B16+OUT_2!B16+OUT_3!B16+OUT_4!B16</f>
        <v>1267</v>
      </c>
      <c r="C16" s="39">
        <f>OUT_1!C16+OUT_2!C16+OUT_3!C16+OUT_4!C16</f>
        <v>1017</v>
      </c>
      <c r="D16" s="39">
        <f>OUT_1!D16+OUT_2!D16+OUT_3!D16+OUT_4!D16</f>
        <v>76</v>
      </c>
      <c r="E16" s="39">
        <f>OUT_1!E16+OUT_2!E16+OUT_3!E16+OUT_4!E16</f>
        <v>44</v>
      </c>
      <c r="F16" s="152">
        <f>OUT_1!F16+OUT_2!F16+OUT_3!F16+OUT_4!F16</f>
        <v>89</v>
      </c>
      <c r="G16" s="154">
        <f t="shared" si="0"/>
        <v>2493</v>
      </c>
      <c r="H16" s="44">
        <f>OUT_1!H16+OUT_2!H16+OUT_3!H16+OUT_4!H16</f>
        <v>5</v>
      </c>
      <c r="I16" s="39">
        <f>OUT_1!I16+OUT_2!I16+OUT_3!I16+OUT_4!I16</f>
        <v>0</v>
      </c>
      <c r="J16" s="39">
        <f>OUT_1!J16+OUT_2!J16+OUT_3!J16+OUT_4!J16</f>
        <v>0</v>
      </c>
      <c r="K16" s="45">
        <f>OUT_1!K16+OUT_2!K16+OUT_3!K16+OUT_4!K16</f>
        <v>0</v>
      </c>
      <c r="L16" s="140">
        <f>OUT_1!L16+OUT_2!L16+OUT_3!L16+OUT_4!L16</f>
        <v>20</v>
      </c>
      <c r="M16" s="149">
        <f t="shared" si="1"/>
        <v>25</v>
      </c>
      <c r="N16" s="100">
        <f t="shared" si="2"/>
        <v>2518</v>
      </c>
      <c r="O16" s="43">
        <f t="shared" si="3"/>
        <v>2584.5</v>
      </c>
    </row>
    <row r="17" spans="1:15" ht="22.5" customHeight="1" x14ac:dyDescent="0.3">
      <c r="A17" s="149" t="s">
        <v>186</v>
      </c>
      <c r="B17" s="44">
        <f>OUT_1!B17+OUT_2!B17+OUT_3!B17+OUT_4!B17</f>
        <v>1267</v>
      </c>
      <c r="C17" s="39">
        <f>OUT_1!C17+OUT_2!C17+OUT_3!C17+OUT_4!C17</f>
        <v>876</v>
      </c>
      <c r="D17" s="39">
        <f>OUT_1!D17+OUT_2!D17+OUT_3!D17+OUT_4!D17</f>
        <v>78</v>
      </c>
      <c r="E17" s="39">
        <f>OUT_1!E17+OUT_2!E17+OUT_3!E17+OUT_4!E17</f>
        <v>45</v>
      </c>
      <c r="F17" s="152">
        <f>OUT_1!F17+OUT_2!F17+OUT_3!F17+OUT_4!F17</f>
        <v>84</v>
      </c>
      <c r="G17" s="154">
        <f t="shared" si="0"/>
        <v>2350</v>
      </c>
      <c r="H17" s="44">
        <f>OUT_1!H17+OUT_2!H17+OUT_3!H17+OUT_4!H17</f>
        <v>0</v>
      </c>
      <c r="I17" s="39">
        <f>OUT_1!I17+OUT_2!I17+OUT_3!I17+OUT_4!I17</f>
        <v>0</v>
      </c>
      <c r="J17" s="39">
        <f>OUT_1!J17+OUT_2!J17+OUT_3!J17+OUT_4!J17</f>
        <v>0</v>
      </c>
      <c r="K17" s="45">
        <f>OUT_1!K17+OUT_2!K17+OUT_3!K17+OUT_4!K17</f>
        <v>0</v>
      </c>
      <c r="L17" s="140">
        <f>OUT_1!L17+OUT_2!L17+OUT_3!L17+OUT_4!L17</f>
        <v>14</v>
      </c>
      <c r="M17" s="149">
        <f t="shared" si="1"/>
        <v>14</v>
      </c>
      <c r="N17" s="100">
        <f t="shared" si="2"/>
        <v>2364</v>
      </c>
      <c r="O17" s="43">
        <f t="shared" si="3"/>
        <v>2447</v>
      </c>
    </row>
    <row r="18" spans="1:15" ht="22.5" customHeight="1" x14ac:dyDescent="0.3">
      <c r="A18" s="149" t="s">
        <v>187</v>
      </c>
      <c r="B18" s="44">
        <f>OUT_1!B18+OUT_2!B18+OUT_3!B18+OUT_4!B18</f>
        <v>1278</v>
      </c>
      <c r="C18" s="39">
        <f>OUT_1!C18+OUT_2!C18+OUT_3!C18+OUT_4!C18</f>
        <v>689</v>
      </c>
      <c r="D18" s="39">
        <f>OUT_1!D18+OUT_2!D18+OUT_3!D18+OUT_4!D18</f>
        <v>78</v>
      </c>
      <c r="E18" s="39">
        <f>OUT_1!E18+OUT_2!E18+OUT_3!E18+OUT_4!E18</f>
        <v>53</v>
      </c>
      <c r="F18" s="152">
        <f>OUT_1!F18+OUT_2!F18+OUT_3!F18+OUT_4!F18</f>
        <v>79</v>
      </c>
      <c r="G18" s="154">
        <f t="shared" si="0"/>
        <v>2177</v>
      </c>
      <c r="H18" s="44">
        <f>OUT_1!H18+OUT_2!H18+OUT_3!H18+OUT_4!H18</f>
        <v>1</v>
      </c>
      <c r="I18" s="39">
        <f>OUT_1!I18+OUT_2!I18+OUT_3!I18+OUT_4!I18</f>
        <v>0</v>
      </c>
      <c r="J18" s="39">
        <f>OUT_1!J18+OUT_2!J18+OUT_3!J18+OUT_4!J18</f>
        <v>0</v>
      </c>
      <c r="K18" s="45">
        <f>OUT_1!K18+OUT_2!K18+OUT_3!K18+OUT_4!K18</f>
        <v>0</v>
      </c>
      <c r="L18" s="140">
        <f>OUT_1!L18+OUT_2!L18+OUT_3!L18+OUT_4!L18</f>
        <v>14</v>
      </c>
      <c r="M18" s="149">
        <f t="shared" si="1"/>
        <v>15</v>
      </c>
      <c r="N18" s="100">
        <f t="shared" si="2"/>
        <v>2192</v>
      </c>
      <c r="O18" s="43">
        <f t="shared" si="3"/>
        <v>2366.5</v>
      </c>
    </row>
    <row r="19" spans="1:15" ht="22.5" customHeight="1" x14ac:dyDescent="0.3">
      <c r="A19" s="149" t="s">
        <v>188</v>
      </c>
      <c r="B19" s="44">
        <f>OUT_1!B19+OUT_2!B19+OUT_3!B19+OUT_4!B19</f>
        <v>1261</v>
      </c>
      <c r="C19" s="39">
        <f>OUT_1!C19+OUT_2!C19+OUT_3!C19+OUT_4!C19</f>
        <v>713</v>
      </c>
      <c r="D19" s="39">
        <f>OUT_1!D19+OUT_2!D19+OUT_3!D19+OUT_4!D19</f>
        <v>87</v>
      </c>
      <c r="E19" s="39">
        <f>OUT_1!E19+OUT_2!E19+OUT_3!E19+OUT_4!E19</f>
        <v>42</v>
      </c>
      <c r="F19" s="152">
        <f>OUT_1!F19+OUT_2!F19+OUT_3!F19+OUT_4!F19</f>
        <v>77</v>
      </c>
      <c r="G19" s="154">
        <f t="shared" si="0"/>
        <v>2180</v>
      </c>
      <c r="H19" s="44">
        <f>OUT_1!H19+OUT_2!H19+OUT_3!H19+OUT_4!H19</f>
        <v>0</v>
      </c>
      <c r="I19" s="39">
        <f>OUT_1!I19+OUT_2!I19+OUT_3!I19+OUT_4!I19</f>
        <v>0</v>
      </c>
      <c r="J19" s="39">
        <f>OUT_1!J19+OUT_2!J19+OUT_3!J19+OUT_4!J19</f>
        <v>0</v>
      </c>
      <c r="K19" s="45">
        <f>OUT_1!K19+OUT_2!K19+OUT_3!K19+OUT_4!K19</f>
        <v>0</v>
      </c>
      <c r="L19" s="140">
        <f>OUT_1!L19+OUT_2!L19+OUT_3!L19+OUT_4!L19</f>
        <v>17</v>
      </c>
      <c r="M19" s="149">
        <f t="shared" si="1"/>
        <v>17</v>
      </c>
      <c r="N19" s="100">
        <f t="shared" si="2"/>
        <v>2197</v>
      </c>
      <c r="O19" s="43">
        <f t="shared" si="3"/>
        <v>2356.5</v>
      </c>
    </row>
    <row r="20" spans="1:15" ht="22.5" customHeight="1" x14ac:dyDescent="0.3">
      <c r="A20" s="149" t="s">
        <v>189</v>
      </c>
      <c r="B20" s="44">
        <f>OUT_1!B20+OUT_2!B20+OUT_3!B20+OUT_4!B20</f>
        <v>1218</v>
      </c>
      <c r="C20" s="39">
        <f>OUT_1!C20+OUT_2!C20+OUT_3!C20+OUT_4!C20</f>
        <v>641</v>
      </c>
      <c r="D20" s="39">
        <f>OUT_1!D20+OUT_2!D20+OUT_3!D20+OUT_4!D20</f>
        <v>55</v>
      </c>
      <c r="E20" s="39">
        <f>OUT_1!E20+OUT_2!E20+OUT_3!E20+OUT_4!E20</f>
        <v>52</v>
      </c>
      <c r="F20" s="152">
        <f>OUT_1!F20+OUT_2!F20+OUT_3!F20+OUT_4!F20</f>
        <v>83</v>
      </c>
      <c r="G20" s="154">
        <f t="shared" si="0"/>
        <v>2049</v>
      </c>
      <c r="H20" s="44">
        <f>OUT_1!H20+OUT_2!H20+OUT_3!H20+OUT_4!H20</f>
        <v>0</v>
      </c>
      <c r="I20" s="39">
        <f>OUT_1!I20+OUT_2!I20+OUT_3!I20+OUT_4!I20</f>
        <v>0</v>
      </c>
      <c r="J20" s="39">
        <f>OUT_1!J20+OUT_2!J20+OUT_3!J20+OUT_4!J20</f>
        <v>0</v>
      </c>
      <c r="K20" s="45">
        <f>OUT_1!K20+OUT_2!K20+OUT_3!K20+OUT_4!K20</f>
        <v>0</v>
      </c>
      <c r="L20" s="140">
        <f>OUT_1!L20+OUT_2!L20+OUT_3!L20+OUT_4!L20</f>
        <v>15</v>
      </c>
      <c r="M20" s="149">
        <f t="shared" si="1"/>
        <v>15</v>
      </c>
      <c r="N20" s="100">
        <f t="shared" si="2"/>
        <v>2064</v>
      </c>
      <c r="O20" s="43">
        <f t="shared" si="3"/>
        <v>2270.5</v>
      </c>
    </row>
    <row r="21" spans="1:15" ht="22.5" customHeight="1" x14ac:dyDescent="0.3">
      <c r="A21" s="149" t="s">
        <v>190</v>
      </c>
      <c r="B21" s="44">
        <f>OUT_1!B21+OUT_2!B21+OUT_3!B21+OUT_4!B21</f>
        <v>1378</v>
      </c>
      <c r="C21" s="39">
        <f>OUT_1!C21+OUT_2!C21+OUT_3!C21+OUT_4!C21</f>
        <v>824</v>
      </c>
      <c r="D21" s="39">
        <f>OUT_1!D21+OUT_2!D21+OUT_3!D21+OUT_4!D21</f>
        <v>87</v>
      </c>
      <c r="E21" s="39">
        <f>OUT_1!E21+OUT_2!E21+OUT_3!E21+OUT_4!E21</f>
        <v>52</v>
      </c>
      <c r="F21" s="152">
        <f>OUT_1!F21+OUT_2!F21+OUT_3!F21+OUT_4!F21</f>
        <v>100</v>
      </c>
      <c r="G21" s="154">
        <f t="shared" si="0"/>
        <v>2441</v>
      </c>
      <c r="H21" s="44">
        <f>OUT_1!H21+OUT_2!H21+OUT_3!H21+OUT_4!H21</f>
        <v>2</v>
      </c>
      <c r="I21" s="39">
        <f>OUT_1!I21+OUT_2!I21+OUT_3!I21+OUT_4!I21</f>
        <v>0</v>
      </c>
      <c r="J21" s="39">
        <f>OUT_1!J21+OUT_2!J21+OUT_3!J21+OUT_4!J21</f>
        <v>0</v>
      </c>
      <c r="K21" s="45">
        <f>OUT_1!K21+OUT_2!K21+OUT_3!K21+OUT_4!K21</f>
        <v>0</v>
      </c>
      <c r="L21" s="140">
        <f>OUT_1!L21+OUT_2!L21+OUT_3!L21+OUT_4!L21</f>
        <v>17</v>
      </c>
      <c r="M21" s="149">
        <f t="shared" si="1"/>
        <v>19</v>
      </c>
      <c r="N21" s="100">
        <f t="shared" si="2"/>
        <v>2460</v>
      </c>
      <c r="O21" s="43">
        <f t="shared" si="3"/>
        <v>2663.5</v>
      </c>
    </row>
    <row r="22" spans="1:15" ht="22.5" customHeight="1" x14ac:dyDescent="0.3">
      <c r="A22" s="149" t="s">
        <v>191</v>
      </c>
      <c r="B22" s="44">
        <f>OUT_1!B22+OUT_2!B22+OUT_3!B22+OUT_4!B22</f>
        <v>1197</v>
      </c>
      <c r="C22" s="39">
        <f>OUT_1!C22+OUT_2!C22+OUT_3!C22+OUT_4!C22</f>
        <v>520</v>
      </c>
      <c r="D22" s="39">
        <f>OUT_1!D22+OUT_2!D22+OUT_3!D22+OUT_4!D22</f>
        <v>75</v>
      </c>
      <c r="E22" s="39">
        <f>OUT_1!E22+OUT_2!E22+OUT_3!E22+OUT_4!E22</f>
        <v>50</v>
      </c>
      <c r="F22" s="152">
        <f>OUT_1!F22+OUT_2!F22+OUT_3!F22+OUT_4!F22</f>
        <v>87</v>
      </c>
      <c r="G22" s="154">
        <f t="shared" si="0"/>
        <v>1929</v>
      </c>
      <c r="H22" s="44">
        <f>OUT_1!H22+OUT_2!H22+OUT_3!H22+OUT_4!H22</f>
        <v>0</v>
      </c>
      <c r="I22" s="39">
        <f>OUT_1!I22+OUT_2!I22+OUT_3!I22+OUT_4!I22</f>
        <v>1</v>
      </c>
      <c r="J22" s="39">
        <f>OUT_1!J22+OUT_2!J22+OUT_3!J22+OUT_4!J22</f>
        <v>0</v>
      </c>
      <c r="K22" s="45">
        <f>OUT_1!K22+OUT_2!K22+OUT_3!K22+OUT_4!K22</f>
        <v>0</v>
      </c>
      <c r="L22" s="140">
        <f>OUT_1!L22+OUT_2!L22+OUT_3!L22+OUT_4!L22</f>
        <v>14</v>
      </c>
      <c r="M22" s="149">
        <f t="shared" si="1"/>
        <v>15</v>
      </c>
      <c r="N22" s="100">
        <f t="shared" si="2"/>
        <v>1944</v>
      </c>
      <c r="O22" s="43">
        <f t="shared" si="3"/>
        <v>2224.5</v>
      </c>
    </row>
    <row r="23" spans="1:15" ht="22.5" customHeight="1" x14ac:dyDescent="0.3">
      <c r="A23" s="149" t="s">
        <v>192</v>
      </c>
      <c r="B23" s="44">
        <f>OUT_1!B23+OUT_2!B23+OUT_3!B23+OUT_4!B23</f>
        <v>1217</v>
      </c>
      <c r="C23" s="39">
        <f>OUT_1!C23+OUT_2!C23+OUT_3!C23+OUT_4!C23</f>
        <v>554</v>
      </c>
      <c r="D23" s="39">
        <f>OUT_1!D23+OUT_2!D23+OUT_3!D23+OUT_4!D23</f>
        <v>72</v>
      </c>
      <c r="E23" s="39">
        <f>OUT_1!E23+OUT_2!E23+OUT_3!E23+OUT_4!E23</f>
        <v>41</v>
      </c>
      <c r="F23" s="152">
        <f>OUT_1!F23+OUT_2!F23+OUT_3!F23+OUT_4!F23</f>
        <v>105</v>
      </c>
      <c r="G23" s="154">
        <f t="shared" si="0"/>
        <v>1989</v>
      </c>
      <c r="H23" s="44">
        <f>OUT_1!H23+OUT_2!H23+OUT_3!H23+OUT_4!H23</f>
        <v>2</v>
      </c>
      <c r="I23" s="39">
        <f>OUT_1!I23+OUT_2!I23+OUT_3!I23+OUT_4!I23</f>
        <v>0</v>
      </c>
      <c r="J23" s="39">
        <f>OUT_1!J23+OUT_2!J23+OUT_3!J23+OUT_4!J23</f>
        <v>0</v>
      </c>
      <c r="K23" s="45">
        <f>OUT_1!K23+OUT_2!K23+OUT_3!K23+OUT_4!K23</f>
        <v>0</v>
      </c>
      <c r="L23" s="140">
        <f>OUT_1!L23+OUT_2!L23+OUT_3!L23+OUT_4!L23</f>
        <v>16</v>
      </c>
      <c r="M23" s="149">
        <f t="shared" si="1"/>
        <v>18</v>
      </c>
      <c r="N23" s="100">
        <f t="shared" si="2"/>
        <v>2007</v>
      </c>
      <c r="O23" s="43">
        <f t="shared" si="3"/>
        <v>2326.5</v>
      </c>
    </row>
    <row r="24" spans="1:15" ht="22.5" customHeight="1" x14ac:dyDescent="0.3">
      <c r="A24" s="149" t="s">
        <v>193</v>
      </c>
      <c r="B24" s="44">
        <f>OUT_1!B24+OUT_2!B24+OUT_3!B24+OUT_4!B24</f>
        <v>1101</v>
      </c>
      <c r="C24" s="39">
        <f>OUT_1!C24+OUT_2!C24+OUT_3!C24+OUT_4!C24</f>
        <v>534</v>
      </c>
      <c r="D24" s="39">
        <f>OUT_1!D24+OUT_2!D24+OUT_3!D24+OUT_4!D24</f>
        <v>82</v>
      </c>
      <c r="E24" s="39">
        <f>OUT_1!E24+OUT_2!E24+OUT_3!E24+OUT_4!E24</f>
        <v>49</v>
      </c>
      <c r="F24" s="152">
        <f>OUT_1!F24+OUT_2!F24+OUT_3!F24+OUT_4!F24</f>
        <v>100</v>
      </c>
      <c r="G24" s="154">
        <f t="shared" si="0"/>
        <v>1866</v>
      </c>
      <c r="H24" s="44">
        <f>OUT_1!H24+OUT_2!H24+OUT_3!H24+OUT_4!H24</f>
        <v>0</v>
      </c>
      <c r="I24" s="39">
        <f>OUT_1!I24+OUT_2!I24+OUT_3!I24+OUT_4!I24</f>
        <v>0</v>
      </c>
      <c r="J24" s="39">
        <f>OUT_1!J24+OUT_2!J24+OUT_3!J24+OUT_4!J24</f>
        <v>0</v>
      </c>
      <c r="K24" s="45">
        <f>OUT_1!K24+OUT_2!K24+OUT_3!K24+OUT_4!K24</f>
        <v>0</v>
      </c>
      <c r="L24" s="140">
        <f>OUT_1!L24+OUT_2!L24+OUT_3!L24+OUT_4!L24</f>
        <v>7</v>
      </c>
      <c r="M24" s="149">
        <f t="shared" si="1"/>
        <v>7</v>
      </c>
      <c r="N24" s="100">
        <f t="shared" si="2"/>
        <v>1873</v>
      </c>
      <c r="O24" s="43">
        <f t="shared" si="3"/>
        <v>2144</v>
      </c>
    </row>
    <row r="25" spans="1:15" ht="22.5" customHeight="1" x14ac:dyDescent="0.3">
      <c r="A25" s="149" t="s">
        <v>194</v>
      </c>
      <c r="B25" s="44">
        <f>OUT_1!B25+OUT_2!B25+OUT_3!B25+OUT_4!B25</f>
        <v>1112</v>
      </c>
      <c r="C25" s="39">
        <f>OUT_1!C25+OUT_2!C25+OUT_3!C25+OUT_4!C25</f>
        <v>454</v>
      </c>
      <c r="D25" s="39">
        <f>OUT_1!D25+OUT_2!D25+OUT_3!D25+OUT_4!D25</f>
        <v>80</v>
      </c>
      <c r="E25" s="39">
        <f>OUT_1!E25+OUT_2!E25+OUT_3!E25+OUT_4!E25</f>
        <v>44</v>
      </c>
      <c r="F25" s="152">
        <f>OUT_1!F25+OUT_2!F25+OUT_3!F25+OUT_4!F25</f>
        <v>95</v>
      </c>
      <c r="G25" s="154">
        <f t="shared" si="0"/>
        <v>1785</v>
      </c>
      <c r="H25" s="44">
        <f>OUT_1!H25+OUT_2!H25+OUT_3!H25+OUT_4!H25</f>
        <v>0</v>
      </c>
      <c r="I25" s="39">
        <f>OUT_1!I25+OUT_2!I25+OUT_3!I25+OUT_4!I25</f>
        <v>0</v>
      </c>
      <c r="J25" s="39">
        <f>OUT_1!J25+OUT_2!J25+OUT_3!J25+OUT_4!J25</f>
        <v>0</v>
      </c>
      <c r="K25" s="45">
        <f>OUT_1!K25+OUT_2!K25+OUT_3!K25+OUT_4!K25</f>
        <v>0</v>
      </c>
      <c r="L25" s="140">
        <f>OUT_1!L25+OUT_2!L25+OUT_3!L25+OUT_4!L25</f>
        <v>8</v>
      </c>
      <c r="M25" s="149">
        <f t="shared" si="1"/>
        <v>8</v>
      </c>
      <c r="N25" s="100">
        <f t="shared" si="2"/>
        <v>1793</v>
      </c>
      <c r="O25" s="43">
        <f t="shared" si="3"/>
        <v>2082.5</v>
      </c>
    </row>
    <row r="26" spans="1:15" ht="22.5" customHeight="1" x14ac:dyDescent="0.3">
      <c r="A26" s="149" t="s">
        <v>195</v>
      </c>
      <c r="B26" s="44">
        <f>OUT_1!B26+OUT_2!B26+OUT_3!B26+OUT_4!B26</f>
        <v>1066</v>
      </c>
      <c r="C26" s="39">
        <f>OUT_1!C26+OUT_2!C26+OUT_3!C26+OUT_4!C26</f>
        <v>520</v>
      </c>
      <c r="D26" s="39">
        <f>OUT_1!D26+OUT_2!D26+OUT_3!D26+OUT_4!D26</f>
        <v>96</v>
      </c>
      <c r="E26" s="39">
        <f>OUT_1!E26+OUT_2!E26+OUT_3!E26+OUT_4!E26</f>
        <v>62</v>
      </c>
      <c r="F26" s="152">
        <f>OUT_1!F26+OUT_2!F26+OUT_3!F26+OUT_4!F26</f>
        <v>119</v>
      </c>
      <c r="G26" s="154">
        <f t="shared" si="0"/>
        <v>1863</v>
      </c>
      <c r="H26" s="44">
        <f>OUT_1!H26+OUT_2!H26+OUT_3!H26+OUT_4!H26</f>
        <v>0</v>
      </c>
      <c r="I26" s="39">
        <f>OUT_1!I26+OUT_2!I26+OUT_3!I26+OUT_4!I26</f>
        <v>0</v>
      </c>
      <c r="J26" s="39">
        <f>OUT_1!J26+OUT_2!J26+OUT_3!J26+OUT_4!J26</f>
        <v>1</v>
      </c>
      <c r="K26" s="45">
        <f>OUT_1!K26+OUT_2!K26+OUT_3!K26+OUT_4!K26</f>
        <v>0</v>
      </c>
      <c r="L26" s="140">
        <f>OUT_1!L26+OUT_2!L26+OUT_3!L26+OUT_4!L26</f>
        <v>10</v>
      </c>
      <c r="M26" s="149">
        <f t="shared" si="1"/>
        <v>11</v>
      </c>
      <c r="N26" s="100">
        <f t="shared" si="2"/>
        <v>1874</v>
      </c>
      <c r="O26" s="43">
        <f t="shared" si="3"/>
        <v>2274.5</v>
      </c>
    </row>
    <row r="27" spans="1:15" ht="22.5" customHeight="1" x14ac:dyDescent="0.3">
      <c r="A27" s="149" t="s">
        <v>196</v>
      </c>
      <c r="B27" s="44">
        <f>OUT_1!B27+OUT_2!B27+OUT_3!B27+OUT_4!B27</f>
        <v>998</v>
      </c>
      <c r="C27" s="39">
        <f>OUT_1!C27+OUT_2!C27+OUT_3!C27+OUT_4!C27</f>
        <v>497</v>
      </c>
      <c r="D27" s="39">
        <f>OUT_1!D27+OUT_2!D27+OUT_3!D27+OUT_4!D27</f>
        <v>91</v>
      </c>
      <c r="E27" s="39">
        <f>OUT_1!E27+OUT_2!E27+OUT_3!E27+OUT_4!E27</f>
        <v>46</v>
      </c>
      <c r="F27" s="152">
        <f>OUT_1!F27+OUT_2!F27+OUT_3!F27+OUT_4!F27</f>
        <v>104</v>
      </c>
      <c r="G27" s="154">
        <f t="shared" si="0"/>
        <v>1736</v>
      </c>
      <c r="H27" s="44">
        <f>OUT_1!H27+OUT_2!H27+OUT_3!H27+OUT_4!H27</f>
        <v>0</v>
      </c>
      <c r="I27" s="39">
        <f>OUT_1!I27+OUT_2!I27+OUT_3!I27+OUT_4!I27</f>
        <v>0</v>
      </c>
      <c r="J27" s="39">
        <f>OUT_1!J27+OUT_2!J27+OUT_3!J27+OUT_4!J27</f>
        <v>0</v>
      </c>
      <c r="K27" s="45">
        <f>OUT_1!K27+OUT_2!K27+OUT_3!K27+OUT_4!K27</f>
        <v>0</v>
      </c>
      <c r="L27" s="140">
        <f>OUT_1!L27+OUT_2!L27+OUT_3!L27+OUT_4!L27</f>
        <v>7</v>
      </c>
      <c r="M27" s="149">
        <f t="shared" si="1"/>
        <v>7</v>
      </c>
      <c r="N27" s="100">
        <f t="shared" si="2"/>
        <v>1743</v>
      </c>
      <c r="O27" s="43">
        <f t="shared" si="3"/>
        <v>2045</v>
      </c>
    </row>
    <row r="28" spans="1:15" ht="22.5" customHeight="1" x14ac:dyDescent="0.3">
      <c r="A28" s="149" t="s">
        <v>197</v>
      </c>
      <c r="B28" s="44">
        <f>OUT_1!B28+OUT_2!B28+OUT_3!B28+OUT_4!B28</f>
        <v>1066</v>
      </c>
      <c r="C28" s="39">
        <f>OUT_1!C28+OUT_2!C28+OUT_3!C28+OUT_4!C28</f>
        <v>522</v>
      </c>
      <c r="D28" s="39">
        <f>OUT_1!D28+OUT_2!D28+OUT_3!D28+OUT_4!D28</f>
        <v>89</v>
      </c>
      <c r="E28" s="39">
        <f>OUT_1!E28+OUT_2!E28+OUT_3!E28+OUT_4!E28</f>
        <v>61</v>
      </c>
      <c r="F28" s="152">
        <f>OUT_1!F28+OUT_2!F28+OUT_3!F28+OUT_4!F28</f>
        <v>108</v>
      </c>
      <c r="G28" s="154">
        <f t="shared" si="0"/>
        <v>1846</v>
      </c>
      <c r="H28" s="44">
        <f>OUT_1!H28+OUT_2!H28+OUT_3!H28+OUT_4!H28</f>
        <v>0</v>
      </c>
      <c r="I28" s="39">
        <f>OUT_1!I28+OUT_2!I28+OUT_3!I28+OUT_4!I28</f>
        <v>0</v>
      </c>
      <c r="J28" s="39">
        <f>OUT_1!J28+OUT_2!J28+OUT_3!J28+OUT_4!J28</f>
        <v>1</v>
      </c>
      <c r="K28" s="45">
        <f>OUT_1!K28+OUT_2!K28+OUT_3!K28+OUT_4!K28</f>
        <v>0</v>
      </c>
      <c r="L28" s="140">
        <f>OUT_1!L28+OUT_2!L28+OUT_3!L28+OUT_4!L28</f>
        <v>4</v>
      </c>
      <c r="M28" s="149">
        <f t="shared" si="1"/>
        <v>5</v>
      </c>
      <c r="N28" s="100">
        <f t="shared" si="2"/>
        <v>1851</v>
      </c>
      <c r="O28" s="43">
        <f t="shared" si="3"/>
        <v>2164.5</v>
      </c>
    </row>
    <row r="29" spans="1:15" ht="22.5" customHeight="1" x14ac:dyDescent="0.3">
      <c r="A29" s="149" t="s">
        <v>198</v>
      </c>
      <c r="B29" s="44">
        <f>OUT_1!B29+OUT_2!B29+OUT_3!B29+OUT_4!B29</f>
        <v>1083</v>
      </c>
      <c r="C29" s="39">
        <f>OUT_1!C29+OUT_2!C29+OUT_3!C29+OUT_4!C29</f>
        <v>503</v>
      </c>
      <c r="D29" s="39">
        <f>OUT_1!D29+OUT_2!D29+OUT_3!D29+OUT_4!D29</f>
        <v>86</v>
      </c>
      <c r="E29" s="39">
        <f>OUT_1!E29+OUT_2!E29+OUT_3!E29+OUT_4!E29</f>
        <v>40</v>
      </c>
      <c r="F29" s="152">
        <f>OUT_1!F29+OUT_2!F29+OUT_3!F29+OUT_4!F29</f>
        <v>98</v>
      </c>
      <c r="G29" s="154">
        <f t="shared" si="0"/>
        <v>1810</v>
      </c>
      <c r="H29" s="44">
        <f>OUT_1!H29+OUT_2!H29+OUT_3!H29+OUT_4!H29</f>
        <v>2</v>
      </c>
      <c r="I29" s="39">
        <f>OUT_1!I29+OUT_2!I29+OUT_3!I29+OUT_4!I29</f>
        <v>0</v>
      </c>
      <c r="J29" s="39">
        <f>OUT_1!J29+OUT_2!J29+OUT_3!J29+OUT_4!J29</f>
        <v>0</v>
      </c>
      <c r="K29" s="45">
        <f>OUT_1!K29+OUT_2!K29+OUT_3!K29+OUT_4!K29</f>
        <v>0</v>
      </c>
      <c r="L29" s="140">
        <f>OUT_1!L29+OUT_2!L29+OUT_3!L29+OUT_4!L29</f>
        <v>1</v>
      </c>
      <c r="M29" s="149">
        <f t="shared" si="1"/>
        <v>3</v>
      </c>
      <c r="N29" s="100">
        <f t="shared" si="2"/>
        <v>1813</v>
      </c>
      <c r="O29" s="43">
        <f t="shared" si="3"/>
        <v>2033.5</v>
      </c>
    </row>
    <row r="30" spans="1:15" ht="22.5" customHeight="1" x14ac:dyDescent="0.3">
      <c r="A30" s="149" t="s">
        <v>199</v>
      </c>
      <c r="B30" s="44">
        <f>OUT_1!B30+OUT_2!B30+OUT_3!B30+OUT_4!B30</f>
        <v>1086</v>
      </c>
      <c r="C30" s="39">
        <f>OUT_1!C30+OUT_2!C30+OUT_3!C30+OUT_4!C30</f>
        <v>568</v>
      </c>
      <c r="D30" s="39">
        <f>OUT_1!D30+OUT_2!D30+OUT_3!D30+OUT_4!D30</f>
        <v>105</v>
      </c>
      <c r="E30" s="39">
        <f>OUT_1!E30+OUT_2!E30+OUT_3!E30+OUT_4!E30</f>
        <v>42</v>
      </c>
      <c r="F30" s="152">
        <f>OUT_1!F30+OUT_2!F30+OUT_3!F30+OUT_4!F30</f>
        <v>90</v>
      </c>
      <c r="G30" s="154">
        <f t="shared" si="0"/>
        <v>1891</v>
      </c>
      <c r="H30" s="44">
        <f>OUT_1!H30+OUT_2!H30+OUT_3!H30+OUT_4!H30</f>
        <v>2</v>
      </c>
      <c r="I30" s="39">
        <f>OUT_1!I30+OUT_2!I30+OUT_3!I30+OUT_4!I30</f>
        <v>0</v>
      </c>
      <c r="J30" s="39">
        <f>OUT_1!J30+OUT_2!J30+OUT_3!J30+OUT_4!J30</f>
        <v>0</v>
      </c>
      <c r="K30" s="45">
        <f>OUT_1!K30+OUT_2!K30+OUT_3!K30+OUT_4!K30</f>
        <v>0</v>
      </c>
      <c r="L30" s="140">
        <f>OUT_1!L30+OUT_2!L30+OUT_3!L30+OUT_4!L30</f>
        <v>7</v>
      </c>
      <c r="M30" s="149">
        <f t="shared" si="1"/>
        <v>9</v>
      </c>
      <c r="N30" s="100">
        <f t="shared" si="2"/>
        <v>1900</v>
      </c>
      <c r="O30" s="43">
        <f t="shared" si="3"/>
        <v>2115.5</v>
      </c>
    </row>
    <row r="31" spans="1:15" ht="22.5" customHeight="1" x14ac:dyDescent="0.3">
      <c r="A31" s="149" t="s">
        <v>200</v>
      </c>
      <c r="B31" s="44">
        <f>OUT_1!B31+OUT_2!B31+OUT_3!B31+OUT_4!B31</f>
        <v>1120</v>
      </c>
      <c r="C31" s="39">
        <f>OUT_1!C31+OUT_2!C31+OUT_3!C31+OUT_4!C31</f>
        <v>589</v>
      </c>
      <c r="D31" s="39">
        <f>OUT_1!D31+OUT_2!D31+OUT_3!D31+OUT_4!D31</f>
        <v>88</v>
      </c>
      <c r="E31" s="39">
        <f>OUT_1!E31+OUT_2!E31+OUT_3!E31+OUT_4!E31</f>
        <v>41</v>
      </c>
      <c r="F31" s="152">
        <f>OUT_1!F31+OUT_2!F31+OUT_3!F31+OUT_4!F31</f>
        <v>115</v>
      </c>
      <c r="G31" s="154">
        <f t="shared" si="0"/>
        <v>1953</v>
      </c>
      <c r="H31" s="44">
        <f>OUT_1!H31+OUT_2!H31+OUT_3!H31+OUT_4!H31</f>
        <v>0</v>
      </c>
      <c r="I31" s="39">
        <f>OUT_1!I31+OUT_2!I31+OUT_3!I31+OUT_4!I31</f>
        <v>0</v>
      </c>
      <c r="J31" s="39">
        <f>OUT_1!J31+OUT_2!J31+OUT_3!J31+OUT_4!J31</f>
        <v>0</v>
      </c>
      <c r="K31" s="45">
        <f>OUT_1!K31+OUT_2!K31+OUT_3!K31+OUT_4!K31</f>
        <v>0</v>
      </c>
      <c r="L31" s="140">
        <f>OUT_1!L31+OUT_2!L31+OUT_3!L31+OUT_4!L31</f>
        <v>5</v>
      </c>
      <c r="M31" s="149">
        <f t="shared" si="1"/>
        <v>5</v>
      </c>
      <c r="N31" s="100">
        <f t="shared" si="2"/>
        <v>1958</v>
      </c>
      <c r="O31" s="43">
        <f t="shared" si="3"/>
        <v>2227</v>
      </c>
    </row>
    <row r="32" spans="1:15" ht="22.5" customHeight="1" x14ac:dyDescent="0.3">
      <c r="A32" s="149" t="s">
        <v>201</v>
      </c>
      <c r="B32" s="44">
        <f>OUT_1!B32+OUT_2!B32+OUT_3!B32+OUT_4!B32</f>
        <v>959</v>
      </c>
      <c r="C32" s="39">
        <f>OUT_1!C32+OUT_2!C32+OUT_3!C32+OUT_4!C32</f>
        <v>444</v>
      </c>
      <c r="D32" s="39">
        <f>OUT_1!D32+OUT_2!D32+OUT_3!D32+OUT_4!D32</f>
        <v>87</v>
      </c>
      <c r="E32" s="39">
        <f>OUT_1!E32+OUT_2!E32+OUT_3!E32+OUT_4!E32</f>
        <v>56</v>
      </c>
      <c r="F32" s="152">
        <f>OUT_1!F32+OUT_2!F32+OUT_3!F32+OUT_4!F32</f>
        <v>100</v>
      </c>
      <c r="G32" s="154">
        <f t="shared" si="0"/>
        <v>1646</v>
      </c>
      <c r="H32" s="44">
        <f>OUT_1!H32+OUT_2!H32+OUT_3!H32+OUT_4!H32</f>
        <v>0</v>
      </c>
      <c r="I32" s="39">
        <f>OUT_1!I32+OUT_2!I32+OUT_3!I32+OUT_4!I32</f>
        <v>0</v>
      </c>
      <c r="J32" s="39">
        <f>OUT_1!J32+OUT_2!J32+OUT_3!J32+OUT_4!J32</f>
        <v>0</v>
      </c>
      <c r="K32" s="45">
        <f>OUT_1!K32+OUT_2!K32+OUT_3!K32+OUT_4!K32</f>
        <v>0</v>
      </c>
      <c r="L32" s="140">
        <f>OUT_1!L32+OUT_2!L32+OUT_3!L32+OUT_4!L32</f>
        <v>7</v>
      </c>
      <c r="M32" s="149">
        <f t="shared" si="1"/>
        <v>7</v>
      </c>
      <c r="N32" s="100">
        <f t="shared" si="2"/>
        <v>1653</v>
      </c>
      <c r="O32" s="43">
        <f t="shared" si="3"/>
        <v>1985.5</v>
      </c>
    </row>
    <row r="33" spans="1:15" ht="22.5" customHeight="1" x14ac:dyDescent="0.3">
      <c r="A33" s="149" t="s">
        <v>202</v>
      </c>
      <c r="B33" s="44">
        <f>OUT_1!B33+OUT_2!B33+OUT_3!B33+OUT_4!B33</f>
        <v>899</v>
      </c>
      <c r="C33" s="39">
        <f>OUT_1!C33+OUT_2!C33+OUT_3!C33+OUT_4!C33</f>
        <v>421</v>
      </c>
      <c r="D33" s="39">
        <f>OUT_1!D33+OUT_2!D33+OUT_3!D33+OUT_4!D33</f>
        <v>111</v>
      </c>
      <c r="E33" s="39">
        <f>OUT_1!E33+OUT_2!E33+OUT_3!E33+OUT_4!E33</f>
        <v>60</v>
      </c>
      <c r="F33" s="152">
        <f>OUT_1!F33+OUT_2!F33+OUT_3!F33+OUT_4!F33</f>
        <v>100</v>
      </c>
      <c r="G33" s="154">
        <f t="shared" si="0"/>
        <v>1591</v>
      </c>
      <c r="H33" s="44">
        <f>OUT_1!H33+OUT_2!H33+OUT_3!H33+OUT_4!H33</f>
        <v>0</v>
      </c>
      <c r="I33" s="39">
        <f>OUT_1!I33+OUT_2!I33+OUT_3!I33+OUT_4!I33</f>
        <v>0</v>
      </c>
      <c r="J33" s="39">
        <f>OUT_1!J33+OUT_2!J33+OUT_3!J33+OUT_4!J33</f>
        <v>0</v>
      </c>
      <c r="K33" s="45">
        <f>OUT_1!K33+OUT_2!K33+OUT_3!K33+OUT_4!K33</f>
        <v>0</v>
      </c>
      <c r="L33" s="140">
        <f>OUT_1!L33+OUT_2!L33+OUT_3!L33+OUT_4!L33</f>
        <v>7</v>
      </c>
      <c r="M33" s="149">
        <f t="shared" si="1"/>
        <v>7</v>
      </c>
      <c r="N33" s="100">
        <f t="shared" si="2"/>
        <v>1598</v>
      </c>
      <c r="O33" s="43">
        <f t="shared" si="3"/>
        <v>1962</v>
      </c>
    </row>
    <row r="34" spans="1:15" ht="22.5" customHeight="1" x14ac:dyDescent="0.3">
      <c r="A34" s="149" t="s">
        <v>203</v>
      </c>
      <c r="B34" s="44">
        <f>OUT_1!B34+OUT_2!B34+OUT_3!B34+OUT_4!B34</f>
        <v>956</v>
      </c>
      <c r="C34" s="39">
        <f>OUT_1!C34+OUT_2!C34+OUT_3!C34+OUT_4!C34</f>
        <v>469</v>
      </c>
      <c r="D34" s="39">
        <f>OUT_1!D34+OUT_2!D34+OUT_3!D34+OUT_4!D34</f>
        <v>106</v>
      </c>
      <c r="E34" s="39">
        <f>OUT_1!E34+OUT_2!E34+OUT_3!E34+OUT_4!E34</f>
        <v>56</v>
      </c>
      <c r="F34" s="152">
        <f>OUT_1!F34+OUT_2!F34+OUT_3!F34+OUT_4!F34</f>
        <v>101</v>
      </c>
      <c r="G34" s="154">
        <f t="shared" si="0"/>
        <v>1688</v>
      </c>
      <c r="H34" s="44">
        <f>OUT_1!H34+OUT_2!H34+OUT_3!H34+OUT_4!H34</f>
        <v>0</v>
      </c>
      <c r="I34" s="39">
        <f>OUT_1!I34+OUT_2!I34+OUT_3!I34+OUT_4!I34</f>
        <v>0</v>
      </c>
      <c r="J34" s="39">
        <f>OUT_1!J34+OUT_2!J34+OUT_3!J34+OUT_4!J34</f>
        <v>1</v>
      </c>
      <c r="K34" s="45">
        <f>OUT_1!K34+OUT_2!K34+OUT_3!K34+OUT_4!K34</f>
        <v>0</v>
      </c>
      <c r="L34" s="140">
        <f>OUT_1!L34+OUT_2!L34+OUT_3!L34+OUT_4!L34</f>
        <v>3</v>
      </c>
      <c r="M34" s="149">
        <f t="shared" si="1"/>
        <v>4</v>
      </c>
      <c r="N34" s="100">
        <f t="shared" si="2"/>
        <v>1692</v>
      </c>
      <c r="O34" s="43">
        <f t="shared" si="3"/>
        <v>1999</v>
      </c>
    </row>
    <row r="35" spans="1:15" ht="22.5" customHeight="1" x14ac:dyDescent="0.3">
      <c r="A35" s="149" t="s">
        <v>204</v>
      </c>
      <c r="B35" s="44">
        <f>OUT_1!B35+OUT_2!B35+OUT_3!B35+OUT_4!B35</f>
        <v>949</v>
      </c>
      <c r="C35" s="39">
        <f>OUT_1!C35+OUT_2!C35+OUT_3!C35+OUT_4!C35</f>
        <v>507</v>
      </c>
      <c r="D35" s="39">
        <f>OUT_1!D35+OUT_2!D35+OUT_3!D35+OUT_4!D35</f>
        <v>105</v>
      </c>
      <c r="E35" s="39">
        <f>OUT_1!E35+OUT_2!E35+OUT_3!E35+OUT_4!E35</f>
        <v>64</v>
      </c>
      <c r="F35" s="152">
        <f>OUT_1!F35+OUT_2!F35+OUT_3!F35+OUT_4!F35</f>
        <v>64</v>
      </c>
      <c r="G35" s="154">
        <f t="shared" si="0"/>
        <v>1689</v>
      </c>
      <c r="H35" s="44">
        <f>OUT_1!H35+OUT_2!H35+OUT_3!H35+OUT_4!H35</f>
        <v>0</v>
      </c>
      <c r="I35" s="39">
        <f>OUT_1!I35+OUT_2!I35+OUT_3!I35+OUT_4!I35</f>
        <v>0</v>
      </c>
      <c r="J35" s="39">
        <f>OUT_1!J35+OUT_2!J35+OUT_3!J35+OUT_4!J35</f>
        <v>0</v>
      </c>
      <c r="K35" s="45">
        <f>OUT_1!K35+OUT_2!K35+OUT_3!K35+OUT_4!K35</f>
        <v>0</v>
      </c>
      <c r="L35" s="140">
        <f>OUT_1!L35+OUT_2!L35+OUT_3!L35+OUT_4!L35</f>
        <v>8</v>
      </c>
      <c r="M35" s="149">
        <f t="shared" si="1"/>
        <v>8</v>
      </c>
      <c r="N35" s="100">
        <f t="shared" si="2"/>
        <v>1697</v>
      </c>
      <c r="O35" s="43">
        <f t="shared" si="3"/>
        <v>1904</v>
      </c>
    </row>
    <row r="36" spans="1:15" ht="22.5" customHeight="1" x14ac:dyDescent="0.3">
      <c r="A36" s="149" t="s">
        <v>205</v>
      </c>
      <c r="B36" s="44">
        <f>OUT_1!B36+OUT_2!B36+OUT_3!B36+OUT_4!B36</f>
        <v>950</v>
      </c>
      <c r="C36" s="39">
        <f>OUT_1!C36+OUT_2!C36+OUT_3!C36+OUT_4!C36</f>
        <v>425</v>
      </c>
      <c r="D36" s="39">
        <f>OUT_1!D36+OUT_2!D36+OUT_3!D36+OUT_4!D36</f>
        <v>87</v>
      </c>
      <c r="E36" s="39">
        <f>OUT_1!E36+OUT_2!E36+OUT_3!E36+OUT_4!E36</f>
        <v>64</v>
      </c>
      <c r="F36" s="152">
        <f>OUT_1!F36+OUT_2!F36+OUT_3!F36+OUT_4!F36</f>
        <v>116</v>
      </c>
      <c r="G36" s="154">
        <f t="shared" si="0"/>
        <v>1642</v>
      </c>
      <c r="H36" s="44">
        <f>OUT_1!H36+OUT_2!H36+OUT_3!H36+OUT_4!H36</f>
        <v>0</v>
      </c>
      <c r="I36" s="39">
        <f>OUT_1!I36+OUT_2!I36+OUT_3!I36+OUT_4!I36</f>
        <v>0</v>
      </c>
      <c r="J36" s="39">
        <f>OUT_1!J36+OUT_2!J36+OUT_3!J36+OUT_4!J36</f>
        <v>2</v>
      </c>
      <c r="K36" s="45">
        <f>OUT_1!K36+OUT_2!K36+OUT_3!K36+OUT_4!K36</f>
        <v>0</v>
      </c>
      <c r="L36" s="140">
        <f>OUT_1!L36+OUT_2!L36+OUT_3!L36+OUT_4!L36</f>
        <v>5</v>
      </c>
      <c r="M36" s="149">
        <f t="shared" si="1"/>
        <v>7</v>
      </c>
      <c r="N36" s="100">
        <f t="shared" si="2"/>
        <v>1649</v>
      </c>
      <c r="O36" s="43">
        <f t="shared" si="3"/>
        <v>2053</v>
      </c>
    </row>
    <row r="37" spans="1:15" ht="22.5" customHeight="1" x14ac:dyDescent="0.3">
      <c r="A37" s="149" t="s">
        <v>206</v>
      </c>
      <c r="B37" s="44">
        <f>OUT_1!B37+OUT_2!B37+OUT_3!B37+OUT_4!B37</f>
        <v>1046</v>
      </c>
      <c r="C37" s="39">
        <f>OUT_1!C37+OUT_2!C37+OUT_3!C37+OUT_4!C37</f>
        <v>447</v>
      </c>
      <c r="D37" s="39">
        <f>OUT_1!D37+OUT_2!D37+OUT_3!D37+OUT_4!D37</f>
        <v>81</v>
      </c>
      <c r="E37" s="39">
        <f>OUT_1!E37+OUT_2!E37+OUT_3!E37+OUT_4!E37</f>
        <v>69</v>
      </c>
      <c r="F37" s="152">
        <f>OUT_1!F37+OUT_2!F37+OUT_3!F37+OUT_4!F37</f>
        <v>113</v>
      </c>
      <c r="G37" s="154">
        <f t="shared" si="0"/>
        <v>1756</v>
      </c>
      <c r="H37" s="44">
        <f>OUT_1!H37+OUT_2!H37+OUT_3!H37+OUT_4!H37</f>
        <v>0</v>
      </c>
      <c r="I37" s="39">
        <f>OUT_1!I37+OUT_2!I37+OUT_3!I37+OUT_4!I37</f>
        <v>0</v>
      </c>
      <c r="J37" s="39">
        <f>OUT_1!J37+OUT_2!J37+OUT_3!J37+OUT_4!J37</f>
        <v>0</v>
      </c>
      <c r="K37" s="45">
        <f>OUT_1!K37+OUT_2!K37+OUT_3!K37+OUT_4!K37</f>
        <v>0</v>
      </c>
      <c r="L37" s="140">
        <f>OUT_1!L37+OUT_2!L37+OUT_3!L37+OUT_4!L37</f>
        <v>6</v>
      </c>
      <c r="M37" s="149">
        <f t="shared" si="1"/>
        <v>6</v>
      </c>
      <c r="N37" s="100">
        <f t="shared" si="2"/>
        <v>1762</v>
      </c>
      <c r="O37" s="43">
        <f t="shared" si="3"/>
        <v>2154.5</v>
      </c>
    </row>
    <row r="38" spans="1:15" ht="22.5" customHeight="1" x14ac:dyDescent="0.3">
      <c r="A38" s="149" t="s">
        <v>207</v>
      </c>
      <c r="B38" s="44">
        <f>OUT_1!B38+OUT_2!B38+OUT_3!B38+OUT_4!B38</f>
        <v>1038</v>
      </c>
      <c r="C38" s="39">
        <f>OUT_1!C38+OUT_2!C38+OUT_3!C38+OUT_4!C38</f>
        <v>370</v>
      </c>
      <c r="D38" s="39">
        <f>OUT_1!D38+OUT_2!D38+OUT_3!D38+OUT_4!D38</f>
        <v>95</v>
      </c>
      <c r="E38" s="39">
        <f>OUT_1!E38+OUT_2!E38+OUT_3!E38+OUT_4!E38</f>
        <v>61</v>
      </c>
      <c r="F38" s="152">
        <f>OUT_1!F38+OUT_2!F38+OUT_3!F38+OUT_4!F38</f>
        <v>117</v>
      </c>
      <c r="G38" s="154">
        <f t="shared" si="0"/>
        <v>1681</v>
      </c>
      <c r="H38" s="44">
        <f>OUT_1!H38+OUT_2!H38+OUT_3!H38+OUT_4!H38</f>
        <v>0</v>
      </c>
      <c r="I38" s="39">
        <f>OUT_1!I38+OUT_2!I38+OUT_3!I38+OUT_4!I38</f>
        <v>0</v>
      </c>
      <c r="J38" s="39">
        <f>OUT_1!J38+OUT_2!J38+OUT_3!J38+OUT_4!J38</f>
        <v>0</v>
      </c>
      <c r="K38" s="45">
        <f>OUT_1!K38+OUT_2!K38+OUT_3!K38+OUT_4!K38</f>
        <v>0</v>
      </c>
      <c r="L38" s="140">
        <f>OUT_1!L38+OUT_2!L38+OUT_3!L38+OUT_4!L38</f>
        <v>3</v>
      </c>
      <c r="M38" s="149">
        <f t="shared" si="1"/>
        <v>3</v>
      </c>
      <c r="N38" s="100">
        <f t="shared" si="2"/>
        <v>1684</v>
      </c>
      <c r="O38" s="43">
        <f t="shared" si="3"/>
        <v>2099</v>
      </c>
    </row>
    <row r="39" spans="1:15" ht="22.5" customHeight="1" x14ac:dyDescent="0.3">
      <c r="A39" s="149" t="s">
        <v>208</v>
      </c>
      <c r="B39" s="44">
        <f>OUT_1!B39+OUT_2!B39+OUT_3!B39+OUT_4!B39</f>
        <v>1101</v>
      </c>
      <c r="C39" s="39">
        <f>OUT_1!C39+OUT_2!C39+OUT_3!C39+OUT_4!C39</f>
        <v>431</v>
      </c>
      <c r="D39" s="39">
        <f>OUT_1!D39+OUT_2!D39+OUT_3!D39+OUT_4!D39</f>
        <v>107</v>
      </c>
      <c r="E39" s="39">
        <f>OUT_1!E39+OUT_2!E39+OUT_3!E39+OUT_4!E39</f>
        <v>73</v>
      </c>
      <c r="F39" s="152">
        <f>OUT_1!F39+OUT_2!F39+OUT_3!F39+OUT_4!F39</f>
        <v>96</v>
      </c>
      <c r="G39" s="154">
        <f t="shared" si="0"/>
        <v>1808</v>
      </c>
      <c r="H39" s="44">
        <f>OUT_1!H39+OUT_2!H39+OUT_3!H39+OUT_4!H39</f>
        <v>0</v>
      </c>
      <c r="I39" s="39">
        <f>OUT_1!I39+OUT_2!I39+OUT_3!I39+OUT_4!I39</f>
        <v>0</v>
      </c>
      <c r="J39" s="39">
        <f>OUT_1!J39+OUT_2!J39+OUT_3!J39+OUT_4!J39</f>
        <v>0</v>
      </c>
      <c r="K39" s="45">
        <f>OUT_1!K39+OUT_2!K39+OUT_3!K39+OUT_4!K39</f>
        <v>0</v>
      </c>
      <c r="L39" s="140">
        <f>OUT_1!L39+OUT_2!L39+OUT_3!L39+OUT_4!L39</f>
        <v>1</v>
      </c>
      <c r="M39" s="149">
        <f t="shared" si="1"/>
        <v>1</v>
      </c>
      <c r="N39" s="100">
        <f t="shared" si="2"/>
        <v>1809</v>
      </c>
      <c r="O39" s="43">
        <f t="shared" si="3"/>
        <v>2136</v>
      </c>
    </row>
    <row r="40" spans="1:15" ht="22.5" customHeight="1" x14ac:dyDescent="0.3">
      <c r="A40" s="149" t="s">
        <v>209</v>
      </c>
      <c r="B40" s="44">
        <f>OUT_1!B40+OUT_2!B40+OUT_3!B40+OUT_4!B40</f>
        <v>1151</v>
      </c>
      <c r="C40" s="39">
        <f>OUT_1!C40+OUT_2!C40+OUT_3!C40+OUT_4!C40</f>
        <v>513</v>
      </c>
      <c r="D40" s="39">
        <f>OUT_1!D40+OUT_2!D40+OUT_3!D40+OUT_4!D40</f>
        <v>72</v>
      </c>
      <c r="E40" s="39">
        <f>OUT_1!E40+OUT_2!E40+OUT_3!E40+OUT_4!E40</f>
        <v>40</v>
      </c>
      <c r="F40" s="152">
        <f>OUT_1!F40+OUT_2!F40+OUT_3!F40+OUT_4!F40</f>
        <v>108</v>
      </c>
      <c r="G40" s="154">
        <f t="shared" ref="G40:G71" si="4">SUM(B40:F40)</f>
        <v>1884</v>
      </c>
      <c r="H40" s="44">
        <f>OUT_1!H40+OUT_2!H40+OUT_3!H40+OUT_4!H40</f>
        <v>1</v>
      </c>
      <c r="I40" s="39">
        <f>OUT_1!I40+OUT_2!I40+OUT_3!I40+OUT_4!I40</f>
        <v>0</v>
      </c>
      <c r="J40" s="39">
        <f>OUT_1!J40+OUT_2!J40+OUT_3!J40+OUT_4!J40</f>
        <v>1</v>
      </c>
      <c r="K40" s="45">
        <f>OUT_1!K40+OUT_2!K40+OUT_3!K40+OUT_4!K40</f>
        <v>0</v>
      </c>
      <c r="L40" s="140">
        <f>OUT_1!L40+OUT_2!L40+OUT_3!L40+OUT_4!L40</f>
        <v>10</v>
      </c>
      <c r="M40" s="149">
        <f t="shared" si="1"/>
        <v>12</v>
      </c>
      <c r="N40" s="100">
        <f t="shared" si="2"/>
        <v>1896</v>
      </c>
      <c r="O40" s="43">
        <f t="shared" si="3"/>
        <v>2205</v>
      </c>
    </row>
    <row r="41" spans="1:15" ht="22.5" customHeight="1" x14ac:dyDescent="0.3">
      <c r="A41" s="149" t="s">
        <v>210</v>
      </c>
      <c r="B41" s="44">
        <f>OUT_1!B41+OUT_2!B41+OUT_3!B41+OUT_4!B41</f>
        <v>1075</v>
      </c>
      <c r="C41" s="39">
        <f>OUT_1!C41+OUT_2!C41+OUT_3!C41+OUT_4!C41</f>
        <v>633</v>
      </c>
      <c r="D41" s="39">
        <f>OUT_1!D41+OUT_2!D41+OUT_3!D41+OUT_4!D41</f>
        <v>93</v>
      </c>
      <c r="E41" s="39">
        <f>OUT_1!E41+OUT_2!E41+OUT_3!E41+OUT_4!E41</f>
        <v>42</v>
      </c>
      <c r="F41" s="152">
        <f>OUT_1!F41+OUT_2!F41+OUT_3!F41+OUT_4!F41</f>
        <v>90</v>
      </c>
      <c r="G41" s="154">
        <f t="shared" si="4"/>
        <v>1933</v>
      </c>
      <c r="H41" s="44">
        <f>OUT_1!H41+OUT_2!H41+OUT_3!H41+OUT_4!H41</f>
        <v>0</v>
      </c>
      <c r="I41" s="39">
        <f>OUT_1!I41+OUT_2!I41+OUT_3!I41+OUT_4!I41</f>
        <v>0</v>
      </c>
      <c r="J41" s="39">
        <f>OUT_1!J41+OUT_2!J41+OUT_3!J41+OUT_4!J41</f>
        <v>2</v>
      </c>
      <c r="K41" s="45">
        <f>OUT_1!K41+OUT_2!K41+OUT_3!K41+OUT_4!K41</f>
        <v>0</v>
      </c>
      <c r="L41" s="140">
        <f>OUT_1!L41+OUT_2!L41+OUT_3!L41+OUT_4!L41</f>
        <v>15</v>
      </c>
      <c r="M41" s="149">
        <f t="shared" si="1"/>
        <v>17</v>
      </c>
      <c r="N41" s="100">
        <f t="shared" si="2"/>
        <v>1950</v>
      </c>
      <c r="O41" s="43">
        <f t="shared" si="3"/>
        <v>2188</v>
      </c>
    </row>
    <row r="42" spans="1:15" ht="22.5" customHeight="1" x14ac:dyDescent="0.3">
      <c r="A42" s="149" t="s">
        <v>211</v>
      </c>
      <c r="B42" s="44">
        <f>OUT_1!B42+OUT_2!B42+OUT_3!B42+OUT_4!B42</f>
        <v>1199</v>
      </c>
      <c r="C42" s="39">
        <f>OUT_1!C42+OUT_2!C42+OUT_3!C42+OUT_4!C42</f>
        <v>653</v>
      </c>
      <c r="D42" s="39">
        <f>OUT_1!D42+OUT_2!D42+OUT_3!D42+OUT_4!D42</f>
        <v>80</v>
      </c>
      <c r="E42" s="39">
        <f>OUT_1!E42+OUT_2!E42+OUT_3!E42+OUT_4!E42</f>
        <v>59</v>
      </c>
      <c r="F42" s="152">
        <f>OUT_1!F42+OUT_2!F42+OUT_3!F42+OUT_4!F42</f>
        <v>101</v>
      </c>
      <c r="G42" s="154">
        <f t="shared" si="4"/>
        <v>2092</v>
      </c>
      <c r="H42" s="44">
        <f>OUT_1!H42+OUT_2!H42+OUT_3!H42+OUT_4!H42</f>
        <v>0</v>
      </c>
      <c r="I42" s="39">
        <f>OUT_1!I42+OUT_2!I42+OUT_3!I42+OUT_4!I42</f>
        <v>0</v>
      </c>
      <c r="J42" s="39">
        <f>OUT_1!J42+OUT_2!J42+OUT_3!J42+OUT_4!J42</f>
        <v>0</v>
      </c>
      <c r="K42" s="45">
        <f>OUT_1!K42+OUT_2!K42+OUT_3!K42+OUT_4!K42</f>
        <v>0</v>
      </c>
      <c r="L42" s="140">
        <f>OUT_1!L42+OUT_2!L42+OUT_3!L42+OUT_4!L42</f>
        <v>11</v>
      </c>
      <c r="M42" s="149">
        <f t="shared" si="1"/>
        <v>11</v>
      </c>
      <c r="N42" s="100">
        <f t="shared" si="2"/>
        <v>2103</v>
      </c>
      <c r="O42" s="43">
        <f t="shared" si="3"/>
        <v>2365</v>
      </c>
    </row>
    <row r="43" spans="1:15" ht="22.5" customHeight="1" x14ac:dyDescent="0.3">
      <c r="A43" s="149" t="s">
        <v>212</v>
      </c>
      <c r="B43" s="44">
        <f>OUT_1!B43+OUT_2!B43+OUT_3!B43+OUT_4!B43</f>
        <v>1138</v>
      </c>
      <c r="C43" s="39">
        <f>OUT_1!C43+OUT_2!C43+OUT_3!C43+OUT_4!C43</f>
        <v>629</v>
      </c>
      <c r="D43" s="39">
        <f>OUT_1!D43+OUT_2!D43+OUT_3!D43+OUT_4!D43</f>
        <v>73</v>
      </c>
      <c r="E43" s="39">
        <f>OUT_1!E43+OUT_2!E43+OUT_3!E43+OUT_4!E43</f>
        <v>49</v>
      </c>
      <c r="F43" s="152">
        <f>OUT_1!F43+OUT_2!F43+OUT_3!F43+OUT_4!F43</f>
        <v>99</v>
      </c>
      <c r="G43" s="154">
        <f t="shared" si="4"/>
        <v>1988</v>
      </c>
      <c r="H43" s="44">
        <f>OUT_1!H43+OUT_2!H43+OUT_3!H43+OUT_4!H43</f>
        <v>1</v>
      </c>
      <c r="I43" s="39">
        <f>OUT_1!I43+OUT_2!I43+OUT_3!I43+OUT_4!I43</f>
        <v>0</v>
      </c>
      <c r="J43" s="39">
        <f>OUT_1!J43+OUT_2!J43+OUT_3!J43+OUT_4!J43</f>
        <v>0</v>
      </c>
      <c r="K43" s="45">
        <f>OUT_1!K43+OUT_2!K43+OUT_3!K43+OUT_4!K43</f>
        <v>0</v>
      </c>
      <c r="L43" s="140">
        <f>OUT_1!L43+OUT_2!L43+OUT_3!L43+OUT_4!L43</f>
        <v>17</v>
      </c>
      <c r="M43" s="149">
        <f t="shared" si="1"/>
        <v>18</v>
      </c>
      <c r="N43" s="100">
        <f t="shared" si="2"/>
        <v>2006</v>
      </c>
      <c r="O43" s="43">
        <f t="shared" si="3"/>
        <v>2291</v>
      </c>
    </row>
    <row r="44" spans="1:15" ht="22.5" customHeight="1" x14ac:dyDescent="0.3">
      <c r="A44" s="149" t="s">
        <v>213</v>
      </c>
      <c r="B44" s="44">
        <f>OUT_1!B44+OUT_2!B44+OUT_3!B44+OUT_4!B44</f>
        <v>1249</v>
      </c>
      <c r="C44" s="39">
        <f>OUT_1!C44+OUT_2!C44+OUT_3!C44+OUT_4!C44</f>
        <v>768</v>
      </c>
      <c r="D44" s="39">
        <f>OUT_1!D44+OUT_2!D44+OUT_3!D44+OUT_4!D44</f>
        <v>81</v>
      </c>
      <c r="E44" s="39">
        <f>OUT_1!E44+OUT_2!E44+OUT_3!E44+OUT_4!E44</f>
        <v>50</v>
      </c>
      <c r="F44" s="152">
        <f>OUT_1!F44+OUT_2!F44+OUT_3!F44+OUT_4!F44</f>
        <v>104</v>
      </c>
      <c r="G44" s="154">
        <f t="shared" si="4"/>
        <v>2252</v>
      </c>
      <c r="H44" s="44">
        <f>OUT_1!H44+OUT_2!H44+OUT_3!H44+OUT_4!H44</f>
        <v>2</v>
      </c>
      <c r="I44" s="39">
        <f>OUT_1!I44+OUT_2!I44+OUT_3!I44+OUT_4!I44</f>
        <v>0</v>
      </c>
      <c r="J44" s="39">
        <f>OUT_1!J44+OUT_2!J44+OUT_3!J44+OUT_4!J44</f>
        <v>0</v>
      </c>
      <c r="K44" s="45">
        <f>OUT_1!K44+OUT_2!K44+OUT_3!K44+OUT_4!K44</f>
        <v>0</v>
      </c>
      <c r="L44" s="140">
        <f>OUT_1!L44+OUT_2!L44+OUT_3!L44+OUT_4!L44</f>
        <v>19</v>
      </c>
      <c r="M44" s="149">
        <f t="shared" si="1"/>
        <v>21</v>
      </c>
      <c r="N44" s="100">
        <f t="shared" si="2"/>
        <v>2273</v>
      </c>
      <c r="O44" s="43">
        <f t="shared" si="3"/>
        <v>2525.5</v>
      </c>
    </row>
    <row r="45" spans="1:15" ht="22.5" customHeight="1" x14ac:dyDescent="0.3">
      <c r="A45" s="149" t="s">
        <v>214</v>
      </c>
      <c r="B45" s="44">
        <f>OUT_1!B45+OUT_2!B45+OUT_3!B45+OUT_4!B45</f>
        <v>1279</v>
      </c>
      <c r="C45" s="39">
        <f>OUT_1!C45+OUT_2!C45+OUT_3!C45+OUT_4!C45</f>
        <v>680</v>
      </c>
      <c r="D45" s="39">
        <f>OUT_1!D45+OUT_2!D45+OUT_3!D45+OUT_4!D45</f>
        <v>79</v>
      </c>
      <c r="E45" s="39">
        <f>OUT_1!E45+OUT_2!E45+OUT_3!E45+OUT_4!E45</f>
        <v>54</v>
      </c>
      <c r="F45" s="152">
        <f>OUT_1!F45+OUT_2!F45+OUT_3!F45+OUT_4!F45</f>
        <v>68</v>
      </c>
      <c r="G45" s="154">
        <f t="shared" si="4"/>
        <v>2160</v>
      </c>
      <c r="H45" s="44">
        <f>OUT_1!H45+OUT_2!H45+OUT_3!H45+OUT_4!H45</f>
        <v>0</v>
      </c>
      <c r="I45" s="39">
        <f>OUT_1!I45+OUT_2!I45+OUT_3!I45+OUT_4!I45</f>
        <v>0</v>
      </c>
      <c r="J45" s="39">
        <f>OUT_1!J45+OUT_2!J45+OUT_3!J45+OUT_4!J45</f>
        <v>1</v>
      </c>
      <c r="K45" s="45">
        <f>OUT_1!K45+OUT_2!K45+OUT_3!K45+OUT_4!K45</f>
        <v>0</v>
      </c>
      <c r="L45" s="140">
        <f>OUT_1!L45+OUT_2!L45+OUT_3!L45+OUT_4!L45</f>
        <v>18</v>
      </c>
      <c r="M45" s="149">
        <f t="shared" si="1"/>
        <v>19</v>
      </c>
      <c r="N45" s="100">
        <f t="shared" si="2"/>
        <v>2179</v>
      </c>
      <c r="O45" s="43">
        <f t="shared" si="3"/>
        <v>2352.5</v>
      </c>
    </row>
    <row r="46" spans="1:15" ht="22.5" customHeight="1" x14ac:dyDescent="0.3">
      <c r="A46" s="149" t="s">
        <v>215</v>
      </c>
      <c r="B46" s="44">
        <f>OUT_1!B46+OUT_2!B46+OUT_3!B46+OUT_4!B46</f>
        <v>1116</v>
      </c>
      <c r="C46" s="39">
        <f>OUT_1!C46+OUT_2!C46+OUT_3!C46+OUT_4!C46</f>
        <v>761</v>
      </c>
      <c r="D46" s="39">
        <f>OUT_1!D46+OUT_2!D46+OUT_3!D46+OUT_4!D46</f>
        <v>97</v>
      </c>
      <c r="E46" s="39">
        <f>OUT_1!E46+OUT_2!E46+OUT_3!E46+OUT_4!E46</f>
        <v>51</v>
      </c>
      <c r="F46" s="152">
        <f>OUT_1!F46+OUT_2!F46+OUT_3!F46+OUT_4!F46</f>
        <v>108</v>
      </c>
      <c r="G46" s="154">
        <f t="shared" si="4"/>
        <v>2133</v>
      </c>
      <c r="H46" s="44">
        <f>OUT_1!H46+OUT_2!H46+OUT_3!H46+OUT_4!H46</f>
        <v>1</v>
      </c>
      <c r="I46" s="39">
        <f>OUT_1!I46+OUT_2!I46+OUT_3!I46+OUT_4!I46</f>
        <v>0</v>
      </c>
      <c r="J46" s="39">
        <f>OUT_1!J46+OUT_2!J46+OUT_3!J46+OUT_4!J46</f>
        <v>1</v>
      </c>
      <c r="K46" s="45">
        <f>OUT_1!K46+OUT_2!K46+OUT_3!K46+OUT_4!K46</f>
        <v>0</v>
      </c>
      <c r="L46" s="140">
        <f>OUT_1!L46+OUT_2!L46+OUT_3!L46+OUT_4!L46</f>
        <v>24</v>
      </c>
      <c r="M46" s="149">
        <f t="shared" si="1"/>
        <v>26</v>
      </c>
      <c r="N46" s="100">
        <f t="shared" si="2"/>
        <v>2159</v>
      </c>
      <c r="O46" s="43">
        <f t="shared" si="3"/>
        <v>2476.5</v>
      </c>
    </row>
    <row r="47" spans="1:15" ht="22.5" customHeight="1" x14ac:dyDescent="0.3">
      <c r="A47" s="149" t="s">
        <v>216</v>
      </c>
      <c r="B47" s="44">
        <f>OUT_1!B47+OUT_2!B47+OUT_3!B47+OUT_4!B47</f>
        <v>1217</v>
      </c>
      <c r="C47" s="39">
        <f>OUT_1!C47+OUT_2!C47+OUT_3!C47+OUT_4!C47</f>
        <v>777</v>
      </c>
      <c r="D47" s="39">
        <f>OUT_1!D47+OUT_2!D47+OUT_3!D47+OUT_4!D47</f>
        <v>72</v>
      </c>
      <c r="E47" s="39">
        <f>OUT_1!E47+OUT_2!E47+OUT_3!E47+OUT_4!E47</f>
        <v>71</v>
      </c>
      <c r="F47" s="152">
        <f>OUT_1!F47+OUT_2!F47+OUT_3!F47+OUT_4!F47</f>
        <v>100</v>
      </c>
      <c r="G47" s="154">
        <f t="shared" si="4"/>
        <v>2237</v>
      </c>
      <c r="H47" s="44">
        <f>OUT_1!H47+OUT_2!H47+OUT_3!H47+OUT_4!H47</f>
        <v>0</v>
      </c>
      <c r="I47" s="39">
        <f>OUT_1!I47+OUT_2!I47+OUT_3!I47+OUT_4!I47</f>
        <v>0</v>
      </c>
      <c r="J47" s="39">
        <f>OUT_1!J47+OUT_2!J47+OUT_3!J47+OUT_4!J47</f>
        <v>0</v>
      </c>
      <c r="K47" s="45">
        <f>OUT_1!K47+OUT_2!K47+OUT_3!K47+OUT_4!K47</f>
        <v>0</v>
      </c>
      <c r="L47" s="140">
        <f>OUT_1!L47+OUT_2!L47+OUT_3!L47+OUT_4!L47</f>
        <v>15</v>
      </c>
      <c r="M47" s="149">
        <f t="shared" si="1"/>
        <v>15</v>
      </c>
      <c r="N47" s="100">
        <f t="shared" si="2"/>
        <v>2252</v>
      </c>
      <c r="O47" s="43">
        <f t="shared" si="3"/>
        <v>2496.5</v>
      </c>
    </row>
    <row r="48" spans="1:15" ht="22.5" customHeight="1" x14ac:dyDescent="0.3">
      <c r="A48" s="149" t="s">
        <v>217</v>
      </c>
      <c r="B48" s="44">
        <f>OUT_1!B48+OUT_2!B48+OUT_3!B48+OUT_4!B48</f>
        <v>1129</v>
      </c>
      <c r="C48" s="39">
        <f>OUT_1!C48+OUT_2!C48+OUT_3!C48+OUT_4!C48</f>
        <v>751</v>
      </c>
      <c r="D48" s="39">
        <f>OUT_1!D48+OUT_2!D48+OUT_3!D48+OUT_4!D48</f>
        <v>96</v>
      </c>
      <c r="E48" s="39">
        <f>OUT_1!E48+OUT_2!E48+OUT_3!E48+OUT_4!E48</f>
        <v>33</v>
      </c>
      <c r="F48" s="152">
        <f>OUT_1!F48+OUT_2!F48+OUT_3!F48+OUT_4!F48</f>
        <v>94</v>
      </c>
      <c r="G48" s="154">
        <f t="shared" si="4"/>
        <v>2103</v>
      </c>
      <c r="H48" s="44">
        <f>OUT_1!H48+OUT_2!H48+OUT_3!H48+OUT_4!H48</f>
        <v>2</v>
      </c>
      <c r="I48" s="39">
        <f>OUT_1!I48+OUT_2!I48+OUT_3!I48+OUT_4!I48</f>
        <v>0</v>
      </c>
      <c r="J48" s="39">
        <f>OUT_1!J48+OUT_2!J48+OUT_3!J48+OUT_4!J48</f>
        <v>0</v>
      </c>
      <c r="K48" s="45">
        <f>OUT_1!K48+OUT_2!K48+OUT_3!K48+OUT_4!K48</f>
        <v>0</v>
      </c>
      <c r="L48" s="140">
        <f>OUT_1!L48+OUT_2!L48+OUT_3!L48+OUT_4!L48</f>
        <v>21</v>
      </c>
      <c r="M48" s="149">
        <f t="shared" si="1"/>
        <v>23</v>
      </c>
      <c r="N48" s="100">
        <f t="shared" si="2"/>
        <v>2126</v>
      </c>
      <c r="O48" s="43">
        <f t="shared" si="3"/>
        <v>2339.5</v>
      </c>
    </row>
    <row r="49" spans="1:15" ht="22.5" customHeight="1" x14ac:dyDescent="0.3">
      <c r="A49" s="149" t="s">
        <v>218</v>
      </c>
      <c r="B49" s="44">
        <f>OUT_1!B49+OUT_2!B49+OUT_3!B49+OUT_4!B49</f>
        <v>1152</v>
      </c>
      <c r="C49" s="39">
        <f>OUT_1!C49+OUT_2!C49+OUT_3!C49+OUT_4!C49</f>
        <v>821</v>
      </c>
      <c r="D49" s="39">
        <f>OUT_1!D49+OUT_2!D49+OUT_3!D49+OUT_4!D49</f>
        <v>100</v>
      </c>
      <c r="E49" s="39">
        <f>OUT_1!E49+OUT_2!E49+OUT_3!E49+OUT_4!E49</f>
        <v>38</v>
      </c>
      <c r="F49" s="152">
        <f>OUT_1!F49+OUT_2!F49+OUT_3!F49+OUT_4!F49</f>
        <v>108</v>
      </c>
      <c r="G49" s="154">
        <f t="shared" si="4"/>
        <v>2219</v>
      </c>
      <c r="H49" s="44">
        <f>OUT_1!H49+OUT_2!H49+OUT_3!H49+OUT_4!H49</f>
        <v>1</v>
      </c>
      <c r="I49" s="39">
        <f>OUT_1!I49+OUT_2!I49+OUT_3!I49+OUT_4!I49</f>
        <v>0</v>
      </c>
      <c r="J49" s="39">
        <f>OUT_1!J49+OUT_2!J49+OUT_3!J49+OUT_4!J49</f>
        <v>0</v>
      </c>
      <c r="K49" s="45">
        <f>OUT_1!K49+OUT_2!K49+OUT_3!K49+OUT_4!K49</f>
        <v>0</v>
      </c>
      <c r="L49" s="140">
        <f>OUT_1!L49+OUT_2!L49+OUT_3!L49+OUT_4!L49</f>
        <v>24</v>
      </c>
      <c r="M49" s="149">
        <f t="shared" si="1"/>
        <v>25</v>
      </c>
      <c r="N49" s="100">
        <f t="shared" si="2"/>
        <v>2244</v>
      </c>
      <c r="O49" s="43">
        <f t="shared" si="3"/>
        <v>2505</v>
      </c>
    </row>
    <row r="50" spans="1:15" ht="22.5" customHeight="1" x14ac:dyDescent="0.3">
      <c r="A50" s="149" t="s">
        <v>219</v>
      </c>
      <c r="B50" s="44">
        <f>OUT_1!B50+OUT_2!B50+OUT_3!B50+OUT_4!B50</f>
        <v>1203</v>
      </c>
      <c r="C50" s="39">
        <f>OUT_1!C50+OUT_2!C50+OUT_3!C50+OUT_4!C50</f>
        <v>881</v>
      </c>
      <c r="D50" s="39">
        <f>OUT_1!D50+OUT_2!D50+OUT_3!D50+OUT_4!D50</f>
        <v>78</v>
      </c>
      <c r="E50" s="39">
        <f>OUT_1!E50+OUT_2!E50+OUT_3!E50+OUT_4!E50</f>
        <v>57</v>
      </c>
      <c r="F50" s="152">
        <f>OUT_1!F50+OUT_2!F50+OUT_3!F50+OUT_4!F50</f>
        <v>81</v>
      </c>
      <c r="G50" s="154">
        <f t="shared" si="4"/>
        <v>2300</v>
      </c>
      <c r="H50" s="44">
        <f>OUT_1!H50+OUT_2!H50+OUT_3!H50+OUT_4!H50</f>
        <v>1</v>
      </c>
      <c r="I50" s="39">
        <f>OUT_1!I50+OUT_2!I50+OUT_3!I50+OUT_4!I50</f>
        <v>0</v>
      </c>
      <c r="J50" s="39">
        <f>OUT_1!J50+OUT_2!J50+OUT_3!J50+OUT_4!J50</f>
        <v>0</v>
      </c>
      <c r="K50" s="45">
        <f>OUT_1!K50+OUT_2!K50+OUT_3!K50+OUT_4!K50</f>
        <v>0</v>
      </c>
      <c r="L50" s="140">
        <f>OUT_1!L50+OUT_2!L50+OUT_3!L50+OUT_4!L50</f>
        <v>34</v>
      </c>
      <c r="M50" s="149">
        <f t="shared" si="1"/>
        <v>35</v>
      </c>
      <c r="N50" s="100">
        <f t="shared" si="2"/>
        <v>2335</v>
      </c>
      <c r="O50" s="43">
        <f t="shared" si="3"/>
        <v>2568.5</v>
      </c>
    </row>
    <row r="51" spans="1:15" ht="22.5" customHeight="1" x14ac:dyDescent="0.3">
      <c r="A51" s="149" t="s">
        <v>220</v>
      </c>
      <c r="B51" s="44">
        <f>OUT_1!B51+OUT_2!B51+OUT_3!B51+OUT_4!B51</f>
        <v>1147</v>
      </c>
      <c r="C51" s="39">
        <f>OUT_1!C51+OUT_2!C51+OUT_3!C51+OUT_4!C51</f>
        <v>723</v>
      </c>
      <c r="D51" s="39">
        <f>OUT_1!D51+OUT_2!D51+OUT_3!D51+OUT_4!D51</f>
        <v>88</v>
      </c>
      <c r="E51" s="39">
        <f>OUT_1!E51+OUT_2!E51+OUT_3!E51+OUT_4!E51</f>
        <v>43</v>
      </c>
      <c r="F51" s="152">
        <f>OUT_1!F51+OUT_2!F51+OUT_3!F51+OUT_4!F51</f>
        <v>87</v>
      </c>
      <c r="G51" s="154">
        <f t="shared" si="4"/>
        <v>2088</v>
      </c>
      <c r="H51" s="44">
        <f>OUT_1!H51+OUT_2!H51+OUT_3!H51+OUT_4!H51</f>
        <v>1</v>
      </c>
      <c r="I51" s="39">
        <f>OUT_1!I51+OUT_2!I51+OUT_3!I51+OUT_4!I51</f>
        <v>0</v>
      </c>
      <c r="J51" s="39">
        <f>OUT_1!J51+OUT_2!J51+OUT_3!J51+OUT_4!J51</f>
        <v>0</v>
      </c>
      <c r="K51" s="45">
        <f>OUT_1!K51+OUT_2!K51+OUT_3!K51+OUT_4!K51</f>
        <v>0</v>
      </c>
      <c r="L51" s="140">
        <f>OUT_1!L51+OUT_2!L51+OUT_3!L51+OUT_4!L51</f>
        <v>23</v>
      </c>
      <c r="M51" s="149">
        <f t="shared" si="1"/>
        <v>24</v>
      </c>
      <c r="N51" s="100">
        <f t="shared" si="2"/>
        <v>2112</v>
      </c>
      <c r="O51" s="43">
        <f t="shared" si="3"/>
        <v>2345.5</v>
      </c>
    </row>
    <row r="52" spans="1:15" ht="22.5" customHeight="1" x14ac:dyDescent="0.3">
      <c r="A52" s="149" t="s">
        <v>221</v>
      </c>
      <c r="B52" s="44">
        <f>OUT_1!B52+OUT_2!B52+OUT_3!B52+OUT_4!B52</f>
        <v>996</v>
      </c>
      <c r="C52" s="39">
        <f>OUT_1!C52+OUT_2!C52+OUT_3!C52+OUT_4!C52</f>
        <v>633</v>
      </c>
      <c r="D52" s="39">
        <f>OUT_1!D52+OUT_2!D52+OUT_3!D52+OUT_4!D52</f>
        <v>85</v>
      </c>
      <c r="E52" s="39">
        <f>OUT_1!E52+OUT_2!E52+OUT_3!E52+OUT_4!E52</f>
        <v>51</v>
      </c>
      <c r="F52" s="152">
        <f>OUT_1!F52+OUT_2!F52+OUT_3!F52+OUT_4!F52</f>
        <v>80</v>
      </c>
      <c r="G52" s="154">
        <f t="shared" si="4"/>
        <v>1845</v>
      </c>
      <c r="H52" s="44">
        <f>OUT_1!H52+OUT_2!H52+OUT_3!H52+OUT_4!H52</f>
        <v>1</v>
      </c>
      <c r="I52" s="39">
        <f>OUT_1!I52+OUT_2!I52+OUT_3!I52+OUT_4!I52</f>
        <v>0</v>
      </c>
      <c r="J52" s="39">
        <f>OUT_1!J52+OUT_2!J52+OUT_3!J52+OUT_4!J52</f>
        <v>0</v>
      </c>
      <c r="K52" s="45">
        <f>OUT_1!K52+OUT_2!K52+OUT_3!K52+OUT_4!K52</f>
        <v>1</v>
      </c>
      <c r="L52" s="140">
        <f>OUT_1!L52+OUT_2!L52+OUT_3!L52+OUT_4!L52</f>
        <v>6</v>
      </c>
      <c r="M52" s="149">
        <f t="shared" si="1"/>
        <v>8</v>
      </c>
      <c r="N52" s="100">
        <f t="shared" si="2"/>
        <v>1853</v>
      </c>
      <c r="O52" s="43">
        <f t="shared" si="3"/>
        <v>2005.5</v>
      </c>
    </row>
    <row r="53" spans="1:15" ht="22.5" customHeight="1" x14ac:dyDescent="0.3">
      <c r="A53" s="149" t="s">
        <v>222</v>
      </c>
      <c r="B53" s="44">
        <f>OUT_1!B53+OUT_2!B53+OUT_3!B53+OUT_4!B53</f>
        <v>1039</v>
      </c>
      <c r="C53" s="39">
        <f>OUT_1!C53+OUT_2!C53+OUT_3!C53+OUT_4!C53</f>
        <v>668</v>
      </c>
      <c r="D53" s="39">
        <f>OUT_1!D53+OUT_2!D53+OUT_3!D53+OUT_4!D53</f>
        <v>84</v>
      </c>
      <c r="E53" s="39">
        <f>OUT_1!E53+OUT_2!E53+OUT_3!E53+OUT_4!E53</f>
        <v>33</v>
      </c>
      <c r="F53" s="152">
        <f>OUT_1!F53+OUT_2!F53+OUT_3!F53+OUT_4!F53</f>
        <v>116</v>
      </c>
      <c r="G53" s="154">
        <f t="shared" si="4"/>
        <v>1940</v>
      </c>
      <c r="H53" s="44">
        <f>OUT_1!H53+OUT_2!H53+OUT_3!H53+OUT_4!H53</f>
        <v>2</v>
      </c>
      <c r="I53" s="39">
        <f>OUT_1!I53+OUT_2!I53+OUT_3!I53+OUT_4!I53</f>
        <v>0</v>
      </c>
      <c r="J53" s="39">
        <f>OUT_1!J53+OUT_2!J53+OUT_3!J53+OUT_4!J53</f>
        <v>0</v>
      </c>
      <c r="K53" s="45">
        <f>OUT_1!K53+OUT_2!K53+OUT_3!K53+OUT_4!K53</f>
        <v>0</v>
      </c>
      <c r="L53" s="140">
        <f>OUT_1!L53+OUT_2!L53+OUT_3!L53+OUT_4!L53</f>
        <v>11</v>
      </c>
      <c r="M53" s="149">
        <f t="shared" si="1"/>
        <v>13</v>
      </c>
      <c r="N53" s="100">
        <f t="shared" si="2"/>
        <v>1953</v>
      </c>
      <c r="O53" s="43">
        <f t="shared" si="3"/>
        <v>2209</v>
      </c>
    </row>
    <row r="54" spans="1:15" ht="22.5" customHeight="1" x14ac:dyDescent="0.3">
      <c r="A54" s="149" t="s">
        <v>223</v>
      </c>
      <c r="B54" s="44">
        <f>OUT_1!B54+OUT_2!B54+OUT_3!B54+OUT_4!B54</f>
        <v>1075</v>
      </c>
      <c r="C54" s="39">
        <f>OUT_1!C54+OUT_2!C54+OUT_3!C54+OUT_4!C54</f>
        <v>726</v>
      </c>
      <c r="D54" s="39">
        <f>OUT_1!D54+OUT_2!D54+OUT_3!D54+OUT_4!D54</f>
        <v>76</v>
      </c>
      <c r="E54" s="39">
        <f>OUT_1!E54+OUT_2!E54+OUT_3!E54+OUT_4!E54</f>
        <v>39</v>
      </c>
      <c r="F54" s="152">
        <f>OUT_1!F54+OUT_2!F54+OUT_3!F54+OUT_4!F54</f>
        <v>118</v>
      </c>
      <c r="G54" s="154">
        <f t="shared" si="4"/>
        <v>2034</v>
      </c>
      <c r="H54" s="44">
        <f>OUT_1!H54+OUT_2!H54+OUT_3!H54+OUT_4!H54</f>
        <v>5</v>
      </c>
      <c r="I54" s="39">
        <f>OUT_1!I54+OUT_2!I54+OUT_3!I54+OUT_4!I54</f>
        <v>0</v>
      </c>
      <c r="J54" s="39">
        <f>OUT_1!J54+OUT_2!J54+OUT_3!J54+OUT_4!J54</f>
        <v>0</v>
      </c>
      <c r="K54" s="45">
        <f>OUT_1!K54+OUT_2!K54+OUT_3!K54+OUT_4!K54</f>
        <v>0</v>
      </c>
      <c r="L54" s="140">
        <f>OUT_1!L54+OUT_2!L54+OUT_3!L54+OUT_4!L54</f>
        <v>15</v>
      </c>
      <c r="M54" s="149">
        <f t="shared" si="1"/>
        <v>20</v>
      </c>
      <c r="N54" s="100">
        <f t="shared" si="2"/>
        <v>2054</v>
      </c>
      <c r="O54" s="43">
        <f t="shared" si="3"/>
        <v>2322.5</v>
      </c>
    </row>
    <row r="55" spans="1:15" ht="22.5" customHeight="1" x14ac:dyDescent="0.3">
      <c r="A55" s="149" t="s">
        <v>224</v>
      </c>
      <c r="B55" s="44">
        <f>OUT_1!B55+OUT_2!B55+OUT_3!B55+OUT_4!B55</f>
        <v>1037</v>
      </c>
      <c r="C55" s="39">
        <f>OUT_1!C55+OUT_2!C55+OUT_3!C55+OUT_4!C55</f>
        <v>687</v>
      </c>
      <c r="D55" s="39">
        <f>OUT_1!D55+OUT_2!D55+OUT_3!D55+OUT_4!D55</f>
        <v>81</v>
      </c>
      <c r="E55" s="39">
        <f>OUT_1!E55+OUT_2!E55+OUT_3!E55+OUT_4!E55</f>
        <v>45</v>
      </c>
      <c r="F55" s="152">
        <f>OUT_1!F55+OUT_2!F55+OUT_3!F55+OUT_4!F55</f>
        <v>102</v>
      </c>
      <c r="G55" s="154">
        <f t="shared" si="4"/>
        <v>1952</v>
      </c>
      <c r="H55" s="44">
        <f>OUT_1!H55+OUT_2!H55+OUT_3!H55+OUT_4!H55</f>
        <v>0</v>
      </c>
      <c r="I55" s="39">
        <f>OUT_1!I55+OUT_2!I55+OUT_3!I55+OUT_4!I55</f>
        <v>0</v>
      </c>
      <c r="J55" s="39">
        <f>OUT_1!J55+OUT_2!J55+OUT_3!J55+OUT_4!J55</f>
        <v>0</v>
      </c>
      <c r="K55" s="45">
        <f>OUT_1!K55+OUT_2!K55+OUT_3!K55+OUT_4!K55</f>
        <v>0</v>
      </c>
      <c r="L55" s="140">
        <f>OUT_1!L55+OUT_2!L55+OUT_3!L55+OUT_4!L55</f>
        <v>14</v>
      </c>
      <c r="M55" s="149">
        <f t="shared" si="1"/>
        <v>14</v>
      </c>
      <c r="N55" s="100">
        <f t="shared" si="2"/>
        <v>1966</v>
      </c>
      <c r="O55" s="43">
        <f t="shared" si="3"/>
        <v>2208</v>
      </c>
    </row>
    <row r="56" spans="1:15" ht="22.5" customHeight="1" x14ac:dyDescent="0.3">
      <c r="A56" s="149" t="s">
        <v>225</v>
      </c>
      <c r="B56" s="44">
        <f>OUT_1!B56+OUT_2!B56+OUT_3!B56+OUT_4!B56</f>
        <v>1023</v>
      </c>
      <c r="C56" s="39">
        <f>OUT_1!C56+OUT_2!C56+OUT_3!C56+OUT_4!C56</f>
        <v>788</v>
      </c>
      <c r="D56" s="39">
        <f>OUT_1!D56+OUT_2!D56+OUT_3!D56+OUT_4!D56</f>
        <v>61</v>
      </c>
      <c r="E56" s="39">
        <f>OUT_1!E56+OUT_2!E56+OUT_3!E56+OUT_4!E56</f>
        <v>48</v>
      </c>
      <c r="F56" s="152">
        <f>OUT_1!F56+OUT_2!F56+OUT_3!F56+OUT_4!F56</f>
        <v>83</v>
      </c>
      <c r="G56" s="154">
        <f t="shared" si="4"/>
        <v>2003</v>
      </c>
      <c r="H56" s="44">
        <f>OUT_1!H56+OUT_2!H56+OUT_3!H56+OUT_4!H56</f>
        <v>1</v>
      </c>
      <c r="I56" s="39">
        <f>OUT_1!I56+OUT_2!I56+OUT_3!I56+OUT_4!I56</f>
        <v>0</v>
      </c>
      <c r="J56" s="39">
        <f>OUT_1!J56+OUT_2!J56+OUT_3!J56+OUT_4!J56</f>
        <v>0</v>
      </c>
      <c r="K56" s="45">
        <f>OUT_1!K56+OUT_2!K56+OUT_3!K56+OUT_4!K56</f>
        <v>0</v>
      </c>
      <c r="L56" s="140">
        <f>OUT_1!L56+OUT_2!L56+OUT_3!L56+OUT_4!L56</f>
        <v>10</v>
      </c>
      <c r="M56" s="149">
        <f t="shared" si="1"/>
        <v>11</v>
      </c>
      <c r="N56" s="100">
        <f t="shared" si="2"/>
        <v>2014</v>
      </c>
      <c r="O56" s="43">
        <f t="shared" si="3"/>
        <v>2106.5</v>
      </c>
    </row>
    <row r="57" spans="1:15" ht="22.5" customHeight="1" x14ac:dyDescent="0.3">
      <c r="A57" s="149" t="s">
        <v>226</v>
      </c>
      <c r="B57" s="44">
        <f>OUT_1!B57+OUT_2!B57+OUT_3!B57+OUT_4!B57</f>
        <v>981</v>
      </c>
      <c r="C57" s="39">
        <f>OUT_1!C57+OUT_2!C57+OUT_3!C57+OUT_4!C57</f>
        <v>705</v>
      </c>
      <c r="D57" s="39">
        <f>OUT_1!D57+OUT_2!D57+OUT_3!D57+OUT_4!D57</f>
        <v>49</v>
      </c>
      <c r="E57" s="39">
        <f>OUT_1!E57+OUT_2!E57+OUT_3!E57+OUT_4!E57</f>
        <v>48</v>
      </c>
      <c r="F57" s="152">
        <f>OUT_1!F57+OUT_2!F57+OUT_3!F57+OUT_4!F57</f>
        <v>78</v>
      </c>
      <c r="G57" s="154">
        <f t="shared" si="4"/>
        <v>1861</v>
      </c>
      <c r="H57" s="44">
        <f>OUT_1!H57+OUT_2!H57+OUT_3!H57+OUT_4!H57</f>
        <v>0</v>
      </c>
      <c r="I57" s="39">
        <f>OUT_1!I57+OUT_2!I57+OUT_3!I57+OUT_4!I57</f>
        <v>0</v>
      </c>
      <c r="J57" s="39">
        <f>OUT_1!J57+OUT_2!J57+OUT_3!J57+OUT_4!J57</f>
        <v>2</v>
      </c>
      <c r="K57" s="45">
        <f>OUT_1!K57+OUT_2!K57+OUT_3!K57+OUT_4!K57</f>
        <v>0</v>
      </c>
      <c r="L57" s="140">
        <f>OUT_1!L57+OUT_2!L57+OUT_3!L57+OUT_4!L57</f>
        <v>4</v>
      </c>
      <c r="M57" s="149">
        <f t="shared" si="1"/>
        <v>6</v>
      </c>
      <c r="N57" s="100">
        <f t="shared" si="2"/>
        <v>1867</v>
      </c>
      <c r="O57" s="43">
        <f t="shared" si="3"/>
        <v>1940</v>
      </c>
    </row>
    <row r="58" spans="1:15" ht="22.5" customHeight="1" x14ac:dyDescent="0.3">
      <c r="A58" s="149" t="s">
        <v>227</v>
      </c>
      <c r="B58" s="44">
        <f>OUT_1!B58+OUT_2!B58+OUT_3!B58+OUT_4!B58</f>
        <v>914</v>
      </c>
      <c r="C58" s="39">
        <f>OUT_1!C58+OUT_2!C58+OUT_3!C58+OUT_4!C58</f>
        <v>486</v>
      </c>
      <c r="D58" s="39">
        <f>OUT_1!D58+OUT_2!D58+OUT_3!D58+OUT_4!D58</f>
        <v>47</v>
      </c>
      <c r="E58" s="39">
        <f>OUT_1!E58+OUT_2!E58+OUT_3!E58+OUT_4!E58</f>
        <v>47</v>
      </c>
      <c r="F58" s="152">
        <f>OUT_1!F58+OUT_2!F58+OUT_3!F58+OUT_4!F58</f>
        <v>117</v>
      </c>
      <c r="G58" s="154">
        <f t="shared" si="4"/>
        <v>1611</v>
      </c>
      <c r="H58" s="44">
        <f>OUT_1!H58+OUT_2!H58+OUT_3!H58+OUT_4!H58</f>
        <v>1</v>
      </c>
      <c r="I58" s="39">
        <f>OUT_1!I58+OUT_2!I58+OUT_3!I58+OUT_4!I58</f>
        <v>0</v>
      </c>
      <c r="J58" s="39">
        <f>OUT_1!J58+OUT_2!J58+OUT_3!J58+OUT_4!J58</f>
        <v>0</v>
      </c>
      <c r="K58" s="45">
        <f>OUT_1!K58+OUT_2!K58+OUT_3!K58+OUT_4!K58</f>
        <v>0</v>
      </c>
      <c r="L58" s="140">
        <f>OUT_1!L58+OUT_2!L58+OUT_3!L58+OUT_4!L58</f>
        <v>2</v>
      </c>
      <c r="M58" s="149">
        <f t="shared" si="1"/>
        <v>3</v>
      </c>
      <c r="N58" s="100">
        <f t="shared" si="2"/>
        <v>1614</v>
      </c>
      <c r="O58" s="43">
        <f t="shared" si="3"/>
        <v>1911.5</v>
      </c>
    </row>
    <row r="59" spans="1:15" ht="22.5" customHeight="1" x14ac:dyDescent="0.3">
      <c r="A59" s="149" t="s">
        <v>228</v>
      </c>
      <c r="B59" s="44">
        <f>OUT_1!B59+OUT_2!B59+OUT_3!B59+OUT_4!B59</f>
        <v>863</v>
      </c>
      <c r="C59" s="39">
        <f>OUT_1!C59+OUT_2!C59+OUT_3!C59+OUT_4!C59</f>
        <v>490</v>
      </c>
      <c r="D59" s="39">
        <f>OUT_1!D59+OUT_2!D59+OUT_3!D59+OUT_4!D59</f>
        <v>42</v>
      </c>
      <c r="E59" s="39">
        <f>OUT_1!E59+OUT_2!E59+OUT_3!E59+OUT_4!E59</f>
        <v>42</v>
      </c>
      <c r="F59" s="152">
        <f>OUT_1!F59+OUT_2!F59+OUT_3!F59+OUT_4!F59</f>
        <v>125</v>
      </c>
      <c r="G59" s="154">
        <f t="shared" si="4"/>
        <v>1562</v>
      </c>
      <c r="H59" s="44">
        <f>OUT_1!H59+OUT_2!H59+OUT_3!H59+OUT_4!H59</f>
        <v>0</v>
      </c>
      <c r="I59" s="39">
        <f>OUT_1!I59+OUT_2!I59+OUT_3!I59+OUT_4!I59</f>
        <v>0</v>
      </c>
      <c r="J59" s="39">
        <f>OUT_1!J59+OUT_2!J59+OUT_3!J59+OUT_4!J59</f>
        <v>0</v>
      </c>
      <c r="K59" s="45">
        <f>OUT_1!K59+OUT_2!K59+OUT_3!K59+OUT_4!K59</f>
        <v>0</v>
      </c>
      <c r="L59" s="140">
        <f>OUT_1!L59+OUT_2!L59+OUT_3!L59+OUT_4!L59</f>
        <v>1</v>
      </c>
      <c r="M59" s="149">
        <f t="shared" si="1"/>
        <v>1</v>
      </c>
      <c r="N59" s="100">
        <f t="shared" si="2"/>
        <v>1563</v>
      </c>
      <c r="O59" s="43">
        <f t="shared" si="3"/>
        <v>1867.5</v>
      </c>
    </row>
    <row r="60" spans="1:15" ht="22.5" customHeight="1" x14ac:dyDescent="0.3">
      <c r="A60" s="149" t="s">
        <v>229</v>
      </c>
      <c r="B60" s="44">
        <f>OUT_1!B60+OUT_2!B60+OUT_3!B60+OUT_4!B60</f>
        <v>802</v>
      </c>
      <c r="C60" s="39">
        <f>OUT_1!C60+OUT_2!C60+OUT_3!C60+OUT_4!C60</f>
        <v>434</v>
      </c>
      <c r="D60" s="39">
        <f>OUT_1!D60+OUT_2!D60+OUT_3!D60+OUT_4!D60</f>
        <v>53</v>
      </c>
      <c r="E60" s="39">
        <f>OUT_1!E60+OUT_2!E60+OUT_3!E60+OUT_4!E60</f>
        <v>33</v>
      </c>
      <c r="F60" s="152">
        <f>OUT_1!F60+OUT_2!F60+OUT_3!F60+OUT_4!F60</f>
        <v>128</v>
      </c>
      <c r="G60" s="154">
        <f t="shared" si="4"/>
        <v>1450</v>
      </c>
      <c r="H60" s="44">
        <f>OUT_1!H60+OUT_2!H60+OUT_3!H60+OUT_4!H60</f>
        <v>0</v>
      </c>
      <c r="I60" s="39">
        <f>OUT_1!I60+OUT_2!I60+OUT_3!I60+OUT_4!I60</f>
        <v>0</v>
      </c>
      <c r="J60" s="39">
        <f>OUT_1!J60+OUT_2!J60+OUT_3!J60+OUT_4!J60</f>
        <v>0</v>
      </c>
      <c r="K60" s="45">
        <f>OUT_1!K60+OUT_2!K60+OUT_3!K60+OUT_4!K60</f>
        <v>0</v>
      </c>
      <c r="L60" s="140">
        <f>OUT_1!L60+OUT_2!L60+OUT_3!L60+OUT_4!L60</f>
        <v>5</v>
      </c>
      <c r="M60" s="149">
        <f t="shared" si="1"/>
        <v>5</v>
      </c>
      <c r="N60" s="100">
        <f t="shared" si="2"/>
        <v>1455</v>
      </c>
      <c r="O60" s="43">
        <f t="shared" si="3"/>
        <v>1813.5</v>
      </c>
    </row>
    <row r="61" spans="1:15" ht="22.5" customHeight="1" x14ac:dyDescent="0.3">
      <c r="A61" s="149" t="s">
        <v>230</v>
      </c>
      <c r="B61" s="44">
        <f>OUT_1!B61+OUT_2!B61+OUT_3!B61+OUT_4!B61</f>
        <v>706</v>
      </c>
      <c r="C61" s="39">
        <f>OUT_1!C61+OUT_2!C61+OUT_3!C61+OUT_4!C61</f>
        <v>447</v>
      </c>
      <c r="D61" s="39">
        <f>OUT_1!D61+OUT_2!D61+OUT_3!D61+OUT_4!D61</f>
        <v>44</v>
      </c>
      <c r="E61" s="39">
        <f>OUT_1!E61+OUT_2!E61+OUT_3!E61+OUT_4!E61</f>
        <v>41</v>
      </c>
      <c r="F61" s="152">
        <f>OUT_1!F61+OUT_2!F61+OUT_3!F61+OUT_4!F61</f>
        <v>124</v>
      </c>
      <c r="G61" s="154">
        <f t="shared" si="4"/>
        <v>1362</v>
      </c>
      <c r="H61" s="44">
        <f>OUT_1!H61+OUT_2!H61+OUT_3!H61+OUT_4!H61</f>
        <v>0</v>
      </c>
      <c r="I61" s="39">
        <f>OUT_1!I61+OUT_2!I61+OUT_3!I61+OUT_4!I61</f>
        <v>0</v>
      </c>
      <c r="J61" s="39">
        <f>OUT_1!J61+OUT_2!J61+OUT_3!J61+OUT_4!J61</f>
        <v>0</v>
      </c>
      <c r="K61" s="45">
        <f>OUT_1!K61+OUT_2!K61+OUT_3!K61+OUT_4!K61</f>
        <v>0</v>
      </c>
      <c r="L61" s="140">
        <f>OUT_1!L61+OUT_2!L61+OUT_3!L61+OUT_4!L61</f>
        <v>4</v>
      </c>
      <c r="M61" s="149">
        <f t="shared" si="1"/>
        <v>4</v>
      </c>
      <c r="N61" s="100">
        <f t="shared" si="2"/>
        <v>1366</v>
      </c>
      <c r="O61" s="43">
        <f t="shared" si="3"/>
        <v>1708.5</v>
      </c>
    </row>
    <row r="62" spans="1:15" ht="22.5" customHeight="1" x14ac:dyDescent="0.3">
      <c r="A62" s="149" t="s">
        <v>231</v>
      </c>
      <c r="B62" s="44">
        <f>OUT_1!B62+OUT_2!B62+OUT_3!B62+OUT_4!B62</f>
        <v>710</v>
      </c>
      <c r="C62" s="39">
        <f>OUT_1!C62+OUT_2!C62+OUT_3!C62+OUT_4!C62</f>
        <v>327</v>
      </c>
      <c r="D62" s="39">
        <f>OUT_1!D62+OUT_2!D62+OUT_3!D62+OUT_4!D62</f>
        <v>43</v>
      </c>
      <c r="E62" s="39">
        <f>OUT_1!E62+OUT_2!E62+OUT_3!E62+OUT_4!E62</f>
        <v>40</v>
      </c>
      <c r="F62" s="152">
        <f>OUT_1!F62+OUT_2!F62+OUT_3!F62+OUT_4!F62</f>
        <v>149</v>
      </c>
      <c r="G62" s="154">
        <f t="shared" si="4"/>
        <v>1269</v>
      </c>
      <c r="H62" s="44">
        <f>OUT_1!H62+OUT_2!H62+OUT_3!H62+OUT_4!H62</f>
        <v>0</v>
      </c>
      <c r="I62" s="39">
        <f>OUT_1!I62+OUT_2!I62+OUT_3!I62+OUT_4!I62</f>
        <v>0</v>
      </c>
      <c r="J62" s="39">
        <f>OUT_1!J62+OUT_2!J62+OUT_3!J62+OUT_4!J62</f>
        <v>0</v>
      </c>
      <c r="K62" s="45">
        <f>OUT_1!K62+OUT_2!K62+OUT_3!K62+OUT_4!K62</f>
        <v>0</v>
      </c>
      <c r="L62" s="140">
        <f>OUT_1!L62+OUT_2!L62+OUT_3!L62+OUT_4!L62</f>
        <v>2</v>
      </c>
      <c r="M62" s="149">
        <f t="shared" si="1"/>
        <v>2</v>
      </c>
      <c r="N62" s="100">
        <f t="shared" si="2"/>
        <v>1271</v>
      </c>
      <c r="O62" s="43">
        <f t="shared" si="3"/>
        <v>1744.5</v>
      </c>
    </row>
    <row r="63" spans="1:15" ht="22.5" customHeight="1" x14ac:dyDescent="0.3">
      <c r="A63" s="149" t="s">
        <v>232</v>
      </c>
      <c r="B63" s="44">
        <f>OUT_1!B63+OUT_2!B63+OUT_3!B63+OUT_4!B63</f>
        <v>601</v>
      </c>
      <c r="C63" s="39">
        <f>OUT_1!C63+OUT_2!C63+OUT_3!C63+OUT_4!C63</f>
        <v>342</v>
      </c>
      <c r="D63" s="39">
        <f>OUT_1!D63+OUT_2!D63+OUT_3!D63+OUT_4!D63</f>
        <v>42</v>
      </c>
      <c r="E63" s="39">
        <f>OUT_1!E63+OUT_2!E63+OUT_3!E63+OUT_4!E63</f>
        <v>29</v>
      </c>
      <c r="F63" s="152">
        <f>OUT_1!F63+OUT_2!F63+OUT_3!F63+OUT_4!F63</f>
        <v>110</v>
      </c>
      <c r="G63" s="154">
        <f t="shared" si="4"/>
        <v>1124</v>
      </c>
      <c r="H63" s="44">
        <f>OUT_1!H63+OUT_2!H63+OUT_3!H63+OUT_4!H63</f>
        <v>0</v>
      </c>
      <c r="I63" s="39">
        <f>OUT_1!I63+OUT_2!I63+OUT_3!I63+OUT_4!I63</f>
        <v>0</v>
      </c>
      <c r="J63" s="39">
        <f>OUT_1!J63+OUT_2!J63+OUT_3!J63+OUT_4!J63</f>
        <v>0</v>
      </c>
      <c r="K63" s="45">
        <f>OUT_1!K63+OUT_2!K63+OUT_3!K63+OUT_4!K63</f>
        <v>0</v>
      </c>
      <c r="L63" s="140">
        <f>OUT_1!L63+OUT_2!L63+OUT_3!L63+OUT_4!L63</f>
        <v>2</v>
      </c>
      <c r="M63" s="149">
        <f t="shared" si="1"/>
        <v>2</v>
      </c>
      <c r="N63" s="100">
        <f t="shared" si="2"/>
        <v>1126</v>
      </c>
      <c r="O63" s="43">
        <f t="shared" si="3"/>
        <v>1433</v>
      </c>
    </row>
    <row r="64" spans="1:15" ht="22.5" customHeight="1" x14ac:dyDescent="0.3">
      <c r="A64" s="149" t="s">
        <v>233</v>
      </c>
      <c r="B64" s="44">
        <f>OUT_1!B64+OUT_2!B64+OUT_3!B64+OUT_4!B64</f>
        <v>539</v>
      </c>
      <c r="C64" s="39">
        <f>OUT_1!C64+OUT_2!C64+OUT_3!C64+OUT_4!C64</f>
        <v>197</v>
      </c>
      <c r="D64" s="39">
        <f>OUT_1!D64+OUT_2!D64+OUT_3!D64+OUT_4!D64</f>
        <v>61</v>
      </c>
      <c r="E64" s="39">
        <f>OUT_1!E64+OUT_2!E64+OUT_3!E64+OUT_4!E64</f>
        <v>39</v>
      </c>
      <c r="F64" s="152">
        <f>OUT_1!F64+OUT_2!F64+OUT_3!F64+OUT_4!F64</f>
        <v>107</v>
      </c>
      <c r="G64" s="154">
        <f t="shared" si="4"/>
        <v>943</v>
      </c>
      <c r="H64" s="44">
        <f>OUT_1!H64+OUT_2!H64+OUT_3!H64+OUT_4!H64</f>
        <v>0</v>
      </c>
      <c r="I64" s="39">
        <f>OUT_1!I64+OUT_2!I64+OUT_3!I64+OUT_4!I64</f>
        <v>0</v>
      </c>
      <c r="J64" s="39">
        <f>OUT_1!J64+OUT_2!J64+OUT_3!J64+OUT_4!J64</f>
        <v>0</v>
      </c>
      <c r="K64" s="45">
        <f>OUT_1!K64+OUT_2!K64+OUT_3!K64+OUT_4!K64</f>
        <v>0</v>
      </c>
      <c r="L64" s="140">
        <f>OUT_1!L64+OUT_2!L64+OUT_3!L64+OUT_4!L64</f>
        <v>2</v>
      </c>
      <c r="M64" s="149">
        <f t="shared" si="1"/>
        <v>2</v>
      </c>
      <c r="N64" s="100">
        <f t="shared" si="2"/>
        <v>945</v>
      </c>
      <c r="O64" s="43">
        <f t="shared" si="3"/>
        <v>1343.5</v>
      </c>
    </row>
    <row r="65" spans="1:15" ht="22.5" customHeight="1" x14ac:dyDescent="0.3">
      <c r="A65" s="149" t="s">
        <v>234</v>
      </c>
      <c r="B65" s="44">
        <f>OUT_1!B65+OUT_2!B65+OUT_3!B65+OUT_4!B65</f>
        <v>472</v>
      </c>
      <c r="C65" s="39">
        <f>OUT_1!C65+OUT_2!C65+OUT_3!C65+OUT_4!C65</f>
        <v>174</v>
      </c>
      <c r="D65" s="39">
        <f>OUT_1!D65+OUT_2!D65+OUT_3!D65+OUT_4!D65</f>
        <v>62</v>
      </c>
      <c r="E65" s="39">
        <f>OUT_1!E65+OUT_2!E65+OUT_3!E65+OUT_4!E65</f>
        <v>31</v>
      </c>
      <c r="F65" s="152">
        <f>OUT_1!F65+OUT_2!F65+OUT_3!F65+OUT_4!F65</f>
        <v>131</v>
      </c>
      <c r="G65" s="154">
        <f t="shared" si="4"/>
        <v>870</v>
      </c>
      <c r="H65" s="44">
        <f>OUT_1!H65+OUT_2!H65+OUT_3!H65+OUT_4!H65</f>
        <v>0</v>
      </c>
      <c r="I65" s="39">
        <f>OUT_1!I65+OUT_2!I65+OUT_3!I65+OUT_4!I65</f>
        <v>0</v>
      </c>
      <c r="J65" s="39">
        <f>OUT_1!J65+OUT_2!J65+OUT_3!J65+OUT_4!J65</f>
        <v>0</v>
      </c>
      <c r="K65" s="45">
        <f>OUT_1!K65+OUT_2!K65+OUT_3!K65+OUT_4!K65</f>
        <v>0</v>
      </c>
      <c r="L65" s="140">
        <f>OUT_1!L65+OUT_2!L65+OUT_3!L65+OUT_4!L65</f>
        <v>2</v>
      </c>
      <c r="M65" s="149">
        <f t="shared" si="1"/>
        <v>2</v>
      </c>
      <c r="N65" s="100">
        <f t="shared" si="2"/>
        <v>872</v>
      </c>
      <c r="O65" s="43">
        <f t="shared" si="3"/>
        <v>1350.5</v>
      </c>
    </row>
    <row r="66" spans="1:15" ht="22.5" customHeight="1" x14ac:dyDescent="0.3">
      <c r="A66" s="149" t="s">
        <v>235</v>
      </c>
      <c r="B66" s="44">
        <f>OUT_1!B66+OUT_2!B66+OUT_3!B66+OUT_4!B66</f>
        <v>421</v>
      </c>
      <c r="C66" s="39">
        <f>OUT_1!C66+OUT_2!C66+OUT_3!C66+OUT_4!C66</f>
        <v>176</v>
      </c>
      <c r="D66" s="39">
        <f>OUT_1!D66+OUT_2!D66+OUT_3!D66+OUT_4!D66</f>
        <v>53</v>
      </c>
      <c r="E66" s="39">
        <f>OUT_1!E66+OUT_2!E66+OUT_3!E66+OUT_4!E66</f>
        <v>34</v>
      </c>
      <c r="F66" s="152">
        <f>OUT_1!F66+OUT_2!F66+OUT_3!F66+OUT_4!F66</f>
        <v>132</v>
      </c>
      <c r="G66" s="154">
        <f t="shared" si="4"/>
        <v>816</v>
      </c>
      <c r="H66" s="44">
        <f>OUT_1!H66+OUT_2!H66+OUT_3!H66+OUT_4!H66</f>
        <v>0</v>
      </c>
      <c r="I66" s="39">
        <f>OUT_1!I66+OUT_2!I66+OUT_3!I66+OUT_4!I66</f>
        <v>0</v>
      </c>
      <c r="J66" s="39">
        <f>OUT_1!J66+OUT_2!J66+OUT_3!J66+OUT_4!J66</f>
        <v>0</v>
      </c>
      <c r="K66" s="45">
        <f>OUT_1!K66+OUT_2!K66+OUT_3!K66+OUT_4!K66</f>
        <v>0</v>
      </c>
      <c r="L66" s="140">
        <f>OUT_1!L66+OUT_2!L66+OUT_3!L66+OUT_4!L66</f>
        <v>2</v>
      </c>
      <c r="M66" s="149">
        <f t="shared" si="1"/>
        <v>2</v>
      </c>
      <c r="N66" s="100">
        <f t="shared" si="2"/>
        <v>818</v>
      </c>
      <c r="O66" s="43">
        <f t="shared" si="3"/>
        <v>1300.5</v>
      </c>
    </row>
    <row r="67" spans="1:15" ht="22.5" customHeight="1" x14ac:dyDescent="0.3">
      <c r="A67" s="149" t="s">
        <v>236</v>
      </c>
      <c r="B67" s="44">
        <f>OUT_1!B67+OUT_2!B67+OUT_3!B67+OUT_4!B67</f>
        <v>383</v>
      </c>
      <c r="C67" s="39">
        <f>OUT_1!C67+OUT_2!C67+OUT_3!C67+OUT_4!C67</f>
        <v>168</v>
      </c>
      <c r="D67" s="39">
        <f>OUT_1!D67+OUT_2!D67+OUT_3!D67+OUT_4!D67</f>
        <v>62</v>
      </c>
      <c r="E67" s="39">
        <f>OUT_1!E67+OUT_2!E67+OUT_3!E67+OUT_4!E67</f>
        <v>28</v>
      </c>
      <c r="F67" s="152">
        <f>OUT_1!F67+OUT_2!F67+OUT_3!F67+OUT_4!F67</f>
        <v>94</v>
      </c>
      <c r="G67" s="154">
        <f t="shared" si="4"/>
        <v>735</v>
      </c>
      <c r="H67" s="44">
        <f>OUT_1!H67+OUT_2!H67+OUT_3!H67+OUT_4!H67</f>
        <v>0</v>
      </c>
      <c r="I67" s="39">
        <f>OUT_1!I67+OUT_2!I67+OUT_3!I67+OUT_4!I67</f>
        <v>0</v>
      </c>
      <c r="J67" s="39">
        <f>OUT_1!J67+OUT_2!J67+OUT_3!J67+OUT_4!J67</f>
        <v>0</v>
      </c>
      <c r="K67" s="45">
        <f>OUT_1!K67+OUT_2!K67+OUT_3!K67+OUT_4!K67</f>
        <v>0</v>
      </c>
      <c r="L67" s="140">
        <f>OUT_1!L67+OUT_2!L67+OUT_3!L67+OUT_4!L67</f>
        <v>1</v>
      </c>
      <c r="M67" s="149">
        <f t="shared" si="1"/>
        <v>1</v>
      </c>
      <c r="N67" s="100">
        <f t="shared" si="2"/>
        <v>736</v>
      </c>
      <c r="O67" s="43">
        <f t="shared" si="3"/>
        <v>1075</v>
      </c>
    </row>
    <row r="68" spans="1:15" ht="22.5" customHeight="1" x14ac:dyDescent="0.3">
      <c r="A68" s="149" t="s">
        <v>237</v>
      </c>
      <c r="B68" s="44">
        <f>OUT_1!B68+OUT_2!B68+OUT_3!B68+OUT_4!B68</f>
        <v>350</v>
      </c>
      <c r="C68" s="39">
        <f>OUT_1!C68+OUT_2!C68+OUT_3!C68+OUT_4!C68</f>
        <v>123</v>
      </c>
      <c r="D68" s="39">
        <f>OUT_1!D68+OUT_2!D68+OUT_3!D68+OUT_4!D68</f>
        <v>59</v>
      </c>
      <c r="E68" s="39">
        <f>OUT_1!E68+OUT_2!E68+OUT_3!E68+OUT_4!E68</f>
        <v>37</v>
      </c>
      <c r="F68" s="152">
        <f>OUT_1!F68+OUT_2!F68+OUT_3!F68+OUT_4!F68</f>
        <v>113</v>
      </c>
      <c r="G68" s="154">
        <f t="shared" si="4"/>
        <v>682</v>
      </c>
      <c r="H68" s="44">
        <f>OUT_1!H68+OUT_2!H68+OUT_3!H68+OUT_4!H68</f>
        <v>0</v>
      </c>
      <c r="I68" s="39">
        <f>OUT_1!I68+OUT_2!I68+OUT_3!I68+OUT_4!I68</f>
        <v>0</v>
      </c>
      <c r="J68" s="39">
        <f>OUT_1!J68+OUT_2!J68+OUT_3!J68+OUT_4!J68</f>
        <v>0</v>
      </c>
      <c r="K68" s="45">
        <f>OUT_1!K68+OUT_2!K68+OUT_3!K68+OUT_4!K68</f>
        <v>0</v>
      </c>
      <c r="L68" s="140">
        <f>OUT_1!L68+OUT_2!L68+OUT_3!L68+OUT_4!L68</f>
        <v>0</v>
      </c>
      <c r="M68" s="149">
        <f t="shared" si="1"/>
        <v>0</v>
      </c>
      <c r="N68" s="100">
        <f t="shared" si="2"/>
        <v>682</v>
      </c>
      <c r="O68" s="43">
        <f t="shared" si="3"/>
        <v>1119.5</v>
      </c>
    </row>
    <row r="69" spans="1:15" ht="22.5" customHeight="1" x14ac:dyDescent="0.3">
      <c r="A69" s="149" t="s">
        <v>238</v>
      </c>
      <c r="B69" s="44">
        <f>OUT_1!B69+OUT_2!B69+OUT_3!B69+OUT_4!B69</f>
        <v>335</v>
      </c>
      <c r="C69" s="39">
        <f>OUT_1!C69+OUT_2!C69+OUT_3!C69+OUT_4!C69</f>
        <v>123</v>
      </c>
      <c r="D69" s="39">
        <f>OUT_1!D69+OUT_2!D69+OUT_3!D69+OUT_4!D69</f>
        <v>27</v>
      </c>
      <c r="E69" s="39">
        <f>OUT_1!E69+OUT_2!E69+OUT_3!E69+OUT_4!E69</f>
        <v>35</v>
      </c>
      <c r="F69" s="152">
        <f>OUT_1!F69+OUT_2!F69+OUT_3!F69+OUT_4!F69</f>
        <v>98</v>
      </c>
      <c r="G69" s="154">
        <f t="shared" si="4"/>
        <v>618</v>
      </c>
      <c r="H69" s="44">
        <f>OUT_1!H69+OUT_2!H69+OUT_3!H69+OUT_4!H69</f>
        <v>0</v>
      </c>
      <c r="I69" s="39">
        <f>OUT_1!I69+OUT_2!I69+OUT_3!I69+OUT_4!I69</f>
        <v>0</v>
      </c>
      <c r="J69" s="39">
        <f>OUT_1!J69+OUT_2!J69+OUT_3!J69+OUT_4!J69</f>
        <v>0</v>
      </c>
      <c r="K69" s="45">
        <f>OUT_1!K69+OUT_2!K69+OUT_3!K69+OUT_4!K69</f>
        <v>0</v>
      </c>
      <c r="L69" s="140">
        <f>OUT_1!L69+OUT_2!L69+OUT_3!L69+OUT_4!L69</f>
        <v>2</v>
      </c>
      <c r="M69" s="149">
        <f t="shared" si="1"/>
        <v>2</v>
      </c>
      <c r="N69" s="100">
        <f t="shared" si="2"/>
        <v>620</v>
      </c>
      <c r="O69" s="43">
        <f t="shared" si="3"/>
        <v>999</v>
      </c>
    </row>
    <row r="70" spans="1:15" ht="22.5" customHeight="1" x14ac:dyDescent="0.3">
      <c r="A70" s="149" t="s">
        <v>239</v>
      </c>
      <c r="B70" s="44">
        <f>OUT_1!B70+OUT_2!B70+OUT_3!B70+OUT_4!B70</f>
        <v>251</v>
      </c>
      <c r="C70" s="39">
        <f>OUT_1!C70+OUT_2!C70+OUT_3!C70+OUT_4!C70</f>
        <v>106</v>
      </c>
      <c r="D70" s="39">
        <f>OUT_1!D70+OUT_2!D70+OUT_3!D70+OUT_4!D70</f>
        <v>48</v>
      </c>
      <c r="E70" s="39">
        <f>OUT_1!E70+OUT_2!E70+OUT_3!E70+OUT_4!E70</f>
        <v>38</v>
      </c>
      <c r="F70" s="152">
        <f>OUT_1!F70+OUT_2!F70+OUT_3!F70+OUT_4!F70</f>
        <v>122</v>
      </c>
      <c r="G70" s="154">
        <f t="shared" si="4"/>
        <v>565</v>
      </c>
      <c r="H70" s="44">
        <f>OUT_1!H70+OUT_2!H70+OUT_3!H70+OUT_4!H70</f>
        <v>0</v>
      </c>
      <c r="I70" s="39">
        <f>OUT_1!I70+OUT_2!I70+OUT_3!I70+OUT_4!I70</f>
        <v>0</v>
      </c>
      <c r="J70" s="39">
        <f>OUT_1!J70+OUT_2!J70+OUT_3!J70+OUT_4!J70</f>
        <v>0</v>
      </c>
      <c r="K70" s="45">
        <f>OUT_1!K70+OUT_2!K70+OUT_3!K70+OUT_4!K70</f>
        <v>0</v>
      </c>
      <c r="L70" s="140">
        <f>OUT_1!L70+OUT_2!L70+OUT_3!L70+OUT_4!L70</f>
        <v>4</v>
      </c>
      <c r="M70" s="149">
        <f t="shared" si="1"/>
        <v>4</v>
      </c>
      <c r="N70" s="100">
        <f t="shared" si="2"/>
        <v>569</v>
      </c>
      <c r="O70" s="43">
        <f t="shared" si="3"/>
        <v>1071</v>
      </c>
    </row>
    <row r="71" spans="1:15" ht="22.5" customHeight="1" x14ac:dyDescent="0.3">
      <c r="A71" s="149" t="s">
        <v>240</v>
      </c>
      <c r="B71" s="44">
        <f>OUT_1!B71+OUT_2!B71+OUT_3!B71+OUT_4!B71</f>
        <v>217</v>
      </c>
      <c r="C71" s="39">
        <f>OUT_1!C71+OUT_2!C71+OUT_3!C71+OUT_4!C71</f>
        <v>81</v>
      </c>
      <c r="D71" s="39">
        <f>OUT_1!D71+OUT_2!D71+OUT_3!D71+OUT_4!D71</f>
        <v>30</v>
      </c>
      <c r="E71" s="39">
        <f>OUT_1!E71+OUT_2!E71+OUT_3!E71+OUT_4!E71</f>
        <v>37</v>
      </c>
      <c r="F71" s="152">
        <f>OUT_1!F71+OUT_2!F71+OUT_3!F71+OUT_4!F71</f>
        <v>113</v>
      </c>
      <c r="G71" s="154">
        <f t="shared" si="4"/>
        <v>478</v>
      </c>
      <c r="H71" s="44">
        <f>OUT_1!H71+OUT_2!H71+OUT_3!H71+OUT_4!H71</f>
        <v>0</v>
      </c>
      <c r="I71" s="39">
        <f>OUT_1!I71+OUT_2!I71+OUT_3!I71+OUT_4!I71</f>
        <v>0</v>
      </c>
      <c r="J71" s="39">
        <f>OUT_1!J71+OUT_2!J71+OUT_3!J71+OUT_4!J71</f>
        <v>0</v>
      </c>
      <c r="K71" s="45">
        <f>OUT_1!K71+OUT_2!K71+OUT_3!K71+OUT_4!K71</f>
        <v>0</v>
      </c>
      <c r="L71" s="140">
        <f>OUT_1!L71+OUT_2!L71+OUT_3!L71+OUT_4!L71</f>
        <v>3</v>
      </c>
      <c r="M71" s="149">
        <f t="shared" si="1"/>
        <v>3</v>
      </c>
      <c r="N71" s="100">
        <f t="shared" si="2"/>
        <v>481</v>
      </c>
      <c r="O71" s="43">
        <f t="shared" si="3"/>
        <v>946</v>
      </c>
    </row>
    <row r="72" spans="1:15" ht="22.5" customHeight="1" x14ac:dyDescent="0.3">
      <c r="A72" s="149" t="s">
        <v>153</v>
      </c>
      <c r="B72" s="44">
        <f>OUT_1!B72+OUT_2!B72+OUT_3!B72+OUT_4!B72</f>
        <v>158</v>
      </c>
      <c r="C72" s="39">
        <f>OUT_1!C72+OUT_2!C72+OUT_3!C72+OUT_4!C72</f>
        <v>120</v>
      </c>
      <c r="D72" s="39">
        <f>OUT_1!D72+OUT_2!D72+OUT_3!D72+OUT_4!D72</f>
        <v>63</v>
      </c>
      <c r="E72" s="39">
        <f>OUT_1!E72+OUT_2!E72+OUT_3!E72+OUT_4!E72</f>
        <v>19</v>
      </c>
      <c r="F72" s="152">
        <f>OUT_1!F72+OUT_2!F72+OUT_3!F72+OUT_4!F72</f>
        <v>87</v>
      </c>
      <c r="G72" s="154">
        <f t="shared" ref="G72:G103" si="5">SUM(B72:F72)</f>
        <v>447</v>
      </c>
      <c r="H72" s="44">
        <f>OUT_1!H72+OUT_2!H72+OUT_3!H72+OUT_4!H72</f>
        <v>0</v>
      </c>
      <c r="I72" s="39">
        <f>OUT_1!I72+OUT_2!I72+OUT_3!I72+OUT_4!I72</f>
        <v>0</v>
      </c>
      <c r="J72" s="39">
        <f>OUT_1!J72+OUT_2!J72+OUT_3!J72+OUT_4!J72</f>
        <v>0</v>
      </c>
      <c r="K72" s="45">
        <f>OUT_1!K72+OUT_2!K72+OUT_3!K72+OUT_4!K72</f>
        <v>0</v>
      </c>
      <c r="L72" s="140">
        <f>OUT_1!L72+OUT_2!L72+OUT_3!L72+OUT_4!L72</f>
        <v>5</v>
      </c>
      <c r="M72" s="149">
        <f t="shared" si="1"/>
        <v>5</v>
      </c>
      <c r="N72" s="100">
        <f t="shared" si="2"/>
        <v>452</v>
      </c>
      <c r="O72" s="43">
        <f t="shared" si="3"/>
        <v>801</v>
      </c>
    </row>
    <row r="73" spans="1:15" ht="22.5" customHeight="1" x14ac:dyDescent="0.3">
      <c r="A73" s="149" t="s">
        <v>154</v>
      </c>
      <c r="B73" s="44">
        <f>OUT_1!B73+OUT_2!B73+OUT_3!B73+OUT_4!B73</f>
        <v>170</v>
      </c>
      <c r="C73" s="39">
        <f>OUT_1!C73+OUT_2!C73+OUT_3!C73+OUT_4!C73</f>
        <v>89</v>
      </c>
      <c r="D73" s="39">
        <f>OUT_1!D73+OUT_2!D73+OUT_3!D73+OUT_4!D73</f>
        <v>49</v>
      </c>
      <c r="E73" s="39">
        <f>OUT_1!E73+OUT_2!E73+OUT_3!E73+OUT_4!E73</f>
        <v>27</v>
      </c>
      <c r="F73" s="152">
        <f>OUT_1!F73+OUT_2!F73+OUT_3!F73+OUT_4!F73</f>
        <v>63</v>
      </c>
      <c r="G73" s="154">
        <f t="shared" si="5"/>
        <v>398</v>
      </c>
      <c r="H73" s="44">
        <f>OUT_1!H73+OUT_2!H73+OUT_3!H73+OUT_4!H73</f>
        <v>1</v>
      </c>
      <c r="I73" s="39">
        <f>OUT_1!I73+OUT_2!I73+OUT_3!I73+OUT_4!I73</f>
        <v>0</v>
      </c>
      <c r="J73" s="39">
        <f>OUT_1!J73+OUT_2!J73+OUT_3!J73+OUT_4!J73</f>
        <v>0</v>
      </c>
      <c r="K73" s="45">
        <f>OUT_1!K73+OUT_2!K73+OUT_3!K73+OUT_4!K73</f>
        <v>0</v>
      </c>
      <c r="L73" s="140">
        <f>OUT_1!L73+OUT_2!L73+OUT_3!L73+OUT_4!L73</f>
        <v>0</v>
      </c>
      <c r="M73" s="149">
        <f t="shared" ref="M73:M103" si="6">SUM(H73:L73)</f>
        <v>1</v>
      </c>
      <c r="N73" s="100">
        <f t="shared" ref="N73:N103" si="7">G73+M73</f>
        <v>399</v>
      </c>
      <c r="O73" s="43">
        <f t="shared" ref="O73:O103" si="8">B73*1+C73*0.5+D73*1.5+E73*3+F73*4.5+H73*0.5+I73*1.5+J73*3+K73*4+L73*8</f>
        <v>653</v>
      </c>
    </row>
    <row r="74" spans="1:15" ht="22.5" customHeight="1" x14ac:dyDescent="0.3">
      <c r="A74" s="149" t="s">
        <v>155</v>
      </c>
      <c r="B74" s="44">
        <f>OUT_1!B74+OUT_2!B74+OUT_3!B74+OUT_4!B74</f>
        <v>166</v>
      </c>
      <c r="C74" s="39">
        <f>OUT_1!C74+OUT_2!C74+OUT_3!C74+OUT_4!C74</f>
        <v>63</v>
      </c>
      <c r="D74" s="39">
        <f>OUT_1!D74+OUT_2!D74+OUT_3!D74+OUT_4!D74</f>
        <v>58</v>
      </c>
      <c r="E74" s="39">
        <f>OUT_1!E74+OUT_2!E74+OUT_3!E74+OUT_4!E74</f>
        <v>29</v>
      </c>
      <c r="F74" s="152">
        <f>OUT_1!F74+OUT_2!F74+OUT_3!F74+OUT_4!F74</f>
        <v>67</v>
      </c>
      <c r="G74" s="154">
        <f t="shared" si="5"/>
        <v>383</v>
      </c>
      <c r="H74" s="44">
        <f>OUT_1!H74+OUT_2!H74+OUT_3!H74+OUT_4!H74</f>
        <v>0</v>
      </c>
      <c r="I74" s="39">
        <f>OUT_1!I74+OUT_2!I74+OUT_3!I74+OUT_4!I74</f>
        <v>0</v>
      </c>
      <c r="J74" s="39">
        <f>OUT_1!J74+OUT_2!J74+OUT_3!J74+OUT_4!J74</f>
        <v>0</v>
      </c>
      <c r="K74" s="45">
        <f>OUT_1!K74+OUT_2!K74+OUT_3!K74+OUT_4!K74</f>
        <v>0</v>
      </c>
      <c r="L74" s="140">
        <f>OUT_1!L74+OUT_2!L74+OUT_3!L74+OUT_4!L74</f>
        <v>0</v>
      </c>
      <c r="M74" s="149">
        <f t="shared" si="6"/>
        <v>0</v>
      </c>
      <c r="N74" s="100">
        <f t="shared" si="7"/>
        <v>383</v>
      </c>
      <c r="O74" s="43">
        <f t="shared" si="8"/>
        <v>673</v>
      </c>
    </row>
    <row r="75" spans="1:15" ht="22.5" customHeight="1" x14ac:dyDescent="0.3">
      <c r="A75" s="149" t="s">
        <v>156</v>
      </c>
      <c r="B75" s="44">
        <f>OUT_1!B75+OUT_2!B75+OUT_3!B75+OUT_4!B75</f>
        <v>150</v>
      </c>
      <c r="C75" s="39">
        <f>OUT_1!C75+OUT_2!C75+OUT_3!C75+OUT_4!C75</f>
        <v>64</v>
      </c>
      <c r="D75" s="39">
        <f>OUT_1!D75+OUT_2!D75+OUT_3!D75+OUT_4!D75</f>
        <v>53</v>
      </c>
      <c r="E75" s="39">
        <f>OUT_1!E75+OUT_2!E75+OUT_3!E75+OUT_4!E75</f>
        <v>29</v>
      </c>
      <c r="F75" s="152">
        <f>OUT_1!F75+OUT_2!F75+OUT_3!F75+OUT_4!F75</f>
        <v>70</v>
      </c>
      <c r="G75" s="154">
        <f t="shared" si="5"/>
        <v>366</v>
      </c>
      <c r="H75" s="44">
        <f>OUT_1!H75+OUT_2!H75+OUT_3!H75+OUT_4!H75</f>
        <v>0</v>
      </c>
      <c r="I75" s="39">
        <f>OUT_1!I75+OUT_2!I75+OUT_3!I75+OUT_4!I75</f>
        <v>0</v>
      </c>
      <c r="J75" s="39">
        <f>OUT_1!J75+OUT_2!J75+OUT_3!J75+OUT_4!J75</f>
        <v>0</v>
      </c>
      <c r="K75" s="45">
        <f>OUT_1!K75+OUT_2!K75+OUT_3!K75+OUT_4!K75</f>
        <v>0</v>
      </c>
      <c r="L75" s="140">
        <f>OUT_1!L75+OUT_2!L75+OUT_3!L75+OUT_4!L75</f>
        <v>1</v>
      </c>
      <c r="M75" s="149">
        <f t="shared" si="6"/>
        <v>1</v>
      </c>
      <c r="N75" s="100">
        <f t="shared" si="7"/>
        <v>367</v>
      </c>
      <c r="O75" s="43">
        <f t="shared" si="8"/>
        <v>671.5</v>
      </c>
    </row>
    <row r="76" spans="1:15" ht="22.5" customHeight="1" x14ac:dyDescent="0.3">
      <c r="A76" s="149" t="s">
        <v>157</v>
      </c>
      <c r="B76" s="44">
        <f>OUT_1!B76+OUT_2!B76+OUT_3!B76+OUT_4!B76</f>
        <v>134</v>
      </c>
      <c r="C76" s="39">
        <f>OUT_1!C76+OUT_2!C76+OUT_3!C76+OUT_4!C76</f>
        <v>60</v>
      </c>
      <c r="D76" s="39">
        <f>OUT_1!D76+OUT_2!D76+OUT_3!D76+OUT_4!D76</f>
        <v>49</v>
      </c>
      <c r="E76" s="39">
        <f>OUT_1!E76+OUT_2!E76+OUT_3!E76+OUT_4!E76</f>
        <v>13</v>
      </c>
      <c r="F76" s="152">
        <f>OUT_1!F76+OUT_2!F76+OUT_3!F76+OUT_4!F76</f>
        <v>58</v>
      </c>
      <c r="G76" s="154">
        <f t="shared" si="5"/>
        <v>314</v>
      </c>
      <c r="H76" s="44">
        <f>OUT_1!H76+OUT_2!H76+OUT_3!H76+OUT_4!H76</f>
        <v>1</v>
      </c>
      <c r="I76" s="39">
        <f>OUT_1!I76+OUT_2!I76+OUT_3!I76+OUT_4!I76</f>
        <v>0</v>
      </c>
      <c r="J76" s="39">
        <f>OUT_1!J76+OUT_2!J76+OUT_3!J76+OUT_4!J76</f>
        <v>0</v>
      </c>
      <c r="K76" s="45">
        <f>OUT_1!K76+OUT_2!K76+OUT_3!K76+OUT_4!K76</f>
        <v>0</v>
      </c>
      <c r="L76" s="140">
        <f>OUT_1!L76+OUT_2!L76+OUT_3!L76+OUT_4!L76</f>
        <v>0</v>
      </c>
      <c r="M76" s="149">
        <f t="shared" si="6"/>
        <v>1</v>
      </c>
      <c r="N76" s="100">
        <f t="shared" si="7"/>
        <v>315</v>
      </c>
      <c r="O76" s="43">
        <f t="shared" si="8"/>
        <v>538</v>
      </c>
    </row>
    <row r="77" spans="1:15" ht="22.5" customHeight="1" x14ac:dyDescent="0.3">
      <c r="A77" s="149" t="s">
        <v>158</v>
      </c>
      <c r="B77" s="44">
        <f>OUT_1!B77+OUT_2!B77+OUT_3!B77+OUT_4!B77</f>
        <v>126</v>
      </c>
      <c r="C77" s="39">
        <f>OUT_1!C77+OUT_2!C77+OUT_3!C77+OUT_4!C77</f>
        <v>37</v>
      </c>
      <c r="D77" s="39">
        <f>OUT_1!D77+OUT_2!D77+OUT_3!D77+OUT_4!D77</f>
        <v>43</v>
      </c>
      <c r="E77" s="39">
        <f>OUT_1!E77+OUT_2!E77+OUT_3!E77+OUT_4!E77</f>
        <v>22</v>
      </c>
      <c r="F77" s="152">
        <f>OUT_1!F77+OUT_2!F77+OUT_3!F77+OUT_4!F77</f>
        <v>51</v>
      </c>
      <c r="G77" s="154">
        <f t="shared" si="5"/>
        <v>279</v>
      </c>
      <c r="H77" s="44">
        <f>OUT_1!H77+OUT_2!H77+OUT_3!H77+OUT_4!H77</f>
        <v>0</v>
      </c>
      <c r="I77" s="39">
        <f>OUT_1!I77+OUT_2!I77+OUT_3!I77+OUT_4!I77</f>
        <v>0</v>
      </c>
      <c r="J77" s="39">
        <f>OUT_1!J77+OUT_2!J77+OUT_3!J77+OUT_4!J77</f>
        <v>0</v>
      </c>
      <c r="K77" s="45">
        <f>OUT_1!K77+OUT_2!K77+OUT_3!K77+OUT_4!K77</f>
        <v>0</v>
      </c>
      <c r="L77" s="140">
        <f>OUT_1!L77+OUT_2!L77+OUT_3!L77+OUT_4!L77</f>
        <v>0</v>
      </c>
      <c r="M77" s="149">
        <f t="shared" si="6"/>
        <v>0</v>
      </c>
      <c r="N77" s="100">
        <f t="shared" si="7"/>
        <v>279</v>
      </c>
      <c r="O77" s="43">
        <f t="shared" si="8"/>
        <v>504.5</v>
      </c>
    </row>
    <row r="78" spans="1:15" ht="22.5" customHeight="1" x14ac:dyDescent="0.3">
      <c r="A78" s="149" t="s">
        <v>159</v>
      </c>
      <c r="B78" s="44">
        <f>OUT_1!B78+OUT_2!B78+OUT_3!B78+OUT_4!B78</f>
        <v>115</v>
      </c>
      <c r="C78" s="39">
        <f>OUT_1!C78+OUT_2!C78+OUT_3!C78+OUT_4!C78</f>
        <v>47</v>
      </c>
      <c r="D78" s="39">
        <f>OUT_1!D78+OUT_2!D78+OUT_3!D78+OUT_4!D78</f>
        <v>16</v>
      </c>
      <c r="E78" s="39">
        <f>OUT_1!E78+OUT_2!E78+OUT_3!E78+OUT_4!E78</f>
        <v>20</v>
      </c>
      <c r="F78" s="152">
        <f>OUT_1!F78+OUT_2!F78+OUT_3!F78+OUT_4!F78</f>
        <v>60</v>
      </c>
      <c r="G78" s="154">
        <f t="shared" si="5"/>
        <v>258</v>
      </c>
      <c r="H78" s="44">
        <f>OUT_1!H78+OUT_2!H78+OUT_3!H78+OUT_4!H78</f>
        <v>0</v>
      </c>
      <c r="I78" s="39">
        <f>OUT_1!I78+OUT_2!I78+OUT_3!I78+OUT_4!I78</f>
        <v>0</v>
      </c>
      <c r="J78" s="39">
        <f>OUT_1!J78+OUT_2!J78+OUT_3!J78+OUT_4!J78</f>
        <v>0</v>
      </c>
      <c r="K78" s="45">
        <f>OUT_1!K78+OUT_2!K78+OUT_3!K78+OUT_4!K78</f>
        <v>0</v>
      </c>
      <c r="L78" s="140">
        <f>OUT_1!L78+OUT_2!L78+OUT_3!L78+OUT_4!L78</f>
        <v>0</v>
      </c>
      <c r="M78" s="149">
        <f t="shared" si="6"/>
        <v>0</v>
      </c>
      <c r="N78" s="100">
        <f t="shared" si="7"/>
        <v>258</v>
      </c>
      <c r="O78" s="43">
        <f t="shared" si="8"/>
        <v>492.5</v>
      </c>
    </row>
    <row r="79" spans="1:15" ht="22.5" customHeight="1" x14ac:dyDescent="0.3">
      <c r="A79" s="149" t="s">
        <v>160</v>
      </c>
      <c r="B79" s="44">
        <f>OUT_1!B79+OUT_2!B79+OUT_3!B79+OUT_4!B79</f>
        <v>92</v>
      </c>
      <c r="C79" s="39">
        <f>OUT_1!C79+OUT_2!C79+OUT_3!C79+OUT_4!C79</f>
        <v>54</v>
      </c>
      <c r="D79" s="39">
        <f>OUT_1!D79+OUT_2!D79+OUT_3!D79+OUT_4!D79</f>
        <v>20</v>
      </c>
      <c r="E79" s="39">
        <f>OUT_1!E79+OUT_2!E79+OUT_3!E79+OUT_4!E79</f>
        <v>21</v>
      </c>
      <c r="F79" s="152">
        <f>OUT_1!F79+OUT_2!F79+OUT_3!F79+OUT_4!F79</f>
        <v>71</v>
      </c>
      <c r="G79" s="154">
        <f t="shared" si="5"/>
        <v>258</v>
      </c>
      <c r="H79" s="44">
        <f>OUT_1!H79+OUT_2!H79+OUT_3!H79+OUT_4!H79</f>
        <v>0</v>
      </c>
      <c r="I79" s="39">
        <f>OUT_1!I79+OUT_2!I79+OUT_3!I79+OUT_4!I79</f>
        <v>0</v>
      </c>
      <c r="J79" s="39">
        <f>OUT_1!J79+OUT_2!J79+OUT_3!J79+OUT_4!J79</f>
        <v>0</v>
      </c>
      <c r="K79" s="45">
        <f>OUT_1!K79+OUT_2!K79+OUT_3!K79+OUT_4!K79</f>
        <v>0</v>
      </c>
      <c r="L79" s="140">
        <f>OUT_1!L79+OUT_2!L79+OUT_3!L79+OUT_4!L79</f>
        <v>1</v>
      </c>
      <c r="M79" s="149">
        <f t="shared" si="6"/>
        <v>1</v>
      </c>
      <c r="N79" s="100">
        <f t="shared" si="7"/>
        <v>259</v>
      </c>
      <c r="O79" s="43">
        <f t="shared" si="8"/>
        <v>539.5</v>
      </c>
    </row>
    <row r="80" spans="1:15" ht="22.5" customHeight="1" x14ac:dyDescent="0.3">
      <c r="A80" s="149" t="s">
        <v>161</v>
      </c>
      <c r="B80" s="44">
        <f>OUT_1!B80+OUT_2!B80+OUT_3!B80+OUT_4!B80</f>
        <v>83</v>
      </c>
      <c r="C80" s="39">
        <f>OUT_1!C80+OUT_2!C80+OUT_3!C80+OUT_4!C80</f>
        <v>27</v>
      </c>
      <c r="D80" s="39">
        <f>OUT_1!D80+OUT_2!D80+OUT_3!D80+OUT_4!D80</f>
        <v>38</v>
      </c>
      <c r="E80" s="39">
        <f>OUT_1!E80+OUT_2!E80+OUT_3!E80+OUT_4!E80</f>
        <v>11</v>
      </c>
      <c r="F80" s="152">
        <f>OUT_1!F80+OUT_2!F80+OUT_3!F80+OUT_4!F80</f>
        <v>51</v>
      </c>
      <c r="G80" s="154">
        <f t="shared" si="5"/>
        <v>210</v>
      </c>
      <c r="H80" s="44">
        <f>OUT_1!H80+OUT_2!H80+OUT_3!H80+OUT_4!H80</f>
        <v>0</v>
      </c>
      <c r="I80" s="39">
        <f>OUT_1!I80+OUT_2!I80+OUT_3!I80+OUT_4!I80</f>
        <v>0</v>
      </c>
      <c r="J80" s="39">
        <f>OUT_1!J80+OUT_2!J80+OUT_3!J80+OUT_4!J80</f>
        <v>0</v>
      </c>
      <c r="K80" s="45">
        <f>OUT_1!K80+OUT_2!K80+OUT_3!K80+OUT_4!K80</f>
        <v>0</v>
      </c>
      <c r="L80" s="140">
        <f>OUT_1!L80+OUT_2!L80+OUT_3!L80+OUT_4!L80</f>
        <v>0</v>
      </c>
      <c r="M80" s="149">
        <f t="shared" si="6"/>
        <v>0</v>
      </c>
      <c r="N80" s="100">
        <f t="shared" si="7"/>
        <v>210</v>
      </c>
      <c r="O80" s="43">
        <f t="shared" si="8"/>
        <v>416</v>
      </c>
    </row>
    <row r="81" spans="1:15" ht="22.5" customHeight="1" x14ac:dyDescent="0.3">
      <c r="A81" s="149" t="s">
        <v>162</v>
      </c>
      <c r="B81" s="44">
        <f>OUT_1!B81+OUT_2!B81+OUT_3!B81+OUT_4!B81</f>
        <v>95</v>
      </c>
      <c r="C81" s="39">
        <f>OUT_1!C81+OUT_2!C81+OUT_3!C81+OUT_4!C81</f>
        <v>29</v>
      </c>
      <c r="D81" s="39">
        <f>OUT_1!D81+OUT_2!D81+OUT_3!D81+OUT_4!D81</f>
        <v>22</v>
      </c>
      <c r="E81" s="39">
        <f>OUT_1!E81+OUT_2!E81+OUT_3!E81+OUT_4!E81</f>
        <v>15</v>
      </c>
      <c r="F81" s="152">
        <f>OUT_1!F81+OUT_2!F81+OUT_3!F81+OUT_4!F81</f>
        <v>36</v>
      </c>
      <c r="G81" s="154">
        <f t="shared" si="5"/>
        <v>197</v>
      </c>
      <c r="H81" s="44">
        <f>OUT_1!H81+OUT_2!H81+OUT_3!H81+OUT_4!H81</f>
        <v>1</v>
      </c>
      <c r="I81" s="39">
        <f>OUT_1!I81+OUT_2!I81+OUT_3!I81+OUT_4!I81</f>
        <v>0</v>
      </c>
      <c r="J81" s="39">
        <f>OUT_1!J81+OUT_2!J81+OUT_3!J81+OUT_4!J81</f>
        <v>0</v>
      </c>
      <c r="K81" s="45">
        <f>OUT_1!K81+OUT_2!K81+OUT_3!K81+OUT_4!K81</f>
        <v>0</v>
      </c>
      <c r="L81" s="140">
        <f>OUT_1!L81+OUT_2!L81+OUT_3!L81+OUT_4!L81</f>
        <v>0</v>
      </c>
      <c r="M81" s="149">
        <f t="shared" si="6"/>
        <v>1</v>
      </c>
      <c r="N81" s="100">
        <f t="shared" si="7"/>
        <v>198</v>
      </c>
      <c r="O81" s="43">
        <f t="shared" si="8"/>
        <v>350</v>
      </c>
    </row>
    <row r="82" spans="1:15" ht="22.5" customHeight="1" x14ac:dyDescent="0.3">
      <c r="A82" s="149" t="s">
        <v>163</v>
      </c>
      <c r="B82" s="44">
        <f>OUT_1!B82+OUT_2!B82+OUT_3!B82+OUT_4!B82</f>
        <v>105</v>
      </c>
      <c r="C82" s="39">
        <f>OUT_1!C82+OUT_2!C82+OUT_3!C82+OUT_4!C82</f>
        <v>29</v>
      </c>
      <c r="D82" s="39">
        <f>OUT_1!D82+OUT_2!D82+OUT_3!D82+OUT_4!D82</f>
        <v>40</v>
      </c>
      <c r="E82" s="39">
        <f>OUT_1!E82+OUT_2!E82+OUT_3!E82+OUT_4!E82</f>
        <v>12</v>
      </c>
      <c r="F82" s="152">
        <f>OUT_1!F82+OUT_2!F82+OUT_3!F82+OUT_4!F82</f>
        <v>38</v>
      </c>
      <c r="G82" s="154">
        <f t="shared" si="5"/>
        <v>224</v>
      </c>
      <c r="H82" s="44">
        <f>OUT_1!H82+OUT_2!H82+OUT_3!H82+OUT_4!H82</f>
        <v>0</v>
      </c>
      <c r="I82" s="39">
        <f>OUT_1!I82+OUT_2!I82+OUT_3!I82+OUT_4!I82</f>
        <v>0</v>
      </c>
      <c r="J82" s="39">
        <f>OUT_1!J82+OUT_2!J82+OUT_3!J82+OUT_4!J82</f>
        <v>0</v>
      </c>
      <c r="K82" s="45">
        <f>OUT_1!K82+OUT_2!K82+OUT_3!K82+OUT_4!K82</f>
        <v>0</v>
      </c>
      <c r="L82" s="140">
        <f>OUT_1!L82+OUT_2!L82+OUT_3!L82+OUT_4!L82</f>
        <v>0</v>
      </c>
      <c r="M82" s="149">
        <f t="shared" si="6"/>
        <v>0</v>
      </c>
      <c r="N82" s="100">
        <f t="shared" si="7"/>
        <v>224</v>
      </c>
      <c r="O82" s="43">
        <f t="shared" si="8"/>
        <v>386.5</v>
      </c>
    </row>
    <row r="83" spans="1:15" ht="22.5" customHeight="1" x14ac:dyDescent="0.3">
      <c r="A83" s="149" t="s">
        <v>164</v>
      </c>
      <c r="B83" s="44">
        <f>OUT_1!B83+OUT_2!B83+OUT_3!B83+OUT_4!B83</f>
        <v>83</v>
      </c>
      <c r="C83" s="39">
        <f>OUT_1!C83+OUT_2!C83+OUT_3!C83+OUT_4!C83</f>
        <v>14</v>
      </c>
      <c r="D83" s="39">
        <f>OUT_1!D83+OUT_2!D83+OUT_3!D83+OUT_4!D83</f>
        <v>34</v>
      </c>
      <c r="E83" s="39">
        <f>OUT_1!E83+OUT_2!E83+OUT_3!E83+OUT_4!E83</f>
        <v>21</v>
      </c>
      <c r="F83" s="152">
        <f>OUT_1!F83+OUT_2!F83+OUT_3!F83+OUT_4!F83</f>
        <v>32</v>
      </c>
      <c r="G83" s="154">
        <f t="shared" si="5"/>
        <v>184</v>
      </c>
      <c r="H83" s="44">
        <f>OUT_1!H83+OUT_2!H83+OUT_3!H83+OUT_4!H83</f>
        <v>0</v>
      </c>
      <c r="I83" s="39">
        <f>OUT_1!I83+OUT_2!I83+OUT_3!I83+OUT_4!I83</f>
        <v>0</v>
      </c>
      <c r="J83" s="39">
        <f>OUT_1!J83+OUT_2!J83+OUT_3!J83+OUT_4!J83</f>
        <v>0</v>
      </c>
      <c r="K83" s="45">
        <f>OUT_1!K83+OUT_2!K83+OUT_3!K83+OUT_4!K83</f>
        <v>0</v>
      </c>
      <c r="L83" s="140">
        <f>OUT_1!L83+OUT_2!L83+OUT_3!L83+OUT_4!L83</f>
        <v>0</v>
      </c>
      <c r="M83" s="149">
        <f t="shared" si="6"/>
        <v>0</v>
      </c>
      <c r="N83" s="100">
        <f t="shared" si="7"/>
        <v>184</v>
      </c>
      <c r="O83" s="43">
        <f t="shared" si="8"/>
        <v>348</v>
      </c>
    </row>
    <row r="84" spans="1:15" ht="22.5" customHeight="1" x14ac:dyDescent="0.3">
      <c r="A84" s="149" t="s">
        <v>165</v>
      </c>
      <c r="B84" s="44">
        <f>OUT_1!B84+OUT_2!B84+OUT_3!B84+OUT_4!B84</f>
        <v>87</v>
      </c>
      <c r="C84" s="39">
        <f>OUT_1!C84+OUT_2!C84+OUT_3!C84+OUT_4!C84</f>
        <v>31</v>
      </c>
      <c r="D84" s="39">
        <f>OUT_1!D84+OUT_2!D84+OUT_3!D84+OUT_4!D84</f>
        <v>28</v>
      </c>
      <c r="E84" s="39">
        <f>OUT_1!E84+OUT_2!E84+OUT_3!E84+OUT_4!E84</f>
        <v>19</v>
      </c>
      <c r="F84" s="152">
        <f>OUT_1!F84+OUT_2!F84+OUT_3!F84+OUT_4!F84</f>
        <v>32</v>
      </c>
      <c r="G84" s="154">
        <f t="shared" si="5"/>
        <v>197</v>
      </c>
      <c r="H84" s="44">
        <f>OUT_1!H84+OUT_2!H84+OUT_3!H84+OUT_4!H84</f>
        <v>0</v>
      </c>
      <c r="I84" s="39">
        <f>OUT_1!I84+OUT_2!I84+OUT_3!I84+OUT_4!I84</f>
        <v>0</v>
      </c>
      <c r="J84" s="39">
        <f>OUT_1!J84+OUT_2!J84+OUT_3!J84+OUT_4!J84</f>
        <v>0</v>
      </c>
      <c r="K84" s="45">
        <f>OUT_1!K84+OUT_2!K84+OUT_3!K84+OUT_4!K84</f>
        <v>0</v>
      </c>
      <c r="L84" s="140">
        <f>OUT_1!L84+OUT_2!L84+OUT_3!L84+OUT_4!L84</f>
        <v>0</v>
      </c>
      <c r="M84" s="149">
        <f t="shared" si="6"/>
        <v>0</v>
      </c>
      <c r="N84" s="100">
        <f t="shared" si="7"/>
        <v>197</v>
      </c>
      <c r="O84" s="43">
        <f t="shared" si="8"/>
        <v>345.5</v>
      </c>
    </row>
    <row r="85" spans="1:15" ht="22.5" customHeight="1" x14ac:dyDescent="0.3">
      <c r="A85" s="149" t="s">
        <v>166</v>
      </c>
      <c r="B85" s="44">
        <f>OUT_1!B85+OUT_2!B85+OUT_3!B85+OUT_4!B85</f>
        <v>82</v>
      </c>
      <c r="C85" s="39">
        <f>OUT_1!C85+OUT_2!C85+OUT_3!C85+OUT_4!C85</f>
        <v>28</v>
      </c>
      <c r="D85" s="39">
        <f>OUT_1!D85+OUT_2!D85+OUT_3!D85+OUT_4!D85</f>
        <v>29</v>
      </c>
      <c r="E85" s="39">
        <f>OUT_1!E85+OUT_2!E85+OUT_3!E85+OUT_4!E85</f>
        <v>26</v>
      </c>
      <c r="F85" s="152">
        <f>OUT_1!F85+OUT_2!F85+OUT_3!F85+OUT_4!F85</f>
        <v>39</v>
      </c>
      <c r="G85" s="154">
        <f t="shared" si="5"/>
        <v>204</v>
      </c>
      <c r="H85" s="44">
        <f>OUT_1!H85+OUT_2!H85+OUT_3!H85+OUT_4!H85</f>
        <v>0</v>
      </c>
      <c r="I85" s="39">
        <f>OUT_1!I85+OUT_2!I85+OUT_3!I85+OUT_4!I85</f>
        <v>0</v>
      </c>
      <c r="J85" s="39">
        <f>OUT_1!J85+OUT_2!J85+OUT_3!J85+OUT_4!J85</f>
        <v>0</v>
      </c>
      <c r="K85" s="45">
        <f>OUT_1!K85+OUT_2!K85+OUT_3!K85+OUT_4!K85</f>
        <v>0</v>
      </c>
      <c r="L85" s="140">
        <f>OUT_1!L85+OUT_2!L85+OUT_3!L85+OUT_4!L85</f>
        <v>0</v>
      </c>
      <c r="M85" s="149">
        <f t="shared" si="6"/>
        <v>0</v>
      </c>
      <c r="N85" s="100">
        <f t="shared" si="7"/>
        <v>204</v>
      </c>
      <c r="O85" s="43">
        <f t="shared" si="8"/>
        <v>393</v>
      </c>
    </row>
    <row r="86" spans="1:15" ht="22.5" customHeight="1" x14ac:dyDescent="0.3">
      <c r="A86" s="149" t="s">
        <v>167</v>
      </c>
      <c r="B86" s="44">
        <f>OUT_1!B86+OUT_2!B86+OUT_3!B86+OUT_4!B86</f>
        <v>90</v>
      </c>
      <c r="C86" s="39">
        <f>OUT_1!C86+OUT_2!C86+OUT_3!C86+OUT_4!C86</f>
        <v>30</v>
      </c>
      <c r="D86" s="39">
        <f>OUT_1!D86+OUT_2!D86+OUT_3!D86+OUT_4!D86</f>
        <v>36</v>
      </c>
      <c r="E86" s="39">
        <f>OUT_1!E86+OUT_2!E86+OUT_3!E86+OUT_4!E86</f>
        <v>21</v>
      </c>
      <c r="F86" s="152">
        <f>OUT_1!F86+OUT_2!F86+OUT_3!F86+OUT_4!F86</f>
        <v>47</v>
      </c>
      <c r="G86" s="154">
        <f t="shared" si="5"/>
        <v>224</v>
      </c>
      <c r="H86" s="44">
        <f>OUT_1!H86+OUT_2!H86+OUT_3!H86+OUT_4!H86</f>
        <v>0</v>
      </c>
      <c r="I86" s="39">
        <f>OUT_1!I86+OUT_2!I86+OUT_3!I86+OUT_4!I86</f>
        <v>0</v>
      </c>
      <c r="J86" s="39">
        <f>OUT_1!J86+OUT_2!J86+OUT_3!J86+OUT_4!J86</f>
        <v>0</v>
      </c>
      <c r="K86" s="45">
        <f>OUT_1!K86+OUT_2!K86+OUT_3!K86+OUT_4!K86</f>
        <v>0</v>
      </c>
      <c r="L86" s="140">
        <f>OUT_1!L86+OUT_2!L86+OUT_3!L86+OUT_4!L86</f>
        <v>0</v>
      </c>
      <c r="M86" s="149">
        <f t="shared" si="6"/>
        <v>0</v>
      </c>
      <c r="N86" s="100">
        <f t="shared" si="7"/>
        <v>224</v>
      </c>
      <c r="O86" s="43">
        <f t="shared" si="8"/>
        <v>433.5</v>
      </c>
    </row>
    <row r="87" spans="1:15" ht="22.5" customHeight="1" x14ac:dyDescent="0.3">
      <c r="A87" s="149" t="s">
        <v>168</v>
      </c>
      <c r="B87" s="44">
        <f>OUT_1!B87+OUT_2!B87+OUT_3!B87+OUT_4!B87</f>
        <v>79</v>
      </c>
      <c r="C87" s="39">
        <f>OUT_1!C87+OUT_2!C87+OUT_3!C87+OUT_4!C87</f>
        <v>37</v>
      </c>
      <c r="D87" s="39">
        <f>OUT_1!D87+OUT_2!D87+OUT_3!D87+OUT_4!D87</f>
        <v>25</v>
      </c>
      <c r="E87" s="39">
        <f>OUT_1!E87+OUT_2!E87+OUT_3!E87+OUT_4!E87</f>
        <v>29</v>
      </c>
      <c r="F87" s="152">
        <f>OUT_1!F87+OUT_2!F87+OUT_3!F87+OUT_4!F87</f>
        <v>51</v>
      </c>
      <c r="G87" s="154">
        <f t="shared" si="5"/>
        <v>221</v>
      </c>
      <c r="H87" s="44">
        <f>OUT_1!H87+OUT_2!H87+OUT_3!H87+OUT_4!H87</f>
        <v>0</v>
      </c>
      <c r="I87" s="39">
        <f>OUT_1!I87+OUT_2!I87+OUT_3!I87+OUT_4!I87</f>
        <v>0</v>
      </c>
      <c r="J87" s="39">
        <f>OUT_1!J87+OUT_2!J87+OUT_3!J87+OUT_4!J87</f>
        <v>0</v>
      </c>
      <c r="K87" s="45">
        <f>OUT_1!K87+OUT_2!K87+OUT_3!K87+OUT_4!K87</f>
        <v>0</v>
      </c>
      <c r="L87" s="140">
        <f>OUT_1!L87+OUT_2!L87+OUT_3!L87+OUT_4!L87</f>
        <v>0</v>
      </c>
      <c r="M87" s="149">
        <f t="shared" si="6"/>
        <v>0</v>
      </c>
      <c r="N87" s="100">
        <f t="shared" si="7"/>
        <v>221</v>
      </c>
      <c r="O87" s="43">
        <f t="shared" si="8"/>
        <v>451.5</v>
      </c>
    </row>
    <row r="88" spans="1:15" ht="22.5" customHeight="1" x14ac:dyDescent="0.3">
      <c r="A88" s="149" t="s">
        <v>169</v>
      </c>
      <c r="B88" s="44">
        <f>OUT_1!B88+OUT_2!B88+OUT_3!B88+OUT_4!B88</f>
        <v>129</v>
      </c>
      <c r="C88" s="39">
        <f>OUT_1!C88+OUT_2!C88+OUT_3!C88+OUT_4!C88</f>
        <v>49</v>
      </c>
      <c r="D88" s="39">
        <f>OUT_1!D88+OUT_2!D88+OUT_3!D88+OUT_4!D88</f>
        <v>36</v>
      </c>
      <c r="E88" s="39">
        <f>OUT_1!E88+OUT_2!E88+OUT_3!E88+OUT_4!E88</f>
        <v>16</v>
      </c>
      <c r="F88" s="152">
        <f>OUT_1!F88+OUT_2!F88+OUT_3!F88+OUT_4!F88</f>
        <v>52</v>
      </c>
      <c r="G88" s="154">
        <f t="shared" si="5"/>
        <v>282</v>
      </c>
      <c r="H88" s="44">
        <f>OUT_1!H88+OUT_2!H88+OUT_3!H88+OUT_4!H88</f>
        <v>1</v>
      </c>
      <c r="I88" s="39">
        <f>OUT_1!I88+OUT_2!I88+OUT_3!I88+OUT_4!I88</f>
        <v>0</v>
      </c>
      <c r="J88" s="39">
        <f>OUT_1!J88+OUT_2!J88+OUT_3!J88+OUT_4!J88</f>
        <v>0</v>
      </c>
      <c r="K88" s="45">
        <f>OUT_1!K88+OUT_2!K88+OUT_3!K88+OUT_4!K88</f>
        <v>0</v>
      </c>
      <c r="L88" s="140">
        <f>OUT_1!L88+OUT_2!L88+OUT_3!L88+OUT_4!L88</f>
        <v>0</v>
      </c>
      <c r="M88" s="149">
        <f t="shared" si="6"/>
        <v>1</v>
      </c>
      <c r="N88" s="100">
        <f t="shared" si="7"/>
        <v>283</v>
      </c>
      <c r="O88" s="43">
        <f t="shared" si="8"/>
        <v>490</v>
      </c>
    </row>
    <row r="89" spans="1:15" ht="22.5" customHeight="1" x14ac:dyDescent="0.3">
      <c r="A89" s="149" t="s">
        <v>170</v>
      </c>
      <c r="B89" s="44">
        <f>OUT_1!B89+OUT_2!B89+OUT_3!B89+OUT_4!B89</f>
        <v>114</v>
      </c>
      <c r="C89" s="39">
        <f>OUT_1!C89+OUT_2!C89+OUT_3!C89+OUT_4!C89</f>
        <v>53</v>
      </c>
      <c r="D89" s="39">
        <f>OUT_1!D89+OUT_2!D89+OUT_3!D89+OUT_4!D89</f>
        <v>35</v>
      </c>
      <c r="E89" s="39">
        <f>OUT_1!E89+OUT_2!E89+OUT_3!E89+OUT_4!E89</f>
        <v>26</v>
      </c>
      <c r="F89" s="152">
        <f>OUT_1!F89+OUT_2!F89+OUT_3!F89+OUT_4!F89</f>
        <v>44</v>
      </c>
      <c r="G89" s="154">
        <f t="shared" si="5"/>
        <v>272</v>
      </c>
      <c r="H89" s="44">
        <f>OUT_1!H89+OUT_2!H89+OUT_3!H89+OUT_4!H89</f>
        <v>1</v>
      </c>
      <c r="I89" s="39">
        <f>OUT_1!I89+OUT_2!I89+OUT_3!I89+OUT_4!I89</f>
        <v>0</v>
      </c>
      <c r="J89" s="39">
        <f>OUT_1!J89+OUT_2!J89+OUT_3!J89+OUT_4!J89</f>
        <v>0</v>
      </c>
      <c r="K89" s="45">
        <f>OUT_1!K89+OUT_2!K89+OUT_3!K89+OUT_4!K89</f>
        <v>0</v>
      </c>
      <c r="L89" s="140">
        <f>OUT_1!L89+OUT_2!L89+OUT_3!L89+OUT_4!L89</f>
        <v>0</v>
      </c>
      <c r="M89" s="149">
        <f t="shared" si="6"/>
        <v>1</v>
      </c>
      <c r="N89" s="100">
        <f t="shared" si="7"/>
        <v>273</v>
      </c>
      <c r="O89" s="43">
        <f t="shared" si="8"/>
        <v>469.5</v>
      </c>
    </row>
    <row r="90" spans="1:15" ht="22.5" customHeight="1" x14ac:dyDescent="0.3">
      <c r="A90" s="149" t="s">
        <v>171</v>
      </c>
      <c r="B90" s="44">
        <f>OUT_1!B90+OUT_2!B90+OUT_3!B90+OUT_4!B90</f>
        <v>141</v>
      </c>
      <c r="C90" s="39">
        <f>OUT_1!C90+OUT_2!C90+OUT_3!C90+OUT_4!C90</f>
        <v>68</v>
      </c>
      <c r="D90" s="39">
        <f>OUT_1!D90+OUT_2!D90+OUT_3!D90+OUT_4!D90</f>
        <v>41</v>
      </c>
      <c r="E90" s="39">
        <f>OUT_1!E90+OUT_2!E90+OUT_3!E90+OUT_4!E90</f>
        <v>16</v>
      </c>
      <c r="F90" s="152">
        <f>OUT_1!F90+OUT_2!F90+OUT_3!F90+OUT_4!F90</f>
        <v>51</v>
      </c>
      <c r="G90" s="154">
        <f t="shared" si="5"/>
        <v>317</v>
      </c>
      <c r="H90" s="44">
        <f>OUT_1!H90+OUT_2!H90+OUT_3!H90+OUT_4!H90</f>
        <v>1</v>
      </c>
      <c r="I90" s="39">
        <f>OUT_1!I90+OUT_2!I90+OUT_3!I90+OUT_4!I90</f>
        <v>0</v>
      </c>
      <c r="J90" s="39">
        <f>OUT_1!J90+OUT_2!J90+OUT_3!J90+OUT_4!J90</f>
        <v>0</v>
      </c>
      <c r="K90" s="45">
        <f>OUT_1!K90+OUT_2!K90+OUT_3!K90+OUT_4!K90</f>
        <v>0</v>
      </c>
      <c r="L90" s="140">
        <f>OUT_1!L90+OUT_2!L90+OUT_3!L90+OUT_4!L90</f>
        <v>0</v>
      </c>
      <c r="M90" s="149">
        <f t="shared" si="6"/>
        <v>1</v>
      </c>
      <c r="N90" s="100">
        <f t="shared" si="7"/>
        <v>318</v>
      </c>
      <c r="O90" s="43">
        <f t="shared" si="8"/>
        <v>514.5</v>
      </c>
    </row>
    <row r="91" spans="1:15" ht="22.5" customHeight="1" x14ac:dyDescent="0.3">
      <c r="A91" s="149" t="s">
        <v>172</v>
      </c>
      <c r="B91" s="44">
        <f>OUT_1!B91+OUT_2!B91+OUT_3!B91+OUT_4!B91</f>
        <v>120</v>
      </c>
      <c r="C91" s="39">
        <f>OUT_1!C91+OUT_2!C91+OUT_3!C91+OUT_4!C91</f>
        <v>68</v>
      </c>
      <c r="D91" s="39">
        <f>OUT_1!D91+OUT_2!D91+OUT_3!D91+OUT_4!D91</f>
        <v>24</v>
      </c>
      <c r="E91" s="39">
        <f>OUT_1!E91+OUT_2!E91+OUT_3!E91+OUT_4!E91</f>
        <v>23</v>
      </c>
      <c r="F91" s="152">
        <f>OUT_1!F91+OUT_2!F91+OUT_3!F91+OUT_4!F91</f>
        <v>43</v>
      </c>
      <c r="G91" s="154">
        <f t="shared" si="5"/>
        <v>278</v>
      </c>
      <c r="H91" s="44">
        <f>OUT_1!H91+OUT_2!H91+OUT_3!H91+OUT_4!H91</f>
        <v>0</v>
      </c>
      <c r="I91" s="39">
        <f>OUT_1!I91+OUT_2!I91+OUT_3!I91+OUT_4!I91</f>
        <v>0</v>
      </c>
      <c r="J91" s="39">
        <f>OUT_1!J91+OUT_2!J91+OUT_3!J91+OUT_4!J91</f>
        <v>0</v>
      </c>
      <c r="K91" s="45">
        <f>OUT_1!K91+OUT_2!K91+OUT_3!K91+OUT_4!K91</f>
        <v>0</v>
      </c>
      <c r="L91" s="140">
        <f>OUT_1!L91+OUT_2!L91+OUT_3!L91+OUT_4!L91</f>
        <v>0</v>
      </c>
      <c r="M91" s="149">
        <f t="shared" si="6"/>
        <v>0</v>
      </c>
      <c r="N91" s="100">
        <f t="shared" si="7"/>
        <v>278</v>
      </c>
      <c r="O91" s="43">
        <f t="shared" si="8"/>
        <v>452.5</v>
      </c>
    </row>
    <row r="92" spans="1:15" ht="22.5" customHeight="1" x14ac:dyDescent="0.3">
      <c r="A92" s="149" t="s">
        <v>173</v>
      </c>
      <c r="B92" s="44">
        <f>OUT_1!B92+OUT_2!B92+OUT_3!B92+OUT_4!B92</f>
        <v>151</v>
      </c>
      <c r="C92" s="39">
        <f>OUT_1!C92+OUT_2!C92+OUT_3!C92+OUT_4!C92</f>
        <v>93</v>
      </c>
      <c r="D92" s="39">
        <f>OUT_1!D92+OUT_2!D92+OUT_3!D92+OUT_4!D92</f>
        <v>32</v>
      </c>
      <c r="E92" s="39">
        <f>OUT_1!E92+OUT_2!E92+OUT_3!E92+OUT_4!E92</f>
        <v>20</v>
      </c>
      <c r="F92" s="152">
        <f>OUT_1!F92+OUT_2!F92+OUT_3!F92+OUT_4!F92</f>
        <v>52</v>
      </c>
      <c r="G92" s="154">
        <f t="shared" si="5"/>
        <v>348</v>
      </c>
      <c r="H92" s="44">
        <f>OUT_1!H92+OUT_2!H92+OUT_3!H92+OUT_4!H92</f>
        <v>1</v>
      </c>
      <c r="I92" s="39">
        <f>OUT_1!I92+OUT_2!I92+OUT_3!I92+OUT_4!I92</f>
        <v>0</v>
      </c>
      <c r="J92" s="39">
        <f>OUT_1!J92+OUT_2!J92+OUT_3!J92+OUT_4!J92</f>
        <v>0</v>
      </c>
      <c r="K92" s="45">
        <f>OUT_1!K92+OUT_2!K92+OUT_3!K92+OUT_4!K92</f>
        <v>0</v>
      </c>
      <c r="L92" s="140">
        <f>OUT_1!L92+OUT_2!L92+OUT_3!L92+OUT_4!L92</f>
        <v>1</v>
      </c>
      <c r="M92" s="149">
        <f t="shared" si="6"/>
        <v>2</v>
      </c>
      <c r="N92" s="100">
        <f t="shared" si="7"/>
        <v>350</v>
      </c>
      <c r="O92" s="43">
        <f t="shared" si="8"/>
        <v>548</v>
      </c>
    </row>
    <row r="93" spans="1:15" ht="22.5" customHeight="1" x14ac:dyDescent="0.3">
      <c r="A93" s="149" t="s">
        <v>174</v>
      </c>
      <c r="B93" s="44">
        <f>OUT_1!B93+OUT_2!B93+OUT_3!B93+OUT_4!B93</f>
        <v>130</v>
      </c>
      <c r="C93" s="39">
        <f>OUT_1!C93+OUT_2!C93+OUT_3!C93+OUT_4!C93</f>
        <v>121</v>
      </c>
      <c r="D93" s="39">
        <f>OUT_1!D93+OUT_2!D93+OUT_3!D93+OUT_4!D93</f>
        <v>43</v>
      </c>
      <c r="E93" s="39">
        <f>OUT_1!E93+OUT_2!E93+OUT_3!E93+OUT_4!E93</f>
        <v>19</v>
      </c>
      <c r="F93" s="152">
        <f>OUT_1!F93+OUT_2!F93+OUT_3!F93+OUT_4!F93</f>
        <v>65</v>
      </c>
      <c r="G93" s="154">
        <f t="shared" si="5"/>
        <v>378</v>
      </c>
      <c r="H93" s="44">
        <f>OUT_1!H93+OUT_2!H93+OUT_3!H93+OUT_4!H93</f>
        <v>1</v>
      </c>
      <c r="I93" s="39">
        <f>OUT_1!I93+OUT_2!I93+OUT_3!I93+OUT_4!I93</f>
        <v>0</v>
      </c>
      <c r="J93" s="39">
        <f>OUT_1!J93+OUT_2!J93+OUT_3!J93+OUT_4!J93</f>
        <v>0</v>
      </c>
      <c r="K93" s="45">
        <f>OUT_1!K93+OUT_2!K93+OUT_3!K93+OUT_4!K93</f>
        <v>0</v>
      </c>
      <c r="L93" s="140">
        <f>OUT_1!L93+OUT_2!L93+OUT_3!L93+OUT_4!L93</f>
        <v>0</v>
      </c>
      <c r="M93" s="149">
        <f t="shared" si="6"/>
        <v>1</v>
      </c>
      <c r="N93" s="100">
        <f t="shared" si="7"/>
        <v>379</v>
      </c>
      <c r="O93" s="43">
        <f t="shared" si="8"/>
        <v>605</v>
      </c>
    </row>
    <row r="94" spans="1:15" ht="22.5" customHeight="1" x14ac:dyDescent="0.3">
      <c r="A94" s="149" t="s">
        <v>175</v>
      </c>
      <c r="B94" s="44">
        <f>OUT_1!B94+OUT_2!B94+OUT_3!B94+OUT_4!B94</f>
        <v>288</v>
      </c>
      <c r="C94" s="39">
        <f>OUT_1!C94+OUT_2!C94+OUT_3!C94+OUT_4!C94</f>
        <v>198</v>
      </c>
      <c r="D94" s="39">
        <f>OUT_1!D94+OUT_2!D94+OUT_3!D94+OUT_4!D94</f>
        <v>37</v>
      </c>
      <c r="E94" s="39">
        <f>OUT_1!E94+OUT_2!E94+OUT_3!E94+OUT_4!E94</f>
        <v>30</v>
      </c>
      <c r="F94" s="152">
        <f>OUT_1!F94+OUT_2!F94+OUT_3!F94+OUT_4!F94</f>
        <v>74</v>
      </c>
      <c r="G94" s="154">
        <f t="shared" si="5"/>
        <v>627</v>
      </c>
      <c r="H94" s="44">
        <f>OUT_1!H94+OUT_2!H94+OUT_3!H94+OUT_4!H94</f>
        <v>3</v>
      </c>
      <c r="I94" s="39">
        <f>OUT_1!I94+OUT_2!I94+OUT_3!I94+OUT_4!I94</f>
        <v>0</v>
      </c>
      <c r="J94" s="39">
        <f>OUT_1!J94+OUT_2!J94+OUT_3!J94+OUT_4!J94</f>
        <v>0</v>
      </c>
      <c r="K94" s="45">
        <f>OUT_1!K94+OUT_2!K94+OUT_3!K94+OUT_4!K94</f>
        <v>0</v>
      </c>
      <c r="L94" s="140">
        <f>OUT_1!L94+OUT_2!L94+OUT_3!L94+OUT_4!L94</f>
        <v>2</v>
      </c>
      <c r="M94" s="149">
        <f t="shared" si="6"/>
        <v>5</v>
      </c>
      <c r="N94" s="100">
        <f t="shared" si="7"/>
        <v>632</v>
      </c>
      <c r="O94" s="43">
        <f t="shared" si="8"/>
        <v>883</v>
      </c>
    </row>
    <row r="95" spans="1:15" ht="22.5" customHeight="1" x14ac:dyDescent="0.3">
      <c r="A95" s="149" t="s">
        <v>176</v>
      </c>
      <c r="B95" s="44">
        <f>OUT_1!B95+OUT_2!B95+OUT_3!B95+OUT_4!B95</f>
        <v>356</v>
      </c>
      <c r="C95" s="39">
        <f>OUT_1!C95+OUT_2!C95+OUT_3!C95+OUT_4!C95</f>
        <v>253</v>
      </c>
      <c r="D95" s="39">
        <f>OUT_1!D95+OUT_2!D95+OUT_3!D95+OUT_4!D95</f>
        <v>33</v>
      </c>
      <c r="E95" s="39">
        <f>OUT_1!E95+OUT_2!E95+OUT_3!E95+OUT_4!E95</f>
        <v>27</v>
      </c>
      <c r="F95" s="152">
        <f>OUT_1!F95+OUT_2!F95+OUT_3!F95+OUT_4!F95</f>
        <v>76</v>
      </c>
      <c r="G95" s="154">
        <f t="shared" si="5"/>
        <v>745</v>
      </c>
      <c r="H95" s="44">
        <f>OUT_1!H95+OUT_2!H95+OUT_3!H95+OUT_4!H95</f>
        <v>0</v>
      </c>
      <c r="I95" s="39">
        <f>OUT_1!I95+OUT_2!I95+OUT_3!I95+OUT_4!I95</f>
        <v>0</v>
      </c>
      <c r="J95" s="39">
        <f>OUT_1!J95+OUT_2!J95+OUT_3!J95+OUT_4!J95</f>
        <v>0</v>
      </c>
      <c r="K95" s="45">
        <f>OUT_1!K95+OUT_2!K95+OUT_3!K95+OUT_4!K95</f>
        <v>0</v>
      </c>
      <c r="L95" s="140">
        <f>OUT_1!L95+OUT_2!L95+OUT_3!L95+OUT_4!L95</f>
        <v>4</v>
      </c>
      <c r="M95" s="149">
        <f t="shared" si="6"/>
        <v>4</v>
      </c>
      <c r="N95" s="100">
        <f t="shared" si="7"/>
        <v>749</v>
      </c>
      <c r="O95" s="43">
        <f t="shared" si="8"/>
        <v>987</v>
      </c>
    </row>
    <row r="96" spans="1:15" ht="22.5" customHeight="1" x14ac:dyDescent="0.3">
      <c r="A96" s="149" t="s">
        <v>135</v>
      </c>
      <c r="B96" s="44">
        <f>OUT_1!B96+OUT_2!B96+OUT_3!B96+OUT_4!B96</f>
        <v>357</v>
      </c>
      <c r="C96" s="39">
        <f>OUT_1!C96+OUT_2!C96+OUT_3!C96+OUT_4!C96</f>
        <v>346</v>
      </c>
      <c r="D96" s="39">
        <f>OUT_1!D96+OUT_2!D96+OUT_3!D96+OUT_4!D96</f>
        <v>43</v>
      </c>
      <c r="E96" s="39">
        <f>OUT_1!E96+OUT_2!E96+OUT_3!E96+OUT_4!E96</f>
        <v>28</v>
      </c>
      <c r="F96" s="152">
        <f>OUT_1!F96+OUT_2!F96+OUT_3!F96+OUT_4!F96</f>
        <v>72</v>
      </c>
      <c r="G96" s="154">
        <f t="shared" si="5"/>
        <v>846</v>
      </c>
      <c r="H96" s="44">
        <f>OUT_1!H96+OUT_2!H96+OUT_3!H96+OUT_4!H96</f>
        <v>1</v>
      </c>
      <c r="I96" s="39">
        <f>OUT_1!I96+OUT_2!I96+OUT_3!I96+OUT_4!I96</f>
        <v>0</v>
      </c>
      <c r="J96" s="39">
        <f>OUT_1!J96+OUT_2!J96+OUT_3!J96+OUT_4!J96</f>
        <v>0</v>
      </c>
      <c r="K96" s="45">
        <f>OUT_1!K96+OUT_2!K96+OUT_3!K96+OUT_4!K96</f>
        <v>0</v>
      </c>
      <c r="L96" s="140">
        <f>OUT_1!L96+OUT_2!L96+OUT_3!L96+OUT_4!L96</f>
        <v>3</v>
      </c>
      <c r="M96" s="149">
        <f t="shared" si="6"/>
        <v>4</v>
      </c>
      <c r="N96" s="100">
        <f t="shared" si="7"/>
        <v>850</v>
      </c>
      <c r="O96" s="43">
        <f t="shared" si="8"/>
        <v>1027</v>
      </c>
    </row>
    <row r="97" spans="1:15" ht="22.5" customHeight="1" x14ac:dyDescent="0.3">
      <c r="A97" s="149" t="s">
        <v>136</v>
      </c>
      <c r="B97" s="44">
        <f>OUT_1!B97+OUT_2!B97+OUT_3!B97+OUT_4!B97</f>
        <v>423</v>
      </c>
      <c r="C97" s="39">
        <f>OUT_1!C97+OUT_2!C97+OUT_3!C97+OUT_4!C97</f>
        <v>415</v>
      </c>
      <c r="D97" s="39">
        <f>OUT_1!D97+OUT_2!D97+OUT_3!D97+OUT_4!D97</f>
        <v>32</v>
      </c>
      <c r="E97" s="39">
        <f>OUT_1!E97+OUT_2!E97+OUT_3!E97+OUT_4!E97</f>
        <v>33</v>
      </c>
      <c r="F97" s="152">
        <f>OUT_1!F97+OUT_2!F97+OUT_3!F97+OUT_4!F97</f>
        <v>60</v>
      </c>
      <c r="G97" s="154">
        <f t="shared" si="5"/>
        <v>963</v>
      </c>
      <c r="H97" s="44">
        <f>OUT_1!H97+OUT_2!H97+OUT_3!H97+OUT_4!H97</f>
        <v>3</v>
      </c>
      <c r="I97" s="39">
        <f>OUT_1!I97+OUT_2!I97+OUT_3!I97+OUT_4!I97</f>
        <v>0</v>
      </c>
      <c r="J97" s="39">
        <f>OUT_1!J97+OUT_2!J97+OUT_3!J97+OUT_4!J97</f>
        <v>0</v>
      </c>
      <c r="K97" s="45">
        <f>OUT_1!K97+OUT_2!K97+OUT_3!K97+OUT_4!K97</f>
        <v>0</v>
      </c>
      <c r="L97" s="140">
        <f>OUT_1!L97+OUT_2!L97+OUT_3!L97+OUT_4!L97</f>
        <v>4</v>
      </c>
      <c r="M97" s="149">
        <f t="shared" si="6"/>
        <v>7</v>
      </c>
      <c r="N97" s="100">
        <f t="shared" si="7"/>
        <v>970</v>
      </c>
      <c r="O97" s="43">
        <f t="shared" si="8"/>
        <v>1081</v>
      </c>
    </row>
    <row r="98" spans="1:15" ht="22.5" customHeight="1" x14ac:dyDescent="0.3">
      <c r="A98" s="149" t="s">
        <v>137</v>
      </c>
      <c r="B98" s="44">
        <f>OUT_1!B98+OUT_2!B98+OUT_3!B98+OUT_4!B98</f>
        <v>586</v>
      </c>
      <c r="C98" s="39">
        <f>OUT_1!C98+OUT_2!C98+OUT_3!C98+OUT_4!C98</f>
        <v>522</v>
      </c>
      <c r="D98" s="39">
        <f>OUT_1!D98+OUT_2!D98+OUT_3!D98+OUT_4!D98</f>
        <v>39</v>
      </c>
      <c r="E98" s="39">
        <f>OUT_1!E98+OUT_2!E98+OUT_3!E98+OUT_4!E98</f>
        <v>30</v>
      </c>
      <c r="F98" s="152">
        <f>OUT_1!F98+OUT_2!F98+OUT_3!F98+OUT_4!F98</f>
        <v>73</v>
      </c>
      <c r="G98" s="154">
        <f t="shared" si="5"/>
        <v>1250</v>
      </c>
      <c r="H98" s="44">
        <f>OUT_1!H98+OUT_2!H98+OUT_3!H98+OUT_4!H98</f>
        <v>5</v>
      </c>
      <c r="I98" s="39">
        <f>OUT_1!I98+OUT_2!I98+OUT_3!I98+OUT_4!I98</f>
        <v>0</v>
      </c>
      <c r="J98" s="39">
        <f>OUT_1!J98+OUT_2!J98+OUT_3!J98+OUT_4!J98</f>
        <v>0</v>
      </c>
      <c r="K98" s="45">
        <f>OUT_1!K98+OUT_2!K98+OUT_3!K98+OUT_4!K98</f>
        <v>0</v>
      </c>
      <c r="L98" s="140">
        <f>OUT_1!L98+OUT_2!L98+OUT_3!L98+OUT_4!L98</f>
        <v>6</v>
      </c>
      <c r="M98" s="149">
        <f t="shared" si="6"/>
        <v>11</v>
      </c>
      <c r="N98" s="100">
        <f t="shared" si="7"/>
        <v>1261</v>
      </c>
      <c r="O98" s="43">
        <f t="shared" si="8"/>
        <v>1374.5</v>
      </c>
    </row>
    <row r="99" spans="1:15" ht="22.5" customHeight="1" x14ac:dyDescent="0.3">
      <c r="A99" s="149" t="s">
        <v>138</v>
      </c>
      <c r="B99" s="44">
        <f>OUT_1!B99+OUT_2!B99+OUT_3!B99+OUT_4!B99</f>
        <v>614</v>
      </c>
      <c r="C99" s="39">
        <f>OUT_1!C99+OUT_2!C99+OUT_3!C99+OUT_4!C99</f>
        <v>580</v>
      </c>
      <c r="D99" s="39">
        <f>OUT_1!D99+OUT_2!D99+OUT_3!D99+OUT_4!D99</f>
        <v>39</v>
      </c>
      <c r="E99" s="39">
        <f>OUT_1!E99+OUT_2!E99+OUT_3!E99+OUT_4!E99</f>
        <v>40</v>
      </c>
      <c r="F99" s="152">
        <f>OUT_1!F99+OUT_2!F99+OUT_3!F99+OUT_4!F99</f>
        <v>61</v>
      </c>
      <c r="G99" s="154">
        <f t="shared" si="5"/>
        <v>1334</v>
      </c>
      <c r="H99" s="44">
        <f>OUT_1!H99+OUT_2!H99+OUT_3!H99+OUT_4!H99</f>
        <v>1</v>
      </c>
      <c r="I99" s="39">
        <f>OUT_1!I99+OUT_2!I99+OUT_3!I99+OUT_4!I99</f>
        <v>0</v>
      </c>
      <c r="J99" s="39">
        <f>OUT_1!J99+OUT_2!J99+OUT_3!J99+OUT_4!J99</f>
        <v>0</v>
      </c>
      <c r="K99" s="45">
        <f>OUT_1!K99+OUT_2!K99+OUT_3!K99+OUT_4!K99</f>
        <v>0</v>
      </c>
      <c r="L99" s="140">
        <f>OUT_1!L99+OUT_2!L99+OUT_3!L99+OUT_4!L99</f>
        <v>6</v>
      </c>
      <c r="M99" s="149">
        <f t="shared" si="6"/>
        <v>7</v>
      </c>
      <c r="N99" s="100">
        <f t="shared" si="7"/>
        <v>1341</v>
      </c>
      <c r="O99" s="43">
        <f t="shared" si="8"/>
        <v>1405.5</v>
      </c>
    </row>
    <row r="100" spans="1:15" ht="22.5" customHeight="1" x14ac:dyDescent="0.3">
      <c r="A100" s="149" t="s">
        <v>139</v>
      </c>
      <c r="B100" s="44">
        <f>OUT_1!B100+OUT_2!B100+OUT_3!B100+OUT_4!B100</f>
        <v>702</v>
      </c>
      <c r="C100" s="39">
        <f>OUT_1!C100+OUT_2!C100+OUT_3!C100+OUT_4!C100</f>
        <v>652</v>
      </c>
      <c r="D100" s="39">
        <f>OUT_1!D100+OUT_2!D100+OUT_3!D100+OUT_4!D100</f>
        <v>53</v>
      </c>
      <c r="E100" s="39">
        <f>OUT_1!E100+OUT_2!E100+OUT_3!E100+OUT_4!E100</f>
        <v>49</v>
      </c>
      <c r="F100" s="152">
        <f>OUT_1!F100+OUT_2!F100+OUT_3!F100+OUT_4!F100</f>
        <v>67</v>
      </c>
      <c r="G100" s="154">
        <f t="shared" si="5"/>
        <v>1523</v>
      </c>
      <c r="H100" s="44">
        <f>OUT_1!H100+OUT_2!H100+OUT_3!H100+OUT_4!H100</f>
        <v>5</v>
      </c>
      <c r="I100" s="39">
        <f>OUT_1!I100+OUT_2!I100+OUT_3!I100+OUT_4!I100</f>
        <v>0</v>
      </c>
      <c r="J100" s="39">
        <f>OUT_1!J100+OUT_2!J100+OUT_3!J100+OUT_4!J100</f>
        <v>0</v>
      </c>
      <c r="K100" s="45">
        <f>OUT_1!K100+OUT_2!K100+OUT_3!K100+OUT_4!K100</f>
        <v>0</v>
      </c>
      <c r="L100" s="140">
        <f>OUT_1!L100+OUT_2!L100+OUT_3!L100+OUT_4!L100</f>
        <v>14</v>
      </c>
      <c r="M100" s="149">
        <f t="shared" si="6"/>
        <v>19</v>
      </c>
      <c r="N100" s="100">
        <f t="shared" si="7"/>
        <v>1542</v>
      </c>
      <c r="O100" s="43">
        <f t="shared" si="8"/>
        <v>1670.5</v>
      </c>
    </row>
    <row r="101" spans="1:15" ht="22.5" customHeight="1" x14ac:dyDescent="0.3">
      <c r="A101" s="149" t="s">
        <v>140</v>
      </c>
      <c r="B101" s="44">
        <f>OUT_1!B101+OUT_2!B101+OUT_3!B101+OUT_4!B101</f>
        <v>839</v>
      </c>
      <c r="C101" s="39">
        <f>OUT_1!C101+OUT_2!C101+OUT_3!C101+OUT_4!C101</f>
        <v>725</v>
      </c>
      <c r="D101" s="39">
        <f>OUT_1!D101+OUT_2!D101+OUT_3!D101+OUT_4!D101</f>
        <v>54</v>
      </c>
      <c r="E101" s="39">
        <f>OUT_1!E101+OUT_2!E101+OUT_3!E101+OUT_4!E101</f>
        <v>56</v>
      </c>
      <c r="F101" s="152">
        <f>OUT_1!F101+OUT_2!F101+OUT_3!F101+OUT_4!F101</f>
        <v>75</v>
      </c>
      <c r="G101" s="154">
        <f t="shared" si="5"/>
        <v>1749</v>
      </c>
      <c r="H101" s="44">
        <f>OUT_1!H101+OUT_2!H101+OUT_3!H101+OUT_4!H101</f>
        <v>6</v>
      </c>
      <c r="I101" s="39">
        <f>OUT_1!I101+OUT_2!I101+OUT_3!I101+OUT_4!I101</f>
        <v>0</v>
      </c>
      <c r="J101" s="39">
        <f>OUT_1!J101+OUT_2!J101+OUT_3!J101+OUT_4!J101</f>
        <v>0</v>
      </c>
      <c r="K101" s="45">
        <f>OUT_1!K101+OUT_2!K101+OUT_3!K101+OUT_4!K101</f>
        <v>0</v>
      </c>
      <c r="L101" s="140">
        <f>OUT_1!L101+OUT_2!L101+OUT_3!L101+OUT_4!L101</f>
        <v>10</v>
      </c>
      <c r="M101" s="149">
        <f t="shared" si="6"/>
        <v>16</v>
      </c>
      <c r="N101" s="100">
        <f t="shared" si="7"/>
        <v>1765</v>
      </c>
      <c r="O101" s="43">
        <f t="shared" si="8"/>
        <v>1871</v>
      </c>
    </row>
    <row r="102" spans="1:15" ht="22.5" customHeight="1" x14ac:dyDescent="0.3">
      <c r="A102" s="149" t="s">
        <v>141</v>
      </c>
      <c r="B102" s="44">
        <f>OUT_1!B102+OUT_2!B102+OUT_3!B102+OUT_4!B102</f>
        <v>861</v>
      </c>
      <c r="C102" s="39">
        <f>OUT_1!C102+OUT_2!C102+OUT_3!C102+OUT_4!C102</f>
        <v>844</v>
      </c>
      <c r="D102" s="39">
        <f>OUT_1!D102+OUT_2!D102+OUT_3!D102+OUT_4!D102</f>
        <v>41</v>
      </c>
      <c r="E102" s="39">
        <f>OUT_1!E102+OUT_2!E102+OUT_3!E102+OUT_4!E102</f>
        <v>52</v>
      </c>
      <c r="F102" s="152">
        <f>OUT_1!F102+OUT_2!F102+OUT_3!F102+OUT_4!F102</f>
        <v>77</v>
      </c>
      <c r="G102" s="154">
        <f t="shared" si="5"/>
        <v>1875</v>
      </c>
      <c r="H102" s="44">
        <f>OUT_1!H102+OUT_2!H102+OUT_3!H102+OUT_4!H102</f>
        <v>8</v>
      </c>
      <c r="I102" s="39">
        <f>OUT_1!I102+OUT_2!I102+OUT_3!I102+OUT_4!I102</f>
        <v>0</v>
      </c>
      <c r="J102" s="39">
        <f>OUT_1!J102+OUT_2!J102+OUT_3!J102+OUT_4!J102</f>
        <v>0</v>
      </c>
      <c r="K102" s="45">
        <f>OUT_1!K102+OUT_2!K102+OUT_3!K102+OUT_4!K102</f>
        <v>0</v>
      </c>
      <c r="L102" s="140">
        <f>OUT_1!L102+OUT_2!L102+OUT_3!L102+OUT_4!L102</f>
        <v>18</v>
      </c>
      <c r="M102" s="149">
        <f t="shared" si="6"/>
        <v>26</v>
      </c>
      <c r="N102" s="100">
        <f t="shared" si="7"/>
        <v>1901</v>
      </c>
      <c r="O102" s="43">
        <f t="shared" si="8"/>
        <v>1995</v>
      </c>
    </row>
    <row r="103" spans="1:15" ht="22.5" customHeight="1" thickBot="1" x14ac:dyDescent="0.35">
      <c r="A103" s="150" t="s">
        <v>142</v>
      </c>
      <c r="B103" s="46">
        <f>OUT_1!B103+OUT_2!B103+OUT_3!B103+OUT_4!B103</f>
        <v>942</v>
      </c>
      <c r="C103" s="47">
        <f>OUT_1!C103+OUT_2!C103+OUT_3!C103+OUT_4!C103</f>
        <v>934</v>
      </c>
      <c r="D103" s="47">
        <f>OUT_1!D103+OUT_2!D103+OUT_3!D103+OUT_4!D103</f>
        <v>56</v>
      </c>
      <c r="E103" s="47">
        <f>OUT_1!E103+OUT_2!E103+OUT_3!E103+OUT_4!E103</f>
        <v>47</v>
      </c>
      <c r="F103" s="153">
        <f>OUT_1!F103+OUT_2!F103+OUT_3!F103+OUT_4!F103</f>
        <v>62</v>
      </c>
      <c r="G103" s="80">
        <f t="shared" si="5"/>
        <v>2041</v>
      </c>
      <c r="H103" s="46">
        <f>OUT_1!H103+OUT_2!H103+OUT_3!H103+OUT_4!H103</f>
        <v>8</v>
      </c>
      <c r="I103" s="47">
        <f>OUT_1!I103+OUT_2!I103+OUT_3!I103+OUT_4!I103</f>
        <v>0</v>
      </c>
      <c r="J103" s="47">
        <f>OUT_1!J103+OUT_2!J103+OUT_3!J103+OUT_4!J103</f>
        <v>0</v>
      </c>
      <c r="K103" s="48">
        <f>OUT_1!K103+OUT_2!K103+OUT_3!K103+OUT_4!K103</f>
        <v>0</v>
      </c>
      <c r="L103" s="141">
        <f>OUT_1!L103+OUT_2!L103+OUT_3!L103+OUT_4!L103</f>
        <v>12</v>
      </c>
      <c r="M103" s="150">
        <f t="shared" si="6"/>
        <v>20</v>
      </c>
      <c r="N103" s="101">
        <f t="shared" si="7"/>
        <v>2061</v>
      </c>
      <c r="O103" s="84">
        <f t="shared" si="8"/>
        <v>2013</v>
      </c>
    </row>
    <row r="104" spans="1:15" ht="22.5" customHeight="1" thickBot="1" x14ac:dyDescent="0.35">
      <c r="A104" s="41" t="s">
        <v>11</v>
      </c>
      <c r="B104" s="117">
        <f t="shared" ref="B104:N104" si="9">SUM(B8:B103)</f>
        <v>71434</v>
      </c>
      <c r="C104" s="117">
        <f t="shared" si="9"/>
        <v>44698</v>
      </c>
      <c r="D104" s="117">
        <f t="shared" si="9"/>
        <v>5973</v>
      </c>
      <c r="E104" s="117">
        <f t="shared" si="9"/>
        <v>3827</v>
      </c>
      <c r="F104" s="117">
        <f t="shared" si="9"/>
        <v>8182</v>
      </c>
      <c r="G104" s="94">
        <f t="shared" si="9"/>
        <v>134114</v>
      </c>
      <c r="H104" s="117">
        <f t="shared" si="9"/>
        <v>128</v>
      </c>
      <c r="I104" s="117">
        <f t="shared" si="9"/>
        <v>2</v>
      </c>
      <c r="J104" s="117">
        <f t="shared" si="9"/>
        <v>12</v>
      </c>
      <c r="K104" s="118">
        <f t="shared" si="9"/>
        <v>1</v>
      </c>
      <c r="L104" s="118">
        <f t="shared" si="9"/>
        <v>837</v>
      </c>
      <c r="M104" s="94">
        <f>SUM(M8:M103)</f>
        <v>980</v>
      </c>
      <c r="N104" s="95">
        <f t="shared" si="9"/>
        <v>135094</v>
      </c>
      <c r="O104" s="142">
        <f>SUM(O8:O103)</f>
        <v>157845.5</v>
      </c>
    </row>
    <row r="105" spans="1:15" ht="22.5" customHeight="1" thickBot="1" x14ac:dyDescent="0.35">
      <c r="A105" s="41" t="s">
        <v>143</v>
      </c>
      <c r="B105" s="88">
        <f>+B104*1</f>
        <v>71434</v>
      </c>
      <c r="C105" s="88">
        <f>+C104*0.5</f>
        <v>22349</v>
      </c>
      <c r="D105" s="88">
        <f>+D104*1.5</f>
        <v>8959.5</v>
      </c>
      <c r="E105" s="88">
        <f>+E104*3</f>
        <v>11481</v>
      </c>
      <c r="F105" s="89">
        <f>+F104*4.5</f>
        <v>36819</v>
      </c>
      <c r="G105" s="90">
        <f>SUM(B105:F105)</f>
        <v>151042.5</v>
      </c>
      <c r="H105" s="88">
        <f>+H104*0.5</f>
        <v>64</v>
      </c>
      <c r="I105" s="89">
        <f>+I104*1.5</f>
        <v>3</v>
      </c>
      <c r="J105" s="89">
        <f>+J104*3</f>
        <v>36</v>
      </c>
      <c r="K105" s="96">
        <f>+K104*4</f>
        <v>4</v>
      </c>
      <c r="L105" s="96">
        <f>+L104*8</f>
        <v>6696</v>
      </c>
      <c r="M105" s="147">
        <f>SUM(H105:L105)</f>
        <v>6803</v>
      </c>
      <c r="N105" s="91"/>
      <c r="O105" s="92">
        <f>G105+M105</f>
        <v>157845.5</v>
      </c>
    </row>
    <row r="106" spans="1:15" ht="22.5" customHeight="1" thickBot="1" x14ac:dyDescent="0.35">
      <c r="A106" s="42" t="s">
        <v>12</v>
      </c>
      <c r="B106" s="93">
        <f t="shared" ref="B106:N106" si="10">B104/$N$104</f>
        <v>0.52877255836676684</v>
      </c>
      <c r="C106" s="93">
        <f t="shared" si="10"/>
        <v>0.33086591558470396</v>
      </c>
      <c r="D106" s="93">
        <f t="shared" si="10"/>
        <v>4.4213658637689314E-2</v>
      </c>
      <c r="E106" s="93">
        <f t="shared" si="10"/>
        <v>2.8328423172013562E-2</v>
      </c>
      <c r="F106" s="93">
        <f t="shared" si="10"/>
        <v>6.0565236057856013E-2</v>
      </c>
      <c r="G106" s="98">
        <f t="shared" si="10"/>
        <v>0.99274579181902967</v>
      </c>
      <c r="H106" s="93">
        <f t="shared" si="10"/>
        <v>9.4748841547367014E-4</v>
      </c>
      <c r="I106" s="93">
        <f t="shared" si="10"/>
        <v>1.4804506491776096E-5</v>
      </c>
      <c r="J106" s="93">
        <f t="shared" si="10"/>
        <v>8.8827038950656579E-5</v>
      </c>
      <c r="K106" s="97">
        <f t="shared" si="10"/>
        <v>7.4022532458880479E-6</v>
      </c>
      <c r="L106" s="97">
        <f t="shared" si="10"/>
        <v>6.1956859668082969E-3</v>
      </c>
      <c r="M106" s="98">
        <f t="shared" si="10"/>
        <v>7.2542081809702872E-3</v>
      </c>
      <c r="N106" s="99">
        <f t="shared" si="10"/>
        <v>1</v>
      </c>
      <c r="O106" s="94"/>
    </row>
    <row r="108" spans="1:15" s="4" customFormat="1" x14ac:dyDescent="0.3">
      <c r="A108" s="4" t="s">
        <v>103</v>
      </c>
      <c r="B108" s="4" t="str">
        <f>B2</f>
        <v>TMC-14 Number (D2)</v>
      </c>
    </row>
    <row r="109" spans="1:15" s="4" customFormat="1" x14ac:dyDescent="0.3">
      <c r="A109" s="4" t="s">
        <v>102</v>
      </c>
      <c r="B109" s="4" t="str">
        <f>B3</f>
        <v>D2</v>
      </c>
    </row>
    <row r="110" spans="1:15" s="4" customFormat="1" x14ac:dyDescent="0.3">
      <c r="A110" s="4" t="s">
        <v>104</v>
      </c>
      <c r="B110" s="4" t="str">
        <f>B4</f>
        <v>Total Outflow</v>
      </c>
    </row>
    <row r="111" spans="1:15" ht="16.2" thickBot="1" x14ac:dyDescent="0.35"/>
    <row r="112" spans="1:15" ht="25.2" customHeight="1" x14ac:dyDescent="0.3">
      <c r="A112" s="252" t="s">
        <v>95</v>
      </c>
      <c r="B112" s="258" t="s">
        <v>280</v>
      </c>
      <c r="C112" s="254" t="s">
        <v>281</v>
      </c>
      <c r="D112" s="250" t="s">
        <v>282</v>
      </c>
      <c r="E112" s="260" t="s">
        <v>283</v>
      </c>
      <c r="F112" s="256" t="s">
        <v>284</v>
      </c>
      <c r="G112" s="250" t="s">
        <v>129</v>
      </c>
      <c r="H112" s="248" t="s">
        <v>150</v>
      </c>
      <c r="I112" s="250" t="s">
        <v>151</v>
      </c>
      <c r="J112" s="250" t="s">
        <v>285</v>
      </c>
      <c r="K112" s="248" t="s">
        <v>286</v>
      </c>
      <c r="L112" s="250" t="s">
        <v>287</v>
      </c>
      <c r="M112" s="250" t="s">
        <v>78</v>
      </c>
      <c r="N112" s="250" t="s">
        <v>131</v>
      </c>
      <c r="O112" s="250" t="s">
        <v>132</v>
      </c>
    </row>
    <row r="113" spans="1:15" ht="16.2" thickBot="1" x14ac:dyDescent="0.35">
      <c r="A113" s="253"/>
      <c r="B113" s="259"/>
      <c r="C113" s="255"/>
      <c r="D113" s="251"/>
      <c r="E113" s="261"/>
      <c r="F113" s="257"/>
      <c r="G113" s="259"/>
      <c r="H113" s="249"/>
      <c r="I113" s="251"/>
      <c r="J113" s="251"/>
      <c r="K113" s="249"/>
      <c r="L113" s="251"/>
      <c r="M113" s="251"/>
      <c r="N113" s="251"/>
      <c r="O113" s="251"/>
    </row>
    <row r="114" spans="1:15" ht="22.95" customHeight="1" x14ac:dyDescent="0.3">
      <c r="A114" s="52" t="s">
        <v>15</v>
      </c>
      <c r="B114" s="112">
        <f t="shared" ref="B114:M114" si="11">B8+B9+B10+B11</f>
        <v>3710</v>
      </c>
      <c r="C114" s="113">
        <f t="shared" si="11"/>
        <v>3598</v>
      </c>
      <c r="D114" s="113">
        <f t="shared" si="11"/>
        <v>241</v>
      </c>
      <c r="E114" s="113">
        <f t="shared" si="11"/>
        <v>185</v>
      </c>
      <c r="F114" s="113">
        <f t="shared" si="11"/>
        <v>314</v>
      </c>
      <c r="G114" s="49">
        <f>G8+G9+G10+G11</f>
        <v>8048</v>
      </c>
      <c r="H114" s="112">
        <f t="shared" si="11"/>
        <v>29</v>
      </c>
      <c r="I114" s="113">
        <f t="shared" ref="I114:L114" si="12">I8+I9+I10+I11</f>
        <v>1</v>
      </c>
      <c r="J114" s="113">
        <f t="shared" si="12"/>
        <v>0</v>
      </c>
      <c r="K114" s="114">
        <f t="shared" si="12"/>
        <v>0</v>
      </c>
      <c r="L114" s="143">
        <f t="shared" si="12"/>
        <v>102</v>
      </c>
      <c r="M114" s="49">
        <f t="shared" si="11"/>
        <v>132</v>
      </c>
      <c r="N114" s="40">
        <f>G114+M114</f>
        <v>8180</v>
      </c>
      <c r="O114" s="115">
        <f>B114*1+C114*0.5+D114*1.5+E114*3+F114*4.5+H114*0.5+I114*1.5+J114*3+K114*4+L114*8</f>
        <v>8670.5</v>
      </c>
    </row>
    <row r="115" spans="1:15" ht="22.95" customHeight="1" x14ac:dyDescent="0.3">
      <c r="A115" s="52" t="s">
        <v>16</v>
      </c>
      <c r="B115" s="44">
        <f t="shared" ref="B115:M115" si="13">B9+B10+B11+B12</f>
        <v>3949</v>
      </c>
      <c r="C115" s="39">
        <f t="shared" si="13"/>
        <v>3922</v>
      </c>
      <c r="D115" s="39">
        <f t="shared" si="13"/>
        <v>240</v>
      </c>
      <c r="E115" s="39">
        <f t="shared" si="13"/>
        <v>171</v>
      </c>
      <c r="F115" s="39">
        <f t="shared" si="13"/>
        <v>315</v>
      </c>
      <c r="G115" s="50">
        <f t="shared" si="13"/>
        <v>8597</v>
      </c>
      <c r="H115" s="44">
        <f t="shared" si="13"/>
        <v>30</v>
      </c>
      <c r="I115" s="39">
        <f t="shared" si="13"/>
        <v>1</v>
      </c>
      <c r="J115" s="39">
        <f t="shared" si="13"/>
        <v>0</v>
      </c>
      <c r="K115" s="45">
        <f t="shared" si="13"/>
        <v>0</v>
      </c>
      <c r="L115" s="144">
        <f t="shared" si="13"/>
        <v>111</v>
      </c>
      <c r="M115" s="50">
        <f t="shared" si="13"/>
        <v>142</v>
      </c>
      <c r="N115" s="40">
        <f t="shared" ref="N115:N178" si="14">G115+M115</f>
        <v>8739</v>
      </c>
      <c r="O115" s="43">
        <f t="shared" ref="O115:O178" si="15">B115*1+C115*0.5+D115*1.5+E115*3+F115*4.5+H115*0.5+I115*1.5+J115*3+K115*4+L115*8</f>
        <v>9105</v>
      </c>
    </row>
    <row r="116" spans="1:15" ht="22.95" customHeight="1" x14ac:dyDescent="0.3">
      <c r="A116" s="52" t="s">
        <v>17</v>
      </c>
      <c r="B116" s="44">
        <f t="shared" ref="B116:M116" si="16">B10+B11+B12+B13</f>
        <v>4150</v>
      </c>
      <c r="C116" s="39">
        <f t="shared" si="16"/>
        <v>4157</v>
      </c>
      <c r="D116" s="39">
        <f t="shared" si="16"/>
        <v>228</v>
      </c>
      <c r="E116" s="39">
        <f t="shared" si="16"/>
        <v>160</v>
      </c>
      <c r="F116" s="39">
        <f t="shared" si="16"/>
        <v>284</v>
      </c>
      <c r="G116" s="50">
        <f t="shared" si="16"/>
        <v>8979</v>
      </c>
      <c r="H116" s="44">
        <f t="shared" si="16"/>
        <v>26</v>
      </c>
      <c r="I116" s="39">
        <f t="shared" si="16"/>
        <v>0</v>
      </c>
      <c r="J116" s="39">
        <f t="shared" si="16"/>
        <v>0</v>
      </c>
      <c r="K116" s="45">
        <f t="shared" si="16"/>
        <v>0</v>
      </c>
      <c r="L116" s="144">
        <f t="shared" si="16"/>
        <v>115</v>
      </c>
      <c r="M116" s="50">
        <f t="shared" si="16"/>
        <v>141</v>
      </c>
      <c r="N116" s="40">
        <f t="shared" si="14"/>
        <v>9120</v>
      </c>
      <c r="O116" s="43">
        <f t="shared" si="15"/>
        <v>9261.5</v>
      </c>
    </row>
    <row r="117" spans="1:15" ht="22.95" customHeight="1" x14ac:dyDescent="0.3">
      <c r="A117" s="52" t="s">
        <v>18</v>
      </c>
      <c r="B117" s="44">
        <f t="shared" ref="B117:M117" si="17">B11+B12+B13+B14</f>
        <v>4472</v>
      </c>
      <c r="C117" s="39">
        <f t="shared" si="17"/>
        <v>4446</v>
      </c>
      <c r="D117" s="39">
        <f t="shared" si="17"/>
        <v>239</v>
      </c>
      <c r="E117" s="39">
        <f t="shared" si="17"/>
        <v>153</v>
      </c>
      <c r="F117" s="39">
        <f t="shared" si="17"/>
        <v>287</v>
      </c>
      <c r="G117" s="50">
        <f t="shared" si="17"/>
        <v>9597</v>
      </c>
      <c r="H117" s="44">
        <f t="shared" si="17"/>
        <v>24</v>
      </c>
      <c r="I117" s="39">
        <f t="shared" si="17"/>
        <v>0</v>
      </c>
      <c r="J117" s="39">
        <f t="shared" si="17"/>
        <v>0</v>
      </c>
      <c r="K117" s="45">
        <f t="shared" si="17"/>
        <v>0</v>
      </c>
      <c r="L117" s="144">
        <f t="shared" si="17"/>
        <v>122</v>
      </c>
      <c r="M117" s="50">
        <f t="shared" si="17"/>
        <v>146</v>
      </c>
      <c r="N117" s="40">
        <f t="shared" si="14"/>
        <v>9743</v>
      </c>
      <c r="O117" s="43">
        <f t="shared" si="15"/>
        <v>9792</v>
      </c>
    </row>
    <row r="118" spans="1:15" ht="22.95" customHeight="1" x14ac:dyDescent="0.3">
      <c r="A118" s="52" t="s">
        <v>19</v>
      </c>
      <c r="B118" s="44">
        <f t="shared" ref="B118:M118" si="18">B12+B13+B14+B15</f>
        <v>4773</v>
      </c>
      <c r="C118" s="39">
        <f t="shared" si="18"/>
        <v>4414</v>
      </c>
      <c r="D118" s="39">
        <f t="shared" si="18"/>
        <v>269</v>
      </c>
      <c r="E118" s="39">
        <f t="shared" si="18"/>
        <v>167</v>
      </c>
      <c r="F118" s="39">
        <f t="shared" si="18"/>
        <v>283</v>
      </c>
      <c r="G118" s="50">
        <f t="shared" si="18"/>
        <v>9906</v>
      </c>
      <c r="H118" s="44">
        <f t="shared" si="18"/>
        <v>17</v>
      </c>
      <c r="I118" s="39">
        <f t="shared" si="18"/>
        <v>0</v>
      </c>
      <c r="J118" s="39">
        <f t="shared" si="18"/>
        <v>0</v>
      </c>
      <c r="K118" s="45">
        <f t="shared" si="18"/>
        <v>0</v>
      </c>
      <c r="L118" s="144">
        <f t="shared" si="18"/>
        <v>109</v>
      </c>
      <c r="M118" s="50">
        <f t="shared" si="18"/>
        <v>126</v>
      </c>
      <c r="N118" s="40">
        <f t="shared" si="14"/>
        <v>10032</v>
      </c>
      <c r="O118" s="43">
        <f t="shared" si="15"/>
        <v>10038.5</v>
      </c>
    </row>
    <row r="119" spans="1:15" ht="22.95" customHeight="1" x14ac:dyDescent="0.3">
      <c r="A119" s="52" t="s">
        <v>20</v>
      </c>
      <c r="B119" s="44">
        <f t="shared" ref="B119:M119" si="19">B13+B14+B15+B16</f>
        <v>4934</v>
      </c>
      <c r="C119" s="39">
        <f t="shared" si="19"/>
        <v>4374</v>
      </c>
      <c r="D119" s="39">
        <f t="shared" si="19"/>
        <v>292</v>
      </c>
      <c r="E119" s="39">
        <f t="shared" si="19"/>
        <v>173</v>
      </c>
      <c r="F119" s="39">
        <f t="shared" si="19"/>
        <v>281</v>
      </c>
      <c r="G119" s="50">
        <f t="shared" si="19"/>
        <v>10054</v>
      </c>
      <c r="H119" s="44">
        <f t="shared" si="19"/>
        <v>15</v>
      </c>
      <c r="I119" s="39">
        <f t="shared" si="19"/>
        <v>0</v>
      </c>
      <c r="J119" s="39">
        <f t="shared" si="19"/>
        <v>0</v>
      </c>
      <c r="K119" s="45">
        <f t="shared" si="19"/>
        <v>0</v>
      </c>
      <c r="L119" s="144">
        <f t="shared" si="19"/>
        <v>92</v>
      </c>
      <c r="M119" s="50">
        <f t="shared" si="19"/>
        <v>107</v>
      </c>
      <c r="N119" s="40">
        <f t="shared" si="14"/>
        <v>10161</v>
      </c>
      <c r="O119" s="43">
        <f t="shared" si="15"/>
        <v>10086</v>
      </c>
    </row>
    <row r="120" spans="1:15" ht="22.95" customHeight="1" x14ac:dyDescent="0.3">
      <c r="A120" s="52" t="s">
        <v>21</v>
      </c>
      <c r="B120" s="44">
        <f t="shared" ref="B120:M120" si="20">B14+B15+B16+B17</f>
        <v>5112</v>
      </c>
      <c r="C120" s="39">
        <f t="shared" si="20"/>
        <v>4189</v>
      </c>
      <c r="D120" s="39">
        <f t="shared" si="20"/>
        <v>318</v>
      </c>
      <c r="E120" s="39">
        <f t="shared" si="20"/>
        <v>183</v>
      </c>
      <c r="F120" s="39">
        <f t="shared" si="20"/>
        <v>317</v>
      </c>
      <c r="G120" s="50">
        <f t="shared" si="20"/>
        <v>10119</v>
      </c>
      <c r="H120" s="44">
        <f t="shared" si="20"/>
        <v>10</v>
      </c>
      <c r="I120" s="39">
        <f t="shared" si="20"/>
        <v>0</v>
      </c>
      <c r="J120" s="39">
        <f t="shared" si="20"/>
        <v>0</v>
      </c>
      <c r="K120" s="45">
        <f t="shared" si="20"/>
        <v>0</v>
      </c>
      <c r="L120" s="144">
        <f t="shared" si="20"/>
        <v>78</v>
      </c>
      <c r="M120" s="50">
        <f t="shared" si="20"/>
        <v>88</v>
      </c>
      <c r="N120" s="40">
        <f t="shared" si="14"/>
        <v>10207</v>
      </c>
      <c r="O120" s="43">
        <f t="shared" si="15"/>
        <v>10288</v>
      </c>
    </row>
    <row r="121" spans="1:15" ht="22.95" customHeight="1" x14ac:dyDescent="0.3">
      <c r="A121" s="52" t="s">
        <v>22</v>
      </c>
      <c r="B121" s="44">
        <f t="shared" ref="B121:M121" si="21">B15+B16+B17+B18</f>
        <v>5118</v>
      </c>
      <c r="C121" s="39">
        <f t="shared" si="21"/>
        <v>3605</v>
      </c>
      <c r="D121" s="39">
        <f t="shared" si="21"/>
        <v>316</v>
      </c>
      <c r="E121" s="39">
        <f t="shared" si="21"/>
        <v>193</v>
      </c>
      <c r="F121" s="39">
        <f t="shared" si="21"/>
        <v>316</v>
      </c>
      <c r="G121" s="50">
        <f t="shared" si="21"/>
        <v>9548</v>
      </c>
      <c r="H121" s="44">
        <f t="shared" si="21"/>
        <v>6</v>
      </c>
      <c r="I121" s="39">
        <f t="shared" si="21"/>
        <v>0</v>
      </c>
      <c r="J121" s="39">
        <f t="shared" si="21"/>
        <v>0</v>
      </c>
      <c r="K121" s="45">
        <f t="shared" si="21"/>
        <v>0</v>
      </c>
      <c r="L121" s="144">
        <f t="shared" si="21"/>
        <v>61</v>
      </c>
      <c r="M121" s="50">
        <f t="shared" si="21"/>
        <v>67</v>
      </c>
      <c r="N121" s="40">
        <f t="shared" si="14"/>
        <v>9615</v>
      </c>
      <c r="O121" s="43">
        <f t="shared" si="15"/>
        <v>9886.5</v>
      </c>
    </row>
    <row r="122" spans="1:15" ht="22.95" customHeight="1" x14ac:dyDescent="0.3">
      <c r="A122" s="52" t="s">
        <v>23</v>
      </c>
      <c r="B122" s="44">
        <f t="shared" ref="B122:M122" si="22">B16+B17+B18+B19</f>
        <v>5073</v>
      </c>
      <c r="C122" s="39">
        <f t="shared" si="22"/>
        <v>3295</v>
      </c>
      <c r="D122" s="39">
        <f t="shared" si="22"/>
        <v>319</v>
      </c>
      <c r="E122" s="39">
        <f t="shared" si="22"/>
        <v>184</v>
      </c>
      <c r="F122" s="39">
        <f t="shared" si="22"/>
        <v>329</v>
      </c>
      <c r="G122" s="50">
        <f t="shared" si="22"/>
        <v>9200</v>
      </c>
      <c r="H122" s="44">
        <f t="shared" si="22"/>
        <v>6</v>
      </c>
      <c r="I122" s="39">
        <f t="shared" si="22"/>
        <v>0</v>
      </c>
      <c r="J122" s="39">
        <f t="shared" si="22"/>
        <v>0</v>
      </c>
      <c r="K122" s="45">
        <f t="shared" si="22"/>
        <v>0</v>
      </c>
      <c r="L122" s="144">
        <f t="shared" si="22"/>
        <v>65</v>
      </c>
      <c r="M122" s="50">
        <f t="shared" si="22"/>
        <v>71</v>
      </c>
      <c r="N122" s="40">
        <f t="shared" si="14"/>
        <v>9271</v>
      </c>
      <c r="O122" s="43">
        <f t="shared" si="15"/>
        <v>9754.5</v>
      </c>
    </row>
    <row r="123" spans="1:15" ht="22.95" customHeight="1" x14ac:dyDescent="0.3">
      <c r="A123" s="52" t="s">
        <v>24</v>
      </c>
      <c r="B123" s="44">
        <f t="shared" ref="B123:M123" si="23">B17+B18+B19+B20</f>
        <v>5024</v>
      </c>
      <c r="C123" s="39">
        <f t="shared" si="23"/>
        <v>2919</v>
      </c>
      <c r="D123" s="39">
        <f t="shared" si="23"/>
        <v>298</v>
      </c>
      <c r="E123" s="39">
        <f t="shared" si="23"/>
        <v>192</v>
      </c>
      <c r="F123" s="39">
        <f t="shared" si="23"/>
        <v>323</v>
      </c>
      <c r="G123" s="50">
        <f t="shared" si="23"/>
        <v>8756</v>
      </c>
      <c r="H123" s="44">
        <f t="shared" si="23"/>
        <v>1</v>
      </c>
      <c r="I123" s="39">
        <f t="shared" si="23"/>
        <v>0</v>
      </c>
      <c r="J123" s="39">
        <f t="shared" si="23"/>
        <v>0</v>
      </c>
      <c r="K123" s="45">
        <f t="shared" si="23"/>
        <v>0</v>
      </c>
      <c r="L123" s="144">
        <f t="shared" si="23"/>
        <v>60</v>
      </c>
      <c r="M123" s="50">
        <f t="shared" si="23"/>
        <v>61</v>
      </c>
      <c r="N123" s="40">
        <f t="shared" si="14"/>
        <v>8817</v>
      </c>
      <c r="O123" s="43">
        <f t="shared" si="15"/>
        <v>9440.5</v>
      </c>
    </row>
    <row r="124" spans="1:15" ht="22.95" customHeight="1" x14ac:dyDescent="0.3">
      <c r="A124" s="52" t="s">
        <v>25</v>
      </c>
      <c r="B124" s="44">
        <f t="shared" ref="B124:M124" si="24">B18+B19+B20+B21</f>
        <v>5135</v>
      </c>
      <c r="C124" s="39">
        <f t="shared" si="24"/>
        <v>2867</v>
      </c>
      <c r="D124" s="39">
        <f t="shared" si="24"/>
        <v>307</v>
      </c>
      <c r="E124" s="39">
        <f t="shared" si="24"/>
        <v>199</v>
      </c>
      <c r="F124" s="39">
        <f t="shared" si="24"/>
        <v>339</v>
      </c>
      <c r="G124" s="50">
        <f t="shared" si="24"/>
        <v>8847</v>
      </c>
      <c r="H124" s="44">
        <f t="shared" si="24"/>
        <v>3</v>
      </c>
      <c r="I124" s="39">
        <f t="shared" si="24"/>
        <v>0</v>
      </c>
      <c r="J124" s="39">
        <f t="shared" si="24"/>
        <v>0</v>
      </c>
      <c r="K124" s="45">
        <f t="shared" si="24"/>
        <v>0</v>
      </c>
      <c r="L124" s="144">
        <f t="shared" si="24"/>
        <v>63</v>
      </c>
      <c r="M124" s="50">
        <f t="shared" si="24"/>
        <v>66</v>
      </c>
      <c r="N124" s="40">
        <f t="shared" si="14"/>
        <v>8913</v>
      </c>
      <c r="O124" s="43">
        <f t="shared" si="15"/>
        <v>9657</v>
      </c>
    </row>
    <row r="125" spans="1:15" ht="22.95" customHeight="1" x14ac:dyDescent="0.3">
      <c r="A125" s="52" t="s">
        <v>26</v>
      </c>
      <c r="B125" s="44">
        <f t="shared" ref="B125:M125" si="25">B19+B20+B21+B22</f>
        <v>5054</v>
      </c>
      <c r="C125" s="39">
        <f t="shared" si="25"/>
        <v>2698</v>
      </c>
      <c r="D125" s="39">
        <f t="shared" si="25"/>
        <v>304</v>
      </c>
      <c r="E125" s="39">
        <f t="shared" si="25"/>
        <v>196</v>
      </c>
      <c r="F125" s="39">
        <f t="shared" si="25"/>
        <v>347</v>
      </c>
      <c r="G125" s="50">
        <f t="shared" si="25"/>
        <v>8599</v>
      </c>
      <c r="H125" s="44">
        <f t="shared" si="25"/>
        <v>2</v>
      </c>
      <c r="I125" s="39">
        <f t="shared" si="25"/>
        <v>1</v>
      </c>
      <c r="J125" s="39">
        <f t="shared" si="25"/>
        <v>0</v>
      </c>
      <c r="K125" s="45">
        <f t="shared" si="25"/>
        <v>0</v>
      </c>
      <c r="L125" s="144">
        <f t="shared" si="25"/>
        <v>63</v>
      </c>
      <c r="M125" s="50">
        <f t="shared" si="25"/>
        <v>66</v>
      </c>
      <c r="N125" s="40">
        <f t="shared" si="14"/>
        <v>8665</v>
      </c>
      <c r="O125" s="43">
        <f t="shared" si="15"/>
        <v>9515</v>
      </c>
    </row>
    <row r="126" spans="1:15" ht="22.95" customHeight="1" x14ac:dyDescent="0.3">
      <c r="A126" s="52" t="s">
        <v>27</v>
      </c>
      <c r="B126" s="44">
        <f t="shared" ref="B126:M126" si="26">B20+B21+B22+B23</f>
        <v>5010</v>
      </c>
      <c r="C126" s="39">
        <f t="shared" si="26"/>
        <v>2539</v>
      </c>
      <c r="D126" s="39">
        <f t="shared" si="26"/>
        <v>289</v>
      </c>
      <c r="E126" s="39">
        <f t="shared" si="26"/>
        <v>195</v>
      </c>
      <c r="F126" s="39">
        <f t="shared" si="26"/>
        <v>375</v>
      </c>
      <c r="G126" s="50">
        <f t="shared" si="26"/>
        <v>8408</v>
      </c>
      <c r="H126" s="44">
        <f t="shared" si="26"/>
        <v>4</v>
      </c>
      <c r="I126" s="39">
        <f t="shared" si="26"/>
        <v>1</v>
      </c>
      <c r="J126" s="39">
        <f t="shared" si="26"/>
        <v>0</v>
      </c>
      <c r="K126" s="45">
        <f t="shared" si="26"/>
        <v>0</v>
      </c>
      <c r="L126" s="144">
        <f t="shared" si="26"/>
        <v>62</v>
      </c>
      <c r="M126" s="50">
        <f t="shared" si="26"/>
        <v>67</v>
      </c>
      <c r="N126" s="40">
        <f t="shared" si="14"/>
        <v>8475</v>
      </c>
      <c r="O126" s="43">
        <f t="shared" si="15"/>
        <v>9485</v>
      </c>
    </row>
    <row r="127" spans="1:15" ht="22.95" customHeight="1" x14ac:dyDescent="0.3">
      <c r="A127" s="52" t="s">
        <v>28</v>
      </c>
      <c r="B127" s="44">
        <f t="shared" ref="B127:M127" si="27">B21+B22+B23+B24</f>
        <v>4893</v>
      </c>
      <c r="C127" s="39">
        <f t="shared" si="27"/>
        <v>2432</v>
      </c>
      <c r="D127" s="39">
        <f t="shared" si="27"/>
        <v>316</v>
      </c>
      <c r="E127" s="39">
        <f t="shared" si="27"/>
        <v>192</v>
      </c>
      <c r="F127" s="39">
        <f t="shared" si="27"/>
        <v>392</v>
      </c>
      <c r="G127" s="50">
        <f t="shared" si="27"/>
        <v>8225</v>
      </c>
      <c r="H127" s="44">
        <f t="shared" si="27"/>
        <v>4</v>
      </c>
      <c r="I127" s="39">
        <f t="shared" si="27"/>
        <v>1</v>
      </c>
      <c r="J127" s="39">
        <f t="shared" si="27"/>
        <v>0</v>
      </c>
      <c r="K127" s="45">
        <f t="shared" si="27"/>
        <v>0</v>
      </c>
      <c r="L127" s="144">
        <f t="shared" si="27"/>
        <v>54</v>
      </c>
      <c r="M127" s="50">
        <f t="shared" si="27"/>
        <v>59</v>
      </c>
      <c r="N127" s="40">
        <f t="shared" si="14"/>
        <v>8284</v>
      </c>
      <c r="O127" s="43">
        <f t="shared" si="15"/>
        <v>9358.5</v>
      </c>
    </row>
    <row r="128" spans="1:15" ht="22.95" customHeight="1" x14ac:dyDescent="0.3">
      <c r="A128" s="52" t="s">
        <v>29</v>
      </c>
      <c r="B128" s="44">
        <f t="shared" ref="B128:M128" si="28">B22+B23+B24+B25</f>
        <v>4627</v>
      </c>
      <c r="C128" s="39">
        <f t="shared" si="28"/>
        <v>2062</v>
      </c>
      <c r="D128" s="39">
        <f t="shared" si="28"/>
        <v>309</v>
      </c>
      <c r="E128" s="39">
        <f t="shared" si="28"/>
        <v>184</v>
      </c>
      <c r="F128" s="39">
        <f t="shared" si="28"/>
        <v>387</v>
      </c>
      <c r="G128" s="50">
        <f t="shared" si="28"/>
        <v>7569</v>
      </c>
      <c r="H128" s="44">
        <f t="shared" si="28"/>
        <v>2</v>
      </c>
      <c r="I128" s="39">
        <f t="shared" si="28"/>
        <v>1</v>
      </c>
      <c r="J128" s="39">
        <f t="shared" si="28"/>
        <v>0</v>
      </c>
      <c r="K128" s="45">
        <f t="shared" si="28"/>
        <v>0</v>
      </c>
      <c r="L128" s="144">
        <f t="shared" si="28"/>
        <v>45</v>
      </c>
      <c r="M128" s="50">
        <f t="shared" si="28"/>
        <v>48</v>
      </c>
      <c r="N128" s="40">
        <f t="shared" si="14"/>
        <v>7617</v>
      </c>
      <c r="O128" s="43">
        <f t="shared" si="15"/>
        <v>8777.5</v>
      </c>
    </row>
    <row r="129" spans="1:15" ht="22.95" customHeight="1" x14ac:dyDescent="0.3">
      <c r="A129" s="52" t="s">
        <v>30</v>
      </c>
      <c r="B129" s="44">
        <f t="shared" ref="B129:M129" si="29">B23+B24+B25+B26</f>
        <v>4496</v>
      </c>
      <c r="C129" s="39">
        <f t="shared" si="29"/>
        <v>2062</v>
      </c>
      <c r="D129" s="39">
        <f t="shared" si="29"/>
        <v>330</v>
      </c>
      <c r="E129" s="39">
        <f t="shared" si="29"/>
        <v>196</v>
      </c>
      <c r="F129" s="39">
        <f t="shared" si="29"/>
        <v>419</v>
      </c>
      <c r="G129" s="50">
        <f t="shared" si="29"/>
        <v>7503</v>
      </c>
      <c r="H129" s="44">
        <f t="shared" si="29"/>
        <v>2</v>
      </c>
      <c r="I129" s="39">
        <f t="shared" si="29"/>
        <v>0</v>
      </c>
      <c r="J129" s="39">
        <f t="shared" si="29"/>
        <v>1</v>
      </c>
      <c r="K129" s="45">
        <f t="shared" si="29"/>
        <v>0</v>
      </c>
      <c r="L129" s="144">
        <f t="shared" si="29"/>
        <v>41</v>
      </c>
      <c r="M129" s="50">
        <f t="shared" si="29"/>
        <v>44</v>
      </c>
      <c r="N129" s="40">
        <f t="shared" si="14"/>
        <v>7547</v>
      </c>
      <c r="O129" s="43">
        <f t="shared" si="15"/>
        <v>8827.5</v>
      </c>
    </row>
    <row r="130" spans="1:15" ht="22.95" customHeight="1" x14ac:dyDescent="0.3">
      <c r="A130" s="52" t="s">
        <v>31</v>
      </c>
      <c r="B130" s="44">
        <f t="shared" ref="B130:M130" si="30">B24+B25+B26+B27</f>
        <v>4277</v>
      </c>
      <c r="C130" s="39">
        <f t="shared" si="30"/>
        <v>2005</v>
      </c>
      <c r="D130" s="39">
        <f t="shared" si="30"/>
        <v>349</v>
      </c>
      <c r="E130" s="39">
        <f t="shared" si="30"/>
        <v>201</v>
      </c>
      <c r="F130" s="39">
        <f t="shared" si="30"/>
        <v>418</v>
      </c>
      <c r="G130" s="50">
        <f t="shared" si="30"/>
        <v>7250</v>
      </c>
      <c r="H130" s="44">
        <f t="shared" si="30"/>
        <v>0</v>
      </c>
      <c r="I130" s="39">
        <f t="shared" si="30"/>
        <v>0</v>
      </c>
      <c r="J130" s="39">
        <f t="shared" si="30"/>
        <v>1</v>
      </c>
      <c r="K130" s="45">
        <f t="shared" si="30"/>
        <v>0</v>
      </c>
      <c r="L130" s="144">
        <f t="shared" si="30"/>
        <v>32</v>
      </c>
      <c r="M130" s="50">
        <f t="shared" si="30"/>
        <v>33</v>
      </c>
      <c r="N130" s="40">
        <f t="shared" si="14"/>
        <v>7283</v>
      </c>
      <c r="O130" s="43">
        <f t="shared" si="15"/>
        <v>8546</v>
      </c>
    </row>
    <row r="131" spans="1:15" ht="22.95" customHeight="1" x14ac:dyDescent="0.3">
      <c r="A131" s="52" t="s">
        <v>32</v>
      </c>
      <c r="B131" s="44">
        <f t="shared" ref="B131:M131" si="31">B25+B26+B27+B28</f>
        <v>4242</v>
      </c>
      <c r="C131" s="39">
        <f t="shared" si="31"/>
        <v>1993</v>
      </c>
      <c r="D131" s="39">
        <f t="shared" si="31"/>
        <v>356</v>
      </c>
      <c r="E131" s="39">
        <f t="shared" si="31"/>
        <v>213</v>
      </c>
      <c r="F131" s="39">
        <f t="shared" si="31"/>
        <v>426</v>
      </c>
      <c r="G131" s="50">
        <f t="shared" si="31"/>
        <v>7230</v>
      </c>
      <c r="H131" s="44">
        <f t="shared" si="31"/>
        <v>0</v>
      </c>
      <c r="I131" s="39">
        <f t="shared" si="31"/>
        <v>0</v>
      </c>
      <c r="J131" s="39">
        <f t="shared" si="31"/>
        <v>2</v>
      </c>
      <c r="K131" s="45">
        <f t="shared" si="31"/>
        <v>0</v>
      </c>
      <c r="L131" s="144">
        <f t="shared" si="31"/>
        <v>29</v>
      </c>
      <c r="M131" s="50">
        <f t="shared" si="31"/>
        <v>31</v>
      </c>
      <c r="N131" s="40">
        <f t="shared" si="14"/>
        <v>7261</v>
      </c>
      <c r="O131" s="43">
        <f t="shared" si="15"/>
        <v>8566.5</v>
      </c>
    </row>
    <row r="132" spans="1:15" ht="22.95" customHeight="1" x14ac:dyDescent="0.3">
      <c r="A132" s="52" t="s">
        <v>33</v>
      </c>
      <c r="B132" s="44">
        <f t="shared" ref="B132:M132" si="32">B26+B27+B28+B29</f>
        <v>4213</v>
      </c>
      <c r="C132" s="39">
        <f t="shared" si="32"/>
        <v>2042</v>
      </c>
      <c r="D132" s="39">
        <f t="shared" si="32"/>
        <v>362</v>
      </c>
      <c r="E132" s="39">
        <f t="shared" si="32"/>
        <v>209</v>
      </c>
      <c r="F132" s="39">
        <f t="shared" si="32"/>
        <v>429</v>
      </c>
      <c r="G132" s="50">
        <f t="shared" si="32"/>
        <v>7255</v>
      </c>
      <c r="H132" s="44">
        <f t="shared" si="32"/>
        <v>2</v>
      </c>
      <c r="I132" s="39">
        <f t="shared" si="32"/>
        <v>0</v>
      </c>
      <c r="J132" s="39">
        <f t="shared" si="32"/>
        <v>2</v>
      </c>
      <c r="K132" s="45">
        <f t="shared" si="32"/>
        <v>0</v>
      </c>
      <c r="L132" s="144">
        <f t="shared" si="32"/>
        <v>22</v>
      </c>
      <c r="M132" s="50">
        <f t="shared" si="32"/>
        <v>26</v>
      </c>
      <c r="N132" s="40">
        <f t="shared" si="14"/>
        <v>7281</v>
      </c>
      <c r="O132" s="43">
        <f t="shared" si="15"/>
        <v>8517.5</v>
      </c>
    </row>
    <row r="133" spans="1:15" ht="22.95" customHeight="1" x14ac:dyDescent="0.3">
      <c r="A133" s="52" t="s">
        <v>34</v>
      </c>
      <c r="B133" s="44">
        <f t="shared" ref="B133:M133" si="33">B27+B28+B29+B30</f>
        <v>4233</v>
      </c>
      <c r="C133" s="39">
        <f t="shared" si="33"/>
        <v>2090</v>
      </c>
      <c r="D133" s="39">
        <f t="shared" si="33"/>
        <v>371</v>
      </c>
      <c r="E133" s="39">
        <f t="shared" si="33"/>
        <v>189</v>
      </c>
      <c r="F133" s="39">
        <f t="shared" si="33"/>
        <v>400</v>
      </c>
      <c r="G133" s="50">
        <f t="shared" si="33"/>
        <v>7283</v>
      </c>
      <c r="H133" s="44">
        <f t="shared" si="33"/>
        <v>4</v>
      </c>
      <c r="I133" s="39">
        <f t="shared" si="33"/>
        <v>0</v>
      </c>
      <c r="J133" s="39">
        <f t="shared" si="33"/>
        <v>1</v>
      </c>
      <c r="K133" s="45">
        <f t="shared" si="33"/>
        <v>0</v>
      </c>
      <c r="L133" s="144">
        <f t="shared" si="33"/>
        <v>19</v>
      </c>
      <c r="M133" s="50">
        <f t="shared" si="33"/>
        <v>24</v>
      </c>
      <c r="N133" s="40">
        <f t="shared" si="14"/>
        <v>7307</v>
      </c>
      <c r="O133" s="43">
        <f t="shared" si="15"/>
        <v>8358.5</v>
      </c>
    </row>
    <row r="134" spans="1:15" ht="22.95" customHeight="1" x14ac:dyDescent="0.3">
      <c r="A134" s="52" t="s">
        <v>35</v>
      </c>
      <c r="B134" s="44">
        <f t="shared" ref="B134:M134" si="34">B28+B29+B30+B31</f>
        <v>4355</v>
      </c>
      <c r="C134" s="39">
        <f t="shared" si="34"/>
        <v>2182</v>
      </c>
      <c r="D134" s="39">
        <f t="shared" si="34"/>
        <v>368</v>
      </c>
      <c r="E134" s="39">
        <f t="shared" si="34"/>
        <v>184</v>
      </c>
      <c r="F134" s="39">
        <f t="shared" si="34"/>
        <v>411</v>
      </c>
      <c r="G134" s="50">
        <f t="shared" si="34"/>
        <v>7500</v>
      </c>
      <c r="H134" s="44">
        <f t="shared" si="34"/>
        <v>4</v>
      </c>
      <c r="I134" s="39">
        <f t="shared" si="34"/>
        <v>0</v>
      </c>
      <c r="J134" s="39">
        <f t="shared" si="34"/>
        <v>1</v>
      </c>
      <c r="K134" s="45">
        <f t="shared" si="34"/>
        <v>0</v>
      </c>
      <c r="L134" s="144">
        <f t="shared" si="34"/>
        <v>17</v>
      </c>
      <c r="M134" s="50">
        <f t="shared" si="34"/>
        <v>22</v>
      </c>
      <c r="N134" s="40">
        <f t="shared" si="14"/>
        <v>7522</v>
      </c>
      <c r="O134" s="43">
        <f t="shared" si="15"/>
        <v>8540.5</v>
      </c>
    </row>
    <row r="135" spans="1:15" ht="22.95" customHeight="1" x14ac:dyDescent="0.3">
      <c r="A135" s="52" t="s">
        <v>36</v>
      </c>
      <c r="B135" s="44">
        <f t="shared" ref="B135:M135" si="35">B29+B30+B31+B32</f>
        <v>4248</v>
      </c>
      <c r="C135" s="39">
        <f t="shared" si="35"/>
        <v>2104</v>
      </c>
      <c r="D135" s="39">
        <f t="shared" si="35"/>
        <v>366</v>
      </c>
      <c r="E135" s="39">
        <f t="shared" si="35"/>
        <v>179</v>
      </c>
      <c r="F135" s="39">
        <f t="shared" si="35"/>
        <v>403</v>
      </c>
      <c r="G135" s="50">
        <f t="shared" si="35"/>
        <v>7300</v>
      </c>
      <c r="H135" s="44">
        <f t="shared" si="35"/>
        <v>4</v>
      </c>
      <c r="I135" s="39">
        <f t="shared" si="35"/>
        <v>0</v>
      </c>
      <c r="J135" s="39">
        <f t="shared" si="35"/>
        <v>0</v>
      </c>
      <c r="K135" s="45">
        <f t="shared" si="35"/>
        <v>0</v>
      </c>
      <c r="L135" s="144">
        <f t="shared" si="35"/>
        <v>20</v>
      </c>
      <c r="M135" s="50">
        <f t="shared" si="35"/>
        <v>24</v>
      </c>
      <c r="N135" s="40">
        <f t="shared" si="14"/>
        <v>7324</v>
      </c>
      <c r="O135" s="43">
        <f t="shared" si="15"/>
        <v>8361.5</v>
      </c>
    </row>
    <row r="136" spans="1:15" ht="22.95" customHeight="1" x14ac:dyDescent="0.3">
      <c r="A136" s="52" t="s">
        <v>37</v>
      </c>
      <c r="B136" s="44">
        <f t="shared" ref="B136:M136" si="36">B30+B31+B32+B33</f>
        <v>4064</v>
      </c>
      <c r="C136" s="39">
        <f t="shared" si="36"/>
        <v>2022</v>
      </c>
      <c r="D136" s="39">
        <f t="shared" si="36"/>
        <v>391</v>
      </c>
      <c r="E136" s="39">
        <f t="shared" si="36"/>
        <v>199</v>
      </c>
      <c r="F136" s="39">
        <f t="shared" si="36"/>
        <v>405</v>
      </c>
      <c r="G136" s="50">
        <f t="shared" si="36"/>
        <v>7081</v>
      </c>
      <c r="H136" s="44">
        <f t="shared" si="36"/>
        <v>2</v>
      </c>
      <c r="I136" s="39">
        <f t="shared" si="36"/>
        <v>0</v>
      </c>
      <c r="J136" s="39">
        <f t="shared" si="36"/>
        <v>0</v>
      </c>
      <c r="K136" s="45">
        <f t="shared" si="36"/>
        <v>0</v>
      </c>
      <c r="L136" s="144">
        <f t="shared" si="36"/>
        <v>26</v>
      </c>
      <c r="M136" s="50">
        <f t="shared" si="36"/>
        <v>28</v>
      </c>
      <c r="N136" s="40">
        <f t="shared" si="14"/>
        <v>7109</v>
      </c>
      <c r="O136" s="43">
        <f t="shared" si="15"/>
        <v>8290</v>
      </c>
    </row>
    <row r="137" spans="1:15" ht="22.95" customHeight="1" x14ac:dyDescent="0.3">
      <c r="A137" s="52" t="s">
        <v>38</v>
      </c>
      <c r="B137" s="44">
        <f t="shared" ref="B137:M137" si="37">B31+B32+B33+B34</f>
        <v>3934</v>
      </c>
      <c r="C137" s="39">
        <f t="shared" si="37"/>
        <v>1923</v>
      </c>
      <c r="D137" s="39">
        <f t="shared" si="37"/>
        <v>392</v>
      </c>
      <c r="E137" s="39">
        <f t="shared" si="37"/>
        <v>213</v>
      </c>
      <c r="F137" s="39">
        <f t="shared" si="37"/>
        <v>416</v>
      </c>
      <c r="G137" s="50">
        <f t="shared" si="37"/>
        <v>6878</v>
      </c>
      <c r="H137" s="44">
        <f t="shared" si="37"/>
        <v>0</v>
      </c>
      <c r="I137" s="39">
        <f t="shared" si="37"/>
        <v>0</v>
      </c>
      <c r="J137" s="39">
        <f t="shared" si="37"/>
        <v>1</v>
      </c>
      <c r="K137" s="45">
        <f t="shared" si="37"/>
        <v>0</v>
      </c>
      <c r="L137" s="144">
        <f t="shared" si="37"/>
        <v>22</v>
      </c>
      <c r="M137" s="50">
        <f t="shared" si="37"/>
        <v>23</v>
      </c>
      <c r="N137" s="40">
        <f t="shared" si="14"/>
        <v>6901</v>
      </c>
      <c r="O137" s="43">
        <f t="shared" si="15"/>
        <v>8173.5</v>
      </c>
    </row>
    <row r="138" spans="1:15" ht="22.95" customHeight="1" x14ac:dyDescent="0.3">
      <c r="A138" s="52" t="s">
        <v>39</v>
      </c>
      <c r="B138" s="44">
        <f t="shared" ref="B138:M138" si="38">B32+B33+B34+B35</f>
        <v>3763</v>
      </c>
      <c r="C138" s="39">
        <f t="shared" si="38"/>
        <v>1841</v>
      </c>
      <c r="D138" s="39">
        <f t="shared" si="38"/>
        <v>409</v>
      </c>
      <c r="E138" s="39">
        <f t="shared" si="38"/>
        <v>236</v>
      </c>
      <c r="F138" s="39">
        <f t="shared" si="38"/>
        <v>365</v>
      </c>
      <c r="G138" s="50">
        <f t="shared" si="38"/>
        <v>6614</v>
      </c>
      <c r="H138" s="44">
        <f t="shared" si="38"/>
        <v>0</v>
      </c>
      <c r="I138" s="39">
        <f t="shared" si="38"/>
        <v>0</v>
      </c>
      <c r="J138" s="39">
        <f t="shared" si="38"/>
        <v>1</v>
      </c>
      <c r="K138" s="45">
        <f t="shared" si="38"/>
        <v>0</v>
      </c>
      <c r="L138" s="144">
        <f t="shared" si="38"/>
        <v>25</v>
      </c>
      <c r="M138" s="50">
        <f t="shared" si="38"/>
        <v>26</v>
      </c>
      <c r="N138" s="40">
        <f t="shared" si="14"/>
        <v>6640</v>
      </c>
      <c r="O138" s="43">
        <f t="shared" si="15"/>
        <v>7850.5</v>
      </c>
    </row>
    <row r="139" spans="1:15" ht="22.95" customHeight="1" x14ac:dyDescent="0.3">
      <c r="A139" s="52" t="s">
        <v>40</v>
      </c>
      <c r="B139" s="44">
        <f t="shared" ref="B139:M139" si="39">B33+B34+B35+B36</f>
        <v>3754</v>
      </c>
      <c r="C139" s="39">
        <f t="shared" si="39"/>
        <v>1822</v>
      </c>
      <c r="D139" s="39">
        <f t="shared" si="39"/>
        <v>409</v>
      </c>
      <c r="E139" s="39">
        <f t="shared" si="39"/>
        <v>244</v>
      </c>
      <c r="F139" s="39">
        <f t="shared" si="39"/>
        <v>381</v>
      </c>
      <c r="G139" s="50">
        <f t="shared" si="39"/>
        <v>6610</v>
      </c>
      <c r="H139" s="44">
        <f t="shared" si="39"/>
        <v>0</v>
      </c>
      <c r="I139" s="39">
        <f t="shared" si="39"/>
        <v>0</v>
      </c>
      <c r="J139" s="39">
        <f t="shared" si="39"/>
        <v>3</v>
      </c>
      <c r="K139" s="45">
        <f t="shared" si="39"/>
        <v>0</v>
      </c>
      <c r="L139" s="144">
        <f t="shared" si="39"/>
        <v>23</v>
      </c>
      <c r="M139" s="50">
        <f t="shared" si="39"/>
        <v>26</v>
      </c>
      <c r="N139" s="40">
        <f t="shared" si="14"/>
        <v>6636</v>
      </c>
      <c r="O139" s="43">
        <f t="shared" si="15"/>
        <v>7918</v>
      </c>
    </row>
    <row r="140" spans="1:15" ht="22.95" customHeight="1" x14ac:dyDescent="0.3">
      <c r="A140" s="52" t="s">
        <v>41</v>
      </c>
      <c r="B140" s="44">
        <f t="shared" ref="B140:M140" si="40">B34+B35+B36+B37</f>
        <v>3901</v>
      </c>
      <c r="C140" s="39">
        <f t="shared" si="40"/>
        <v>1848</v>
      </c>
      <c r="D140" s="39">
        <f t="shared" si="40"/>
        <v>379</v>
      </c>
      <c r="E140" s="39">
        <f t="shared" si="40"/>
        <v>253</v>
      </c>
      <c r="F140" s="39">
        <f t="shared" si="40"/>
        <v>394</v>
      </c>
      <c r="G140" s="50">
        <f t="shared" si="40"/>
        <v>6775</v>
      </c>
      <c r="H140" s="44">
        <f t="shared" si="40"/>
        <v>0</v>
      </c>
      <c r="I140" s="39">
        <f t="shared" si="40"/>
        <v>0</v>
      </c>
      <c r="J140" s="39">
        <f t="shared" si="40"/>
        <v>3</v>
      </c>
      <c r="K140" s="45">
        <f t="shared" si="40"/>
        <v>0</v>
      </c>
      <c r="L140" s="144">
        <f t="shared" si="40"/>
        <v>22</v>
      </c>
      <c r="M140" s="50">
        <f t="shared" si="40"/>
        <v>25</v>
      </c>
      <c r="N140" s="40">
        <f t="shared" si="14"/>
        <v>6800</v>
      </c>
      <c r="O140" s="43">
        <f t="shared" si="15"/>
        <v>8110.5</v>
      </c>
    </row>
    <row r="141" spans="1:15" ht="22.95" customHeight="1" x14ac:dyDescent="0.3">
      <c r="A141" s="52" t="s">
        <v>42</v>
      </c>
      <c r="B141" s="44">
        <f t="shared" ref="B141:M141" si="41">B35+B36+B37+B38</f>
        <v>3983</v>
      </c>
      <c r="C141" s="39">
        <f t="shared" si="41"/>
        <v>1749</v>
      </c>
      <c r="D141" s="39">
        <f t="shared" si="41"/>
        <v>368</v>
      </c>
      <c r="E141" s="39">
        <f t="shared" si="41"/>
        <v>258</v>
      </c>
      <c r="F141" s="39">
        <f t="shared" si="41"/>
        <v>410</v>
      </c>
      <c r="G141" s="50">
        <f t="shared" si="41"/>
        <v>6768</v>
      </c>
      <c r="H141" s="44">
        <f t="shared" si="41"/>
        <v>0</v>
      </c>
      <c r="I141" s="39">
        <f t="shared" si="41"/>
        <v>0</v>
      </c>
      <c r="J141" s="39">
        <f t="shared" si="41"/>
        <v>2</v>
      </c>
      <c r="K141" s="45">
        <f t="shared" si="41"/>
        <v>0</v>
      </c>
      <c r="L141" s="144">
        <f t="shared" si="41"/>
        <v>22</v>
      </c>
      <c r="M141" s="50">
        <f t="shared" si="41"/>
        <v>24</v>
      </c>
      <c r="N141" s="40">
        <f t="shared" si="14"/>
        <v>6792</v>
      </c>
      <c r="O141" s="43">
        <f t="shared" si="15"/>
        <v>8210.5</v>
      </c>
    </row>
    <row r="142" spans="1:15" ht="22.95" customHeight="1" x14ac:dyDescent="0.3">
      <c r="A142" s="52" t="s">
        <v>43</v>
      </c>
      <c r="B142" s="44">
        <f t="shared" ref="B142:M142" si="42">B36+B37+B38+B39</f>
        <v>4135</v>
      </c>
      <c r="C142" s="39">
        <f t="shared" si="42"/>
        <v>1673</v>
      </c>
      <c r="D142" s="39">
        <f t="shared" si="42"/>
        <v>370</v>
      </c>
      <c r="E142" s="39">
        <f t="shared" si="42"/>
        <v>267</v>
      </c>
      <c r="F142" s="39">
        <f t="shared" si="42"/>
        <v>442</v>
      </c>
      <c r="G142" s="50">
        <f t="shared" si="42"/>
        <v>6887</v>
      </c>
      <c r="H142" s="44">
        <f t="shared" si="42"/>
        <v>0</v>
      </c>
      <c r="I142" s="39">
        <f t="shared" si="42"/>
        <v>0</v>
      </c>
      <c r="J142" s="39">
        <f t="shared" si="42"/>
        <v>2</v>
      </c>
      <c r="K142" s="45">
        <f t="shared" si="42"/>
        <v>0</v>
      </c>
      <c r="L142" s="144">
        <f t="shared" si="42"/>
        <v>15</v>
      </c>
      <c r="M142" s="50">
        <f t="shared" si="42"/>
        <v>17</v>
      </c>
      <c r="N142" s="40">
        <f t="shared" si="14"/>
        <v>6904</v>
      </c>
      <c r="O142" s="43">
        <f t="shared" si="15"/>
        <v>8442.5</v>
      </c>
    </row>
    <row r="143" spans="1:15" ht="22.95" customHeight="1" x14ac:dyDescent="0.3">
      <c r="A143" s="52" t="s">
        <v>44</v>
      </c>
      <c r="B143" s="44">
        <f t="shared" ref="B143:M143" si="43">B37+B38+B39+B40</f>
        <v>4336</v>
      </c>
      <c r="C143" s="39">
        <f t="shared" si="43"/>
        <v>1761</v>
      </c>
      <c r="D143" s="39">
        <f t="shared" si="43"/>
        <v>355</v>
      </c>
      <c r="E143" s="39">
        <f t="shared" si="43"/>
        <v>243</v>
      </c>
      <c r="F143" s="39">
        <f t="shared" si="43"/>
        <v>434</v>
      </c>
      <c r="G143" s="50">
        <f t="shared" si="43"/>
        <v>7129</v>
      </c>
      <c r="H143" s="44">
        <f t="shared" si="43"/>
        <v>1</v>
      </c>
      <c r="I143" s="39">
        <f t="shared" si="43"/>
        <v>0</v>
      </c>
      <c r="J143" s="39">
        <f t="shared" si="43"/>
        <v>1</v>
      </c>
      <c r="K143" s="45">
        <f t="shared" si="43"/>
        <v>0</v>
      </c>
      <c r="L143" s="144">
        <f t="shared" si="43"/>
        <v>20</v>
      </c>
      <c r="M143" s="50">
        <f t="shared" si="43"/>
        <v>22</v>
      </c>
      <c r="N143" s="40">
        <f t="shared" si="14"/>
        <v>7151</v>
      </c>
      <c r="O143" s="43">
        <f t="shared" si="15"/>
        <v>8594.5</v>
      </c>
    </row>
    <row r="144" spans="1:15" ht="22.95" customHeight="1" x14ac:dyDescent="0.3">
      <c r="A144" s="52" t="s">
        <v>45</v>
      </c>
      <c r="B144" s="44">
        <f t="shared" ref="B144:M144" si="44">B38+B39+B40+B41</f>
        <v>4365</v>
      </c>
      <c r="C144" s="39">
        <f t="shared" si="44"/>
        <v>1947</v>
      </c>
      <c r="D144" s="39">
        <f t="shared" si="44"/>
        <v>367</v>
      </c>
      <c r="E144" s="39">
        <f t="shared" si="44"/>
        <v>216</v>
      </c>
      <c r="F144" s="39">
        <f t="shared" si="44"/>
        <v>411</v>
      </c>
      <c r="G144" s="50">
        <f t="shared" si="44"/>
        <v>7306</v>
      </c>
      <c r="H144" s="44">
        <f t="shared" si="44"/>
        <v>1</v>
      </c>
      <c r="I144" s="39">
        <f t="shared" si="44"/>
        <v>0</v>
      </c>
      <c r="J144" s="39">
        <f t="shared" si="44"/>
        <v>3</v>
      </c>
      <c r="K144" s="45">
        <f t="shared" si="44"/>
        <v>0</v>
      </c>
      <c r="L144" s="144">
        <f t="shared" si="44"/>
        <v>29</v>
      </c>
      <c r="M144" s="50">
        <f t="shared" si="44"/>
        <v>33</v>
      </c>
      <c r="N144" s="40">
        <f t="shared" si="14"/>
        <v>7339</v>
      </c>
      <c r="O144" s="43">
        <f t="shared" si="15"/>
        <v>8628</v>
      </c>
    </row>
    <row r="145" spans="1:15" ht="22.95" customHeight="1" x14ac:dyDescent="0.3">
      <c r="A145" s="52" t="s">
        <v>46</v>
      </c>
      <c r="B145" s="44">
        <f t="shared" ref="B145:M145" si="45">B39+B40+B41+B42</f>
        <v>4526</v>
      </c>
      <c r="C145" s="39">
        <f t="shared" si="45"/>
        <v>2230</v>
      </c>
      <c r="D145" s="39">
        <f t="shared" si="45"/>
        <v>352</v>
      </c>
      <c r="E145" s="39">
        <f t="shared" si="45"/>
        <v>214</v>
      </c>
      <c r="F145" s="39">
        <f t="shared" si="45"/>
        <v>395</v>
      </c>
      <c r="G145" s="50">
        <f t="shared" si="45"/>
        <v>7717</v>
      </c>
      <c r="H145" s="44">
        <f t="shared" si="45"/>
        <v>1</v>
      </c>
      <c r="I145" s="39">
        <f t="shared" si="45"/>
        <v>0</v>
      </c>
      <c r="J145" s="39">
        <f t="shared" si="45"/>
        <v>3</v>
      </c>
      <c r="K145" s="45">
        <f t="shared" si="45"/>
        <v>0</v>
      </c>
      <c r="L145" s="144">
        <f t="shared" si="45"/>
        <v>37</v>
      </c>
      <c r="M145" s="50">
        <f t="shared" si="45"/>
        <v>41</v>
      </c>
      <c r="N145" s="40">
        <f t="shared" si="14"/>
        <v>7758</v>
      </c>
      <c r="O145" s="43">
        <f t="shared" si="15"/>
        <v>8894</v>
      </c>
    </row>
    <row r="146" spans="1:15" ht="22.95" customHeight="1" x14ac:dyDescent="0.3">
      <c r="A146" s="52" t="s">
        <v>47</v>
      </c>
      <c r="B146" s="44">
        <f t="shared" ref="B146:M146" si="46">B40+B41+B42+B43</f>
        <v>4563</v>
      </c>
      <c r="C146" s="39">
        <f t="shared" si="46"/>
        <v>2428</v>
      </c>
      <c r="D146" s="39">
        <f t="shared" si="46"/>
        <v>318</v>
      </c>
      <c r="E146" s="39">
        <f t="shared" si="46"/>
        <v>190</v>
      </c>
      <c r="F146" s="39">
        <f t="shared" si="46"/>
        <v>398</v>
      </c>
      <c r="G146" s="50">
        <f t="shared" si="46"/>
        <v>7897</v>
      </c>
      <c r="H146" s="44">
        <f t="shared" si="46"/>
        <v>2</v>
      </c>
      <c r="I146" s="39">
        <f t="shared" si="46"/>
        <v>0</v>
      </c>
      <c r="J146" s="39">
        <f t="shared" si="46"/>
        <v>3</v>
      </c>
      <c r="K146" s="45">
        <f t="shared" si="46"/>
        <v>0</v>
      </c>
      <c r="L146" s="144">
        <f t="shared" si="46"/>
        <v>53</v>
      </c>
      <c r="M146" s="50">
        <f t="shared" si="46"/>
        <v>58</v>
      </c>
      <c r="N146" s="40">
        <f t="shared" si="14"/>
        <v>7955</v>
      </c>
      <c r="O146" s="43">
        <f t="shared" si="15"/>
        <v>9049</v>
      </c>
    </row>
    <row r="147" spans="1:15" ht="22.95" customHeight="1" x14ac:dyDescent="0.3">
      <c r="A147" s="52" t="s">
        <v>48</v>
      </c>
      <c r="B147" s="44">
        <f t="shared" ref="B147:M147" si="47">B41+B42+B43+B44</f>
        <v>4661</v>
      </c>
      <c r="C147" s="39">
        <f t="shared" si="47"/>
        <v>2683</v>
      </c>
      <c r="D147" s="39">
        <f t="shared" si="47"/>
        <v>327</v>
      </c>
      <c r="E147" s="39">
        <f t="shared" si="47"/>
        <v>200</v>
      </c>
      <c r="F147" s="39">
        <f t="shared" si="47"/>
        <v>394</v>
      </c>
      <c r="G147" s="50">
        <f t="shared" si="47"/>
        <v>8265</v>
      </c>
      <c r="H147" s="44">
        <f t="shared" si="47"/>
        <v>3</v>
      </c>
      <c r="I147" s="39">
        <f t="shared" si="47"/>
        <v>0</v>
      </c>
      <c r="J147" s="39">
        <f t="shared" si="47"/>
        <v>2</v>
      </c>
      <c r="K147" s="45">
        <f t="shared" si="47"/>
        <v>0</v>
      </c>
      <c r="L147" s="144">
        <f t="shared" si="47"/>
        <v>62</v>
      </c>
      <c r="M147" s="50">
        <f t="shared" si="47"/>
        <v>67</v>
      </c>
      <c r="N147" s="40">
        <f t="shared" si="14"/>
        <v>8332</v>
      </c>
      <c r="O147" s="43">
        <f t="shared" si="15"/>
        <v>9369.5</v>
      </c>
    </row>
    <row r="148" spans="1:15" ht="22.95" customHeight="1" x14ac:dyDescent="0.3">
      <c r="A148" s="52" t="s">
        <v>49</v>
      </c>
      <c r="B148" s="44">
        <f t="shared" ref="B148:M148" si="48">B42+B43+B44+B45</f>
        <v>4865</v>
      </c>
      <c r="C148" s="39">
        <f t="shared" si="48"/>
        <v>2730</v>
      </c>
      <c r="D148" s="39">
        <f t="shared" si="48"/>
        <v>313</v>
      </c>
      <c r="E148" s="39">
        <f t="shared" si="48"/>
        <v>212</v>
      </c>
      <c r="F148" s="39">
        <f t="shared" si="48"/>
        <v>372</v>
      </c>
      <c r="G148" s="50">
        <f t="shared" si="48"/>
        <v>8492</v>
      </c>
      <c r="H148" s="44">
        <f t="shared" si="48"/>
        <v>3</v>
      </c>
      <c r="I148" s="39">
        <f t="shared" si="48"/>
        <v>0</v>
      </c>
      <c r="J148" s="39">
        <f t="shared" si="48"/>
        <v>1</v>
      </c>
      <c r="K148" s="45">
        <f t="shared" si="48"/>
        <v>0</v>
      </c>
      <c r="L148" s="144">
        <f t="shared" si="48"/>
        <v>65</v>
      </c>
      <c r="M148" s="50">
        <f t="shared" si="48"/>
        <v>69</v>
      </c>
      <c r="N148" s="40">
        <f t="shared" si="14"/>
        <v>8561</v>
      </c>
      <c r="O148" s="43">
        <f t="shared" si="15"/>
        <v>9534</v>
      </c>
    </row>
    <row r="149" spans="1:15" ht="22.95" customHeight="1" x14ac:dyDescent="0.3">
      <c r="A149" s="52" t="s">
        <v>50</v>
      </c>
      <c r="B149" s="44">
        <f t="shared" ref="B149:M149" si="49">B43+B44+B45+B46</f>
        <v>4782</v>
      </c>
      <c r="C149" s="39">
        <f t="shared" si="49"/>
        <v>2838</v>
      </c>
      <c r="D149" s="39">
        <f t="shared" si="49"/>
        <v>330</v>
      </c>
      <c r="E149" s="39">
        <f t="shared" si="49"/>
        <v>204</v>
      </c>
      <c r="F149" s="39">
        <f t="shared" si="49"/>
        <v>379</v>
      </c>
      <c r="G149" s="50">
        <f t="shared" si="49"/>
        <v>8533</v>
      </c>
      <c r="H149" s="44">
        <f t="shared" si="49"/>
        <v>4</v>
      </c>
      <c r="I149" s="39">
        <f t="shared" si="49"/>
        <v>0</v>
      </c>
      <c r="J149" s="39">
        <f t="shared" si="49"/>
        <v>2</v>
      </c>
      <c r="K149" s="45">
        <f t="shared" si="49"/>
        <v>0</v>
      </c>
      <c r="L149" s="144">
        <f t="shared" si="49"/>
        <v>78</v>
      </c>
      <c r="M149" s="50">
        <f t="shared" si="49"/>
        <v>84</v>
      </c>
      <c r="N149" s="40">
        <f t="shared" si="14"/>
        <v>8617</v>
      </c>
      <c r="O149" s="43">
        <f t="shared" si="15"/>
        <v>9645.5</v>
      </c>
    </row>
    <row r="150" spans="1:15" ht="22.95" customHeight="1" x14ac:dyDescent="0.3">
      <c r="A150" s="52" t="s">
        <v>51</v>
      </c>
      <c r="B150" s="44">
        <f t="shared" ref="B150:M150" si="50">B44+B45+B46+B47</f>
        <v>4861</v>
      </c>
      <c r="C150" s="39">
        <f t="shared" si="50"/>
        <v>2986</v>
      </c>
      <c r="D150" s="39">
        <f t="shared" si="50"/>
        <v>329</v>
      </c>
      <c r="E150" s="39">
        <f t="shared" si="50"/>
        <v>226</v>
      </c>
      <c r="F150" s="39">
        <f t="shared" si="50"/>
        <v>380</v>
      </c>
      <c r="G150" s="50">
        <f t="shared" si="50"/>
        <v>8782</v>
      </c>
      <c r="H150" s="44">
        <f t="shared" si="50"/>
        <v>3</v>
      </c>
      <c r="I150" s="39">
        <f t="shared" si="50"/>
        <v>0</v>
      </c>
      <c r="J150" s="39">
        <f t="shared" si="50"/>
        <v>2</v>
      </c>
      <c r="K150" s="45">
        <f t="shared" si="50"/>
        <v>0</v>
      </c>
      <c r="L150" s="144">
        <f t="shared" si="50"/>
        <v>76</v>
      </c>
      <c r="M150" s="50">
        <f t="shared" si="50"/>
        <v>81</v>
      </c>
      <c r="N150" s="40">
        <f t="shared" si="14"/>
        <v>8863</v>
      </c>
      <c r="O150" s="43">
        <f t="shared" si="15"/>
        <v>9851</v>
      </c>
    </row>
    <row r="151" spans="1:15" ht="22.95" customHeight="1" x14ac:dyDescent="0.3">
      <c r="A151" s="52" t="s">
        <v>52</v>
      </c>
      <c r="B151" s="44">
        <f t="shared" ref="B151:M151" si="51">B45+B46+B47+B48</f>
        <v>4741</v>
      </c>
      <c r="C151" s="39">
        <f t="shared" si="51"/>
        <v>2969</v>
      </c>
      <c r="D151" s="39">
        <f t="shared" si="51"/>
        <v>344</v>
      </c>
      <c r="E151" s="39">
        <f t="shared" si="51"/>
        <v>209</v>
      </c>
      <c r="F151" s="39">
        <f t="shared" si="51"/>
        <v>370</v>
      </c>
      <c r="G151" s="50">
        <f t="shared" si="51"/>
        <v>8633</v>
      </c>
      <c r="H151" s="44">
        <f t="shared" si="51"/>
        <v>3</v>
      </c>
      <c r="I151" s="39">
        <f t="shared" si="51"/>
        <v>0</v>
      </c>
      <c r="J151" s="39">
        <f t="shared" si="51"/>
        <v>2</v>
      </c>
      <c r="K151" s="45">
        <f t="shared" si="51"/>
        <v>0</v>
      </c>
      <c r="L151" s="144">
        <f t="shared" si="51"/>
        <v>78</v>
      </c>
      <c r="M151" s="50">
        <f t="shared" si="51"/>
        <v>83</v>
      </c>
      <c r="N151" s="40">
        <f t="shared" si="14"/>
        <v>8716</v>
      </c>
      <c r="O151" s="43">
        <f t="shared" si="15"/>
        <v>9665</v>
      </c>
    </row>
    <row r="152" spans="1:15" ht="22.95" customHeight="1" x14ac:dyDescent="0.3">
      <c r="A152" s="52" t="s">
        <v>53</v>
      </c>
      <c r="B152" s="44">
        <f t="shared" ref="B152:M152" si="52">B46+B47+B48+B49</f>
        <v>4614</v>
      </c>
      <c r="C152" s="39">
        <f t="shared" si="52"/>
        <v>3110</v>
      </c>
      <c r="D152" s="39">
        <f t="shared" si="52"/>
        <v>365</v>
      </c>
      <c r="E152" s="39">
        <f t="shared" si="52"/>
        <v>193</v>
      </c>
      <c r="F152" s="39">
        <f t="shared" si="52"/>
        <v>410</v>
      </c>
      <c r="G152" s="50">
        <f t="shared" si="52"/>
        <v>8692</v>
      </c>
      <c r="H152" s="44">
        <f t="shared" si="52"/>
        <v>4</v>
      </c>
      <c r="I152" s="39">
        <f t="shared" si="52"/>
        <v>0</v>
      </c>
      <c r="J152" s="39">
        <f t="shared" si="52"/>
        <v>1</v>
      </c>
      <c r="K152" s="45">
        <f t="shared" si="52"/>
        <v>0</v>
      </c>
      <c r="L152" s="144">
        <f t="shared" si="52"/>
        <v>84</v>
      </c>
      <c r="M152" s="50">
        <f t="shared" si="52"/>
        <v>89</v>
      </c>
      <c r="N152" s="40">
        <f t="shared" si="14"/>
        <v>8781</v>
      </c>
      <c r="O152" s="43">
        <f t="shared" si="15"/>
        <v>9817.5</v>
      </c>
    </row>
    <row r="153" spans="1:15" ht="22.95" customHeight="1" x14ac:dyDescent="0.3">
      <c r="A153" s="52" t="s">
        <v>54</v>
      </c>
      <c r="B153" s="44">
        <f t="shared" ref="B153:M153" si="53">B47+B48+B49+B50</f>
        <v>4701</v>
      </c>
      <c r="C153" s="39">
        <f t="shared" si="53"/>
        <v>3230</v>
      </c>
      <c r="D153" s="39">
        <f t="shared" si="53"/>
        <v>346</v>
      </c>
      <c r="E153" s="39">
        <f t="shared" si="53"/>
        <v>199</v>
      </c>
      <c r="F153" s="39">
        <f t="shared" si="53"/>
        <v>383</v>
      </c>
      <c r="G153" s="50">
        <f t="shared" si="53"/>
        <v>8859</v>
      </c>
      <c r="H153" s="44">
        <f t="shared" si="53"/>
        <v>4</v>
      </c>
      <c r="I153" s="39">
        <f t="shared" si="53"/>
        <v>0</v>
      </c>
      <c r="J153" s="39">
        <f t="shared" si="53"/>
        <v>0</v>
      </c>
      <c r="K153" s="45">
        <f t="shared" si="53"/>
        <v>0</v>
      </c>
      <c r="L153" s="144">
        <f t="shared" si="53"/>
        <v>94</v>
      </c>
      <c r="M153" s="50">
        <f t="shared" si="53"/>
        <v>98</v>
      </c>
      <c r="N153" s="40">
        <f t="shared" si="14"/>
        <v>8957</v>
      </c>
      <c r="O153" s="43">
        <f t="shared" si="15"/>
        <v>9909.5</v>
      </c>
    </row>
    <row r="154" spans="1:15" ht="22.95" customHeight="1" x14ac:dyDescent="0.3">
      <c r="A154" s="52" t="s">
        <v>55</v>
      </c>
      <c r="B154" s="44">
        <f t="shared" ref="B154:M154" si="54">B48+B49+B50+B51</f>
        <v>4631</v>
      </c>
      <c r="C154" s="39">
        <f t="shared" si="54"/>
        <v>3176</v>
      </c>
      <c r="D154" s="39">
        <f t="shared" si="54"/>
        <v>362</v>
      </c>
      <c r="E154" s="39">
        <f t="shared" si="54"/>
        <v>171</v>
      </c>
      <c r="F154" s="39">
        <f t="shared" si="54"/>
        <v>370</v>
      </c>
      <c r="G154" s="50">
        <f t="shared" si="54"/>
        <v>8710</v>
      </c>
      <c r="H154" s="44">
        <f t="shared" si="54"/>
        <v>5</v>
      </c>
      <c r="I154" s="39">
        <f t="shared" si="54"/>
        <v>0</v>
      </c>
      <c r="J154" s="39">
        <f t="shared" si="54"/>
        <v>0</v>
      </c>
      <c r="K154" s="45">
        <f t="shared" si="54"/>
        <v>0</v>
      </c>
      <c r="L154" s="144">
        <f t="shared" si="54"/>
        <v>102</v>
      </c>
      <c r="M154" s="50">
        <f t="shared" si="54"/>
        <v>107</v>
      </c>
      <c r="N154" s="40">
        <f t="shared" si="14"/>
        <v>8817</v>
      </c>
      <c r="O154" s="43">
        <f t="shared" si="15"/>
        <v>9758.5</v>
      </c>
    </row>
    <row r="155" spans="1:15" ht="22.95" customHeight="1" x14ac:dyDescent="0.3">
      <c r="A155" s="52" t="s">
        <v>56</v>
      </c>
      <c r="B155" s="44">
        <f t="shared" ref="B155:M155" si="55">B49+B50+B51+B52</f>
        <v>4498</v>
      </c>
      <c r="C155" s="39">
        <f t="shared" si="55"/>
        <v>3058</v>
      </c>
      <c r="D155" s="39">
        <f t="shared" si="55"/>
        <v>351</v>
      </c>
      <c r="E155" s="39">
        <f t="shared" si="55"/>
        <v>189</v>
      </c>
      <c r="F155" s="39">
        <f t="shared" si="55"/>
        <v>356</v>
      </c>
      <c r="G155" s="50">
        <f t="shared" si="55"/>
        <v>8452</v>
      </c>
      <c r="H155" s="44">
        <f t="shared" si="55"/>
        <v>4</v>
      </c>
      <c r="I155" s="39">
        <f t="shared" si="55"/>
        <v>0</v>
      </c>
      <c r="J155" s="39">
        <f t="shared" si="55"/>
        <v>0</v>
      </c>
      <c r="K155" s="45">
        <f t="shared" si="55"/>
        <v>1</v>
      </c>
      <c r="L155" s="144">
        <f t="shared" si="55"/>
        <v>87</v>
      </c>
      <c r="M155" s="50">
        <f t="shared" si="55"/>
        <v>92</v>
      </c>
      <c r="N155" s="40">
        <f t="shared" si="14"/>
        <v>8544</v>
      </c>
      <c r="O155" s="43">
        <f t="shared" si="15"/>
        <v>9424.5</v>
      </c>
    </row>
    <row r="156" spans="1:15" ht="22.95" customHeight="1" x14ac:dyDescent="0.3">
      <c r="A156" s="52" t="s">
        <v>57</v>
      </c>
      <c r="B156" s="44">
        <f t="shared" ref="B156:M156" si="56">B50+B51+B52+B53</f>
        <v>4385</v>
      </c>
      <c r="C156" s="39">
        <f t="shared" si="56"/>
        <v>2905</v>
      </c>
      <c r="D156" s="39">
        <f t="shared" si="56"/>
        <v>335</v>
      </c>
      <c r="E156" s="39">
        <f t="shared" si="56"/>
        <v>184</v>
      </c>
      <c r="F156" s="39">
        <f t="shared" si="56"/>
        <v>364</v>
      </c>
      <c r="G156" s="50">
        <f t="shared" si="56"/>
        <v>8173</v>
      </c>
      <c r="H156" s="44">
        <f t="shared" si="56"/>
        <v>5</v>
      </c>
      <c r="I156" s="39">
        <f t="shared" si="56"/>
        <v>0</v>
      </c>
      <c r="J156" s="39">
        <f t="shared" si="56"/>
        <v>0</v>
      </c>
      <c r="K156" s="45">
        <f t="shared" si="56"/>
        <v>1</v>
      </c>
      <c r="L156" s="144">
        <f t="shared" si="56"/>
        <v>74</v>
      </c>
      <c r="M156" s="50">
        <f t="shared" si="56"/>
        <v>80</v>
      </c>
      <c r="N156" s="40">
        <f t="shared" si="14"/>
        <v>8253</v>
      </c>
      <c r="O156" s="43">
        <f t="shared" si="15"/>
        <v>9128.5</v>
      </c>
    </row>
    <row r="157" spans="1:15" ht="22.95" customHeight="1" x14ac:dyDescent="0.3">
      <c r="A157" s="52" t="s">
        <v>58</v>
      </c>
      <c r="B157" s="44">
        <f t="shared" ref="B157:M157" si="57">B51+B52+B53+B54</f>
        <v>4257</v>
      </c>
      <c r="C157" s="39">
        <f t="shared" si="57"/>
        <v>2750</v>
      </c>
      <c r="D157" s="39">
        <f t="shared" si="57"/>
        <v>333</v>
      </c>
      <c r="E157" s="39">
        <f t="shared" si="57"/>
        <v>166</v>
      </c>
      <c r="F157" s="39">
        <f t="shared" si="57"/>
        <v>401</v>
      </c>
      <c r="G157" s="50">
        <f t="shared" si="57"/>
        <v>7907</v>
      </c>
      <c r="H157" s="44">
        <f t="shared" si="57"/>
        <v>9</v>
      </c>
      <c r="I157" s="39">
        <f t="shared" si="57"/>
        <v>0</v>
      </c>
      <c r="J157" s="39">
        <f t="shared" si="57"/>
        <v>0</v>
      </c>
      <c r="K157" s="45">
        <f t="shared" si="57"/>
        <v>1</v>
      </c>
      <c r="L157" s="144">
        <f t="shared" si="57"/>
        <v>55</v>
      </c>
      <c r="M157" s="50">
        <f t="shared" si="57"/>
        <v>65</v>
      </c>
      <c r="N157" s="40">
        <f t="shared" si="14"/>
        <v>7972</v>
      </c>
      <c r="O157" s="43">
        <f t="shared" si="15"/>
        <v>8882.5</v>
      </c>
    </row>
    <row r="158" spans="1:15" ht="22.95" customHeight="1" x14ac:dyDescent="0.3">
      <c r="A158" s="52" t="s">
        <v>59</v>
      </c>
      <c r="B158" s="44">
        <f t="shared" ref="B158:M158" si="58">B52+B53+B54+B55</f>
        <v>4147</v>
      </c>
      <c r="C158" s="39">
        <f t="shared" si="58"/>
        <v>2714</v>
      </c>
      <c r="D158" s="39">
        <f t="shared" si="58"/>
        <v>326</v>
      </c>
      <c r="E158" s="39">
        <f t="shared" si="58"/>
        <v>168</v>
      </c>
      <c r="F158" s="39">
        <f t="shared" si="58"/>
        <v>416</v>
      </c>
      <c r="G158" s="50">
        <f t="shared" si="58"/>
        <v>7771</v>
      </c>
      <c r="H158" s="44">
        <f t="shared" si="58"/>
        <v>8</v>
      </c>
      <c r="I158" s="39">
        <f t="shared" si="58"/>
        <v>0</v>
      </c>
      <c r="J158" s="39">
        <f t="shared" si="58"/>
        <v>0</v>
      </c>
      <c r="K158" s="45">
        <f t="shared" si="58"/>
        <v>1</v>
      </c>
      <c r="L158" s="144">
        <f t="shared" si="58"/>
        <v>46</v>
      </c>
      <c r="M158" s="50">
        <f t="shared" si="58"/>
        <v>55</v>
      </c>
      <c r="N158" s="40">
        <f t="shared" si="14"/>
        <v>7826</v>
      </c>
      <c r="O158" s="43">
        <f t="shared" si="15"/>
        <v>8745</v>
      </c>
    </row>
    <row r="159" spans="1:15" ht="22.95" customHeight="1" x14ac:dyDescent="0.3">
      <c r="A159" s="52" t="s">
        <v>77</v>
      </c>
      <c r="B159" s="44">
        <f t="shared" ref="B159:M159" si="59">B53+B54+B55+B56</f>
        <v>4174</v>
      </c>
      <c r="C159" s="39">
        <f t="shared" si="59"/>
        <v>2869</v>
      </c>
      <c r="D159" s="39">
        <f t="shared" si="59"/>
        <v>302</v>
      </c>
      <c r="E159" s="39">
        <f t="shared" si="59"/>
        <v>165</v>
      </c>
      <c r="F159" s="39">
        <f t="shared" si="59"/>
        <v>419</v>
      </c>
      <c r="G159" s="50">
        <f t="shared" si="59"/>
        <v>7929</v>
      </c>
      <c r="H159" s="44">
        <f t="shared" si="59"/>
        <v>8</v>
      </c>
      <c r="I159" s="39">
        <f t="shared" si="59"/>
        <v>0</v>
      </c>
      <c r="J159" s="39">
        <f t="shared" si="59"/>
        <v>0</v>
      </c>
      <c r="K159" s="45">
        <f t="shared" si="59"/>
        <v>0</v>
      </c>
      <c r="L159" s="144">
        <f t="shared" si="59"/>
        <v>50</v>
      </c>
      <c r="M159" s="50">
        <f t="shared" si="59"/>
        <v>58</v>
      </c>
      <c r="N159" s="40">
        <f t="shared" si="14"/>
        <v>7987</v>
      </c>
      <c r="O159" s="43">
        <f t="shared" si="15"/>
        <v>8846</v>
      </c>
    </row>
    <row r="160" spans="1:15" ht="22.95" customHeight="1" x14ac:dyDescent="0.3">
      <c r="A160" s="52" t="s">
        <v>75</v>
      </c>
      <c r="B160" s="44">
        <f t="shared" ref="B160:M160" si="60">B54+B55+B56+B57</f>
        <v>4116</v>
      </c>
      <c r="C160" s="39">
        <f t="shared" si="60"/>
        <v>2906</v>
      </c>
      <c r="D160" s="39">
        <f t="shared" si="60"/>
        <v>267</v>
      </c>
      <c r="E160" s="39">
        <f t="shared" si="60"/>
        <v>180</v>
      </c>
      <c r="F160" s="39">
        <f t="shared" si="60"/>
        <v>381</v>
      </c>
      <c r="G160" s="50">
        <f t="shared" si="60"/>
        <v>7850</v>
      </c>
      <c r="H160" s="44">
        <f t="shared" si="60"/>
        <v>6</v>
      </c>
      <c r="I160" s="39">
        <f t="shared" si="60"/>
        <v>0</v>
      </c>
      <c r="J160" s="39">
        <f t="shared" si="60"/>
        <v>2</v>
      </c>
      <c r="K160" s="45">
        <f t="shared" si="60"/>
        <v>0</v>
      </c>
      <c r="L160" s="144">
        <f t="shared" si="60"/>
        <v>43</v>
      </c>
      <c r="M160" s="50">
        <f t="shared" si="60"/>
        <v>51</v>
      </c>
      <c r="N160" s="40">
        <f t="shared" si="14"/>
        <v>7901</v>
      </c>
      <c r="O160" s="43">
        <f t="shared" si="15"/>
        <v>8577</v>
      </c>
    </row>
    <row r="161" spans="1:15" ht="22.95" customHeight="1" x14ac:dyDescent="0.3">
      <c r="A161" s="52" t="s">
        <v>76</v>
      </c>
      <c r="B161" s="44">
        <f t="shared" ref="B161:M161" si="61">B55+B56+B57+B58</f>
        <v>3955</v>
      </c>
      <c r="C161" s="39">
        <f t="shared" si="61"/>
        <v>2666</v>
      </c>
      <c r="D161" s="39">
        <f t="shared" si="61"/>
        <v>238</v>
      </c>
      <c r="E161" s="39">
        <f t="shared" si="61"/>
        <v>188</v>
      </c>
      <c r="F161" s="39">
        <f t="shared" si="61"/>
        <v>380</v>
      </c>
      <c r="G161" s="50">
        <f t="shared" si="61"/>
        <v>7427</v>
      </c>
      <c r="H161" s="44">
        <f t="shared" si="61"/>
        <v>2</v>
      </c>
      <c r="I161" s="39">
        <f t="shared" si="61"/>
        <v>0</v>
      </c>
      <c r="J161" s="39">
        <f t="shared" si="61"/>
        <v>2</v>
      </c>
      <c r="K161" s="45">
        <f t="shared" si="61"/>
        <v>0</v>
      </c>
      <c r="L161" s="144">
        <f t="shared" si="61"/>
        <v>30</v>
      </c>
      <c r="M161" s="50">
        <f t="shared" si="61"/>
        <v>34</v>
      </c>
      <c r="N161" s="40">
        <f t="shared" si="14"/>
        <v>7461</v>
      </c>
      <c r="O161" s="43">
        <f t="shared" si="15"/>
        <v>8166</v>
      </c>
    </row>
    <row r="162" spans="1:15" ht="22.95" customHeight="1" x14ac:dyDescent="0.3">
      <c r="A162" s="52" t="s">
        <v>70</v>
      </c>
      <c r="B162" s="44">
        <f t="shared" ref="B162:M162" si="62">B56+B57+B58+B59</f>
        <v>3781</v>
      </c>
      <c r="C162" s="39">
        <f t="shared" si="62"/>
        <v>2469</v>
      </c>
      <c r="D162" s="39">
        <f t="shared" si="62"/>
        <v>199</v>
      </c>
      <c r="E162" s="39">
        <f t="shared" si="62"/>
        <v>185</v>
      </c>
      <c r="F162" s="39">
        <f t="shared" si="62"/>
        <v>403</v>
      </c>
      <c r="G162" s="50">
        <f t="shared" si="62"/>
        <v>7037</v>
      </c>
      <c r="H162" s="44">
        <f t="shared" si="62"/>
        <v>2</v>
      </c>
      <c r="I162" s="39">
        <f t="shared" si="62"/>
        <v>0</v>
      </c>
      <c r="J162" s="39">
        <f t="shared" si="62"/>
        <v>2</v>
      </c>
      <c r="K162" s="45">
        <f t="shared" si="62"/>
        <v>0</v>
      </c>
      <c r="L162" s="144">
        <f t="shared" si="62"/>
        <v>17</v>
      </c>
      <c r="M162" s="50">
        <f t="shared" si="62"/>
        <v>21</v>
      </c>
      <c r="N162" s="40">
        <f t="shared" si="14"/>
        <v>7058</v>
      </c>
      <c r="O162" s="43">
        <f t="shared" si="15"/>
        <v>7825.5</v>
      </c>
    </row>
    <row r="163" spans="1:15" ht="22.95" customHeight="1" x14ac:dyDescent="0.3">
      <c r="A163" s="52" t="s">
        <v>71</v>
      </c>
      <c r="B163" s="44">
        <f t="shared" ref="B163:M163" si="63">B57+B58+B59+B60</f>
        <v>3560</v>
      </c>
      <c r="C163" s="39">
        <f t="shared" si="63"/>
        <v>2115</v>
      </c>
      <c r="D163" s="39">
        <f t="shared" si="63"/>
        <v>191</v>
      </c>
      <c r="E163" s="39">
        <f t="shared" si="63"/>
        <v>170</v>
      </c>
      <c r="F163" s="39">
        <f t="shared" si="63"/>
        <v>448</v>
      </c>
      <c r="G163" s="50">
        <f t="shared" si="63"/>
        <v>6484</v>
      </c>
      <c r="H163" s="44">
        <f t="shared" si="63"/>
        <v>1</v>
      </c>
      <c r="I163" s="39">
        <f t="shared" si="63"/>
        <v>0</v>
      </c>
      <c r="J163" s="39">
        <f t="shared" si="63"/>
        <v>2</v>
      </c>
      <c r="K163" s="45">
        <f t="shared" si="63"/>
        <v>0</v>
      </c>
      <c r="L163" s="144">
        <f t="shared" si="63"/>
        <v>12</v>
      </c>
      <c r="M163" s="50">
        <f t="shared" si="63"/>
        <v>15</v>
      </c>
      <c r="N163" s="40">
        <f t="shared" si="14"/>
        <v>6499</v>
      </c>
      <c r="O163" s="43">
        <f t="shared" si="15"/>
        <v>7532.5</v>
      </c>
    </row>
    <row r="164" spans="1:15" ht="22.95" customHeight="1" x14ac:dyDescent="0.3">
      <c r="A164" s="52" t="s">
        <v>72</v>
      </c>
      <c r="B164" s="44">
        <f t="shared" ref="B164:M164" si="64">B58+B59+B60+B61</f>
        <v>3285</v>
      </c>
      <c r="C164" s="39">
        <f t="shared" si="64"/>
        <v>1857</v>
      </c>
      <c r="D164" s="39">
        <f t="shared" si="64"/>
        <v>186</v>
      </c>
      <c r="E164" s="39">
        <f t="shared" si="64"/>
        <v>163</v>
      </c>
      <c r="F164" s="39">
        <f t="shared" si="64"/>
        <v>494</v>
      </c>
      <c r="G164" s="50">
        <f t="shared" si="64"/>
        <v>5985</v>
      </c>
      <c r="H164" s="44">
        <f t="shared" si="64"/>
        <v>1</v>
      </c>
      <c r="I164" s="39">
        <f t="shared" si="64"/>
        <v>0</v>
      </c>
      <c r="J164" s="39">
        <f t="shared" si="64"/>
        <v>0</v>
      </c>
      <c r="K164" s="45">
        <f t="shared" si="64"/>
        <v>0</v>
      </c>
      <c r="L164" s="144">
        <f t="shared" si="64"/>
        <v>12</v>
      </c>
      <c r="M164" s="50">
        <f t="shared" si="64"/>
        <v>13</v>
      </c>
      <c r="N164" s="40">
        <f t="shared" si="14"/>
        <v>5998</v>
      </c>
      <c r="O164" s="43">
        <f t="shared" si="15"/>
        <v>7301</v>
      </c>
    </row>
    <row r="165" spans="1:15" ht="22.95" customHeight="1" x14ac:dyDescent="0.3">
      <c r="A165" s="52" t="s">
        <v>73</v>
      </c>
      <c r="B165" s="44">
        <f t="shared" ref="B165:M165" si="65">B59+B60+B61+B62</f>
        <v>3081</v>
      </c>
      <c r="C165" s="39">
        <f t="shared" si="65"/>
        <v>1698</v>
      </c>
      <c r="D165" s="39">
        <f t="shared" si="65"/>
        <v>182</v>
      </c>
      <c r="E165" s="39">
        <f t="shared" si="65"/>
        <v>156</v>
      </c>
      <c r="F165" s="39">
        <f t="shared" si="65"/>
        <v>526</v>
      </c>
      <c r="G165" s="50">
        <f t="shared" si="65"/>
        <v>5643</v>
      </c>
      <c r="H165" s="44">
        <f t="shared" si="65"/>
        <v>0</v>
      </c>
      <c r="I165" s="39">
        <f t="shared" si="65"/>
        <v>0</v>
      </c>
      <c r="J165" s="39">
        <f t="shared" si="65"/>
        <v>0</v>
      </c>
      <c r="K165" s="45">
        <f t="shared" si="65"/>
        <v>0</v>
      </c>
      <c r="L165" s="144">
        <f t="shared" si="65"/>
        <v>12</v>
      </c>
      <c r="M165" s="50">
        <f t="shared" si="65"/>
        <v>12</v>
      </c>
      <c r="N165" s="40">
        <f t="shared" si="14"/>
        <v>5655</v>
      </c>
      <c r="O165" s="43">
        <f t="shared" si="15"/>
        <v>7134</v>
      </c>
    </row>
    <row r="166" spans="1:15" ht="22.95" customHeight="1" x14ac:dyDescent="0.3">
      <c r="A166" s="52" t="s">
        <v>74</v>
      </c>
      <c r="B166" s="44">
        <f t="shared" ref="B166:M166" si="66">B60+B61+B62+B63</f>
        <v>2819</v>
      </c>
      <c r="C166" s="39">
        <f t="shared" si="66"/>
        <v>1550</v>
      </c>
      <c r="D166" s="39">
        <f t="shared" si="66"/>
        <v>182</v>
      </c>
      <c r="E166" s="39">
        <f t="shared" si="66"/>
        <v>143</v>
      </c>
      <c r="F166" s="39">
        <f t="shared" si="66"/>
        <v>511</v>
      </c>
      <c r="G166" s="50">
        <f t="shared" si="66"/>
        <v>5205</v>
      </c>
      <c r="H166" s="44">
        <f t="shared" si="66"/>
        <v>0</v>
      </c>
      <c r="I166" s="39">
        <f t="shared" si="66"/>
        <v>0</v>
      </c>
      <c r="J166" s="39">
        <f t="shared" si="66"/>
        <v>0</v>
      </c>
      <c r="K166" s="45">
        <f t="shared" si="66"/>
        <v>0</v>
      </c>
      <c r="L166" s="144">
        <f t="shared" si="66"/>
        <v>13</v>
      </c>
      <c r="M166" s="50">
        <f t="shared" si="66"/>
        <v>13</v>
      </c>
      <c r="N166" s="40">
        <f t="shared" si="14"/>
        <v>5218</v>
      </c>
      <c r="O166" s="43">
        <f t="shared" si="15"/>
        <v>6699.5</v>
      </c>
    </row>
    <row r="167" spans="1:15" ht="22.95" customHeight="1" x14ac:dyDescent="0.3">
      <c r="A167" s="52" t="s">
        <v>262</v>
      </c>
      <c r="B167" s="44">
        <f t="shared" ref="B167:M167" si="67">B61+B62+B63+B64</f>
        <v>2556</v>
      </c>
      <c r="C167" s="39">
        <f t="shared" si="67"/>
        <v>1313</v>
      </c>
      <c r="D167" s="39">
        <f t="shared" si="67"/>
        <v>190</v>
      </c>
      <c r="E167" s="39">
        <f t="shared" si="67"/>
        <v>149</v>
      </c>
      <c r="F167" s="39">
        <f t="shared" si="67"/>
        <v>490</v>
      </c>
      <c r="G167" s="50">
        <f t="shared" si="67"/>
        <v>4698</v>
      </c>
      <c r="H167" s="44">
        <f t="shared" si="67"/>
        <v>0</v>
      </c>
      <c r="I167" s="39">
        <f t="shared" si="67"/>
        <v>0</v>
      </c>
      <c r="J167" s="39">
        <f t="shared" si="67"/>
        <v>0</v>
      </c>
      <c r="K167" s="45">
        <f t="shared" si="67"/>
        <v>0</v>
      </c>
      <c r="L167" s="144">
        <f t="shared" si="67"/>
        <v>10</v>
      </c>
      <c r="M167" s="50">
        <f t="shared" si="67"/>
        <v>10</v>
      </c>
      <c r="N167" s="40">
        <f t="shared" si="14"/>
        <v>4708</v>
      </c>
      <c r="O167" s="43">
        <f t="shared" si="15"/>
        <v>6229.5</v>
      </c>
    </row>
    <row r="168" spans="1:15" ht="22.95" customHeight="1" x14ac:dyDescent="0.3">
      <c r="A168" s="52" t="s">
        <v>263</v>
      </c>
      <c r="B168" s="44">
        <f t="shared" ref="B168:M168" si="68">B62+B63+B64+B65</f>
        <v>2322</v>
      </c>
      <c r="C168" s="39">
        <f t="shared" si="68"/>
        <v>1040</v>
      </c>
      <c r="D168" s="39">
        <f t="shared" si="68"/>
        <v>208</v>
      </c>
      <c r="E168" s="39">
        <f t="shared" si="68"/>
        <v>139</v>
      </c>
      <c r="F168" s="39">
        <f t="shared" si="68"/>
        <v>497</v>
      </c>
      <c r="G168" s="50">
        <f t="shared" si="68"/>
        <v>4206</v>
      </c>
      <c r="H168" s="44">
        <f t="shared" si="68"/>
        <v>0</v>
      </c>
      <c r="I168" s="39">
        <f t="shared" si="68"/>
        <v>0</v>
      </c>
      <c r="J168" s="39">
        <f t="shared" si="68"/>
        <v>0</v>
      </c>
      <c r="K168" s="45">
        <f t="shared" si="68"/>
        <v>0</v>
      </c>
      <c r="L168" s="144">
        <f t="shared" si="68"/>
        <v>8</v>
      </c>
      <c r="M168" s="50">
        <f t="shared" si="68"/>
        <v>8</v>
      </c>
      <c r="N168" s="40">
        <f t="shared" si="14"/>
        <v>4214</v>
      </c>
      <c r="O168" s="43">
        <f t="shared" si="15"/>
        <v>5871.5</v>
      </c>
    </row>
    <row r="169" spans="1:15" ht="22.95" customHeight="1" x14ac:dyDescent="0.3">
      <c r="A169" s="52" t="s">
        <v>264</v>
      </c>
      <c r="B169" s="44">
        <f t="shared" ref="B169:M169" si="69">B63+B64+B65+B66</f>
        <v>2033</v>
      </c>
      <c r="C169" s="39">
        <f t="shared" si="69"/>
        <v>889</v>
      </c>
      <c r="D169" s="39">
        <f t="shared" si="69"/>
        <v>218</v>
      </c>
      <c r="E169" s="39">
        <f t="shared" si="69"/>
        <v>133</v>
      </c>
      <c r="F169" s="39">
        <f t="shared" si="69"/>
        <v>480</v>
      </c>
      <c r="G169" s="50">
        <f t="shared" si="69"/>
        <v>3753</v>
      </c>
      <c r="H169" s="44">
        <f t="shared" si="69"/>
        <v>0</v>
      </c>
      <c r="I169" s="39">
        <f t="shared" si="69"/>
        <v>0</v>
      </c>
      <c r="J169" s="39">
        <f t="shared" si="69"/>
        <v>0</v>
      </c>
      <c r="K169" s="45">
        <f t="shared" si="69"/>
        <v>0</v>
      </c>
      <c r="L169" s="144">
        <f t="shared" si="69"/>
        <v>8</v>
      </c>
      <c r="M169" s="50">
        <f t="shared" si="69"/>
        <v>8</v>
      </c>
      <c r="N169" s="40">
        <f t="shared" si="14"/>
        <v>3761</v>
      </c>
      <c r="O169" s="43">
        <f t="shared" si="15"/>
        <v>5427.5</v>
      </c>
    </row>
    <row r="170" spans="1:15" ht="22.95" customHeight="1" x14ac:dyDescent="0.3">
      <c r="A170" s="52" t="s">
        <v>265</v>
      </c>
      <c r="B170" s="44">
        <f t="shared" ref="B170:M170" si="70">B64+B65+B66+B67</f>
        <v>1815</v>
      </c>
      <c r="C170" s="39">
        <f t="shared" si="70"/>
        <v>715</v>
      </c>
      <c r="D170" s="39">
        <f t="shared" si="70"/>
        <v>238</v>
      </c>
      <c r="E170" s="39">
        <f t="shared" si="70"/>
        <v>132</v>
      </c>
      <c r="F170" s="39">
        <f t="shared" si="70"/>
        <v>464</v>
      </c>
      <c r="G170" s="50">
        <f t="shared" si="70"/>
        <v>3364</v>
      </c>
      <c r="H170" s="44">
        <f t="shared" si="70"/>
        <v>0</v>
      </c>
      <c r="I170" s="39">
        <f t="shared" si="70"/>
        <v>0</v>
      </c>
      <c r="J170" s="39">
        <f t="shared" si="70"/>
        <v>0</v>
      </c>
      <c r="K170" s="45">
        <f t="shared" si="70"/>
        <v>0</v>
      </c>
      <c r="L170" s="144">
        <f t="shared" si="70"/>
        <v>7</v>
      </c>
      <c r="M170" s="50">
        <f t="shared" si="70"/>
        <v>7</v>
      </c>
      <c r="N170" s="40">
        <f t="shared" si="14"/>
        <v>3371</v>
      </c>
      <c r="O170" s="43">
        <f t="shared" si="15"/>
        <v>5069.5</v>
      </c>
    </row>
    <row r="171" spans="1:15" ht="22.95" customHeight="1" x14ac:dyDescent="0.3">
      <c r="A171" s="52" t="s">
        <v>266</v>
      </c>
      <c r="B171" s="44">
        <f t="shared" ref="B171:M171" si="71">B65+B66+B67+B68</f>
        <v>1626</v>
      </c>
      <c r="C171" s="39">
        <f t="shared" si="71"/>
        <v>641</v>
      </c>
      <c r="D171" s="39">
        <f t="shared" si="71"/>
        <v>236</v>
      </c>
      <c r="E171" s="39">
        <f t="shared" si="71"/>
        <v>130</v>
      </c>
      <c r="F171" s="39">
        <f t="shared" si="71"/>
        <v>470</v>
      </c>
      <c r="G171" s="50">
        <f t="shared" si="71"/>
        <v>3103</v>
      </c>
      <c r="H171" s="44">
        <f t="shared" si="71"/>
        <v>0</v>
      </c>
      <c r="I171" s="39">
        <f t="shared" si="71"/>
        <v>0</v>
      </c>
      <c r="J171" s="39">
        <f t="shared" si="71"/>
        <v>0</v>
      </c>
      <c r="K171" s="45">
        <f t="shared" si="71"/>
        <v>0</v>
      </c>
      <c r="L171" s="144">
        <f t="shared" si="71"/>
        <v>5</v>
      </c>
      <c r="M171" s="50">
        <f t="shared" si="71"/>
        <v>5</v>
      </c>
      <c r="N171" s="40">
        <f t="shared" si="14"/>
        <v>3108</v>
      </c>
      <c r="O171" s="43">
        <f t="shared" si="15"/>
        <v>4845.5</v>
      </c>
    </row>
    <row r="172" spans="1:15" ht="22.95" customHeight="1" x14ac:dyDescent="0.3">
      <c r="A172" s="52" t="s">
        <v>267</v>
      </c>
      <c r="B172" s="44">
        <f t="shared" ref="B172:M172" si="72">B66+B67+B68+B69</f>
        <v>1489</v>
      </c>
      <c r="C172" s="39">
        <f t="shared" si="72"/>
        <v>590</v>
      </c>
      <c r="D172" s="39">
        <f t="shared" si="72"/>
        <v>201</v>
      </c>
      <c r="E172" s="39">
        <f t="shared" si="72"/>
        <v>134</v>
      </c>
      <c r="F172" s="39">
        <f t="shared" si="72"/>
        <v>437</v>
      </c>
      <c r="G172" s="50">
        <f t="shared" si="72"/>
        <v>2851</v>
      </c>
      <c r="H172" s="44">
        <f t="shared" si="72"/>
        <v>0</v>
      </c>
      <c r="I172" s="39">
        <f t="shared" si="72"/>
        <v>0</v>
      </c>
      <c r="J172" s="39">
        <f t="shared" si="72"/>
        <v>0</v>
      </c>
      <c r="K172" s="45">
        <f t="shared" si="72"/>
        <v>0</v>
      </c>
      <c r="L172" s="144">
        <f t="shared" si="72"/>
        <v>5</v>
      </c>
      <c r="M172" s="50">
        <f t="shared" si="72"/>
        <v>5</v>
      </c>
      <c r="N172" s="40">
        <f t="shared" si="14"/>
        <v>2856</v>
      </c>
      <c r="O172" s="43">
        <f t="shared" si="15"/>
        <v>4494</v>
      </c>
    </row>
    <row r="173" spans="1:15" ht="22.95" customHeight="1" x14ac:dyDescent="0.3">
      <c r="A173" s="52" t="s">
        <v>268</v>
      </c>
      <c r="B173" s="44">
        <f t="shared" ref="B173:M173" si="73">B67+B68+B69+B70</f>
        <v>1319</v>
      </c>
      <c r="C173" s="39">
        <f t="shared" si="73"/>
        <v>520</v>
      </c>
      <c r="D173" s="39">
        <f t="shared" si="73"/>
        <v>196</v>
      </c>
      <c r="E173" s="39">
        <f t="shared" si="73"/>
        <v>138</v>
      </c>
      <c r="F173" s="39">
        <f t="shared" si="73"/>
        <v>427</v>
      </c>
      <c r="G173" s="50">
        <f t="shared" si="73"/>
        <v>2600</v>
      </c>
      <c r="H173" s="44">
        <f t="shared" si="73"/>
        <v>0</v>
      </c>
      <c r="I173" s="39">
        <f t="shared" si="73"/>
        <v>0</v>
      </c>
      <c r="J173" s="39">
        <f t="shared" si="73"/>
        <v>0</v>
      </c>
      <c r="K173" s="45">
        <f t="shared" si="73"/>
        <v>0</v>
      </c>
      <c r="L173" s="144">
        <f t="shared" si="73"/>
        <v>7</v>
      </c>
      <c r="M173" s="50">
        <f t="shared" si="73"/>
        <v>7</v>
      </c>
      <c r="N173" s="40">
        <f t="shared" si="14"/>
        <v>2607</v>
      </c>
      <c r="O173" s="43">
        <f t="shared" si="15"/>
        <v>4264.5</v>
      </c>
    </row>
    <row r="174" spans="1:15" ht="22.95" customHeight="1" x14ac:dyDescent="0.3">
      <c r="A174" s="52" t="s">
        <v>269</v>
      </c>
      <c r="B174" s="44">
        <f t="shared" ref="B174:M174" si="74">B68+B69+B70+B71</f>
        <v>1153</v>
      </c>
      <c r="C174" s="39">
        <f t="shared" si="74"/>
        <v>433</v>
      </c>
      <c r="D174" s="39">
        <f t="shared" si="74"/>
        <v>164</v>
      </c>
      <c r="E174" s="39">
        <f t="shared" si="74"/>
        <v>147</v>
      </c>
      <c r="F174" s="39">
        <f t="shared" si="74"/>
        <v>446</v>
      </c>
      <c r="G174" s="50">
        <f t="shared" si="74"/>
        <v>2343</v>
      </c>
      <c r="H174" s="44">
        <f t="shared" si="74"/>
        <v>0</v>
      </c>
      <c r="I174" s="39">
        <f t="shared" si="74"/>
        <v>0</v>
      </c>
      <c r="J174" s="39">
        <f t="shared" si="74"/>
        <v>0</v>
      </c>
      <c r="K174" s="45">
        <f t="shared" si="74"/>
        <v>0</v>
      </c>
      <c r="L174" s="144">
        <f t="shared" si="74"/>
        <v>9</v>
      </c>
      <c r="M174" s="50">
        <f t="shared" si="74"/>
        <v>9</v>
      </c>
      <c r="N174" s="40">
        <f t="shared" si="14"/>
        <v>2352</v>
      </c>
      <c r="O174" s="43">
        <f t="shared" si="15"/>
        <v>4135.5</v>
      </c>
    </row>
    <row r="175" spans="1:15" ht="22.95" customHeight="1" x14ac:dyDescent="0.3">
      <c r="A175" s="54" t="s">
        <v>241</v>
      </c>
      <c r="B175" s="44">
        <f t="shared" ref="B175:M175" si="75">B69+B70+B71+B72</f>
        <v>961</v>
      </c>
      <c r="C175" s="39">
        <f t="shared" si="75"/>
        <v>430</v>
      </c>
      <c r="D175" s="39">
        <f t="shared" si="75"/>
        <v>168</v>
      </c>
      <c r="E175" s="39">
        <f t="shared" si="75"/>
        <v>129</v>
      </c>
      <c r="F175" s="39">
        <f t="shared" si="75"/>
        <v>420</v>
      </c>
      <c r="G175" s="50">
        <f t="shared" si="75"/>
        <v>2108</v>
      </c>
      <c r="H175" s="44">
        <f t="shared" si="75"/>
        <v>0</v>
      </c>
      <c r="I175" s="39">
        <f t="shared" si="75"/>
        <v>0</v>
      </c>
      <c r="J175" s="39">
        <f t="shared" si="75"/>
        <v>0</v>
      </c>
      <c r="K175" s="45">
        <f t="shared" si="75"/>
        <v>0</v>
      </c>
      <c r="L175" s="144">
        <f t="shared" si="75"/>
        <v>14</v>
      </c>
      <c r="M175" s="50">
        <f t="shared" si="75"/>
        <v>14</v>
      </c>
      <c r="N175" s="40">
        <f t="shared" si="14"/>
        <v>2122</v>
      </c>
      <c r="O175" s="43">
        <f t="shared" si="15"/>
        <v>3817</v>
      </c>
    </row>
    <row r="176" spans="1:15" ht="22.95" customHeight="1" x14ac:dyDescent="0.3">
      <c r="A176" s="52" t="s">
        <v>242</v>
      </c>
      <c r="B176" s="44">
        <f t="shared" ref="B176:M176" si="76">B70+B71+B72+B73</f>
        <v>796</v>
      </c>
      <c r="C176" s="39">
        <f t="shared" si="76"/>
        <v>396</v>
      </c>
      <c r="D176" s="39">
        <f t="shared" si="76"/>
        <v>190</v>
      </c>
      <c r="E176" s="39">
        <f t="shared" si="76"/>
        <v>121</v>
      </c>
      <c r="F176" s="39">
        <f t="shared" si="76"/>
        <v>385</v>
      </c>
      <c r="G176" s="50">
        <f t="shared" si="76"/>
        <v>1888</v>
      </c>
      <c r="H176" s="44">
        <f t="shared" si="76"/>
        <v>1</v>
      </c>
      <c r="I176" s="39">
        <f t="shared" si="76"/>
        <v>0</v>
      </c>
      <c r="J176" s="39">
        <f t="shared" si="76"/>
        <v>0</v>
      </c>
      <c r="K176" s="45">
        <f t="shared" si="76"/>
        <v>0</v>
      </c>
      <c r="L176" s="144">
        <f t="shared" si="76"/>
        <v>12</v>
      </c>
      <c r="M176" s="50">
        <f t="shared" si="76"/>
        <v>13</v>
      </c>
      <c r="N176" s="40">
        <f t="shared" si="14"/>
        <v>1901</v>
      </c>
      <c r="O176" s="43">
        <f t="shared" si="15"/>
        <v>3471</v>
      </c>
    </row>
    <row r="177" spans="1:15" ht="22.95" customHeight="1" x14ac:dyDescent="0.3">
      <c r="A177" s="52" t="s">
        <v>243</v>
      </c>
      <c r="B177" s="44">
        <f t="shared" ref="B177:M177" si="77">B71+B72+B73+B74</f>
        <v>711</v>
      </c>
      <c r="C177" s="39">
        <f t="shared" si="77"/>
        <v>353</v>
      </c>
      <c r="D177" s="39">
        <f t="shared" si="77"/>
        <v>200</v>
      </c>
      <c r="E177" s="39">
        <f t="shared" si="77"/>
        <v>112</v>
      </c>
      <c r="F177" s="39">
        <f t="shared" si="77"/>
        <v>330</v>
      </c>
      <c r="G177" s="50">
        <f t="shared" si="77"/>
        <v>1706</v>
      </c>
      <c r="H177" s="44">
        <f t="shared" si="77"/>
        <v>1</v>
      </c>
      <c r="I177" s="39">
        <f t="shared" si="77"/>
        <v>0</v>
      </c>
      <c r="J177" s="39">
        <f t="shared" si="77"/>
        <v>0</v>
      </c>
      <c r="K177" s="45">
        <f t="shared" si="77"/>
        <v>0</v>
      </c>
      <c r="L177" s="144">
        <f t="shared" si="77"/>
        <v>8</v>
      </c>
      <c r="M177" s="50">
        <f t="shared" si="77"/>
        <v>9</v>
      </c>
      <c r="N177" s="40">
        <f t="shared" si="14"/>
        <v>1715</v>
      </c>
      <c r="O177" s="43">
        <f t="shared" si="15"/>
        <v>3073</v>
      </c>
    </row>
    <row r="178" spans="1:15" ht="22.95" customHeight="1" x14ac:dyDescent="0.3">
      <c r="A178" s="52" t="s">
        <v>244</v>
      </c>
      <c r="B178" s="44">
        <f t="shared" ref="B178:M178" si="78">B72+B73+B74+B75</f>
        <v>644</v>
      </c>
      <c r="C178" s="39">
        <f t="shared" si="78"/>
        <v>336</v>
      </c>
      <c r="D178" s="39">
        <f t="shared" si="78"/>
        <v>223</v>
      </c>
      <c r="E178" s="39">
        <f t="shared" si="78"/>
        <v>104</v>
      </c>
      <c r="F178" s="39">
        <f t="shared" si="78"/>
        <v>287</v>
      </c>
      <c r="G178" s="50">
        <f t="shared" si="78"/>
        <v>1594</v>
      </c>
      <c r="H178" s="44">
        <f t="shared" si="78"/>
        <v>1</v>
      </c>
      <c r="I178" s="39">
        <f t="shared" si="78"/>
        <v>0</v>
      </c>
      <c r="J178" s="39">
        <f t="shared" si="78"/>
        <v>0</v>
      </c>
      <c r="K178" s="45">
        <f t="shared" si="78"/>
        <v>0</v>
      </c>
      <c r="L178" s="144">
        <f t="shared" si="78"/>
        <v>6</v>
      </c>
      <c r="M178" s="50">
        <f t="shared" si="78"/>
        <v>7</v>
      </c>
      <c r="N178" s="40">
        <f t="shared" si="14"/>
        <v>1601</v>
      </c>
      <c r="O178" s="43">
        <f t="shared" si="15"/>
        <v>2798.5</v>
      </c>
    </row>
    <row r="179" spans="1:15" ht="22.95" customHeight="1" x14ac:dyDescent="0.3">
      <c r="A179" s="52" t="s">
        <v>245</v>
      </c>
      <c r="B179" s="44">
        <f t="shared" ref="B179:M179" si="79">B73+B74+B75+B76</f>
        <v>620</v>
      </c>
      <c r="C179" s="39">
        <f t="shared" si="79"/>
        <v>276</v>
      </c>
      <c r="D179" s="39">
        <f t="shared" si="79"/>
        <v>209</v>
      </c>
      <c r="E179" s="39">
        <f t="shared" si="79"/>
        <v>98</v>
      </c>
      <c r="F179" s="39">
        <f t="shared" si="79"/>
        <v>258</v>
      </c>
      <c r="G179" s="50">
        <f t="shared" si="79"/>
        <v>1461</v>
      </c>
      <c r="H179" s="44">
        <f t="shared" si="79"/>
        <v>2</v>
      </c>
      <c r="I179" s="39">
        <f t="shared" si="79"/>
        <v>0</v>
      </c>
      <c r="J179" s="39">
        <f t="shared" si="79"/>
        <v>0</v>
      </c>
      <c r="K179" s="45">
        <f t="shared" si="79"/>
        <v>0</v>
      </c>
      <c r="L179" s="144">
        <f t="shared" si="79"/>
        <v>1</v>
      </c>
      <c r="M179" s="50">
        <f t="shared" si="79"/>
        <v>3</v>
      </c>
      <c r="N179" s="40">
        <f t="shared" ref="N179:N206" si="80">G179+M179</f>
        <v>1464</v>
      </c>
      <c r="O179" s="43">
        <f t="shared" ref="O179:O206" si="81">B179*1+C179*0.5+D179*1.5+E179*3+F179*4.5+H179*0.5+I179*1.5+J179*3+K179*4+L179*8</f>
        <v>2535.5</v>
      </c>
    </row>
    <row r="180" spans="1:15" ht="22.95" customHeight="1" x14ac:dyDescent="0.3">
      <c r="A180" s="52" t="s">
        <v>246</v>
      </c>
      <c r="B180" s="44">
        <f t="shared" ref="B180:M180" si="82">B74+B75+B76+B77</f>
        <v>576</v>
      </c>
      <c r="C180" s="39">
        <f t="shared" si="82"/>
        <v>224</v>
      </c>
      <c r="D180" s="39">
        <f t="shared" si="82"/>
        <v>203</v>
      </c>
      <c r="E180" s="39">
        <f t="shared" si="82"/>
        <v>93</v>
      </c>
      <c r="F180" s="39">
        <f t="shared" si="82"/>
        <v>246</v>
      </c>
      <c r="G180" s="50">
        <f t="shared" si="82"/>
        <v>1342</v>
      </c>
      <c r="H180" s="44">
        <f t="shared" si="82"/>
        <v>1</v>
      </c>
      <c r="I180" s="39">
        <f t="shared" si="82"/>
        <v>0</v>
      </c>
      <c r="J180" s="39">
        <f t="shared" si="82"/>
        <v>0</v>
      </c>
      <c r="K180" s="45">
        <f t="shared" si="82"/>
        <v>0</v>
      </c>
      <c r="L180" s="144">
        <f t="shared" si="82"/>
        <v>1</v>
      </c>
      <c r="M180" s="50">
        <f t="shared" si="82"/>
        <v>2</v>
      </c>
      <c r="N180" s="40">
        <f t="shared" si="80"/>
        <v>1344</v>
      </c>
      <c r="O180" s="43">
        <f t="shared" si="81"/>
        <v>2387</v>
      </c>
    </row>
    <row r="181" spans="1:15" ht="22.95" customHeight="1" x14ac:dyDescent="0.3">
      <c r="A181" s="52" t="s">
        <v>247</v>
      </c>
      <c r="B181" s="44">
        <f t="shared" ref="B181:M181" si="83">B75+B76+B77+B78</f>
        <v>525</v>
      </c>
      <c r="C181" s="39">
        <f t="shared" si="83"/>
        <v>208</v>
      </c>
      <c r="D181" s="39">
        <f t="shared" si="83"/>
        <v>161</v>
      </c>
      <c r="E181" s="39">
        <f t="shared" si="83"/>
        <v>84</v>
      </c>
      <c r="F181" s="39">
        <f t="shared" si="83"/>
        <v>239</v>
      </c>
      <c r="G181" s="50">
        <f t="shared" si="83"/>
        <v>1217</v>
      </c>
      <c r="H181" s="44">
        <f t="shared" si="83"/>
        <v>1</v>
      </c>
      <c r="I181" s="39">
        <f t="shared" si="83"/>
        <v>0</v>
      </c>
      <c r="J181" s="39">
        <f t="shared" si="83"/>
        <v>0</v>
      </c>
      <c r="K181" s="45">
        <f t="shared" si="83"/>
        <v>0</v>
      </c>
      <c r="L181" s="144">
        <f t="shared" si="83"/>
        <v>1</v>
      </c>
      <c r="M181" s="50">
        <f t="shared" si="83"/>
        <v>2</v>
      </c>
      <c r="N181" s="40">
        <f t="shared" si="80"/>
        <v>1219</v>
      </c>
      <c r="O181" s="43">
        <f t="shared" si="81"/>
        <v>2206.5</v>
      </c>
    </row>
    <row r="182" spans="1:15" ht="22.95" customHeight="1" x14ac:dyDescent="0.3">
      <c r="A182" s="52" t="s">
        <v>248</v>
      </c>
      <c r="B182" s="44">
        <f t="shared" ref="B182:M182" si="84">B76+B77+B78+B79</f>
        <v>467</v>
      </c>
      <c r="C182" s="39">
        <f t="shared" si="84"/>
        <v>198</v>
      </c>
      <c r="D182" s="39">
        <f t="shared" si="84"/>
        <v>128</v>
      </c>
      <c r="E182" s="39">
        <f t="shared" si="84"/>
        <v>76</v>
      </c>
      <c r="F182" s="39">
        <f t="shared" si="84"/>
        <v>240</v>
      </c>
      <c r="G182" s="50">
        <f t="shared" si="84"/>
        <v>1109</v>
      </c>
      <c r="H182" s="44">
        <f t="shared" si="84"/>
        <v>1</v>
      </c>
      <c r="I182" s="39">
        <f t="shared" si="84"/>
        <v>0</v>
      </c>
      <c r="J182" s="39">
        <f t="shared" si="84"/>
        <v>0</v>
      </c>
      <c r="K182" s="45">
        <f t="shared" si="84"/>
        <v>0</v>
      </c>
      <c r="L182" s="144">
        <f t="shared" si="84"/>
        <v>1</v>
      </c>
      <c r="M182" s="50">
        <f t="shared" si="84"/>
        <v>2</v>
      </c>
      <c r="N182" s="40">
        <f t="shared" si="80"/>
        <v>1111</v>
      </c>
      <c r="O182" s="43">
        <f t="shared" si="81"/>
        <v>2074.5</v>
      </c>
    </row>
    <row r="183" spans="1:15" ht="22.95" customHeight="1" x14ac:dyDescent="0.3">
      <c r="A183" s="52" t="s">
        <v>249</v>
      </c>
      <c r="B183" s="44">
        <f t="shared" ref="B183:M183" si="85">B77+B78+B79+B80</f>
        <v>416</v>
      </c>
      <c r="C183" s="39">
        <f t="shared" si="85"/>
        <v>165</v>
      </c>
      <c r="D183" s="39">
        <f t="shared" si="85"/>
        <v>117</v>
      </c>
      <c r="E183" s="39">
        <f t="shared" si="85"/>
        <v>74</v>
      </c>
      <c r="F183" s="39">
        <f t="shared" si="85"/>
        <v>233</v>
      </c>
      <c r="G183" s="50">
        <f t="shared" si="85"/>
        <v>1005</v>
      </c>
      <c r="H183" s="44">
        <f t="shared" si="85"/>
        <v>0</v>
      </c>
      <c r="I183" s="39">
        <f t="shared" si="85"/>
        <v>0</v>
      </c>
      <c r="J183" s="39">
        <f t="shared" si="85"/>
        <v>0</v>
      </c>
      <c r="K183" s="45">
        <f t="shared" si="85"/>
        <v>0</v>
      </c>
      <c r="L183" s="144">
        <f t="shared" si="85"/>
        <v>1</v>
      </c>
      <c r="M183" s="50">
        <f t="shared" si="85"/>
        <v>1</v>
      </c>
      <c r="N183" s="40">
        <f t="shared" si="80"/>
        <v>1006</v>
      </c>
      <c r="O183" s="43">
        <f t="shared" si="81"/>
        <v>1952.5</v>
      </c>
    </row>
    <row r="184" spans="1:15" ht="22.95" customHeight="1" x14ac:dyDescent="0.3">
      <c r="A184" s="52" t="s">
        <v>250</v>
      </c>
      <c r="B184" s="44">
        <f t="shared" ref="B184:M184" si="86">B78+B79+B80+B81</f>
        <v>385</v>
      </c>
      <c r="C184" s="39">
        <f t="shared" si="86"/>
        <v>157</v>
      </c>
      <c r="D184" s="39">
        <f t="shared" si="86"/>
        <v>96</v>
      </c>
      <c r="E184" s="39">
        <f t="shared" si="86"/>
        <v>67</v>
      </c>
      <c r="F184" s="39">
        <f t="shared" si="86"/>
        <v>218</v>
      </c>
      <c r="G184" s="50">
        <f t="shared" si="86"/>
        <v>923</v>
      </c>
      <c r="H184" s="44">
        <f t="shared" si="86"/>
        <v>1</v>
      </c>
      <c r="I184" s="39">
        <f t="shared" si="86"/>
        <v>0</v>
      </c>
      <c r="J184" s="39">
        <f t="shared" si="86"/>
        <v>0</v>
      </c>
      <c r="K184" s="45">
        <f t="shared" si="86"/>
        <v>0</v>
      </c>
      <c r="L184" s="144">
        <f t="shared" si="86"/>
        <v>1</v>
      </c>
      <c r="M184" s="50">
        <f t="shared" si="86"/>
        <v>2</v>
      </c>
      <c r="N184" s="40">
        <f t="shared" si="80"/>
        <v>925</v>
      </c>
      <c r="O184" s="43">
        <f t="shared" si="81"/>
        <v>1798</v>
      </c>
    </row>
    <row r="185" spans="1:15" ht="22.95" customHeight="1" x14ac:dyDescent="0.3">
      <c r="A185" s="52" t="s">
        <v>251</v>
      </c>
      <c r="B185" s="44">
        <f t="shared" ref="B185:M185" si="87">B79+B80+B81+B82</f>
        <v>375</v>
      </c>
      <c r="C185" s="39">
        <f t="shared" si="87"/>
        <v>139</v>
      </c>
      <c r="D185" s="39">
        <f t="shared" si="87"/>
        <v>120</v>
      </c>
      <c r="E185" s="39">
        <f t="shared" si="87"/>
        <v>59</v>
      </c>
      <c r="F185" s="39">
        <f t="shared" si="87"/>
        <v>196</v>
      </c>
      <c r="G185" s="50">
        <f t="shared" si="87"/>
        <v>889</v>
      </c>
      <c r="H185" s="44">
        <f t="shared" si="87"/>
        <v>1</v>
      </c>
      <c r="I185" s="39">
        <f t="shared" si="87"/>
        <v>0</v>
      </c>
      <c r="J185" s="39">
        <f t="shared" si="87"/>
        <v>0</v>
      </c>
      <c r="K185" s="45">
        <f t="shared" si="87"/>
        <v>0</v>
      </c>
      <c r="L185" s="144">
        <f t="shared" si="87"/>
        <v>1</v>
      </c>
      <c r="M185" s="50">
        <f t="shared" si="87"/>
        <v>2</v>
      </c>
      <c r="N185" s="40">
        <f t="shared" si="80"/>
        <v>891</v>
      </c>
      <c r="O185" s="43">
        <f t="shared" si="81"/>
        <v>1692</v>
      </c>
    </row>
    <row r="186" spans="1:15" ht="22.95" customHeight="1" x14ac:dyDescent="0.3">
      <c r="A186" s="52" t="s">
        <v>252</v>
      </c>
      <c r="B186" s="44">
        <f t="shared" ref="B186:M186" si="88">B80+B81+B82+B83</f>
        <v>366</v>
      </c>
      <c r="C186" s="39">
        <f t="shared" si="88"/>
        <v>99</v>
      </c>
      <c r="D186" s="39">
        <f t="shared" si="88"/>
        <v>134</v>
      </c>
      <c r="E186" s="39">
        <f t="shared" si="88"/>
        <v>59</v>
      </c>
      <c r="F186" s="39">
        <f t="shared" si="88"/>
        <v>157</v>
      </c>
      <c r="G186" s="50">
        <f t="shared" si="88"/>
        <v>815</v>
      </c>
      <c r="H186" s="44">
        <f t="shared" si="88"/>
        <v>1</v>
      </c>
      <c r="I186" s="39">
        <f t="shared" si="88"/>
        <v>0</v>
      </c>
      <c r="J186" s="39">
        <f t="shared" si="88"/>
        <v>0</v>
      </c>
      <c r="K186" s="45">
        <f t="shared" si="88"/>
        <v>0</v>
      </c>
      <c r="L186" s="144">
        <f t="shared" si="88"/>
        <v>0</v>
      </c>
      <c r="M186" s="50">
        <f t="shared" si="88"/>
        <v>1</v>
      </c>
      <c r="N186" s="40">
        <f t="shared" si="80"/>
        <v>816</v>
      </c>
      <c r="O186" s="43">
        <f t="shared" si="81"/>
        <v>1500.5</v>
      </c>
    </row>
    <row r="187" spans="1:15" ht="22.95" customHeight="1" x14ac:dyDescent="0.3">
      <c r="A187" s="52" t="s">
        <v>253</v>
      </c>
      <c r="B187" s="44">
        <f t="shared" ref="B187:M187" si="89">B81+B82+B83+B84</f>
        <v>370</v>
      </c>
      <c r="C187" s="39">
        <f t="shared" si="89"/>
        <v>103</v>
      </c>
      <c r="D187" s="39">
        <f t="shared" si="89"/>
        <v>124</v>
      </c>
      <c r="E187" s="39">
        <f t="shared" si="89"/>
        <v>67</v>
      </c>
      <c r="F187" s="39">
        <f t="shared" si="89"/>
        <v>138</v>
      </c>
      <c r="G187" s="50">
        <f t="shared" si="89"/>
        <v>802</v>
      </c>
      <c r="H187" s="44">
        <f t="shared" si="89"/>
        <v>1</v>
      </c>
      <c r="I187" s="39">
        <f t="shared" si="89"/>
        <v>0</v>
      </c>
      <c r="J187" s="39">
        <f t="shared" si="89"/>
        <v>0</v>
      </c>
      <c r="K187" s="45">
        <f t="shared" si="89"/>
        <v>0</v>
      </c>
      <c r="L187" s="144">
        <f t="shared" si="89"/>
        <v>0</v>
      </c>
      <c r="M187" s="50">
        <f t="shared" si="89"/>
        <v>1</v>
      </c>
      <c r="N187" s="40">
        <f t="shared" si="80"/>
        <v>803</v>
      </c>
      <c r="O187" s="43">
        <f t="shared" si="81"/>
        <v>1430</v>
      </c>
    </row>
    <row r="188" spans="1:15" ht="22.95" customHeight="1" x14ac:dyDescent="0.3">
      <c r="A188" s="52" t="s">
        <v>254</v>
      </c>
      <c r="B188" s="44">
        <f t="shared" ref="B188:M188" si="90">B82+B83+B84+B85</f>
        <v>357</v>
      </c>
      <c r="C188" s="39">
        <f t="shared" si="90"/>
        <v>102</v>
      </c>
      <c r="D188" s="39">
        <f t="shared" si="90"/>
        <v>131</v>
      </c>
      <c r="E188" s="39">
        <f t="shared" si="90"/>
        <v>78</v>
      </c>
      <c r="F188" s="39">
        <f t="shared" si="90"/>
        <v>141</v>
      </c>
      <c r="G188" s="50">
        <f t="shared" si="90"/>
        <v>809</v>
      </c>
      <c r="H188" s="44">
        <f t="shared" si="90"/>
        <v>0</v>
      </c>
      <c r="I188" s="39">
        <f t="shared" si="90"/>
        <v>0</v>
      </c>
      <c r="J188" s="39">
        <f t="shared" si="90"/>
        <v>0</v>
      </c>
      <c r="K188" s="45">
        <f t="shared" si="90"/>
        <v>0</v>
      </c>
      <c r="L188" s="144">
        <f t="shared" si="90"/>
        <v>0</v>
      </c>
      <c r="M188" s="50">
        <f t="shared" si="90"/>
        <v>0</v>
      </c>
      <c r="N188" s="40">
        <f t="shared" si="80"/>
        <v>809</v>
      </c>
      <c r="O188" s="43">
        <f t="shared" si="81"/>
        <v>1473</v>
      </c>
    </row>
    <row r="189" spans="1:15" ht="22.95" customHeight="1" x14ac:dyDescent="0.3">
      <c r="A189" s="52" t="s">
        <v>255</v>
      </c>
      <c r="B189" s="44">
        <f t="shared" ref="B189:M189" si="91">B83+B84+B85+B86</f>
        <v>342</v>
      </c>
      <c r="C189" s="39">
        <f t="shared" si="91"/>
        <v>103</v>
      </c>
      <c r="D189" s="39">
        <f t="shared" si="91"/>
        <v>127</v>
      </c>
      <c r="E189" s="39">
        <f t="shared" si="91"/>
        <v>87</v>
      </c>
      <c r="F189" s="39">
        <f t="shared" si="91"/>
        <v>150</v>
      </c>
      <c r="G189" s="50">
        <f t="shared" si="91"/>
        <v>809</v>
      </c>
      <c r="H189" s="44">
        <f t="shared" si="91"/>
        <v>0</v>
      </c>
      <c r="I189" s="39">
        <f t="shared" si="91"/>
        <v>0</v>
      </c>
      <c r="J189" s="39">
        <f t="shared" si="91"/>
        <v>0</v>
      </c>
      <c r="K189" s="45">
        <f t="shared" si="91"/>
        <v>0</v>
      </c>
      <c r="L189" s="144">
        <f t="shared" si="91"/>
        <v>0</v>
      </c>
      <c r="M189" s="50">
        <f t="shared" si="91"/>
        <v>0</v>
      </c>
      <c r="N189" s="40">
        <f t="shared" si="80"/>
        <v>809</v>
      </c>
      <c r="O189" s="43">
        <f t="shared" si="81"/>
        <v>1520</v>
      </c>
    </row>
    <row r="190" spans="1:15" ht="22.95" customHeight="1" x14ac:dyDescent="0.3">
      <c r="A190" s="52" t="s">
        <v>256</v>
      </c>
      <c r="B190" s="44">
        <f t="shared" ref="B190:M190" si="92">B84+B85+B86+B87</f>
        <v>338</v>
      </c>
      <c r="C190" s="39">
        <f t="shared" si="92"/>
        <v>126</v>
      </c>
      <c r="D190" s="39">
        <f t="shared" si="92"/>
        <v>118</v>
      </c>
      <c r="E190" s="39">
        <f t="shared" si="92"/>
        <v>95</v>
      </c>
      <c r="F190" s="39">
        <f t="shared" si="92"/>
        <v>169</v>
      </c>
      <c r="G190" s="50">
        <f t="shared" si="92"/>
        <v>846</v>
      </c>
      <c r="H190" s="44">
        <f t="shared" si="92"/>
        <v>0</v>
      </c>
      <c r="I190" s="39">
        <f t="shared" si="92"/>
        <v>0</v>
      </c>
      <c r="J190" s="39">
        <f t="shared" si="92"/>
        <v>0</v>
      </c>
      <c r="K190" s="45">
        <f t="shared" si="92"/>
        <v>0</v>
      </c>
      <c r="L190" s="144">
        <f t="shared" si="92"/>
        <v>0</v>
      </c>
      <c r="M190" s="50">
        <f t="shared" si="92"/>
        <v>0</v>
      </c>
      <c r="N190" s="40">
        <f t="shared" si="80"/>
        <v>846</v>
      </c>
      <c r="O190" s="43">
        <f t="shared" si="81"/>
        <v>1623.5</v>
      </c>
    </row>
    <row r="191" spans="1:15" ht="22.95" customHeight="1" x14ac:dyDescent="0.3">
      <c r="A191" s="52" t="s">
        <v>257</v>
      </c>
      <c r="B191" s="44">
        <f t="shared" ref="B191:M191" si="93">B85+B86+B87+B88</f>
        <v>380</v>
      </c>
      <c r="C191" s="39">
        <f t="shared" si="93"/>
        <v>144</v>
      </c>
      <c r="D191" s="39">
        <f t="shared" si="93"/>
        <v>126</v>
      </c>
      <c r="E191" s="39">
        <f t="shared" si="93"/>
        <v>92</v>
      </c>
      <c r="F191" s="39">
        <f t="shared" si="93"/>
        <v>189</v>
      </c>
      <c r="G191" s="50">
        <f t="shared" si="93"/>
        <v>931</v>
      </c>
      <c r="H191" s="44">
        <f t="shared" si="93"/>
        <v>1</v>
      </c>
      <c r="I191" s="39">
        <f t="shared" si="93"/>
        <v>0</v>
      </c>
      <c r="J191" s="39">
        <f t="shared" si="93"/>
        <v>0</v>
      </c>
      <c r="K191" s="45">
        <f t="shared" si="93"/>
        <v>0</v>
      </c>
      <c r="L191" s="144">
        <f t="shared" si="93"/>
        <v>0</v>
      </c>
      <c r="M191" s="50">
        <f t="shared" si="93"/>
        <v>1</v>
      </c>
      <c r="N191" s="40">
        <f t="shared" si="80"/>
        <v>932</v>
      </c>
      <c r="O191" s="43">
        <f t="shared" si="81"/>
        <v>1768</v>
      </c>
    </row>
    <row r="192" spans="1:15" ht="22.95" customHeight="1" x14ac:dyDescent="0.3">
      <c r="A192" s="52" t="s">
        <v>258</v>
      </c>
      <c r="B192" s="44">
        <f t="shared" ref="B192:M192" si="94">B86+B87+B88+B89</f>
        <v>412</v>
      </c>
      <c r="C192" s="39">
        <f t="shared" si="94"/>
        <v>169</v>
      </c>
      <c r="D192" s="39">
        <f t="shared" si="94"/>
        <v>132</v>
      </c>
      <c r="E192" s="39">
        <f t="shared" si="94"/>
        <v>92</v>
      </c>
      <c r="F192" s="39">
        <f t="shared" si="94"/>
        <v>194</v>
      </c>
      <c r="G192" s="50">
        <f t="shared" si="94"/>
        <v>999</v>
      </c>
      <c r="H192" s="44">
        <f t="shared" si="94"/>
        <v>2</v>
      </c>
      <c r="I192" s="39">
        <f t="shared" si="94"/>
        <v>0</v>
      </c>
      <c r="J192" s="39">
        <f t="shared" si="94"/>
        <v>0</v>
      </c>
      <c r="K192" s="45">
        <f t="shared" si="94"/>
        <v>0</v>
      </c>
      <c r="L192" s="144">
        <f t="shared" si="94"/>
        <v>0</v>
      </c>
      <c r="M192" s="50">
        <f t="shared" si="94"/>
        <v>2</v>
      </c>
      <c r="N192" s="40">
        <f t="shared" si="80"/>
        <v>1001</v>
      </c>
      <c r="O192" s="43">
        <f t="shared" si="81"/>
        <v>1844.5</v>
      </c>
    </row>
    <row r="193" spans="1:15" ht="22.95" customHeight="1" x14ac:dyDescent="0.3">
      <c r="A193" s="52" t="s">
        <v>259</v>
      </c>
      <c r="B193" s="44">
        <f t="shared" ref="B193:M193" si="95">B87+B88+B89+B90</f>
        <v>463</v>
      </c>
      <c r="C193" s="39">
        <f t="shared" si="95"/>
        <v>207</v>
      </c>
      <c r="D193" s="39">
        <f t="shared" si="95"/>
        <v>137</v>
      </c>
      <c r="E193" s="39">
        <f t="shared" si="95"/>
        <v>87</v>
      </c>
      <c r="F193" s="39">
        <f t="shared" si="95"/>
        <v>198</v>
      </c>
      <c r="G193" s="50">
        <f t="shared" si="95"/>
        <v>1092</v>
      </c>
      <c r="H193" s="44">
        <f t="shared" si="95"/>
        <v>3</v>
      </c>
      <c r="I193" s="39">
        <f t="shared" si="95"/>
        <v>0</v>
      </c>
      <c r="J193" s="39">
        <f t="shared" si="95"/>
        <v>0</v>
      </c>
      <c r="K193" s="45">
        <f t="shared" si="95"/>
        <v>0</v>
      </c>
      <c r="L193" s="144">
        <f t="shared" si="95"/>
        <v>0</v>
      </c>
      <c r="M193" s="50">
        <f t="shared" si="95"/>
        <v>3</v>
      </c>
      <c r="N193" s="40">
        <f t="shared" si="80"/>
        <v>1095</v>
      </c>
      <c r="O193" s="43">
        <f t="shared" si="81"/>
        <v>1925.5</v>
      </c>
    </row>
    <row r="194" spans="1:15" ht="22.95" customHeight="1" x14ac:dyDescent="0.3">
      <c r="A194" s="52" t="s">
        <v>260</v>
      </c>
      <c r="B194" s="44">
        <f t="shared" ref="B194:M194" si="96">B88+B89+B90+B91</f>
        <v>504</v>
      </c>
      <c r="C194" s="39">
        <f t="shared" si="96"/>
        <v>238</v>
      </c>
      <c r="D194" s="39">
        <f t="shared" si="96"/>
        <v>136</v>
      </c>
      <c r="E194" s="39">
        <f t="shared" si="96"/>
        <v>81</v>
      </c>
      <c r="F194" s="39">
        <f t="shared" si="96"/>
        <v>190</v>
      </c>
      <c r="G194" s="50">
        <f t="shared" si="96"/>
        <v>1149</v>
      </c>
      <c r="H194" s="44">
        <f t="shared" si="96"/>
        <v>3</v>
      </c>
      <c r="I194" s="39">
        <f t="shared" si="96"/>
        <v>0</v>
      </c>
      <c r="J194" s="39">
        <f t="shared" si="96"/>
        <v>0</v>
      </c>
      <c r="K194" s="45">
        <f t="shared" si="96"/>
        <v>0</v>
      </c>
      <c r="L194" s="144">
        <f t="shared" si="96"/>
        <v>0</v>
      </c>
      <c r="M194" s="50">
        <f t="shared" si="96"/>
        <v>3</v>
      </c>
      <c r="N194" s="40">
        <f t="shared" si="80"/>
        <v>1152</v>
      </c>
      <c r="O194" s="43">
        <f t="shared" si="81"/>
        <v>1926.5</v>
      </c>
    </row>
    <row r="195" spans="1:15" ht="22.95" customHeight="1" x14ac:dyDescent="0.3">
      <c r="A195" s="52" t="s">
        <v>261</v>
      </c>
      <c r="B195" s="44">
        <f t="shared" ref="B195:M195" si="97">B89+B90+B91+B92</f>
        <v>526</v>
      </c>
      <c r="C195" s="39">
        <f t="shared" si="97"/>
        <v>282</v>
      </c>
      <c r="D195" s="39">
        <f t="shared" si="97"/>
        <v>132</v>
      </c>
      <c r="E195" s="39">
        <f t="shared" si="97"/>
        <v>85</v>
      </c>
      <c r="F195" s="39">
        <f t="shared" si="97"/>
        <v>190</v>
      </c>
      <c r="G195" s="50">
        <f t="shared" si="97"/>
        <v>1215</v>
      </c>
      <c r="H195" s="44">
        <f t="shared" si="97"/>
        <v>3</v>
      </c>
      <c r="I195" s="39">
        <f t="shared" si="97"/>
        <v>0</v>
      </c>
      <c r="J195" s="39">
        <f t="shared" si="97"/>
        <v>0</v>
      </c>
      <c r="K195" s="45">
        <f t="shared" si="97"/>
        <v>0</v>
      </c>
      <c r="L195" s="144">
        <f t="shared" si="97"/>
        <v>1</v>
      </c>
      <c r="M195" s="50">
        <f t="shared" si="97"/>
        <v>4</v>
      </c>
      <c r="N195" s="40">
        <f t="shared" si="80"/>
        <v>1219</v>
      </c>
      <c r="O195" s="43">
        <f t="shared" si="81"/>
        <v>1984.5</v>
      </c>
    </row>
    <row r="196" spans="1:15" ht="22.95" customHeight="1" x14ac:dyDescent="0.3">
      <c r="A196" s="52" t="s">
        <v>270</v>
      </c>
      <c r="B196" s="44">
        <f t="shared" ref="B196:M196" si="98">B90+B91+B92+B93</f>
        <v>542</v>
      </c>
      <c r="C196" s="39">
        <f t="shared" si="98"/>
        <v>350</v>
      </c>
      <c r="D196" s="39">
        <f t="shared" si="98"/>
        <v>140</v>
      </c>
      <c r="E196" s="39">
        <f t="shared" si="98"/>
        <v>78</v>
      </c>
      <c r="F196" s="39">
        <f t="shared" si="98"/>
        <v>211</v>
      </c>
      <c r="G196" s="50">
        <f t="shared" si="98"/>
        <v>1321</v>
      </c>
      <c r="H196" s="44">
        <f t="shared" si="98"/>
        <v>3</v>
      </c>
      <c r="I196" s="39">
        <f t="shared" si="98"/>
        <v>0</v>
      </c>
      <c r="J196" s="39">
        <f t="shared" si="98"/>
        <v>0</v>
      </c>
      <c r="K196" s="45">
        <f t="shared" si="98"/>
        <v>0</v>
      </c>
      <c r="L196" s="144">
        <f t="shared" si="98"/>
        <v>1</v>
      </c>
      <c r="M196" s="50">
        <f t="shared" si="98"/>
        <v>4</v>
      </c>
      <c r="N196" s="40">
        <f t="shared" si="80"/>
        <v>1325</v>
      </c>
      <c r="O196" s="43">
        <f t="shared" si="81"/>
        <v>2120</v>
      </c>
    </row>
    <row r="197" spans="1:15" ht="22.95" customHeight="1" x14ac:dyDescent="0.3">
      <c r="A197" s="52" t="s">
        <v>271</v>
      </c>
      <c r="B197" s="44">
        <f t="shared" ref="B197:M197" si="99">B91+B92+B93+B94</f>
        <v>689</v>
      </c>
      <c r="C197" s="39">
        <f t="shared" si="99"/>
        <v>480</v>
      </c>
      <c r="D197" s="39">
        <f t="shared" si="99"/>
        <v>136</v>
      </c>
      <c r="E197" s="39">
        <f t="shared" si="99"/>
        <v>92</v>
      </c>
      <c r="F197" s="39">
        <f t="shared" si="99"/>
        <v>234</v>
      </c>
      <c r="G197" s="50">
        <f t="shared" si="99"/>
        <v>1631</v>
      </c>
      <c r="H197" s="44">
        <f t="shared" si="99"/>
        <v>5</v>
      </c>
      <c r="I197" s="39">
        <f t="shared" si="99"/>
        <v>0</v>
      </c>
      <c r="J197" s="39">
        <f t="shared" si="99"/>
        <v>0</v>
      </c>
      <c r="K197" s="45">
        <f t="shared" si="99"/>
        <v>0</v>
      </c>
      <c r="L197" s="144">
        <f t="shared" si="99"/>
        <v>3</v>
      </c>
      <c r="M197" s="50">
        <f t="shared" si="99"/>
        <v>8</v>
      </c>
      <c r="N197" s="40">
        <f t="shared" si="80"/>
        <v>1639</v>
      </c>
      <c r="O197" s="43">
        <f t="shared" si="81"/>
        <v>2488.5</v>
      </c>
    </row>
    <row r="198" spans="1:15" ht="22.95" customHeight="1" x14ac:dyDescent="0.3">
      <c r="A198" s="52" t="s">
        <v>279</v>
      </c>
      <c r="B198" s="44">
        <f t="shared" ref="B198:M198" si="100">B92+B93+B94+B95</f>
        <v>925</v>
      </c>
      <c r="C198" s="39">
        <f t="shared" si="100"/>
        <v>665</v>
      </c>
      <c r="D198" s="39">
        <f t="shared" si="100"/>
        <v>145</v>
      </c>
      <c r="E198" s="39">
        <f t="shared" si="100"/>
        <v>96</v>
      </c>
      <c r="F198" s="39">
        <f t="shared" si="100"/>
        <v>267</v>
      </c>
      <c r="G198" s="50">
        <f t="shared" si="100"/>
        <v>2098</v>
      </c>
      <c r="H198" s="44">
        <f t="shared" si="100"/>
        <v>5</v>
      </c>
      <c r="I198" s="39">
        <f t="shared" si="100"/>
        <v>0</v>
      </c>
      <c r="J198" s="39">
        <f t="shared" si="100"/>
        <v>0</v>
      </c>
      <c r="K198" s="45">
        <f t="shared" si="100"/>
        <v>0</v>
      </c>
      <c r="L198" s="144">
        <f t="shared" si="100"/>
        <v>7</v>
      </c>
      <c r="M198" s="50">
        <f t="shared" si="100"/>
        <v>12</v>
      </c>
      <c r="N198" s="40">
        <f t="shared" si="80"/>
        <v>2110</v>
      </c>
      <c r="O198" s="43">
        <f t="shared" si="81"/>
        <v>3023</v>
      </c>
    </row>
    <row r="199" spans="1:15" ht="22.95" customHeight="1" x14ac:dyDescent="0.3">
      <c r="A199" s="52" t="s">
        <v>62</v>
      </c>
      <c r="B199" s="44">
        <f t="shared" ref="B199:M199" si="101">B93+B94+B95+B96</f>
        <v>1131</v>
      </c>
      <c r="C199" s="39">
        <f t="shared" si="101"/>
        <v>918</v>
      </c>
      <c r="D199" s="39">
        <f t="shared" si="101"/>
        <v>156</v>
      </c>
      <c r="E199" s="39">
        <f t="shared" si="101"/>
        <v>104</v>
      </c>
      <c r="F199" s="39">
        <f t="shared" si="101"/>
        <v>287</v>
      </c>
      <c r="G199" s="50">
        <f t="shared" si="101"/>
        <v>2596</v>
      </c>
      <c r="H199" s="44">
        <f t="shared" si="101"/>
        <v>5</v>
      </c>
      <c r="I199" s="39">
        <f t="shared" si="101"/>
        <v>0</v>
      </c>
      <c r="J199" s="39">
        <f t="shared" si="101"/>
        <v>0</v>
      </c>
      <c r="K199" s="45">
        <f t="shared" si="101"/>
        <v>0</v>
      </c>
      <c r="L199" s="144">
        <f t="shared" si="101"/>
        <v>9</v>
      </c>
      <c r="M199" s="50">
        <f t="shared" si="101"/>
        <v>14</v>
      </c>
      <c r="N199" s="40">
        <f t="shared" si="80"/>
        <v>2610</v>
      </c>
      <c r="O199" s="43">
        <f t="shared" si="81"/>
        <v>3502</v>
      </c>
    </row>
    <row r="200" spans="1:15" ht="22.95" customHeight="1" x14ac:dyDescent="0.3">
      <c r="A200" s="52" t="s">
        <v>63</v>
      </c>
      <c r="B200" s="44">
        <f t="shared" ref="B200:M200" si="102">B94+B95+B96+B97</f>
        <v>1424</v>
      </c>
      <c r="C200" s="39">
        <f t="shared" si="102"/>
        <v>1212</v>
      </c>
      <c r="D200" s="39">
        <f t="shared" si="102"/>
        <v>145</v>
      </c>
      <c r="E200" s="39">
        <f t="shared" si="102"/>
        <v>118</v>
      </c>
      <c r="F200" s="39">
        <f t="shared" si="102"/>
        <v>282</v>
      </c>
      <c r="G200" s="50">
        <f t="shared" si="102"/>
        <v>3181</v>
      </c>
      <c r="H200" s="44">
        <f t="shared" si="102"/>
        <v>7</v>
      </c>
      <c r="I200" s="39">
        <f t="shared" si="102"/>
        <v>0</v>
      </c>
      <c r="J200" s="39">
        <f t="shared" si="102"/>
        <v>0</v>
      </c>
      <c r="K200" s="45">
        <f t="shared" si="102"/>
        <v>0</v>
      </c>
      <c r="L200" s="144">
        <f t="shared" si="102"/>
        <v>13</v>
      </c>
      <c r="M200" s="50">
        <f t="shared" si="102"/>
        <v>20</v>
      </c>
      <c r="N200" s="40">
        <f t="shared" si="80"/>
        <v>3201</v>
      </c>
      <c r="O200" s="43">
        <f t="shared" si="81"/>
        <v>3978</v>
      </c>
    </row>
    <row r="201" spans="1:15" ht="22.95" customHeight="1" x14ac:dyDescent="0.3">
      <c r="A201" s="52" t="s">
        <v>64</v>
      </c>
      <c r="B201" s="44">
        <f t="shared" ref="B201:M201" si="103">B95+B96+B97+B98</f>
        <v>1722</v>
      </c>
      <c r="C201" s="39">
        <f t="shared" si="103"/>
        <v>1536</v>
      </c>
      <c r="D201" s="39">
        <f t="shared" si="103"/>
        <v>147</v>
      </c>
      <c r="E201" s="39">
        <f t="shared" si="103"/>
        <v>118</v>
      </c>
      <c r="F201" s="39">
        <f t="shared" si="103"/>
        <v>281</v>
      </c>
      <c r="G201" s="50">
        <f t="shared" si="103"/>
        <v>3804</v>
      </c>
      <c r="H201" s="44">
        <f t="shared" si="103"/>
        <v>9</v>
      </c>
      <c r="I201" s="39">
        <f t="shared" si="103"/>
        <v>0</v>
      </c>
      <c r="J201" s="39">
        <f t="shared" si="103"/>
        <v>0</v>
      </c>
      <c r="K201" s="45">
        <f t="shared" si="103"/>
        <v>0</v>
      </c>
      <c r="L201" s="144">
        <f t="shared" si="103"/>
        <v>17</v>
      </c>
      <c r="M201" s="50">
        <f t="shared" si="103"/>
        <v>26</v>
      </c>
      <c r="N201" s="40">
        <f t="shared" si="80"/>
        <v>3830</v>
      </c>
      <c r="O201" s="43">
        <f t="shared" si="81"/>
        <v>4469.5</v>
      </c>
    </row>
    <row r="202" spans="1:15" ht="22.95" customHeight="1" x14ac:dyDescent="0.3">
      <c r="A202" s="52" t="s">
        <v>65</v>
      </c>
      <c r="B202" s="44">
        <f t="shared" ref="B202:M202" si="104">B96+B97+B98+B99</f>
        <v>1980</v>
      </c>
      <c r="C202" s="39">
        <f t="shared" si="104"/>
        <v>1863</v>
      </c>
      <c r="D202" s="39">
        <f t="shared" si="104"/>
        <v>153</v>
      </c>
      <c r="E202" s="39">
        <f t="shared" si="104"/>
        <v>131</v>
      </c>
      <c r="F202" s="39">
        <f t="shared" si="104"/>
        <v>266</v>
      </c>
      <c r="G202" s="50">
        <f t="shared" si="104"/>
        <v>4393</v>
      </c>
      <c r="H202" s="44">
        <f t="shared" si="104"/>
        <v>10</v>
      </c>
      <c r="I202" s="39">
        <f t="shared" si="104"/>
        <v>0</v>
      </c>
      <c r="J202" s="39">
        <f t="shared" si="104"/>
        <v>0</v>
      </c>
      <c r="K202" s="45">
        <f t="shared" si="104"/>
        <v>0</v>
      </c>
      <c r="L202" s="144">
        <f t="shared" si="104"/>
        <v>19</v>
      </c>
      <c r="M202" s="50">
        <f t="shared" si="104"/>
        <v>29</v>
      </c>
      <c r="N202" s="40">
        <f t="shared" si="80"/>
        <v>4422</v>
      </c>
      <c r="O202" s="43">
        <f t="shared" si="81"/>
        <v>4888</v>
      </c>
    </row>
    <row r="203" spans="1:15" ht="22.95" customHeight="1" x14ac:dyDescent="0.3">
      <c r="A203" s="52" t="s">
        <v>66</v>
      </c>
      <c r="B203" s="44">
        <f t="shared" ref="B203:M203" si="105">B97+B98+B99+B100</f>
        <v>2325</v>
      </c>
      <c r="C203" s="39">
        <f t="shared" si="105"/>
        <v>2169</v>
      </c>
      <c r="D203" s="39">
        <f t="shared" si="105"/>
        <v>163</v>
      </c>
      <c r="E203" s="39">
        <f t="shared" si="105"/>
        <v>152</v>
      </c>
      <c r="F203" s="39">
        <f t="shared" si="105"/>
        <v>261</v>
      </c>
      <c r="G203" s="50">
        <f t="shared" si="105"/>
        <v>5070</v>
      </c>
      <c r="H203" s="44">
        <f t="shared" si="105"/>
        <v>14</v>
      </c>
      <c r="I203" s="39">
        <f t="shared" si="105"/>
        <v>0</v>
      </c>
      <c r="J203" s="39">
        <f t="shared" si="105"/>
        <v>0</v>
      </c>
      <c r="K203" s="45">
        <f t="shared" si="105"/>
        <v>0</v>
      </c>
      <c r="L203" s="144">
        <f t="shared" si="105"/>
        <v>30</v>
      </c>
      <c r="M203" s="50">
        <f t="shared" si="105"/>
        <v>44</v>
      </c>
      <c r="N203" s="40">
        <f t="shared" si="80"/>
        <v>5114</v>
      </c>
      <c r="O203" s="43">
        <f t="shared" si="81"/>
        <v>5531.5</v>
      </c>
    </row>
    <row r="204" spans="1:15" ht="22.95" customHeight="1" x14ac:dyDescent="0.3">
      <c r="A204" s="52" t="s">
        <v>67</v>
      </c>
      <c r="B204" s="44">
        <f t="shared" ref="B204:M204" si="106">B98+B99+B100+B101</f>
        <v>2741</v>
      </c>
      <c r="C204" s="39">
        <f t="shared" si="106"/>
        <v>2479</v>
      </c>
      <c r="D204" s="39">
        <f t="shared" si="106"/>
        <v>185</v>
      </c>
      <c r="E204" s="39">
        <f t="shared" si="106"/>
        <v>175</v>
      </c>
      <c r="F204" s="39">
        <f t="shared" si="106"/>
        <v>276</v>
      </c>
      <c r="G204" s="50">
        <f t="shared" si="106"/>
        <v>5856</v>
      </c>
      <c r="H204" s="44">
        <f t="shared" si="106"/>
        <v>17</v>
      </c>
      <c r="I204" s="39">
        <f t="shared" si="106"/>
        <v>0</v>
      </c>
      <c r="J204" s="39">
        <f t="shared" si="106"/>
        <v>0</v>
      </c>
      <c r="K204" s="45">
        <f t="shared" si="106"/>
        <v>0</v>
      </c>
      <c r="L204" s="144">
        <f t="shared" si="106"/>
        <v>36</v>
      </c>
      <c r="M204" s="50">
        <f t="shared" si="106"/>
        <v>53</v>
      </c>
      <c r="N204" s="40">
        <f t="shared" si="80"/>
        <v>5909</v>
      </c>
      <c r="O204" s="43">
        <f t="shared" si="81"/>
        <v>6321.5</v>
      </c>
    </row>
    <row r="205" spans="1:15" ht="22.95" customHeight="1" x14ac:dyDescent="0.3">
      <c r="A205" s="52" t="s">
        <v>68</v>
      </c>
      <c r="B205" s="44">
        <f t="shared" ref="B205:M205" si="107">B99+B100+B101+B102</f>
        <v>3016</v>
      </c>
      <c r="C205" s="39">
        <f t="shared" si="107"/>
        <v>2801</v>
      </c>
      <c r="D205" s="39">
        <f t="shared" si="107"/>
        <v>187</v>
      </c>
      <c r="E205" s="39">
        <f t="shared" si="107"/>
        <v>197</v>
      </c>
      <c r="F205" s="39">
        <f t="shared" si="107"/>
        <v>280</v>
      </c>
      <c r="G205" s="50">
        <f t="shared" si="107"/>
        <v>6481</v>
      </c>
      <c r="H205" s="44">
        <f t="shared" si="107"/>
        <v>20</v>
      </c>
      <c r="I205" s="39">
        <f t="shared" si="107"/>
        <v>0</v>
      </c>
      <c r="J205" s="39">
        <f t="shared" si="107"/>
        <v>0</v>
      </c>
      <c r="K205" s="45">
        <f t="shared" si="107"/>
        <v>0</v>
      </c>
      <c r="L205" s="144">
        <f t="shared" si="107"/>
        <v>48</v>
      </c>
      <c r="M205" s="50">
        <f t="shared" si="107"/>
        <v>68</v>
      </c>
      <c r="N205" s="40">
        <f t="shared" si="80"/>
        <v>6549</v>
      </c>
      <c r="O205" s="43">
        <f t="shared" si="81"/>
        <v>6942</v>
      </c>
    </row>
    <row r="206" spans="1:15" ht="22.95" customHeight="1" thickBot="1" x14ac:dyDescent="0.35">
      <c r="A206" s="52" t="s">
        <v>69</v>
      </c>
      <c r="B206" s="46">
        <f t="shared" ref="B206:M206" si="108">B100+B101+B102+B103</f>
        <v>3344</v>
      </c>
      <c r="C206" s="47">
        <f t="shared" si="108"/>
        <v>3155</v>
      </c>
      <c r="D206" s="47">
        <f t="shared" si="108"/>
        <v>204</v>
      </c>
      <c r="E206" s="47">
        <f t="shared" si="108"/>
        <v>204</v>
      </c>
      <c r="F206" s="47">
        <f t="shared" si="108"/>
        <v>281</v>
      </c>
      <c r="G206" s="50">
        <f t="shared" si="108"/>
        <v>7188</v>
      </c>
      <c r="H206" s="44">
        <f t="shared" si="108"/>
        <v>27</v>
      </c>
      <c r="I206" s="39">
        <f t="shared" si="108"/>
        <v>0</v>
      </c>
      <c r="J206" s="39">
        <f t="shared" si="108"/>
        <v>0</v>
      </c>
      <c r="K206" s="45">
        <f t="shared" si="108"/>
        <v>0</v>
      </c>
      <c r="L206" s="145">
        <f t="shared" si="108"/>
        <v>54</v>
      </c>
      <c r="M206" s="50">
        <f t="shared" si="108"/>
        <v>81</v>
      </c>
      <c r="N206" s="40">
        <f t="shared" si="80"/>
        <v>7269</v>
      </c>
      <c r="O206" s="43">
        <f t="shared" si="81"/>
        <v>7549.5</v>
      </c>
    </row>
  </sheetData>
  <mergeCells count="31">
    <mergeCell ref="N6:N7"/>
    <mergeCell ref="O6:O7"/>
    <mergeCell ref="D112:D113"/>
    <mergeCell ref="E112:E113"/>
    <mergeCell ref="G112:G113"/>
    <mergeCell ref="J112:J113"/>
    <mergeCell ref="K112:K113"/>
    <mergeCell ref="M112:M113"/>
    <mergeCell ref="N112:N113"/>
    <mergeCell ref="O112:O113"/>
    <mergeCell ref="J6:J7"/>
    <mergeCell ref="L112:L113"/>
    <mergeCell ref="F112:F113"/>
    <mergeCell ref="H112:H113"/>
    <mergeCell ref="I112:I113"/>
    <mergeCell ref="A1:G1"/>
    <mergeCell ref="A6:A7"/>
    <mergeCell ref="M6:M7"/>
    <mergeCell ref="H6:H7"/>
    <mergeCell ref="I6:I7"/>
    <mergeCell ref="K6:K7"/>
    <mergeCell ref="G6:G7"/>
    <mergeCell ref="L6:L7"/>
    <mergeCell ref="D6:D7"/>
    <mergeCell ref="E6:E7"/>
    <mergeCell ref="F6:F7"/>
    <mergeCell ref="A112:A113"/>
    <mergeCell ref="C6:C7"/>
    <mergeCell ref="C112:C113"/>
    <mergeCell ref="B6:B7"/>
    <mergeCell ref="B112:B113"/>
  </mergeCells>
  <pageMargins left="0.7" right="0.7" top="0.75" bottom="0.75" header="0.3" footer="0.3"/>
  <pageSetup paperSize="9" scale="28" orientation="portrait" r:id="rId1"/>
  <rowBreaks count="1" manualBreakCount="1">
    <brk id="106" max="16383" man="1"/>
  </row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30"/>
  <dimension ref="A1:Q26"/>
  <sheetViews>
    <sheetView view="pageBreakPreview" topLeftCell="A2" zoomScale="80" zoomScaleNormal="75" zoomScaleSheetLayoutView="80" workbookViewId="0">
      <selection activeCell="D20" sqref="D20:Q23"/>
    </sheetView>
  </sheetViews>
  <sheetFormatPr defaultColWidth="9" defaultRowHeight="13.2" x14ac:dyDescent="0.25"/>
  <cols>
    <col min="1" max="1" width="8.09765625" style="26" customWidth="1"/>
    <col min="2" max="2" width="11.5" style="26" customWidth="1"/>
    <col min="3" max="3" width="21" style="26" customWidth="1"/>
    <col min="4" max="4" width="9.3984375" style="26" bestFit="1" customWidth="1"/>
    <col min="5" max="5" width="7.8984375" style="26" customWidth="1"/>
    <col min="6" max="6" width="9.3984375" style="26" bestFit="1" customWidth="1"/>
    <col min="7" max="7" width="7.5" style="26" customWidth="1"/>
    <col min="8" max="8" width="7.59765625" style="26" customWidth="1"/>
    <col min="9" max="9" width="9.3984375" style="26" bestFit="1" customWidth="1"/>
    <col min="10" max="16384" width="9" style="26"/>
  </cols>
  <sheetData>
    <row r="1" spans="1:17" ht="15.75" customHeight="1" x14ac:dyDescent="0.25">
      <c r="A1" s="278" t="s">
        <v>99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</row>
    <row r="2" spans="1:17" ht="11.25" customHeight="1" thickBot="1" x14ac:dyDescent="0.3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</row>
    <row r="3" spans="1:17" s="27" customFormat="1" ht="13.5" customHeight="1" x14ac:dyDescent="0.25">
      <c r="A3" s="289" t="s">
        <v>93</v>
      </c>
      <c r="B3" s="283" t="s">
        <v>61</v>
      </c>
      <c r="C3" s="284"/>
      <c r="D3" s="258" t="s">
        <v>280</v>
      </c>
      <c r="E3" s="254" t="s">
        <v>281</v>
      </c>
      <c r="F3" s="250" t="s">
        <v>282</v>
      </c>
      <c r="G3" s="260" t="s">
        <v>283</v>
      </c>
      <c r="H3" s="256" t="s">
        <v>284</v>
      </c>
      <c r="I3" s="250" t="s">
        <v>129</v>
      </c>
      <c r="J3" s="248" t="s">
        <v>150</v>
      </c>
      <c r="K3" s="250" t="s">
        <v>151</v>
      </c>
      <c r="L3" s="250" t="s">
        <v>285</v>
      </c>
      <c r="M3" s="248" t="s">
        <v>286</v>
      </c>
      <c r="N3" s="250" t="s">
        <v>287</v>
      </c>
      <c r="O3" s="250" t="s">
        <v>78</v>
      </c>
      <c r="P3" s="250" t="s">
        <v>131</v>
      </c>
      <c r="Q3" s="250" t="s">
        <v>132</v>
      </c>
    </row>
    <row r="4" spans="1:17" s="27" customFormat="1" ht="33" customHeight="1" thickBot="1" x14ac:dyDescent="0.3">
      <c r="A4" s="290"/>
      <c r="B4" s="285"/>
      <c r="C4" s="286"/>
      <c r="D4" s="259"/>
      <c r="E4" s="255"/>
      <c r="F4" s="251"/>
      <c r="G4" s="261"/>
      <c r="H4" s="257"/>
      <c r="I4" s="259"/>
      <c r="J4" s="249"/>
      <c r="K4" s="251"/>
      <c r="L4" s="251"/>
      <c r="M4" s="249"/>
      <c r="N4" s="251"/>
      <c r="O4" s="251"/>
      <c r="P4" s="251"/>
      <c r="Q4" s="251"/>
    </row>
    <row r="5" spans="1:17" ht="16.8" customHeight="1" thickBot="1" x14ac:dyDescent="0.35">
      <c r="A5" s="279">
        <v>1</v>
      </c>
      <c r="B5" s="287" t="str">
        <f>+Summary!B2</f>
        <v>TMC-14 Number (D2)</v>
      </c>
      <c r="C5" s="288"/>
      <c r="D5" s="58"/>
      <c r="E5" s="59"/>
      <c r="F5" s="59"/>
      <c r="G5" s="59"/>
      <c r="H5" s="59"/>
      <c r="I5" s="59"/>
    </row>
    <row r="6" spans="1:17" ht="16.5" customHeight="1" thickBot="1" x14ac:dyDescent="0.3">
      <c r="A6" s="280"/>
      <c r="B6" s="282" t="s">
        <v>288</v>
      </c>
      <c r="C6" s="55" t="str">
        <f>Summary!A6</f>
        <v>Nindar</v>
      </c>
      <c r="D6" s="56">
        <f>+IN_1!B104</f>
        <v>16454</v>
      </c>
      <c r="E6" s="56">
        <f>+IN_1!C104</f>
        <v>10899</v>
      </c>
      <c r="F6" s="56">
        <f>+IN_1!D104</f>
        <v>776</v>
      </c>
      <c r="G6" s="56">
        <f>+IN_1!E104</f>
        <v>768</v>
      </c>
      <c r="H6" s="56">
        <f>+IN_1!F104</f>
        <v>761</v>
      </c>
      <c r="I6" s="56">
        <f>+IN_1!G104</f>
        <v>29658</v>
      </c>
      <c r="J6" s="155">
        <f>+IN_1!H104</f>
        <v>24</v>
      </c>
      <c r="K6" s="155">
        <f>+IN_1!I104</f>
        <v>1</v>
      </c>
      <c r="L6" s="155">
        <f>+IN_1!J104</f>
        <v>0</v>
      </c>
      <c r="M6" s="155">
        <f>+IN_1!K104</f>
        <v>0</v>
      </c>
      <c r="N6" s="155">
        <f>+IN_1!L104</f>
        <v>100</v>
      </c>
      <c r="O6" s="155">
        <f>+IN_1!M104</f>
        <v>125</v>
      </c>
      <c r="P6" s="155">
        <f>+IN_1!N104</f>
        <v>29783</v>
      </c>
      <c r="Q6" s="156">
        <f>+IN_1!O104</f>
        <v>29609.5</v>
      </c>
    </row>
    <row r="7" spans="1:17" ht="16.5" customHeight="1" thickBot="1" x14ac:dyDescent="0.3">
      <c r="A7" s="280"/>
      <c r="B7" s="276"/>
      <c r="C7" s="55" t="str">
        <f>Summary!A7</f>
        <v>Delhi</v>
      </c>
      <c r="D7" s="56">
        <f>+IN_2!B104</f>
        <v>11918</v>
      </c>
      <c r="E7" s="56">
        <f>+IN_2!C104</f>
        <v>6778</v>
      </c>
      <c r="F7" s="56">
        <f>+IN_2!D104</f>
        <v>1988</v>
      </c>
      <c r="G7" s="56">
        <f>+IN_2!E104</f>
        <v>631</v>
      </c>
      <c r="H7" s="56">
        <f>+IN_2!F104</f>
        <v>3086</v>
      </c>
      <c r="I7" s="56">
        <f>+IN_2!G104</f>
        <v>24401</v>
      </c>
      <c r="J7" s="56">
        <f>+IN_2!H104</f>
        <v>9</v>
      </c>
      <c r="K7" s="56">
        <f>+IN_2!I104</f>
        <v>0</v>
      </c>
      <c r="L7" s="56">
        <f>+IN_2!J104</f>
        <v>0</v>
      </c>
      <c r="M7" s="56">
        <f>+IN_2!K104</f>
        <v>1</v>
      </c>
      <c r="N7" s="56">
        <f>+IN_2!L104</f>
        <v>106</v>
      </c>
      <c r="O7" s="56">
        <f>+IN_2!M104</f>
        <v>116</v>
      </c>
      <c r="P7" s="56">
        <f>+IN_2!N104</f>
        <v>24517</v>
      </c>
      <c r="Q7" s="56">
        <f>+IN_2!O104</f>
        <v>34925.5</v>
      </c>
    </row>
    <row r="8" spans="1:17" ht="16.5" customHeight="1" thickBot="1" x14ac:dyDescent="0.3">
      <c r="A8" s="280"/>
      <c r="B8" s="276"/>
      <c r="C8" s="55" t="str">
        <f>Summary!A8</f>
        <v>Chomu Pulia</v>
      </c>
      <c r="D8" s="56">
        <f>+IN_3!B104</f>
        <v>19384</v>
      </c>
      <c r="E8" s="56">
        <f>+IN_3!C104</f>
        <v>14073</v>
      </c>
      <c r="F8" s="56">
        <f>+IN_3!D104</f>
        <v>1049</v>
      </c>
      <c r="G8" s="56">
        <f>+IN_3!E104</f>
        <v>1210</v>
      </c>
      <c r="H8" s="56">
        <f>+IN_3!F104</f>
        <v>632</v>
      </c>
      <c r="I8" s="56">
        <f>+IN_3!G104</f>
        <v>36348</v>
      </c>
      <c r="J8" s="56">
        <f>+IN_3!H104</f>
        <v>10</v>
      </c>
      <c r="K8" s="56">
        <f>+IN_3!I104</f>
        <v>1</v>
      </c>
      <c r="L8" s="56">
        <f>+IN_3!J104</f>
        <v>0</v>
      </c>
      <c r="M8" s="56">
        <f>+IN_3!K104</f>
        <v>0</v>
      </c>
      <c r="N8" s="56">
        <f>+IN_3!L104</f>
        <v>383</v>
      </c>
      <c r="O8" s="56">
        <f>+IN_3!M104</f>
        <v>394</v>
      </c>
      <c r="P8" s="56">
        <f>+IN_3!N104</f>
        <v>36742</v>
      </c>
      <c r="Q8" s="56">
        <f>+IN_3!O104</f>
        <v>37538.5</v>
      </c>
    </row>
    <row r="9" spans="1:17" ht="16.5" customHeight="1" thickBot="1" x14ac:dyDescent="0.3">
      <c r="A9" s="280"/>
      <c r="B9" s="276"/>
      <c r="C9" s="55" t="str">
        <f>Summary!A9</f>
        <v>Mansarover</v>
      </c>
      <c r="D9" s="56">
        <f>+IN_4!B104</f>
        <v>23678</v>
      </c>
      <c r="E9" s="56">
        <f>+IN_4!C104</f>
        <v>12948</v>
      </c>
      <c r="F9" s="56">
        <f>+IN_4!D104</f>
        <v>2160</v>
      </c>
      <c r="G9" s="56">
        <f>+IN_4!E104</f>
        <v>1218</v>
      </c>
      <c r="H9" s="56">
        <f>+IN_4!F104</f>
        <v>3703</v>
      </c>
      <c r="I9" s="56">
        <f>+IN_4!G104</f>
        <v>43707</v>
      </c>
      <c r="J9" s="56">
        <f>+IN_4!H104</f>
        <v>85</v>
      </c>
      <c r="K9" s="56">
        <f>+IN_4!I104</f>
        <v>0</v>
      </c>
      <c r="L9" s="56">
        <f>+IN_4!J104</f>
        <v>12</v>
      </c>
      <c r="M9" s="56">
        <f>+IN_4!K104</f>
        <v>0</v>
      </c>
      <c r="N9" s="56">
        <f>+IN_4!L104</f>
        <v>248</v>
      </c>
      <c r="O9" s="56">
        <f>+IN_4!M104</f>
        <v>345</v>
      </c>
      <c r="P9" s="56">
        <f>+IN_4!N104</f>
        <v>44052</v>
      </c>
      <c r="Q9" s="56">
        <f>+IN_4!O104</f>
        <v>55772</v>
      </c>
    </row>
    <row r="10" spans="1:17" ht="16.5" customHeight="1" thickBot="1" x14ac:dyDescent="0.3">
      <c r="A10" s="280"/>
      <c r="B10" s="276"/>
      <c r="C10" s="60"/>
      <c r="D10" s="102"/>
      <c r="E10" s="102"/>
      <c r="F10" s="102"/>
      <c r="G10" s="102"/>
      <c r="H10" s="102"/>
      <c r="I10" s="102"/>
      <c r="J10" s="102"/>
      <c r="K10" s="102"/>
    </row>
    <row r="11" spans="1:17" ht="16.5" customHeight="1" thickBot="1" x14ac:dyDescent="0.3">
      <c r="A11" s="280"/>
      <c r="B11" s="276"/>
      <c r="C11" s="55" t="s">
        <v>94</v>
      </c>
      <c r="D11" s="103">
        <f>SUM(D6:D9)</f>
        <v>71434</v>
      </c>
      <c r="E11" s="103">
        <f t="shared" ref="E11:Q11" si="0">SUM(E6:E9)</f>
        <v>44698</v>
      </c>
      <c r="F11" s="103">
        <f t="shared" si="0"/>
        <v>5973</v>
      </c>
      <c r="G11" s="103">
        <f t="shared" si="0"/>
        <v>3827</v>
      </c>
      <c r="H11" s="103">
        <f t="shared" si="0"/>
        <v>8182</v>
      </c>
      <c r="I11" s="103">
        <f t="shared" si="0"/>
        <v>134114</v>
      </c>
      <c r="J11" s="103">
        <f t="shared" si="0"/>
        <v>128</v>
      </c>
      <c r="K11" s="103">
        <f t="shared" si="0"/>
        <v>2</v>
      </c>
      <c r="L11" s="103">
        <f t="shared" si="0"/>
        <v>12</v>
      </c>
      <c r="M11" s="103">
        <f t="shared" si="0"/>
        <v>1</v>
      </c>
      <c r="N11" s="103">
        <f t="shared" si="0"/>
        <v>837</v>
      </c>
      <c r="O11" s="103">
        <f t="shared" si="0"/>
        <v>980</v>
      </c>
      <c r="P11" s="103">
        <f t="shared" si="0"/>
        <v>135094</v>
      </c>
      <c r="Q11" s="103">
        <f t="shared" si="0"/>
        <v>157845.5</v>
      </c>
    </row>
    <row r="12" spans="1:17" ht="16.5" customHeight="1" thickBot="1" x14ac:dyDescent="0.3">
      <c r="A12" s="280"/>
      <c r="B12" s="277"/>
      <c r="C12" s="61" t="s">
        <v>92</v>
      </c>
      <c r="D12" s="57">
        <f>D11/$P11*100</f>
        <v>52.877255836676682</v>
      </c>
      <c r="E12" s="57">
        <f t="shared" ref="E12:P12" si="1">E11/$P11*100</f>
        <v>33.086591558470396</v>
      </c>
      <c r="F12" s="57">
        <f t="shared" si="1"/>
        <v>4.4213658637689317</v>
      </c>
      <c r="G12" s="57">
        <f t="shared" si="1"/>
        <v>2.8328423172013562</v>
      </c>
      <c r="H12" s="57">
        <f t="shared" si="1"/>
        <v>6.0565236057856016</v>
      </c>
      <c r="I12" s="57">
        <f t="shared" si="1"/>
        <v>99.274579181902965</v>
      </c>
      <c r="J12" s="57">
        <f t="shared" si="1"/>
        <v>9.4748841547367013E-2</v>
      </c>
      <c r="K12" s="57">
        <f t="shared" si="1"/>
        <v>1.4804506491776096E-3</v>
      </c>
      <c r="L12" s="57">
        <f t="shared" si="1"/>
        <v>8.8827038950656575E-3</v>
      </c>
      <c r="M12" s="57">
        <f t="shared" si="1"/>
        <v>7.4022532458880479E-4</v>
      </c>
      <c r="N12" s="57">
        <f t="shared" si="1"/>
        <v>0.61956859668082964</v>
      </c>
      <c r="O12" s="57">
        <f t="shared" si="1"/>
        <v>0.72542081809702874</v>
      </c>
      <c r="P12" s="57">
        <f t="shared" si="1"/>
        <v>100</v>
      </c>
      <c r="Q12" s="104"/>
    </row>
    <row r="13" spans="1:17" ht="15" customHeight="1" thickBot="1" x14ac:dyDescent="0.3">
      <c r="A13" s="280"/>
      <c r="B13" s="282" t="s">
        <v>289</v>
      </c>
      <c r="C13" s="55" t="str">
        <f>C6</f>
        <v>Nindar</v>
      </c>
      <c r="D13" s="56">
        <f>IN_1!B120</f>
        <v>1348</v>
      </c>
      <c r="E13" s="56">
        <f>IN_1!C120</f>
        <v>1227</v>
      </c>
      <c r="F13" s="56">
        <f>IN_1!D120</f>
        <v>49</v>
      </c>
      <c r="G13" s="56">
        <f>IN_1!E120</f>
        <v>65</v>
      </c>
      <c r="H13" s="56">
        <f>IN_1!F120</f>
        <v>50</v>
      </c>
      <c r="I13" s="56">
        <f>IN_1!G120</f>
        <v>2739</v>
      </c>
      <c r="J13" s="56">
        <f>IN_1!H120</f>
        <v>1</v>
      </c>
      <c r="K13" s="56">
        <f>IN_1!I120</f>
        <v>0</v>
      </c>
      <c r="L13" s="56">
        <f>IN_1!J120</f>
        <v>0</v>
      </c>
      <c r="M13" s="56">
        <f>IN_1!K120</f>
        <v>0</v>
      </c>
      <c r="N13" s="56">
        <f>IN_1!L120</f>
        <v>10</v>
      </c>
      <c r="O13" s="56">
        <f>IN_1!M120</f>
        <v>1</v>
      </c>
      <c r="P13" s="56">
        <f>IN_1!N120</f>
        <v>2740</v>
      </c>
      <c r="Q13" s="56">
        <f>IN_1!O120</f>
        <v>2535.5</v>
      </c>
    </row>
    <row r="14" spans="1:17" ht="15.75" customHeight="1" thickBot="1" x14ac:dyDescent="0.3">
      <c r="A14" s="280"/>
      <c r="B14" s="276"/>
      <c r="C14" s="55" t="str">
        <f t="shared" ref="C14:C16" si="2">C7</f>
        <v>Delhi</v>
      </c>
      <c r="D14" s="56">
        <f>IN_2!B120</f>
        <v>650</v>
      </c>
      <c r="E14" s="56">
        <f>IN_2!C120</f>
        <v>691</v>
      </c>
      <c r="F14" s="56">
        <f>IN_2!D120</f>
        <v>133</v>
      </c>
      <c r="G14" s="56">
        <f>IN_2!E120</f>
        <v>31</v>
      </c>
      <c r="H14" s="56">
        <f>IN_2!F120</f>
        <v>125</v>
      </c>
      <c r="I14" s="56">
        <f>IN_2!G120</f>
        <v>1630</v>
      </c>
      <c r="J14" s="56">
        <f>IN_2!H120</f>
        <v>0</v>
      </c>
      <c r="K14" s="56">
        <f>IN_2!I120</f>
        <v>0</v>
      </c>
      <c r="L14" s="56">
        <f>IN_2!J120</f>
        <v>0</v>
      </c>
      <c r="M14" s="56">
        <f>IN_2!K120</f>
        <v>0</v>
      </c>
      <c r="N14" s="56">
        <f>IN_2!L120</f>
        <v>11</v>
      </c>
      <c r="O14" s="56">
        <f>IN_2!M120</f>
        <v>11</v>
      </c>
      <c r="P14" s="56">
        <f>IN_2!N120</f>
        <v>1641</v>
      </c>
      <c r="Q14" s="56">
        <f>IN_2!O120</f>
        <v>1938.5</v>
      </c>
    </row>
    <row r="15" spans="1:17" ht="16.5" customHeight="1" thickBot="1" x14ac:dyDescent="0.3">
      <c r="A15" s="280"/>
      <c r="B15" s="276" t="s">
        <v>291</v>
      </c>
      <c r="C15" s="55" t="str">
        <f t="shared" si="2"/>
        <v>Chomu Pulia</v>
      </c>
      <c r="D15" s="56">
        <f>IN_3!B120</f>
        <v>1120</v>
      </c>
      <c r="E15" s="56">
        <f>IN_3!C120</f>
        <v>688</v>
      </c>
      <c r="F15" s="56">
        <f>IN_3!D120</f>
        <v>47</v>
      </c>
      <c r="G15" s="56">
        <f>IN_3!E120</f>
        <v>40</v>
      </c>
      <c r="H15" s="56">
        <f>IN_3!F120</f>
        <v>9</v>
      </c>
      <c r="I15" s="56">
        <f>IN_3!G120</f>
        <v>1904</v>
      </c>
      <c r="J15" s="56">
        <f>IN_3!H120</f>
        <v>1</v>
      </c>
      <c r="K15" s="56">
        <f>IN_3!I120</f>
        <v>0</v>
      </c>
      <c r="L15" s="56">
        <f>IN_3!J120</f>
        <v>0</v>
      </c>
      <c r="M15" s="56">
        <f>IN_3!K120</f>
        <v>0</v>
      </c>
      <c r="N15" s="56">
        <f>IN_3!L120</f>
        <v>41</v>
      </c>
      <c r="O15" s="56">
        <f>IN_3!M120</f>
        <v>42</v>
      </c>
      <c r="P15" s="56">
        <f>IN_3!N120</f>
        <v>1946</v>
      </c>
      <c r="Q15" s="56">
        <f>IN_3!O120</f>
        <v>2023.5</v>
      </c>
    </row>
    <row r="16" spans="1:17" ht="16.5" customHeight="1" thickBot="1" x14ac:dyDescent="0.3">
      <c r="A16" s="280"/>
      <c r="B16" s="276"/>
      <c r="C16" s="55" t="str">
        <f t="shared" si="2"/>
        <v>Mansarover</v>
      </c>
      <c r="D16" s="56">
        <f>IN_4!B120</f>
        <v>1994</v>
      </c>
      <c r="E16" s="56">
        <f>IN_4!C120</f>
        <v>1583</v>
      </c>
      <c r="F16" s="56">
        <f>IN_4!D120</f>
        <v>89</v>
      </c>
      <c r="G16" s="56">
        <f>IN_4!E120</f>
        <v>47</v>
      </c>
      <c r="H16" s="56">
        <f>IN_4!F120</f>
        <v>133</v>
      </c>
      <c r="I16" s="56">
        <f>IN_4!G120</f>
        <v>3846</v>
      </c>
      <c r="J16" s="56">
        <f>IN_4!H120</f>
        <v>8</v>
      </c>
      <c r="K16" s="56">
        <f>IN_4!I120</f>
        <v>0</v>
      </c>
      <c r="L16" s="56">
        <f>IN_4!J120</f>
        <v>0</v>
      </c>
      <c r="M16" s="56">
        <f>IN_4!K120</f>
        <v>0</v>
      </c>
      <c r="N16" s="56">
        <f>IN_4!L120</f>
        <v>16</v>
      </c>
      <c r="O16" s="56">
        <f>IN_4!M120</f>
        <v>24</v>
      </c>
      <c r="P16" s="56">
        <f>IN_4!N120</f>
        <v>3870</v>
      </c>
      <c r="Q16" s="56">
        <f>IN_4!O120</f>
        <v>3790.5</v>
      </c>
    </row>
    <row r="17" spans="1:17" ht="16.5" customHeight="1" thickBot="1" x14ac:dyDescent="0.3">
      <c r="A17" s="280"/>
      <c r="B17" s="276"/>
      <c r="C17" s="60"/>
      <c r="D17" s="106"/>
      <c r="E17" s="106"/>
      <c r="F17" s="106"/>
      <c r="G17" s="106"/>
      <c r="H17" s="106"/>
      <c r="I17" s="106"/>
      <c r="J17" s="106"/>
      <c r="K17" s="106"/>
    </row>
    <row r="18" spans="1:17" ht="16.5" customHeight="1" thickBot="1" x14ac:dyDescent="0.3">
      <c r="A18" s="280"/>
      <c r="B18" s="276"/>
      <c r="C18" s="55" t="s">
        <v>94</v>
      </c>
      <c r="D18" s="103">
        <f>SUM(D13:D16)</f>
        <v>5112</v>
      </c>
      <c r="E18" s="103">
        <f t="shared" ref="E18:Q18" si="3">SUM(E13:E16)</f>
        <v>4189</v>
      </c>
      <c r="F18" s="103">
        <f t="shared" si="3"/>
        <v>318</v>
      </c>
      <c r="G18" s="103">
        <f t="shared" si="3"/>
        <v>183</v>
      </c>
      <c r="H18" s="103">
        <f t="shared" si="3"/>
        <v>317</v>
      </c>
      <c r="I18" s="103">
        <f t="shared" si="3"/>
        <v>10119</v>
      </c>
      <c r="J18" s="103">
        <f t="shared" si="3"/>
        <v>10</v>
      </c>
      <c r="K18" s="103">
        <f t="shared" si="3"/>
        <v>0</v>
      </c>
      <c r="L18" s="103">
        <f t="shared" si="3"/>
        <v>0</v>
      </c>
      <c r="M18" s="103">
        <f t="shared" si="3"/>
        <v>0</v>
      </c>
      <c r="N18" s="103">
        <f t="shared" si="3"/>
        <v>78</v>
      </c>
      <c r="O18" s="103">
        <f t="shared" si="3"/>
        <v>78</v>
      </c>
      <c r="P18" s="103">
        <f t="shared" si="3"/>
        <v>10197</v>
      </c>
      <c r="Q18" s="103">
        <f t="shared" si="3"/>
        <v>10288</v>
      </c>
    </row>
    <row r="19" spans="1:17" ht="16.5" customHeight="1" thickBot="1" x14ac:dyDescent="0.3">
      <c r="A19" s="280"/>
      <c r="B19" s="277"/>
      <c r="C19" s="61" t="s">
        <v>92</v>
      </c>
      <c r="D19" s="57">
        <f>D18/$P$18*100</f>
        <v>50.1323918799647</v>
      </c>
      <c r="E19" s="57">
        <f t="shared" ref="E19:P19" si="4">E18/$P$18*100</f>
        <v>41.080710012748852</v>
      </c>
      <c r="F19" s="57">
        <f t="shared" si="4"/>
        <v>3.1185642836128276</v>
      </c>
      <c r="G19" s="57">
        <f t="shared" si="4"/>
        <v>1.7946454839658721</v>
      </c>
      <c r="H19" s="57">
        <f t="shared" si="4"/>
        <v>3.1087574776895166</v>
      </c>
      <c r="I19" s="57">
        <f t="shared" si="4"/>
        <v>99.235069137981753</v>
      </c>
      <c r="J19" s="57">
        <f t="shared" si="4"/>
        <v>9.8068059233107768E-2</v>
      </c>
      <c r="K19" s="57">
        <f t="shared" si="4"/>
        <v>0</v>
      </c>
      <c r="L19" s="57">
        <f t="shared" si="4"/>
        <v>0</v>
      </c>
      <c r="M19" s="57">
        <f t="shared" si="4"/>
        <v>0</v>
      </c>
      <c r="N19" s="57">
        <f t="shared" si="4"/>
        <v>0.76493086201824068</v>
      </c>
      <c r="O19" s="57">
        <f t="shared" si="4"/>
        <v>0.76493086201824068</v>
      </c>
      <c r="P19" s="57">
        <f t="shared" si="4"/>
        <v>100</v>
      </c>
      <c r="Q19" s="105"/>
    </row>
    <row r="20" spans="1:17" ht="13.5" customHeight="1" thickBot="1" x14ac:dyDescent="0.3">
      <c r="A20" s="280"/>
      <c r="B20" s="282" t="s">
        <v>290</v>
      </c>
      <c r="C20" s="55" t="str">
        <f>C6</f>
        <v>Nindar</v>
      </c>
      <c r="D20" s="56">
        <f>IN_1!B153</f>
        <v>808</v>
      </c>
      <c r="E20" s="56">
        <f>IN_1!C153</f>
        <v>326</v>
      </c>
      <c r="F20" s="56">
        <f>IN_1!D153</f>
        <v>38</v>
      </c>
      <c r="G20" s="56">
        <f>IN_1!E153</f>
        <v>38</v>
      </c>
      <c r="H20" s="56">
        <f>IN_1!F153</f>
        <v>39</v>
      </c>
      <c r="I20" s="56">
        <f>IN_1!G153</f>
        <v>1249</v>
      </c>
      <c r="J20" s="56">
        <f>IN_1!H153</f>
        <v>0</v>
      </c>
      <c r="K20" s="56">
        <f>IN_1!I153</f>
        <v>0</v>
      </c>
      <c r="L20" s="56">
        <f>IN_1!J153</f>
        <v>0</v>
      </c>
      <c r="M20" s="56">
        <f>IN_1!K153</f>
        <v>0</v>
      </c>
      <c r="N20" s="56">
        <f>IN_1!L153</f>
        <v>5</v>
      </c>
      <c r="O20" s="56">
        <f>IN_1!M153</f>
        <v>0</v>
      </c>
      <c r="P20" s="56">
        <f>IN_1!N153</f>
        <v>1249</v>
      </c>
      <c r="Q20" s="56">
        <f>IN_1!O153</f>
        <v>1357.5</v>
      </c>
    </row>
    <row r="21" spans="1:17" ht="16.5" customHeight="1" thickBot="1" x14ac:dyDescent="0.3">
      <c r="A21" s="280"/>
      <c r="B21" s="276"/>
      <c r="C21" s="55" t="str">
        <f t="shared" ref="C21:C23" si="5">C7</f>
        <v>Delhi</v>
      </c>
      <c r="D21" s="56">
        <f>IN_2!B153</f>
        <v>988</v>
      </c>
      <c r="E21" s="56">
        <f>IN_2!C153</f>
        <v>524</v>
      </c>
      <c r="F21" s="56">
        <f>IN_2!D153</f>
        <v>114</v>
      </c>
      <c r="G21" s="56">
        <f>IN_2!E153</f>
        <v>43</v>
      </c>
      <c r="H21" s="56">
        <f>IN_2!F153</f>
        <v>179</v>
      </c>
      <c r="I21" s="56">
        <f>IN_2!G153</f>
        <v>1848</v>
      </c>
      <c r="J21" s="56">
        <f>IN_2!H153</f>
        <v>0</v>
      </c>
      <c r="K21" s="56">
        <f>IN_2!I153</f>
        <v>0</v>
      </c>
      <c r="L21" s="56">
        <f>IN_2!J153</f>
        <v>0</v>
      </c>
      <c r="M21" s="56">
        <f>IN_2!K153</f>
        <v>0</v>
      </c>
      <c r="N21" s="56">
        <f>IN_2!L153</f>
        <v>5</v>
      </c>
      <c r="O21" s="56">
        <f>IN_2!M153</f>
        <v>5</v>
      </c>
      <c r="P21" s="56">
        <f>IN_2!N153</f>
        <v>1853</v>
      </c>
      <c r="Q21" s="56">
        <f>IN_2!O153</f>
        <v>2395.5</v>
      </c>
    </row>
    <row r="22" spans="1:17" ht="16.5" customHeight="1" thickBot="1" x14ac:dyDescent="0.3">
      <c r="A22" s="280"/>
      <c r="B22" s="276" t="s">
        <v>303</v>
      </c>
      <c r="C22" s="55" t="str">
        <f t="shared" si="5"/>
        <v>Chomu Pulia</v>
      </c>
      <c r="D22" s="56">
        <f>IN_3!B153</f>
        <v>1360</v>
      </c>
      <c r="E22" s="56">
        <f>IN_3!C153</f>
        <v>1475</v>
      </c>
      <c r="F22" s="56">
        <f>IN_3!D153</f>
        <v>70</v>
      </c>
      <c r="G22" s="56">
        <f>IN_3!E153</f>
        <v>53</v>
      </c>
      <c r="H22" s="56">
        <f>IN_3!F153</f>
        <v>25</v>
      </c>
      <c r="I22" s="56">
        <f>IN_3!G153</f>
        <v>2983</v>
      </c>
      <c r="J22" s="56">
        <f>IN_3!H153</f>
        <v>1</v>
      </c>
      <c r="K22" s="56">
        <f>IN_3!I153</f>
        <v>0</v>
      </c>
      <c r="L22" s="56">
        <f>IN_3!J153</f>
        <v>0</v>
      </c>
      <c r="M22" s="56">
        <f>IN_3!K153</f>
        <v>0</v>
      </c>
      <c r="N22" s="56">
        <f>IN_3!L153</f>
        <v>60</v>
      </c>
      <c r="O22" s="56">
        <f>IN_3!M153</f>
        <v>61</v>
      </c>
      <c r="P22" s="56">
        <f>IN_3!N153</f>
        <v>3044</v>
      </c>
      <c r="Q22" s="56">
        <f>IN_3!O153</f>
        <v>2954.5</v>
      </c>
    </row>
    <row r="23" spans="1:17" ht="16.5" customHeight="1" thickBot="1" x14ac:dyDescent="0.3">
      <c r="A23" s="280"/>
      <c r="B23" s="276"/>
      <c r="C23" s="55" t="str">
        <f t="shared" si="5"/>
        <v>Mansarover</v>
      </c>
      <c r="D23" s="56">
        <f>IN_4!B153</f>
        <v>1545</v>
      </c>
      <c r="E23" s="56">
        <f>IN_4!C153</f>
        <v>905</v>
      </c>
      <c r="F23" s="56">
        <f>IN_4!D153</f>
        <v>124</v>
      </c>
      <c r="G23" s="56">
        <f>IN_4!E153</f>
        <v>65</v>
      </c>
      <c r="H23" s="56">
        <f>IN_4!F153</f>
        <v>140</v>
      </c>
      <c r="I23" s="56">
        <f>IN_4!G153</f>
        <v>2779</v>
      </c>
      <c r="J23" s="56">
        <f>IN_4!H153</f>
        <v>3</v>
      </c>
      <c r="K23" s="56">
        <f>IN_4!I153</f>
        <v>0</v>
      </c>
      <c r="L23" s="56">
        <f>IN_4!J153</f>
        <v>0</v>
      </c>
      <c r="M23" s="56">
        <f>IN_4!K153</f>
        <v>0</v>
      </c>
      <c r="N23" s="56">
        <f>IN_4!L153</f>
        <v>24</v>
      </c>
      <c r="O23" s="56">
        <f>IN_4!M153</f>
        <v>27</v>
      </c>
      <c r="P23" s="56">
        <f>IN_4!N153</f>
        <v>2806</v>
      </c>
      <c r="Q23" s="56">
        <f>IN_4!O153</f>
        <v>3202</v>
      </c>
    </row>
    <row r="24" spans="1:17" ht="16.5" customHeight="1" thickBot="1" x14ac:dyDescent="0.3">
      <c r="A24" s="280"/>
      <c r="B24" s="276"/>
      <c r="C24" s="60"/>
      <c r="D24" s="106"/>
      <c r="E24" s="106"/>
      <c r="F24" s="106"/>
      <c r="G24" s="106"/>
      <c r="H24" s="106"/>
      <c r="I24" s="106"/>
      <c r="J24" s="106"/>
      <c r="K24" s="106"/>
    </row>
    <row r="25" spans="1:17" ht="16.5" customHeight="1" thickBot="1" x14ac:dyDescent="0.3">
      <c r="A25" s="280"/>
      <c r="B25" s="276"/>
      <c r="C25" s="55" t="s">
        <v>94</v>
      </c>
      <c r="D25" s="103">
        <f>SUM(D20:D23)</f>
        <v>4701</v>
      </c>
      <c r="E25" s="103">
        <f t="shared" ref="E25:Q25" si="6">SUM(E20:E23)</f>
        <v>3230</v>
      </c>
      <c r="F25" s="103">
        <f t="shared" si="6"/>
        <v>346</v>
      </c>
      <c r="G25" s="103">
        <f t="shared" si="6"/>
        <v>199</v>
      </c>
      <c r="H25" s="103">
        <f t="shared" si="6"/>
        <v>383</v>
      </c>
      <c r="I25" s="103">
        <f t="shared" si="6"/>
        <v>8859</v>
      </c>
      <c r="J25" s="103">
        <f t="shared" si="6"/>
        <v>4</v>
      </c>
      <c r="K25" s="103">
        <f t="shared" si="6"/>
        <v>0</v>
      </c>
      <c r="L25" s="103">
        <f t="shared" si="6"/>
        <v>0</v>
      </c>
      <c r="M25" s="103">
        <f t="shared" si="6"/>
        <v>0</v>
      </c>
      <c r="N25" s="103">
        <f t="shared" si="6"/>
        <v>94</v>
      </c>
      <c r="O25" s="103">
        <f t="shared" si="6"/>
        <v>93</v>
      </c>
      <c r="P25" s="103">
        <f t="shared" si="6"/>
        <v>8952</v>
      </c>
      <c r="Q25" s="103">
        <f t="shared" si="6"/>
        <v>9909.5</v>
      </c>
    </row>
    <row r="26" spans="1:17" ht="16.5" customHeight="1" thickBot="1" x14ac:dyDescent="0.3">
      <c r="A26" s="281"/>
      <c r="B26" s="277"/>
      <c r="C26" s="61" t="s">
        <v>92</v>
      </c>
      <c r="D26" s="57">
        <f>D25/$P25*100</f>
        <v>52.513404825737261</v>
      </c>
      <c r="E26" s="57">
        <f t="shared" ref="E26:P26" si="7">E25/$P25*100</f>
        <v>36.081322609472743</v>
      </c>
      <c r="F26" s="57">
        <f t="shared" si="7"/>
        <v>3.8650580875781952</v>
      </c>
      <c r="G26" s="57">
        <f t="shared" si="7"/>
        <v>2.2229669347631811</v>
      </c>
      <c r="H26" s="57">
        <f t="shared" si="7"/>
        <v>4.2783735478105456</v>
      </c>
      <c r="I26" s="57">
        <f t="shared" si="7"/>
        <v>98.961126005361933</v>
      </c>
      <c r="J26" s="57">
        <f t="shared" si="7"/>
        <v>4.4682752457551385E-2</v>
      </c>
      <c r="K26" s="57">
        <f t="shared" si="7"/>
        <v>0</v>
      </c>
      <c r="L26" s="57">
        <f t="shared" si="7"/>
        <v>0</v>
      </c>
      <c r="M26" s="57">
        <f t="shared" si="7"/>
        <v>0</v>
      </c>
      <c r="N26" s="57">
        <f t="shared" si="7"/>
        <v>1.0500446827524574</v>
      </c>
      <c r="O26" s="57">
        <f t="shared" si="7"/>
        <v>1.0388739946380696</v>
      </c>
      <c r="P26" s="57">
        <f t="shared" si="7"/>
        <v>100</v>
      </c>
      <c r="Q26" s="104"/>
    </row>
  </sheetData>
  <mergeCells count="24">
    <mergeCell ref="O3:O4"/>
    <mergeCell ref="P3:P4"/>
    <mergeCell ref="Q3:Q4"/>
    <mergeCell ref="F3:F4"/>
    <mergeCell ref="G3:G4"/>
    <mergeCell ref="L3:L4"/>
    <mergeCell ref="M3:M4"/>
    <mergeCell ref="H3:H4"/>
    <mergeCell ref="N3:N4"/>
    <mergeCell ref="B22:B26"/>
    <mergeCell ref="A1:K1"/>
    <mergeCell ref="A5:A26"/>
    <mergeCell ref="J3:J4"/>
    <mergeCell ref="K3:K4"/>
    <mergeCell ref="B6:B12"/>
    <mergeCell ref="B3:C4"/>
    <mergeCell ref="B5:C5"/>
    <mergeCell ref="A3:A4"/>
    <mergeCell ref="E3:E4"/>
    <mergeCell ref="D3:D4"/>
    <mergeCell ref="I3:I4"/>
    <mergeCell ref="B13:B14"/>
    <mergeCell ref="B15:B19"/>
    <mergeCell ref="B20:B21"/>
  </mergeCells>
  <printOptions horizontalCentered="1"/>
  <pageMargins left="0" right="0" top="0" bottom="0" header="0" footer="0"/>
  <pageSetup scale="51" orientation="landscape" horizontalDpi="4294967293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9"/>
  <dimension ref="A1:V105"/>
  <sheetViews>
    <sheetView topLeftCell="A72" zoomScale="60" zoomScaleNormal="60" workbookViewId="0">
      <selection activeCell="X80" sqref="X80"/>
    </sheetView>
  </sheetViews>
  <sheetFormatPr defaultColWidth="9" defaultRowHeight="14.4" x14ac:dyDescent="0.3"/>
  <cols>
    <col min="1" max="1" width="9" style="13"/>
    <col min="2" max="2" width="13.19921875" style="13" customWidth="1"/>
    <col min="3" max="3" width="11.59765625" style="13" customWidth="1"/>
    <col min="4" max="17" width="9" style="13"/>
    <col min="18" max="18" width="7.3984375" style="13" customWidth="1"/>
    <col min="19" max="19" width="15.5" style="13" customWidth="1"/>
    <col min="20" max="20" width="10.5" style="14" customWidth="1"/>
    <col min="21" max="21" width="9.3984375" style="14" customWidth="1"/>
    <col min="22" max="22" width="10.3984375" style="13" customWidth="1"/>
    <col min="23" max="16384" width="9" style="13"/>
  </cols>
  <sheetData>
    <row r="1" spans="1:21" ht="15.6" hidden="1" x14ac:dyDescent="0.3">
      <c r="C1" s="291" t="s">
        <v>89</v>
      </c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291"/>
      <c r="S1" s="291"/>
      <c r="T1" s="291"/>
      <c r="U1" s="291"/>
    </row>
    <row r="2" spans="1:21" hidden="1" x14ac:dyDescent="0.3"/>
    <row r="3" spans="1:21" hidden="1" x14ac:dyDescent="0.3"/>
    <row r="4" spans="1:21" ht="18" hidden="1" x14ac:dyDescent="0.35">
      <c r="A4" s="15" t="s">
        <v>61</v>
      </c>
      <c r="B4" s="19"/>
      <c r="C4" s="16" t="str">
        <f>+Summary!B2</f>
        <v>TMC-14 Number (D2)</v>
      </c>
      <c r="G4" s="17"/>
      <c r="K4" s="292" t="str">
        <f>Summary!A6</f>
        <v>Nindar</v>
      </c>
      <c r="L4" s="292"/>
      <c r="M4" s="292"/>
      <c r="Q4" s="18"/>
      <c r="S4" s="293"/>
      <c r="T4" s="293"/>
      <c r="U4" s="293"/>
    </row>
    <row r="5" spans="1:21" ht="15.6" hidden="1" x14ac:dyDescent="0.3">
      <c r="A5" s="15" t="s">
        <v>14</v>
      </c>
      <c r="C5" s="19" t="str">
        <f>Summary!B3</f>
        <v>D2</v>
      </c>
      <c r="G5" s="17"/>
      <c r="Q5" s="18"/>
      <c r="S5" s="29"/>
      <c r="T5" s="30"/>
      <c r="U5" s="30"/>
    </row>
    <row r="6" spans="1:21" ht="18.600000000000001" hidden="1" thickBot="1" x14ac:dyDescent="0.4">
      <c r="A6" s="15" t="str">
        <f>Table!B13</f>
        <v>Morning Peak</v>
      </c>
      <c r="C6" s="16"/>
      <c r="G6" s="17"/>
      <c r="Q6" s="18"/>
      <c r="S6" s="29"/>
      <c r="T6" s="31"/>
      <c r="U6" s="31"/>
    </row>
    <row r="7" spans="1:21" ht="16.8" hidden="1" thickTop="1" thickBot="1" x14ac:dyDescent="0.35">
      <c r="A7" s="15" t="s">
        <v>100</v>
      </c>
      <c r="C7" s="64">
        <f>Table!J18</f>
        <v>10</v>
      </c>
      <c r="G7" s="17"/>
      <c r="I7" s="294">
        <f>+OUT_1!J160</f>
        <v>0</v>
      </c>
      <c r="J7" s="295"/>
      <c r="K7" s="295"/>
      <c r="L7" s="19"/>
      <c r="M7" s="294">
        <f>+IN_1!J160</f>
        <v>0</v>
      </c>
      <c r="N7" s="295"/>
      <c r="O7" s="295"/>
      <c r="Q7" s="18"/>
      <c r="S7" s="29"/>
      <c r="T7" s="32"/>
      <c r="U7" s="32"/>
    </row>
    <row r="8" spans="1:21" ht="16.8" hidden="1" thickTop="1" thickBot="1" x14ac:dyDescent="0.35">
      <c r="A8" s="15" t="s">
        <v>101</v>
      </c>
      <c r="C8" s="64">
        <f>Table!K18</f>
        <v>0</v>
      </c>
      <c r="G8" s="17"/>
      <c r="Q8" s="18"/>
      <c r="S8" s="29"/>
      <c r="T8" s="32"/>
      <c r="U8" s="32"/>
    </row>
    <row r="9" spans="1:21" ht="16.2" hidden="1" thickTop="1" thickBot="1" x14ac:dyDescent="0.35">
      <c r="G9" s="17"/>
      <c r="I9" s="28">
        <f>+F15</f>
        <v>0</v>
      </c>
      <c r="J9" s="28">
        <f>+J28</f>
        <v>1</v>
      </c>
      <c r="K9" s="28">
        <f>+R20</f>
        <v>0</v>
      </c>
      <c r="L9" s="21"/>
      <c r="M9" s="28">
        <f>+V_3!M160</f>
        <v>0</v>
      </c>
      <c r="N9" s="28">
        <f>+V_2!M160</f>
        <v>0</v>
      </c>
      <c r="O9" s="28">
        <f>+V_1!O128</f>
        <v>194</v>
      </c>
      <c r="Q9" s="18"/>
      <c r="S9" s="29"/>
      <c r="T9" s="32"/>
      <c r="U9" s="32"/>
    </row>
    <row r="10" spans="1:21" ht="15" hidden="1" thickTop="1" x14ac:dyDescent="0.3">
      <c r="G10" s="17"/>
      <c r="Q10" s="18"/>
    </row>
    <row r="11" spans="1:21" hidden="1" x14ac:dyDescent="0.3"/>
    <row r="12" spans="1:21" hidden="1" x14ac:dyDescent="0.3"/>
    <row r="13" spans="1:21" ht="15" hidden="1" thickBot="1" x14ac:dyDescent="0.35">
      <c r="D13" s="22"/>
      <c r="E13" s="22"/>
      <c r="F13" s="22"/>
      <c r="R13" s="22"/>
      <c r="S13" s="22"/>
      <c r="T13" s="23"/>
    </row>
    <row r="14" spans="1:21" ht="15.6" hidden="1" thickTop="1" thickBot="1" x14ac:dyDescent="0.35"/>
    <row r="15" spans="1:21" ht="15.6" hidden="1" thickTop="1" thickBot="1" x14ac:dyDescent="0.35">
      <c r="D15" s="297">
        <f>+IN_4!J160</f>
        <v>2</v>
      </c>
      <c r="F15" s="28">
        <f>+V_10!M160</f>
        <v>0</v>
      </c>
      <c r="R15" s="28">
        <f>+O9</f>
        <v>194</v>
      </c>
      <c r="T15" s="297">
        <f>+OUT_2!J160</f>
        <v>2</v>
      </c>
    </row>
    <row r="16" spans="1:21" ht="15.6" hidden="1" thickTop="1" thickBot="1" x14ac:dyDescent="0.35">
      <c r="B16" s="296" t="str">
        <f>Summary!A9</f>
        <v>Mansarover</v>
      </c>
      <c r="D16" s="298"/>
      <c r="F16" s="28">
        <f>+V_11!M160</f>
        <v>5</v>
      </c>
      <c r="R16" s="20">
        <f>+F16</f>
        <v>5</v>
      </c>
      <c r="T16" s="298"/>
    </row>
    <row r="17" spans="2:22" ht="15.6" hidden="1" thickTop="1" thickBot="1" x14ac:dyDescent="0.35">
      <c r="B17" s="296"/>
      <c r="D17" s="298"/>
      <c r="F17" s="28">
        <f>+V_12!M160</f>
        <v>0</v>
      </c>
      <c r="R17" s="28">
        <f>+K28</f>
        <v>0</v>
      </c>
      <c r="T17" s="298"/>
      <c r="V17" s="296" t="str">
        <f>Summary!A7</f>
        <v>Delhi</v>
      </c>
    </row>
    <row r="18" spans="2:22" ht="15" hidden="1" thickTop="1" x14ac:dyDescent="0.3">
      <c r="B18" s="296"/>
      <c r="D18" s="24"/>
      <c r="F18" s="21"/>
      <c r="R18" s="21"/>
      <c r="T18" s="25"/>
      <c r="V18" s="296"/>
    </row>
    <row r="19" spans="2:22" ht="15" hidden="1" thickBot="1" x14ac:dyDescent="0.35">
      <c r="B19" s="296"/>
      <c r="D19" s="24"/>
      <c r="F19" s="21"/>
      <c r="R19" s="21"/>
      <c r="T19" s="25"/>
      <c r="V19" s="296"/>
    </row>
    <row r="20" spans="2:22" ht="15.6" hidden="1" thickTop="1" thickBot="1" x14ac:dyDescent="0.35">
      <c r="B20" s="296"/>
      <c r="D20" s="297">
        <f>+OUT_4!J160</f>
        <v>0</v>
      </c>
      <c r="F20" s="28">
        <f>+M9</f>
        <v>0</v>
      </c>
      <c r="R20" s="28">
        <f>+V_6!M160</f>
        <v>0</v>
      </c>
      <c r="T20" s="297">
        <f>+IN_2!J160</f>
        <v>0</v>
      </c>
      <c r="V20" s="296"/>
    </row>
    <row r="21" spans="2:22" ht="15.6" hidden="1" thickTop="1" thickBot="1" x14ac:dyDescent="0.35">
      <c r="D21" s="298"/>
      <c r="F21" s="28">
        <f>+R21</f>
        <v>0</v>
      </c>
      <c r="R21" s="28">
        <f>+V_5!M160</f>
        <v>0</v>
      </c>
      <c r="T21" s="298"/>
    </row>
    <row r="22" spans="2:22" ht="15.6" hidden="1" thickTop="1" thickBot="1" x14ac:dyDescent="0.35">
      <c r="D22" s="298"/>
      <c r="F22" s="28">
        <f>+I28</f>
        <v>0</v>
      </c>
      <c r="R22" s="28">
        <f>+V_4!M160</f>
        <v>1</v>
      </c>
      <c r="T22" s="298"/>
    </row>
    <row r="23" spans="2:22" ht="15.6" hidden="1" thickTop="1" thickBot="1" x14ac:dyDescent="0.35">
      <c r="D23" s="22"/>
      <c r="E23" s="22"/>
      <c r="F23" s="22"/>
      <c r="R23" s="22"/>
      <c r="S23" s="22"/>
      <c r="T23" s="23"/>
    </row>
    <row r="24" spans="2:22" ht="15" hidden="1" thickTop="1" x14ac:dyDescent="0.3"/>
    <row r="25" spans="2:22" hidden="1" x14ac:dyDescent="0.3"/>
    <row r="26" spans="2:22" hidden="1" x14ac:dyDescent="0.3"/>
    <row r="27" spans="2:22" ht="15" hidden="1" thickBot="1" x14ac:dyDescent="0.35">
      <c r="G27" s="17"/>
      <c r="Q27" s="18"/>
    </row>
    <row r="28" spans="2:22" ht="15.6" hidden="1" thickTop="1" thickBot="1" x14ac:dyDescent="0.35">
      <c r="G28" s="17"/>
      <c r="I28" s="28">
        <f>+V_7!M160</f>
        <v>0</v>
      </c>
      <c r="J28" s="28">
        <f>+V_8!M160</f>
        <v>1</v>
      </c>
      <c r="K28" s="28">
        <f>+V_9!M160</f>
        <v>0</v>
      </c>
      <c r="L28" s="21"/>
      <c r="M28" s="28">
        <f>+F17</f>
        <v>0</v>
      </c>
      <c r="N28" s="20">
        <f>+N9</f>
        <v>0</v>
      </c>
      <c r="O28" s="28">
        <f>+R22</f>
        <v>1</v>
      </c>
      <c r="Q28" s="18"/>
    </row>
    <row r="29" spans="2:22" ht="15.6" hidden="1" thickTop="1" thickBot="1" x14ac:dyDescent="0.35">
      <c r="G29" s="17"/>
      <c r="Q29" s="18"/>
    </row>
    <row r="30" spans="2:22" ht="15.6" hidden="1" thickTop="1" thickBot="1" x14ac:dyDescent="0.35">
      <c r="G30" s="17"/>
      <c r="I30" s="294">
        <f>+IN_3!J160</f>
        <v>0</v>
      </c>
      <c r="J30" s="295"/>
      <c r="K30" s="295"/>
      <c r="L30" s="19"/>
      <c r="M30" s="294">
        <f>+OUT_3!J160</f>
        <v>0</v>
      </c>
      <c r="N30" s="295"/>
      <c r="O30" s="295"/>
      <c r="Q30" s="18"/>
    </row>
    <row r="31" spans="2:22" ht="15" hidden="1" thickTop="1" x14ac:dyDescent="0.3">
      <c r="G31" s="17"/>
      <c r="Q31" s="18"/>
    </row>
    <row r="32" spans="2:22" ht="18" hidden="1" x14ac:dyDescent="0.35">
      <c r="G32" s="17"/>
      <c r="K32" s="292" t="str">
        <f>Summary!A8</f>
        <v>Chomu Pulia</v>
      </c>
      <c r="L32" s="292"/>
      <c r="M32" s="292"/>
      <c r="Q32" s="18"/>
    </row>
    <row r="33" spans="1:21" hidden="1" x14ac:dyDescent="0.3">
      <c r="G33" s="17"/>
      <c r="Q33" s="18"/>
    </row>
    <row r="34" spans="1:21" hidden="1" x14ac:dyDescent="0.3"/>
    <row r="35" spans="1:21" hidden="1" x14ac:dyDescent="0.3"/>
    <row r="36" spans="1:21" ht="15.6" hidden="1" x14ac:dyDescent="0.3">
      <c r="C36" s="291" t="s">
        <v>90</v>
      </c>
      <c r="D36" s="291"/>
      <c r="E36" s="291"/>
      <c r="F36" s="291"/>
      <c r="G36" s="291"/>
      <c r="H36" s="291"/>
      <c r="I36" s="291"/>
      <c r="J36" s="291"/>
      <c r="K36" s="291"/>
      <c r="L36" s="291"/>
      <c r="M36" s="291"/>
      <c r="N36" s="291"/>
      <c r="O36" s="291"/>
      <c r="P36" s="291"/>
      <c r="Q36" s="291"/>
      <c r="R36" s="291"/>
      <c r="S36" s="291"/>
      <c r="T36" s="291"/>
      <c r="U36" s="291"/>
    </row>
    <row r="37" spans="1:21" hidden="1" x14ac:dyDescent="0.3"/>
    <row r="38" spans="1:21" hidden="1" x14ac:dyDescent="0.3"/>
    <row r="39" spans="1:21" hidden="1" x14ac:dyDescent="0.3"/>
    <row r="40" spans="1:21" ht="18" hidden="1" x14ac:dyDescent="0.35">
      <c r="A40" s="15" t="s">
        <v>61</v>
      </c>
      <c r="C40" s="16" t="str">
        <f>C4</f>
        <v>TMC-14 Number (D2)</v>
      </c>
      <c r="G40" s="17"/>
      <c r="K40" s="292" t="str">
        <f>+K4</f>
        <v>Nindar</v>
      </c>
      <c r="L40" s="292"/>
      <c r="M40" s="292"/>
      <c r="Q40" s="18"/>
      <c r="S40" s="293"/>
      <c r="T40" s="293"/>
      <c r="U40" s="293"/>
    </row>
    <row r="41" spans="1:21" ht="18" hidden="1" x14ac:dyDescent="0.35">
      <c r="A41" s="15" t="s">
        <v>14</v>
      </c>
      <c r="C41" s="16" t="str">
        <f>C5</f>
        <v>D2</v>
      </c>
      <c r="G41" s="17"/>
      <c r="Q41" s="18"/>
      <c r="S41" s="29"/>
      <c r="T41" s="30"/>
      <c r="U41" s="30"/>
    </row>
    <row r="42" spans="1:21" ht="18.600000000000001" hidden="1" thickBot="1" x14ac:dyDescent="0.4">
      <c r="A42" s="63" t="str">
        <f>Table!B20</f>
        <v>Evening Peak</v>
      </c>
      <c r="C42" s="16"/>
      <c r="G42" s="17"/>
      <c r="Q42" s="18"/>
      <c r="S42" s="29"/>
      <c r="T42" s="31"/>
      <c r="U42" s="31"/>
    </row>
    <row r="43" spans="1:21" ht="19.2" hidden="1" thickTop="1" thickBot="1" x14ac:dyDescent="0.4">
      <c r="A43" s="15" t="s">
        <v>100</v>
      </c>
      <c r="C43" s="34">
        <f>Table!J25</f>
        <v>4</v>
      </c>
      <c r="G43" s="17"/>
      <c r="I43" s="294">
        <f>+OUT_1!J182</f>
        <v>0</v>
      </c>
      <c r="J43" s="295"/>
      <c r="K43" s="295"/>
      <c r="L43" s="19"/>
      <c r="M43" s="294">
        <f>+IN_1!J182</f>
        <v>0</v>
      </c>
      <c r="N43" s="295"/>
      <c r="O43" s="295"/>
      <c r="Q43" s="18"/>
      <c r="S43" s="29"/>
      <c r="T43" s="32"/>
      <c r="U43" s="32"/>
    </row>
    <row r="44" spans="1:21" ht="19.2" hidden="1" thickTop="1" thickBot="1" x14ac:dyDescent="0.4">
      <c r="A44" s="15" t="s">
        <v>101</v>
      </c>
      <c r="C44" s="34">
        <f>Table!K25</f>
        <v>0</v>
      </c>
      <c r="G44" s="17"/>
      <c r="Q44" s="18"/>
      <c r="S44" s="29"/>
      <c r="T44" s="32"/>
      <c r="U44" s="32"/>
    </row>
    <row r="45" spans="1:21" ht="16.2" hidden="1" thickTop="1" thickBot="1" x14ac:dyDescent="0.35">
      <c r="G45" s="17"/>
      <c r="I45" s="28">
        <f>+F51</f>
        <v>0</v>
      </c>
      <c r="J45" s="28">
        <f>+J64</f>
        <v>0</v>
      </c>
      <c r="K45" s="28">
        <f>+R56</f>
        <v>0</v>
      </c>
      <c r="L45" s="21"/>
      <c r="M45" s="28">
        <f>+V_3!M182</f>
        <v>0</v>
      </c>
      <c r="N45" s="28">
        <f>+V_2!M182</f>
        <v>1</v>
      </c>
      <c r="O45" s="28">
        <f>+V_1!O150</f>
        <v>146</v>
      </c>
      <c r="Q45" s="18"/>
      <c r="S45" s="29"/>
      <c r="T45" s="32"/>
      <c r="U45" s="32"/>
    </row>
    <row r="46" spans="1:21" ht="15" hidden="1" thickTop="1" x14ac:dyDescent="0.3">
      <c r="G46" s="17"/>
      <c r="Q46" s="18"/>
    </row>
    <row r="47" spans="1:21" hidden="1" x14ac:dyDescent="0.3"/>
    <row r="48" spans="1:21" hidden="1" x14ac:dyDescent="0.3"/>
    <row r="49" spans="2:22" ht="15" hidden="1" thickBot="1" x14ac:dyDescent="0.35">
      <c r="D49" s="22"/>
      <c r="E49" s="22"/>
      <c r="F49" s="22"/>
      <c r="R49" s="22"/>
      <c r="S49" s="22"/>
      <c r="T49" s="23"/>
    </row>
    <row r="50" spans="2:22" ht="15.6" hidden="1" thickTop="1" thickBot="1" x14ac:dyDescent="0.35"/>
    <row r="51" spans="2:22" ht="15.6" hidden="1" thickTop="1" thickBot="1" x14ac:dyDescent="0.35">
      <c r="D51" s="297">
        <f>+IN_4!J182</f>
        <v>0</v>
      </c>
      <c r="F51" s="28">
        <f>+V_10!M182</f>
        <v>0</v>
      </c>
      <c r="R51" s="28">
        <f>+O45</f>
        <v>146</v>
      </c>
      <c r="T51" s="297">
        <f>+OUT_2!J182</f>
        <v>0</v>
      </c>
    </row>
    <row r="52" spans="2:22" ht="15.6" hidden="1" thickTop="1" thickBot="1" x14ac:dyDescent="0.35">
      <c r="B52" s="296" t="str">
        <f>+B16</f>
        <v>Mansarover</v>
      </c>
      <c r="D52" s="298"/>
      <c r="F52" s="28">
        <f>+V_11!M182</f>
        <v>0</v>
      </c>
      <c r="R52" s="28">
        <f>+F52</f>
        <v>0</v>
      </c>
      <c r="T52" s="298"/>
    </row>
    <row r="53" spans="2:22" ht="15.6" hidden="1" thickTop="1" thickBot="1" x14ac:dyDescent="0.35">
      <c r="B53" s="296"/>
      <c r="D53" s="298"/>
      <c r="F53" s="28">
        <f>+V_12!M182</f>
        <v>0</v>
      </c>
      <c r="R53" s="28">
        <f>+K64</f>
        <v>0</v>
      </c>
      <c r="T53" s="298"/>
      <c r="V53" s="296" t="str">
        <f>+V17</f>
        <v>Delhi</v>
      </c>
    </row>
    <row r="54" spans="2:22" ht="15" hidden="1" thickTop="1" x14ac:dyDescent="0.3">
      <c r="B54" s="296"/>
      <c r="D54" s="24"/>
      <c r="F54" s="21"/>
      <c r="R54" s="21"/>
      <c r="T54" s="25"/>
      <c r="V54" s="296"/>
    </row>
    <row r="55" spans="2:22" ht="15" hidden="1" thickBot="1" x14ac:dyDescent="0.35">
      <c r="B55" s="296"/>
      <c r="D55" s="24"/>
      <c r="F55" s="21"/>
      <c r="R55" s="21"/>
      <c r="T55" s="25"/>
      <c r="V55" s="296"/>
    </row>
    <row r="56" spans="2:22" ht="15.6" hidden="1" thickTop="1" thickBot="1" x14ac:dyDescent="0.35">
      <c r="B56" s="296"/>
      <c r="D56" s="297">
        <f>+OUT_4!J182</f>
        <v>0</v>
      </c>
      <c r="F56" s="20">
        <f>+M45</f>
        <v>0</v>
      </c>
      <c r="R56" s="28">
        <f>+V_6!M182</f>
        <v>0</v>
      </c>
      <c r="T56" s="297">
        <f>+IN_2!J182</f>
        <v>0</v>
      </c>
      <c r="V56" s="296"/>
    </row>
    <row r="57" spans="2:22" ht="15.6" hidden="1" thickTop="1" thickBot="1" x14ac:dyDescent="0.35">
      <c r="D57" s="298"/>
      <c r="F57" s="20">
        <f>+R57</f>
        <v>0</v>
      </c>
      <c r="R57" s="28">
        <f>+V_5!M182</f>
        <v>0</v>
      </c>
      <c r="T57" s="298"/>
    </row>
    <row r="58" spans="2:22" ht="15.6" hidden="1" thickTop="1" thickBot="1" x14ac:dyDescent="0.35">
      <c r="D58" s="298"/>
      <c r="F58" s="28">
        <f>+I64</f>
        <v>0</v>
      </c>
      <c r="R58" s="28">
        <f>+V_4!M182</f>
        <v>0</v>
      </c>
      <c r="T58" s="298"/>
    </row>
    <row r="59" spans="2:22" ht="15.6" hidden="1" thickTop="1" thickBot="1" x14ac:dyDescent="0.35">
      <c r="D59" s="22"/>
      <c r="E59" s="22"/>
      <c r="F59" s="22"/>
      <c r="R59" s="22"/>
      <c r="S59" s="22"/>
      <c r="T59" s="23"/>
    </row>
    <row r="60" spans="2:22" ht="15" hidden="1" thickTop="1" x14ac:dyDescent="0.3"/>
    <row r="61" spans="2:22" hidden="1" x14ac:dyDescent="0.3"/>
    <row r="62" spans="2:22" hidden="1" x14ac:dyDescent="0.3"/>
    <row r="63" spans="2:22" ht="15" hidden="1" thickBot="1" x14ac:dyDescent="0.35">
      <c r="G63" s="17"/>
      <c r="Q63" s="18"/>
    </row>
    <row r="64" spans="2:22" ht="15.6" hidden="1" thickTop="1" thickBot="1" x14ac:dyDescent="0.35">
      <c r="G64" s="17"/>
      <c r="I64" s="28">
        <f>+V_7!M182</f>
        <v>0</v>
      </c>
      <c r="J64" s="28">
        <f>+V_8!M182</f>
        <v>0</v>
      </c>
      <c r="K64" s="28">
        <f>+V_9!M182</f>
        <v>0</v>
      </c>
      <c r="L64" s="21"/>
      <c r="M64" s="20">
        <f>+F53</f>
        <v>0</v>
      </c>
      <c r="N64" s="20">
        <f>+N45</f>
        <v>1</v>
      </c>
      <c r="O64" s="28">
        <f>+R58</f>
        <v>0</v>
      </c>
      <c r="Q64" s="18"/>
    </row>
    <row r="65" spans="1:21" ht="15.6" hidden="1" thickTop="1" thickBot="1" x14ac:dyDescent="0.35">
      <c r="G65" s="17"/>
      <c r="Q65" s="18"/>
    </row>
    <row r="66" spans="1:21" ht="15.6" hidden="1" thickTop="1" thickBot="1" x14ac:dyDescent="0.35">
      <c r="G66" s="17"/>
      <c r="I66" s="294">
        <f>+IN_3!J182</f>
        <v>0</v>
      </c>
      <c r="J66" s="295"/>
      <c r="K66" s="295"/>
      <c r="L66" s="19"/>
      <c r="M66" s="294">
        <f>+OUT_3!J182</f>
        <v>0</v>
      </c>
      <c r="N66" s="295"/>
      <c r="O66" s="295"/>
      <c r="Q66" s="18"/>
    </row>
    <row r="67" spans="1:21" ht="15" hidden="1" thickTop="1" x14ac:dyDescent="0.3">
      <c r="G67" s="17"/>
      <c r="Q67" s="18"/>
    </row>
    <row r="68" spans="1:21" ht="18" hidden="1" x14ac:dyDescent="0.35">
      <c r="G68" s="17"/>
      <c r="K68" s="292" t="str">
        <f>+K32</f>
        <v>Chomu Pulia</v>
      </c>
      <c r="L68" s="292"/>
      <c r="M68" s="292"/>
      <c r="Q68" s="18"/>
    </row>
    <row r="69" spans="1:21" hidden="1" x14ac:dyDescent="0.3">
      <c r="G69" s="17"/>
      <c r="Q69" s="18"/>
    </row>
    <row r="70" spans="1:21" hidden="1" x14ac:dyDescent="0.3"/>
    <row r="71" spans="1:21" hidden="1" x14ac:dyDescent="0.3"/>
    <row r="73" spans="1:21" ht="15.6" x14ac:dyDescent="0.3">
      <c r="C73" s="299" t="s">
        <v>91</v>
      </c>
      <c r="D73" s="299"/>
      <c r="E73" s="299"/>
      <c r="F73" s="299"/>
      <c r="G73" s="299"/>
      <c r="H73" s="299"/>
      <c r="I73" s="299"/>
      <c r="J73" s="299"/>
      <c r="K73" s="299"/>
      <c r="L73" s="299"/>
      <c r="M73" s="299"/>
      <c r="N73" s="299"/>
      <c r="O73" s="299"/>
      <c r="P73" s="299"/>
      <c r="Q73" s="299"/>
      <c r="R73" s="299"/>
      <c r="S73" s="299"/>
      <c r="T73" s="299"/>
      <c r="U73" s="299"/>
    </row>
    <row r="76" spans="1:21" ht="18" x14ac:dyDescent="0.35">
      <c r="A76" s="15" t="s">
        <v>61</v>
      </c>
      <c r="C76" s="16" t="str">
        <f>C40</f>
        <v>TMC-14 Number (D2)</v>
      </c>
      <c r="G76" s="17"/>
      <c r="K76" s="292" t="str">
        <f>+K40</f>
        <v>Nindar</v>
      </c>
      <c r="L76" s="292"/>
      <c r="M76" s="292"/>
      <c r="Q76" s="18"/>
    </row>
    <row r="77" spans="1:21" ht="18" x14ac:dyDescent="0.35">
      <c r="A77" s="15" t="s">
        <v>14</v>
      </c>
      <c r="C77" s="16" t="str">
        <f>C41</f>
        <v>D2</v>
      </c>
      <c r="G77" s="17"/>
      <c r="Q77" s="18"/>
    </row>
    <row r="78" spans="1:21" ht="18.600000000000001" thickBot="1" x14ac:dyDescent="0.4">
      <c r="A78" s="15" t="s">
        <v>6</v>
      </c>
      <c r="C78" s="16" t="s">
        <v>127</v>
      </c>
      <c r="G78" s="17"/>
      <c r="Q78" s="18"/>
    </row>
    <row r="79" spans="1:21" ht="19.2" thickTop="1" thickBot="1" x14ac:dyDescent="0.4">
      <c r="A79" s="15" t="s">
        <v>100</v>
      </c>
      <c r="C79" s="34">
        <f>Table!P11</f>
        <v>135094</v>
      </c>
      <c r="G79" s="17"/>
      <c r="I79" s="294">
        <f>+OUT_1!O105</f>
        <v>33218.5</v>
      </c>
      <c r="J79" s="295"/>
      <c r="K79" s="295"/>
      <c r="L79" s="19"/>
      <c r="M79" s="294">
        <f>+IN_1!O105</f>
        <v>29609.5</v>
      </c>
      <c r="N79" s="295"/>
      <c r="O79" s="295"/>
      <c r="Q79" s="18"/>
    </row>
    <row r="80" spans="1:21" ht="19.2" thickTop="1" thickBot="1" x14ac:dyDescent="0.4">
      <c r="A80" s="15" t="s">
        <v>101</v>
      </c>
      <c r="C80" s="34">
        <f>Table!Q11</f>
        <v>157845.5</v>
      </c>
      <c r="G80" s="17"/>
      <c r="Q80" s="18"/>
    </row>
    <row r="81" spans="2:22" ht="15.6" thickTop="1" thickBot="1" x14ac:dyDescent="0.35">
      <c r="G81" s="17"/>
      <c r="I81" s="28">
        <f>+F87</f>
        <v>14612.5</v>
      </c>
      <c r="J81" s="28">
        <f>+J100</f>
        <v>15706</v>
      </c>
      <c r="K81" s="20">
        <f>+R92</f>
        <v>2900</v>
      </c>
      <c r="M81" s="28">
        <f>+V_3!O105</f>
        <v>10572</v>
      </c>
      <c r="N81" s="28">
        <f>+V_2!O105</f>
        <v>16243.5</v>
      </c>
      <c r="O81" s="28">
        <f>+V_1!O105</f>
        <v>2794</v>
      </c>
      <c r="Q81" s="18"/>
    </row>
    <row r="82" spans="2:22" ht="15" thickTop="1" x14ac:dyDescent="0.3">
      <c r="G82" s="17"/>
      <c r="Q82" s="18"/>
    </row>
    <row r="85" spans="2:22" ht="15" thickBot="1" x14ac:dyDescent="0.35">
      <c r="D85" s="22"/>
      <c r="E85" s="22"/>
      <c r="F85" s="22"/>
      <c r="R85" s="22"/>
      <c r="S85" s="22"/>
      <c r="T85" s="23"/>
    </row>
    <row r="86" spans="2:22" ht="15.6" thickTop="1" thickBot="1" x14ac:dyDescent="0.35"/>
    <row r="87" spans="2:22" ht="15.6" thickTop="1" thickBot="1" x14ac:dyDescent="0.35">
      <c r="D87" s="297">
        <f>+IN_4!O105</f>
        <v>55772</v>
      </c>
      <c r="F87" s="28">
        <f>+V_10!O105</f>
        <v>14612.5</v>
      </c>
      <c r="R87" s="28">
        <f>+O81</f>
        <v>2794</v>
      </c>
      <c r="T87" s="297">
        <f>+OUT_2!O105</f>
        <v>35869</v>
      </c>
    </row>
    <row r="88" spans="2:22" ht="15.6" thickTop="1" thickBot="1" x14ac:dyDescent="0.35">
      <c r="B88" s="296" t="str">
        <f>+B52</f>
        <v>Mansarover</v>
      </c>
      <c r="D88" s="298"/>
      <c r="F88" s="28">
        <f>+V_11!O105</f>
        <v>28001</v>
      </c>
      <c r="R88" s="28">
        <f>+F88</f>
        <v>28001</v>
      </c>
      <c r="T88" s="298"/>
    </row>
    <row r="89" spans="2:22" ht="15.6" thickTop="1" thickBot="1" x14ac:dyDescent="0.35">
      <c r="B89" s="296"/>
      <c r="D89" s="298"/>
      <c r="F89" s="28">
        <f>+V_12!O105</f>
        <v>13158.5</v>
      </c>
      <c r="R89" s="20">
        <f>+K100</f>
        <v>5074</v>
      </c>
      <c r="T89" s="298"/>
      <c r="V89" s="296" t="str">
        <f>+V53</f>
        <v>Delhi</v>
      </c>
    </row>
    <row r="90" spans="2:22" ht="15" thickTop="1" x14ac:dyDescent="0.3">
      <c r="B90" s="296"/>
      <c r="R90" s="21"/>
      <c r="V90" s="296"/>
    </row>
    <row r="91" spans="2:22" ht="15" thickBot="1" x14ac:dyDescent="0.35">
      <c r="B91" s="296"/>
      <c r="R91" s="21"/>
      <c r="V91" s="296"/>
    </row>
    <row r="92" spans="2:22" ht="15.6" thickTop="1" thickBot="1" x14ac:dyDescent="0.35">
      <c r="B92" s="296"/>
      <c r="D92" s="297">
        <f>+OUT_4!O105</f>
        <v>53086.5</v>
      </c>
      <c r="F92" s="20">
        <f>+M81</f>
        <v>10572</v>
      </c>
      <c r="R92" s="28">
        <f>+V_6!O105</f>
        <v>2900</v>
      </c>
      <c r="T92" s="297">
        <f>+IN_2!O105</f>
        <v>34925.5</v>
      </c>
      <c r="V92" s="296"/>
    </row>
    <row r="93" spans="2:22" ht="15.6" thickTop="1" thickBot="1" x14ac:dyDescent="0.35">
      <c r="D93" s="298"/>
      <c r="F93" s="20">
        <f>+R93</f>
        <v>25756</v>
      </c>
      <c r="R93" s="28">
        <f>+V_5!O105</f>
        <v>25756</v>
      </c>
      <c r="T93" s="298"/>
    </row>
    <row r="94" spans="2:22" ht="15.6" thickTop="1" thickBot="1" x14ac:dyDescent="0.35">
      <c r="D94" s="298"/>
      <c r="F94" s="28">
        <f>+I100</f>
        <v>16758.5</v>
      </c>
      <c r="R94" s="28">
        <f>+V_4!O105</f>
        <v>6269.5</v>
      </c>
      <c r="T94" s="298"/>
    </row>
    <row r="95" spans="2:22" ht="15.6" thickTop="1" thickBot="1" x14ac:dyDescent="0.35">
      <c r="D95" s="22"/>
      <c r="E95" s="22"/>
      <c r="F95" s="22"/>
      <c r="R95" s="22"/>
      <c r="S95" s="22"/>
      <c r="T95" s="23"/>
    </row>
    <row r="96" spans="2:22" ht="15" thickTop="1" x14ac:dyDescent="0.3"/>
    <row r="99" spans="7:17" ht="15" thickBot="1" x14ac:dyDescent="0.35">
      <c r="G99" s="17"/>
      <c r="Q99" s="18"/>
    </row>
    <row r="100" spans="7:17" ht="15.6" thickTop="1" thickBot="1" x14ac:dyDescent="0.35">
      <c r="G100" s="17"/>
      <c r="I100" s="28">
        <f>+V_7!O105</f>
        <v>16758.5</v>
      </c>
      <c r="J100" s="28">
        <f>+V_8!O105</f>
        <v>15706</v>
      </c>
      <c r="K100" s="28">
        <f>+V_9!O105</f>
        <v>5074</v>
      </c>
      <c r="L100" s="21"/>
      <c r="M100" s="28">
        <f>+F89</f>
        <v>13158.5</v>
      </c>
      <c r="N100" s="28">
        <f>+N81</f>
        <v>16243.5</v>
      </c>
      <c r="O100" s="28">
        <f>+R94</f>
        <v>6269.5</v>
      </c>
      <c r="Q100" s="18"/>
    </row>
    <row r="101" spans="7:17" ht="15.6" thickTop="1" thickBot="1" x14ac:dyDescent="0.35">
      <c r="G101" s="17"/>
      <c r="Q101" s="18"/>
    </row>
    <row r="102" spans="7:17" ht="15.6" thickTop="1" thickBot="1" x14ac:dyDescent="0.35">
      <c r="G102" s="17"/>
      <c r="I102" s="294">
        <f>+IN_3!O105</f>
        <v>37538.5</v>
      </c>
      <c r="J102" s="295"/>
      <c r="K102" s="295"/>
      <c r="L102" s="19"/>
      <c r="M102" s="294">
        <f>+OUT_3!O105</f>
        <v>35671.5</v>
      </c>
      <c r="N102" s="295"/>
      <c r="O102" s="295"/>
      <c r="Q102" s="18"/>
    </row>
    <row r="103" spans="7:17" ht="15" thickTop="1" x14ac:dyDescent="0.3">
      <c r="G103" s="17"/>
      <c r="Q103" s="18"/>
    </row>
    <row r="104" spans="7:17" ht="18" x14ac:dyDescent="0.35">
      <c r="G104" s="17"/>
      <c r="K104" s="292" t="str">
        <f>+K68</f>
        <v>Chomu Pulia</v>
      </c>
      <c r="L104" s="292"/>
      <c r="M104" s="292"/>
      <c r="Q104" s="18"/>
    </row>
    <row r="105" spans="7:17" x14ac:dyDescent="0.3">
      <c r="G105" s="17"/>
      <c r="Q105" s="18"/>
    </row>
  </sheetData>
  <mergeCells count="41">
    <mergeCell ref="I102:K102"/>
    <mergeCell ref="M102:O102"/>
    <mergeCell ref="K104:M104"/>
    <mergeCell ref="D87:D89"/>
    <mergeCell ref="T87:T89"/>
    <mergeCell ref="B88:B92"/>
    <mergeCell ref="V89:V92"/>
    <mergeCell ref="D92:D94"/>
    <mergeCell ref="T92:T94"/>
    <mergeCell ref="I66:K66"/>
    <mergeCell ref="M66:O66"/>
    <mergeCell ref="K68:M68"/>
    <mergeCell ref="C73:U73"/>
    <mergeCell ref="K76:M76"/>
    <mergeCell ref="I79:K79"/>
    <mergeCell ref="M79:O79"/>
    <mergeCell ref="D51:D53"/>
    <mergeCell ref="T51:T53"/>
    <mergeCell ref="B52:B56"/>
    <mergeCell ref="V53:V56"/>
    <mergeCell ref="D56:D58"/>
    <mergeCell ref="T56:T58"/>
    <mergeCell ref="K32:M32"/>
    <mergeCell ref="C36:U36"/>
    <mergeCell ref="K40:M40"/>
    <mergeCell ref="S40:U40"/>
    <mergeCell ref="I43:K43"/>
    <mergeCell ref="M43:O43"/>
    <mergeCell ref="B16:B20"/>
    <mergeCell ref="V17:V20"/>
    <mergeCell ref="D20:D22"/>
    <mergeCell ref="T20:T22"/>
    <mergeCell ref="I30:K30"/>
    <mergeCell ref="M30:O30"/>
    <mergeCell ref="D15:D17"/>
    <mergeCell ref="T15:T17"/>
    <mergeCell ref="C1:U1"/>
    <mergeCell ref="K4:M4"/>
    <mergeCell ref="S4:U4"/>
    <mergeCell ref="I7:K7"/>
    <mergeCell ref="M7:O7"/>
  </mergeCells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E2:N113"/>
  <sheetViews>
    <sheetView view="pageBreakPreview" zoomScale="85" zoomScaleSheetLayoutView="85" workbookViewId="0">
      <selection activeCell="L12" sqref="L12"/>
    </sheetView>
  </sheetViews>
  <sheetFormatPr defaultColWidth="9" defaultRowHeight="15.6" x14ac:dyDescent="0.3"/>
  <cols>
    <col min="12" max="12" width="11.8984375" bestFit="1" customWidth="1"/>
    <col min="13" max="13" width="39.5" bestFit="1" customWidth="1"/>
    <col min="14" max="14" width="11.19921875" bestFit="1" customWidth="1"/>
  </cols>
  <sheetData>
    <row r="2" spans="5:14" ht="16.2" thickBot="1" x14ac:dyDescent="0.35">
      <c r="E2" s="38" t="s">
        <v>278</v>
      </c>
    </row>
    <row r="3" spans="5:14" ht="16.2" thickBot="1" x14ac:dyDescent="0.35">
      <c r="M3" s="158" t="s">
        <v>7</v>
      </c>
      <c r="N3" s="159" t="s">
        <v>144</v>
      </c>
    </row>
    <row r="4" spans="5:14" ht="16.2" thickBot="1" x14ac:dyDescent="0.35">
      <c r="M4" s="160" t="s">
        <v>280</v>
      </c>
      <c r="N4" s="161">
        <f>Table!D12</f>
        <v>52.877255836676682</v>
      </c>
    </row>
    <row r="5" spans="5:14" ht="16.2" thickBot="1" x14ac:dyDescent="0.35">
      <c r="M5" s="162" t="s">
        <v>281</v>
      </c>
      <c r="N5" s="161">
        <f>Table!E12</f>
        <v>33.086591558470396</v>
      </c>
    </row>
    <row r="6" spans="5:14" ht="16.2" thickBot="1" x14ac:dyDescent="0.35">
      <c r="M6" s="163" t="s">
        <v>282</v>
      </c>
      <c r="N6" s="161">
        <f>Table!F12</f>
        <v>4.4213658637689317</v>
      </c>
    </row>
    <row r="7" spans="5:14" ht="16.2" thickBot="1" x14ac:dyDescent="0.35">
      <c r="M7" s="163" t="s">
        <v>283</v>
      </c>
      <c r="N7" s="161">
        <f>Table!G12</f>
        <v>2.8328423172013562</v>
      </c>
    </row>
    <row r="8" spans="5:14" x14ac:dyDescent="0.3">
      <c r="M8" s="163" t="s">
        <v>284</v>
      </c>
      <c r="N8" s="161">
        <f>Table!H12</f>
        <v>6.0565236057856016</v>
      </c>
    </row>
    <row r="9" spans="5:14" x14ac:dyDescent="0.3">
      <c r="M9" s="163" t="s">
        <v>150</v>
      </c>
      <c r="N9" s="164">
        <f>Table!J12</f>
        <v>9.4748841547367013E-2</v>
      </c>
    </row>
    <row r="10" spans="5:14" x14ac:dyDescent="0.3">
      <c r="M10" s="163" t="s">
        <v>151</v>
      </c>
      <c r="N10" s="164">
        <f>Table!K12</f>
        <v>1.4804506491776096E-3</v>
      </c>
    </row>
    <row r="11" spans="5:14" x14ac:dyDescent="0.3">
      <c r="M11" s="163" t="s">
        <v>285</v>
      </c>
      <c r="N11" s="164">
        <f>Table!L12</f>
        <v>8.8827038950656575E-3</v>
      </c>
    </row>
    <row r="12" spans="5:14" ht="16.2" thickBot="1" x14ac:dyDescent="0.35">
      <c r="M12" s="165" t="s">
        <v>286</v>
      </c>
      <c r="N12" s="166">
        <f>Table!M12</f>
        <v>7.4022532458880479E-4</v>
      </c>
    </row>
    <row r="13" spans="5:14" ht="16.2" thickBot="1" x14ac:dyDescent="0.35">
      <c r="M13" s="165" t="s">
        <v>287</v>
      </c>
      <c r="N13" s="166">
        <f>Table!N12</f>
        <v>0.61956859668082964</v>
      </c>
    </row>
    <row r="14" spans="5:14" x14ac:dyDescent="0.3">
      <c r="N14" s="167">
        <f>SUM(N4:N13)</f>
        <v>100</v>
      </c>
    </row>
    <row r="19" spans="12:14" ht="16.2" thickBot="1" x14ac:dyDescent="0.35"/>
    <row r="20" spans="12:14" ht="16.2" thickBot="1" x14ac:dyDescent="0.35">
      <c r="L20" s="168" t="s">
        <v>95</v>
      </c>
      <c r="M20" s="169" t="s">
        <v>60</v>
      </c>
      <c r="N20" s="170" t="s">
        <v>80</v>
      </c>
    </row>
    <row r="21" spans="12:14" x14ac:dyDescent="0.3">
      <c r="L21" s="171" t="str">
        <f>TOTAL_IN!A114</f>
        <v>0800 - 0900</v>
      </c>
      <c r="M21" s="172">
        <f>TOTAL_IN!N114</f>
        <v>8180</v>
      </c>
      <c r="N21" s="173">
        <f>TOTAL_IN!O114</f>
        <v>8670.5</v>
      </c>
    </row>
    <row r="22" spans="12:14" x14ac:dyDescent="0.3">
      <c r="L22" s="174" t="str">
        <f>TOTAL_IN!A115</f>
        <v>0815 - 0915</v>
      </c>
      <c r="M22" s="175">
        <f>TOTAL_IN!N115</f>
        <v>8739</v>
      </c>
      <c r="N22" s="176">
        <f>TOTAL_IN!O115</f>
        <v>9105</v>
      </c>
    </row>
    <row r="23" spans="12:14" x14ac:dyDescent="0.3">
      <c r="L23" s="174" t="str">
        <f>TOTAL_IN!A116</f>
        <v>0830 - 0930</v>
      </c>
      <c r="M23" s="175">
        <f>TOTAL_IN!N116</f>
        <v>9120</v>
      </c>
      <c r="N23" s="176">
        <f>TOTAL_IN!O116</f>
        <v>9261.5</v>
      </c>
    </row>
    <row r="24" spans="12:14" x14ac:dyDescent="0.3">
      <c r="L24" s="174" t="str">
        <f>TOTAL_IN!A117</f>
        <v>0845 - 0945</v>
      </c>
      <c r="M24" s="175">
        <f>TOTAL_IN!N117</f>
        <v>9743</v>
      </c>
      <c r="N24" s="176">
        <f>TOTAL_IN!O117</f>
        <v>9792</v>
      </c>
    </row>
    <row r="25" spans="12:14" x14ac:dyDescent="0.3">
      <c r="L25" s="174" t="str">
        <f>TOTAL_IN!A118</f>
        <v>0900 - 1000</v>
      </c>
      <c r="M25" s="175">
        <f>TOTAL_IN!N118</f>
        <v>10032</v>
      </c>
      <c r="N25" s="176">
        <f>TOTAL_IN!O118</f>
        <v>10038.5</v>
      </c>
    </row>
    <row r="26" spans="12:14" x14ac:dyDescent="0.3">
      <c r="L26" s="174" t="str">
        <f>TOTAL_IN!A119</f>
        <v>0915 - 1015</v>
      </c>
      <c r="M26" s="175">
        <f>TOTAL_IN!N119</f>
        <v>10161</v>
      </c>
      <c r="N26" s="176">
        <f>TOTAL_IN!O119</f>
        <v>10086</v>
      </c>
    </row>
    <row r="27" spans="12:14" x14ac:dyDescent="0.3">
      <c r="L27" s="214" t="str">
        <f>TOTAL_IN!A120</f>
        <v>0930 - 1030</v>
      </c>
      <c r="M27" s="215">
        <f>TOTAL_IN!N120</f>
        <v>10207</v>
      </c>
      <c r="N27" s="216">
        <f>TOTAL_IN!O120</f>
        <v>10288</v>
      </c>
    </row>
    <row r="28" spans="12:14" x14ac:dyDescent="0.3">
      <c r="L28" s="174" t="str">
        <f>TOTAL_IN!A121</f>
        <v>0945 - 1045</v>
      </c>
      <c r="M28" s="175">
        <f>TOTAL_IN!N121</f>
        <v>9615</v>
      </c>
      <c r="N28" s="176">
        <f>TOTAL_IN!O121</f>
        <v>9886.5</v>
      </c>
    </row>
    <row r="29" spans="12:14" x14ac:dyDescent="0.3">
      <c r="L29" s="174" t="str">
        <f>TOTAL_IN!A122</f>
        <v>1000 - 1100</v>
      </c>
      <c r="M29" s="175">
        <f>TOTAL_IN!N122</f>
        <v>9271</v>
      </c>
      <c r="N29" s="176">
        <f>TOTAL_IN!O122</f>
        <v>9754.5</v>
      </c>
    </row>
    <row r="30" spans="12:14" x14ac:dyDescent="0.3">
      <c r="L30" s="174" t="str">
        <f>TOTAL_IN!A123</f>
        <v>1015 - 1115</v>
      </c>
      <c r="M30" s="175">
        <f>TOTAL_IN!N123</f>
        <v>8817</v>
      </c>
      <c r="N30" s="176">
        <f>TOTAL_IN!O123</f>
        <v>9440.5</v>
      </c>
    </row>
    <row r="31" spans="12:14" x14ac:dyDescent="0.3">
      <c r="L31" s="174" t="str">
        <f>TOTAL_IN!A124</f>
        <v>1030 - 1130</v>
      </c>
      <c r="M31" s="175">
        <f>TOTAL_IN!N124</f>
        <v>8913</v>
      </c>
      <c r="N31" s="176">
        <f>TOTAL_IN!O124</f>
        <v>9657</v>
      </c>
    </row>
    <row r="32" spans="12:14" x14ac:dyDescent="0.3">
      <c r="L32" s="174" t="str">
        <f>TOTAL_IN!A125</f>
        <v>1045 - 1145</v>
      </c>
      <c r="M32" s="175">
        <f>TOTAL_IN!N125</f>
        <v>8665</v>
      </c>
      <c r="N32" s="176">
        <f>TOTAL_IN!O125</f>
        <v>9515</v>
      </c>
    </row>
    <row r="33" spans="12:14" x14ac:dyDescent="0.3">
      <c r="L33" s="174" t="str">
        <f>TOTAL_IN!A126</f>
        <v>1100 - 1200</v>
      </c>
      <c r="M33" s="175">
        <f>TOTAL_IN!N126</f>
        <v>8475</v>
      </c>
      <c r="N33" s="176">
        <f>TOTAL_IN!O126</f>
        <v>9485</v>
      </c>
    </row>
    <row r="34" spans="12:14" x14ac:dyDescent="0.3">
      <c r="L34" s="174" t="str">
        <f>TOTAL_IN!A127</f>
        <v>1115 - 1215</v>
      </c>
      <c r="M34" s="175">
        <f>TOTAL_IN!N127</f>
        <v>8284</v>
      </c>
      <c r="N34" s="176">
        <f>TOTAL_IN!O127</f>
        <v>9358.5</v>
      </c>
    </row>
    <row r="35" spans="12:14" x14ac:dyDescent="0.3">
      <c r="L35" s="174" t="str">
        <f>TOTAL_IN!A128</f>
        <v>1130 - 1230</v>
      </c>
      <c r="M35" s="175">
        <f>TOTAL_IN!N128</f>
        <v>7617</v>
      </c>
      <c r="N35" s="176">
        <f>TOTAL_IN!O128</f>
        <v>8777.5</v>
      </c>
    </row>
    <row r="36" spans="12:14" x14ac:dyDescent="0.3">
      <c r="L36" s="174" t="str">
        <f>TOTAL_IN!A129</f>
        <v>1145 - 1245</v>
      </c>
      <c r="M36" s="175">
        <f>TOTAL_IN!N129</f>
        <v>7547</v>
      </c>
      <c r="N36" s="176">
        <f>TOTAL_IN!O129</f>
        <v>8827.5</v>
      </c>
    </row>
    <row r="37" spans="12:14" x14ac:dyDescent="0.3">
      <c r="L37" s="174" t="str">
        <f>TOTAL_IN!A130</f>
        <v>1200 - 1300</v>
      </c>
      <c r="M37" s="175">
        <f>TOTAL_IN!N130</f>
        <v>7283</v>
      </c>
      <c r="N37" s="176">
        <f>TOTAL_IN!O130</f>
        <v>8546</v>
      </c>
    </row>
    <row r="38" spans="12:14" x14ac:dyDescent="0.3">
      <c r="L38" s="174" t="str">
        <f>TOTAL_IN!A131</f>
        <v>1215 - 1315</v>
      </c>
      <c r="M38" s="175">
        <f>TOTAL_IN!N131</f>
        <v>7261</v>
      </c>
      <c r="N38" s="176">
        <f>TOTAL_IN!O131</f>
        <v>8566.5</v>
      </c>
    </row>
    <row r="39" spans="12:14" x14ac:dyDescent="0.3">
      <c r="L39" s="174" t="str">
        <f>TOTAL_IN!A132</f>
        <v>1230 - 1330</v>
      </c>
      <c r="M39" s="175">
        <f>TOTAL_IN!N132</f>
        <v>7281</v>
      </c>
      <c r="N39" s="176">
        <f>TOTAL_IN!O132</f>
        <v>8517.5</v>
      </c>
    </row>
    <row r="40" spans="12:14" x14ac:dyDescent="0.3">
      <c r="L40" s="174" t="str">
        <f>TOTAL_IN!A133</f>
        <v>1245 - 1345</v>
      </c>
      <c r="M40" s="175">
        <f>TOTAL_IN!N133</f>
        <v>7307</v>
      </c>
      <c r="N40" s="176">
        <f>TOTAL_IN!O133</f>
        <v>8358.5</v>
      </c>
    </row>
    <row r="41" spans="12:14" x14ac:dyDescent="0.3">
      <c r="L41" s="174" t="str">
        <f>TOTAL_IN!A134</f>
        <v>1300 - 1400</v>
      </c>
      <c r="M41" s="175">
        <f>TOTAL_IN!N134</f>
        <v>7522</v>
      </c>
      <c r="N41" s="176">
        <f>TOTAL_IN!O134</f>
        <v>8540.5</v>
      </c>
    </row>
    <row r="42" spans="12:14" x14ac:dyDescent="0.3">
      <c r="L42" s="174" t="str">
        <f>TOTAL_IN!A135</f>
        <v>1315 - 1415</v>
      </c>
      <c r="M42" s="175">
        <f>TOTAL_IN!N135</f>
        <v>7324</v>
      </c>
      <c r="N42" s="176">
        <f>TOTAL_IN!O135</f>
        <v>8361.5</v>
      </c>
    </row>
    <row r="43" spans="12:14" x14ac:dyDescent="0.3">
      <c r="L43" s="174" t="str">
        <f>TOTAL_IN!A136</f>
        <v>1330 - 1430</v>
      </c>
      <c r="M43" s="175">
        <f>TOTAL_IN!N136</f>
        <v>7109</v>
      </c>
      <c r="N43" s="176">
        <f>TOTAL_IN!O136</f>
        <v>8290</v>
      </c>
    </row>
    <row r="44" spans="12:14" x14ac:dyDescent="0.3">
      <c r="L44" s="174" t="str">
        <f>TOTAL_IN!A137</f>
        <v>1345 - 1445</v>
      </c>
      <c r="M44" s="175">
        <f>TOTAL_IN!N137</f>
        <v>6901</v>
      </c>
      <c r="N44" s="176">
        <f>TOTAL_IN!O137</f>
        <v>8173.5</v>
      </c>
    </row>
    <row r="45" spans="12:14" x14ac:dyDescent="0.3">
      <c r="L45" s="174" t="str">
        <f>TOTAL_IN!A138</f>
        <v>1400 - 1500</v>
      </c>
      <c r="M45" s="175">
        <f>TOTAL_IN!N138</f>
        <v>6640</v>
      </c>
      <c r="N45" s="176">
        <f>TOTAL_IN!O138</f>
        <v>7850.5</v>
      </c>
    </row>
    <row r="46" spans="12:14" x14ac:dyDescent="0.3">
      <c r="L46" s="174" t="str">
        <f>TOTAL_IN!A139</f>
        <v>1415 - 1515</v>
      </c>
      <c r="M46" s="175">
        <f>TOTAL_IN!N139</f>
        <v>6636</v>
      </c>
      <c r="N46" s="176">
        <f>TOTAL_IN!O139</f>
        <v>7918</v>
      </c>
    </row>
    <row r="47" spans="12:14" x14ac:dyDescent="0.3">
      <c r="L47" s="174" t="str">
        <f>TOTAL_IN!A140</f>
        <v>1430 - 1530</v>
      </c>
      <c r="M47" s="175">
        <f>TOTAL_IN!N140</f>
        <v>6800</v>
      </c>
      <c r="N47" s="176">
        <f>TOTAL_IN!O140</f>
        <v>8110.5</v>
      </c>
    </row>
    <row r="48" spans="12:14" x14ac:dyDescent="0.3">
      <c r="L48" s="174" t="str">
        <f>TOTAL_IN!A141</f>
        <v>1445 - 1545</v>
      </c>
      <c r="M48" s="175">
        <f>TOTAL_IN!N141</f>
        <v>6792</v>
      </c>
      <c r="N48" s="176">
        <f>TOTAL_IN!O141</f>
        <v>8210.5</v>
      </c>
    </row>
    <row r="49" spans="12:14" x14ac:dyDescent="0.3">
      <c r="L49" s="174" t="str">
        <f>TOTAL_IN!A142</f>
        <v>1500 - 1600</v>
      </c>
      <c r="M49" s="175">
        <f>TOTAL_IN!N142</f>
        <v>6904</v>
      </c>
      <c r="N49" s="176">
        <f>TOTAL_IN!O142</f>
        <v>8442.5</v>
      </c>
    </row>
    <row r="50" spans="12:14" x14ac:dyDescent="0.3">
      <c r="L50" s="174" t="str">
        <f>TOTAL_IN!A143</f>
        <v>1515 - 1615</v>
      </c>
      <c r="M50" s="175">
        <f>TOTAL_IN!N143</f>
        <v>7151</v>
      </c>
      <c r="N50" s="176">
        <f>TOTAL_IN!O143</f>
        <v>8594.5</v>
      </c>
    </row>
    <row r="51" spans="12:14" x14ac:dyDescent="0.3">
      <c r="L51" s="174" t="str">
        <f>TOTAL_IN!A144</f>
        <v>1530 - 1630</v>
      </c>
      <c r="M51" s="175">
        <f>TOTAL_IN!N144</f>
        <v>7339</v>
      </c>
      <c r="N51" s="176">
        <f>TOTAL_IN!O144</f>
        <v>8628</v>
      </c>
    </row>
    <row r="52" spans="12:14" x14ac:dyDescent="0.3">
      <c r="L52" s="174" t="str">
        <f>TOTAL_IN!A145</f>
        <v>1545 - 1645</v>
      </c>
      <c r="M52" s="175">
        <f>TOTAL_IN!N145</f>
        <v>7758</v>
      </c>
      <c r="N52" s="176">
        <f>TOTAL_IN!O145</f>
        <v>8894</v>
      </c>
    </row>
    <row r="53" spans="12:14" x14ac:dyDescent="0.3">
      <c r="L53" s="174" t="str">
        <f>TOTAL_IN!A146</f>
        <v>1600 - 1700</v>
      </c>
      <c r="M53" s="175">
        <f>TOTAL_IN!N146</f>
        <v>7955</v>
      </c>
      <c r="N53" s="176">
        <f>TOTAL_IN!O146</f>
        <v>9049</v>
      </c>
    </row>
    <row r="54" spans="12:14" x14ac:dyDescent="0.3">
      <c r="L54" s="174" t="str">
        <f>TOTAL_IN!A147</f>
        <v>1615 - 1715</v>
      </c>
      <c r="M54" s="175">
        <f>TOTAL_IN!N147</f>
        <v>8332</v>
      </c>
      <c r="N54" s="176">
        <f>TOTAL_IN!O147</f>
        <v>9369.5</v>
      </c>
    </row>
    <row r="55" spans="12:14" x14ac:dyDescent="0.3">
      <c r="L55" s="174" t="str">
        <f>TOTAL_IN!A148</f>
        <v>1630 - 1730</v>
      </c>
      <c r="M55" s="175">
        <f>TOTAL_IN!N148</f>
        <v>8561</v>
      </c>
      <c r="N55" s="176">
        <f>TOTAL_IN!O148</f>
        <v>9534</v>
      </c>
    </row>
    <row r="56" spans="12:14" x14ac:dyDescent="0.3">
      <c r="L56" s="174" t="str">
        <f>TOTAL_IN!A149</f>
        <v>1645 - 1745</v>
      </c>
      <c r="M56" s="175">
        <f>TOTAL_IN!N149</f>
        <v>8617</v>
      </c>
      <c r="N56" s="176">
        <f>TOTAL_IN!O149</f>
        <v>9645.5</v>
      </c>
    </row>
    <row r="57" spans="12:14" x14ac:dyDescent="0.3">
      <c r="L57" s="174" t="str">
        <f>TOTAL_IN!A150</f>
        <v>1700 - 1800</v>
      </c>
      <c r="M57" s="175">
        <f>TOTAL_IN!N150</f>
        <v>8863</v>
      </c>
      <c r="N57" s="176">
        <f>TOTAL_IN!O150</f>
        <v>9851</v>
      </c>
    </row>
    <row r="58" spans="12:14" x14ac:dyDescent="0.3">
      <c r="L58" s="174" t="str">
        <f>TOTAL_IN!A151</f>
        <v>1715 - 1815</v>
      </c>
      <c r="M58" s="175">
        <f>TOTAL_IN!N151</f>
        <v>8716</v>
      </c>
      <c r="N58" s="176">
        <f>TOTAL_IN!O151</f>
        <v>9665</v>
      </c>
    </row>
    <row r="59" spans="12:14" x14ac:dyDescent="0.3">
      <c r="L59" s="174" t="str">
        <f>TOTAL_IN!A152</f>
        <v>1730 - 1830</v>
      </c>
      <c r="M59" s="175">
        <f>TOTAL_IN!N152</f>
        <v>8781</v>
      </c>
      <c r="N59" s="176">
        <f>TOTAL_IN!O152</f>
        <v>9817.5</v>
      </c>
    </row>
    <row r="60" spans="12:14" x14ac:dyDescent="0.3">
      <c r="L60" s="174" t="str">
        <f>TOTAL_IN!A153</f>
        <v>1745 - 1845</v>
      </c>
      <c r="M60" s="175">
        <f>TOTAL_IN!N153</f>
        <v>8957</v>
      </c>
      <c r="N60" s="176">
        <f>TOTAL_IN!O153</f>
        <v>9909.5</v>
      </c>
    </row>
    <row r="61" spans="12:14" x14ac:dyDescent="0.3">
      <c r="L61" s="214" t="str">
        <f>TOTAL_IN!A154</f>
        <v>1800 - 1900</v>
      </c>
      <c r="M61" s="215">
        <f>TOTAL_IN!N154</f>
        <v>8817</v>
      </c>
      <c r="N61" s="216">
        <f>TOTAL_IN!O154</f>
        <v>9758.5</v>
      </c>
    </row>
    <row r="62" spans="12:14" x14ac:dyDescent="0.3">
      <c r="L62" s="174" t="str">
        <f>TOTAL_IN!A155</f>
        <v>1815 - 1915</v>
      </c>
      <c r="M62" s="175">
        <f>TOTAL_IN!N155</f>
        <v>8544</v>
      </c>
      <c r="N62" s="176">
        <f>TOTAL_IN!O155</f>
        <v>9424.5</v>
      </c>
    </row>
    <row r="63" spans="12:14" x14ac:dyDescent="0.3">
      <c r="L63" s="174" t="str">
        <f>TOTAL_IN!A156</f>
        <v>1830 - 1930</v>
      </c>
      <c r="M63" s="175">
        <f>TOTAL_IN!N156</f>
        <v>8253</v>
      </c>
      <c r="N63" s="176">
        <f>TOTAL_IN!O156</f>
        <v>9128.5</v>
      </c>
    </row>
    <row r="64" spans="12:14" x14ac:dyDescent="0.3">
      <c r="L64" s="174" t="str">
        <f>TOTAL_IN!A157</f>
        <v>1845 - 1945</v>
      </c>
      <c r="M64" s="175">
        <f>TOTAL_IN!N157</f>
        <v>7972</v>
      </c>
      <c r="N64" s="176">
        <f>TOTAL_IN!O157</f>
        <v>8882.5</v>
      </c>
    </row>
    <row r="65" spans="12:14" x14ac:dyDescent="0.3">
      <c r="L65" s="174" t="str">
        <f>TOTAL_IN!A158</f>
        <v>1900 - 2000</v>
      </c>
      <c r="M65" s="175">
        <f>TOTAL_IN!N158</f>
        <v>7826</v>
      </c>
      <c r="N65" s="176">
        <f>TOTAL_IN!O158</f>
        <v>8745</v>
      </c>
    </row>
    <row r="66" spans="12:14" x14ac:dyDescent="0.3">
      <c r="L66" s="174" t="str">
        <f>TOTAL_IN!A159</f>
        <v>1915 - 2015</v>
      </c>
      <c r="M66" s="175">
        <f>TOTAL_IN!N159</f>
        <v>7987</v>
      </c>
      <c r="N66" s="176">
        <f>TOTAL_IN!O159</f>
        <v>8846</v>
      </c>
    </row>
    <row r="67" spans="12:14" x14ac:dyDescent="0.3">
      <c r="L67" s="174" t="str">
        <f>TOTAL_IN!A160</f>
        <v>1930 - 2030</v>
      </c>
      <c r="M67" s="175">
        <f>TOTAL_IN!N160</f>
        <v>7901</v>
      </c>
      <c r="N67" s="176">
        <f>TOTAL_IN!O160</f>
        <v>8577</v>
      </c>
    </row>
    <row r="68" spans="12:14" x14ac:dyDescent="0.3">
      <c r="L68" s="177" t="str">
        <f>TOTAL_IN!A161</f>
        <v>1945 - 2045</v>
      </c>
      <c r="M68" s="175">
        <f>TOTAL_IN!N161</f>
        <v>7461</v>
      </c>
      <c r="N68" s="176">
        <f>TOTAL_IN!O161</f>
        <v>8166</v>
      </c>
    </row>
    <row r="69" spans="12:14" x14ac:dyDescent="0.3">
      <c r="L69" s="177" t="str">
        <f>TOTAL_IN!A162</f>
        <v>2000 - 2100</v>
      </c>
      <c r="M69" s="175">
        <f>TOTAL_IN!N162</f>
        <v>7058</v>
      </c>
      <c r="N69" s="176">
        <f>TOTAL_IN!O162</f>
        <v>7825.5</v>
      </c>
    </row>
    <row r="70" spans="12:14" x14ac:dyDescent="0.3">
      <c r="L70" s="177" t="str">
        <f>TOTAL_IN!A163</f>
        <v>2015 - 2115</v>
      </c>
      <c r="M70" s="175">
        <f>TOTAL_IN!N163</f>
        <v>6499</v>
      </c>
      <c r="N70" s="176">
        <f>TOTAL_IN!O163</f>
        <v>7532.5</v>
      </c>
    </row>
    <row r="71" spans="12:14" x14ac:dyDescent="0.3">
      <c r="L71" s="177" t="str">
        <f>TOTAL_IN!A164</f>
        <v>2030 - 2130</v>
      </c>
      <c r="M71" s="175">
        <f>TOTAL_IN!N164</f>
        <v>5998</v>
      </c>
      <c r="N71" s="176">
        <f>TOTAL_IN!O164</f>
        <v>7301</v>
      </c>
    </row>
    <row r="72" spans="12:14" x14ac:dyDescent="0.3">
      <c r="L72" s="177" t="str">
        <f>TOTAL_IN!A165</f>
        <v>2045 - 2145</v>
      </c>
      <c r="M72" s="175">
        <f>TOTAL_IN!N165</f>
        <v>5655</v>
      </c>
      <c r="N72" s="176">
        <f>TOTAL_IN!O165</f>
        <v>7134</v>
      </c>
    </row>
    <row r="73" spans="12:14" x14ac:dyDescent="0.3">
      <c r="L73" s="177" t="str">
        <f>TOTAL_IN!A166</f>
        <v>2100 - 2200</v>
      </c>
      <c r="M73" s="175">
        <f>TOTAL_IN!N166</f>
        <v>5218</v>
      </c>
      <c r="N73" s="176">
        <f>TOTAL_IN!O166</f>
        <v>6699.5</v>
      </c>
    </row>
    <row r="74" spans="12:14" x14ac:dyDescent="0.3">
      <c r="L74" s="177" t="str">
        <f>TOTAL_IN!A167</f>
        <v>2115 - 2215</v>
      </c>
      <c r="M74" s="175">
        <f>TOTAL_IN!N167</f>
        <v>4708</v>
      </c>
      <c r="N74" s="176">
        <f>TOTAL_IN!O167</f>
        <v>6229.5</v>
      </c>
    </row>
    <row r="75" spans="12:14" x14ac:dyDescent="0.3">
      <c r="L75" s="177" t="str">
        <f>TOTAL_IN!A168</f>
        <v>2130 - 2230</v>
      </c>
      <c r="M75" s="175">
        <f>TOTAL_IN!N168</f>
        <v>4214</v>
      </c>
      <c r="N75" s="176">
        <f>TOTAL_IN!O168</f>
        <v>5871.5</v>
      </c>
    </row>
    <row r="76" spans="12:14" x14ac:dyDescent="0.3">
      <c r="L76" s="177" t="str">
        <f>TOTAL_IN!A169</f>
        <v>2145 - 2245</v>
      </c>
      <c r="M76" s="175">
        <f>TOTAL_IN!N169</f>
        <v>3761</v>
      </c>
      <c r="N76" s="176">
        <f>TOTAL_IN!O169</f>
        <v>5427.5</v>
      </c>
    </row>
    <row r="77" spans="12:14" x14ac:dyDescent="0.3">
      <c r="L77" s="177" t="str">
        <f>TOTAL_IN!A170</f>
        <v>2200 - 2300</v>
      </c>
      <c r="M77" s="175">
        <f>TOTAL_IN!N170</f>
        <v>3371</v>
      </c>
      <c r="N77" s="176">
        <f>TOTAL_IN!O170</f>
        <v>5069.5</v>
      </c>
    </row>
    <row r="78" spans="12:14" x14ac:dyDescent="0.3">
      <c r="L78" s="177" t="str">
        <f>TOTAL_IN!A171</f>
        <v>2215 - 2315</v>
      </c>
      <c r="M78" s="175">
        <f>TOTAL_IN!N171</f>
        <v>3108</v>
      </c>
      <c r="N78" s="176">
        <f>TOTAL_IN!O171</f>
        <v>4845.5</v>
      </c>
    </row>
    <row r="79" spans="12:14" x14ac:dyDescent="0.3">
      <c r="L79" s="177" t="str">
        <f>TOTAL_IN!A172</f>
        <v>2230 - 2330</v>
      </c>
      <c r="M79" s="175">
        <f>TOTAL_IN!N172</f>
        <v>2856</v>
      </c>
      <c r="N79" s="176">
        <f>TOTAL_IN!O172</f>
        <v>4494</v>
      </c>
    </row>
    <row r="80" spans="12:14" x14ac:dyDescent="0.3">
      <c r="L80" s="177" t="str">
        <f>TOTAL_IN!A173</f>
        <v>2245 - 2345</v>
      </c>
      <c r="M80" s="175">
        <f>TOTAL_IN!N173</f>
        <v>2607</v>
      </c>
      <c r="N80" s="176">
        <f>TOTAL_IN!O173</f>
        <v>4264.5</v>
      </c>
    </row>
    <row r="81" spans="12:14" x14ac:dyDescent="0.3">
      <c r="L81" s="177" t="str">
        <f>TOTAL_IN!A174</f>
        <v>2300 - 2400</v>
      </c>
      <c r="M81" s="175">
        <f>TOTAL_IN!N174</f>
        <v>2352</v>
      </c>
      <c r="N81" s="176">
        <f>TOTAL_IN!O174</f>
        <v>4135.5</v>
      </c>
    </row>
    <row r="82" spans="12:14" x14ac:dyDescent="0.3">
      <c r="L82" s="177" t="str">
        <f>TOTAL_IN!A175</f>
        <v>0000 - 0100</v>
      </c>
      <c r="M82" s="175">
        <f>TOTAL_IN!N175</f>
        <v>2122</v>
      </c>
      <c r="N82" s="176">
        <f>TOTAL_IN!O175</f>
        <v>3817</v>
      </c>
    </row>
    <row r="83" spans="12:14" x14ac:dyDescent="0.3">
      <c r="L83" s="177" t="str">
        <f>TOTAL_IN!A176</f>
        <v>0015 - 0115</v>
      </c>
      <c r="M83" s="175">
        <f>TOTAL_IN!N176</f>
        <v>1901</v>
      </c>
      <c r="N83" s="176">
        <f>TOTAL_IN!O176</f>
        <v>3471</v>
      </c>
    </row>
    <row r="84" spans="12:14" x14ac:dyDescent="0.3">
      <c r="L84" s="177" t="str">
        <f>TOTAL_IN!A177</f>
        <v>0030 - 0130</v>
      </c>
      <c r="M84" s="175">
        <f>TOTAL_IN!N177</f>
        <v>1715</v>
      </c>
      <c r="N84" s="176">
        <f>TOTAL_IN!O177</f>
        <v>3073</v>
      </c>
    </row>
    <row r="85" spans="12:14" x14ac:dyDescent="0.3">
      <c r="L85" s="177" t="str">
        <f>TOTAL_IN!A178</f>
        <v>0045 - 0145</v>
      </c>
      <c r="M85" s="175">
        <f>TOTAL_IN!N178</f>
        <v>1601</v>
      </c>
      <c r="N85" s="176">
        <f>TOTAL_IN!O178</f>
        <v>2798.5</v>
      </c>
    </row>
    <row r="86" spans="12:14" x14ac:dyDescent="0.3">
      <c r="L86" s="177" t="str">
        <f>TOTAL_IN!A179</f>
        <v>0100 - 0200</v>
      </c>
      <c r="M86" s="175">
        <f>TOTAL_IN!N179</f>
        <v>1464</v>
      </c>
      <c r="N86" s="176">
        <f>TOTAL_IN!O179</f>
        <v>2535.5</v>
      </c>
    </row>
    <row r="87" spans="12:14" x14ac:dyDescent="0.3">
      <c r="L87" s="177" t="str">
        <f>TOTAL_IN!A180</f>
        <v xml:space="preserve">0115 - 0215 </v>
      </c>
      <c r="M87" s="175">
        <f>TOTAL_IN!N180</f>
        <v>1344</v>
      </c>
      <c r="N87" s="176">
        <f>TOTAL_IN!O180</f>
        <v>2387</v>
      </c>
    </row>
    <row r="88" spans="12:14" x14ac:dyDescent="0.3">
      <c r="L88" s="177" t="str">
        <f>TOTAL_IN!A181</f>
        <v>0130 - 0230</v>
      </c>
      <c r="M88" s="175">
        <f>TOTAL_IN!N181</f>
        <v>1219</v>
      </c>
      <c r="N88" s="176">
        <f>TOTAL_IN!O181</f>
        <v>2206.5</v>
      </c>
    </row>
    <row r="89" spans="12:14" x14ac:dyDescent="0.3">
      <c r="L89" s="177" t="str">
        <f>TOTAL_IN!A182</f>
        <v>0145 - 0245</v>
      </c>
      <c r="M89" s="175">
        <f>TOTAL_IN!N182</f>
        <v>1111</v>
      </c>
      <c r="N89" s="176">
        <f>TOTAL_IN!O182</f>
        <v>2074.5</v>
      </c>
    </row>
    <row r="90" spans="12:14" x14ac:dyDescent="0.3">
      <c r="L90" s="177" t="str">
        <f>TOTAL_IN!A183</f>
        <v>0200 - 0300</v>
      </c>
      <c r="M90" s="175">
        <f>TOTAL_IN!N183</f>
        <v>1006</v>
      </c>
      <c r="N90" s="176">
        <f>TOTAL_IN!O183</f>
        <v>1952.5</v>
      </c>
    </row>
    <row r="91" spans="12:14" x14ac:dyDescent="0.3">
      <c r="L91" s="177" t="str">
        <f>TOTAL_IN!A184</f>
        <v>0215 - 0315</v>
      </c>
      <c r="M91" s="175">
        <f>TOTAL_IN!N184</f>
        <v>925</v>
      </c>
      <c r="N91" s="176">
        <f>TOTAL_IN!O184</f>
        <v>1798</v>
      </c>
    </row>
    <row r="92" spans="12:14" x14ac:dyDescent="0.3">
      <c r="L92" s="177" t="str">
        <f>TOTAL_IN!A185</f>
        <v>0230 - 0330</v>
      </c>
      <c r="M92" s="175">
        <f>TOTAL_IN!N185</f>
        <v>891</v>
      </c>
      <c r="N92" s="176">
        <f>TOTAL_IN!O185</f>
        <v>1692</v>
      </c>
    </row>
    <row r="93" spans="12:14" x14ac:dyDescent="0.3">
      <c r="L93" s="177" t="str">
        <f>TOTAL_IN!A186</f>
        <v>0245 - 0345</v>
      </c>
      <c r="M93" s="175">
        <f>TOTAL_IN!N186</f>
        <v>816</v>
      </c>
      <c r="N93" s="176">
        <f>TOTAL_IN!O186</f>
        <v>1500.5</v>
      </c>
    </row>
    <row r="94" spans="12:14" x14ac:dyDescent="0.3">
      <c r="L94" s="177" t="str">
        <f>TOTAL_IN!A187</f>
        <v>0300 - 0400</v>
      </c>
      <c r="M94" s="175">
        <f>TOTAL_IN!N187</f>
        <v>803</v>
      </c>
      <c r="N94" s="176">
        <f>TOTAL_IN!O187</f>
        <v>1430</v>
      </c>
    </row>
    <row r="95" spans="12:14" x14ac:dyDescent="0.3">
      <c r="L95" s="177" t="str">
        <f>TOTAL_IN!A188</f>
        <v>0315 - 0415</v>
      </c>
      <c r="M95" s="175">
        <f>TOTAL_IN!N188</f>
        <v>809</v>
      </c>
      <c r="N95" s="176">
        <f>TOTAL_IN!O188</f>
        <v>1473</v>
      </c>
    </row>
    <row r="96" spans="12:14" x14ac:dyDescent="0.3">
      <c r="L96" s="177" t="str">
        <f>TOTAL_IN!A189</f>
        <v>0330 - 0430</v>
      </c>
      <c r="M96" s="175">
        <f>TOTAL_IN!N189</f>
        <v>809</v>
      </c>
      <c r="N96" s="176">
        <f>TOTAL_IN!O189</f>
        <v>1520</v>
      </c>
    </row>
    <row r="97" spans="12:14" x14ac:dyDescent="0.3">
      <c r="L97" s="177" t="str">
        <f>TOTAL_IN!A190</f>
        <v>0345 - 0445</v>
      </c>
      <c r="M97" s="175">
        <f>TOTAL_IN!N190</f>
        <v>846</v>
      </c>
      <c r="N97" s="176">
        <f>TOTAL_IN!O190</f>
        <v>1623.5</v>
      </c>
    </row>
    <row r="98" spans="12:14" x14ac:dyDescent="0.3">
      <c r="L98" s="177" t="str">
        <f>TOTAL_IN!A191</f>
        <v>0400 - 0500</v>
      </c>
      <c r="M98" s="175">
        <f>TOTAL_IN!N191</f>
        <v>932</v>
      </c>
      <c r="N98" s="176">
        <f>TOTAL_IN!O191</f>
        <v>1768</v>
      </c>
    </row>
    <row r="99" spans="12:14" x14ac:dyDescent="0.3">
      <c r="L99" s="177" t="str">
        <f>TOTAL_IN!A192</f>
        <v>0415 - 0530</v>
      </c>
      <c r="M99" s="175">
        <f>TOTAL_IN!N192</f>
        <v>1001</v>
      </c>
      <c r="N99" s="176">
        <f>TOTAL_IN!O192</f>
        <v>1844.5</v>
      </c>
    </row>
    <row r="100" spans="12:14" x14ac:dyDescent="0.3">
      <c r="L100" s="177" t="str">
        <f>TOTAL_IN!A193</f>
        <v>0430 - 0530</v>
      </c>
      <c r="M100" s="175">
        <f>TOTAL_IN!N193</f>
        <v>1095</v>
      </c>
      <c r="N100" s="176">
        <f>TOTAL_IN!O193</f>
        <v>1925.5</v>
      </c>
    </row>
    <row r="101" spans="12:14" x14ac:dyDescent="0.3">
      <c r="L101" s="177" t="str">
        <f>TOTAL_IN!A194</f>
        <v>0445 - 0545</v>
      </c>
      <c r="M101" s="175">
        <f>TOTAL_IN!N194</f>
        <v>1152</v>
      </c>
      <c r="N101" s="176">
        <f>TOTAL_IN!O194</f>
        <v>1926.5</v>
      </c>
    </row>
    <row r="102" spans="12:14" x14ac:dyDescent="0.3">
      <c r="L102" s="177" t="str">
        <f>TOTAL_IN!A195</f>
        <v>0500 - 0600</v>
      </c>
      <c r="M102" s="175">
        <f>TOTAL_IN!N195</f>
        <v>1219</v>
      </c>
      <c r="N102" s="176">
        <f>TOTAL_IN!O195</f>
        <v>1984.5</v>
      </c>
    </row>
    <row r="103" spans="12:14" x14ac:dyDescent="0.3">
      <c r="L103" s="177" t="str">
        <f>TOTAL_IN!A196</f>
        <v>0515-0615</v>
      </c>
      <c r="M103" s="175">
        <f>TOTAL_IN!N196</f>
        <v>1325</v>
      </c>
      <c r="N103" s="176">
        <f>TOTAL_IN!O196</f>
        <v>2120</v>
      </c>
    </row>
    <row r="104" spans="12:14" x14ac:dyDescent="0.3">
      <c r="L104" s="177" t="str">
        <f>TOTAL_IN!A197</f>
        <v>0530-0630</v>
      </c>
      <c r="M104" s="175">
        <f>TOTAL_IN!N197</f>
        <v>1639</v>
      </c>
      <c r="N104" s="176">
        <f>TOTAL_IN!O197</f>
        <v>2488.5</v>
      </c>
    </row>
    <row r="105" spans="12:14" x14ac:dyDescent="0.3">
      <c r="L105" s="177" t="str">
        <f>TOTAL_IN!A198</f>
        <v>0545-0645</v>
      </c>
      <c r="M105" s="175">
        <f>TOTAL_IN!N198</f>
        <v>2110</v>
      </c>
      <c r="N105" s="176">
        <f>TOTAL_IN!O198</f>
        <v>3023</v>
      </c>
    </row>
    <row r="106" spans="12:14" x14ac:dyDescent="0.3">
      <c r="L106" s="177" t="str">
        <f>TOTAL_IN!A199</f>
        <v>0600 - 0700</v>
      </c>
      <c r="M106" s="175">
        <f>TOTAL_IN!N199</f>
        <v>2610</v>
      </c>
      <c r="N106" s="176">
        <f>TOTAL_IN!O199</f>
        <v>3502</v>
      </c>
    </row>
    <row r="107" spans="12:14" x14ac:dyDescent="0.3">
      <c r="L107" s="177" t="str">
        <f>TOTAL_IN!A200</f>
        <v>0615 - 0715</v>
      </c>
      <c r="M107" s="175">
        <f>TOTAL_IN!N200</f>
        <v>3201</v>
      </c>
      <c r="N107" s="176">
        <f>TOTAL_IN!O200</f>
        <v>3978</v>
      </c>
    </row>
    <row r="108" spans="12:14" x14ac:dyDescent="0.3">
      <c r="L108" s="177" t="str">
        <f>TOTAL_IN!A201</f>
        <v>0630 - 0730</v>
      </c>
      <c r="M108" s="175">
        <f>TOTAL_IN!N201</f>
        <v>3830</v>
      </c>
      <c r="N108" s="176">
        <f>TOTAL_IN!O201</f>
        <v>4469.5</v>
      </c>
    </row>
    <row r="109" spans="12:14" x14ac:dyDescent="0.3">
      <c r="L109" s="177" t="str">
        <f>TOTAL_IN!A202</f>
        <v>0645 - 0745</v>
      </c>
      <c r="M109" s="175">
        <f>TOTAL_IN!N202</f>
        <v>4422</v>
      </c>
      <c r="N109" s="176">
        <f>TOTAL_IN!O202</f>
        <v>4888</v>
      </c>
    </row>
    <row r="110" spans="12:14" x14ac:dyDescent="0.3">
      <c r="L110" s="177" t="str">
        <f>TOTAL_IN!A203</f>
        <v>0700 - 0800</v>
      </c>
      <c r="M110" s="175">
        <f>TOTAL_IN!N203</f>
        <v>5114</v>
      </c>
      <c r="N110" s="176">
        <f>TOTAL_IN!O203</f>
        <v>5531.5</v>
      </c>
    </row>
    <row r="111" spans="12:14" x14ac:dyDescent="0.3">
      <c r="L111" s="177" t="str">
        <f>TOTAL_IN!A204</f>
        <v>0715 - 0815</v>
      </c>
      <c r="M111" s="175">
        <f>TOTAL_IN!N204</f>
        <v>5909</v>
      </c>
      <c r="N111" s="176">
        <f>TOTAL_IN!O204</f>
        <v>6321.5</v>
      </c>
    </row>
    <row r="112" spans="12:14" x14ac:dyDescent="0.3">
      <c r="L112" s="177" t="str">
        <f>TOTAL_IN!A205</f>
        <v>0730 - 0830</v>
      </c>
      <c r="M112" s="175">
        <f>TOTAL_IN!N205</f>
        <v>6549</v>
      </c>
      <c r="N112" s="176">
        <f>TOTAL_IN!O205</f>
        <v>6942</v>
      </c>
    </row>
    <row r="113" spans="12:14" ht="16.2" thickBot="1" x14ac:dyDescent="0.35">
      <c r="L113" s="178" t="str">
        <f>TOTAL_IN!A206</f>
        <v>0745 - 0845</v>
      </c>
      <c r="M113" s="179">
        <f>TOTAL_IN!N206</f>
        <v>7269</v>
      </c>
      <c r="N113" s="180">
        <f>TOTAL_IN!O206</f>
        <v>7549.5</v>
      </c>
    </row>
  </sheetData>
  <phoneticPr fontId="24" type="noConversion"/>
  <pageMargins left="0.7" right="0.7" top="0.75" bottom="0.75" header="0.3" footer="0.3"/>
  <pageSetup paperSize="9" scale="48" orientation="portrait" verticalDpi="30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Y18"/>
  <sheetViews>
    <sheetView view="pageBreakPreview" zoomScale="85" zoomScaleNormal="70" zoomScaleSheetLayoutView="85" workbookViewId="0">
      <selection activeCell="C12" sqref="C12"/>
    </sheetView>
  </sheetViews>
  <sheetFormatPr defaultRowHeight="15.6" x14ac:dyDescent="0.3"/>
  <cols>
    <col min="1" max="1" width="10.59765625" customWidth="1"/>
    <col min="2" max="2" width="37.3984375" bestFit="1" customWidth="1"/>
    <col min="5" max="20" width="9" customWidth="1"/>
  </cols>
  <sheetData>
    <row r="1" spans="1:25" x14ac:dyDescent="0.3">
      <c r="A1" s="36" t="str">
        <f>Summary!A3</f>
        <v>Location Code:</v>
      </c>
      <c r="C1" s="4" t="str">
        <f>Summary!B3</f>
        <v>D2</v>
      </c>
    </row>
    <row r="2" spans="1:25" ht="16.2" thickBot="1" x14ac:dyDescent="0.35"/>
    <row r="3" spans="1:25" ht="33" customHeight="1" thickBot="1" x14ac:dyDescent="0.35">
      <c r="A3" s="300" t="s">
        <v>145</v>
      </c>
      <c r="B3" s="302" t="s">
        <v>146</v>
      </c>
      <c r="C3" s="258" t="s">
        <v>126</v>
      </c>
      <c r="D3" s="304" t="s">
        <v>128</v>
      </c>
      <c r="E3" s="250" t="s">
        <v>147</v>
      </c>
      <c r="F3" s="260" t="s">
        <v>149</v>
      </c>
      <c r="G3" s="256" t="s">
        <v>274</v>
      </c>
      <c r="H3" s="250" t="s">
        <v>275</v>
      </c>
      <c r="I3" s="250" t="s">
        <v>276</v>
      </c>
      <c r="J3" s="250" t="s">
        <v>273</v>
      </c>
      <c r="K3" s="250" t="s">
        <v>129</v>
      </c>
      <c r="L3" s="306" t="s">
        <v>79</v>
      </c>
      <c r="M3" s="307"/>
      <c r="N3" s="307"/>
      <c r="O3" s="307"/>
      <c r="P3" s="307"/>
      <c r="Q3" s="308"/>
      <c r="R3" s="250" t="s">
        <v>130</v>
      </c>
      <c r="S3" s="248" t="s">
        <v>150</v>
      </c>
      <c r="T3" s="250" t="s">
        <v>151</v>
      </c>
      <c r="U3" s="250" t="s">
        <v>152</v>
      </c>
      <c r="V3" s="248" t="s">
        <v>134</v>
      </c>
      <c r="W3" s="250" t="s">
        <v>78</v>
      </c>
      <c r="X3" s="250" t="s">
        <v>131</v>
      </c>
      <c r="Y3" s="250" t="s">
        <v>132</v>
      </c>
    </row>
    <row r="4" spans="1:25" ht="67.2" customHeight="1" thickBot="1" x14ac:dyDescent="0.35">
      <c r="A4" s="301"/>
      <c r="B4" s="303"/>
      <c r="C4" s="259"/>
      <c r="D4" s="305"/>
      <c r="E4" s="251"/>
      <c r="F4" s="261"/>
      <c r="G4" s="257"/>
      <c r="H4" s="251"/>
      <c r="I4" s="251"/>
      <c r="J4" s="251"/>
      <c r="K4" s="251"/>
      <c r="L4" s="119" t="s">
        <v>148</v>
      </c>
      <c r="M4" s="119" t="s">
        <v>272</v>
      </c>
      <c r="N4" s="120" t="s">
        <v>96</v>
      </c>
      <c r="O4" s="121" t="s">
        <v>133</v>
      </c>
      <c r="P4" s="119" t="s">
        <v>277</v>
      </c>
      <c r="Q4" s="120" t="s">
        <v>105</v>
      </c>
      <c r="R4" s="251"/>
      <c r="S4" s="249"/>
      <c r="T4" s="251"/>
      <c r="U4" s="251"/>
      <c r="V4" s="249"/>
      <c r="W4" s="251"/>
      <c r="X4" s="251"/>
      <c r="Y4" s="251"/>
    </row>
    <row r="5" spans="1:25" ht="16.2" thickBot="1" x14ac:dyDescent="0.35">
      <c r="A5" s="65"/>
      <c r="B5" s="33"/>
      <c r="C5" s="68"/>
      <c r="D5" s="68"/>
      <c r="E5" s="68"/>
      <c r="F5" s="68"/>
      <c r="G5" s="68"/>
      <c r="H5" s="68"/>
      <c r="I5" s="67"/>
      <c r="J5" s="67"/>
      <c r="K5" s="69"/>
      <c r="L5" s="69"/>
      <c r="M5" s="69"/>
      <c r="N5" s="69"/>
      <c r="O5" s="67"/>
      <c r="P5" s="67"/>
      <c r="Q5" s="69"/>
      <c r="R5" s="67"/>
      <c r="S5" s="67"/>
      <c r="T5" s="67"/>
    </row>
    <row r="6" spans="1:25" x14ac:dyDescent="0.3">
      <c r="A6" s="51" t="s">
        <v>124</v>
      </c>
      <c r="B6" s="82" t="str">
        <f>IN_1!B4</f>
        <v>Nindar</v>
      </c>
      <c r="C6" s="70">
        <f>IN_1!B104</f>
        <v>16454</v>
      </c>
      <c r="D6" s="70">
        <f>IN_1!C104</f>
        <v>10899</v>
      </c>
      <c r="E6" s="70">
        <f>IN_1!D104</f>
        <v>776</v>
      </c>
      <c r="F6" s="70">
        <f>IN_1!E104</f>
        <v>768</v>
      </c>
      <c r="G6" s="70">
        <f>IN_1!F104</f>
        <v>761</v>
      </c>
      <c r="H6" s="70" t="e">
        <f>IN_1!#REF!</f>
        <v>#REF!</v>
      </c>
      <c r="I6" s="70" t="e">
        <f>IN_1!#REF!</f>
        <v>#REF!</v>
      </c>
      <c r="J6" s="70" t="e">
        <f>IN_1!#REF!</f>
        <v>#REF!</v>
      </c>
      <c r="K6" s="107">
        <f>IN_1!G104</f>
        <v>29658</v>
      </c>
      <c r="L6" s="70" t="e">
        <f>IN_1!#REF!</f>
        <v>#REF!</v>
      </c>
      <c r="M6" s="70" t="e">
        <f>IN_1!#REF!</f>
        <v>#REF!</v>
      </c>
      <c r="N6" s="70" t="e">
        <f>IN_1!#REF!</f>
        <v>#REF!</v>
      </c>
      <c r="O6" s="70" t="e">
        <f>IN_1!#REF!</f>
        <v>#REF!</v>
      </c>
      <c r="P6" s="70" t="e">
        <f>IN_1!#REF!</f>
        <v>#REF!</v>
      </c>
      <c r="Q6" s="70" t="e">
        <f>IN_1!#REF!</f>
        <v>#REF!</v>
      </c>
      <c r="R6" s="107" t="e">
        <f>IN_1!#REF!</f>
        <v>#REF!</v>
      </c>
      <c r="S6" s="70">
        <f>IN_1!H104</f>
        <v>24</v>
      </c>
      <c r="T6" s="70">
        <f>IN_1!I104</f>
        <v>1</v>
      </c>
      <c r="U6" s="70">
        <f>IN_1!J104</f>
        <v>0</v>
      </c>
      <c r="V6" s="70">
        <f>IN_1!K104</f>
        <v>0</v>
      </c>
      <c r="W6" s="107">
        <f>IN_1!M104</f>
        <v>125</v>
      </c>
      <c r="X6" s="107">
        <f>IN_1!N104</f>
        <v>29783</v>
      </c>
      <c r="Y6" s="107">
        <f>IN_1!O104</f>
        <v>29609.5</v>
      </c>
    </row>
    <row r="7" spans="1:25" ht="16.2" thickBot="1" x14ac:dyDescent="0.35">
      <c r="A7" s="81" t="s">
        <v>125</v>
      </c>
      <c r="B7" s="83" t="str">
        <f>OUT_1!B4</f>
        <v>Nindar</v>
      </c>
      <c r="C7" s="71">
        <f>OUT_1!B104</f>
        <v>18608</v>
      </c>
      <c r="D7" s="71">
        <f>OUT_1!C104</f>
        <v>10531</v>
      </c>
      <c r="E7" s="71">
        <f>OUT_1!D104</f>
        <v>1297</v>
      </c>
      <c r="F7" s="71">
        <f>OUT_1!E104</f>
        <v>851</v>
      </c>
      <c r="G7" s="71">
        <f>OUT_1!F104</f>
        <v>911</v>
      </c>
      <c r="H7" s="71" t="e">
        <f>OUT_1!#REF!</f>
        <v>#REF!</v>
      </c>
      <c r="I7" s="71" t="e">
        <f>OUT_1!#REF!</f>
        <v>#REF!</v>
      </c>
      <c r="J7" s="71" t="e">
        <f>OUT_1!#REF!</f>
        <v>#REF!</v>
      </c>
      <c r="K7" s="108">
        <f>OUT_1!G104</f>
        <v>32198</v>
      </c>
      <c r="L7" s="71" t="e">
        <f>OUT_1!#REF!</f>
        <v>#REF!</v>
      </c>
      <c r="M7" s="71" t="e">
        <f>OUT_1!#REF!</f>
        <v>#REF!</v>
      </c>
      <c r="N7" s="71" t="e">
        <f>OUT_1!#REF!</f>
        <v>#REF!</v>
      </c>
      <c r="O7" s="71" t="e">
        <f>OUT_1!#REF!</f>
        <v>#REF!</v>
      </c>
      <c r="P7" s="71" t="e">
        <f>OUT_1!#REF!</f>
        <v>#REF!</v>
      </c>
      <c r="Q7" s="71" t="e">
        <f>OUT_1!#REF!</f>
        <v>#REF!</v>
      </c>
      <c r="R7" s="108" t="e">
        <f>OUT_1!#REF!</f>
        <v>#REF!</v>
      </c>
      <c r="S7" s="71">
        <f>OUT_1!H104</f>
        <v>4</v>
      </c>
      <c r="T7" s="71">
        <f>OUT_1!I104</f>
        <v>0</v>
      </c>
      <c r="U7" s="71">
        <f>OUT_1!J104</f>
        <v>3</v>
      </c>
      <c r="V7" s="71">
        <f>OUT_1!K104</f>
        <v>0</v>
      </c>
      <c r="W7" s="108">
        <f>OUT_1!M104</f>
        <v>99</v>
      </c>
      <c r="X7" s="108">
        <f>OUT_1!N104</f>
        <v>32297</v>
      </c>
      <c r="Y7" s="108">
        <f>OUT_1!O104</f>
        <v>33218.5</v>
      </c>
    </row>
    <row r="8" spans="1:25" ht="16.2" thickBot="1" x14ac:dyDescent="0.35">
      <c r="A8" s="3"/>
      <c r="C8" s="66"/>
      <c r="D8" s="38"/>
      <c r="E8" s="38"/>
      <c r="F8" s="38"/>
      <c r="G8" s="38"/>
      <c r="H8" s="38"/>
      <c r="K8" s="4"/>
      <c r="L8" s="38"/>
      <c r="M8" s="38"/>
      <c r="N8" s="38"/>
      <c r="Q8" s="38"/>
      <c r="R8" s="4"/>
      <c r="W8" s="4"/>
      <c r="X8" s="4"/>
      <c r="Y8" s="4"/>
    </row>
    <row r="9" spans="1:25" x14ac:dyDescent="0.3">
      <c r="A9" s="79" t="s">
        <v>112</v>
      </c>
      <c r="B9" s="82" t="str">
        <f>IN_2!B4</f>
        <v>Delhi</v>
      </c>
      <c r="C9" s="70">
        <f>IN_2!B104</f>
        <v>11918</v>
      </c>
      <c r="D9" s="70">
        <f>IN_2!C104</f>
        <v>6778</v>
      </c>
      <c r="E9" s="70">
        <f>IN_2!D104</f>
        <v>1988</v>
      </c>
      <c r="F9" s="70">
        <f>IN_2!E104</f>
        <v>631</v>
      </c>
      <c r="G9" s="70">
        <f>IN_2!F104</f>
        <v>3086</v>
      </c>
      <c r="H9" s="70" t="e">
        <f>IN_2!#REF!</f>
        <v>#REF!</v>
      </c>
      <c r="I9" s="70" t="e">
        <f>IN_2!#REF!</f>
        <v>#REF!</v>
      </c>
      <c r="J9" s="70" t="e">
        <f>IN_2!#REF!</f>
        <v>#REF!</v>
      </c>
      <c r="K9" s="107">
        <f>IN_2!G104</f>
        <v>24401</v>
      </c>
      <c r="L9" s="70" t="e">
        <f>IN_2!#REF!</f>
        <v>#REF!</v>
      </c>
      <c r="M9" s="70" t="e">
        <f>IN_2!#REF!</f>
        <v>#REF!</v>
      </c>
      <c r="N9" s="70" t="e">
        <f>IN_2!#REF!</f>
        <v>#REF!</v>
      </c>
      <c r="O9" s="70" t="e">
        <f>IN_2!#REF!</f>
        <v>#REF!</v>
      </c>
      <c r="P9" s="70" t="e">
        <f>IN_2!#REF!</f>
        <v>#REF!</v>
      </c>
      <c r="Q9" s="70" t="e">
        <f>IN_2!#REF!</f>
        <v>#REF!</v>
      </c>
      <c r="R9" s="107" t="e">
        <f>IN_2!#REF!</f>
        <v>#REF!</v>
      </c>
      <c r="S9" s="70">
        <f>IN_2!H104</f>
        <v>9</v>
      </c>
      <c r="T9" s="70">
        <f>IN_2!I104</f>
        <v>0</v>
      </c>
      <c r="U9" s="70">
        <f>IN_2!J104</f>
        <v>0</v>
      </c>
      <c r="V9" s="70">
        <f>IN_2!K104</f>
        <v>1</v>
      </c>
      <c r="W9" s="107">
        <f>IN_2!M104</f>
        <v>116</v>
      </c>
      <c r="X9" s="107">
        <f>IN_2!N104</f>
        <v>24517</v>
      </c>
      <c r="Y9" s="107">
        <f>IN_2!O104</f>
        <v>34925.5</v>
      </c>
    </row>
    <row r="10" spans="1:25" ht="16.2" thickBot="1" x14ac:dyDescent="0.35">
      <c r="A10" s="80" t="s">
        <v>113</v>
      </c>
      <c r="B10" s="83" t="str">
        <f>OUT_2!B4</f>
        <v>Delhi</v>
      </c>
      <c r="C10" s="71">
        <f>OUT_2!B104</f>
        <v>11417</v>
      </c>
      <c r="D10" s="71">
        <f>OUT_2!C104</f>
        <v>9592</v>
      </c>
      <c r="E10" s="71">
        <f>OUT_2!D104</f>
        <v>1508</v>
      </c>
      <c r="F10" s="71">
        <f>OUT_2!E104</f>
        <v>987</v>
      </c>
      <c r="G10" s="71">
        <f>OUT_2!F104</f>
        <v>2939</v>
      </c>
      <c r="H10" s="71" t="e">
        <f>OUT_2!#REF!</f>
        <v>#REF!</v>
      </c>
      <c r="I10" s="71" t="e">
        <f>OUT_2!#REF!</f>
        <v>#REF!</v>
      </c>
      <c r="J10" s="71" t="e">
        <f>OUT_2!#REF!</f>
        <v>#REF!</v>
      </c>
      <c r="K10" s="108">
        <f>OUT_2!G104</f>
        <v>26443</v>
      </c>
      <c r="L10" s="71" t="e">
        <f>OUT_2!#REF!</f>
        <v>#REF!</v>
      </c>
      <c r="M10" s="71" t="e">
        <f>OUT_2!#REF!</f>
        <v>#REF!</v>
      </c>
      <c r="N10" s="71" t="e">
        <f>OUT_2!#REF!</f>
        <v>#REF!</v>
      </c>
      <c r="O10" s="71" t="e">
        <f>OUT_2!#REF!</f>
        <v>#REF!</v>
      </c>
      <c r="P10" s="71" t="e">
        <f>OUT_2!#REF!</f>
        <v>#REF!</v>
      </c>
      <c r="Q10" s="71" t="e">
        <f>OUT_2!#REF!</f>
        <v>#REF!</v>
      </c>
      <c r="R10" s="108" t="e">
        <f>OUT_2!#REF!</f>
        <v>#REF!</v>
      </c>
      <c r="S10" s="71">
        <f>OUT_2!H104</f>
        <v>85</v>
      </c>
      <c r="T10" s="71">
        <f>OUT_2!I104</f>
        <v>2</v>
      </c>
      <c r="U10" s="71">
        <f>OUT_2!J104</f>
        <v>6</v>
      </c>
      <c r="V10" s="71">
        <f>OUT_2!K104</f>
        <v>0</v>
      </c>
      <c r="W10" s="108">
        <f>OUT_2!M104</f>
        <v>236</v>
      </c>
      <c r="X10" s="108">
        <f>OUT_2!N104</f>
        <v>26679</v>
      </c>
      <c r="Y10" s="108">
        <f>OUT_2!O104</f>
        <v>35869</v>
      </c>
    </row>
    <row r="11" spans="1:25" ht="16.2" thickBot="1" x14ac:dyDescent="0.35">
      <c r="A11" s="3"/>
      <c r="C11" s="66"/>
      <c r="D11" s="38"/>
      <c r="E11" s="38"/>
      <c r="F11" s="38"/>
      <c r="G11" s="38"/>
      <c r="H11" s="38"/>
      <c r="K11" s="4"/>
      <c r="L11" s="38"/>
      <c r="M11" s="38"/>
      <c r="N11" s="38"/>
      <c r="Q11" s="38"/>
      <c r="R11" s="4"/>
      <c r="W11" s="4"/>
      <c r="X11" s="4"/>
      <c r="Y11" s="4"/>
    </row>
    <row r="12" spans="1:25" x14ac:dyDescent="0.3">
      <c r="A12" s="79" t="s">
        <v>114</v>
      </c>
      <c r="B12" s="82" t="str">
        <f>IN_3!B4</f>
        <v>Chomu Pulia</v>
      </c>
      <c r="C12" s="70">
        <f>IN_3!B104</f>
        <v>19384</v>
      </c>
      <c r="D12" s="70">
        <f>IN_3!C104</f>
        <v>14073</v>
      </c>
      <c r="E12" s="70">
        <f>IN_3!D104</f>
        <v>1049</v>
      </c>
      <c r="F12" s="70">
        <f>IN_3!E104</f>
        <v>1210</v>
      </c>
      <c r="G12" s="70">
        <f>IN_3!F104</f>
        <v>632</v>
      </c>
      <c r="H12" s="70" t="e">
        <f>IN_3!#REF!</f>
        <v>#REF!</v>
      </c>
      <c r="I12" s="70" t="e">
        <f>IN_3!#REF!</f>
        <v>#REF!</v>
      </c>
      <c r="J12" s="70" t="e">
        <f>IN_3!#REF!</f>
        <v>#REF!</v>
      </c>
      <c r="K12" s="107">
        <f>IN_3!G104</f>
        <v>36348</v>
      </c>
      <c r="L12" s="70" t="e">
        <f>IN_3!#REF!</f>
        <v>#REF!</v>
      </c>
      <c r="M12" s="70" t="e">
        <f>IN_3!#REF!</f>
        <v>#REF!</v>
      </c>
      <c r="N12" s="70" t="e">
        <f>IN_3!#REF!</f>
        <v>#REF!</v>
      </c>
      <c r="O12" s="70" t="e">
        <f>IN_3!#REF!</f>
        <v>#REF!</v>
      </c>
      <c r="P12" s="70" t="e">
        <f>IN_3!#REF!</f>
        <v>#REF!</v>
      </c>
      <c r="Q12" s="70" t="e">
        <f>IN_3!#REF!</f>
        <v>#REF!</v>
      </c>
      <c r="R12" s="107" t="e">
        <f>IN_3!#REF!</f>
        <v>#REF!</v>
      </c>
      <c r="S12" s="70">
        <f>IN_3!H104</f>
        <v>10</v>
      </c>
      <c r="T12" s="70">
        <f>IN_3!I104</f>
        <v>1</v>
      </c>
      <c r="U12" s="70">
        <f>IN_3!J104</f>
        <v>0</v>
      </c>
      <c r="V12" s="70">
        <f>IN_3!K104</f>
        <v>0</v>
      </c>
      <c r="W12" s="107">
        <f>IN_3!M104</f>
        <v>394</v>
      </c>
      <c r="X12" s="107">
        <f>IN_3!N104</f>
        <v>36742</v>
      </c>
      <c r="Y12" s="107">
        <f>IN_3!O104</f>
        <v>37538.5</v>
      </c>
    </row>
    <row r="13" spans="1:25" ht="16.2" thickBot="1" x14ac:dyDescent="0.35">
      <c r="A13" s="80" t="s">
        <v>115</v>
      </c>
      <c r="B13" s="83" t="str">
        <f>OUT_3!B4</f>
        <v>Chomu Pulia</v>
      </c>
      <c r="C13" s="71">
        <f>OUT_3!B104</f>
        <v>19191</v>
      </c>
      <c r="D13" s="71">
        <f>OUT_3!C104</f>
        <v>13365</v>
      </c>
      <c r="E13" s="71">
        <f>OUT_3!D104</f>
        <v>892</v>
      </c>
      <c r="F13" s="71">
        <f>OUT_3!E104</f>
        <v>875</v>
      </c>
      <c r="G13" s="71">
        <f>OUT_3!F104</f>
        <v>735</v>
      </c>
      <c r="H13" s="71" t="e">
        <f>OUT_3!#REF!</f>
        <v>#REF!</v>
      </c>
      <c r="I13" s="71" t="e">
        <f>OUT_3!#REF!</f>
        <v>#REF!</v>
      </c>
      <c r="J13" s="71" t="e">
        <f>OUT_3!#REF!</f>
        <v>#REF!</v>
      </c>
      <c r="K13" s="108">
        <f>OUT_3!G104</f>
        <v>35058</v>
      </c>
      <c r="L13" s="71" t="e">
        <f>OUT_3!#REF!</f>
        <v>#REF!</v>
      </c>
      <c r="M13" s="71" t="e">
        <f>OUT_3!#REF!</f>
        <v>#REF!</v>
      </c>
      <c r="N13" s="71" t="e">
        <f>OUT_3!#REF!</f>
        <v>#REF!</v>
      </c>
      <c r="O13" s="71" t="e">
        <f>OUT_3!#REF!</f>
        <v>#REF!</v>
      </c>
      <c r="P13" s="71" t="e">
        <f>OUT_3!#REF!</f>
        <v>#REF!</v>
      </c>
      <c r="Q13" s="71" t="e">
        <f>OUT_3!#REF!</f>
        <v>#REF!</v>
      </c>
      <c r="R13" s="108" t="e">
        <f>OUT_3!#REF!</f>
        <v>#REF!</v>
      </c>
      <c r="S13" s="71">
        <f>OUT_3!H104</f>
        <v>29</v>
      </c>
      <c r="T13" s="71">
        <f>OUT_3!I104</f>
        <v>0</v>
      </c>
      <c r="U13" s="71">
        <f>OUT_3!J104</f>
        <v>3</v>
      </c>
      <c r="V13" s="71">
        <f>OUT_3!K104</f>
        <v>0</v>
      </c>
      <c r="W13" s="108">
        <f>OUT_3!M104</f>
        <v>345</v>
      </c>
      <c r="X13" s="108">
        <f>OUT_3!N104</f>
        <v>35403</v>
      </c>
      <c r="Y13" s="108">
        <f>OUT_3!O104</f>
        <v>35671.5</v>
      </c>
    </row>
    <row r="14" spans="1:25" ht="16.2" thickBot="1" x14ac:dyDescent="0.35">
      <c r="A14" s="3"/>
      <c r="C14" s="38"/>
      <c r="D14" s="38"/>
      <c r="E14" s="38"/>
      <c r="F14" s="38"/>
      <c r="G14" s="38"/>
      <c r="H14" s="38"/>
      <c r="K14" s="4"/>
      <c r="L14" s="38"/>
      <c r="M14" s="38"/>
      <c r="N14" s="38"/>
      <c r="Q14" s="38"/>
      <c r="R14" s="4"/>
      <c r="W14" s="4"/>
      <c r="X14" s="4"/>
      <c r="Y14" s="4"/>
    </row>
    <row r="15" spans="1:25" x14ac:dyDescent="0.3">
      <c r="A15" s="79" t="s">
        <v>116</v>
      </c>
      <c r="B15" s="74" t="str">
        <f>IN_4!B4</f>
        <v>Mansarover</v>
      </c>
      <c r="C15" s="70">
        <f>IN_4!B104</f>
        <v>23678</v>
      </c>
      <c r="D15" s="70">
        <f>IN_4!C104</f>
        <v>12948</v>
      </c>
      <c r="E15" s="70">
        <f>IN_4!D104</f>
        <v>2160</v>
      </c>
      <c r="F15" s="70">
        <f>IN_4!E104</f>
        <v>1218</v>
      </c>
      <c r="G15" s="70">
        <f>IN_4!F104</f>
        <v>3703</v>
      </c>
      <c r="H15" s="70" t="e">
        <f>IN_4!#REF!</f>
        <v>#REF!</v>
      </c>
      <c r="I15" s="70" t="e">
        <f>IN_4!#REF!</f>
        <v>#REF!</v>
      </c>
      <c r="J15" s="70" t="e">
        <f>IN_4!#REF!</f>
        <v>#REF!</v>
      </c>
      <c r="K15" s="107">
        <f>IN_4!G104</f>
        <v>43707</v>
      </c>
      <c r="L15" s="70" t="e">
        <f>IN_4!#REF!</f>
        <v>#REF!</v>
      </c>
      <c r="M15" s="70" t="e">
        <f>IN_4!#REF!</f>
        <v>#REF!</v>
      </c>
      <c r="N15" s="70" t="e">
        <f>IN_4!#REF!</f>
        <v>#REF!</v>
      </c>
      <c r="O15" s="70" t="e">
        <f>IN_4!#REF!</f>
        <v>#REF!</v>
      </c>
      <c r="P15" s="70" t="e">
        <f>IN_4!#REF!</f>
        <v>#REF!</v>
      </c>
      <c r="Q15" s="70" t="e">
        <f>IN_4!#REF!</f>
        <v>#REF!</v>
      </c>
      <c r="R15" s="107" t="e">
        <f>IN_4!#REF!</f>
        <v>#REF!</v>
      </c>
      <c r="S15" s="70">
        <f>IN_4!H104</f>
        <v>85</v>
      </c>
      <c r="T15" s="70">
        <f>IN_4!I104</f>
        <v>0</v>
      </c>
      <c r="U15" s="70">
        <f>IN_4!J104</f>
        <v>12</v>
      </c>
      <c r="V15" s="70">
        <f>IN_4!K104</f>
        <v>0</v>
      </c>
      <c r="W15" s="107">
        <f>IN_4!M104</f>
        <v>345</v>
      </c>
      <c r="X15" s="107">
        <f>IN_4!N104</f>
        <v>44052</v>
      </c>
      <c r="Y15" s="107">
        <f>IN_4!O104</f>
        <v>55772</v>
      </c>
    </row>
    <row r="16" spans="1:25" ht="16.2" thickBot="1" x14ac:dyDescent="0.35">
      <c r="A16" s="80" t="s">
        <v>117</v>
      </c>
      <c r="B16" s="76" t="str">
        <f>OUT_4!B4</f>
        <v>Mansarover</v>
      </c>
      <c r="C16" s="71">
        <f>OUT_4!B104</f>
        <v>22218</v>
      </c>
      <c r="D16" s="71">
        <f>OUT_4!C104</f>
        <v>11210</v>
      </c>
      <c r="E16" s="71">
        <f>OUT_4!D104</f>
        <v>2276</v>
      </c>
      <c r="F16" s="71">
        <f>OUT_4!E104</f>
        <v>1114</v>
      </c>
      <c r="G16" s="71">
        <f>OUT_4!F104</f>
        <v>3597</v>
      </c>
      <c r="H16" s="71" t="e">
        <f>OUT_4!#REF!</f>
        <v>#REF!</v>
      </c>
      <c r="I16" s="71" t="e">
        <f>OUT_4!#REF!</f>
        <v>#REF!</v>
      </c>
      <c r="J16" s="71" t="e">
        <f>OUT_4!#REF!</f>
        <v>#REF!</v>
      </c>
      <c r="K16" s="108">
        <f>OUT_4!G104</f>
        <v>40415</v>
      </c>
      <c r="L16" s="71" t="e">
        <f>OUT_4!#REF!</f>
        <v>#REF!</v>
      </c>
      <c r="M16" s="71" t="e">
        <f>OUT_4!#REF!</f>
        <v>#REF!</v>
      </c>
      <c r="N16" s="71" t="e">
        <f>OUT_4!#REF!</f>
        <v>#REF!</v>
      </c>
      <c r="O16" s="71" t="e">
        <f>OUT_4!#REF!</f>
        <v>#REF!</v>
      </c>
      <c r="P16" s="71" t="e">
        <f>OUT_4!#REF!</f>
        <v>#REF!</v>
      </c>
      <c r="Q16" s="71" t="e">
        <f>OUT_4!#REF!</f>
        <v>#REF!</v>
      </c>
      <c r="R16" s="108" t="e">
        <f>OUT_4!#REF!</f>
        <v>#REF!</v>
      </c>
      <c r="S16" s="71">
        <f>OUT_4!H104</f>
        <v>10</v>
      </c>
      <c r="T16" s="71">
        <f>OUT_4!I104</f>
        <v>0</v>
      </c>
      <c r="U16" s="71">
        <f>OUT_4!J104</f>
        <v>0</v>
      </c>
      <c r="V16" s="71">
        <f>OUT_4!K104</f>
        <v>1</v>
      </c>
      <c r="W16" s="108">
        <f>OUT_4!M104</f>
        <v>300</v>
      </c>
      <c r="X16" s="108">
        <f>OUT_4!N104</f>
        <v>40715</v>
      </c>
      <c r="Y16" s="108">
        <f>OUT_4!O104</f>
        <v>53086.5</v>
      </c>
    </row>
    <row r="18" ht="79.5" customHeight="1" x14ac:dyDescent="0.3"/>
  </sheetData>
  <mergeCells count="20">
    <mergeCell ref="U3:U4"/>
    <mergeCell ref="V3:V4"/>
    <mergeCell ref="W3:W4"/>
    <mergeCell ref="X3:X4"/>
    <mergeCell ref="Y3:Y4"/>
    <mergeCell ref="S3:S4"/>
    <mergeCell ref="T3:T4"/>
    <mergeCell ref="R3:R4"/>
    <mergeCell ref="E3:E4"/>
    <mergeCell ref="I3:I4"/>
    <mergeCell ref="F3:F4"/>
    <mergeCell ref="K3:K4"/>
    <mergeCell ref="L3:Q3"/>
    <mergeCell ref="G3:G4"/>
    <mergeCell ref="H3:H4"/>
    <mergeCell ref="A3:A4"/>
    <mergeCell ref="B3:B4"/>
    <mergeCell ref="D3:D4"/>
    <mergeCell ref="C3:C4"/>
    <mergeCell ref="J3:J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adaf9c-d938-45ba-8165-62f25b676bb8">
      <Terms xmlns="http://schemas.microsoft.com/office/infopath/2007/PartnerControls"/>
    </lcf76f155ced4ddcb4097134ff3c332f>
    <TaxCatchAll xmlns="d42115e2-40f6-4285-a450-92c9939fe0c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6C3FB4C990B54081834299BB8C9C6A" ma:contentTypeVersion="11" ma:contentTypeDescription="Create a new document." ma:contentTypeScope="" ma:versionID="a45b33e088ecce1ec78886bd8a3ee2d6">
  <xsd:schema xmlns:xsd="http://www.w3.org/2001/XMLSchema" xmlns:xs="http://www.w3.org/2001/XMLSchema" xmlns:p="http://schemas.microsoft.com/office/2006/metadata/properties" xmlns:ns2="f6adaf9c-d938-45ba-8165-62f25b676bb8" xmlns:ns3="d42115e2-40f6-4285-a450-92c9939fe0ca" targetNamespace="http://schemas.microsoft.com/office/2006/metadata/properties" ma:root="true" ma:fieldsID="cbfca34580bc732f289edb7c23093371" ns2:_="" ns3:_="">
    <xsd:import namespace="f6adaf9c-d938-45ba-8165-62f25b676bb8"/>
    <xsd:import namespace="d42115e2-40f6-4285-a450-92c9939fe0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adaf9c-d938-45ba-8165-62f25b676b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856f2ee-118d-42e8-91de-064c9a66b6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2115e2-40f6-4285-a450-92c9939fe0c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e4b131e5-71e7-40d6-9973-4b10f477b559}" ma:internalName="TaxCatchAll" ma:showField="CatchAllData" ma:web="d42115e2-40f6-4285-a450-92c9939fe0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0EB0DF-4EEA-4B04-8048-AE546EEF89C0}">
  <ds:schemaRefs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d42115e2-40f6-4285-a450-92c9939fe0ca"/>
    <ds:schemaRef ds:uri="f6adaf9c-d938-45ba-8165-62f25b676bb8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E8FBC8F-5E6F-40F1-863C-77B4CF9CF5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1AEDA-67F6-4D16-B4E7-47526BF52E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adaf9c-d938-45ba-8165-62f25b676bb8"/>
    <ds:schemaRef ds:uri="d42115e2-40f6-4285-a450-92c9939fe0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13</vt:i4>
      </vt:variant>
    </vt:vector>
  </HeadingPairs>
  <TitlesOfParts>
    <vt:vector size="43" baseType="lpstr">
      <vt:lpstr>V_14</vt:lpstr>
      <vt:lpstr>V_13</vt:lpstr>
      <vt:lpstr>Summary</vt:lpstr>
      <vt:lpstr>V_1</vt:lpstr>
      <vt:lpstr>V_2</vt:lpstr>
      <vt:lpstr>V_3</vt:lpstr>
      <vt:lpstr>V_4</vt:lpstr>
      <vt:lpstr>V_5</vt:lpstr>
      <vt:lpstr>V_6</vt:lpstr>
      <vt:lpstr>V_7</vt:lpstr>
      <vt:lpstr>V_8</vt:lpstr>
      <vt:lpstr>V_9</vt:lpstr>
      <vt:lpstr>V_10</vt:lpstr>
      <vt:lpstr>V_11</vt:lpstr>
      <vt:lpstr>V_12</vt:lpstr>
      <vt:lpstr>Flow Table</vt:lpstr>
      <vt:lpstr>IN_1</vt:lpstr>
      <vt:lpstr>IN_2</vt:lpstr>
      <vt:lpstr>IN_3</vt:lpstr>
      <vt:lpstr>IN_4</vt:lpstr>
      <vt:lpstr>TOTAL_IN</vt:lpstr>
      <vt:lpstr>OUT_1</vt:lpstr>
      <vt:lpstr>OUT_2</vt:lpstr>
      <vt:lpstr>OUT_3</vt:lpstr>
      <vt:lpstr>OUT_4</vt:lpstr>
      <vt:lpstr>TOTAL_OUT</vt:lpstr>
      <vt:lpstr>Table</vt:lpstr>
      <vt:lpstr>Flow Diagram</vt:lpstr>
      <vt:lpstr>Pie Chart</vt:lpstr>
      <vt:lpstr>Flow Diagram Table</vt:lpstr>
      <vt:lpstr>'Flow Table'!Print_Area</vt:lpstr>
      <vt:lpstr>IN_1!Print_Area</vt:lpstr>
      <vt:lpstr>IN_2!Print_Area</vt:lpstr>
      <vt:lpstr>IN_3!Print_Area</vt:lpstr>
      <vt:lpstr>IN_4!Print_Area</vt:lpstr>
      <vt:lpstr>'Pie Chart'!Print_Area</vt:lpstr>
      <vt:lpstr>Summary!Print_Area</vt:lpstr>
      <vt:lpstr>Table!Print_Area</vt:lpstr>
      <vt:lpstr>V_11!Print_Area</vt:lpstr>
      <vt:lpstr>V_2!Print_Area</vt:lpstr>
      <vt:lpstr>V_3!Print_Area</vt:lpstr>
      <vt:lpstr>V_5!Print_Area</vt:lpstr>
      <vt:lpstr>V_8!Print_Area</vt:lpstr>
    </vt:vector>
  </TitlesOfParts>
  <Company>tpa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comp2</dc:creator>
  <cp:lastModifiedBy>Mukesh Verma</cp:lastModifiedBy>
  <cp:lastPrinted>2023-09-24T08:26:08Z</cp:lastPrinted>
  <dcterms:created xsi:type="dcterms:W3CDTF">2002-12-17T13:09:32Z</dcterms:created>
  <dcterms:modified xsi:type="dcterms:W3CDTF">2026-09-07T09:25:37Z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VIDC571CDF">
    <vt:lpwstr/>
  </property>
  <property fmtid="{D5CDD505-2E9C-101B-9397-08002B2CF9AE}" pid="3" name="IVID1A4D13F6">
    <vt:lpwstr/>
  </property>
  <property fmtid="{D5CDD505-2E9C-101B-9397-08002B2CF9AE}" pid="4" name="IVID293417FE">
    <vt:lpwstr/>
  </property>
  <property fmtid="{D5CDD505-2E9C-101B-9397-08002B2CF9AE}" pid="5" name="IVID15FF2D5A">
    <vt:lpwstr/>
  </property>
  <property fmtid="{D5CDD505-2E9C-101B-9397-08002B2CF9AE}" pid="6" name="IVID353513D9">
    <vt:lpwstr/>
  </property>
  <property fmtid="{D5CDD505-2E9C-101B-9397-08002B2CF9AE}" pid="7" name="IVID134E14D3">
    <vt:lpwstr/>
  </property>
  <property fmtid="{D5CDD505-2E9C-101B-9397-08002B2CF9AE}" pid="8" name="IVID326812F5">
    <vt:lpwstr/>
  </property>
  <property fmtid="{D5CDD505-2E9C-101B-9397-08002B2CF9AE}" pid="9" name="IVID381A7C7E">
    <vt:lpwstr/>
  </property>
  <property fmtid="{D5CDD505-2E9C-101B-9397-08002B2CF9AE}" pid="10" name="IVID197012F1">
    <vt:lpwstr/>
  </property>
  <property fmtid="{D5CDD505-2E9C-101B-9397-08002B2CF9AE}" pid="11" name="IVID2F1E1603">
    <vt:lpwstr/>
  </property>
  <property fmtid="{D5CDD505-2E9C-101B-9397-08002B2CF9AE}" pid="12" name="IVIDC">
    <vt:lpwstr/>
  </property>
  <property fmtid="{D5CDD505-2E9C-101B-9397-08002B2CF9AE}" pid="13" name="IVID362F13E8">
    <vt:lpwstr/>
  </property>
  <property fmtid="{D5CDD505-2E9C-101B-9397-08002B2CF9AE}" pid="14" name="IVID3A3618F1">
    <vt:lpwstr/>
  </property>
  <property fmtid="{D5CDD505-2E9C-101B-9397-08002B2CF9AE}" pid="15" name="IVID15E41318">
    <vt:lpwstr/>
  </property>
  <property fmtid="{D5CDD505-2E9C-101B-9397-08002B2CF9AE}" pid="16" name="IVID181914D9">
    <vt:lpwstr/>
  </property>
  <property fmtid="{D5CDD505-2E9C-101B-9397-08002B2CF9AE}" pid="17" name="IVID155815FB">
    <vt:lpwstr/>
  </property>
  <property fmtid="{D5CDD505-2E9C-101B-9397-08002B2CF9AE}" pid="18" name="IVIDD091BF0">
    <vt:lpwstr/>
  </property>
  <property fmtid="{D5CDD505-2E9C-101B-9397-08002B2CF9AE}" pid="19" name="IVID344CCFFC">
    <vt:lpwstr/>
  </property>
  <property fmtid="{D5CDD505-2E9C-101B-9397-08002B2CF9AE}" pid="20" name="IVID1A7D12ED">
    <vt:lpwstr/>
  </property>
  <property fmtid="{D5CDD505-2E9C-101B-9397-08002B2CF9AE}" pid="21" name="IVID1B2115FE">
    <vt:lpwstr/>
  </property>
  <property fmtid="{D5CDD505-2E9C-101B-9397-08002B2CF9AE}" pid="22" name="IVID35431BD0">
    <vt:lpwstr/>
  </property>
  <property fmtid="{D5CDD505-2E9C-101B-9397-08002B2CF9AE}" pid="23" name="IVID4637A884">
    <vt:lpwstr/>
  </property>
  <property fmtid="{D5CDD505-2E9C-101B-9397-08002B2CF9AE}" pid="24" name="IVID127C14F5">
    <vt:lpwstr/>
  </property>
  <property fmtid="{D5CDD505-2E9C-101B-9397-08002B2CF9AE}" pid="25" name="IVID1834F0DD">
    <vt:lpwstr/>
  </property>
  <property fmtid="{D5CDD505-2E9C-101B-9397-08002B2CF9AE}" pid="26" name="IVID312119E0">
    <vt:lpwstr/>
  </property>
  <property fmtid="{D5CDD505-2E9C-101B-9397-08002B2CF9AE}" pid="27" name="IVID1C5812DA">
    <vt:lpwstr/>
  </property>
  <property fmtid="{D5CDD505-2E9C-101B-9397-08002B2CF9AE}" pid="28" name="IVID173907ED">
    <vt:lpwstr/>
  </property>
  <property fmtid="{D5CDD505-2E9C-101B-9397-08002B2CF9AE}" pid="29" name="IVID274B1CF5">
    <vt:lpwstr/>
  </property>
  <property fmtid="{D5CDD505-2E9C-101B-9397-08002B2CF9AE}" pid="30" name="IVID2B4E17FA">
    <vt:lpwstr/>
  </property>
  <property fmtid="{D5CDD505-2E9C-101B-9397-08002B2CF9AE}" pid="31" name="IVID204114FA">
    <vt:lpwstr/>
  </property>
  <property fmtid="{D5CDD505-2E9C-101B-9397-08002B2CF9AE}" pid="32" name="IVID2A7117D7">
    <vt:lpwstr/>
  </property>
  <property fmtid="{D5CDD505-2E9C-101B-9397-08002B2CF9AE}" pid="33" name="IVIDE331703">
    <vt:lpwstr/>
  </property>
  <property fmtid="{D5CDD505-2E9C-101B-9397-08002B2CF9AE}" pid="34" name="IVID416E11FD">
    <vt:lpwstr/>
  </property>
  <property fmtid="{D5CDD505-2E9C-101B-9397-08002B2CF9AE}" pid="35" name="IVID52D0E06">
    <vt:lpwstr/>
  </property>
  <property fmtid="{D5CDD505-2E9C-101B-9397-08002B2CF9AE}" pid="36" name="IVID365C19D4">
    <vt:lpwstr/>
  </property>
  <property fmtid="{D5CDD505-2E9C-101B-9397-08002B2CF9AE}" pid="37" name="IVID253D11EF">
    <vt:lpwstr/>
  </property>
  <property fmtid="{D5CDD505-2E9C-101B-9397-08002B2CF9AE}" pid="38" name="IVID173E1206">
    <vt:lpwstr/>
  </property>
  <property fmtid="{D5CDD505-2E9C-101B-9397-08002B2CF9AE}" pid="39" name="IVID232310EC">
    <vt:lpwstr/>
  </property>
  <property fmtid="{D5CDD505-2E9C-101B-9397-08002B2CF9AE}" pid="40" name="IVID133D1AE5">
    <vt:lpwstr/>
  </property>
  <property fmtid="{D5CDD505-2E9C-101B-9397-08002B2CF9AE}" pid="41" name="IVIDF6113D9">
    <vt:lpwstr/>
  </property>
  <property fmtid="{D5CDD505-2E9C-101B-9397-08002B2CF9AE}" pid="42" name="IVID307414D1">
    <vt:lpwstr/>
  </property>
  <property fmtid="{D5CDD505-2E9C-101B-9397-08002B2CF9AE}" pid="43" name="IVID344B1400">
    <vt:lpwstr/>
  </property>
  <property fmtid="{D5CDD505-2E9C-101B-9397-08002B2CF9AE}" pid="44" name="IVID135B1DF5">
    <vt:lpwstr/>
  </property>
  <property fmtid="{D5CDD505-2E9C-101B-9397-08002B2CF9AE}" pid="45" name="IVID1A3716D3">
    <vt:lpwstr/>
  </property>
  <property fmtid="{D5CDD505-2E9C-101B-9397-08002B2CF9AE}" pid="46" name="IVIDD1916DB">
    <vt:lpwstr/>
  </property>
  <property fmtid="{D5CDD505-2E9C-101B-9397-08002B2CF9AE}" pid="47" name="IVID11431AF1">
    <vt:lpwstr/>
  </property>
  <property fmtid="{D5CDD505-2E9C-101B-9397-08002B2CF9AE}" pid="48" name="IVID1B2C19F3">
    <vt:lpwstr/>
  </property>
  <property fmtid="{D5CDD505-2E9C-101B-9397-08002B2CF9AE}" pid="49" name="IVIDD5E0FE6">
    <vt:lpwstr/>
  </property>
  <property fmtid="{D5CDD505-2E9C-101B-9397-08002B2CF9AE}" pid="50" name="IVID162D1605">
    <vt:lpwstr/>
  </property>
  <property fmtid="{D5CDD505-2E9C-101B-9397-08002B2CF9AE}" pid="51" name="IVIDA3E11E9">
    <vt:lpwstr/>
  </property>
  <property fmtid="{D5CDD505-2E9C-101B-9397-08002B2CF9AE}" pid="52" name="IVID1A3517F4">
    <vt:lpwstr/>
  </property>
  <property fmtid="{D5CDD505-2E9C-101B-9397-08002B2CF9AE}" pid="53" name="IVID375215CF">
    <vt:lpwstr/>
  </property>
  <property fmtid="{D5CDD505-2E9C-101B-9397-08002B2CF9AE}" pid="54" name="IVID1D401702">
    <vt:lpwstr/>
  </property>
  <property fmtid="{D5CDD505-2E9C-101B-9397-08002B2CF9AE}" pid="55" name="IVID382E16DB">
    <vt:lpwstr/>
  </property>
  <property fmtid="{D5CDD505-2E9C-101B-9397-08002B2CF9AE}" pid="56" name="IVID30321805">
    <vt:lpwstr/>
  </property>
  <property fmtid="{D5CDD505-2E9C-101B-9397-08002B2CF9AE}" pid="57" name="IVIDF3415DD">
    <vt:lpwstr/>
  </property>
  <property fmtid="{D5CDD505-2E9C-101B-9397-08002B2CF9AE}" pid="58" name="IVID112118DE">
    <vt:lpwstr/>
  </property>
  <property fmtid="{D5CDD505-2E9C-101B-9397-08002B2CF9AE}" pid="59" name="IVID2C0E11E8">
    <vt:lpwstr/>
  </property>
  <property fmtid="{D5CDD505-2E9C-101B-9397-08002B2CF9AE}" pid="60" name="IVID233A10E1">
    <vt:lpwstr/>
  </property>
  <property fmtid="{D5CDD505-2E9C-101B-9397-08002B2CF9AE}" pid="61" name="IVID3E3919D4">
    <vt:lpwstr/>
  </property>
  <property fmtid="{D5CDD505-2E9C-101B-9397-08002B2CF9AE}" pid="62" name="IVID113E1ADD">
    <vt:lpwstr/>
  </property>
  <property fmtid="{D5CDD505-2E9C-101B-9397-08002B2CF9AE}" pid="63" name="IVID113D14F9">
    <vt:lpwstr/>
  </property>
  <property fmtid="{D5CDD505-2E9C-101B-9397-08002B2CF9AE}" pid="64" name="IVID1D3F17E2">
    <vt:lpwstr/>
  </property>
  <property fmtid="{D5CDD505-2E9C-101B-9397-08002B2CF9AE}" pid="65" name="IVID13451200">
    <vt:lpwstr/>
  </property>
  <property fmtid="{D5CDD505-2E9C-101B-9397-08002B2CF9AE}" pid="66" name="IVID121617DE">
    <vt:lpwstr/>
  </property>
  <property fmtid="{D5CDD505-2E9C-101B-9397-08002B2CF9AE}" pid="67" name="IVID13691AF2">
    <vt:lpwstr/>
  </property>
  <property fmtid="{D5CDD505-2E9C-101B-9397-08002B2CF9AE}" pid="68" name="IVID265C1905">
    <vt:lpwstr/>
  </property>
  <property fmtid="{D5CDD505-2E9C-101B-9397-08002B2CF9AE}" pid="69" name="IVID32281CED">
    <vt:lpwstr/>
  </property>
  <property fmtid="{D5CDD505-2E9C-101B-9397-08002B2CF9AE}" pid="70" name="IVID102124BA">
    <vt:lpwstr/>
  </property>
  <property fmtid="{D5CDD505-2E9C-101B-9397-08002B2CF9AE}" pid="71" name="IVID3D1509D0">
    <vt:lpwstr/>
  </property>
  <property fmtid="{D5CDD505-2E9C-101B-9397-08002B2CF9AE}" pid="72" name="IVID35641901">
    <vt:lpwstr/>
  </property>
  <property fmtid="{D5CDD505-2E9C-101B-9397-08002B2CF9AE}" pid="73" name="IVID45E1ED9">
    <vt:lpwstr/>
  </property>
  <property fmtid="{D5CDD505-2E9C-101B-9397-08002B2CF9AE}" pid="74" name="IVID324113D1">
    <vt:lpwstr/>
  </property>
  <property fmtid="{D5CDD505-2E9C-101B-9397-08002B2CF9AE}" pid="75" name="IVID1A2D1903">
    <vt:lpwstr/>
  </property>
  <property fmtid="{D5CDD505-2E9C-101B-9397-08002B2CF9AE}" pid="76" name="IVID370C1506">
    <vt:lpwstr/>
  </property>
  <property fmtid="{D5CDD505-2E9C-101B-9397-08002B2CF9AE}" pid="77" name="IVID12581504">
    <vt:lpwstr/>
  </property>
  <property fmtid="{D5CDD505-2E9C-101B-9397-08002B2CF9AE}" pid="78" name="IVID366A14F0">
    <vt:lpwstr/>
  </property>
  <property fmtid="{D5CDD505-2E9C-101B-9397-08002B2CF9AE}" pid="79" name="IVID10761BDE">
    <vt:lpwstr/>
  </property>
  <property fmtid="{D5CDD505-2E9C-101B-9397-08002B2CF9AE}" pid="80" name="IVID355E0AD7">
    <vt:lpwstr/>
  </property>
  <property fmtid="{D5CDD505-2E9C-101B-9397-08002B2CF9AE}" pid="81" name="IVID242419FF">
    <vt:lpwstr/>
  </property>
  <property fmtid="{D5CDD505-2E9C-101B-9397-08002B2CF9AE}" pid="82" name="IVID17690D05">
    <vt:lpwstr/>
  </property>
  <property fmtid="{D5CDD505-2E9C-101B-9397-08002B2CF9AE}" pid="83" name="IVID1A3B0AF0">
    <vt:lpwstr/>
  </property>
  <property fmtid="{D5CDD505-2E9C-101B-9397-08002B2CF9AE}" pid="84" name="IVID294416DA">
    <vt:lpwstr/>
  </property>
  <property fmtid="{D5CDD505-2E9C-101B-9397-08002B2CF9AE}" pid="85" name="IVID224A1AD0">
    <vt:lpwstr/>
  </property>
  <property fmtid="{D5CDD505-2E9C-101B-9397-08002B2CF9AE}" pid="86" name="IVID331F11E2">
    <vt:lpwstr/>
  </property>
  <property fmtid="{D5CDD505-2E9C-101B-9397-08002B2CF9AE}" pid="87" name="IVID1306391F">
    <vt:lpwstr/>
  </property>
  <property fmtid="{D5CDD505-2E9C-101B-9397-08002B2CF9AE}" pid="88" name="IVID3A281BD0">
    <vt:lpwstr/>
  </property>
  <property fmtid="{D5CDD505-2E9C-101B-9397-08002B2CF9AE}" pid="89" name="IVID2A2E1805">
    <vt:lpwstr/>
  </property>
  <property fmtid="{D5CDD505-2E9C-101B-9397-08002B2CF9AE}" pid="90" name="IVID3C5018D1">
    <vt:lpwstr/>
  </property>
  <property fmtid="{D5CDD505-2E9C-101B-9397-08002B2CF9AE}" pid="91" name="IVID3B3616E1">
    <vt:lpwstr/>
  </property>
  <property fmtid="{D5CDD505-2E9C-101B-9397-08002B2CF9AE}" pid="92" name="IVID291114D3">
    <vt:lpwstr/>
  </property>
  <property fmtid="{D5CDD505-2E9C-101B-9397-08002B2CF9AE}" pid="93" name="IVID402F12D9">
    <vt:lpwstr/>
  </property>
  <property fmtid="{D5CDD505-2E9C-101B-9397-08002B2CF9AE}" pid="94" name="IVID352F10D9">
    <vt:lpwstr/>
  </property>
  <property fmtid="{D5CDD505-2E9C-101B-9397-08002B2CF9AE}" pid="95" name="IVID383A16E2">
    <vt:lpwstr/>
  </property>
  <property fmtid="{D5CDD505-2E9C-101B-9397-08002B2CF9AE}" pid="96" name="IVID281911E9">
    <vt:lpwstr/>
  </property>
  <property fmtid="{D5CDD505-2E9C-101B-9397-08002B2CF9AE}" pid="97" name="IVID89EFF3FC">
    <vt:lpwstr/>
  </property>
  <property fmtid="{D5CDD505-2E9C-101B-9397-08002B2CF9AE}" pid="98" name="IVIDA3B1CD3">
    <vt:lpwstr/>
  </property>
  <property fmtid="{D5CDD505-2E9C-101B-9397-08002B2CF9AE}" pid="99" name="IVID24428E10">
    <vt:lpwstr/>
  </property>
  <property fmtid="{D5CDD505-2E9C-101B-9397-08002B2CF9AE}" pid="100" name="IVID296C11F7">
    <vt:lpwstr/>
  </property>
  <property fmtid="{D5CDD505-2E9C-101B-9397-08002B2CF9AE}" pid="101" name="IVID1E3210E2">
    <vt:lpwstr/>
  </property>
  <property fmtid="{D5CDD505-2E9C-101B-9397-08002B2CF9AE}" pid="102" name="IVIDD3911FD">
    <vt:lpwstr/>
  </property>
  <property fmtid="{D5CDD505-2E9C-101B-9397-08002B2CF9AE}" pid="103" name="IVID362611EA">
    <vt:lpwstr/>
  </property>
  <property fmtid="{D5CDD505-2E9C-101B-9397-08002B2CF9AE}" pid="104" name="IVID250607C8">
    <vt:lpwstr/>
  </property>
  <property fmtid="{D5CDD505-2E9C-101B-9397-08002B2CF9AE}" pid="105" name="IVID89475BC5">
    <vt:lpwstr/>
  </property>
  <property fmtid="{D5CDD505-2E9C-101B-9397-08002B2CF9AE}" pid="106" name="IVID302816EE">
    <vt:lpwstr/>
  </property>
  <property fmtid="{D5CDD505-2E9C-101B-9397-08002B2CF9AE}" pid="107" name="IVID3E1216F6">
    <vt:lpwstr/>
  </property>
  <property fmtid="{D5CDD505-2E9C-101B-9397-08002B2CF9AE}" pid="108" name="IVID2A5F13D5">
    <vt:lpwstr/>
  </property>
  <property fmtid="{D5CDD505-2E9C-101B-9397-08002B2CF9AE}" pid="109" name="IVID1A4D17E3">
    <vt:lpwstr/>
  </property>
  <property fmtid="{D5CDD505-2E9C-101B-9397-08002B2CF9AE}" pid="110" name="IVID285E1306">
    <vt:lpwstr/>
  </property>
  <property fmtid="{D5CDD505-2E9C-101B-9397-08002B2CF9AE}" pid="111" name="IVID24551DE1">
    <vt:lpwstr/>
  </property>
  <property fmtid="{D5CDD505-2E9C-101B-9397-08002B2CF9AE}" pid="112" name="IVID154C1709">
    <vt:lpwstr/>
  </property>
  <property fmtid="{D5CDD505-2E9C-101B-9397-08002B2CF9AE}" pid="113" name="IVIDC06B608E">
    <vt:lpwstr/>
  </property>
  <property fmtid="{D5CDD505-2E9C-101B-9397-08002B2CF9AE}" pid="114" name="IVID36601BEF">
    <vt:lpwstr/>
  </property>
  <property fmtid="{D5CDD505-2E9C-101B-9397-08002B2CF9AE}" pid="115" name="IVID233718D2">
    <vt:lpwstr/>
  </property>
  <property fmtid="{D5CDD505-2E9C-101B-9397-08002B2CF9AE}" pid="116" name="IVID302816EF">
    <vt:lpwstr/>
  </property>
  <property fmtid="{D5CDD505-2E9C-101B-9397-08002B2CF9AE}" pid="117" name="IVID152214EE">
    <vt:lpwstr/>
  </property>
  <property fmtid="{D5CDD505-2E9C-101B-9397-08002B2CF9AE}" pid="118" name="IVIDECCEA593">
    <vt:lpwstr/>
  </property>
  <property fmtid="{D5CDD505-2E9C-101B-9397-08002B2CF9AE}" pid="119" name="IVID3A4319DE">
    <vt:lpwstr/>
  </property>
  <property fmtid="{D5CDD505-2E9C-101B-9397-08002B2CF9AE}" pid="120" name="IVID365F1ADC">
    <vt:lpwstr/>
  </property>
  <property fmtid="{D5CDD505-2E9C-101B-9397-08002B2CF9AE}" pid="121" name="IVID175A1AF6">
    <vt:lpwstr/>
  </property>
  <property fmtid="{D5CDD505-2E9C-101B-9397-08002B2CF9AE}" pid="122" name="IVID1D5518D8">
    <vt:lpwstr/>
  </property>
  <property fmtid="{D5CDD505-2E9C-101B-9397-08002B2CF9AE}" pid="123" name="IVIDA4314E7">
    <vt:lpwstr/>
  </property>
  <property fmtid="{D5CDD505-2E9C-101B-9397-08002B2CF9AE}" pid="124" name="IVID21651CF3">
    <vt:lpwstr/>
  </property>
  <property fmtid="{D5CDD505-2E9C-101B-9397-08002B2CF9AE}" pid="125" name="IVID7F51A18">
    <vt:lpwstr/>
  </property>
  <property fmtid="{D5CDD505-2E9C-101B-9397-08002B2CF9AE}" pid="126" name="IVIDC631907">
    <vt:lpwstr/>
  </property>
  <property fmtid="{D5CDD505-2E9C-101B-9397-08002B2CF9AE}" pid="127" name="IVID221716EE">
    <vt:lpwstr/>
  </property>
  <property fmtid="{D5CDD505-2E9C-101B-9397-08002B2CF9AE}" pid="128" name="ContentTypeId">
    <vt:lpwstr>0x010100556C3FB4C990B54081834299BB8C9C6A</vt:lpwstr>
  </property>
  <property fmtid="{D5CDD505-2E9C-101B-9397-08002B2CF9AE}" pid="129" name="MediaServiceImageTags">
    <vt:lpwstr/>
  </property>
</Properties>
</file>